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ecb63e39b129b/Documents/____DataAnalyst/____AcadGild/DataAnalytics/ACD_BART_Session_12-13_Project1.1/ACD_BART_Session_Project1.1_Final/to_GitHub/"/>
    </mc:Choice>
  </mc:AlternateContent>
  <bookViews>
    <workbookView xWindow="0" yWindow="0" windowWidth="28800" windowHeight="13380" activeTab="7"/>
  </bookViews>
  <sheets>
    <sheet name="Data" sheetId="2" r:id="rId1"/>
    <sheet name="Q.6f FinalTest" sheetId="1" r:id="rId2"/>
    <sheet name="Q.6 Rand()" sheetId="5" r:id="rId3"/>
    <sheet name="Q.7-8" sheetId="3" r:id="rId4"/>
    <sheet name="Q.7-8_S1" sheetId="10" r:id="rId5"/>
    <sheet name="Q.7-8_S2" sheetId="11" r:id="rId6"/>
    <sheet name="Q.7-8_S3" sheetId="12" r:id="rId7"/>
    <sheet name="Q.7-8b" sheetId="9" r:id="rId8"/>
  </sheets>
  <externalReferences>
    <externalReference r:id="rId9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4" i="12" l="1"/>
  <c r="A84" i="12"/>
  <c r="B83" i="12"/>
  <c r="A83" i="12"/>
  <c r="B83" i="10" l="1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B2" i="10"/>
  <c r="A2" i="10"/>
  <c r="A84" i="10" s="1"/>
  <c r="B1" i="10"/>
  <c r="A1" i="10"/>
  <c r="P86" i="9"/>
  <c r="R87" i="5"/>
  <c r="F83" i="9"/>
  <c r="E83" i="9"/>
  <c r="D83" i="9"/>
  <c r="C83" i="9"/>
  <c r="B83" i="9"/>
  <c r="A83" i="9"/>
  <c r="F82" i="9"/>
  <c r="E82" i="9"/>
  <c r="D82" i="9"/>
  <c r="C82" i="9"/>
  <c r="B82" i="9"/>
  <c r="A82" i="9"/>
  <c r="F81" i="9"/>
  <c r="E81" i="9"/>
  <c r="D81" i="9"/>
  <c r="C81" i="9"/>
  <c r="B81" i="9"/>
  <c r="A81" i="9"/>
  <c r="F80" i="9"/>
  <c r="E80" i="9"/>
  <c r="D80" i="9"/>
  <c r="C80" i="9"/>
  <c r="B80" i="9"/>
  <c r="A80" i="9"/>
  <c r="F79" i="9"/>
  <c r="E79" i="9"/>
  <c r="D79" i="9"/>
  <c r="C79" i="9"/>
  <c r="B79" i="9"/>
  <c r="A79" i="9"/>
  <c r="F78" i="9"/>
  <c r="E78" i="9"/>
  <c r="D78" i="9"/>
  <c r="C78" i="9"/>
  <c r="B78" i="9"/>
  <c r="A78" i="9"/>
  <c r="F77" i="9"/>
  <c r="E77" i="9"/>
  <c r="D77" i="9"/>
  <c r="C77" i="9"/>
  <c r="B77" i="9"/>
  <c r="A77" i="9"/>
  <c r="F76" i="9"/>
  <c r="E76" i="9"/>
  <c r="D76" i="9"/>
  <c r="C76" i="9"/>
  <c r="B76" i="9"/>
  <c r="A76" i="9"/>
  <c r="F75" i="9"/>
  <c r="E75" i="9"/>
  <c r="D75" i="9"/>
  <c r="C75" i="9"/>
  <c r="B75" i="9"/>
  <c r="A75" i="9"/>
  <c r="F74" i="9"/>
  <c r="E74" i="9"/>
  <c r="D74" i="9"/>
  <c r="C74" i="9"/>
  <c r="B74" i="9"/>
  <c r="A74" i="9"/>
  <c r="F73" i="9"/>
  <c r="E73" i="9"/>
  <c r="D73" i="9"/>
  <c r="C73" i="9"/>
  <c r="B73" i="9"/>
  <c r="A73" i="9"/>
  <c r="F72" i="9"/>
  <c r="E72" i="9"/>
  <c r="D72" i="9"/>
  <c r="C72" i="9"/>
  <c r="B72" i="9"/>
  <c r="A72" i="9"/>
  <c r="F71" i="9"/>
  <c r="E71" i="9"/>
  <c r="D71" i="9"/>
  <c r="C71" i="9"/>
  <c r="B71" i="9"/>
  <c r="A71" i="9"/>
  <c r="F70" i="9"/>
  <c r="E70" i="9"/>
  <c r="D70" i="9"/>
  <c r="C70" i="9"/>
  <c r="B70" i="9"/>
  <c r="A70" i="9"/>
  <c r="F69" i="9"/>
  <c r="E69" i="9"/>
  <c r="D69" i="9"/>
  <c r="C69" i="9"/>
  <c r="B69" i="9"/>
  <c r="A69" i="9"/>
  <c r="F68" i="9"/>
  <c r="E68" i="9"/>
  <c r="D68" i="9"/>
  <c r="C68" i="9"/>
  <c r="B68" i="9"/>
  <c r="A68" i="9"/>
  <c r="F67" i="9"/>
  <c r="E67" i="9"/>
  <c r="D67" i="9"/>
  <c r="C67" i="9"/>
  <c r="B67" i="9"/>
  <c r="A67" i="9"/>
  <c r="F66" i="9"/>
  <c r="E66" i="9"/>
  <c r="D66" i="9"/>
  <c r="C66" i="9"/>
  <c r="B66" i="9"/>
  <c r="A66" i="9"/>
  <c r="F65" i="9"/>
  <c r="E65" i="9"/>
  <c r="D65" i="9"/>
  <c r="C65" i="9"/>
  <c r="B65" i="9"/>
  <c r="A65" i="9"/>
  <c r="F64" i="9"/>
  <c r="E64" i="9"/>
  <c r="D64" i="9"/>
  <c r="C64" i="9"/>
  <c r="B64" i="9"/>
  <c r="A64" i="9"/>
  <c r="F63" i="9"/>
  <c r="E63" i="9"/>
  <c r="D63" i="9"/>
  <c r="C63" i="9"/>
  <c r="B63" i="9"/>
  <c r="A63" i="9"/>
  <c r="F62" i="9"/>
  <c r="E62" i="9"/>
  <c r="D62" i="9"/>
  <c r="C62" i="9"/>
  <c r="B62" i="9"/>
  <c r="A62" i="9"/>
  <c r="F61" i="9"/>
  <c r="E61" i="9"/>
  <c r="D61" i="9"/>
  <c r="C61" i="9"/>
  <c r="B61" i="9"/>
  <c r="A61" i="9"/>
  <c r="F60" i="9"/>
  <c r="E60" i="9"/>
  <c r="D60" i="9"/>
  <c r="C60" i="9"/>
  <c r="B60" i="9"/>
  <c r="A60" i="9"/>
  <c r="F59" i="9"/>
  <c r="E59" i="9"/>
  <c r="D59" i="9"/>
  <c r="C59" i="9"/>
  <c r="B59" i="9"/>
  <c r="A59" i="9"/>
  <c r="F58" i="9"/>
  <c r="E58" i="9"/>
  <c r="D58" i="9"/>
  <c r="C58" i="9"/>
  <c r="B58" i="9"/>
  <c r="A58" i="9"/>
  <c r="F57" i="9"/>
  <c r="E57" i="9"/>
  <c r="D57" i="9"/>
  <c r="C57" i="9"/>
  <c r="B57" i="9"/>
  <c r="A57" i="9"/>
  <c r="F56" i="9"/>
  <c r="E56" i="9"/>
  <c r="D56" i="9"/>
  <c r="C56" i="9"/>
  <c r="B56" i="9"/>
  <c r="A56" i="9"/>
  <c r="F55" i="9"/>
  <c r="E55" i="9"/>
  <c r="D55" i="9"/>
  <c r="C55" i="9"/>
  <c r="B55" i="9"/>
  <c r="A55" i="9"/>
  <c r="F54" i="9"/>
  <c r="E54" i="9"/>
  <c r="D54" i="9"/>
  <c r="C54" i="9"/>
  <c r="B54" i="9"/>
  <c r="A54" i="9"/>
  <c r="F53" i="9"/>
  <c r="E53" i="9"/>
  <c r="D53" i="9"/>
  <c r="C53" i="9"/>
  <c r="B53" i="9"/>
  <c r="A53" i="9"/>
  <c r="F52" i="9"/>
  <c r="E52" i="9"/>
  <c r="D52" i="9"/>
  <c r="C52" i="9"/>
  <c r="B52" i="9"/>
  <c r="A52" i="9"/>
  <c r="F51" i="9"/>
  <c r="E51" i="9"/>
  <c r="D51" i="9"/>
  <c r="C51" i="9"/>
  <c r="B51" i="9"/>
  <c r="A51" i="9"/>
  <c r="F50" i="9"/>
  <c r="E50" i="9"/>
  <c r="D50" i="9"/>
  <c r="C50" i="9"/>
  <c r="B50" i="9"/>
  <c r="A50" i="9"/>
  <c r="F49" i="9"/>
  <c r="E49" i="9"/>
  <c r="D49" i="9"/>
  <c r="C49" i="9"/>
  <c r="B49" i="9"/>
  <c r="A49" i="9"/>
  <c r="F48" i="9"/>
  <c r="E48" i="9"/>
  <c r="D48" i="9"/>
  <c r="C48" i="9"/>
  <c r="B48" i="9"/>
  <c r="A48" i="9"/>
  <c r="F47" i="9"/>
  <c r="E47" i="9"/>
  <c r="D47" i="9"/>
  <c r="C47" i="9"/>
  <c r="B47" i="9"/>
  <c r="A47" i="9"/>
  <c r="F46" i="9"/>
  <c r="E46" i="9"/>
  <c r="D46" i="9"/>
  <c r="C46" i="9"/>
  <c r="B46" i="9"/>
  <c r="A46" i="9"/>
  <c r="F45" i="9"/>
  <c r="E45" i="9"/>
  <c r="D45" i="9"/>
  <c r="C45" i="9"/>
  <c r="B45" i="9"/>
  <c r="A45" i="9"/>
  <c r="F44" i="9"/>
  <c r="E44" i="9"/>
  <c r="D44" i="9"/>
  <c r="C44" i="9"/>
  <c r="B44" i="9"/>
  <c r="A44" i="9"/>
  <c r="F43" i="9"/>
  <c r="E43" i="9"/>
  <c r="D43" i="9"/>
  <c r="C43" i="9"/>
  <c r="B43" i="9"/>
  <c r="A43" i="9"/>
  <c r="F42" i="9"/>
  <c r="E42" i="9"/>
  <c r="D42" i="9"/>
  <c r="C42" i="9"/>
  <c r="B42" i="9"/>
  <c r="A42" i="9"/>
  <c r="F41" i="9"/>
  <c r="E41" i="9"/>
  <c r="D41" i="9"/>
  <c r="C41" i="9"/>
  <c r="B41" i="9"/>
  <c r="A41" i="9"/>
  <c r="F40" i="9"/>
  <c r="E40" i="9"/>
  <c r="D40" i="9"/>
  <c r="C40" i="9"/>
  <c r="B40" i="9"/>
  <c r="A40" i="9"/>
  <c r="F39" i="9"/>
  <c r="E39" i="9"/>
  <c r="D39" i="9"/>
  <c r="C39" i="9"/>
  <c r="B39" i="9"/>
  <c r="A39" i="9"/>
  <c r="F38" i="9"/>
  <c r="E38" i="9"/>
  <c r="D38" i="9"/>
  <c r="C38" i="9"/>
  <c r="B38" i="9"/>
  <c r="A38" i="9"/>
  <c r="F37" i="9"/>
  <c r="E37" i="9"/>
  <c r="D37" i="9"/>
  <c r="C37" i="9"/>
  <c r="B37" i="9"/>
  <c r="A37" i="9"/>
  <c r="F36" i="9"/>
  <c r="E36" i="9"/>
  <c r="D36" i="9"/>
  <c r="C36" i="9"/>
  <c r="B36" i="9"/>
  <c r="A36" i="9"/>
  <c r="F35" i="9"/>
  <c r="E35" i="9"/>
  <c r="D35" i="9"/>
  <c r="C35" i="9"/>
  <c r="B35" i="9"/>
  <c r="A35" i="9"/>
  <c r="F34" i="9"/>
  <c r="E34" i="9"/>
  <c r="D34" i="9"/>
  <c r="C34" i="9"/>
  <c r="B34" i="9"/>
  <c r="A34" i="9"/>
  <c r="F33" i="9"/>
  <c r="E33" i="9"/>
  <c r="D33" i="9"/>
  <c r="C33" i="9"/>
  <c r="B33" i="9"/>
  <c r="A33" i="9"/>
  <c r="F32" i="9"/>
  <c r="E32" i="9"/>
  <c r="D32" i="9"/>
  <c r="C32" i="9"/>
  <c r="B32" i="9"/>
  <c r="A32" i="9"/>
  <c r="F31" i="9"/>
  <c r="E31" i="9"/>
  <c r="D31" i="9"/>
  <c r="C31" i="9"/>
  <c r="B31" i="9"/>
  <c r="A31" i="9"/>
  <c r="F30" i="9"/>
  <c r="E30" i="9"/>
  <c r="D30" i="9"/>
  <c r="C30" i="9"/>
  <c r="B30" i="9"/>
  <c r="A30" i="9"/>
  <c r="F29" i="9"/>
  <c r="E29" i="9"/>
  <c r="D29" i="9"/>
  <c r="C29" i="9"/>
  <c r="B29" i="9"/>
  <c r="A29" i="9"/>
  <c r="F28" i="9"/>
  <c r="E28" i="9"/>
  <c r="D28" i="9"/>
  <c r="C28" i="9"/>
  <c r="B28" i="9"/>
  <c r="A28" i="9"/>
  <c r="F27" i="9"/>
  <c r="E27" i="9"/>
  <c r="D27" i="9"/>
  <c r="C27" i="9"/>
  <c r="B27" i="9"/>
  <c r="A27" i="9"/>
  <c r="F26" i="9"/>
  <c r="E26" i="9"/>
  <c r="D26" i="9"/>
  <c r="C26" i="9"/>
  <c r="B26" i="9"/>
  <c r="A26" i="9"/>
  <c r="F25" i="9"/>
  <c r="E25" i="9"/>
  <c r="D25" i="9"/>
  <c r="C25" i="9"/>
  <c r="B25" i="9"/>
  <c r="A25" i="9"/>
  <c r="F24" i="9"/>
  <c r="E24" i="9"/>
  <c r="D24" i="9"/>
  <c r="C24" i="9"/>
  <c r="B24" i="9"/>
  <c r="A24" i="9"/>
  <c r="F23" i="9"/>
  <c r="E23" i="9"/>
  <c r="D23" i="9"/>
  <c r="C23" i="9"/>
  <c r="B23" i="9"/>
  <c r="A23" i="9"/>
  <c r="F22" i="9"/>
  <c r="E22" i="9"/>
  <c r="D22" i="9"/>
  <c r="C22" i="9"/>
  <c r="B22" i="9"/>
  <c r="A22" i="9"/>
  <c r="F21" i="9"/>
  <c r="E21" i="9"/>
  <c r="D21" i="9"/>
  <c r="C21" i="9"/>
  <c r="B21" i="9"/>
  <c r="A21" i="9"/>
  <c r="F20" i="9"/>
  <c r="E20" i="9"/>
  <c r="D20" i="9"/>
  <c r="C20" i="9"/>
  <c r="B20" i="9"/>
  <c r="A20" i="9"/>
  <c r="F19" i="9"/>
  <c r="E19" i="9"/>
  <c r="D19" i="9"/>
  <c r="C19" i="9"/>
  <c r="B19" i="9"/>
  <c r="A19" i="9"/>
  <c r="F18" i="9"/>
  <c r="E18" i="9"/>
  <c r="D18" i="9"/>
  <c r="C18" i="9"/>
  <c r="B18" i="9"/>
  <c r="A18" i="9"/>
  <c r="F17" i="9"/>
  <c r="E17" i="9"/>
  <c r="D17" i="9"/>
  <c r="C17" i="9"/>
  <c r="B17" i="9"/>
  <c r="A17" i="9"/>
  <c r="F16" i="9"/>
  <c r="E16" i="9"/>
  <c r="D16" i="9"/>
  <c r="C16" i="9"/>
  <c r="B16" i="9"/>
  <c r="A16" i="9"/>
  <c r="F15" i="9"/>
  <c r="E15" i="9"/>
  <c r="D15" i="9"/>
  <c r="C15" i="9"/>
  <c r="B15" i="9"/>
  <c r="A15" i="9"/>
  <c r="F14" i="9"/>
  <c r="E14" i="9"/>
  <c r="D14" i="9"/>
  <c r="C14" i="9"/>
  <c r="B14" i="9"/>
  <c r="A14" i="9"/>
  <c r="F13" i="9"/>
  <c r="E13" i="9"/>
  <c r="D13" i="9"/>
  <c r="C13" i="9"/>
  <c r="B13" i="9"/>
  <c r="A13" i="9"/>
  <c r="F12" i="9"/>
  <c r="E12" i="9"/>
  <c r="D12" i="9"/>
  <c r="C12" i="9"/>
  <c r="B12" i="9"/>
  <c r="A12" i="9"/>
  <c r="F11" i="9"/>
  <c r="E11" i="9"/>
  <c r="D11" i="9"/>
  <c r="C11" i="9"/>
  <c r="B11" i="9"/>
  <c r="A11" i="9"/>
  <c r="F10" i="9"/>
  <c r="E10" i="9"/>
  <c r="D10" i="9"/>
  <c r="C10" i="9"/>
  <c r="B10" i="9"/>
  <c r="A10" i="9"/>
  <c r="F9" i="9"/>
  <c r="E9" i="9"/>
  <c r="D9" i="9"/>
  <c r="C9" i="9"/>
  <c r="B9" i="9"/>
  <c r="A9" i="9"/>
  <c r="F8" i="9"/>
  <c r="E8" i="9"/>
  <c r="D8" i="9"/>
  <c r="C8" i="9"/>
  <c r="B8" i="9"/>
  <c r="A8" i="9"/>
  <c r="F7" i="9"/>
  <c r="E7" i="9"/>
  <c r="D7" i="9"/>
  <c r="C7" i="9"/>
  <c r="B7" i="9"/>
  <c r="A7" i="9"/>
  <c r="F6" i="9"/>
  <c r="E6" i="9"/>
  <c r="D6" i="9"/>
  <c r="C6" i="9"/>
  <c r="B6" i="9"/>
  <c r="A6" i="9"/>
  <c r="F5" i="9"/>
  <c r="E5" i="9"/>
  <c r="D5" i="9"/>
  <c r="C5" i="9"/>
  <c r="B5" i="9"/>
  <c r="A5" i="9"/>
  <c r="F4" i="9"/>
  <c r="E4" i="9"/>
  <c r="D4" i="9"/>
  <c r="C4" i="9"/>
  <c r="B4" i="9"/>
  <c r="A4" i="9"/>
  <c r="F3" i="9"/>
  <c r="E3" i="9"/>
  <c r="D3" i="9"/>
  <c r="C3" i="9"/>
  <c r="B3" i="9"/>
  <c r="A3" i="9"/>
  <c r="F2" i="9"/>
  <c r="E2" i="9"/>
  <c r="D2" i="9"/>
  <c r="C2" i="9"/>
  <c r="B2" i="9"/>
  <c r="A2" i="9"/>
  <c r="B1" i="9"/>
  <c r="C1" i="9"/>
  <c r="D1" i="9"/>
  <c r="E1" i="9"/>
  <c r="F1" i="9"/>
  <c r="A1" i="9"/>
  <c r="B84" i="10" l="1"/>
  <c r="A85" i="10"/>
  <c r="B85" i="10"/>
  <c r="A85" i="9"/>
  <c r="N2" i="9"/>
  <c r="A84" i="9"/>
  <c r="B85" i="9"/>
  <c r="C84" i="9"/>
  <c r="M2" i="9"/>
  <c r="E84" i="9"/>
  <c r="B84" i="9"/>
  <c r="F85" i="9"/>
  <c r="H2" i="9"/>
  <c r="E85" i="9"/>
  <c r="I2" i="9"/>
  <c r="F84" i="9"/>
  <c r="D85" i="9"/>
  <c r="J2" i="9"/>
  <c r="C85" i="9"/>
  <c r="L2" i="9"/>
  <c r="D84" i="9"/>
  <c r="R109" i="3"/>
  <c r="S109" i="3"/>
  <c r="P81" i="9" l="1"/>
  <c r="P73" i="9"/>
  <c r="P65" i="9"/>
  <c r="P57" i="9"/>
  <c r="P49" i="9"/>
  <c r="P41" i="9"/>
  <c r="P33" i="9"/>
  <c r="P25" i="9"/>
  <c r="P17" i="9"/>
  <c r="P9" i="9"/>
  <c r="P78" i="9"/>
  <c r="P70" i="9"/>
  <c r="P62" i="9"/>
  <c r="P54" i="9"/>
  <c r="P46" i="9"/>
  <c r="P38" i="9"/>
  <c r="P30" i="9"/>
  <c r="P22" i="9"/>
  <c r="P14" i="9"/>
  <c r="P6" i="9"/>
  <c r="P83" i="9"/>
  <c r="P75" i="9"/>
  <c r="P67" i="9"/>
  <c r="P59" i="9"/>
  <c r="P51" i="9"/>
  <c r="P43" i="9"/>
  <c r="P35" i="9"/>
  <c r="P27" i="9"/>
  <c r="P19" i="9"/>
  <c r="P11" i="9"/>
  <c r="P3" i="9"/>
  <c r="P80" i="9"/>
  <c r="P72" i="9"/>
  <c r="P64" i="9"/>
  <c r="P56" i="9"/>
  <c r="P48" i="9"/>
  <c r="P40" i="9"/>
  <c r="P32" i="9"/>
  <c r="P24" i="9"/>
  <c r="P16" i="9"/>
  <c r="P8" i="9"/>
  <c r="P77" i="9"/>
  <c r="P69" i="9"/>
  <c r="P61" i="9"/>
  <c r="P53" i="9"/>
  <c r="P45" i="9"/>
  <c r="P37" i="9"/>
  <c r="P29" i="9"/>
  <c r="P21" i="9"/>
  <c r="P13" i="9"/>
  <c r="P5" i="9"/>
  <c r="P82" i="9"/>
  <c r="P74" i="9"/>
  <c r="P66" i="9"/>
  <c r="P58" i="9"/>
  <c r="P50" i="9"/>
  <c r="P42" i="9"/>
  <c r="P34" i="9"/>
  <c r="P26" i="9"/>
  <c r="P18" i="9"/>
  <c r="P10" i="9"/>
  <c r="P2" i="9"/>
  <c r="P79" i="9"/>
  <c r="P71" i="9"/>
  <c r="P63" i="9"/>
  <c r="P55" i="9"/>
  <c r="P47" i="9"/>
  <c r="P39" i="9"/>
  <c r="P31" i="9"/>
  <c r="P23" i="9"/>
  <c r="P15" i="9"/>
  <c r="P7" i="9"/>
  <c r="P76" i="9"/>
  <c r="P68" i="9"/>
  <c r="P60" i="9"/>
  <c r="P52" i="9"/>
  <c r="P44" i="9"/>
  <c r="P36" i="9"/>
  <c r="P28" i="9"/>
  <c r="P20" i="9"/>
  <c r="P12" i="9"/>
  <c r="P4" i="9"/>
  <c r="R75" i="9"/>
  <c r="R67" i="9"/>
  <c r="R59" i="9"/>
  <c r="R51" i="9"/>
  <c r="R43" i="9"/>
  <c r="R35" i="9"/>
  <c r="R27" i="9"/>
  <c r="R19" i="9"/>
  <c r="R11" i="9"/>
  <c r="R3" i="9"/>
  <c r="R80" i="9"/>
  <c r="R72" i="9"/>
  <c r="R64" i="9"/>
  <c r="R56" i="9"/>
  <c r="R48" i="9"/>
  <c r="R40" i="9"/>
  <c r="R32" i="9"/>
  <c r="R24" i="9"/>
  <c r="R16" i="9"/>
  <c r="R8" i="9"/>
  <c r="R77" i="9"/>
  <c r="R69" i="9"/>
  <c r="R61" i="9"/>
  <c r="R53" i="9"/>
  <c r="R45" i="9"/>
  <c r="R37" i="9"/>
  <c r="R29" i="9"/>
  <c r="R21" i="9"/>
  <c r="R13" i="9"/>
  <c r="R5" i="9"/>
  <c r="R82" i="9"/>
  <c r="R74" i="9"/>
  <c r="R66" i="9"/>
  <c r="R58" i="9"/>
  <c r="R50" i="9"/>
  <c r="R42" i="9"/>
  <c r="R34" i="9"/>
  <c r="R26" i="9"/>
  <c r="R18" i="9"/>
  <c r="R10" i="9"/>
  <c r="R2" i="9"/>
  <c r="R79" i="9"/>
  <c r="R71" i="9"/>
  <c r="R63" i="9"/>
  <c r="R55" i="9"/>
  <c r="R47" i="9"/>
  <c r="R39" i="9"/>
  <c r="R31" i="9"/>
  <c r="R23" i="9"/>
  <c r="R15" i="9"/>
  <c r="R7" i="9"/>
  <c r="R76" i="9"/>
  <c r="R68" i="9"/>
  <c r="R60" i="9"/>
  <c r="R52" i="9"/>
  <c r="R44" i="9"/>
  <c r="R36" i="9"/>
  <c r="R28" i="9"/>
  <c r="R20" i="9"/>
  <c r="R12" i="9"/>
  <c r="R4" i="9"/>
  <c r="R81" i="9"/>
  <c r="R73" i="9"/>
  <c r="R65" i="9"/>
  <c r="R57" i="9"/>
  <c r="R49" i="9"/>
  <c r="R41" i="9"/>
  <c r="R33" i="9"/>
  <c r="R25" i="9"/>
  <c r="R17" i="9"/>
  <c r="R9" i="9"/>
  <c r="R78" i="9"/>
  <c r="R70" i="9"/>
  <c r="R62" i="9"/>
  <c r="R54" i="9"/>
  <c r="R46" i="9"/>
  <c r="R38" i="9"/>
  <c r="R30" i="9"/>
  <c r="R22" i="9"/>
  <c r="R14" i="9"/>
  <c r="R6" i="9"/>
  <c r="Q78" i="9"/>
  <c r="Q70" i="9"/>
  <c r="Q62" i="9"/>
  <c r="Q54" i="9"/>
  <c r="Q46" i="9"/>
  <c r="Q38" i="9"/>
  <c r="Q30" i="9"/>
  <c r="Q22" i="9"/>
  <c r="Q14" i="9"/>
  <c r="Q6" i="9"/>
  <c r="Q83" i="9"/>
  <c r="Q75" i="9"/>
  <c r="Q67" i="9"/>
  <c r="Q59" i="9"/>
  <c r="Q51" i="9"/>
  <c r="Q43" i="9"/>
  <c r="Q35" i="9"/>
  <c r="Q27" i="9"/>
  <c r="Q19" i="9"/>
  <c r="Q11" i="9"/>
  <c r="Q3" i="9"/>
  <c r="Q80" i="9"/>
  <c r="Q72" i="9"/>
  <c r="Q64" i="9"/>
  <c r="Q56" i="9"/>
  <c r="Q48" i="9"/>
  <c r="Q40" i="9"/>
  <c r="Q32" i="9"/>
  <c r="Q24" i="9"/>
  <c r="Q16" i="9"/>
  <c r="Q8" i="9"/>
  <c r="Q77" i="9"/>
  <c r="Q69" i="9"/>
  <c r="Q61" i="9"/>
  <c r="Q53" i="9"/>
  <c r="Q45" i="9"/>
  <c r="Q37" i="9"/>
  <c r="Q29" i="9"/>
  <c r="Q21" i="9"/>
  <c r="Q13" i="9"/>
  <c r="Q5" i="9"/>
  <c r="Q82" i="9"/>
  <c r="Q74" i="9"/>
  <c r="Q66" i="9"/>
  <c r="Q58" i="9"/>
  <c r="Q50" i="9"/>
  <c r="Q42" i="9"/>
  <c r="Q34" i="9"/>
  <c r="Q26" i="9"/>
  <c r="Q18" i="9"/>
  <c r="Q10" i="9"/>
  <c r="Q2" i="9"/>
  <c r="Q79" i="9"/>
  <c r="Q71" i="9"/>
  <c r="Q63" i="9"/>
  <c r="Q55" i="9"/>
  <c r="Q47" i="9"/>
  <c r="Q39" i="9"/>
  <c r="Q31" i="9"/>
  <c r="Q23" i="9"/>
  <c r="Q15" i="9"/>
  <c r="Q7" i="9"/>
  <c r="Q76" i="9"/>
  <c r="Q68" i="9"/>
  <c r="Q60" i="9"/>
  <c r="Q52" i="9"/>
  <c r="Q44" i="9"/>
  <c r="Q36" i="9"/>
  <c r="Q28" i="9"/>
  <c r="Q20" i="9"/>
  <c r="Q12" i="9"/>
  <c r="Q4" i="9"/>
  <c r="Q81" i="9"/>
  <c r="Q73" i="9"/>
  <c r="Q65" i="9"/>
  <c r="Q57" i="9"/>
  <c r="Q49" i="9"/>
  <c r="Q41" i="9"/>
  <c r="Q33" i="9"/>
  <c r="Q25" i="9"/>
  <c r="Q17" i="9"/>
  <c r="Q9" i="9"/>
  <c r="A86" i="9"/>
  <c r="B86" i="9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S86" i="5"/>
  <c r="T86" i="5"/>
  <c r="U86" i="5"/>
  <c r="V86" i="5"/>
  <c r="W86" i="5"/>
  <c r="R86" i="5"/>
  <c r="S85" i="5"/>
  <c r="T85" i="5"/>
  <c r="U85" i="5"/>
  <c r="V85" i="5"/>
  <c r="W85" i="5"/>
  <c r="R85" i="5"/>
  <c r="D160" i="5" a="1"/>
  <c r="D160" i="5" s="1"/>
  <c r="D20" i="5" a="1"/>
  <c r="D20" i="5" s="1"/>
  <c r="D48" i="5" a="1"/>
  <c r="D48" i="5" s="1"/>
  <c r="D148" i="5" a="1"/>
  <c r="D148" i="5" s="1"/>
  <c r="D181" i="5" a="1"/>
  <c r="D181" i="5" s="1"/>
  <c r="D145" i="5" a="1"/>
  <c r="D145" i="5" s="1"/>
  <c r="D58" i="5" a="1"/>
  <c r="D58" i="5" s="1"/>
  <c r="D27" i="5" a="1"/>
  <c r="D27" i="5"/>
  <c r="D73" i="5" a="1"/>
  <c r="D73" i="5" s="1"/>
  <c r="D68" i="5" a="1"/>
  <c r="D68" i="5" s="1"/>
  <c r="D136" i="5" a="1"/>
  <c r="D136" i="5" s="1"/>
  <c r="D187" i="5" a="1"/>
  <c r="D187" i="5" s="1"/>
  <c r="D156" i="5" a="1"/>
  <c r="D156" i="5" s="1"/>
  <c r="D227" i="5" a="1"/>
  <c r="D227" i="5" s="1"/>
  <c r="D242" i="5" a="1"/>
  <c r="D242" i="5" s="1"/>
  <c r="D115" i="5" a="1"/>
  <c r="D115" i="5" s="1"/>
  <c r="D214" i="5" a="1"/>
  <c r="D214" i="5" s="1"/>
  <c r="D150" i="5" a="1"/>
  <c r="D150" i="5" s="1"/>
  <c r="D102" i="5" a="1"/>
  <c r="D102" i="5" s="1"/>
  <c r="D108" i="5" a="1"/>
  <c r="D108" i="5" s="1"/>
  <c r="D87" i="5" a="1"/>
  <c r="D87" i="5" s="1"/>
  <c r="D64" i="5" a="1"/>
  <c r="D64" i="5" s="1"/>
  <c r="D16" i="5" a="1"/>
  <c r="D16" i="5" s="1"/>
  <c r="D220" i="5" a="1"/>
  <c r="D220" i="5" s="1"/>
  <c r="D236" i="5" a="1"/>
  <c r="D236" i="5" s="1"/>
  <c r="D110" i="5" a="1"/>
  <c r="D110" i="5" s="1"/>
  <c r="D192" i="5" a="1"/>
  <c r="D192" i="5" s="1"/>
  <c r="D74" i="5" a="1"/>
  <c r="D74" i="5" s="1"/>
  <c r="D105" i="5" a="1"/>
  <c r="D105" i="5" s="1"/>
  <c r="D244" i="5" a="1"/>
  <c r="D244" i="5" s="1"/>
  <c r="D128" i="5" a="1"/>
  <c r="D128" i="5" s="1"/>
  <c r="D221" i="5" a="1"/>
  <c r="D221" i="5"/>
  <c r="D167" i="5" a="1"/>
  <c r="D167" i="5" s="1"/>
  <c r="D62" i="5" a="1"/>
  <c r="D62" i="5" s="1"/>
  <c r="D230" i="5" a="1"/>
  <c r="D230" i="5" s="1"/>
  <c r="D229" i="5" a="1"/>
  <c r="D229" i="5" s="1"/>
  <c r="D71" i="5" a="1"/>
  <c r="D71" i="5" s="1"/>
  <c r="D57" i="5" a="1"/>
  <c r="D57" i="5" s="1"/>
  <c r="D46" i="5" a="1"/>
  <c r="D46" i="5" s="1"/>
  <c r="D10" i="5" a="1"/>
  <c r="D10" i="5" s="1"/>
  <c r="D118" i="5" a="1"/>
  <c r="D118" i="5" s="1"/>
  <c r="D237" i="5" a="1"/>
  <c r="D237" i="5" s="1"/>
  <c r="D12" i="5" a="1"/>
  <c r="D12" i="5" s="1"/>
  <c r="D184" i="5" a="1"/>
  <c r="D184" i="5" s="1"/>
  <c r="D138" i="5" a="1"/>
  <c r="D138" i="5" s="1"/>
  <c r="D196" i="5" a="1"/>
  <c r="D196" i="5" s="1"/>
  <c r="D209" i="5" a="1"/>
  <c r="D209" i="5" s="1"/>
  <c r="D201" i="5" a="1"/>
  <c r="D201" i="5" s="1"/>
  <c r="D88" i="5" a="1"/>
  <c r="D88" i="5" s="1"/>
  <c r="D22" i="5" a="1"/>
  <c r="D22" i="5" s="1"/>
  <c r="D218" i="5" a="1"/>
  <c r="D218" i="5" s="1"/>
  <c r="D232" i="5" a="1"/>
  <c r="D232" i="5" s="1"/>
  <c r="D28" i="5" a="1"/>
  <c r="D28" i="5" s="1"/>
  <c r="D113" i="5" a="1"/>
  <c r="D113" i="5" s="1"/>
  <c r="D94" i="5" a="1"/>
  <c r="D94" i="5" s="1"/>
  <c r="D206" i="5" a="1"/>
  <c r="D206" i="5" s="1"/>
  <c r="D205" i="5" a="1"/>
  <c r="D205" i="5" s="1"/>
  <c r="D224" i="5" a="1"/>
  <c r="D224" i="5" s="1"/>
  <c r="D143" i="5" a="1"/>
  <c r="D143" i="5" s="1"/>
  <c r="D7" i="5" a="1"/>
  <c r="D7" i="5" s="1"/>
  <c r="D208" i="5" a="1"/>
  <c r="D208" i="5" s="1"/>
  <c r="D123" i="5" a="1"/>
  <c r="D123" i="5" s="1"/>
  <c r="D29" i="5" a="1"/>
  <c r="D29" i="5" s="1"/>
  <c r="D106" i="5" a="1"/>
  <c r="D106" i="5" s="1"/>
  <c r="D176" i="5" a="1"/>
  <c r="D176" i="5" s="1"/>
  <c r="D211" i="5" a="1"/>
  <c r="D211" i="5" s="1"/>
  <c r="D182" i="5" a="1"/>
  <c r="D182" i="5" s="1"/>
  <c r="D98" i="5" a="1"/>
  <c r="D98" i="5" s="1"/>
  <c r="D215" i="5" a="1"/>
  <c r="D215" i="5" s="1"/>
  <c r="D166" i="5" a="1"/>
  <c r="D166" i="5" s="1"/>
  <c r="D79" i="5" a="1"/>
  <c r="D79" i="5" s="1"/>
  <c r="D132" i="5" a="1"/>
  <c r="D132" i="5"/>
  <c r="D41" i="5" a="1"/>
  <c r="D41" i="5" s="1"/>
  <c r="D35" i="5" a="1"/>
  <c r="D35" i="5" s="1"/>
  <c r="D30" i="5" a="1"/>
  <c r="D30" i="5" s="1"/>
  <c r="D191" i="5" a="1"/>
  <c r="D191" i="5" s="1"/>
  <c r="D32" i="5" a="1"/>
  <c r="D32" i="5" s="1"/>
  <c r="D155" i="5" a="1"/>
  <c r="D155" i="5" s="1"/>
  <c r="D125" i="5" a="1"/>
  <c r="D125" i="5" s="1"/>
  <c r="D171" i="5" a="1"/>
  <c r="D171" i="5" s="1"/>
  <c r="D9" i="5" a="1"/>
  <c r="D9" i="5" s="1"/>
  <c r="D178" i="5" a="1"/>
  <c r="D178" i="5" s="1"/>
  <c r="D78" i="5" a="1"/>
  <c r="D78" i="5" s="1"/>
  <c r="D163" i="5" a="1"/>
  <c r="D163" i="5" s="1"/>
  <c r="D11" i="5" a="1"/>
  <c r="D11" i="5" s="1"/>
  <c r="D82" i="5" a="1"/>
  <c r="D82" i="5" s="1"/>
  <c r="D96" i="5" a="1"/>
  <c r="D96" i="5" s="1"/>
  <c r="D114" i="5" a="1"/>
  <c r="D114" i="5" s="1"/>
  <c r="D239" i="5" a="1"/>
  <c r="D239" i="5" s="1"/>
  <c r="D104" i="5" a="1"/>
  <c r="D104" i="5" s="1"/>
  <c r="D86" i="5" a="1"/>
  <c r="D86" i="5" s="1"/>
  <c r="D40" i="5" a="1"/>
  <c r="D40" i="5" s="1"/>
  <c r="D5" i="5" a="1"/>
  <c r="D5" i="5" s="1"/>
  <c r="D152" i="5" a="1"/>
  <c r="D152" i="5" s="1"/>
  <c r="D185" i="5" a="1"/>
  <c r="D185" i="5" s="1"/>
  <c r="D199" i="5" a="1"/>
  <c r="D199" i="5" s="1"/>
  <c r="D116" i="5" a="1"/>
  <c r="D116" i="5" s="1"/>
  <c r="D42" i="5" a="1"/>
  <c r="D42" i="5" s="1"/>
  <c r="D89" i="5" a="1"/>
  <c r="D89" i="5" s="1"/>
  <c r="D159" i="5" a="1"/>
  <c r="D159" i="5" s="1"/>
  <c r="D21" i="5" a="1"/>
  <c r="D21" i="5" s="1"/>
  <c r="D85" i="5" a="1"/>
  <c r="D85" i="5" s="1"/>
  <c r="D23" i="5" a="1"/>
  <c r="D23" i="5" s="1"/>
  <c r="D173" i="5" a="1"/>
  <c r="D173" i="5"/>
  <c r="D198" i="5" a="1"/>
  <c r="D198" i="5" s="1"/>
  <c r="D238" i="5" a="1"/>
  <c r="D238" i="5" s="1"/>
  <c r="D135" i="5" a="1"/>
  <c r="D135" i="5" s="1"/>
  <c r="D55" i="5" a="1"/>
  <c r="D55" i="5" s="1"/>
  <c r="D43" i="5" a="1"/>
  <c r="D43" i="5" s="1"/>
  <c r="D97" i="5" a="1"/>
  <c r="D97" i="5" s="1"/>
  <c r="D130" i="5" a="1"/>
  <c r="D130" i="5" s="1"/>
  <c r="D24" i="5" a="1"/>
  <c r="D24" i="5" s="1"/>
  <c r="D144" i="5" a="1"/>
  <c r="D144" i="5" s="1"/>
  <c r="D60" i="5" a="1"/>
  <c r="D60" i="5" s="1"/>
  <c r="D25" i="5" a="1"/>
  <c r="D25" i="5" s="1"/>
  <c r="D226" i="5" a="1"/>
  <c r="D226" i="5" s="1"/>
  <c r="D39" i="5" a="1"/>
  <c r="D39" i="5" s="1"/>
  <c r="D207" i="5" a="1"/>
  <c r="D207" i="5" s="1"/>
  <c r="D92" i="5" a="1"/>
  <c r="D92" i="5" s="1"/>
  <c r="D217" i="5" a="1"/>
  <c r="D217" i="5" s="1"/>
  <c r="D19" i="5" a="1"/>
  <c r="D19" i="5" s="1"/>
  <c r="D65" i="5" a="1"/>
  <c r="D65" i="5" s="1"/>
  <c r="D63" i="5" a="1"/>
  <c r="D63" i="5" s="1"/>
  <c r="D93" i="5" a="1"/>
  <c r="D93" i="5" s="1"/>
  <c r="D142" i="5" a="1"/>
  <c r="D142" i="5" s="1"/>
  <c r="D193" i="5" a="1"/>
  <c r="D193" i="5" s="1"/>
  <c r="D194" i="5" a="1"/>
  <c r="D194" i="5" s="1"/>
  <c r="D59" i="5" a="1"/>
  <c r="D59" i="5" s="1"/>
  <c r="D67" i="5" a="1"/>
  <c r="D67" i="5" s="1"/>
  <c r="D204" i="5" a="1"/>
  <c r="D204" i="5" s="1"/>
  <c r="D146" i="5" a="1"/>
  <c r="D146" i="5" s="1"/>
  <c r="D151" i="5" a="1"/>
  <c r="D151" i="5" s="1"/>
  <c r="D169" i="5" a="1"/>
  <c r="D169" i="5" s="1"/>
  <c r="D137" i="5" a="1"/>
  <c r="D137" i="5" s="1"/>
  <c r="D121" i="5" a="1"/>
  <c r="D121" i="5" s="1"/>
  <c r="D18" i="5" a="1"/>
  <c r="D18" i="5" s="1"/>
  <c r="D223" i="5" a="1"/>
  <c r="D223" i="5" s="1"/>
  <c r="D179" i="5" a="1"/>
  <c r="D179" i="5" s="1"/>
  <c r="D245" i="5" a="1"/>
  <c r="D245" i="5" s="1"/>
  <c r="D3" i="5" a="1"/>
  <c r="D3" i="5" s="1"/>
  <c r="D233" i="5" a="1"/>
  <c r="D233" i="5" s="1"/>
  <c r="D134" i="5" a="1"/>
  <c r="D134" i="5" s="1"/>
  <c r="D235" i="5" a="1"/>
  <c r="D235" i="5" s="1"/>
  <c r="D119" i="5" a="1"/>
  <c r="D119" i="5" s="1"/>
  <c r="D183" i="5" a="1"/>
  <c r="D183" i="5" s="1"/>
  <c r="D158" i="5" a="1"/>
  <c r="D158" i="5" s="1"/>
  <c r="D81" i="5" a="1"/>
  <c r="D81" i="5" s="1"/>
  <c r="D247" i="5" a="1"/>
  <c r="D247" i="5" s="1"/>
  <c r="D76" i="5" a="1"/>
  <c r="D76" i="5" s="1"/>
  <c r="D69" i="5" a="1"/>
  <c r="D69" i="5" s="1"/>
  <c r="D99" i="5" a="1"/>
  <c r="D99" i="5" s="1"/>
  <c r="D212" i="5" a="1"/>
  <c r="D212" i="5" s="1"/>
  <c r="D126" i="5" a="1"/>
  <c r="D126" i="5" s="1"/>
  <c r="D188" i="5" a="1"/>
  <c r="D188" i="5" s="1"/>
  <c r="D154" i="5" a="1"/>
  <c r="D154" i="5" s="1"/>
  <c r="D124" i="5" a="1"/>
  <c r="D124" i="5" s="1"/>
  <c r="D170" i="5" a="1"/>
  <c r="D170" i="5" s="1"/>
  <c r="D49" i="5" a="1"/>
  <c r="D49" i="5" s="1"/>
  <c r="D38" i="5" a="1"/>
  <c r="D38" i="5" s="1"/>
  <c r="D139" i="5" a="1"/>
  <c r="D139" i="5"/>
  <c r="D140" i="5" a="1"/>
  <c r="D140" i="5" s="1"/>
  <c r="D165" i="5" a="1"/>
  <c r="D165" i="5" s="1"/>
  <c r="D177" i="5" a="1"/>
  <c r="D177" i="5" s="1"/>
  <c r="D17" i="5" a="1"/>
  <c r="D17" i="5" s="1"/>
  <c r="D161" i="5" a="1"/>
  <c r="D161" i="5" s="1"/>
  <c r="D234" i="5" a="1"/>
  <c r="D234" i="5" s="1"/>
  <c r="D120" i="5" a="1"/>
  <c r="D120" i="5" s="1"/>
  <c r="D56" i="5" a="1"/>
  <c r="D56" i="5" s="1"/>
  <c r="D6" i="5" a="1"/>
  <c r="D6" i="5" s="1"/>
  <c r="D241" i="5" a="1"/>
  <c r="D241" i="5" s="1"/>
  <c r="D175" i="5" a="1"/>
  <c r="D175" i="5" s="1"/>
  <c r="D202" i="5" a="1"/>
  <c r="D202" i="5" s="1"/>
  <c r="D111" i="5" a="1"/>
  <c r="D111" i="5" s="1"/>
  <c r="D213" i="5" a="1"/>
  <c r="D213" i="5" s="1"/>
  <c r="D190" i="5" a="1"/>
  <c r="D190" i="5" s="1"/>
  <c r="D54" i="5" a="1"/>
  <c r="D54" i="5" s="1"/>
  <c r="D75" i="5" a="1"/>
  <c r="D75" i="5" s="1"/>
  <c r="D189" i="5" a="1"/>
  <c r="D189" i="5" s="1"/>
  <c r="D231" i="5" a="1"/>
  <c r="D231" i="5" s="1"/>
  <c r="D45" i="5" a="1"/>
  <c r="D45" i="5" s="1"/>
  <c r="D186" i="5" a="1"/>
  <c r="D186" i="5" s="1"/>
  <c r="D77" i="5" a="1"/>
  <c r="D77" i="5" s="1"/>
  <c r="D197" i="5" a="1"/>
  <c r="D197" i="5" s="1"/>
  <c r="D101" i="5" a="1"/>
  <c r="D101" i="5" s="1"/>
  <c r="D13" i="5" a="1"/>
  <c r="D13" i="5" s="1"/>
  <c r="D15" i="5" a="1"/>
  <c r="D15" i="5" s="1"/>
  <c r="D180" i="5" a="1"/>
  <c r="D180" i="5" s="1"/>
  <c r="D90" i="5" a="1"/>
  <c r="D90" i="5" s="1"/>
  <c r="D122" i="5" a="1"/>
  <c r="D122" i="5" s="1"/>
  <c r="D117" i="5" a="1"/>
  <c r="D117" i="5" s="1"/>
  <c r="D33" i="5" a="1"/>
  <c r="D33" i="5" s="1"/>
  <c r="D100" i="5" a="1"/>
  <c r="D100" i="5"/>
  <c r="D84" i="5" a="1"/>
  <c r="D84" i="5" s="1"/>
  <c r="D31" i="5" a="1"/>
  <c r="D31" i="5" s="1"/>
  <c r="D210" i="5" a="1"/>
  <c r="D210" i="5" s="1"/>
  <c r="D37" i="5" a="1"/>
  <c r="D37" i="5" s="1"/>
  <c r="D44" i="5" a="1"/>
  <c r="D44" i="5" s="1"/>
  <c r="D164" i="5" a="1"/>
  <c r="D164" i="5" s="1"/>
  <c r="D47" i="5" a="1"/>
  <c r="D47" i="5" s="1"/>
  <c r="D70" i="5" a="1"/>
  <c r="D70" i="5" s="1"/>
  <c r="D195" i="5" a="1"/>
  <c r="D195" i="5" s="1"/>
  <c r="D91" i="5" a="1"/>
  <c r="D91" i="5" s="1"/>
  <c r="D80" i="5" a="1"/>
  <c r="D80" i="5" s="1"/>
  <c r="D107" i="5" a="1"/>
  <c r="D107" i="5" s="1"/>
  <c r="D203" i="5" a="1"/>
  <c r="D203" i="5" s="1"/>
  <c r="D129" i="5" a="1"/>
  <c r="D129" i="5" s="1"/>
  <c r="D141" i="5" a="1"/>
  <c r="D141" i="5" s="1"/>
  <c r="D168" i="5" a="1"/>
  <c r="D168" i="5" s="1"/>
  <c r="D53" i="5" a="1"/>
  <c r="D53" i="5" s="1"/>
  <c r="D225" i="5" a="1"/>
  <c r="D225" i="5" s="1"/>
  <c r="D109" i="5" a="1"/>
  <c r="D109" i="5" s="1"/>
  <c r="D4" i="5" a="1"/>
  <c r="D4" i="5"/>
  <c r="D34" i="5" a="1"/>
  <c r="D34" i="5" s="1"/>
  <c r="D95" i="5" a="1"/>
  <c r="D95" i="5" s="1"/>
  <c r="D162" i="5" a="1"/>
  <c r="D162" i="5" s="1"/>
  <c r="D51" i="5" a="1"/>
  <c r="D51" i="5" s="1"/>
  <c r="D240" i="5" a="1"/>
  <c r="D240" i="5" s="1"/>
  <c r="D14" i="5" a="1"/>
  <c r="D14" i="5" s="1"/>
  <c r="D66" i="5" a="1"/>
  <c r="D66" i="5" s="1"/>
  <c r="D147" i="5" a="1"/>
  <c r="D147" i="5" s="1"/>
  <c r="D219" i="5" a="1"/>
  <c r="D219" i="5" s="1"/>
  <c r="D149" i="5" a="1"/>
  <c r="D149" i="5" s="1"/>
  <c r="D131" i="5" a="1"/>
  <c r="D131" i="5" s="1"/>
  <c r="D83" i="5" a="1"/>
  <c r="D83" i="5" s="1"/>
  <c r="D26" i="5" a="1"/>
  <c r="D26" i="5" s="1"/>
  <c r="D243" i="5" a="1"/>
  <c r="D243" i="5" s="1"/>
  <c r="D216" i="5" a="1"/>
  <c r="D216" i="5" s="1"/>
  <c r="D157" i="5" a="1"/>
  <c r="D157" i="5" s="1"/>
  <c r="D174" i="5" a="1"/>
  <c r="D174" i="5" s="1"/>
  <c r="D200" i="5" a="1"/>
  <c r="D200" i="5" s="1"/>
  <c r="D246" i="5" a="1"/>
  <c r="D246" i="5" s="1"/>
  <c r="D112" i="5" a="1"/>
  <c r="D112" i="5"/>
  <c r="D127" i="5" a="1"/>
  <c r="D127" i="5" s="1"/>
  <c r="D52" i="5" a="1"/>
  <c r="D52" i="5" s="1"/>
  <c r="D36" i="5" a="1"/>
  <c r="D36" i="5" s="1"/>
  <c r="D103" i="5" a="1"/>
  <c r="D103" i="5"/>
  <c r="D61" i="5" a="1"/>
  <c r="D61" i="5" s="1"/>
  <c r="D72" i="5" a="1"/>
  <c r="D72" i="5" s="1"/>
  <c r="D50" i="5" a="1"/>
  <c r="D50" i="5" s="1"/>
  <c r="D222" i="5" a="1"/>
  <c r="D222" i="5" s="1"/>
  <c r="D8" i="5" a="1"/>
  <c r="D8" i="5" s="1"/>
  <c r="D153" i="5" a="1"/>
  <c r="D153" i="5" s="1"/>
  <c r="D228" i="5" a="1"/>
  <c r="D228" i="5" s="1"/>
  <c r="D133" i="5" a="1"/>
  <c r="D133" i="5" s="1"/>
  <c r="D172" i="5" a="1"/>
  <c r="D172" i="5" s="1"/>
  <c r="B160" i="5"/>
  <c r="C160" i="5"/>
  <c r="B20" i="5"/>
  <c r="C20" i="5"/>
  <c r="B48" i="5"/>
  <c r="C48" i="5"/>
  <c r="B148" i="5"/>
  <c r="C148" i="5"/>
  <c r="B181" i="5"/>
  <c r="C181" i="5"/>
  <c r="B145" i="5"/>
  <c r="C145" i="5"/>
  <c r="B58" i="5"/>
  <c r="C58" i="5"/>
  <c r="B27" i="5"/>
  <c r="C27" i="5"/>
  <c r="B73" i="5"/>
  <c r="C73" i="5"/>
  <c r="B68" i="5"/>
  <c r="C68" i="5"/>
  <c r="B136" i="5"/>
  <c r="C136" i="5"/>
  <c r="B187" i="5"/>
  <c r="C187" i="5"/>
  <c r="B156" i="5"/>
  <c r="C156" i="5"/>
  <c r="B227" i="5"/>
  <c r="C227" i="5"/>
  <c r="B242" i="5"/>
  <c r="C242" i="5"/>
  <c r="B115" i="5"/>
  <c r="C115" i="5"/>
  <c r="B214" i="5"/>
  <c r="C214" i="5"/>
  <c r="B150" i="5"/>
  <c r="C150" i="5"/>
  <c r="B102" i="5"/>
  <c r="C102" i="5"/>
  <c r="B108" i="5"/>
  <c r="C108" i="5"/>
  <c r="B87" i="5"/>
  <c r="C87" i="5"/>
  <c r="B64" i="5"/>
  <c r="C64" i="5"/>
  <c r="B16" i="5"/>
  <c r="C16" i="5"/>
  <c r="B220" i="5"/>
  <c r="C220" i="5"/>
  <c r="B236" i="5"/>
  <c r="C236" i="5"/>
  <c r="B110" i="5"/>
  <c r="C110" i="5"/>
  <c r="B192" i="5"/>
  <c r="C192" i="5"/>
  <c r="B74" i="5"/>
  <c r="C74" i="5"/>
  <c r="B105" i="5"/>
  <c r="C105" i="5"/>
  <c r="B244" i="5"/>
  <c r="C244" i="5"/>
  <c r="B128" i="5"/>
  <c r="C128" i="5"/>
  <c r="B221" i="5"/>
  <c r="C221" i="5"/>
  <c r="B167" i="5"/>
  <c r="C167" i="5"/>
  <c r="B62" i="5"/>
  <c r="C62" i="5"/>
  <c r="B230" i="5"/>
  <c r="C230" i="5"/>
  <c r="B229" i="5"/>
  <c r="C229" i="5"/>
  <c r="B71" i="5"/>
  <c r="C71" i="5"/>
  <c r="B57" i="5"/>
  <c r="C57" i="5"/>
  <c r="B46" i="5"/>
  <c r="C46" i="5"/>
  <c r="B10" i="5"/>
  <c r="C10" i="5"/>
  <c r="B118" i="5"/>
  <c r="C118" i="5"/>
  <c r="B237" i="5"/>
  <c r="C237" i="5"/>
  <c r="B12" i="5"/>
  <c r="C12" i="5"/>
  <c r="B184" i="5"/>
  <c r="C184" i="5"/>
  <c r="B138" i="5"/>
  <c r="C138" i="5"/>
  <c r="B196" i="5"/>
  <c r="C196" i="5"/>
  <c r="B209" i="5"/>
  <c r="C209" i="5"/>
  <c r="B201" i="5"/>
  <c r="C201" i="5"/>
  <c r="B88" i="5"/>
  <c r="C88" i="5"/>
  <c r="B22" i="5"/>
  <c r="C22" i="5"/>
  <c r="B218" i="5"/>
  <c r="C218" i="5"/>
  <c r="B232" i="5"/>
  <c r="C232" i="5"/>
  <c r="B28" i="5"/>
  <c r="C28" i="5"/>
  <c r="B113" i="5"/>
  <c r="C113" i="5"/>
  <c r="B94" i="5"/>
  <c r="C94" i="5"/>
  <c r="B206" i="5"/>
  <c r="C206" i="5"/>
  <c r="B205" i="5"/>
  <c r="C205" i="5"/>
  <c r="B224" i="5"/>
  <c r="C224" i="5"/>
  <c r="B143" i="5"/>
  <c r="C143" i="5"/>
  <c r="B7" i="5"/>
  <c r="C7" i="5"/>
  <c r="B208" i="5"/>
  <c r="C208" i="5"/>
  <c r="B123" i="5"/>
  <c r="C123" i="5"/>
  <c r="B29" i="5"/>
  <c r="C29" i="5"/>
  <c r="B106" i="5"/>
  <c r="C106" i="5"/>
  <c r="B176" i="5"/>
  <c r="C176" i="5"/>
  <c r="B211" i="5"/>
  <c r="C211" i="5"/>
  <c r="B182" i="5"/>
  <c r="C182" i="5"/>
  <c r="B98" i="5"/>
  <c r="C98" i="5"/>
  <c r="B215" i="5"/>
  <c r="C215" i="5"/>
  <c r="B166" i="5"/>
  <c r="C166" i="5"/>
  <c r="B79" i="5"/>
  <c r="C79" i="5"/>
  <c r="B132" i="5"/>
  <c r="C132" i="5"/>
  <c r="B41" i="5"/>
  <c r="C41" i="5"/>
  <c r="B35" i="5"/>
  <c r="C35" i="5"/>
  <c r="B30" i="5"/>
  <c r="C30" i="5"/>
  <c r="B191" i="5"/>
  <c r="C191" i="5"/>
  <c r="B32" i="5"/>
  <c r="C32" i="5"/>
  <c r="B155" i="5"/>
  <c r="C155" i="5"/>
  <c r="B125" i="5"/>
  <c r="C125" i="5"/>
  <c r="B171" i="5"/>
  <c r="C171" i="5"/>
  <c r="B9" i="5"/>
  <c r="C9" i="5"/>
  <c r="B178" i="5"/>
  <c r="C178" i="5"/>
  <c r="B78" i="5"/>
  <c r="C78" i="5"/>
  <c r="B163" i="5"/>
  <c r="C163" i="5"/>
  <c r="B11" i="5"/>
  <c r="C11" i="5"/>
  <c r="B82" i="5"/>
  <c r="C82" i="5"/>
  <c r="B96" i="5"/>
  <c r="C96" i="5"/>
  <c r="B114" i="5"/>
  <c r="C114" i="5"/>
  <c r="B239" i="5"/>
  <c r="C239" i="5"/>
  <c r="B104" i="5"/>
  <c r="C104" i="5"/>
  <c r="B86" i="5"/>
  <c r="C86" i="5"/>
  <c r="B40" i="5"/>
  <c r="C40" i="5"/>
  <c r="B5" i="5"/>
  <c r="C5" i="5"/>
  <c r="B152" i="5"/>
  <c r="C152" i="5"/>
  <c r="B185" i="5"/>
  <c r="C185" i="5"/>
  <c r="B199" i="5"/>
  <c r="C199" i="5"/>
  <c r="B116" i="5"/>
  <c r="C116" i="5"/>
  <c r="B42" i="5"/>
  <c r="C42" i="5"/>
  <c r="B89" i="5"/>
  <c r="C89" i="5"/>
  <c r="B159" i="5"/>
  <c r="C159" i="5"/>
  <c r="B21" i="5"/>
  <c r="C21" i="5"/>
  <c r="B85" i="5"/>
  <c r="C85" i="5"/>
  <c r="B23" i="5"/>
  <c r="C23" i="5"/>
  <c r="B173" i="5"/>
  <c r="C173" i="5"/>
  <c r="B198" i="5"/>
  <c r="C198" i="5"/>
  <c r="B238" i="5"/>
  <c r="C238" i="5"/>
  <c r="B135" i="5"/>
  <c r="C135" i="5"/>
  <c r="B55" i="5"/>
  <c r="C55" i="5"/>
  <c r="B43" i="5"/>
  <c r="C43" i="5"/>
  <c r="B97" i="5"/>
  <c r="C97" i="5"/>
  <c r="B130" i="5"/>
  <c r="C130" i="5"/>
  <c r="B24" i="5"/>
  <c r="C24" i="5"/>
  <c r="B144" i="5"/>
  <c r="C144" i="5"/>
  <c r="B60" i="5"/>
  <c r="C60" i="5"/>
  <c r="B25" i="5"/>
  <c r="C25" i="5"/>
  <c r="B226" i="5"/>
  <c r="C226" i="5"/>
  <c r="B39" i="5"/>
  <c r="C39" i="5"/>
  <c r="B207" i="5"/>
  <c r="C207" i="5"/>
  <c r="B92" i="5"/>
  <c r="C92" i="5"/>
  <c r="B217" i="5"/>
  <c r="C217" i="5"/>
  <c r="B19" i="5"/>
  <c r="C19" i="5"/>
  <c r="B65" i="5"/>
  <c r="C65" i="5"/>
  <c r="B63" i="5"/>
  <c r="C63" i="5"/>
  <c r="B93" i="5"/>
  <c r="C93" i="5"/>
  <c r="B142" i="5"/>
  <c r="C142" i="5"/>
  <c r="B193" i="5"/>
  <c r="C193" i="5"/>
  <c r="B194" i="5"/>
  <c r="C194" i="5"/>
  <c r="B59" i="5"/>
  <c r="C59" i="5"/>
  <c r="B67" i="5"/>
  <c r="C67" i="5"/>
  <c r="B204" i="5"/>
  <c r="C204" i="5"/>
  <c r="B146" i="5"/>
  <c r="C146" i="5"/>
  <c r="B151" i="5"/>
  <c r="C151" i="5"/>
  <c r="B169" i="5"/>
  <c r="C169" i="5"/>
  <c r="B137" i="5"/>
  <c r="C137" i="5"/>
  <c r="B121" i="5"/>
  <c r="C121" i="5"/>
  <c r="B18" i="5"/>
  <c r="C18" i="5"/>
  <c r="B223" i="5"/>
  <c r="C223" i="5"/>
  <c r="B179" i="5"/>
  <c r="C179" i="5"/>
  <c r="B245" i="5"/>
  <c r="C245" i="5"/>
  <c r="B3" i="5"/>
  <c r="C3" i="5"/>
  <c r="B233" i="5"/>
  <c r="C233" i="5"/>
  <c r="B134" i="5"/>
  <c r="C134" i="5"/>
  <c r="B235" i="5"/>
  <c r="C235" i="5"/>
  <c r="B119" i="5"/>
  <c r="C119" i="5"/>
  <c r="B183" i="5"/>
  <c r="C183" i="5"/>
  <c r="B158" i="5"/>
  <c r="C158" i="5"/>
  <c r="B81" i="5"/>
  <c r="C81" i="5"/>
  <c r="B247" i="5"/>
  <c r="C247" i="5"/>
  <c r="B76" i="5"/>
  <c r="C76" i="5"/>
  <c r="B69" i="5"/>
  <c r="C69" i="5"/>
  <c r="B99" i="5"/>
  <c r="C99" i="5"/>
  <c r="B212" i="5"/>
  <c r="C212" i="5"/>
  <c r="B126" i="5"/>
  <c r="C126" i="5"/>
  <c r="B188" i="5"/>
  <c r="C188" i="5"/>
  <c r="B154" i="5"/>
  <c r="C154" i="5"/>
  <c r="B124" i="5"/>
  <c r="C124" i="5"/>
  <c r="B170" i="5"/>
  <c r="C170" i="5"/>
  <c r="B49" i="5"/>
  <c r="C49" i="5"/>
  <c r="B38" i="5"/>
  <c r="C38" i="5"/>
  <c r="B139" i="5"/>
  <c r="C139" i="5"/>
  <c r="B140" i="5"/>
  <c r="C140" i="5"/>
  <c r="B165" i="5"/>
  <c r="C165" i="5"/>
  <c r="B177" i="5"/>
  <c r="C177" i="5"/>
  <c r="B17" i="5"/>
  <c r="C17" i="5"/>
  <c r="B161" i="5"/>
  <c r="C161" i="5"/>
  <c r="B234" i="5"/>
  <c r="C234" i="5"/>
  <c r="B120" i="5"/>
  <c r="C120" i="5"/>
  <c r="B56" i="5"/>
  <c r="C56" i="5"/>
  <c r="B6" i="5"/>
  <c r="C6" i="5"/>
  <c r="B241" i="5"/>
  <c r="C241" i="5"/>
  <c r="B175" i="5"/>
  <c r="C175" i="5"/>
  <c r="B202" i="5"/>
  <c r="C202" i="5"/>
  <c r="B111" i="5"/>
  <c r="C111" i="5"/>
  <c r="B213" i="5"/>
  <c r="C213" i="5"/>
  <c r="B190" i="5"/>
  <c r="C190" i="5"/>
  <c r="B54" i="5"/>
  <c r="C54" i="5"/>
  <c r="B75" i="5"/>
  <c r="C75" i="5"/>
  <c r="B189" i="5"/>
  <c r="C189" i="5"/>
  <c r="B231" i="5"/>
  <c r="C231" i="5"/>
  <c r="B45" i="5"/>
  <c r="C45" i="5"/>
  <c r="B186" i="5"/>
  <c r="C186" i="5"/>
  <c r="B77" i="5"/>
  <c r="C77" i="5"/>
  <c r="B197" i="5"/>
  <c r="C197" i="5"/>
  <c r="B101" i="5"/>
  <c r="C101" i="5"/>
  <c r="B13" i="5"/>
  <c r="C13" i="5"/>
  <c r="B15" i="5"/>
  <c r="C15" i="5"/>
  <c r="B180" i="5"/>
  <c r="C180" i="5"/>
  <c r="B90" i="5"/>
  <c r="C90" i="5"/>
  <c r="B122" i="5"/>
  <c r="C122" i="5"/>
  <c r="B117" i="5"/>
  <c r="C117" i="5"/>
  <c r="B33" i="5"/>
  <c r="C33" i="5"/>
  <c r="B100" i="5"/>
  <c r="C100" i="5"/>
  <c r="B84" i="5"/>
  <c r="C84" i="5"/>
  <c r="B31" i="5"/>
  <c r="C31" i="5"/>
  <c r="B210" i="5"/>
  <c r="C210" i="5"/>
  <c r="B37" i="5"/>
  <c r="C37" i="5"/>
  <c r="B44" i="5"/>
  <c r="C44" i="5"/>
  <c r="B164" i="5"/>
  <c r="C164" i="5"/>
  <c r="B47" i="5"/>
  <c r="C47" i="5"/>
  <c r="B70" i="5"/>
  <c r="C70" i="5"/>
  <c r="B195" i="5"/>
  <c r="C195" i="5"/>
  <c r="B91" i="5"/>
  <c r="C91" i="5"/>
  <c r="B80" i="5"/>
  <c r="C80" i="5"/>
  <c r="B107" i="5"/>
  <c r="C107" i="5"/>
  <c r="B203" i="5"/>
  <c r="C203" i="5"/>
  <c r="B129" i="5"/>
  <c r="C129" i="5"/>
  <c r="B141" i="5"/>
  <c r="C141" i="5"/>
  <c r="B168" i="5"/>
  <c r="C168" i="5"/>
  <c r="B53" i="5"/>
  <c r="C53" i="5"/>
  <c r="B225" i="5"/>
  <c r="C225" i="5"/>
  <c r="B109" i="5"/>
  <c r="C109" i="5"/>
  <c r="B4" i="5"/>
  <c r="C4" i="5"/>
  <c r="B34" i="5"/>
  <c r="C34" i="5"/>
  <c r="B95" i="5"/>
  <c r="C95" i="5"/>
  <c r="B162" i="5"/>
  <c r="C162" i="5"/>
  <c r="B51" i="5"/>
  <c r="C51" i="5"/>
  <c r="B240" i="5"/>
  <c r="C240" i="5"/>
  <c r="B14" i="5"/>
  <c r="C14" i="5"/>
  <c r="B66" i="5"/>
  <c r="C66" i="5"/>
  <c r="B147" i="5"/>
  <c r="C147" i="5"/>
  <c r="B219" i="5"/>
  <c r="C219" i="5"/>
  <c r="B149" i="5"/>
  <c r="C149" i="5"/>
  <c r="B131" i="5"/>
  <c r="C131" i="5"/>
  <c r="B83" i="5"/>
  <c r="C83" i="5"/>
  <c r="B26" i="5"/>
  <c r="C26" i="5"/>
  <c r="B243" i="5"/>
  <c r="C243" i="5"/>
  <c r="B216" i="5"/>
  <c r="C216" i="5"/>
  <c r="B157" i="5"/>
  <c r="C157" i="5"/>
  <c r="B174" i="5"/>
  <c r="C174" i="5"/>
  <c r="B200" i="5"/>
  <c r="C200" i="5"/>
  <c r="B246" i="5"/>
  <c r="C246" i="5"/>
  <c r="B112" i="5"/>
  <c r="C112" i="5"/>
  <c r="B127" i="5"/>
  <c r="C127" i="5"/>
  <c r="B52" i="5"/>
  <c r="C52" i="5"/>
  <c r="B36" i="5"/>
  <c r="C36" i="5"/>
  <c r="B103" i="5"/>
  <c r="C103" i="5"/>
  <c r="B61" i="5"/>
  <c r="C61" i="5"/>
  <c r="B72" i="5"/>
  <c r="C72" i="5"/>
  <c r="B50" i="5"/>
  <c r="C50" i="5"/>
  <c r="B222" i="5"/>
  <c r="C222" i="5"/>
  <c r="B8" i="5"/>
  <c r="C8" i="5"/>
  <c r="B153" i="5"/>
  <c r="C153" i="5"/>
  <c r="B228" i="5"/>
  <c r="C228" i="5"/>
  <c r="B133" i="5"/>
  <c r="C133" i="5"/>
  <c r="C172" i="5"/>
  <c r="B172" i="5"/>
  <c r="B3" i="3"/>
  <c r="A3" i="3"/>
  <c r="J247" i="2"/>
  <c r="I247" i="2"/>
  <c r="Q19" i="1"/>
  <c r="Q18" i="1"/>
  <c r="Q17" i="1"/>
  <c r="Q16" i="1"/>
  <c r="Q15" i="1"/>
  <c r="Q14" i="1"/>
  <c r="P19" i="1"/>
  <c r="P18" i="1"/>
  <c r="P17" i="1"/>
  <c r="P16" i="1"/>
  <c r="P15" i="1"/>
  <c r="P14" i="1"/>
  <c r="Q7" i="1"/>
  <c r="Q6" i="1"/>
  <c r="P7" i="1"/>
  <c r="P6" i="1"/>
  <c r="Q5" i="1"/>
  <c r="P5" i="1"/>
  <c r="H201" i="5" l="1" a="1"/>
  <c r="H201" i="5" s="1"/>
  <c r="F90" i="5" a="1"/>
  <c r="F90" i="5" s="1"/>
  <c r="F52" i="5" a="1"/>
  <c r="F52" i="5" s="1"/>
  <c r="F89" i="5" a="1"/>
  <c r="F89" i="5" s="1"/>
  <c r="F44" i="5" a="1"/>
  <c r="F44" i="5" s="1"/>
  <c r="F88" i="5" a="1"/>
  <c r="F88" i="5" s="1"/>
  <c r="F36" i="5" a="1"/>
  <c r="F36" i="5" s="1"/>
  <c r="F95" i="5" a="1"/>
  <c r="F95" i="5" s="1"/>
  <c r="F87" i="5" a="1"/>
  <c r="F87" i="5" s="1"/>
  <c r="F28" i="5" a="1"/>
  <c r="F28" i="5" s="1"/>
  <c r="F86" i="5" a="1"/>
  <c r="F86" i="5" s="1"/>
  <c r="F20" i="5" a="1"/>
  <c r="F20" i="5" s="1"/>
  <c r="F85" i="5" a="1"/>
  <c r="F85" i="5" s="1"/>
  <c r="F12" i="5" a="1"/>
  <c r="F12" i="5" s="1"/>
  <c r="F4" i="5" a="1"/>
  <c r="F4" i="5" s="1"/>
  <c r="F92" i="5" a="1"/>
  <c r="F92" i="5" s="1"/>
  <c r="F84" i="5" a="1"/>
  <c r="F84" i="5" s="1"/>
  <c r="F5" i="5" a="1"/>
  <c r="F5" i="5" s="1"/>
  <c r="F187" i="5" a="1"/>
  <c r="F187" i="5" s="1"/>
  <c r="F163" i="5" a="1"/>
  <c r="F163" i="5" s="1"/>
  <c r="F147" i="5" a="1"/>
  <c r="F147" i="5" s="1"/>
  <c r="F131" i="5" a="1"/>
  <c r="F131" i="5" s="1"/>
  <c r="F115" i="5" a="1"/>
  <c r="F115" i="5" s="1"/>
  <c r="F99" i="5" a="1"/>
  <c r="F99" i="5" s="1"/>
  <c r="F68" i="5" a="1"/>
  <c r="F68" i="5" s="1"/>
  <c r="I146" i="5" a="1"/>
  <c r="I146" i="5" s="1"/>
  <c r="G197" i="5" a="1"/>
  <c r="G197" i="5" s="1"/>
  <c r="G155" i="5" a="1"/>
  <c r="G155" i="5" s="1"/>
  <c r="G144" i="5" a="1"/>
  <c r="G144" i="5" s="1"/>
  <c r="G136" i="5" a="1"/>
  <c r="G136" i="5" s="1"/>
  <c r="G128" i="5" a="1"/>
  <c r="G128" i="5" s="1"/>
  <c r="G120" i="5" a="1"/>
  <c r="G120" i="5" s="1"/>
  <c r="G112" i="5" a="1"/>
  <c r="G112" i="5" s="1"/>
  <c r="G104" i="5" a="1"/>
  <c r="G104" i="5" s="1"/>
  <c r="G96" i="5" a="1"/>
  <c r="G96" i="5" s="1"/>
  <c r="G88" i="5" a="1"/>
  <c r="G88" i="5" s="1"/>
  <c r="F243" i="5" a="1"/>
  <c r="F243" i="5" s="1"/>
  <c r="F235" i="5" a="1"/>
  <c r="F235" i="5" s="1"/>
  <c r="F227" i="5" a="1"/>
  <c r="F227" i="5" s="1"/>
  <c r="F219" i="5" a="1"/>
  <c r="F219" i="5" s="1"/>
  <c r="F211" i="5" a="1"/>
  <c r="F211" i="5" s="1"/>
  <c r="F203" i="5" a="1"/>
  <c r="F203" i="5" s="1"/>
  <c r="F195" i="5" a="1"/>
  <c r="F195" i="5" s="1"/>
  <c r="F179" i="5" a="1"/>
  <c r="F179" i="5" s="1"/>
  <c r="F171" i="5" a="1"/>
  <c r="F171" i="5" s="1"/>
  <c r="F155" i="5" a="1"/>
  <c r="F155" i="5" s="1"/>
  <c r="F139" i="5" a="1"/>
  <c r="F139" i="5" s="1"/>
  <c r="F123" i="5" a="1"/>
  <c r="F123" i="5" s="1"/>
  <c r="F107" i="5" a="1"/>
  <c r="F107" i="5" s="1"/>
  <c r="F91" i="5" a="1"/>
  <c r="F91" i="5" s="1"/>
  <c r="G50" i="5" a="1"/>
  <c r="G50" i="5" s="1"/>
  <c r="G74" i="5" a="1"/>
  <c r="G74" i="5" s="1"/>
  <c r="G84" i="5" a="1"/>
  <c r="G84" i="5" s="1"/>
  <c r="G28" i="5" a="1"/>
  <c r="G28" i="5" s="1"/>
  <c r="G44" i="5" a="1"/>
  <c r="G44" i="5" s="1"/>
  <c r="G61" i="5" a="1"/>
  <c r="G61" i="5" s="1"/>
  <c r="F41" i="5" a="1"/>
  <c r="F41" i="5" s="1"/>
  <c r="F40" i="5" a="1"/>
  <c r="F40" i="5" s="1"/>
  <c r="F50" i="5" a="1"/>
  <c r="F50" i="5" s="1"/>
  <c r="F75" i="5" a="1"/>
  <c r="F75" i="5" s="1"/>
  <c r="F16" i="5" a="1"/>
  <c r="F16" i="5" s="1"/>
  <c r="F21" i="5" a="1"/>
  <c r="F21" i="5" s="1"/>
  <c r="F74" i="5" a="1"/>
  <c r="F74" i="5" s="1"/>
  <c r="F30" i="5" a="1"/>
  <c r="F30" i="5" s="1"/>
  <c r="F62" i="5" a="1"/>
  <c r="F62" i="5" s="1"/>
  <c r="F51" i="5" a="1"/>
  <c r="F51" i="5" s="1"/>
  <c r="F54" i="5" a="1"/>
  <c r="F54" i="5" s="1"/>
  <c r="F61" i="5" a="1"/>
  <c r="F61" i="5" s="1"/>
  <c r="F100" i="5" a="1"/>
  <c r="F100" i="5" s="1"/>
  <c r="F108" i="5" a="1"/>
  <c r="F108" i="5" s="1"/>
  <c r="F116" i="5" a="1"/>
  <c r="F116" i="5" s="1"/>
  <c r="F124" i="5" a="1"/>
  <c r="F124" i="5" s="1"/>
  <c r="F132" i="5" a="1"/>
  <c r="F132" i="5" s="1"/>
  <c r="F140" i="5" a="1"/>
  <c r="F140" i="5" s="1"/>
  <c r="F148" i="5" a="1"/>
  <c r="F148" i="5" s="1"/>
  <c r="F156" i="5" a="1"/>
  <c r="F156" i="5" s="1"/>
  <c r="F164" i="5" a="1"/>
  <c r="F164" i="5" s="1"/>
  <c r="F172" i="5" a="1"/>
  <c r="F172" i="5" s="1"/>
  <c r="F180" i="5" a="1"/>
  <c r="F180" i="5" s="1"/>
  <c r="F188" i="5" a="1"/>
  <c r="F188" i="5" s="1"/>
  <c r="F196" i="5" a="1"/>
  <c r="F196" i="5" s="1"/>
  <c r="F204" i="5" a="1"/>
  <c r="F204" i="5" s="1"/>
  <c r="F212" i="5" a="1"/>
  <c r="F212" i="5" s="1"/>
  <c r="F220" i="5" a="1"/>
  <c r="F220" i="5" s="1"/>
  <c r="F228" i="5" a="1"/>
  <c r="F228" i="5" s="1"/>
  <c r="F236" i="5" a="1"/>
  <c r="F236" i="5" s="1"/>
  <c r="F244" i="5" a="1"/>
  <c r="F244" i="5" s="1"/>
  <c r="G89" i="5" a="1"/>
  <c r="G89" i="5" s="1"/>
  <c r="G97" i="5" a="1"/>
  <c r="G97" i="5" s="1"/>
  <c r="G105" i="5" a="1"/>
  <c r="G105" i="5" s="1"/>
  <c r="G113" i="5" a="1"/>
  <c r="G113" i="5" s="1"/>
  <c r="G121" i="5" a="1"/>
  <c r="G121" i="5" s="1"/>
  <c r="G129" i="5" a="1"/>
  <c r="G129" i="5" s="1"/>
  <c r="G137" i="5" a="1"/>
  <c r="G137" i="5" s="1"/>
  <c r="G145" i="5" a="1"/>
  <c r="G145" i="5" s="1"/>
  <c r="G157" i="5" a="1"/>
  <c r="G157" i="5" s="1"/>
  <c r="G205" i="5" a="1"/>
  <c r="G205" i="5" s="1"/>
  <c r="I130" i="5" a="1"/>
  <c r="I130" i="5" s="1"/>
  <c r="G40" i="5" a="1"/>
  <c r="G40" i="5" s="1"/>
  <c r="G21" i="5" a="1"/>
  <c r="G21" i="5" s="1"/>
  <c r="G51" i="5" a="1"/>
  <c r="G51" i="5" s="1"/>
  <c r="G59" i="5" a="1"/>
  <c r="G59" i="5" s="1"/>
  <c r="G80" i="5" a="1"/>
  <c r="G80" i="5" s="1"/>
  <c r="G29" i="5" a="1"/>
  <c r="G29" i="5" s="1"/>
  <c r="G8" i="5" a="1"/>
  <c r="G8" i="5" s="1"/>
  <c r="G68" i="5" a="1"/>
  <c r="G68" i="5" s="1"/>
  <c r="I18" i="5" a="1"/>
  <c r="I18" i="5" s="1"/>
  <c r="G83" i="5" a="1"/>
  <c r="G83" i="5" s="1"/>
  <c r="G49" i="5" a="1"/>
  <c r="G49" i="5" s="1"/>
  <c r="G70" i="5" a="1"/>
  <c r="G70" i="5" s="1"/>
  <c r="G48" i="5" a="1"/>
  <c r="G48" i="5" s="1"/>
  <c r="G67" i="5" a="1"/>
  <c r="G67" i="5" s="1"/>
  <c r="G79" i="5" a="1"/>
  <c r="G79" i="5" s="1"/>
  <c r="G35" i="5" a="1"/>
  <c r="G35" i="5" s="1"/>
  <c r="G82" i="5" a="1"/>
  <c r="G82" i="5" s="1"/>
  <c r="G73" i="5" a="1"/>
  <c r="G73" i="5" s="1"/>
  <c r="G12" i="5" a="1"/>
  <c r="G12" i="5" s="1"/>
  <c r="G13" i="5" a="1"/>
  <c r="G13" i="5" s="1"/>
  <c r="G69" i="5" a="1"/>
  <c r="G69" i="5" s="1"/>
  <c r="G56" i="5" a="1"/>
  <c r="G56" i="5" s="1"/>
  <c r="G38" i="5" a="1"/>
  <c r="G38" i="5" s="1"/>
  <c r="G31" i="5" a="1"/>
  <c r="G31" i="5" s="1"/>
  <c r="F93" i="5" a="1"/>
  <c r="F93" i="5" s="1"/>
  <c r="F101" i="5" a="1"/>
  <c r="F101" i="5" s="1"/>
  <c r="F109" i="5" a="1"/>
  <c r="F109" i="5" s="1"/>
  <c r="F117" i="5" a="1"/>
  <c r="F117" i="5" s="1"/>
  <c r="F125" i="5" a="1"/>
  <c r="F125" i="5" s="1"/>
  <c r="F133" i="5" a="1"/>
  <c r="F133" i="5" s="1"/>
  <c r="F141" i="5" a="1"/>
  <c r="F141" i="5" s="1"/>
  <c r="F149" i="5" a="1"/>
  <c r="F149" i="5" s="1"/>
  <c r="F157" i="5" a="1"/>
  <c r="F157" i="5" s="1"/>
  <c r="F165" i="5" a="1"/>
  <c r="F165" i="5" s="1"/>
  <c r="F173" i="5" a="1"/>
  <c r="F173" i="5" s="1"/>
  <c r="F181" i="5" a="1"/>
  <c r="F181" i="5" s="1"/>
  <c r="F189" i="5" a="1"/>
  <c r="F189" i="5" s="1"/>
  <c r="F197" i="5" a="1"/>
  <c r="F197" i="5" s="1"/>
  <c r="F205" i="5" a="1"/>
  <c r="F205" i="5" s="1"/>
  <c r="F213" i="5" a="1"/>
  <c r="F213" i="5" s="1"/>
  <c r="F221" i="5" a="1"/>
  <c r="F221" i="5" s="1"/>
  <c r="F229" i="5" a="1"/>
  <c r="F229" i="5" s="1"/>
  <c r="F237" i="5" a="1"/>
  <c r="F237" i="5" s="1"/>
  <c r="F245" i="5" a="1"/>
  <c r="F245" i="5" s="1"/>
  <c r="G90" i="5" a="1"/>
  <c r="G90" i="5" s="1"/>
  <c r="G98" i="5" a="1"/>
  <c r="G98" i="5" s="1"/>
  <c r="G106" i="5" a="1"/>
  <c r="G106" i="5" s="1"/>
  <c r="G114" i="5" a="1"/>
  <c r="G114" i="5" s="1"/>
  <c r="G122" i="5" a="1"/>
  <c r="G122" i="5" s="1"/>
  <c r="G130" i="5" a="1"/>
  <c r="G130" i="5" s="1"/>
  <c r="G138" i="5" a="1"/>
  <c r="G138" i="5" s="1"/>
  <c r="G147" i="5" a="1"/>
  <c r="G147" i="5" s="1"/>
  <c r="G159" i="5" a="1"/>
  <c r="G159" i="5" s="1"/>
  <c r="G220" i="5" a="1"/>
  <c r="G220" i="5" s="1"/>
  <c r="G41" i="5" a="1"/>
  <c r="G41" i="5" s="1"/>
  <c r="G36" i="5" a="1"/>
  <c r="G36" i="5" s="1"/>
  <c r="G62" i="5" a="1"/>
  <c r="G62" i="5" s="1"/>
  <c r="G54" i="5" a="1"/>
  <c r="G54" i="5" s="1"/>
  <c r="F59" i="5" a="1"/>
  <c r="F59" i="5" s="1"/>
  <c r="F80" i="5" a="1"/>
  <c r="F80" i="5" s="1"/>
  <c r="F29" i="5" a="1"/>
  <c r="F29" i="5" s="1"/>
  <c r="F8" i="5" a="1"/>
  <c r="F8" i="5" s="1"/>
  <c r="H77" i="5" a="1"/>
  <c r="H77" i="5" s="1"/>
  <c r="F83" i="5" a="1"/>
  <c r="F83" i="5" s="1"/>
  <c r="F49" i="5" a="1"/>
  <c r="F49" i="5" s="1"/>
  <c r="F70" i="5" a="1"/>
  <c r="F70" i="5" s="1"/>
  <c r="H53" i="5" a="1"/>
  <c r="H53" i="5" s="1"/>
  <c r="H32" i="5" a="1"/>
  <c r="H32" i="5" s="1"/>
  <c r="F48" i="5" a="1"/>
  <c r="F48" i="5" s="1"/>
  <c r="F67" i="5" a="1"/>
  <c r="F67" i="5" s="1"/>
  <c r="F79" i="5" a="1"/>
  <c r="F79" i="5" s="1"/>
  <c r="F35" i="5" a="1"/>
  <c r="F35" i="5" s="1"/>
  <c r="F82" i="5" a="1"/>
  <c r="F82" i="5" s="1"/>
  <c r="F73" i="5" a="1"/>
  <c r="F73" i="5" s="1"/>
  <c r="F13" i="5" a="1"/>
  <c r="F13" i="5" s="1"/>
  <c r="F69" i="5" a="1"/>
  <c r="F69" i="5" s="1"/>
  <c r="F56" i="5" a="1"/>
  <c r="F56" i="5" s="1"/>
  <c r="F38" i="5" a="1"/>
  <c r="F38" i="5" s="1"/>
  <c r="F31" i="5" a="1"/>
  <c r="F31" i="5" s="1"/>
  <c r="F94" i="5" a="1"/>
  <c r="F94" i="5" s="1"/>
  <c r="F102" i="5" a="1"/>
  <c r="F102" i="5" s="1"/>
  <c r="F110" i="5" a="1"/>
  <c r="F110" i="5" s="1"/>
  <c r="F118" i="5" a="1"/>
  <c r="F118" i="5" s="1"/>
  <c r="F126" i="5" a="1"/>
  <c r="F126" i="5" s="1"/>
  <c r="F134" i="5" a="1"/>
  <c r="F134" i="5" s="1"/>
  <c r="F142" i="5" a="1"/>
  <c r="F142" i="5" s="1"/>
  <c r="F150" i="5" a="1"/>
  <c r="F150" i="5" s="1"/>
  <c r="F158" i="5" a="1"/>
  <c r="F158" i="5" s="1"/>
  <c r="F166" i="5" a="1"/>
  <c r="F166" i="5" s="1"/>
  <c r="F174" i="5" a="1"/>
  <c r="F174" i="5" s="1"/>
  <c r="F182" i="5" a="1"/>
  <c r="F182" i="5" s="1"/>
  <c r="F190" i="5" a="1"/>
  <c r="F190" i="5" s="1"/>
  <c r="F198" i="5" a="1"/>
  <c r="F198" i="5" s="1"/>
  <c r="F206" i="5" a="1"/>
  <c r="F206" i="5" s="1"/>
  <c r="F214" i="5" a="1"/>
  <c r="F214" i="5" s="1"/>
  <c r="F222" i="5" a="1"/>
  <c r="F222" i="5" s="1"/>
  <c r="F230" i="5" a="1"/>
  <c r="F230" i="5" s="1"/>
  <c r="F238" i="5" a="1"/>
  <c r="F238" i="5" s="1"/>
  <c r="F246" i="5" a="1"/>
  <c r="F246" i="5" s="1"/>
  <c r="G91" i="5" a="1"/>
  <c r="G91" i="5" s="1"/>
  <c r="G99" i="5" a="1"/>
  <c r="G99" i="5" s="1"/>
  <c r="G107" i="5" a="1"/>
  <c r="G107" i="5" s="1"/>
  <c r="G115" i="5" a="1"/>
  <c r="G115" i="5" s="1"/>
  <c r="G123" i="5" a="1"/>
  <c r="G123" i="5" s="1"/>
  <c r="G131" i="5" a="1"/>
  <c r="G131" i="5" s="1"/>
  <c r="G139" i="5" a="1"/>
  <c r="G139" i="5" s="1"/>
  <c r="G148" i="5" a="1"/>
  <c r="G148" i="5" s="1"/>
  <c r="G165" i="5" a="1"/>
  <c r="G165" i="5" s="1"/>
  <c r="G228" i="5" a="1"/>
  <c r="G228" i="5" s="1"/>
  <c r="G75" i="5" a="1"/>
  <c r="G75" i="5" s="1"/>
  <c r="G30" i="5" a="1"/>
  <c r="G30" i="5" s="1"/>
  <c r="G33" i="5" a="1"/>
  <c r="G33" i="5" s="1"/>
  <c r="G3" i="5" a="1"/>
  <c r="G3" i="5" s="1"/>
  <c r="G66" i="5" a="1"/>
  <c r="G66" i="5" s="1"/>
  <c r="G78" i="5" a="1"/>
  <c r="G78" i="5" s="1"/>
  <c r="G10" i="5" a="1"/>
  <c r="G10" i="5" s="1"/>
  <c r="G71" i="5" a="1"/>
  <c r="G71" i="5" s="1"/>
  <c r="G9" i="5" a="1"/>
  <c r="G9" i="5" s="1"/>
  <c r="G72" i="5" a="1"/>
  <c r="G72" i="5" s="1"/>
  <c r="G55" i="5" a="1"/>
  <c r="G55" i="5" s="1"/>
  <c r="G26" i="5" a="1"/>
  <c r="G26" i="5" s="1"/>
  <c r="G7" i="5" a="1"/>
  <c r="G7" i="5" s="1"/>
  <c r="G53" i="5" a="1"/>
  <c r="G53" i="5" s="1"/>
  <c r="G63" i="5" a="1"/>
  <c r="G63" i="5" s="1"/>
  <c r="G11" i="5" a="1"/>
  <c r="G11" i="5" s="1"/>
  <c r="G22" i="5" a="1"/>
  <c r="G22" i="5" s="1"/>
  <c r="G23" i="5" a="1"/>
  <c r="G23" i="5" s="1"/>
  <c r="G57" i="5" a="1"/>
  <c r="G57" i="5" s="1"/>
  <c r="I82" i="5" a="1"/>
  <c r="I82" i="5" s="1"/>
  <c r="G39" i="5" a="1"/>
  <c r="G39" i="5" s="1"/>
  <c r="G6" i="5" a="1"/>
  <c r="G6" i="5" s="1"/>
  <c r="G14" i="5" a="1"/>
  <c r="G14" i="5" s="1"/>
  <c r="G77" i="5" a="1"/>
  <c r="G77" i="5" s="1"/>
  <c r="F103" i="5" a="1"/>
  <c r="F103" i="5" s="1"/>
  <c r="F111" i="5" a="1"/>
  <c r="F111" i="5" s="1"/>
  <c r="F119" i="5" a="1"/>
  <c r="F119" i="5" s="1"/>
  <c r="F127" i="5" a="1"/>
  <c r="F127" i="5" s="1"/>
  <c r="F135" i="5" a="1"/>
  <c r="F135" i="5" s="1"/>
  <c r="F143" i="5" a="1"/>
  <c r="F143" i="5" s="1"/>
  <c r="F151" i="5" a="1"/>
  <c r="F151" i="5" s="1"/>
  <c r="F159" i="5" a="1"/>
  <c r="F159" i="5" s="1"/>
  <c r="F167" i="5" a="1"/>
  <c r="F167" i="5" s="1"/>
  <c r="F175" i="5" a="1"/>
  <c r="F175" i="5" s="1"/>
  <c r="F183" i="5" a="1"/>
  <c r="F183" i="5" s="1"/>
  <c r="F191" i="5" a="1"/>
  <c r="F191" i="5" s="1"/>
  <c r="F199" i="5" a="1"/>
  <c r="F199" i="5" s="1"/>
  <c r="F207" i="5" a="1"/>
  <c r="F207" i="5" s="1"/>
  <c r="F215" i="5" a="1"/>
  <c r="F215" i="5" s="1"/>
  <c r="F223" i="5" a="1"/>
  <c r="F223" i="5" s="1"/>
  <c r="F231" i="5" a="1"/>
  <c r="F231" i="5" s="1"/>
  <c r="F239" i="5" a="1"/>
  <c r="F239" i="5" s="1"/>
  <c r="F247" i="5" a="1"/>
  <c r="F247" i="5" s="1"/>
  <c r="G92" i="5" a="1"/>
  <c r="G92" i="5" s="1"/>
  <c r="G100" i="5" a="1"/>
  <c r="G100" i="5" s="1"/>
  <c r="G108" i="5" a="1"/>
  <c r="G108" i="5" s="1"/>
  <c r="G116" i="5" a="1"/>
  <c r="G116" i="5" s="1"/>
  <c r="G124" i="5" a="1"/>
  <c r="G124" i="5" s="1"/>
  <c r="G132" i="5" a="1"/>
  <c r="G132" i="5" s="1"/>
  <c r="G140" i="5" a="1"/>
  <c r="G140" i="5" s="1"/>
  <c r="G149" i="5" a="1"/>
  <c r="G149" i="5" s="1"/>
  <c r="G167" i="5" a="1"/>
  <c r="G167" i="5" s="1"/>
  <c r="G236" i="5" a="1"/>
  <c r="G236" i="5" s="1"/>
  <c r="I66" i="5" a="1"/>
  <c r="I66" i="5" s="1"/>
  <c r="G4" i="5" a="1"/>
  <c r="G4" i="5" s="1"/>
  <c r="H43" i="5" a="1"/>
  <c r="H43" i="5" s="1"/>
  <c r="F33" i="5" a="1"/>
  <c r="F33" i="5" s="1"/>
  <c r="B248" i="5"/>
  <c r="F66" i="5" a="1"/>
  <c r="F66" i="5" s="1"/>
  <c r="F78" i="5" a="1"/>
  <c r="F78" i="5" s="1"/>
  <c r="F10" i="5" a="1"/>
  <c r="F10" i="5" s="1"/>
  <c r="F71" i="5" a="1"/>
  <c r="F71" i="5" s="1"/>
  <c r="F9" i="5" a="1"/>
  <c r="F9" i="5" s="1"/>
  <c r="F72" i="5" a="1"/>
  <c r="F72" i="5" s="1"/>
  <c r="F55" i="5" a="1"/>
  <c r="F55" i="5" s="1"/>
  <c r="F26" i="5" a="1"/>
  <c r="F26" i="5" s="1"/>
  <c r="F7" i="5" a="1"/>
  <c r="F7" i="5" s="1"/>
  <c r="F53" i="5" a="1"/>
  <c r="F53" i="5" s="1"/>
  <c r="H23" i="5" a="1"/>
  <c r="H23" i="5" s="1"/>
  <c r="F63" i="5" a="1"/>
  <c r="F63" i="5" s="1"/>
  <c r="F11" i="5" a="1"/>
  <c r="F11" i="5" s="1"/>
  <c r="H7" i="5" a="1"/>
  <c r="H7" i="5" s="1"/>
  <c r="F22" i="5" a="1"/>
  <c r="F22" i="5" s="1"/>
  <c r="F23" i="5" a="1"/>
  <c r="F23" i="5" s="1"/>
  <c r="F57" i="5" a="1"/>
  <c r="F57" i="5" s="1"/>
  <c r="F39" i="5" a="1"/>
  <c r="F39" i="5" s="1"/>
  <c r="F6" i="5" a="1"/>
  <c r="F6" i="5" s="1"/>
  <c r="F14" i="5" a="1"/>
  <c r="F14" i="5" s="1"/>
  <c r="F77" i="5" a="1"/>
  <c r="F77" i="5" s="1"/>
  <c r="F96" i="5" a="1"/>
  <c r="F96" i="5" s="1"/>
  <c r="F104" i="5" a="1"/>
  <c r="F104" i="5" s="1"/>
  <c r="F112" i="5" a="1"/>
  <c r="F112" i="5" s="1"/>
  <c r="F120" i="5" a="1"/>
  <c r="F120" i="5" s="1"/>
  <c r="F128" i="5" a="1"/>
  <c r="F128" i="5" s="1"/>
  <c r="F136" i="5" a="1"/>
  <c r="F136" i="5" s="1"/>
  <c r="F144" i="5" a="1"/>
  <c r="F144" i="5" s="1"/>
  <c r="F152" i="5" a="1"/>
  <c r="F152" i="5" s="1"/>
  <c r="F160" i="5" a="1"/>
  <c r="F160" i="5" s="1"/>
  <c r="F168" i="5" a="1"/>
  <c r="F168" i="5" s="1"/>
  <c r="F176" i="5" a="1"/>
  <c r="F176" i="5" s="1"/>
  <c r="F184" i="5" a="1"/>
  <c r="F184" i="5" s="1"/>
  <c r="F192" i="5" a="1"/>
  <c r="F192" i="5" s="1"/>
  <c r="F200" i="5" a="1"/>
  <c r="F200" i="5" s="1"/>
  <c r="F208" i="5" a="1"/>
  <c r="F208" i="5" s="1"/>
  <c r="F216" i="5" a="1"/>
  <c r="F216" i="5" s="1"/>
  <c r="F224" i="5" a="1"/>
  <c r="F224" i="5" s="1"/>
  <c r="F232" i="5" a="1"/>
  <c r="F232" i="5" s="1"/>
  <c r="F240" i="5" a="1"/>
  <c r="F240" i="5" s="1"/>
  <c r="G85" i="5" a="1"/>
  <c r="G85" i="5" s="1"/>
  <c r="G93" i="5" a="1"/>
  <c r="G93" i="5" s="1"/>
  <c r="G101" i="5" a="1"/>
  <c r="G101" i="5" s="1"/>
  <c r="G109" i="5" a="1"/>
  <c r="G109" i="5" s="1"/>
  <c r="G117" i="5" a="1"/>
  <c r="G117" i="5" s="1"/>
  <c r="G125" i="5" a="1"/>
  <c r="G125" i="5" s="1"/>
  <c r="G133" i="5" a="1"/>
  <c r="G133" i="5" s="1"/>
  <c r="G141" i="5" a="1"/>
  <c r="G141" i="5" s="1"/>
  <c r="G151" i="5" a="1"/>
  <c r="G151" i="5" s="1"/>
  <c r="G175" i="5" a="1"/>
  <c r="G175" i="5" s="1"/>
  <c r="G244" i="5" a="1"/>
  <c r="G244" i="5" s="1"/>
  <c r="G16" i="5" a="1"/>
  <c r="G16" i="5" s="1"/>
  <c r="G24" i="5" a="1"/>
  <c r="G24" i="5" s="1"/>
  <c r="G42" i="5" a="1"/>
  <c r="G42" i="5" s="1"/>
  <c r="G45" i="5" a="1"/>
  <c r="G45" i="5" s="1"/>
  <c r="G34" i="5" a="1"/>
  <c r="G34" i="5" s="1"/>
  <c r="G27" i="5" a="1"/>
  <c r="G27" i="5" s="1"/>
  <c r="G65" i="5" a="1"/>
  <c r="G65" i="5" s="1"/>
  <c r="G46" i="5" a="1"/>
  <c r="G46" i="5" s="1"/>
  <c r="G81" i="5" a="1"/>
  <c r="G81" i="5" s="1"/>
  <c r="G58" i="5" a="1"/>
  <c r="G58" i="5" s="1"/>
  <c r="G20" i="5" a="1"/>
  <c r="G20" i="5" s="1"/>
  <c r="G32" i="5" a="1"/>
  <c r="G32" i="5" s="1"/>
  <c r="G19" i="5" a="1"/>
  <c r="G19" i="5" s="1"/>
  <c r="G76" i="5" a="1"/>
  <c r="G76" i="5" s="1"/>
  <c r="G15" i="5" a="1"/>
  <c r="G15" i="5" s="1"/>
  <c r="G18" i="5" a="1"/>
  <c r="G18" i="5" s="1"/>
  <c r="G43" i="5" a="1"/>
  <c r="G43" i="5" s="1"/>
  <c r="G60" i="5" a="1"/>
  <c r="G60" i="5" s="1"/>
  <c r="G25" i="5" a="1"/>
  <c r="G25" i="5" s="1"/>
  <c r="G37" i="5" a="1"/>
  <c r="G37" i="5" s="1"/>
  <c r="G64" i="5" a="1"/>
  <c r="G64" i="5" s="1"/>
  <c r="G17" i="5" a="1"/>
  <c r="G17" i="5" s="1"/>
  <c r="G47" i="5" a="1"/>
  <c r="G47" i="5" s="1"/>
  <c r="F97" i="5" a="1"/>
  <c r="F97" i="5" s="1"/>
  <c r="F105" i="5" a="1"/>
  <c r="F105" i="5" s="1"/>
  <c r="F113" i="5" a="1"/>
  <c r="F113" i="5" s="1"/>
  <c r="F121" i="5" a="1"/>
  <c r="F121" i="5" s="1"/>
  <c r="F129" i="5" a="1"/>
  <c r="F129" i="5" s="1"/>
  <c r="F137" i="5" a="1"/>
  <c r="F137" i="5" s="1"/>
  <c r="F145" i="5" a="1"/>
  <c r="F145" i="5" s="1"/>
  <c r="F153" i="5" a="1"/>
  <c r="F153" i="5" s="1"/>
  <c r="F161" i="5" a="1"/>
  <c r="F161" i="5" s="1"/>
  <c r="F169" i="5" a="1"/>
  <c r="F169" i="5" s="1"/>
  <c r="F177" i="5" a="1"/>
  <c r="F177" i="5" s="1"/>
  <c r="F185" i="5" a="1"/>
  <c r="F185" i="5" s="1"/>
  <c r="F193" i="5" a="1"/>
  <c r="F193" i="5" s="1"/>
  <c r="F201" i="5" a="1"/>
  <c r="F201" i="5" s="1"/>
  <c r="F209" i="5" a="1"/>
  <c r="F209" i="5" s="1"/>
  <c r="F217" i="5" a="1"/>
  <c r="F217" i="5" s="1"/>
  <c r="F225" i="5" a="1"/>
  <c r="F225" i="5" s="1"/>
  <c r="F233" i="5" a="1"/>
  <c r="F233" i="5" s="1"/>
  <c r="F241" i="5" a="1"/>
  <c r="F241" i="5" s="1"/>
  <c r="G86" i="5" a="1"/>
  <c r="G86" i="5" s="1"/>
  <c r="G94" i="5" a="1"/>
  <c r="G94" i="5" s="1"/>
  <c r="G102" i="5" a="1"/>
  <c r="G102" i="5" s="1"/>
  <c r="G110" i="5" a="1"/>
  <c r="G110" i="5" s="1"/>
  <c r="G118" i="5" a="1"/>
  <c r="G118" i="5" s="1"/>
  <c r="G126" i="5" a="1"/>
  <c r="G126" i="5" s="1"/>
  <c r="G134" i="5" a="1"/>
  <c r="G134" i="5" s="1"/>
  <c r="G142" i="5" a="1"/>
  <c r="G142" i="5" s="1"/>
  <c r="G152" i="5" a="1"/>
  <c r="G152" i="5" s="1"/>
  <c r="G183" i="5" a="1"/>
  <c r="G183" i="5" s="1"/>
  <c r="H139" i="5" a="1"/>
  <c r="H139" i="5" s="1"/>
  <c r="G52" i="5" a="1"/>
  <c r="G52" i="5" s="1"/>
  <c r="C248" i="5"/>
  <c r="G5" i="5" a="1"/>
  <c r="G5" i="5" s="1"/>
  <c r="F24" i="5" a="1"/>
  <c r="F24" i="5" s="1"/>
  <c r="F42" i="5" a="1"/>
  <c r="F42" i="5" s="1"/>
  <c r="F45" i="5" a="1"/>
  <c r="F45" i="5" s="1"/>
  <c r="F34" i="5" a="1"/>
  <c r="F34" i="5" s="1"/>
  <c r="F27" i="5" a="1"/>
  <c r="F27" i="5" s="1"/>
  <c r="H15" i="5" a="1"/>
  <c r="H15" i="5" s="1"/>
  <c r="F65" i="5" a="1"/>
  <c r="F65" i="5" s="1"/>
  <c r="F46" i="5" a="1"/>
  <c r="F46" i="5" s="1"/>
  <c r="F81" i="5" a="1"/>
  <c r="F81" i="5" s="1"/>
  <c r="F58" i="5" a="1"/>
  <c r="F58" i="5" s="1"/>
  <c r="F32" i="5" a="1"/>
  <c r="F32" i="5" s="1"/>
  <c r="F19" i="5" a="1"/>
  <c r="F19" i="5" s="1"/>
  <c r="F76" i="5" a="1"/>
  <c r="F76" i="5" s="1"/>
  <c r="F15" i="5" a="1"/>
  <c r="F15" i="5" s="1"/>
  <c r="F18" i="5" a="1"/>
  <c r="F18" i="5" s="1"/>
  <c r="F43" i="5" a="1"/>
  <c r="F43" i="5" s="1"/>
  <c r="F60" i="5" a="1"/>
  <c r="F60" i="5" s="1"/>
  <c r="F25" i="5" a="1"/>
  <c r="F25" i="5" s="1"/>
  <c r="F37" i="5" a="1"/>
  <c r="F37" i="5" s="1"/>
  <c r="F64" i="5" a="1"/>
  <c r="F64" i="5" s="1"/>
  <c r="F17" i="5" a="1"/>
  <c r="F17" i="5" s="1"/>
  <c r="F47" i="5" a="1"/>
  <c r="F47" i="5" s="1"/>
  <c r="F98" i="5" a="1"/>
  <c r="F98" i="5" s="1"/>
  <c r="F106" i="5" a="1"/>
  <c r="F106" i="5" s="1"/>
  <c r="F114" i="5" a="1"/>
  <c r="F114" i="5" s="1"/>
  <c r="F122" i="5" a="1"/>
  <c r="F122" i="5" s="1"/>
  <c r="F130" i="5" a="1"/>
  <c r="F130" i="5" s="1"/>
  <c r="F138" i="5" a="1"/>
  <c r="F138" i="5" s="1"/>
  <c r="F146" i="5" a="1"/>
  <c r="F146" i="5" s="1"/>
  <c r="F154" i="5" a="1"/>
  <c r="F154" i="5" s="1"/>
  <c r="F162" i="5" a="1"/>
  <c r="F162" i="5" s="1"/>
  <c r="F170" i="5" a="1"/>
  <c r="F170" i="5" s="1"/>
  <c r="F178" i="5" a="1"/>
  <c r="F178" i="5" s="1"/>
  <c r="F186" i="5" a="1"/>
  <c r="F186" i="5" s="1"/>
  <c r="F194" i="5" a="1"/>
  <c r="F194" i="5" s="1"/>
  <c r="F202" i="5" a="1"/>
  <c r="F202" i="5" s="1"/>
  <c r="F210" i="5" a="1"/>
  <c r="F210" i="5" s="1"/>
  <c r="F218" i="5" a="1"/>
  <c r="F218" i="5" s="1"/>
  <c r="F226" i="5" a="1"/>
  <c r="F226" i="5" s="1"/>
  <c r="F234" i="5" a="1"/>
  <c r="F234" i="5" s="1"/>
  <c r="F242" i="5" a="1"/>
  <c r="F242" i="5" s="1"/>
  <c r="G87" i="5" a="1"/>
  <c r="G87" i="5" s="1"/>
  <c r="G95" i="5" a="1"/>
  <c r="G95" i="5" s="1"/>
  <c r="G103" i="5" a="1"/>
  <c r="G103" i="5" s="1"/>
  <c r="G111" i="5" a="1"/>
  <c r="G111" i="5" s="1"/>
  <c r="G119" i="5" a="1"/>
  <c r="G119" i="5" s="1"/>
  <c r="G127" i="5" a="1"/>
  <c r="G127" i="5" s="1"/>
  <c r="G135" i="5" a="1"/>
  <c r="G135" i="5" s="1"/>
  <c r="G143" i="5" a="1"/>
  <c r="G143" i="5" s="1"/>
  <c r="G153" i="5" a="1"/>
  <c r="G153" i="5" s="1"/>
  <c r="G190" i="5" a="1"/>
  <c r="G190" i="5" s="1"/>
  <c r="A86" i="3"/>
  <c r="F3" i="5" a="1"/>
  <c r="F3" i="5" s="1"/>
  <c r="G150" i="5" a="1"/>
  <c r="G150" i="5" s="1"/>
  <c r="G158" i="5" a="1"/>
  <c r="G158" i="5" s="1"/>
  <c r="G166" i="5" a="1"/>
  <c r="G166" i="5" s="1"/>
  <c r="G174" i="5" a="1"/>
  <c r="G174" i="5" s="1"/>
  <c r="G182" i="5" a="1"/>
  <c r="G182" i="5" s="1"/>
  <c r="G189" i="5" a="1"/>
  <c r="G189" i="5" s="1"/>
  <c r="G204" i="5" a="1"/>
  <c r="G204" i="5" s="1"/>
  <c r="G212" i="5" a="1"/>
  <c r="G212" i="5" s="1"/>
  <c r="G219" i="5" a="1"/>
  <c r="G219" i="5" s="1"/>
  <c r="G227" i="5" a="1"/>
  <c r="G227" i="5" s="1"/>
  <c r="G235" i="5" a="1"/>
  <c r="G235" i="5" s="1"/>
  <c r="G243" i="5" a="1"/>
  <c r="G243" i="5" s="1"/>
  <c r="H6" i="5" a="1"/>
  <c r="H6" i="5" s="1"/>
  <c r="H14" i="5" a="1"/>
  <c r="H14" i="5" s="1"/>
  <c r="H22" i="5" a="1"/>
  <c r="H22" i="5" s="1"/>
  <c r="H31" i="5" a="1"/>
  <c r="H31" i="5" s="1"/>
  <c r="H40" i="5" a="1"/>
  <c r="H40" i="5" s="1"/>
  <c r="H52" i="5" a="1"/>
  <c r="H52" i="5" s="1"/>
  <c r="H69" i="5" a="1"/>
  <c r="H69" i="5" s="1"/>
  <c r="H132" i="5" a="1"/>
  <c r="H132" i="5" s="1"/>
  <c r="H193" i="5" a="1"/>
  <c r="H193" i="5" s="1"/>
  <c r="I10" i="5" a="1"/>
  <c r="I10" i="5" s="1"/>
  <c r="I74" i="5" a="1"/>
  <c r="I74" i="5" s="1"/>
  <c r="I138" i="5" a="1"/>
  <c r="I138" i="5" s="1"/>
  <c r="G160" i="5" a="1"/>
  <c r="G160" i="5" s="1"/>
  <c r="G168" i="5" a="1"/>
  <c r="G168" i="5" s="1"/>
  <c r="G176" i="5" a="1"/>
  <c r="G176" i="5" s="1"/>
  <c r="G184" i="5" a="1"/>
  <c r="G184" i="5" s="1"/>
  <c r="G191" i="5" a="1"/>
  <c r="G191" i="5" s="1"/>
  <c r="G198" i="5" a="1"/>
  <c r="G198" i="5" s="1"/>
  <c r="G206" i="5" a="1"/>
  <c r="G206" i="5" s="1"/>
  <c r="G213" i="5" a="1"/>
  <c r="G213" i="5" s="1"/>
  <c r="G221" i="5" a="1"/>
  <c r="G221" i="5" s="1"/>
  <c r="G229" i="5" a="1"/>
  <c r="G229" i="5" s="1"/>
  <c r="G237" i="5" a="1"/>
  <c r="G237" i="5" s="1"/>
  <c r="G245" i="5" a="1"/>
  <c r="G245" i="5" s="1"/>
  <c r="H8" i="5" a="1"/>
  <c r="H8" i="5" s="1"/>
  <c r="H16" i="5" a="1"/>
  <c r="H16" i="5" s="1"/>
  <c r="H24" i="5" a="1"/>
  <c r="H24" i="5" s="1"/>
  <c r="H33" i="5" a="1"/>
  <c r="H33" i="5" s="1"/>
  <c r="H44" i="5" a="1"/>
  <c r="H44" i="5" s="1"/>
  <c r="H54" i="5" a="1"/>
  <c r="H54" i="5" s="1"/>
  <c r="H85" i="5" a="1"/>
  <c r="H85" i="5" s="1"/>
  <c r="H147" i="5" a="1"/>
  <c r="H147" i="5" s="1"/>
  <c r="H209" i="5" a="1"/>
  <c r="H209" i="5" s="1"/>
  <c r="I26" i="5" a="1"/>
  <c r="I26" i="5" s="1"/>
  <c r="I90" i="5" a="1"/>
  <c r="I90" i="5" s="1"/>
  <c r="I154" i="5" a="1"/>
  <c r="I154" i="5" s="1"/>
  <c r="G161" i="5" a="1"/>
  <c r="G161" i="5" s="1"/>
  <c r="G169" i="5" a="1"/>
  <c r="G169" i="5" s="1"/>
  <c r="G177" i="5" a="1"/>
  <c r="G177" i="5" s="1"/>
  <c r="G185" i="5" a="1"/>
  <c r="G185" i="5" s="1"/>
  <c r="G192" i="5" a="1"/>
  <c r="G192" i="5" s="1"/>
  <c r="G199" i="5" a="1"/>
  <c r="G199" i="5" s="1"/>
  <c r="G207" i="5" a="1"/>
  <c r="G207" i="5" s="1"/>
  <c r="G214" i="5" a="1"/>
  <c r="G214" i="5" s="1"/>
  <c r="G222" i="5" a="1"/>
  <c r="G222" i="5" s="1"/>
  <c r="G230" i="5" a="1"/>
  <c r="G230" i="5" s="1"/>
  <c r="G238" i="5" a="1"/>
  <c r="G238" i="5" s="1"/>
  <c r="G246" i="5" a="1"/>
  <c r="G246" i="5" s="1"/>
  <c r="H9" i="5" a="1"/>
  <c r="H9" i="5" s="1"/>
  <c r="H17" i="5" a="1"/>
  <c r="H17" i="5" s="1"/>
  <c r="H25" i="5" a="1"/>
  <c r="H25" i="5" s="1"/>
  <c r="H35" i="5" a="1"/>
  <c r="H35" i="5" s="1"/>
  <c r="H45" i="5" a="1"/>
  <c r="H45" i="5" s="1"/>
  <c r="H55" i="5" a="1"/>
  <c r="H55" i="5" s="1"/>
  <c r="H93" i="5" a="1"/>
  <c r="H93" i="5" s="1"/>
  <c r="H154" i="5" a="1"/>
  <c r="H154" i="5" s="1"/>
  <c r="H217" i="5" a="1"/>
  <c r="H217" i="5" s="1"/>
  <c r="I34" i="5" a="1"/>
  <c r="I34" i="5" s="1"/>
  <c r="I98" i="5" a="1"/>
  <c r="I98" i="5" s="1"/>
  <c r="I162" i="5" a="1"/>
  <c r="I162" i="5" s="1"/>
  <c r="G146" i="5" a="1"/>
  <c r="G146" i="5" s="1"/>
  <c r="G154" i="5" a="1"/>
  <c r="G154" i="5" s="1"/>
  <c r="G162" i="5" a="1"/>
  <c r="G162" i="5" s="1"/>
  <c r="G170" i="5" a="1"/>
  <c r="G170" i="5" s="1"/>
  <c r="G178" i="5" a="1"/>
  <c r="G178" i="5" s="1"/>
  <c r="G186" i="5" a="1"/>
  <c r="G186" i="5" s="1"/>
  <c r="G193" i="5" a="1"/>
  <c r="G193" i="5" s="1"/>
  <c r="G200" i="5" a="1"/>
  <c r="G200" i="5" s="1"/>
  <c r="G208" i="5" a="1"/>
  <c r="G208" i="5" s="1"/>
  <c r="G215" i="5" a="1"/>
  <c r="G215" i="5" s="1"/>
  <c r="G223" i="5" a="1"/>
  <c r="G223" i="5" s="1"/>
  <c r="G231" i="5" a="1"/>
  <c r="G231" i="5" s="1"/>
  <c r="G239" i="5" a="1"/>
  <c r="G239" i="5" s="1"/>
  <c r="G247" i="5" a="1"/>
  <c r="G247" i="5" s="1"/>
  <c r="H10" i="5" a="1"/>
  <c r="H10" i="5" s="1"/>
  <c r="H18" i="5" a="1"/>
  <c r="H18" i="5" s="1"/>
  <c r="H27" i="5" a="1"/>
  <c r="H27" i="5" s="1"/>
  <c r="H36" i="5" a="1"/>
  <c r="H36" i="5" s="1"/>
  <c r="H46" i="5" a="1"/>
  <c r="H46" i="5" s="1"/>
  <c r="H60" i="5" a="1"/>
  <c r="H60" i="5" s="1"/>
  <c r="H101" i="5" a="1"/>
  <c r="H101" i="5" s="1"/>
  <c r="H162" i="5" a="1"/>
  <c r="H162" i="5" s="1"/>
  <c r="H224" i="5" a="1"/>
  <c r="H224" i="5" s="1"/>
  <c r="I42" i="5" a="1"/>
  <c r="I42" i="5" s="1"/>
  <c r="I106" i="5" a="1"/>
  <c r="I106" i="5" s="1"/>
  <c r="I170" i="5" a="1"/>
  <c r="I170" i="5" s="1"/>
  <c r="G163" i="5" a="1"/>
  <c r="G163" i="5" s="1"/>
  <c r="G171" i="5" a="1"/>
  <c r="G171" i="5" s="1"/>
  <c r="G179" i="5" a="1"/>
  <c r="G179" i="5" s="1"/>
  <c r="G187" i="5" a="1"/>
  <c r="G187" i="5" s="1"/>
  <c r="G194" i="5" a="1"/>
  <c r="G194" i="5" s="1"/>
  <c r="G201" i="5" a="1"/>
  <c r="G201" i="5" s="1"/>
  <c r="G209" i="5" a="1"/>
  <c r="G209" i="5" s="1"/>
  <c r="G216" i="5" a="1"/>
  <c r="G216" i="5" s="1"/>
  <c r="G224" i="5" a="1"/>
  <c r="G224" i="5" s="1"/>
  <c r="G232" i="5" a="1"/>
  <c r="G232" i="5" s="1"/>
  <c r="G240" i="5" a="1"/>
  <c r="G240" i="5" s="1"/>
  <c r="H3" i="5" a="1"/>
  <c r="H3" i="5" s="1"/>
  <c r="H11" i="5" a="1"/>
  <c r="H11" i="5" s="1"/>
  <c r="H19" i="5" a="1"/>
  <c r="H19" i="5" s="1"/>
  <c r="H28" i="5" a="1"/>
  <c r="H28" i="5" s="1"/>
  <c r="H37" i="5" a="1"/>
  <c r="H37" i="5" s="1"/>
  <c r="H47" i="5" a="1"/>
  <c r="H47" i="5" s="1"/>
  <c r="H61" i="5" a="1"/>
  <c r="H61" i="5" s="1"/>
  <c r="H108" i="5" a="1"/>
  <c r="H108" i="5" s="1"/>
  <c r="H170" i="5" a="1"/>
  <c r="H170" i="5" s="1"/>
  <c r="H232" i="5" a="1"/>
  <c r="H232" i="5" s="1"/>
  <c r="I50" i="5" a="1"/>
  <c r="I50" i="5" s="1"/>
  <c r="I114" i="5" a="1"/>
  <c r="I114" i="5" s="1"/>
  <c r="I178" i="5" a="1"/>
  <c r="I178" i="5" s="1"/>
  <c r="K34" i="5" a="1"/>
  <c r="K34" i="5" s="1"/>
  <c r="J215" i="5" a="1"/>
  <c r="J215" i="5" s="1"/>
  <c r="J151" i="5" a="1"/>
  <c r="J151" i="5" s="1"/>
  <c r="J134" i="5" a="1"/>
  <c r="J134" i="5" s="1"/>
  <c r="J126" i="5" a="1"/>
  <c r="J126" i="5" s="1"/>
  <c r="J118" i="5" a="1"/>
  <c r="J118" i="5" s="1"/>
  <c r="J110" i="5" a="1"/>
  <c r="J110" i="5" s="1"/>
  <c r="J102" i="5" a="1"/>
  <c r="J102" i="5" s="1"/>
  <c r="J94" i="5" a="1"/>
  <c r="J94" i="5" s="1"/>
  <c r="J86" i="5" a="1"/>
  <c r="J86" i="5" s="1"/>
  <c r="J78" i="5" a="1"/>
  <c r="J78" i="5" s="1"/>
  <c r="J70" i="5" a="1"/>
  <c r="J70" i="5" s="1"/>
  <c r="J62" i="5" a="1"/>
  <c r="J62" i="5" s="1"/>
  <c r="J54" i="5" a="1"/>
  <c r="J54" i="5" s="1"/>
  <c r="J46" i="5" a="1"/>
  <c r="J46" i="5" s="1"/>
  <c r="J38" i="5" a="1"/>
  <c r="J38" i="5" s="1"/>
  <c r="J30" i="5" a="1"/>
  <c r="J30" i="5" s="1"/>
  <c r="J22" i="5" a="1"/>
  <c r="J22" i="5" s="1"/>
  <c r="J14" i="5" a="1"/>
  <c r="J14" i="5" s="1"/>
  <c r="J6" i="5" a="1"/>
  <c r="J6" i="5" s="1"/>
  <c r="I243" i="5" a="1"/>
  <c r="I243" i="5" s="1"/>
  <c r="I235" i="5" a="1"/>
  <c r="I235" i="5" s="1"/>
  <c r="I227" i="5" a="1"/>
  <c r="I227" i="5" s="1"/>
  <c r="I219" i="5" a="1"/>
  <c r="I219" i="5" s="1"/>
  <c r="I211" i="5" a="1"/>
  <c r="I211" i="5" s="1"/>
  <c r="I203" i="5" a="1"/>
  <c r="I203" i="5" s="1"/>
  <c r="I195" i="5" a="1"/>
  <c r="I195" i="5" s="1"/>
  <c r="I187" i="5" a="1"/>
  <c r="I187" i="5" s="1"/>
  <c r="I179" i="5" a="1"/>
  <c r="I179" i="5" s="1"/>
  <c r="I171" i="5" a="1"/>
  <c r="I171" i="5" s="1"/>
  <c r="I163" i="5" a="1"/>
  <c r="I163" i="5" s="1"/>
  <c r="I155" i="5" a="1"/>
  <c r="I155" i="5" s="1"/>
  <c r="I147" i="5" a="1"/>
  <c r="I147" i="5" s="1"/>
  <c r="I139" i="5" a="1"/>
  <c r="I139" i="5" s="1"/>
  <c r="I131" i="5" a="1"/>
  <c r="I131" i="5" s="1"/>
  <c r="I123" i="5" a="1"/>
  <c r="I123" i="5" s="1"/>
  <c r="I115" i="5" a="1"/>
  <c r="I115" i="5" s="1"/>
  <c r="I107" i="5" a="1"/>
  <c r="I107" i="5" s="1"/>
  <c r="I99" i="5" a="1"/>
  <c r="I99" i="5" s="1"/>
  <c r="I91" i="5" a="1"/>
  <c r="I91" i="5" s="1"/>
  <c r="I83" i="5" a="1"/>
  <c r="I83" i="5" s="1"/>
  <c r="I75" i="5" a="1"/>
  <c r="I75" i="5" s="1"/>
  <c r="I67" i="5" a="1"/>
  <c r="I67" i="5" s="1"/>
  <c r="I59" i="5" a="1"/>
  <c r="I59" i="5" s="1"/>
  <c r="I51" i="5" a="1"/>
  <c r="I51" i="5" s="1"/>
  <c r="I43" i="5" a="1"/>
  <c r="I43" i="5" s="1"/>
  <c r="I35" i="5" a="1"/>
  <c r="I35" i="5" s="1"/>
  <c r="I27" i="5" a="1"/>
  <c r="I27" i="5" s="1"/>
  <c r="I19" i="5" a="1"/>
  <c r="I19" i="5" s="1"/>
  <c r="I11" i="5" a="1"/>
  <c r="I11" i="5" s="1"/>
  <c r="I3" i="5" a="1"/>
  <c r="I3" i="5" s="1"/>
  <c r="H240" i="5" a="1"/>
  <c r="H240" i="5" s="1"/>
  <c r="H225" i="5" a="1"/>
  <c r="H225" i="5" s="1"/>
  <c r="H218" i="5" a="1"/>
  <c r="H218" i="5" s="1"/>
  <c r="H210" i="5" a="1"/>
  <c r="H210" i="5" s="1"/>
  <c r="H202" i="5" a="1"/>
  <c r="H202" i="5" s="1"/>
  <c r="H194" i="5" a="1"/>
  <c r="H194" i="5" s="1"/>
  <c r="H187" i="5" a="1"/>
  <c r="H187" i="5" s="1"/>
  <c r="H179" i="5" a="1"/>
  <c r="H179" i="5" s="1"/>
  <c r="H171" i="5" a="1"/>
  <c r="H171" i="5" s="1"/>
  <c r="H163" i="5" a="1"/>
  <c r="H163" i="5" s="1"/>
  <c r="H155" i="5" a="1"/>
  <c r="H155" i="5" s="1"/>
  <c r="H148" i="5" a="1"/>
  <c r="H148" i="5" s="1"/>
  <c r="H140" i="5" a="1"/>
  <c r="H140" i="5" s="1"/>
  <c r="H133" i="5" a="1"/>
  <c r="H133" i="5" s="1"/>
  <c r="H125" i="5" a="1"/>
  <c r="H125" i="5" s="1"/>
  <c r="H117" i="5" a="1"/>
  <c r="H117" i="5" s="1"/>
  <c r="H109" i="5" a="1"/>
  <c r="H109" i="5" s="1"/>
  <c r="H102" i="5" a="1"/>
  <c r="H102" i="5" s="1"/>
  <c r="H94" i="5" a="1"/>
  <c r="H94" i="5" s="1"/>
  <c r="H86" i="5" a="1"/>
  <c r="H86" i="5" s="1"/>
  <c r="H78" i="5" a="1"/>
  <c r="H78" i="5" s="1"/>
  <c r="H70" i="5" a="1"/>
  <c r="H70" i="5" s="1"/>
  <c r="H62" i="5" a="1"/>
  <c r="H62" i="5" s="1"/>
  <c r="K26" i="5" a="1"/>
  <c r="K26" i="5" s="1"/>
  <c r="J207" i="5" a="1"/>
  <c r="J207" i="5" s="1"/>
  <c r="J145" i="5" a="1"/>
  <c r="J145" i="5" s="1"/>
  <c r="J133" i="5" a="1"/>
  <c r="J133" i="5" s="1"/>
  <c r="J125" i="5" a="1"/>
  <c r="J125" i="5" s="1"/>
  <c r="J117" i="5" a="1"/>
  <c r="J117" i="5" s="1"/>
  <c r="J109" i="5" a="1"/>
  <c r="J109" i="5" s="1"/>
  <c r="J101" i="5" a="1"/>
  <c r="J101" i="5" s="1"/>
  <c r="J93" i="5" a="1"/>
  <c r="J93" i="5" s="1"/>
  <c r="J85" i="5" a="1"/>
  <c r="J85" i="5" s="1"/>
  <c r="J77" i="5" a="1"/>
  <c r="J77" i="5" s="1"/>
  <c r="J69" i="5" a="1"/>
  <c r="J69" i="5" s="1"/>
  <c r="J61" i="5" a="1"/>
  <c r="J61" i="5" s="1"/>
  <c r="J53" i="5" a="1"/>
  <c r="J53" i="5" s="1"/>
  <c r="J45" i="5" a="1"/>
  <c r="J45" i="5" s="1"/>
  <c r="J37" i="5" a="1"/>
  <c r="J37" i="5" s="1"/>
  <c r="J29" i="5" a="1"/>
  <c r="J29" i="5" s="1"/>
  <c r="J21" i="5" a="1"/>
  <c r="J21" i="5" s="1"/>
  <c r="J13" i="5" a="1"/>
  <c r="J13" i="5" s="1"/>
  <c r="J5" i="5" a="1"/>
  <c r="J5" i="5" s="1"/>
  <c r="I242" i="5" a="1"/>
  <c r="I242" i="5" s="1"/>
  <c r="I234" i="5" a="1"/>
  <c r="I234" i="5" s="1"/>
  <c r="I226" i="5" a="1"/>
  <c r="I226" i="5" s="1"/>
  <c r="I218" i="5" a="1"/>
  <c r="I218" i="5" s="1"/>
  <c r="I210" i="5" a="1"/>
  <c r="I210" i="5" s="1"/>
  <c r="I202" i="5" a="1"/>
  <c r="I202" i="5" s="1"/>
  <c r="I194" i="5" a="1"/>
  <c r="I194" i="5" s="1"/>
  <c r="I186" i="5" a="1"/>
  <c r="I186" i="5" s="1"/>
  <c r="K18" i="5" a="1"/>
  <c r="K18" i="5" s="1"/>
  <c r="J199" i="5" a="1"/>
  <c r="J199" i="5" s="1"/>
  <c r="J143" i="5" a="1"/>
  <c r="J143" i="5" s="1"/>
  <c r="J132" i="5" a="1"/>
  <c r="J132" i="5" s="1"/>
  <c r="J124" i="5" a="1"/>
  <c r="J124" i="5" s="1"/>
  <c r="J116" i="5" a="1"/>
  <c r="J116" i="5" s="1"/>
  <c r="J108" i="5" a="1"/>
  <c r="J108" i="5" s="1"/>
  <c r="J100" i="5" a="1"/>
  <c r="J100" i="5" s="1"/>
  <c r="J92" i="5" a="1"/>
  <c r="J92" i="5" s="1"/>
  <c r="J84" i="5" a="1"/>
  <c r="J84" i="5" s="1"/>
  <c r="J76" i="5" a="1"/>
  <c r="J76" i="5" s="1"/>
  <c r="J68" i="5" a="1"/>
  <c r="J68" i="5" s="1"/>
  <c r="J60" i="5" a="1"/>
  <c r="J60" i="5" s="1"/>
  <c r="J52" i="5" a="1"/>
  <c r="J52" i="5" s="1"/>
  <c r="J44" i="5" a="1"/>
  <c r="J44" i="5" s="1"/>
  <c r="J36" i="5" a="1"/>
  <c r="J36" i="5" s="1"/>
  <c r="J28" i="5" a="1"/>
  <c r="J28" i="5" s="1"/>
  <c r="J20" i="5" a="1"/>
  <c r="J20" i="5" s="1"/>
  <c r="J12" i="5" a="1"/>
  <c r="J12" i="5" s="1"/>
  <c r="J4" i="5" a="1"/>
  <c r="J4" i="5" s="1"/>
  <c r="I241" i="5" a="1"/>
  <c r="I241" i="5" s="1"/>
  <c r="I233" i="5" a="1"/>
  <c r="I233" i="5" s="1"/>
  <c r="I225" i="5" a="1"/>
  <c r="I225" i="5" s="1"/>
  <c r="I217" i="5" a="1"/>
  <c r="I217" i="5" s="1"/>
  <c r="I209" i="5" a="1"/>
  <c r="I209" i="5" s="1"/>
  <c r="I201" i="5" a="1"/>
  <c r="I201" i="5" s="1"/>
  <c r="I193" i="5" a="1"/>
  <c r="I193" i="5" s="1"/>
  <c r="I185" i="5" a="1"/>
  <c r="I185" i="5" s="1"/>
  <c r="I177" i="5" a="1"/>
  <c r="I177" i="5" s="1"/>
  <c r="I169" i="5" a="1"/>
  <c r="I169" i="5" s="1"/>
  <c r="I161" i="5" a="1"/>
  <c r="I161" i="5" s="1"/>
  <c r="I153" i="5" a="1"/>
  <c r="I153" i="5" s="1"/>
  <c r="I145" i="5" a="1"/>
  <c r="I145" i="5" s="1"/>
  <c r="I137" i="5" a="1"/>
  <c r="I137" i="5" s="1"/>
  <c r="I129" i="5" a="1"/>
  <c r="I129" i="5" s="1"/>
  <c r="I121" i="5" a="1"/>
  <c r="I121" i="5" s="1"/>
  <c r="I113" i="5" a="1"/>
  <c r="I113" i="5" s="1"/>
  <c r="I105" i="5" a="1"/>
  <c r="I105" i="5" s="1"/>
  <c r="I97" i="5" a="1"/>
  <c r="I97" i="5" s="1"/>
  <c r="I89" i="5" a="1"/>
  <c r="I89" i="5" s="1"/>
  <c r="I81" i="5" a="1"/>
  <c r="I81" i="5" s="1"/>
  <c r="I73" i="5" a="1"/>
  <c r="I73" i="5" s="1"/>
  <c r="I65" i="5" a="1"/>
  <c r="I65" i="5" s="1"/>
  <c r="I57" i="5" a="1"/>
  <c r="I57" i="5" s="1"/>
  <c r="I49" i="5" a="1"/>
  <c r="I49" i="5" s="1"/>
  <c r="I41" i="5" a="1"/>
  <c r="I41" i="5" s="1"/>
  <c r="I33" i="5" a="1"/>
  <c r="I33" i="5" s="1"/>
  <c r="I25" i="5" a="1"/>
  <c r="I25" i="5" s="1"/>
  <c r="I17" i="5" a="1"/>
  <c r="I17" i="5" s="1"/>
  <c r="I9" i="5" a="1"/>
  <c r="I9" i="5" s="1"/>
  <c r="H246" i="5" a="1"/>
  <c r="H246" i="5" s="1"/>
  <c r="H238" i="5" a="1"/>
  <c r="H238" i="5" s="1"/>
  <c r="H231" i="5" a="1"/>
  <c r="H231" i="5" s="1"/>
  <c r="H223" i="5" a="1"/>
  <c r="H223" i="5" s="1"/>
  <c r="H216" i="5" a="1"/>
  <c r="H216" i="5" s="1"/>
  <c r="H208" i="5" a="1"/>
  <c r="H208" i="5" s="1"/>
  <c r="H200" i="5" a="1"/>
  <c r="H200" i="5" s="1"/>
  <c r="H192" i="5" a="1"/>
  <c r="H192" i="5" s="1"/>
  <c r="H185" i="5" a="1"/>
  <c r="H185" i="5" s="1"/>
  <c r="H177" i="5" a="1"/>
  <c r="H177" i="5" s="1"/>
  <c r="H169" i="5" a="1"/>
  <c r="H169" i="5" s="1"/>
  <c r="H161" i="5" a="1"/>
  <c r="H161" i="5" s="1"/>
  <c r="H153" i="5" a="1"/>
  <c r="H153" i="5" s="1"/>
  <c r="H146" i="5" a="1"/>
  <c r="H146" i="5" s="1"/>
  <c r="H138" i="5" a="1"/>
  <c r="H138" i="5" s="1"/>
  <c r="H131" i="5" a="1"/>
  <c r="H131" i="5" s="1"/>
  <c r="H123" i="5" a="1"/>
  <c r="H123" i="5" s="1"/>
  <c r="H115" i="5" a="1"/>
  <c r="H115" i="5" s="1"/>
  <c r="H107" i="5" a="1"/>
  <c r="H107" i="5" s="1"/>
  <c r="H100" i="5" a="1"/>
  <c r="H100" i="5" s="1"/>
  <c r="H92" i="5" a="1"/>
  <c r="H92" i="5" s="1"/>
  <c r="H84" i="5" a="1"/>
  <c r="H84" i="5" s="1"/>
  <c r="H76" i="5" a="1"/>
  <c r="H76" i="5" s="1"/>
  <c r="K204" i="5" a="1"/>
  <c r="K204" i="5" s="1"/>
  <c r="K10" i="5" a="1"/>
  <c r="K10" i="5" s="1"/>
  <c r="J191" i="5" a="1"/>
  <c r="J191" i="5" s="1"/>
  <c r="J139" i="5" a="1"/>
  <c r="J139" i="5" s="1"/>
  <c r="J131" i="5" a="1"/>
  <c r="J131" i="5" s="1"/>
  <c r="J123" i="5" a="1"/>
  <c r="J123" i="5" s="1"/>
  <c r="J115" i="5" a="1"/>
  <c r="J115" i="5" s="1"/>
  <c r="J107" i="5" a="1"/>
  <c r="J107" i="5" s="1"/>
  <c r="J99" i="5" a="1"/>
  <c r="J99" i="5" s="1"/>
  <c r="J91" i="5" a="1"/>
  <c r="J91" i="5" s="1"/>
  <c r="J83" i="5" a="1"/>
  <c r="J83" i="5" s="1"/>
  <c r="J75" i="5" a="1"/>
  <c r="J75" i="5" s="1"/>
  <c r="J67" i="5" a="1"/>
  <c r="J67" i="5" s="1"/>
  <c r="J59" i="5" a="1"/>
  <c r="J59" i="5" s="1"/>
  <c r="J51" i="5" a="1"/>
  <c r="J51" i="5" s="1"/>
  <c r="J43" i="5" a="1"/>
  <c r="J43" i="5" s="1"/>
  <c r="J35" i="5" a="1"/>
  <c r="J35" i="5" s="1"/>
  <c r="J27" i="5" a="1"/>
  <c r="J27" i="5" s="1"/>
  <c r="J19" i="5" a="1"/>
  <c r="J19" i="5" s="1"/>
  <c r="J11" i="5" a="1"/>
  <c r="J11" i="5" s="1"/>
  <c r="J3" i="5" a="1"/>
  <c r="J3" i="5" s="1"/>
  <c r="I240" i="5" a="1"/>
  <c r="I240" i="5" s="1"/>
  <c r="I232" i="5" a="1"/>
  <c r="I232" i="5" s="1"/>
  <c r="I224" i="5" a="1"/>
  <c r="I224" i="5" s="1"/>
  <c r="I216" i="5" a="1"/>
  <c r="I216" i="5" s="1"/>
  <c r="I208" i="5" a="1"/>
  <c r="I208" i="5" s="1"/>
  <c r="I200" i="5" a="1"/>
  <c r="I200" i="5" s="1"/>
  <c r="I192" i="5" a="1"/>
  <c r="I192" i="5" s="1"/>
  <c r="I184" i="5" a="1"/>
  <c r="I184" i="5" s="1"/>
  <c r="I176" i="5" a="1"/>
  <c r="I176" i="5" s="1"/>
  <c r="I168" i="5" a="1"/>
  <c r="I168" i="5" s="1"/>
  <c r="I160" i="5" a="1"/>
  <c r="I160" i="5" s="1"/>
  <c r="I152" i="5" a="1"/>
  <c r="I152" i="5" s="1"/>
  <c r="I144" i="5" a="1"/>
  <c r="I144" i="5" s="1"/>
  <c r="I136" i="5" a="1"/>
  <c r="I136" i="5" s="1"/>
  <c r="I128" i="5" a="1"/>
  <c r="I128" i="5" s="1"/>
  <c r="I120" i="5" a="1"/>
  <c r="I120" i="5" s="1"/>
  <c r="I112" i="5" a="1"/>
  <c r="I112" i="5" s="1"/>
  <c r="I104" i="5" a="1"/>
  <c r="I104" i="5" s="1"/>
  <c r="I96" i="5" a="1"/>
  <c r="I96" i="5" s="1"/>
  <c r="I88" i="5" a="1"/>
  <c r="I88" i="5" s="1"/>
  <c r="I80" i="5" a="1"/>
  <c r="I80" i="5" s="1"/>
  <c r="I72" i="5" a="1"/>
  <c r="I72" i="5" s="1"/>
  <c r="I64" i="5" a="1"/>
  <c r="I64" i="5" s="1"/>
  <c r="I56" i="5" a="1"/>
  <c r="I56" i="5" s="1"/>
  <c r="I48" i="5" a="1"/>
  <c r="I48" i="5" s="1"/>
  <c r="I40" i="5" a="1"/>
  <c r="I40" i="5" s="1"/>
  <c r="I32" i="5" a="1"/>
  <c r="I32" i="5" s="1"/>
  <c r="I24" i="5" a="1"/>
  <c r="I24" i="5" s="1"/>
  <c r="I16" i="5" a="1"/>
  <c r="I16" i="5" s="1"/>
  <c r="I8" i="5" a="1"/>
  <c r="I8" i="5" s="1"/>
  <c r="H245" i="5" a="1"/>
  <c r="H245" i="5" s="1"/>
  <c r="H237" i="5" a="1"/>
  <c r="H237" i="5" s="1"/>
  <c r="H230" i="5" a="1"/>
  <c r="H230" i="5" s="1"/>
  <c r="H222" i="5" a="1"/>
  <c r="H222" i="5" s="1"/>
  <c r="H215" i="5" a="1"/>
  <c r="H215" i="5" s="1"/>
  <c r="H207" i="5" a="1"/>
  <c r="H207" i="5" s="1"/>
  <c r="H199" i="5" a="1"/>
  <c r="H199" i="5" s="1"/>
  <c r="H191" i="5" a="1"/>
  <c r="H191" i="5" s="1"/>
  <c r="H184" i="5" a="1"/>
  <c r="H184" i="5" s="1"/>
  <c r="H176" i="5" a="1"/>
  <c r="H176" i="5" s="1"/>
  <c r="H168" i="5" a="1"/>
  <c r="H168" i="5" s="1"/>
  <c r="H160" i="5" a="1"/>
  <c r="H160" i="5" s="1"/>
  <c r="H145" i="5" a="1"/>
  <c r="H145" i="5" s="1"/>
  <c r="H137" i="5" a="1"/>
  <c r="H137" i="5" s="1"/>
  <c r="H130" i="5" a="1"/>
  <c r="H130" i="5" s="1"/>
  <c r="H122" i="5" a="1"/>
  <c r="H122" i="5" s="1"/>
  <c r="H114" i="5" a="1"/>
  <c r="H114" i="5" s="1"/>
  <c r="H106" i="5" a="1"/>
  <c r="H106" i="5" s="1"/>
  <c r="H99" i="5" a="1"/>
  <c r="H99" i="5" s="1"/>
  <c r="H91" i="5" a="1"/>
  <c r="H91" i="5" s="1"/>
  <c r="H83" i="5" a="1"/>
  <c r="H83" i="5" s="1"/>
  <c r="H75" i="5" a="1"/>
  <c r="H75" i="5" s="1"/>
  <c r="H67" i="5" a="1"/>
  <c r="H67" i="5" s="1"/>
  <c r="H59" i="5" a="1"/>
  <c r="H59" i="5" s="1"/>
  <c r="K140" i="5" a="1"/>
  <c r="K140" i="5" s="1"/>
  <c r="J247" i="5" a="1"/>
  <c r="J247" i="5" s="1"/>
  <c r="J183" i="5" a="1"/>
  <c r="J183" i="5" s="1"/>
  <c r="J138" i="5" a="1"/>
  <c r="J138" i="5" s="1"/>
  <c r="J130" i="5" a="1"/>
  <c r="J130" i="5" s="1"/>
  <c r="J122" i="5" a="1"/>
  <c r="J122" i="5" s="1"/>
  <c r="J114" i="5" a="1"/>
  <c r="J114" i="5" s="1"/>
  <c r="J106" i="5" a="1"/>
  <c r="J106" i="5" s="1"/>
  <c r="J98" i="5" a="1"/>
  <c r="J98" i="5" s="1"/>
  <c r="J90" i="5" a="1"/>
  <c r="J90" i="5" s="1"/>
  <c r="J82" i="5" a="1"/>
  <c r="J82" i="5" s="1"/>
  <c r="J74" i="5" a="1"/>
  <c r="J74" i="5" s="1"/>
  <c r="J66" i="5" a="1"/>
  <c r="J66" i="5" s="1"/>
  <c r="J58" i="5" a="1"/>
  <c r="J58" i="5" s="1"/>
  <c r="J50" i="5" a="1"/>
  <c r="J50" i="5" s="1"/>
  <c r="J42" i="5" a="1"/>
  <c r="J42" i="5" s="1"/>
  <c r="J34" i="5" a="1"/>
  <c r="J34" i="5" s="1"/>
  <c r="J26" i="5" a="1"/>
  <c r="J26" i="5" s="1"/>
  <c r="J18" i="5" a="1"/>
  <c r="J18" i="5" s="1"/>
  <c r="J10" i="5" a="1"/>
  <c r="J10" i="5" s="1"/>
  <c r="I247" i="5" a="1"/>
  <c r="I247" i="5" s="1"/>
  <c r="I239" i="5" a="1"/>
  <c r="I239" i="5" s="1"/>
  <c r="I231" i="5" a="1"/>
  <c r="I231" i="5" s="1"/>
  <c r="I223" i="5" a="1"/>
  <c r="I223" i="5" s="1"/>
  <c r="I215" i="5" a="1"/>
  <c r="I215" i="5" s="1"/>
  <c r="I207" i="5" a="1"/>
  <c r="I207" i="5" s="1"/>
  <c r="I199" i="5" a="1"/>
  <c r="I199" i="5" s="1"/>
  <c r="I191" i="5" a="1"/>
  <c r="I191" i="5" s="1"/>
  <c r="I183" i="5" a="1"/>
  <c r="I183" i="5" s="1"/>
  <c r="I175" i="5" a="1"/>
  <c r="I175" i="5" s="1"/>
  <c r="I167" i="5" a="1"/>
  <c r="I167" i="5" s="1"/>
  <c r="I159" i="5" a="1"/>
  <c r="I159" i="5" s="1"/>
  <c r="I151" i="5" a="1"/>
  <c r="I151" i="5" s="1"/>
  <c r="I143" i="5" a="1"/>
  <c r="I143" i="5" s="1"/>
  <c r="I135" i="5" a="1"/>
  <c r="I135" i="5" s="1"/>
  <c r="I127" i="5" a="1"/>
  <c r="I127" i="5" s="1"/>
  <c r="I119" i="5" a="1"/>
  <c r="I119" i="5" s="1"/>
  <c r="I111" i="5" a="1"/>
  <c r="I111" i="5" s="1"/>
  <c r="I103" i="5" a="1"/>
  <c r="I103" i="5" s="1"/>
  <c r="I95" i="5" a="1"/>
  <c r="I95" i="5" s="1"/>
  <c r="I87" i="5" a="1"/>
  <c r="I87" i="5" s="1"/>
  <c r="I79" i="5" a="1"/>
  <c r="I79" i="5" s="1"/>
  <c r="I71" i="5" a="1"/>
  <c r="I71" i="5" s="1"/>
  <c r="I63" i="5" a="1"/>
  <c r="I63" i="5" s="1"/>
  <c r="I55" i="5" a="1"/>
  <c r="I55" i="5" s="1"/>
  <c r="I47" i="5" a="1"/>
  <c r="I47" i="5" s="1"/>
  <c r="I39" i="5" a="1"/>
  <c r="I39" i="5" s="1"/>
  <c r="I31" i="5" a="1"/>
  <c r="I31" i="5" s="1"/>
  <c r="I23" i="5" a="1"/>
  <c r="I23" i="5" s="1"/>
  <c r="I15" i="5" a="1"/>
  <c r="I15" i="5" s="1"/>
  <c r="I7" i="5" a="1"/>
  <c r="I7" i="5" s="1"/>
  <c r="H244" i="5" a="1"/>
  <c r="H244" i="5" s="1"/>
  <c r="H236" i="5" a="1"/>
  <c r="H236" i="5" s="1"/>
  <c r="H229" i="5" a="1"/>
  <c r="H229" i="5" s="1"/>
  <c r="H221" i="5" a="1"/>
  <c r="H221" i="5" s="1"/>
  <c r="H214" i="5" a="1"/>
  <c r="H214" i="5" s="1"/>
  <c r="H206" i="5" a="1"/>
  <c r="H206" i="5" s="1"/>
  <c r="H198" i="5" a="1"/>
  <c r="H198" i="5" s="1"/>
  <c r="H190" i="5" a="1"/>
  <c r="H190" i="5" s="1"/>
  <c r="H183" i="5" a="1"/>
  <c r="H183" i="5" s="1"/>
  <c r="H175" i="5" a="1"/>
  <c r="H175" i="5" s="1"/>
  <c r="H167" i="5" a="1"/>
  <c r="H167" i="5" s="1"/>
  <c r="H159" i="5" a="1"/>
  <c r="H159" i="5" s="1"/>
  <c r="H152" i="5" a="1"/>
  <c r="H152" i="5" s="1"/>
  <c r="H144" i="5" a="1"/>
  <c r="H144" i="5" s="1"/>
  <c r="H129" i="5" a="1"/>
  <c r="H129" i="5" s="1"/>
  <c r="H121" i="5" a="1"/>
  <c r="H121" i="5" s="1"/>
  <c r="H113" i="5" a="1"/>
  <c r="H113" i="5" s="1"/>
  <c r="H105" i="5" a="1"/>
  <c r="H105" i="5" s="1"/>
  <c r="H98" i="5" a="1"/>
  <c r="H98" i="5" s="1"/>
  <c r="H90" i="5" a="1"/>
  <c r="H90" i="5" s="1"/>
  <c r="H82" i="5" a="1"/>
  <c r="H82" i="5" s="1"/>
  <c r="H74" i="5" a="1"/>
  <c r="H74" i="5" s="1"/>
  <c r="H66" i="5" a="1"/>
  <c r="H66" i="5" s="1"/>
  <c r="H58" i="5" a="1"/>
  <c r="H58" i="5" s="1"/>
  <c r="H50" i="5" a="1"/>
  <c r="H50" i="5" s="1"/>
  <c r="H42" i="5" a="1"/>
  <c r="H42" i="5" s="1"/>
  <c r="H34" i="5" a="1"/>
  <c r="H34" i="5" s="1"/>
  <c r="H26" i="5" a="1"/>
  <c r="H26" i="5" s="1"/>
  <c r="K76" i="5" a="1"/>
  <c r="K76" i="5" s="1"/>
  <c r="J239" i="5" a="1"/>
  <c r="J239" i="5" s="1"/>
  <c r="J175" i="5" a="1"/>
  <c r="J175" i="5" s="1"/>
  <c r="J137" i="5" a="1"/>
  <c r="J137" i="5" s="1"/>
  <c r="J129" i="5" a="1"/>
  <c r="J129" i="5" s="1"/>
  <c r="J121" i="5" a="1"/>
  <c r="J121" i="5" s="1"/>
  <c r="J113" i="5" a="1"/>
  <c r="J113" i="5" s="1"/>
  <c r="J105" i="5" a="1"/>
  <c r="J105" i="5" s="1"/>
  <c r="J97" i="5" a="1"/>
  <c r="J97" i="5" s="1"/>
  <c r="J89" i="5" a="1"/>
  <c r="J89" i="5" s="1"/>
  <c r="J81" i="5" a="1"/>
  <c r="J81" i="5" s="1"/>
  <c r="J73" i="5" a="1"/>
  <c r="J73" i="5" s="1"/>
  <c r="J65" i="5" a="1"/>
  <c r="J65" i="5" s="1"/>
  <c r="J57" i="5" a="1"/>
  <c r="J57" i="5" s="1"/>
  <c r="J49" i="5" a="1"/>
  <c r="J49" i="5" s="1"/>
  <c r="J41" i="5" a="1"/>
  <c r="J41" i="5" s="1"/>
  <c r="J33" i="5" a="1"/>
  <c r="J33" i="5" s="1"/>
  <c r="J25" i="5" a="1"/>
  <c r="J25" i="5" s="1"/>
  <c r="J17" i="5" a="1"/>
  <c r="J17" i="5" s="1"/>
  <c r="J9" i="5" a="1"/>
  <c r="J9" i="5" s="1"/>
  <c r="I246" i="5" a="1"/>
  <c r="I246" i="5" s="1"/>
  <c r="I238" i="5" a="1"/>
  <c r="I238" i="5" s="1"/>
  <c r="I230" i="5" a="1"/>
  <c r="I230" i="5" s="1"/>
  <c r="I222" i="5" a="1"/>
  <c r="I222" i="5" s="1"/>
  <c r="I214" i="5" a="1"/>
  <c r="I214" i="5" s="1"/>
  <c r="I206" i="5" a="1"/>
  <c r="I206" i="5" s="1"/>
  <c r="I198" i="5" a="1"/>
  <c r="I198" i="5" s="1"/>
  <c r="I190" i="5" a="1"/>
  <c r="I190" i="5" s="1"/>
  <c r="I182" i="5" a="1"/>
  <c r="I182" i="5" s="1"/>
  <c r="I174" i="5" a="1"/>
  <c r="I174" i="5" s="1"/>
  <c r="I166" i="5" a="1"/>
  <c r="I166" i="5" s="1"/>
  <c r="I158" i="5" a="1"/>
  <c r="I158" i="5" s="1"/>
  <c r="I150" i="5" a="1"/>
  <c r="I150" i="5" s="1"/>
  <c r="I142" i="5" a="1"/>
  <c r="I142" i="5" s="1"/>
  <c r="I134" i="5" a="1"/>
  <c r="I134" i="5" s="1"/>
  <c r="I126" i="5" a="1"/>
  <c r="I126" i="5" s="1"/>
  <c r="I118" i="5" a="1"/>
  <c r="I118" i="5" s="1"/>
  <c r="I110" i="5" a="1"/>
  <c r="I110" i="5" s="1"/>
  <c r="I102" i="5" a="1"/>
  <c r="I102" i="5" s="1"/>
  <c r="I94" i="5" a="1"/>
  <c r="I94" i="5" s="1"/>
  <c r="I86" i="5" a="1"/>
  <c r="I86" i="5" s="1"/>
  <c r="I78" i="5" a="1"/>
  <c r="I78" i="5" s="1"/>
  <c r="I70" i="5" a="1"/>
  <c r="I70" i="5" s="1"/>
  <c r="I62" i="5" a="1"/>
  <c r="I62" i="5" s="1"/>
  <c r="I54" i="5" a="1"/>
  <c r="I54" i="5" s="1"/>
  <c r="I46" i="5" a="1"/>
  <c r="I46" i="5" s="1"/>
  <c r="I38" i="5" a="1"/>
  <c r="I38" i="5" s="1"/>
  <c r="I30" i="5" a="1"/>
  <c r="I30" i="5" s="1"/>
  <c r="I22" i="5" a="1"/>
  <c r="I22" i="5" s="1"/>
  <c r="I14" i="5" a="1"/>
  <c r="I14" i="5" s="1"/>
  <c r="I6" i="5" a="1"/>
  <c r="I6" i="5" s="1"/>
  <c r="H243" i="5" a="1"/>
  <c r="H243" i="5" s="1"/>
  <c r="H235" i="5" a="1"/>
  <c r="H235" i="5" s="1"/>
  <c r="H228" i="5" a="1"/>
  <c r="H228" i="5" s="1"/>
  <c r="H213" i="5" a="1"/>
  <c r="H213" i="5" s="1"/>
  <c r="H205" i="5" a="1"/>
  <c r="H205" i="5" s="1"/>
  <c r="H197" i="5" a="1"/>
  <c r="H197" i="5" s="1"/>
  <c r="H189" i="5" a="1"/>
  <c r="H189" i="5" s="1"/>
  <c r="H182" i="5" a="1"/>
  <c r="H182" i="5" s="1"/>
  <c r="H174" i="5" a="1"/>
  <c r="H174" i="5" s="1"/>
  <c r="H166" i="5" a="1"/>
  <c r="H166" i="5" s="1"/>
  <c r="H158" i="5" a="1"/>
  <c r="H158" i="5" s="1"/>
  <c r="H151" i="5" a="1"/>
  <c r="H151" i="5" s="1"/>
  <c r="H143" i="5" a="1"/>
  <c r="H143" i="5" s="1"/>
  <c r="H136" i="5" a="1"/>
  <c r="H136" i="5" s="1"/>
  <c r="H128" i="5" a="1"/>
  <c r="H128" i="5" s="1"/>
  <c r="H120" i="5" a="1"/>
  <c r="H120" i="5" s="1"/>
  <c r="H112" i="5" a="1"/>
  <c r="H112" i="5" s="1"/>
  <c r="H97" i="5" a="1"/>
  <c r="H97" i="5" s="1"/>
  <c r="H89" i="5" a="1"/>
  <c r="H89" i="5" s="1"/>
  <c r="H81" i="5" a="1"/>
  <c r="H81" i="5" s="1"/>
  <c r="H73" i="5" a="1"/>
  <c r="H73" i="5" s="1"/>
  <c r="H65" i="5" a="1"/>
  <c r="H65" i="5" s="1"/>
  <c r="H57" i="5" a="1"/>
  <c r="H57" i="5" s="1"/>
  <c r="H49" i="5" a="1"/>
  <c r="H49" i="5" s="1"/>
  <c r="H41" i="5" a="1"/>
  <c r="H41" i="5" s="1"/>
  <c r="K50" i="5" a="1"/>
  <c r="K50" i="5" s="1"/>
  <c r="J231" i="5" a="1"/>
  <c r="J231" i="5" s="1"/>
  <c r="J167" i="5" a="1"/>
  <c r="J167" i="5" s="1"/>
  <c r="J136" i="5" a="1"/>
  <c r="J136" i="5" s="1"/>
  <c r="J128" i="5" a="1"/>
  <c r="J128" i="5" s="1"/>
  <c r="J120" i="5" a="1"/>
  <c r="J120" i="5" s="1"/>
  <c r="J112" i="5" a="1"/>
  <c r="J112" i="5" s="1"/>
  <c r="J104" i="5" a="1"/>
  <c r="J104" i="5" s="1"/>
  <c r="J96" i="5" a="1"/>
  <c r="J96" i="5" s="1"/>
  <c r="J88" i="5" a="1"/>
  <c r="J88" i="5" s="1"/>
  <c r="J80" i="5" a="1"/>
  <c r="J80" i="5" s="1"/>
  <c r="J72" i="5" a="1"/>
  <c r="J72" i="5" s="1"/>
  <c r="J64" i="5" a="1"/>
  <c r="J64" i="5" s="1"/>
  <c r="J56" i="5" a="1"/>
  <c r="J56" i="5" s="1"/>
  <c r="J48" i="5" a="1"/>
  <c r="J48" i="5" s="1"/>
  <c r="J40" i="5" a="1"/>
  <c r="J40" i="5" s="1"/>
  <c r="J32" i="5" a="1"/>
  <c r="J32" i="5" s="1"/>
  <c r="J24" i="5" a="1"/>
  <c r="J24" i="5" s="1"/>
  <c r="J16" i="5" a="1"/>
  <c r="J16" i="5" s="1"/>
  <c r="J8" i="5" a="1"/>
  <c r="J8" i="5" s="1"/>
  <c r="I245" i="5" a="1"/>
  <c r="I245" i="5" s="1"/>
  <c r="I237" i="5" a="1"/>
  <c r="I237" i="5" s="1"/>
  <c r="I229" i="5" a="1"/>
  <c r="I229" i="5" s="1"/>
  <c r="I221" i="5" a="1"/>
  <c r="I221" i="5" s="1"/>
  <c r="I213" i="5" a="1"/>
  <c r="I213" i="5" s="1"/>
  <c r="I205" i="5" a="1"/>
  <c r="I205" i="5" s="1"/>
  <c r="I197" i="5" a="1"/>
  <c r="I197" i="5" s="1"/>
  <c r="I189" i="5" a="1"/>
  <c r="I189" i="5" s="1"/>
  <c r="I181" i="5" a="1"/>
  <c r="I181" i="5" s="1"/>
  <c r="I173" i="5" a="1"/>
  <c r="I173" i="5" s="1"/>
  <c r="I165" i="5" a="1"/>
  <c r="I165" i="5" s="1"/>
  <c r="I157" i="5" a="1"/>
  <c r="I157" i="5" s="1"/>
  <c r="I149" i="5" a="1"/>
  <c r="I149" i="5" s="1"/>
  <c r="I141" i="5" a="1"/>
  <c r="I141" i="5" s="1"/>
  <c r="I133" i="5" a="1"/>
  <c r="I133" i="5" s="1"/>
  <c r="I125" i="5" a="1"/>
  <c r="I125" i="5" s="1"/>
  <c r="I117" i="5" a="1"/>
  <c r="I117" i="5" s="1"/>
  <c r="I109" i="5" a="1"/>
  <c r="I109" i="5" s="1"/>
  <c r="I101" i="5" a="1"/>
  <c r="I101" i="5" s="1"/>
  <c r="I93" i="5" a="1"/>
  <c r="I93" i="5" s="1"/>
  <c r="I85" i="5" a="1"/>
  <c r="I85" i="5" s="1"/>
  <c r="I77" i="5" a="1"/>
  <c r="I77" i="5" s="1"/>
  <c r="I69" i="5" a="1"/>
  <c r="I69" i="5" s="1"/>
  <c r="I61" i="5" a="1"/>
  <c r="I61" i="5" s="1"/>
  <c r="I53" i="5" a="1"/>
  <c r="I53" i="5" s="1"/>
  <c r="I45" i="5" a="1"/>
  <c r="I45" i="5" s="1"/>
  <c r="I37" i="5" a="1"/>
  <c r="I37" i="5" s="1"/>
  <c r="I29" i="5" a="1"/>
  <c r="I29" i="5" s="1"/>
  <c r="I21" i="5" a="1"/>
  <c r="I21" i="5" s="1"/>
  <c r="I13" i="5" a="1"/>
  <c r="I13" i="5" s="1"/>
  <c r="I5" i="5" a="1"/>
  <c r="I5" i="5" s="1"/>
  <c r="H242" i="5" a="1"/>
  <c r="H242" i="5" s="1"/>
  <c r="H234" i="5" a="1"/>
  <c r="H234" i="5" s="1"/>
  <c r="H227" i="5" a="1"/>
  <c r="H227" i="5" s="1"/>
  <c r="H220" i="5" a="1"/>
  <c r="H220" i="5" s="1"/>
  <c r="H212" i="5" a="1"/>
  <c r="H212" i="5" s="1"/>
  <c r="H204" i="5" a="1"/>
  <c r="H204" i="5" s="1"/>
  <c r="H196" i="5" a="1"/>
  <c r="H196" i="5" s="1"/>
  <c r="H181" i="5" a="1"/>
  <c r="H181" i="5" s="1"/>
  <c r="H173" i="5" a="1"/>
  <c r="H173" i="5" s="1"/>
  <c r="H165" i="5" a="1"/>
  <c r="H165" i="5" s="1"/>
  <c r="H157" i="5" a="1"/>
  <c r="H157" i="5" s="1"/>
  <c r="H150" i="5" a="1"/>
  <c r="H150" i="5" s="1"/>
  <c r="H142" i="5" a="1"/>
  <c r="H142" i="5" s="1"/>
  <c r="H135" i="5" a="1"/>
  <c r="H135" i="5" s="1"/>
  <c r="H127" i="5" a="1"/>
  <c r="H127" i="5" s="1"/>
  <c r="H119" i="5" a="1"/>
  <c r="H119" i="5" s="1"/>
  <c r="H111" i="5" a="1"/>
  <c r="H111" i="5" s="1"/>
  <c r="H104" i="5" a="1"/>
  <c r="H104" i="5" s="1"/>
  <c r="H96" i="5" a="1"/>
  <c r="H96" i="5" s="1"/>
  <c r="H88" i="5" a="1"/>
  <c r="H88" i="5" s="1"/>
  <c r="H80" i="5" a="1"/>
  <c r="H80" i="5" s="1"/>
  <c r="H72" i="5" a="1"/>
  <c r="H72" i="5" s="1"/>
  <c r="H64" i="5" a="1"/>
  <c r="H64" i="5" s="1"/>
  <c r="H56" i="5" a="1"/>
  <c r="H56" i="5" s="1"/>
  <c r="K42" i="5" a="1"/>
  <c r="K42" i="5" s="1"/>
  <c r="J223" i="5" a="1"/>
  <c r="J223" i="5" s="1"/>
  <c r="J159" i="5" a="1"/>
  <c r="J159" i="5" s="1"/>
  <c r="J135" i="5" a="1"/>
  <c r="J135" i="5" s="1"/>
  <c r="J127" i="5" a="1"/>
  <c r="J127" i="5" s="1"/>
  <c r="J119" i="5" a="1"/>
  <c r="J119" i="5" s="1"/>
  <c r="J111" i="5" a="1"/>
  <c r="J111" i="5" s="1"/>
  <c r="J103" i="5" a="1"/>
  <c r="J103" i="5" s="1"/>
  <c r="J95" i="5" a="1"/>
  <c r="J95" i="5" s="1"/>
  <c r="J87" i="5" a="1"/>
  <c r="J87" i="5" s="1"/>
  <c r="J79" i="5" a="1"/>
  <c r="J79" i="5" s="1"/>
  <c r="J71" i="5" a="1"/>
  <c r="J71" i="5" s="1"/>
  <c r="J63" i="5" a="1"/>
  <c r="J63" i="5" s="1"/>
  <c r="J55" i="5" a="1"/>
  <c r="J55" i="5" s="1"/>
  <c r="J47" i="5" a="1"/>
  <c r="J47" i="5" s="1"/>
  <c r="J39" i="5" a="1"/>
  <c r="J39" i="5" s="1"/>
  <c r="J31" i="5" a="1"/>
  <c r="J31" i="5" s="1"/>
  <c r="J23" i="5" a="1"/>
  <c r="J23" i="5" s="1"/>
  <c r="J15" i="5" a="1"/>
  <c r="J15" i="5" s="1"/>
  <c r="J7" i="5" a="1"/>
  <c r="J7" i="5" s="1"/>
  <c r="I244" i="5" a="1"/>
  <c r="I244" i="5" s="1"/>
  <c r="I236" i="5" a="1"/>
  <c r="I236" i="5" s="1"/>
  <c r="I228" i="5" a="1"/>
  <c r="I228" i="5" s="1"/>
  <c r="I220" i="5" a="1"/>
  <c r="I220" i="5" s="1"/>
  <c r="I212" i="5" a="1"/>
  <c r="I212" i="5" s="1"/>
  <c r="I204" i="5" a="1"/>
  <c r="I204" i="5" s="1"/>
  <c r="I196" i="5" a="1"/>
  <c r="I196" i="5" s="1"/>
  <c r="I188" i="5" a="1"/>
  <c r="I188" i="5" s="1"/>
  <c r="I180" i="5" a="1"/>
  <c r="I180" i="5" s="1"/>
  <c r="I172" i="5" a="1"/>
  <c r="I172" i="5" s="1"/>
  <c r="I164" i="5" a="1"/>
  <c r="I164" i="5" s="1"/>
  <c r="I156" i="5" a="1"/>
  <c r="I156" i="5" s="1"/>
  <c r="I148" i="5" a="1"/>
  <c r="I148" i="5" s="1"/>
  <c r="I140" i="5" a="1"/>
  <c r="I140" i="5" s="1"/>
  <c r="I132" i="5" a="1"/>
  <c r="I132" i="5" s="1"/>
  <c r="I124" i="5" a="1"/>
  <c r="I124" i="5" s="1"/>
  <c r="I116" i="5" a="1"/>
  <c r="I116" i="5" s="1"/>
  <c r="I108" i="5" a="1"/>
  <c r="I108" i="5" s="1"/>
  <c r="I100" i="5" a="1"/>
  <c r="I100" i="5" s="1"/>
  <c r="I92" i="5" a="1"/>
  <c r="I92" i="5" s="1"/>
  <c r="I84" i="5" a="1"/>
  <c r="I84" i="5" s="1"/>
  <c r="I76" i="5" a="1"/>
  <c r="I76" i="5" s="1"/>
  <c r="I68" i="5" a="1"/>
  <c r="I68" i="5" s="1"/>
  <c r="I60" i="5" a="1"/>
  <c r="I60" i="5" s="1"/>
  <c r="I52" i="5" a="1"/>
  <c r="I52" i="5" s="1"/>
  <c r="I44" i="5" a="1"/>
  <c r="I44" i="5" s="1"/>
  <c r="I36" i="5" a="1"/>
  <c r="I36" i="5" s="1"/>
  <c r="I28" i="5" a="1"/>
  <c r="I28" i="5" s="1"/>
  <c r="I20" i="5" a="1"/>
  <c r="I20" i="5" s="1"/>
  <c r="I12" i="5" a="1"/>
  <c r="I12" i="5" s="1"/>
  <c r="I4" i="5" a="1"/>
  <c r="I4" i="5" s="1"/>
  <c r="H241" i="5" a="1"/>
  <c r="H241" i="5" s="1"/>
  <c r="H233" i="5" a="1"/>
  <c r="H233" i="5" s="1"/>
  <c r="H226" i="5" a="1"/>
  <c r="H226" i="5" s="1"/>
  <c r="H219" i="5" a="1"/>
  <c r="H219" i="5" s="1"/>
  <c r="H211" i="5" a="1"/>
  <c r="H211" i="5" s="1"/>
  <c r="H203" i="5" a="1"/>
  <c r="H203" i="5" s="1"/>
  <c r="H195" i="5" a="1"/>
  <c r="H195" i="5" s="1"/>
  <c r="H188" i="5" a="1"/>
  <c r="H188" i="5" s="1"/>
  <c r="H180" i="5" a="1"/>
  <c r="H180" i="5" s="1"/>
  <c r="H172" i="5" a="1"/>
  <c r="H172" i="5" s="1"/>
  <c r="H164" i="5" a="1"/>
  <c r="H164" i="5" s="1"/>
  <c r="H156" i="5" a="1"/>
  <c r="H156" i="5" s="1"/>
  <c r="H149" i="5" a="1"/>
  <c r="H149" i="5" s="1"/>
  <c r="H141" i="5" a="1"/>
  <c r="H141" i="5" s="1"/>
  <c r="H134" i="5" a="1"/>
  <c r="H134" i="5" s="1"/>
  <c r="H126" i="5" a="1"/>
  <c r="H126" i="5" s="1"/>
  <c r="H118" i="5" a="1"/>
  <c r="H118" i="5" s="1"/>
  <c r="H110" i="5" a="1"/>
  <c r="H110" i="5" s="1"/>
  <c r="H103" i="5" a="1"/>
  <c r="H103" i="5" s="1"/>
  <c r="H95" i="5" a="1"/>
  <c r="H95" i="5" s="1"/>
  <c r="H87" i="5" a="1"/>
  <c r="H87" i="5" s="1"/>
  <c r="H79" i="5" a="1"/>
  <c r="H79" i="5" s="1"/>
  <c r="H71" i="5" a="1"/>
  <c r="H71" i="5" s="1"/>
  <c r="G156" i="5" a="1"/>
  <c r="G156" i="5" s="1"/>
  <c r="G164" i="5" a="1"/>
  <c r="G164" i="5" s="1"/>
  <c r="G172" i="5" a="1"/>
  <c r="G172" i="5" s="1"/>
  <c r="G180" i="5" a="1"/>
  <c r="G180" i="5" s="1"/>
  <c r="G188" i="5" a="1"/>
  <c r="G188" i="5" s="1"/>
  <c r="G195" i="5" a="1"/>
  <c r="G195" i="5" s="1"/>
  <c r="G202" i="5" a="1"/>
  <c r="G202" i="5" s="1"/>
  <c r="G210" i="5" a="1"/>
  <c r="G210" i="5" s="1"/>
  <c r="G217" i="5" a="1"/>
  <c r="G217" i="5" s="1"/>
  <c r="G225" i="5" a="1"/>
  <c r="G225" i="5" s="1"/>
  <c r="G233" i="5" a="1"/>
  <c r="G233" i="5" s="1"/>
  <c r="G241" i="5" a="1"/>
  <c r="G241" i="5" s="1"/>
  <c r="H4" i="5" a="1"/>
  <c r="H4" i="5" s="1"/>
  <c r="H12" i="5" a="1"/>
  <c r="H12" i="5" s="1"/>
  <c r="H20" i="5" a="1"/>
  <c r="H20" i="5" s="1"/>
  <c r="H29" i="5" a="1"/>
  <c r="H29" i="5" s="1"/>
  <c r="H38" i="5" a="1"/>
  <c r="H38" i="5" s="1"/>
  <c r="H48" i="5" a="1"/>
  <c r="H48" i="5" s="1"/>
  <c r="H63" i="5" a="1"/>
  <c r="H63" i="5" s="1"/>
  <c r="H116" i="5" a="1"/>
  <c r="H116" i="5" s="1"/>
  <c r="H178" i="5" a="1"/>
  <c r="H178" i="5" s="1"/>
  <c r="H239" i="5" a="1"/>
  <c r="H239" i="5" s="1"/>
  <c r="I58" i="5" a="1"/>
  <c r="I58" i="5" s="1"/>
  <c r="I122" i="5" a="1"/>
  <c r="I122" i="5" s="1"/>
  <c r="G173" i="5" a="1"/>
  <c r="G173" i="5" s="1"/>
  <c r="G181" i="5" a="1"/>
  <c r="G181" i="5" s="1"/>
  <c r="G196" i="5" a="1"/>
  <c r="G196" i="5" s="1"/>
  <c r="G203" i="5" a="1"/>
  <c r="G203" i="5" s="1"/>
  <c r="G211" i="5" a="1"/>
  <c r="G211" i="5" s="1"/>
  <c r="G218" i="5" a="1"/>
  <c r="G218" i="5" s="1"/>
  <c r="G226" i="5" a="1"/>
  <c r="G226" i="5" s="1"/>
  <c r="G234" i="5" a="1"/>
  <c r="G234" i="5" s="1"/>
  <c r="G242" i="5" a="1"/>
  <c r="G242" i="5" s="1"/>
  <c r="H5" i="5" a="1"/>
  <c r="H5" i="5" s="1"/>
  <c r="H13" i="5" a="1"/>
  <c r="H13" i="5" s="1"/>
  <c r="H21" i="5" a="1"/>
  <c r="H21" i="5" s="1"/>
  <c r="H30" i="5" a="1"/>
  <c r="H30" i="5" s="1"/>
  <c r="H39" i="5" a="1"/>
  <c r="H39" i="5" s="1"/>
  <c r="H51" i="5" a="1"/>
  <c r="H51" i="5" s="1"/>
  <c r="H68" i="5" a="1"/>
  <c r="H68" i="5" s="1"/>
  <c r="H124" i="5" a="1"/>
  <c r="H124" i="5" s="1"/>
  <c r="H186" i="5" a="1"/>
  <c r="H186" i="5" s="1"/>
  <c r="H247" i="5" a="1"/>
  <c r="H247" i="5" s="1"/>
  <c r="K196" i="5" a="1"/>
  <c r="K196" i="5" s="1"/>
  <c r="K236" i="5" a="1"/>
  <c r="K236" i="5" s="1"/>
  <c r="J144" i="5" a="1"/>
  <c r="J144" i="5" s="1"/>
  <c r="J152" i="5" a="1"/>
  <c r="J152" i="5" s="1"/>
  <c r="J160" i="5" a="1"/>
  <c r="J160" i="5" s="1"/>
  <c r="J168" i="5" a="1"/>
  <c r="J168" i="5" s="1"/>
  <c r="J176" i="5" a="1"/>
  <c r="J176" i="5" s="1"/>
  <c r="J184" i="5" a="1"/>
  <c r="J184" i="5" s="1"/>
  <c r="J192" i="5" a="1"/>
  <c r="J192" i="5" s="1"/>
  <c r="J200" i="5" a="1"/>
  <c r="J200" i="5" s="1"/>
  <c r="J208" i="5" a="1"/>
  <c r="J208" i="5" s="1"/>
  <c r="J216" i="5" a="1"/>
  <c r="J216" i="5" s="1"/>
  <c r="J224" i="5" a="1"/>
  <c r="J224" i="5" s="1"/>
  <c r="J232" i="5" a="1"/>
  <c r="J232" i="5" s="1"/>
  <c r="J240" i="5" a="1"/>
  <c r="J240" i="5" s="1"/>
  <c r="K3" i="5" a="1"/>
  <c r="K3" i="5" s="1"/>
  <c r="K11" i="5" a="1"/>
  <c r="K11" i="5" s="1"/>
  <c r="K19" i="5" a="1"/>
  <c r="K19" i="5" s="1"/>
  <c r="K27" i="5" a="1"/>
  <c r="K27" i="5" s="1"/>
  <c r="K35" i="5" a="1"/>
  <c r="K35" i="5" s="1"/>
  <c r="K43" i="5" a="1"/>
  <c r="K43" i="5" s="1"/>
  <c r="K51" i="5" a="1"/>
  <c r="K51" i="5" s="1"/>
  <c r="K84" i="5" a="1"/>
  <c r="K84" i="5" s="1"/>
  <c r="K148" i="5" a="1"/>
  <c r="K148" i="5" s="1"/>
  <c r="K212" i="5" a="1"/>
  <c r="K212" i="5" s="1"/>
  <c r="J153" i="5" a="1"/>
  <c r="J153" i="5" s="1"/>
  <c r="J161" i="5" a="1"/>
  <c r="J161" i="5" s="1"/>
  <c r="J169" i="5" a="1"/>
  <c r="J169" i="5" s="1"/>
  <c r="J177" i="5" a="1"/>
  <c r="J177" i="5" s="1"/>
  <c r="J185" i="5" a="1"/>
  <c r="J185" i="5" s="1"/>
  <c r="J193" i="5" a="1"/>
  <c r="J193" i="5" s="1"/>
  <c r="J201" i="5" a="1"/>
  <c r="J201" i="5" s="1"/>
  <c r="J209" i="5" a="1"/>
  <c r="J209" i="5" s="1"/>
  <c r="J217" i="5" a="1"/>
  <c r="J217" i="5" s="1"/>
  <c r="J225" i="5" a="1"/>
  <c r="J225" i="5" s="1"/>
  <c r="J233" i="5" a="1"/>
  <c r="J233" i="5" s="1"/>
  <c r="J241" i="5" a="1"/>
  <c r="J241" i="5" s="1"/>
  <c r="K4" i="5" a="1"/>
  <c r="K4" i="5" s="1"/>
  <c r="K12" i="5" a="1"/>
  <c r="K12" i="5" s="1"/>
  <c r="K20" i="5" a="1"/>
  <c r="K20" i="5" s="1"/>
  <c r="K28" i="5" a="1"/>
  <c r="K28" i="5" s="1"/>
  <c r="K36" i="5" a="1"/>
  <c r="K36" i="5" s="1"/>
  <c r="K44" i="5" a="1"/>
  <c r="K44" i="5" s="1"/>
  <c r="K52" i="5" a="1"/>
  <c r="K52" i="5" s="1"/>
  <c r="K92" i="5" a="1"/>
  <c r="K92" i="5" s="1"/>
  <c r="K156" i="5" a="1"/>
  <c r="K156" i="5" s="1"/>
  <c r="K220" i="5" a="1"/>
  <c r="K220" i="5" s="1"/>
  <c r="J146" i="5" a="1"/>
  <c r="J146" i="5" s="1"/>
  <c r="J154" i="5" a="1"/>
  <c r="J154" i="5" s="1"/>
  <c r="J162" i="5" a="1"/>
  <c r="J162" i="5" s="1"/>
  <c r="J170" i="5" a="1"/>
  <c r="J170" i="5" s="1"/>
  <c r="J178" i="5" a="1"/>
  <c r="J178" i="5" s="1"/>
  <c r="J186" i="5" a="1"/>
  <c r="J186" i="5" s="1"/>
  <c r="J194" i="5" a="1"/>
  <c r="J194" i="5" s="1"/>
  <c r="J202" i="5" a="1"/>
  <c r="J202" i="5" s="1"/>
  <c r="J210" i="5" a="1"/>
  <c r="J210" i="5" s="1"/>
  <c r="J218" i="5" a="1"/>
  <c r="J218" i="5" s="1"/>
  <c r="J226" i="5" a="1"/>
  <c r="J226" i="5" s="1"/>
  <c r="J234" i="5" a="1"/>
  <c r="J234" i="5" s="1"/>
  <c r="J242" i="5" a="1"/>
  <c r="J242" i="5" s="1"/>
  <c r="K5" i="5" a="1"/>
  <c r="K5" i="5" s="1"/>
  <c r="K13" i="5" a="1"/>
  <c r="K13" i="5" s="1"/>
  <c r="K21" i="5" a="1"/>
  <c r="K21" i="5" s="1"/>
  <c r="K29" i="5" a="1"/>
  <c r="K29" i="5" s="1"/>
  <c r="K37" i="5" a="1"/>
  <c r="K37" i="5" s="1"/>
  <c r="K45" i="5" a="1"/>
  <c r="K45" i="5" s="1"/>
  <c r="K53" i="5" a="1"/>
  <c r="K53" i="5" s="1"/>
  <c r="K100" i="5" a="1"/>
  <c r="K100" i="5" s="1"/>
  <c r="K164" i="5" a="1"/>
  <c r="K164" i="5" s="1"/>
  <c r="K228" i="5" a="1"/>
  <c r="K228" i="5" s="1"/>
  <c r="J147" i="5" a="1"/>
  <c r="J147" i="5" s="1"/>
  <c r="J155" i="5" a="1"/>
  <c r="J155" i="5" s="1"/>
  <c r="J163" i="5" a="1"/>
  <c r="J163" i="5" s="1"/>
  <c r="J171" i="5" a="1"/>
  <c r="J171" i="5" s="1"/>
  <c r="J179" i="5" a="1"/>
  <c r="J179" i="5" s="1"/>
  <c r="J187" i="5" a="1"/>
  <c r="J187" i="5" s="1"/>
  <c r="J195" i="5" a="1"/>
  <c r="J195" i="5" s="1"/>
  <c r="J203" i="5" a="1"/>
  <c r="J203" i="5" s="1"/>
  <c r="J211" i="5" a="1"/>
  <c r="J211" i="5" s="1"/>
  <c r="J219" i="5" a="1"/>
  <c r="J219" i="5" s="1"/>
  <c r="J227" i="5" a="1"/>
  <c r="J227" i="5" s="1"/>
  <c r="J235" i="5" a="1"/>
  <c r="J235" i="5" s="1"/>
  <c r="J243" i="5" a="1"/>
  <c r="J243" i="5" s="1"/>
  <c r="K6" i="5" a="1"/>
  <c r="K6" i="5" s="1"/>
  <c r="K14" i="5" a="1"/>
  <c r="K14" i="5" s="1"/>
  <c r="K22" i="5" a="1"/>
  <c r="K22" i="5" s="1"/>
  <c r="K30" i="5" a="1"/>
  <c r="K30" i="5" s="1"/>
  <c r="K38" i="5" a="1"/>
  <c r="K38" i="5" s="1"/>
  <c r="K46" i="5" a="1"/>
  <c r="K46" i="5" s="1"/>
  <c r="K55" i="5" a="1"/>
  <c r="K55" i="5" s="1"/>
  <c r="K108" i="5" a="1"/>
  <c r="K108" i="5" s="1"/>
  <c r="K172" i="5" a="1"/>
  <c r="K172" i="5" s="1"/>
  <c r="J140" i="5" a="1"/>
  <c r="J140" i="5" s="1"/>
  <c r="J148" i="5" a="1"/>
  <c r="J148" i="5" s="1"/>
  <c r="J156" i="5" a="1"/>
  <c r="J156" i="5" s="1"/>
  <c r="J164" i="5" a="1"/>
  <c r="J164" i="5" s="1"/>
  <c r="J172" i="5" a="1"/>
  <c r="J172" i="5" s="1"/>
  <c r="J180" i="5" a="1"/>
  <c r="J180" i="5" s="1"/>
  <c r="J188" i="5" a="1"/>
  <c r="J188" i="5" s="1"/>
  <c r="J196" i="5" a="1"/>
  <c r="J196" i="5" s="1"/>
  <c r="J204" i="5" a="1"/>
  <c r="J204" i="5" s="1"/>
  <c r="J212" i="5" a="1"/>
  <c r="J212" i="5" s="1"/>
  <c r="J220" i="5" a="1"/>
  <c r="J220" i="5" s="1"/>
  <c r="J228" i="5" a="1"/>
  <c r="J228" i="5" s="1"/>
  <c r="J236" i="5" a="1"/>
  <c r="J236" i="5" s="1"/>
  <c r="J244" i="5" a="1"/>
  <c r="J244" i="5" s="1"/>
  <c r="K7" i="5" a="1"/>
  <c r="K7" i="5" s="1"/>
  <c r="K15" i="5" a="1"/>
  <c r="K15" i="5" s="1"/>
  <c r="K23" i="5" a="1"/>
  <c r="K23" i="5" s="1"/>
  <c r="K31" i="5" a="1"/>
  <c r="K31" i="5" s="1"/>
  <c r="K39" i="5" a="1"/>
  <c r="K39" i="5" s="1"/>
  <c r="K47" i="5" a="1"/>
  <c r="K47" i="5" s="1"/>
  <c r="K57" i="5" a="1"/>
  <c r="K57" i="5" s="1"/>
  <c r="K116" i="5" a="1"/>
  <c r="K116" i="5" s="1"/>
  <c r="K180" i="5" a="1"/>
  <c r="K180" i="5" s="1"/>
  <c r="J141" i="5" a="1"/>
  <c r="J141" i="5" s="1"/>
  <c r="J149" i="5" a="1"/>
  <c r="J149" i="5" s="1"/>
  <c r="J157" i="5" a="1"/>
  <c r="J157" i="5" s="1"/>
  <c r="J165" i="5" a="1"/>
  <c r="J165" i="5" s="1"/>
  <c r="J173" i="5" a="1"/>
  <c r="J173" i="5" s="1"/>
  <c r="J181" i="5" a="1"/>
  <c r="J181" i="5" s="1"/>
  <c r="J189" i="5" a="1"/>
  <c r="J189" i="5" s="1"/>
  <c r="J197" i="5" a="1"/>
  <c r="J197" i="5" s="1"/>
  <c r="J205" i="5" a="1"/>
  <c r="J205" i="5" s="1"/>
  <c r="J213" i="5" a="1"/>
  <c r="J213" i="5" s="1"/>
  <c r="J221" i="5" a="1"/>
  <c r="J221" i="5" s="1"/>
  <c r="J229" i="5" a="1"/>
  <c r="J229" i="5" s="1"/>
  <c r="J237" i="5" a="1"/>
  <c r="J237" i="5" s="1"/>
  <c r="J245" i="5" a="1"/>
  <c r="J245" i="5" s="1"/>
  <c r="K8" i="5" a="1"/>
  <c r="K8" i="5" s="1"/>
  <c r="K16" i="5" a="1"/>
  <c r="K16" i="5" s="1"/>
  <c r="K24" i="5" a="1"/>
  <c r="K24" i="5" s="1"/>
  <c r="K32" i="5" a="1"/>
  <c r="K32" i="5" s="1"/>
  <c r="K40" i="5" a="1"/>
  <c r="K40" i="5" s="1"/>
  <c r="K48" i="5" a="1"/>
  <c r="K48" i="5" s="1"/>
  <c r="K60" i="5" a="1"/>
  <c r="K60" i="5" s="1"/>
  <c r="K124" i="5" a="1"/>
  <c r="K124" i="5" s="1"/>
  <c r="K188" i="5" a="1"/>
  <c r="K188" i="5" s="1"/>
  <c r="J142" i="5" a="1"/>
  <c r="J142" i="5" s="1"/>
  <c r="J150" i="5" a="1"/>
  <c r="J150" i="5" s="1"/>
  <c r="J158" i="5" a="1"/>
  <c r="J158" i="5" s="1"/>
  <c r="J166" i="5" a="1"/>
  <c r="J166" i="5" s="1"/>
  <c r="J174" i="5" a="1"/>
  <c r="J174" i="5" s="1"/>
  <c r="J182" i="5" a="1"/>
  <c r="J182" i="5" s="1"/>
  <c r="J190" i="5" a="1"/>
  <c r="J190" i="5" s="1"/>
  <c r="J198" i="5" a="1"/>
  <c r="J198" i="5" s="1"/>
  <c r="J206" i="5" a="1"/>
  <c r="J206" i="5" s="1"/>
  <c r="J214" i="5" a="1"/>
  <c r="J214" i="5" s="1"/>
  <c r="J222" i="5" a="1"/>
  <c r="J222" i="5" s="1"/>
  <c r="J230" i="5" a="1"/>
  <c r="J230" i="5" s="1"/>
  <c r="J238" i="5" a="1"/>
  <c r="J238" i="5" s="1"/>
  <c r="J246" i="5" a="1"/>
  <c r="J246" i="5" s="1"/>
  <c r="K9" i="5" a="1"/>
  <c r="K9" i="5" s="1"/>
  <c r="K17" i="5" a="1"/>
  <c r="K17" i="5" s="1"/>
  <c r="K25" i="5" a="1"/>
  <c r="K25" i="5" s="1"/>
  <c r="K33" i="5" a="1"/>
  <c r="K33" i="5" s="1"/>
  <c r="K41" i="5" a="1"/>
  <c r="K41" i="5" s="1"/>
  <c r="K49" i="5" a="1"/>
  <c r="K49" i="5" s="1"/>
  <c r="K68" i="5" a="1"/>
  <c r="K68" i="5" s="1"/>
  <c r="K132" i="5" a="1"/>
  <c r="K132" i="5" s="1"/>
  <c r="K235" i="5" a="1"/>
  <c r="K235" i="5" s="1"/>
  <c r="K227" i="5" a="1"/>
  <c r="K227" i="5" s="1"/>
  <c r="K219" i="5" a="1"/>
  <c r="K219" i="5" s="1"/>
  <c r="K211" i="5" a="1"/>
  <c r="K211" i="5" s="1"/>
  <c r="K203" i="5" a="1"/>
  <c r="K203" i="5" s="1"/>
  <c r="K195" i="5" a="1"/>
  <c r="K195" i="5" s="1"/>
  <c r="K187" i="5" a="1"/>
  <c r="K187" i="5" s="1"/>
  <c r="K179" i="5" a="1"/>
  <c r="K179" i="5" s="1"/>
  <c r="K171" i="5" a="1"/>
  <c r="K171" i="5" s="1"/>
  <c r="K163" i="5" a="1"/>
  <c r="K163" i="5" s="1"/>
  <c r="K155" i="5" a="1"/>
  <c r="K155" i="5" s="1"/>
  <c r="K147" i="5" a="1"/>
  <c r="K147" i="5" s="1"/>
  <c r="K139" i="5" a="1"/>
  <c r="K139" i="5" s="1"/>
  <c r="K131" i="5" a="1"/>
  <c r="K131" i="5" s="1"/>
  <c r="K123" i="5" a="1"/>
  <c r="K123" i="5" s="1"/>
  <c r="K115" i="5" a="1"/>
  <c r="K115" i="5" s="1"/>
  <c r="K107" i="5" a="1"/>
  <c r="K107" i="5" s="1"/>
  <c r="K99" i="5" a="1"/>
  <c r="K99" i="5" s="1"/>
  <c r="K91" i="5" a="1"/>
  <c r="K91" i="5" s="1"/>
  <c r="K83" i="5" a="1"/>
  <c r="K83" i="5" s="1"/>
  <c r="K75" i="5" a="1"/>
  <c r="K75" i="5" s="1"/>
  <c r="K67" i="5" a="1"/>
  <c r="K67" i="5" s="1"/>
  <c r="K59" i="5" a="1"/>
  <c r="K59" i="5" s="1"/>
  <c r="K234" i="5" a="1"/>
  <c r="K234" i="5" s="1"/>
  <c r="K226" i="5" a="1"/>
  <c r="K226" i="5" s="1"/>
  <c r="K218" i="5" a="1"/>
  <c r="K218" i="5" s="1"/>
  <c r="K210" i="5" a="1"/>
  <c r="K210" i="5" s="1"/>
  <c r="K202" i="5" a="1"/>
  <c r="K202" i="5" s="1"/>
  <c r="K194" i="5" a="1"/>
  <c r="K194" i="5" s="1"/>
  <c r="K186" i="5" a="1"/>
  <c r="K186" i="5" s="1"/>
  <c r="K178" i="5" a="1"/>
  <c r="K178" i="5" s="1"/>
  <c r="K170" i="5" a="1"/>
  <c r="K170" i="5" s="1"/>
  <c r="K162" i="5" a="1"/>
  <c r="K162" i="5" s="1"/>
  <c r="K154" i="5" a="1"/>
  <c r="K154" i="5" s="1"/>
  <c r="K146" i="5" a="1"/>
  <c r="K146" i="5" s="1"/>
  <c r="K138" i="5" a="1"/>
  <c r="K138" i="5" s="1"/>
  <c r="K130" i="5" a="1"/>
  <c r="K130" i="5" s="1"/>
  <c r="K122" i="5" a="1"/>
  <c r="K122" i="5" s="1"/>
  <c r="K114" i="5" a="1"/>
  <c r="K114" i="5" s="1"/>
  <c r="K106" i="5" a="1"/>
  <c r="K106" i="5" s="1"/>
  <c r="K98" i="5" a="1"/>
  <c r="K98" i="5" s="1"/>
  <c r="K90" i="5" a="1"/>
  <c r="K90" i="5" s="1"/>
  <c r="K82" i="5" a="1"/>
  <c r="K82" i="5" s="1"/>
  <c r="K74" i="5" a="1"/>
  <c r="K74" i="5" s="1"/>
  <c r="K66" i="5" a="1"/>
  <c r="K66" i="5" s="1"/>
  <c r="K58" i="5" a="1"/>
  <c r="K58" i="5" s="1"/>
  <c r="K244" i="5" a="1"/>
  <c r="K244" i="5" s="1"/>
  <c r="K233" i="5" a="1"/>
  <c r="K233" i="5" s="1"/>
  <c r="K225" i="5" a="1"/>
  <c r="K225" i="5" s="1"/>
  <c r="K217" i="5" a="1"/>
  <c r="K217" i="5" s="1"/>
  <c r="K209" i="5" a="1"/>
  <c r="K209" i="5" s="1"/>
  <c r="K201" i="5" a="1"/>
  <c r="K201" i="5" s="1"/>
  <c r="K193" i="5" a="1"/>
  <c r="K193" i="5" s="1"/>
  <c r="K185" i="5" a="1"/>
  <c r="K185" i="5" s="1"/>
  <c r="K177" i="5" a="1"/>
  <c r="K177" i="5" s="1"/>
  <c r="K169" i="5" a="1"/>
  <c r="K169" i="5" s="1"/>
  <c r="K161" i="5" a="1"/>
  <c r="K161" i="5" s="1"/>
  <c r="K153" i="5" a="1"/>
  <c r="K153" i="5" s="1"/>
  <c r="K145" i="5" a="1"/>
  <c r="K145" i="5" s="1"/>
  <c r="K137" i="5" a="1"/>
  <c r="K137" i="5" s="1"/>
  <c r="K129" i="5" a="1"/>
  <c r="K129" i="5" s="1"/>
  <c r="K121" i="5" a="1"/>
  <c r="K121" i="5" s="1"/>
  <c r="K113" i="5" a="1"/>
  <c r="K113" i="5" s="1"/>
  <c r="K105" i="5" a="1"/>
  <c r="K105" i="5" s="1"/>
  <c r="K97" i="5" a="1"/>
  <c r="K97" i="5" s="1"/>
  <c r="K89" i="5" a="1"/>
  <c r="K89" i="5" s="1"/>
  <c r="K81" i="5" a="1"/>
  <c r="K81" i="5" s="1"/>
  <c r="K73" i="5" a="1"/>
  <c r="K73" i="5" s="1"/>
  <c r="K65" i="5" a="1"/>
  <c r="K65" i="5" s="1"/>
  <c r="K240" i="5" a="1"/>
  <c r="K240" i="5" s="1"/>
  <c r="K232" i="5" a="1"/>
  <c r="K232" i="5" s="1"/>
  <c r="K224" i="5" a="1"/>
  <c r="K224" i="5" s="1"/>
  <c r="K216" i="5" a="1"/>
  <c r="K216" i="5" s="1"/>
  <c r="K208" i="5" a="1"/>
  <c r="K208" i="5" s="1"/>
  <c r="K200" i="5" a="1"/>
  <c r="K200" i="5" s="1"/>
  <c r="K192" i="5" a="1"/>
  <c r="K192" i="5" s="1"/>
  <c r="K184" i="5" a="1"/>
  <c r="K184" i="5" s="1"/>
  <c r="K176" i="5" a="1"/>
  <c r="K176" i="5" s="1"/>
  <c r="K168" i="5" a="1"/>
  <c r="K168" i="5" s="1"/>
  <c r="K160" i="5" a="1"/>
  <c r="K160" i="5" s="1"/>
  <c r="K152" i="5" a="1"/>
  <c r="K152" i="5" s="1"/>
  <c r="K144" i="5" a="1"/>
  <c r="K144" i="5" s="1"/>
  <c r="K136" i="5" a="1"/>
  <c r="K136" i="5" s="1"/>
  <c r="K128" i="5" a="1"/>
  <c r="K128" i="5" s="1"/>
  <c r="K120" i="5" a="1"/>
  <c r="K120" i="5" s="1"/>
  <c r="K112" i="5" a="1"/>
  <c r="K112" i="5" s="1"/>
  <c r="K104" i="5" a="1"/>
  <c r="K104" i="5" s="1"/>
  <c r="K96" i="5" a="1"/>
  <c r="K96" i="5" s="1"/>
  <c r="K88" i="5" a="1"/>
  <c r="K88" i="5" s="1"/>
  <c r="K80" i="5" a="1"/>
  <c r="K80" i="5" s="1"/>
  <c r="K72" i="5" a="1"/>
  <c r="K72" i="5" s="1"/>
  <c r="K64" i="5" a="1"/>
  <c r="K64" i="5" s="1"/>
  <c r="K56" i="5" a="1"/>
  <c r="K56" i="5" s="1"/>
  <c r="K239" i="5" a="1"/>
  <c r="K239" i="5" s="1"/>
  <c r="K231" i="5" a="1"/>
  <c r="K231" i="5" s="1"/>
  <c r="K223" i="5" a="1"/>
  <c r="K223" i="5" s="1"/>
  <c r="K215" i="5" a="1"/>
  <c r="K215" i="5" s="1"/>
  <c r="K207" i="5" a="1"/>
  <c r="K207" i="5" s="1"/>
  <c r="K199" i="5" a="1"/>
  <c r="K199" i="5" s="1"/>
  <c r="K191" i="5" a="1"/>
  <c r="K191" i="5" s="1"/>
  <c r="K183" i="5" a="1"/>
  <c r="K183" i="5" s="1"/>
  <c r="K175" i="5" a="1"/>
  <c r="K175" i="5" s="1"/>
  <c r="K167" i="5" a="1"/>
  <c r="K167" i="5" s="1"/>
  <c r="K159" i="5" a="1"/>
  <c r="K159" i="5" s="1"/>
  <c r="K151" i="5" a="1"/>
  <c r="K151" i="5" s="1"/>
  <c r="K143" i="5" a="1"/>
  <c r="K143" i="5" s="1"/>
  <c r="K135" i="5" a="1"/>
  <c r="K135" i="5" s="1"/>
  <c r="K127" i="5" a="1"/>
  <c r="K127" i="5" s="1"/>
  <c r="K119" i="5" a="1"/>
  <c r="K119" i="5" s="1"/>
  <c r="K111" i="5" a="1"/>
  <c r="K111" i="5" s="1"/>
  <c r="K103" i="5" a="1"/>
  <c r="K103" i="5" s="1"/>
  <c r="K95" i="5" a="1"/>
  <c r="K95" i="5" s="1"/>
  <c r="K87" i="5" a="1"/>
  <c r="K87" i="5" s="1"/>
  <c r="K79" i="5" a="1"/>
  <c r="K79" i="5" s="1"/>
  <c r="K71" i="5" a="1"/>
  <c r="K71" i="5" s="1"/>
  <c r="K63" i="5" a="1"/>
  <c r="K63" i="5" s="1"/>
  <c r="K238" i="5" a="1"/>
  <c r="K238" i="5" s="1"/>
  <c r="K230" i="5" a="1"/>
  <c r="K230" i="5" s="1"/>
  <c r="K222" i="5" a="1"/>
  <c r="K222" i="5" s="1"/>
  <c r="K214" i="5" a="1"/>
  <c r="K214" i="5" s="1"/>
  <c r="K206" i="5" a="1"/>
  <c r="K206" i="5" s="1"/>
  <c r="K198" i="5" a="1"/>
  <c r="K198" i="5" s="1"/>
  <c r="K190" i="5" a="1"/>
  <c r="K190" i="5" s="1"/>
  <c r="K182" i="5" a="1"/>
  <c r="K182" i="5" s="1"/>
  <c r="K174" i="5" a="1"/>
  <c r="K174" i="5" s="1"/>
  <c r="K166" i="5" a="1"/>
  <c r="K166" i="5" s="1"/>
  <c r="K158" i="5" a="1"/>
  <c r="K158" i="5" s="1"/>
  <c r="K150" i="5" a="1"/>
  <c r="K150" i="5" s="1"/>
  <c r="K142" i="5" a="1"/>
  <c r="K142" i="5" s="1"/>
  <c r="K134" i="5" a="1"/>
  <c r="K134" i="5" s="1"/>
  <c r="K126" i="5" a="1"/>
  <c r="K126" i="5" s="1"/>
  <c r="K118" i="5" a="1"/>
  <c r="K118" i="5" s="1"/>
  <c r="K110" i="5" a="1"/>
  <c r="K110" i="5" s="1"/>
  <c r="K102" i="5" a="1"/>
  <c r="K102" i="5" s="1"/>
  <c r="K94" i="5" a="1"/>
  <c r="K94" i="5" s="1"/>
  <c r="K86" i="5" a="1"/>
  <c r="K86" i="5" s="1"/>
  <c r="K78" i="5" a="1"/>
  <c r="K78" i="5" s="1"/>
  <c r="K70" i="5" a="1"/>
  <c r="K70" i="5" s="1"/>
  <c r="K62" i="5" a="1"/>
  <c r="K62" i="5" s="1"/>
  <c r="K54" i="5" a="1"/>
  <c r="K54" i="5" s="1"/>
  <c r="K237" i="5" a="1"/>
  <c r="K237" i="5" s="1"/>
  <c r="K229" i="5" a="1"/>
  <c r="K229" i="5" s="1"/>
  <c r="K221" i="5" a="1"/>
  <c r="K221" i="5" s="1"/>
  <c r="K213" i="5" a="1"/>
  <c r="K213" i="5" s="1"/>
  <c r="K205" i="5" a="1"/>
  <c r="K205" i="5" s="1"/>
  <c r="K197" i="5" a="1"/>
  <c r="K197" i="5" s="1"/>
  <c r="K189" i="5" a="1"/>
  <c r="K189" i="5" s="1"/>
  <c r="K181" i="5" a="1"/>
  <c r="K181" i="5" s="1"/>
  <c r="K173" i="5" a="1"/>
  <c r="K173" i="5" s="1"/>
  <c r="K165" i="5" a="1"/>
  <c r="K165" i="5" s="1"/>
  <c r="K157" i="5" a="1"/>
  <c r="K157" i="5" s="1"/>
  <c r="K149" i="5" a="1"/>
  <c r="K149" i="5" s="1"/>
  <c r="K141" i="5" a="1"/>
  <c r="K141" i="5" s="1"/>
  <c r="K133" i="5" a="1"/>
  <c r="K133" i="5" s="1"/>
  <c r="K125" i="5" a="1"/>
  <c r="K125" i="5" s="1"/>
  <c r="K117" i="5" a="1"/>
  <c r="K117" i="5" s="1"/>
  <c r="K109" i="5" a="1"/>
  <c r="K109" i="5" s="1"/>
  <c r="K101" i="5" a="1"/>
  <c r="K101" i="5" s="1"/>
  <c r="K93" i="5" a="1"/>
  <c r="K93" i="5" s="1"/>
  <c r="K85" i="5" a="1"/>
  <c r="K85" i="5" s="1"/>
  <c r="K77" i="5" a="1"/>
  <c r="K77" i="5" s="1"/>
  <c r="K69" i="5" a="1"/>
  <c r="K69" i="5" s="1"/>
  <c r="K61" i="5" a="1"/>
  <c r="K61" i="5" s="1"/>
  <c r="K241" i="5" a="1"/>
  <c r="K241" i="5" s="1"/>
  <c r="K242" i="5" a="1"/>
  <c r="K242" i="5" s="1"/>
  <c r="K243" i="5" a="1"/>
  <c r="K243" i="5" s="1"/>
  <c r="K245" i="5" a="1"/>
  <c r="K245" i="5" s="1"/>
  <c r="K246" i="5" a="1"/>
  <c r="K246" i="5" s="1"/>
  <c r="K247" i="5" a="1"/>
  <c r="K247" i="5" s="1"/>
  <c r="F248" i="5"/>
  <c r="F249" i="5"/>
  <c r="Q20" i="1"/>
  <c r="P20" i="1"/>
  <c r="B85" i="3" l="1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O3" i="3" l="1"/>
  <c r="P3" i="3"/>
  <c r="C4" i="3"/>
  <c r="B86" i="3"/>
  <c r="A87" i="3"/>
  <c r="B87" i="3"/>
  <c r="M80" i="3" l="1"/>
  <c r="M72" i="3"/>
  <c r="M64" i="3"/>
  <c r="M56" i="3"/>
  <c r="M48" i="3"/>
  <c r="M40" i="3"/>
  <c r="M32" i="3"/>
  <c r="M24" i="3"/>
  <c r="M16" i="3"/>
  <c r="M8" i="3"/>
  <c r="M79" i="3"/>
  <c r="M71" i="3"/>
  <c r="M63" i="3"/>
  <c r="M55" i="3"/>
  <c r="M47" i="3"/>
  <c r="M39" i="3"/>
  <c r="M31" i="3"/>
  <c r="M23" i="3"/>
  <c r="M15" i="3"/>
  <c r="M7" i="3"/>
  <c r="M4" i="3"/>
  <c r="N4" i="3" s="1"/>
  <c r="M78" i="3"/>
  <c r="M70" i="3"/>
  <c r="M62" i="3"/>
  <c r="M54" i="3"/>
  <c r="M46" i="3"/>
  <c r="M38" i="3"/>
  <c r="M30" i="3"/>
  <c r="M22" i="3"/>
  <c r="M14" i="3"/>
  <c r="M6" i="3"/>
  <c r="M66" i="3"/>
  <c r="M42" i="3"/>
  <c r="M26" i="3"/>
  <c r="M57" i="3"/>
  <c r="M33" i="3"/>
  <c r="M9" i="3"/>
  <c r="M85" i="3"/>
  <c r="M77" i="3"/>
  <c r="M69" i="3"/>
  <c r="M61" i="3"/>
  <c r="M53" i="3"/>
  <c r="M45" i="3"/>
  <c r="M37" i="3"/>
  <c r="M29" i="3"/>
  <c r="M21" i="3"/>
  <c r="M13" i="3"/>
  <c r="M5" i="3"/>
  <c r="M82" i="3"/>
  <c r="M74" i="3"/>
  <c r="M58" i="3"/>
  <c r="M34" i="3"/>
  <c r="M10" i="3"/>
  <c r="M81" i="3"/>
  <c r="M73" i="3"/>
  <c r="M49" i="3"/>
  <c r="M25" i="3"/>
  <c r="M84" i="3"/>
  <c r="M76" i="3"/>
  <c r="M68" i="3"/>
  <c r="M60" i="3"/>
  <c r="M52" i="3"/>
  <c r="M44" i="3"/>
  <c r="M36" i="3"/>
  <c r="M28" i="3"/>
  <c r="M20" i="3"/>
  <c r="M12" i="3"/>
  <c r="M50" i="3"/>
  <c r="M18" i="3"/>
  <c r="M65" i="3"/>
  <c r="M41" i="3"/>
  <c r="M17" i="3"/>
  <c r="M83" i="3"/>
  <c r="M75" i="3"/>
  <c r="M67" i="3"/>
  <c r="M59" i="3"/>
  <c r="M51" i="3"/>
  <c r="M43" i="3"/>
  <c r="M35" i="3"/>
  <c r="M27" i="3"/>
  <c r="M19" i="3"/>
  <c r="M11" i="3"/>
  <c r="G35" i="3"/>
  <c r="G42" i="3"/>
  <c r="G11" i="3"/>
  <c r="G45" i="3"/>
  <c r="G48" i="3"/>
  <c r="G10" i="3"/>
  <c r="G13" i="3"/>
  <c r="G16" i="3"/>
  <c r="G58" i="3"/>
  <c r="G79" i="3"/>
  <c r="G61" i="3"/>
  <c r="G27" i="3"/>
  <c r="G64" i="3"/>
  <c r="G71" i="3"/>
  <c r="G29" i="3"/>
  <c r="G32" i="3"/>
  <c r="G26" i="3"/>
  <c r="G74" i="3"/>
  <c r="G77" i="3"/>
  <c r="G80" i="3"/>
  <c r="G47" i="3"/>
  <c r="G59" i="3"/>
  <c r="G63" i="3"/>
  <c r="G31" i="3"/>
  <c r="G73" i="3"/>
  <c r="G57" i="3"/>
  <c r="G41" i="3"/>
  <c r="G25" i="3"/>
  <c r="G9" i="3"/>
  <c r="G39" i="3"/>
  <c r="G76" i="3"/>
  <c r="G60" i="3"/>
  <c r="G44" i="3"/>
  <c r="G28" i="3"/>
  <c r="G12" i="3"/>
  <c r="G51" i="3"/>
  <c r="G70" i="3"/>
  <c r="G54" i="3"/>
  <c r="G38" i="3"/>
  <c r="G6" i="3"/>
  <c r="G22" i="3"/>
  <c r="G43" i="3"/>
  <c r="G7" i="3"/>
  <c r="G85" i="3"/>
  <c r="G69" i="3"/>
  <c r="G53" i="3"/>
  <c r="G37" i="3"/>
  <c r="G21" i="3"/>
  <c r="G5" i="3"/>
  <c r="G75" i="3"/>
  <c r="G19" i="3"/>
  <c r="G72" i="3"/>
  <c r="G56" i="3"/>
  <c r="G40" i="3"/>
  <c r="G24" i="3"/>
  <c r="G8" i="3"/>
  <c r="G34" i="3"/>
  <c r="G4" i="3"/>
  <c r="G23" i="3"/>
  <c r="G67" i="3"/>
  <c r="G81" i="3"/>
  <c r="G65" i="3"/>
  <c r="G49" i="3"/>
  <c r="G33" i="3"/>
  <c r="G17" i="3"/>
  <c r="G55" i="3"/>
  <c r="G83" i="3"/>
  <c r="G84" i="3"/>
  <c r="G68" i="3"/>
  <c r="G52" i="3"/>
  <c r="G36" i="3"/>
  <c r="G20" i="3"/>
  <c r="G15" i="3"/>
  <c r="G82" i="3"/>
  <c r="G66" i="3"/>
  <c r="G50" i="3"/>
  <c r="G18" i="3"/>
  <c r="G78" i="3"/>
  <c r="G62" i="3"/>
  <c r="G46" i="3"/>
  <c r="G30" i="3"/>
  <c r="G14" i="3"/>
  <c r="I6" i="3" l="1"/>
  <c r="N6" i="3"/>
  <c r="I27" i="3"/>
  <c r="N27" i="3"/>
  <c r="D27" i="3" s="1"/>
  <c r="E27" i="3" s="1"/>
  <c r="I17" i="3"/>
  <c r="N17" i="3"/>
  <c r="D17" i="3" s="1"/>
  <c r="E17" i="3" s="1"/>
  <c r="I36" i="3"/>
  <c r="N36" i="3"/>
  <c r="D36" i="3" s="1"/>
  <c r="E36" i="3" s="1"/>
  <c r="I49" i="3"/>
  <c r="N49" i="3"/>
  <c r="D49" i="3" s="1"/>
  <c r="E49" i="3" s="1"/>
  <c r="I5" i="3"/>
  <c r="N5" i="3"/>
  <c r="D5" i="3" s="1"/>
  <c r="E5" i="3" s="1"/>
  <c r="I69" i="3"/>
  <c r="N69" i="3"/>
  <c r="D69" i="3" s="1"/>
  <c r="E69" i="3" s="1"/>
  <c r="I66" i="3"/>
  <c r="N66" i="3"/>
  <c r="D66" i="3" s="1"/>
  <c r="E66" i="3" s="1"/>
  <c r="I62" i="3"/>
  <c r="N62" i="3"/>
  <c r="D62" i="3" s="1"/>
  <c r="E62" i="3" s="1"/>
  <c r="I39" i="3"/>
  <c r="N39" i="3"/>
  <c r="D39" i="3" s="1"/>
  <c r="E39" i="3" s="1"/>
  <c r="I24" i="3"/>
  <c r="N24" i="3"/>
  <c r="D24" i="3" s="1"/>
  <c r="E24" i="3" s="1"/>
  <c r="I44" i="3"/>
  <c r="N44" i="3"/>
  <c r="D44" i="3" s="1"/>
  <c r="E44" i="3" s="1"/>
  <c r="I73" i="3"/>
  <c r="N73" i="3"/>
  <c r="D73" i="3" s="1"/>
  <c r="E73" i="3" s="1"/>
  <c r="I43" i="3"/>
  <c r="N43" i="3"/>
  <c r="D43" i="3" s="1"/>
  <c r="E43" i="3" s="1"/>
  <c r="I65" i="3"/>
  <c r="N65" i="3"/>
  <c r="D65" i="3" s="1"/>
  <c r="E65" i="3" s="1"/>
  <c r="I52" i="3"/>
  <c r="N52" i="3"/>
  <c r="D52" i="3" s="1"/>
  <c r="E52" i="3" s="1"/>
  <c r="I81" i="3"/>
  <c r="N81" i="3"/>
  <c r="D81" i="3" s="1"/>
  <c r="E81" i="3" s="1"/>
  <c r="I21" i="3"/>
  <c r="N21" i="3"/>
  <c r="D21" i="3" s="1"/>
  <c r="E21" i="3" s="1"/>
  <c r="I85" i="3"/>
  <c r="N85" i="3"/>
  <c r="D85" i="3" s="1"/>
  <c r="E85" i="3" s="1"/>
  <c r="I14" i="3"/>
  <c r="N14" i="3"/>
  <c r="D14" i="3" s="1"/>
  <c r="E14" i="3" s="1"/>
  <c r="I78" i="3"/>
  <c r="N78" i="3"/>
  <c r="D78" i="3" s="1"/>
  <c r="E78" i="3" s="1"/>
  <c r="I55" i="3"/>
  <c r="N55" i="3"/>
  <c r="D55" i="3" s="1"/>
  <c r="E55" i="3" s="1"/>
  <c r="I40" i="3"/>
  <c r="N40" i="3"/>
  <c r="D40" i="3" s="1"/>
  <c r="E40" i="3" s="1"/>
  <c r="I47" i="3"/>
  <c r="N47" i="3"/>
  <c r="D47" i="3" s="1"/>
  <c r="E47" i="3" s="1"/>
  <c r="I51" i="3"/>
  <c r="N51" i="3"/>
  <c r="D51" i="3" s="1"/>
  <c r="E51" i="3" s="1"/>
  <c r="I18" i="3"/>
  <c r="N18" i="3"/>
  <c r="D18" i="3" s="1"/>
  <c r="E18" i="3" s="1"/>
  <c r="I60" i="3"/>
  <c r="N60" i="3"/>
  <c r="D60" i="3" s="1"/>
  <c r="E60" i="3" s="1"/>
  <c r="I10" i="3"/>
  <c r="N10" i="3"/>
  <c r="D10" i="3" s="1"/>
  <c r="E10" i="3" s="1"/>
  <c r="I29" i="3"/>
  <c r="N29" i="3"/>
  <c r="D29" i="3" s="1"/>
  <c r="E29" i="3" s="1"/>
  <c r="I9" i="3"/>
  <c r="N9" i="3"/>
  <c r="D9" i="3" s="1"/>
  <c r="E9" i="3" s="1"/>
  <c r="I22" i="3"/>
  <c r="N22" i="3"/>
  <c r="D22" i="3" s="1"/>
  <c r="E22" i="3" s="1"/>
  <c r="D4" i="3"/>
  <c r="I63" i="3"/>
  <c r="N63" i="3"/>
  <c r="D63" i="3" s="1"/>
  <c r="E63" i="3" s="1"/>
  <c r="I48" i="3"/>
  <c r="N48" i="3"/>
  <c r="D48" i="3" s="1"/>
  <c r="E48" i="3" s="1"/>
  <c r="I41" i="3"/>
  <c r="N41" i="3"/>
  <c r="D41" i="3" s="1"/>
  <c r="E41" i="3" s="1"/>
  <c r="I13" i="3"/>
  <c r="N13" i="3"/>
  <c r="D13" i="3" s="1"/>
  <c r="E13" i="3" s="1"/>
  <c r="I59" i="3"/>
  <c r="N59" i="3"/>
  <c r="D59" i="3" s="1"/>
  <c r="E59" i="3" s="1"/>
  <c r="I50" i="3"/>
  <c r="N50" i="3"/>
  <c r="D50" i="3" s="1"/>
  <c r="E50" i="3" s="1"/>
  <c r="I68" i="3"/>
  <c r="N68" i="3"/>
  <c r="D68" i="3" s="1"/>
  <c r="E68" i="3" s="1"/>
  <c r="I34" i="3"/>
  <c r="N34" i="3"/>
  <c r="D34" i="3" s="1"/>
  <c r="E34" i="3" s="1"/>
  <c r="I37" i="3"/>
  <c r="N37" i="3"/>
  <c r="D37" i="3" s="1"/>
  <c r="E37" i="3" s="1"/>
  <c r="I33" i="3"/>
  <c r="N33" i="3"/>
  <c r="D33" i="3" s="1"/>
  <c r="E33" i="3" s="1"/>
  <c r="I30" i="3"/>
  <c r="N30" i="3"/>
  <c r="D30" i="3" s="1"/>
  <c r="E30" i="3" s="1"/>
  <c r="I7" i="3"/>
  <c r="N7" i="3"/>
  <c r="D7" i="3" s="1"/>
  <c r="E7" i="3" s="1"/>
  <c r="I71" i="3"/>
  <c r="N71" i="3"/>
  <c r="D71" i="3" s="1"/>
  <c r="E71" i="3" s="1"/>
  <c r="I56" i="3"/>
  <c r="N56" i="3"/>
  <c r="D56" i="3" s="1"/>
  <c r="E56" i="3" s="1"/>
  <c r="I32" i="3"/>
  <c r="N32" i="3"/>
  <c r="D32" i="3" s="1"/>
  <c r="E32" i="3" s="1"/>
  <c r="I67" i="3"/>
  <c r="N67" i="3"/>
  <c r="D67" i="3" s="1"/>
  <c r="E67" i="3" s="1"/>
  <c r="I12" i="3"/>
  <c r="N12" i="3"/>
  <c r="D12" i="3" s="1"/>
  <c r="E12" i="3" s="1"/>
  <c r="I76" i="3"/>
  <c r="N76" i="3"/>
  <c r="D76" i="3" s="1"/>
  <c r="E76" i="3" s="1"/>
  <c r="I58" i="3"/>
  <c r="N58" i="3"/>
  <c r="D58" i="3" s="1"/>
  <c r="E58" i="3" s="1"/>
  <c r="I45" i="3"/>
  <c r="N45" i="3"/>
  <c r="D45" i="3" s="1"/>
  <c r="E45" i="3" s="1"/>
  <c r="I57" i="3"/>
  <c r="N57" i="3"/>
  <c r="D57" i="3" s="1"/>
  <c r="E57" i="3" s="1"/>
  <c r="I38" i="3"/>
  <c r="N38" i="3"/>
  <c r="D38" i="3" s="1"/>
  <c r="E38" i="3" s="1"/>
  <c r="I15" i="3"/>
  <c r="N15" i="3"/>
  <c r="D15" i="3" s="1"/>
  <c r="E15" i="3" s="1"/>
  <c r="I79" i="3"/>
  <c r="N79" i="3"/>
  <c r="D79" i="3" s="1"/>
  <c r="E79" i="3" s="1"/>
  <c r="I64" i="3"/>
  <c r="N64" i="3"/>
  <c r="D64" i="3" s="1"/>
  <c r="E64" i="3" s="1"/>
  <c r="I70" i="3"/>
  <c r="N70" i="3"/>
  <c r="D70" i="3" s="1"/>
  <c r="E70" i="3" s="1"/>
  <c r="I11" i="3"/>
  <c r="N11" i="3"/>
  <c r="D11" i="3" s="1"/>
  <c r="E11" i="3" s="1"/>
  <c r="I75" i="3"/>
  <c r="N75" i="3"/>
  <c r="D75" i="3" s="1"/>
  <c r="E75" i="3" s="1"/>
  <c r="I20" i="3"/>
  <c r="N20" i="3"/>
  <c r="D20" i="3" s="1"/>
  <c r="E20" i="3" s="1"/>
  <c r="I84" i="3"/>
  <c r="N84" i="3"/>
  <c r="D84" i="3" s="1"/>
  <c r="E84" i="3" s="1"/>
  <c r="I74" i="3"/>
  <c r="N74" i="3"/>
  <c r="D74" i="3" s="1"/>
  <c r="E74" i="3" s="1"/>
  <c r="I53" i="3"/>
  <c r="N53" i="3"/>
  <c r="D53" i="3" s="1"/>
  <c r="E53" i="3" s="1"/>
  <c r="I26" i="3"/>
  <c r="N26" i="3"/>
  <c r="D26" i="3" s="1"/>
  <c r="E26" i="3" s="1"/>
  <c r="I46" i="3"/>
  <c r="N46" i="3"/>
  <c r="D46" i="3" s="1"/>
  <c r="E46" i="3" s="1"/>
  <c r="I23" i="3"/>
  <c r="N23" i="3"/>
  <c r="D23" i="3" s="1"/>
  <c r="E23" i="3" s="1"/>
  <c r="I8" i="3"/>
  <c r="N8" i="3"/>
  <c r="D8" i="3" s="1"/>
  <c r="E8" i="3" s="1"/>
  <c r="I72" i="3"/>
  <c r="N72" i="3"/>
  <c r="D72" i="3" s="1"/>
  <c r="E72" i="3" s="1"/>
  <c r="I35" i="3"/>
  <c r="N35" i="3"/>
  <c r="D35" i="3" s="1"/>
  <c r="E35" i="3" s="1"/>
  <c r="I77" i="3"/>
  <c r="N77" i="3"/>
  <c r="D77" i="3" s="1"/>
  <c r="E77" i="3" s="1"/>
  <c r="I19" i="3"/>
  <c r="N19" i="3"/>
  <c r="D19" i="3" s="1"/>
  <c r="E19" i="3" s="1"/>
  <c r="I83" i="3"/>
  <c r="N83" i="3"/>
  <c r="D83" i="3" s="1"/>
  <c r="E83" i="3" s="1"/>
  <c r="I28" i="3"/>
  <c r="N28" i="3"/>
  <c r="D28" i="3" s="1"/>
  <c r="E28" i="3" s="1"/>
  <c r="I25" i="3"/>
  <c r="N25" i="3"/>
  <c r="D25" i="3" s="1"/>
  <c r="E25" i="3" s="1"/>
  <c r="I82" i="3"/>
  <c r="N82" i="3"/>
  <c r="D82" i="3" s="1"/>
  <c r="E82" i="3" s="1"/>
  <c r="I61" i="3"/>
  <c r="N61" i="3"/>
  <c r="D61" i="3" s="1"/>
  <c r="E61" i="3" s="1"/>
  <c r="I42" i="3"/>
  <c r="N42" i="3"/>
  <c r="D42" i="3" s="1"/>
  <c r="E42" i="3" s="1"/>
  <c r="I54" i="3"/>
  <c r="N54" i="3"/>
  <c r="D54" i="3" s="1"/>
  <c r="E54" i="3" s="1"/>
  <c r="I31" i="3"/>
  <c r="N31" i="3"/>
  <c r="D31" i="3" s="1"/>
  <c r="E31" i="3" s="1"/>
  <c r="I16" i="3"/>
  <c r="N16" i="3"/>
  <c r="D16" i="3" s="1"/>
  <c r="E16" i="3" s="1"/>
  <c r="I80" i="3"/>
  <c r="N80" i="3"/>
  <c r="D80" i="3" s="1"/>
  <c r="E80" i="3" s="1"/>
  <c r="I4" i="3"/>
  <c r="I86" i="3" s="1"/>
  <c r="J4" i="3" s="1"/>
  <c r="M87" i="3"/>
  <c r="M86" i="3"/>
  <c r="G86" i="3"/>
  <c r="H4" i="3" s="1"/>
  <c r="N86" i="3" l="1"/>
  <c r="E4" i="3"/>
  <c r="N87" i="3"/>
  <c r="D6" i="3"/>
  <c r="E6" i="3" s="1"/>
  <c r="L4" i="3"/>
  <c r="K4" i="3"/>
  <c r="E86" i="3" l="1"/>
  <c r="F4" i="3"/>
  <c r="D86" i="3"/>
  <c r="A201" i="5"/>
  <c r="A134" i="5"/>
  <c r="A46" i="5"/>
  <c r="A209" i="5"/>
  <c r="A174" i="5"/>
  <c r="A171" i="5"/>
  <c r="A41" i="5"/>
  <c r="A90" i="5"/>
  <c r="A78" i="5"/>
  <c r="A149" i="5"/>
  <c r="A221" i="5"/>
  <c r="A238" i="5"/>
  <c r="A198" i="5"/>
  <c r="A234" i="5"/>
  <c r="A24" i="5"/>
  <c r="A44" i="5"/>
  <c r="A18" i="5"/>
  <c r="A230" i="5"/>
  <c r="A91" i="5"/>
  <c r="A206" i="5"/>
  <c r="A58" i="5"/>
  <c r="A179" i="5"/>
  <c r="A181" i="5"/>
  <c r="A148" i="5"/>
  <c r="A54" i="5"/>
  <c r="A123" i="5"/>
  <c r="A235" i="5"/>
  <c r="A205" i="5"/>
  <c r="A87" i="5"/>
  <c r="A241" i="5"/>
  <c r="A8" i="5"/>
  <c r="A204" i="5"/>
  <c r="A15" i="5"/>
  <c r="A127" i="5"/>
  <c r="A232" i="5"/>
  <c r="A92" i="5"/>
  <c r="A11" i="5"/>
  <c r="A97" i="5"/>
  <c r="A31" i="5"/>
  <c r="A186" i="5"/>
  <c r="A184" i="5"/>
  <c r="A70" i="5"/>
  <c r="A32" i="5"/>
  <c r="A55" i="5"/>
  <c r="A20" i="5"/>
  <c r="A139" i="5"/>
  <c r="A14" i="5"/>
  <c r="A144" i="5"/>
  <c r="A161" i="5"/>
  <c r="A52" i="5"/>
  <c r="A116" i="5"/>
  <c r="A103" i="5"/>
  <c r="A59" i="5"/>
  <c r="A51" i="5"/>
  <c r="A30" i="5"/>
  <c r="A113" i="5"/>
  <c r="A56" i="5"/>
  <c r="A21" i="5"/>
  <c r="A222" i="5"/>
  <c r="A151" i="5"/>
  <c r="A119" i="5"/>
  <c r="A233" i="5"/>
  <c r="A246" i="5"/>
  <c r="A170" i="5"/>
  <c r="A33" i="5"/>
  <c r="A240" i="5"/>
  <c r="A26" i="5"/>
  <c r="A77" i="5"/>
  <c r="A88" i="5"/>
  <c r="A131" i="5"/>
  <c r="A121" i="5"/>
  <c r="A106" i="5"/>
  <c r="A178" i="5"/>
  <c r="A10" i="5"/>
  <c r="A242" i="5"/>
  <c r="A239" i="5"/>
  <c r="A200" i="5"/>
  <c r="A96" i="5"/>
  <c r="A3" i="5"/>
  <c r="A133" i="5"/>
  <c r="A156" i="5"/>
  <c r="A166" i="5"/>
  <c r="A40" i="5"/>
  <c r="A154" i="5"/>
  <c r="A215" i="5"/>
  <c r="A152" i="5"/>
  <c r="A122" i="5"/>
  <c r="A93" i="5"/>
  <c r="A79" i="5"/>
  <c r="A114" i="5"/>
  <c r="A118" i="5"/>
  <c r="A34" i="5"/>
  <c r="A214" i="5"/>
  <c r="A23" i="5"/>
  <c r="A197" i="5"/>
  <c r="A138" i="5"/>
  <c r="A50" i="5"/>
  <c r="A9" i="5"/>
  <c r="A193" i="5"/>
  <c r="A80" i="5"/>
  <c r="A187" i="5"/>
  <c r="A141" i="5"/>
  <c r="A83" i="5"/>
  <c r="A167" i="5"/>
  <c r="A65" i="5"/>
  <c r="A245" i="5"/>
  <c r="A120" i="5"/>
  <c r="A49" i="5"/>
  <c r="A168" i="5"/>
  <c r="A38" i="5"/>
  <c r="A172" i="5"/>
  <c r="A42" i="5"/>
  <c r="A244" i="5"/>
  <c r="A164" i="5"/>
  <c r="A173" i="5"/>
  <c r="A45" i="5"/>
  <c r="A223" i="5"/>
  <c r="A67" i="5"/>
  <c r="A95" i="5"/>
  <c r="A243" i="5"/>
  <c r="A6" i="5"/>
  <c r="A100" i="5"/>
  <c r="A213" i="5"/>
  <c r="A208" i="5"/>
  <c r="A62" i="5"/>
  <c r="A25" i="5"/>
  <c r="A16" i="5"/>
  <c r="A155" i="5"/>
  <c r="A140" i="5"/>
  <c r="A231" i="5"/>
  <c r="A98" i="5"/>
  <c r="A48" i="5"/>
  <c r="A202" i="5"/>
  <c r="A203" i="5"/>
  <c r="A211" i="5"/>
  <c r="A115" i="5"/>
  <c r="A143" i="5"/>
  <c r="A39" i="5"/>
  <c r="A69" i="5"/>
  <c r="A101" i="5"/>
  <c r="A194" i="5"/>
  <c r="A72" i="5"/>
  <c r="A102" i="5"/>
  <c r="A63" i="5"/>
  <c r="A35" i="5"/>
  <c r="A112" i="5"/>
  <c r="A125" i="5"/>
  <c r="A66" i="5"/>
  <c r="A147" i="5"/>
  <c r="A36" i="5"/>
  <c r="A130" i="5"/>
  <c r="A226" i="5"/>
  <c r="A188" i="5"/>
  <c r="A153" i="5"/>
  <c r="A227" i="5"/>
  <c r="A136" i="5"/>
  <c r="A207" i="5"/>
  <c r="A142" i="5"/>
  <c r="A169" i="5"/>
  <c r="A180" i="5"/>
  <c r="A220" i="5"/>
  <c r="A129" i="5"/>
  <c r="A73" i="5"/>
  <c r="A117" i="5"/>
  <c r="A12" i="5"/>
  <c r="A110" i="5"/>
  <c r="A229" i="5"/>
  <c r="A190" i="5"/>
  <c r="A128" i="5"/>
  <c r="A13" i="5"/>
  <c r="A165" i="5"/>
  <c r="A124" i="5"/>
  <c r="A60" i="5"/>
  <c r="A216" i="5"/>
  <c r="A217" i="5"/>
  <c r="A27" i="5"/>
  <c r="A126" i="5"/>
  <c r="A218" i="5"/>
  <c r="A192" i="5"/>
  <c r="A22" i="5"/>
  <c r="A195" i="5"/>
  <c r="A57" i="5"/>
  <c r="A104" i="5"/>
  <c r="A135" i="5"/>
  <c r="A5" i="5"/>
  <c r="A53" i="5"/>
  <c r="A7" i="5"/>
  <c r="A61" i="5"/>
  <c r="A137" i="5"/>
  <c r="A182" i="5"/>
  <c r="A191" i="5"/>
  <c r="A4" i="5"/>
  <c r="A150" i="5"/>
  <c r="A146" i="5"/>
  <c r="A157" i="5"/>
  <c r="A29" i="5"/>
  <c r="A236" i="5"/>
  <c r="A247" i="5"/>
  <c r="A82" i="5"/>
  <c r="A160" i="5"/>
  <c r="A225" i="5"/>
  <c r="A108" i="5"/>
  <c r="A132" i="5"/>
  <c r="A175" i="5"/>
  <c r="A64" i="5"/>
  <c r="A185" i="5"/>
  <c r="A159" i="5"/>
  <c r="A219" i="5"/>
  <c r="A85" i="5"/>
  <c r="A47" i="5"/>
  <c r="A76" i="5"/>
  <c r="A74" i="5"/>
  <c r="A224" i="5"/>
  <c r="A28" i="5"/>
  <c r="A163" i="5"/>
  <c r="A237" i="5"/>
  <c r="A43" i="5"/>
  <c r="A105" i="5"/>
  <c r="A68" i="5"/>
  <c r="A84" i="5"/>
  <c r="A183" i="5"/>
  <c r="A176" i="5"/>
  <c r="A89" i="5"/>
  <c r="A86" i="5"/>
  <c r="A177" i="5"/>
  <c r="A71" i="5"/>
  <c r="A162" i="5"/>
  <c r="A99" i="5"/>
  <c r="A145" i="5"/>
  <c r="A189" i="5"/>
  <c r="A109" i="5"/>
  <c r="A37" i="5"/>
  <c r="A17" i="5"/>
  <c r="A81" i="5"/>
  <c r="A210" i="5"/>
  <c r="A212" i="5"/>
  <c r="A107" i="5"/>
  <c r="A19" i="5"/>
  <c r="A199" i="5"/>
  <c r="A75" i="5"/>
  <c r="A158" i="5"/>
  <c r="A111" i="5"/>
  <c r="A228" i="5"/>
  <c r="A94" i="5"/>
  <c r="A196" i="5"/>
  <c r="A248" i="5" l="1"/>
  <c r="Q8" i="1"/>
  <c r="P8" i="1"/>
  <c r="J248" i="5" l="1"/>
  <c r="J249" i="5"/>
  <c r="I248" i="5"/>
  <c r="I249" i="5"/>
  <c r="G249" i="5"/>
  <c r="G248" i="5"/>
  <c r="H249" i="5"/>
  <c r="H248" i="5"/>
  <c r="K248" i="5"/>
  <c r="K249" i="5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4" i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32" i="1"/>
  <c r="D34" i="1"/>
  <c r="D36" i="1"/>
  <c r="D38" i="1"/>
  <c r="D40" i="1"/>
  <c r="D42" i="1"/>
  <c r="D44" i="1"/>
  <c r="D46" i="1"/>
  <c r="D48" i="1"/>
  <c r="D50" i="1"/>
  <c r="D52" i="1"/>
  <c r="D54" i="1"/>
  <c r="D56" i="1"/>
  <c r="D58" i="1"/>
  <c r="D60" i="1"/>
  <c r="D62" i="1"/>
  <c r="D64" i="1"/>
  <c r="D66" i="1"/>
  <c r="D68" i="1"/>
  <c r="D70" i="1"/>
  <c r="D72" i="1"/>
  <c r="D74" i="1"/>
  <c r="D76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203" i="1"/>
  <c r="D207" i="1"/>
  <c r="D211" i="1"/>
  <c r="D215" i="1"/>
  <c r="D219" i="1"/>
  <c r="D223" i="1"/>
  <c r="D227" i="1"/>
  <c r="D231" i="1"/>
  <c r="D235" i="1"/>
  <c r="D239" i="1"/>
  <c r="D243" i="1"/>
  <c r="D247" i="1"/>
  <c r="D3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3" i="1"/>
  <c r="D197" i="1"/>
  <c r="D201" i="1"/>
  <c r="D205" i="1"/>
  <c r="D209" i="1"/>
  <c r="D213" i="1"/>
  <c r="D217" i="1"/>
  <c r="D221" i="1"/>
  <c r="D225" i="1"/>
  <c r="D229" i="1"/>
  <c r="D233" i="1"/>
  <c r="D237" i="1"/>
  <c r="D241" i="1"/>
  <c r="D245" i="1"/>
  <c r="F250" i="5" l="1"/>
  <c r="G250" i="5"/>
  <c r="C3" i="1"/>
  <c r="K6" i="1" s="1"/>
  <c r="K66" i="1"/>
  <c r="K130" i="1"/>
  <c r="K183" i="1"/>
  <c r="K215" i="1"/>
  <c r="K247" i="1"/>
  <c r="A248" i="1"/>
  <c r="B248" i="1"/>
  <c r="K231" i="1" l="1"/>
  <c r="K199" i="1"/>
  <c r="K162" i="1"/>
  <c r="K98" i="1"/>
  <c r="K34" i="1"/>
  <c r="K239" i="1"/>
  <c r="K223" i="1"/>
  <c r="K207" i="1"/>
  <c r="K191" i="1"/>
  <c r="K175" i="1"/>
  <c r="K146" i="1"/>
  <c r="K114" i="1"/>
  <c r="K82" i="1"/>
  <c r="K50" i="1"/>
  <c r="K18" i="1"/>
  <c r="K243" i="1"/>
  <c r="K235" i="1"/>
  <c r="K227" i="1"/>
  <c r="K219" i="1"/>
  <c r="K211" i="1"/>
  <c r="K203" i="1"/>
  <c r="K195" i="1"/>
  <c r="K187" i="1"/>
  <c r="K179" i="1"/>
  <c r="K170" i="1"/>
  <c r="K154" i="1"/>
  <c r="K138" i="1"/>
  <c r="K122" i="1"/>
  <c r="K106" i="1"/>
  <c r="K90" i="1"/>
  <c r="K74" i="1"/>
  <c r="K58" i="1"/>
  <c r="K42" i="1"/>
  <c r="K26" i="1"/>
  <c r="K10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6" i="1"/>
  <c r="K158" i="1"/>
  <c r="K150" i="1"/>
  <c r="K142" i="1"/>
  <c r="K134" i="1"/>
  <c r="K126" i="1"/>
  <c r="K118" i="1"/>
  <c r="K110" i="1"/>
  <c r="K102" i="1"/>
  <c r="K94" i="1"/>
  <c r="K86" i="1"/>
  <c r="K78" i="1"/>
  <c r="K70" i="1"/>
  <c r="K62" i="1"/>
  <c r="K54" i="1"/>
  <c r="K46" i="1"/>
  <c r="K38" i="1"/>
  <c r="K30" i="1"/>
  <c r="K22" i="1"/>
  <c r="K14" i="1"/>
  <c r="K3" i="1"/>
  <c r="K5" i="1"/>
  <c r="K7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89" i="1"/>
  <c r="K91" i="1"/>
  <c r="K93" i="1"/>
  <c r="K95" i="1"/>
  <c r="K97" i="1"/>
  <c r="K99" i="1"/>
  <c r="K101" i="1"/>
  <c r="K103" i="1"/>
  <c r="K105" i="1"/>
  <c r="K107" i="1"/>
  <c r="K109" i="1"/>
  <c r="K111" i="1"/>
  <c r="K113" i="1"/>
  <c r="K115" i="1"/>
  <c r="K117" i="1"/>
  <c r="K119" i="1"/>
  <c r="K121" i="1"/>
  <c r="K123" i="1"/>
  <c r="K125" i="1"/>
  <c r="K127" i="1"/>
  <c r="K129" i="1"/>
  <c r="K131" i="1"/>
  <c r="K133" i="1"/>
  <c r="K135" i="1"/>
  <c r="K137" i="1"/>
  <c r="K139" i="1"/>
  <c r="K141" i="1"/>
  <c r="K143" i="1"/>
  <c r="K145" i="1"/>
  <c r="K147" i="1"/>
  <c r="K149" i="1"/>
  <c r="K151" i="1"/>
  <c r="K153" i="1"/>
  <c r="K155" i="1"/>
  <c r="K157" i="1"/>
  <c r="K159" i="1"/>
  <c r="K161" i="1"/>
  <c r="K163" i="1"/>
  <c r="K165" i="1"/>
  <c r="K167" i="1"/>
  <c r="K169" i="1"/>
  <c r="K171" i="1"/>
  <c r="K246" i="1"/>
  <c r="K244" i="1"/>
  <c r="K242" i="1"/>
  <c r="K240" i="1"/>
  <c r="K238" i="1"/>
  <c r="K236" i="1"/>
  <c r="K234" i="1"/>
  <c r="K232" i="1"/>
  <c r="K230" i="1"/>
  <c r="K228" i="1"/>
  <c r="K226" i="1"/>
  <c r="K224" i="1"/>
  <c r="K222" i="1"/>
  <c r="K220" i="1"/>
  <c r="K218" i="1"/>
  <c r="K216" i="1"/>
  <c r="K214" i="1"/>
  <c r="K212" i="1"/>
  <c r="K210" i="1"/>
  <c r="K208" i="1"/>
  <c r="K206" i="1"/>
  <c r="K204" i="1"/>
  <c r="K202" i="1"/>
  <c r="K200" i="1"/>
  <c r="K198" i="1"/>
  <c r="K196" i="1"/>
  <c r="K194" i="1"/>
  <c r="K192" i="1"/>
  <c r="K190" i="1"/>
  <c r="K188" i="1"/>
  <c r="K186" i="1"/>
  <c r="K184" i="1"/>
  <c r="K182" i="1"/>
  <c r="K180" i="1"/>
  <c r="K178" i="1"/>
  <c r="K176" i="1"/>
  <c r="K174" i="1"/>
  <c r="K172" i="1"/>
  <c r="K168" i="1"/>
  <c r="K164" i="1"/>
  <c r="K160" i="1"/>
  <c r="K156" i="1"/>
  <c r="K152" i="1"/>
  <c r="K148" i="1"/>
  <c r="K144" i="1"/>
  <c r="K140" i="1"/>
  <c r="K136" i="1"/>
  <c r="K132" i="1"/>
  <c r="K128" i="1"/>
  <c r="K124" i="1"/>
  <c r="K120" i="1"/>
  <c r="K116" i="1"/>
  <c r="K112" i="1"/>
  <c r="K108" i="1"/>
  <c r="K104" i="1"/>
  <c r="K100" i="1"/>
  <c r="K96" i="1"/>
  <c r="K92" i="1"/>
  <c r="K88" i="1"/>
  <c r="K84" i="1"/>
  <c r="K80" i="1"/>
  <c r="K76" i="1"/>
  <c r="K72" i="1"/>
  <c r="K68" i="1"/>
  <c r="K64" i="1"/>
  <c r="K60" i="1"/>
  <c r="K56" i="1"/>
  <c r="K52" i="1"/>
  <c r="K48" i="1"/>
  <c r="K44" i="1"/>
  <c r="K40" i="1"/>
  <c r="K36" i="1"/>
  <c r="K32" i="1"/>
  <c r="K28" i="1"/>
  <c r="K24" i="1"/>
  <c r="K20" i="1"/>
  <c r="K16" i="1"/>
  <c r="K12" i="1"/>
  <c r="K8" i="1"/>
  <c r="K4" i="1"/>
  <c r="K248" i="1" l="1"/>
  <c r="E244" i="1" l="1"/>
  <c r="F244" i="1" s="1"/>
  <c r="G244" i="1" s="1"/>
  <c r="L244" i="1"/>
  <c r="E240" i="1"/>
  <c r="F240" i="1" s="1"/>
  <c r="G240" i="1" s="1"/>
  <c r="L240" i="1"/>
  <c r="E236" i="1"/>
  <c r="F236" i="1" s="1"/>
  <c r="G236" i="1" s="1"/>
  <c r="L236" i="1"/>
  <c r="E232" i="1"/>
  <c r="F232" i="1" s="1"/>
  <c r="G232" i="1" s="1"/>
  <c r="L232" i="1"/>
  <c r="E228" i="1"/>
  <c r="F228" i="1" s="1"/>
  <c r="G228" i="1" s="1"/>
  <c r="L228" i="1"/>
  <c r="E224" i="1"/>
  <c r="F224" i="1" s="1"/>
  <c r="G224" i="1" s="1"/>
  <c r="L224" i="1"/>
  <c r="E220" i="1"/>
  <c r="F220" i="1" s="1"/>
  <c r="G220" i="1" s="1"/>
  <c r="L220" i="1"/>
  <c r="E216" i="1"/>
  <c r="F216" i="1" s="1"/>
  <c r="G216" i="1" s="1"/>
  <c r="L216" i="1"/>
  <c r="E212" i="1"/>
  <c r="F212" i="1" s="1"/>
  <c r="G212" i="1" s="1"/>
  <c r="L212" i="1"/>
  <c r="E208" i="1"/>
  <c r="F208" i="1" s="1"/>
  <c r="G208" i="1" s="1"/>
  <c r="L208" i="1"/>
  <c r="E204" i="1"/>
  <c r="F204" i="1" s="1"/>
  <c r="G204" i="1" s="1"/>
  <c r="L204" i="1"/>
  <c r="E200" i="1"/>
  <c r="F200" i="1" s="1"/>
  <c r="G200" i="1" s="1"/>
  <c r="L200" i="1"/>
  <c r="E196" i="1"/>
  <c r="F196" i="1" s="1"/>
  <c r="G196" i="1" s="1"/>
  <c r="L196" i="1"/>
  <c r="L245" i="1"/>
  <c r="E245" i="1"/>
  <c r="F245" i="1" s="1"/>
  <c r="G245" i="1" s="1"/>
  <c r="L241" i="1"/>
  <c r="E241" i="1"/>
  <c r="F241" i="1" s="1"/>
  <c r="G241" i="1" s="1"/>
  <c r="L237" i="1"/>
  <c r="E237" i="1"/>
  <c r="F237" i="1" s="1"/>
  <c r="G237" i="1" s="1"/>
  <c r="L233" i="1"/>
  <c r="E233" i="1"/>
  <c r="F233" i="1" s="1"/>
  <c r="G233" i="1" s="1"/>
  <c r="L229" i="1"/>
  <c r="E229" i="1"/>
  <c r="F229" i="1" s="1"/>
  <c r="G229" i="1" s="1"/>
  <c r="L225" i="1"/>
  <c r="E225" i="1"/>
  <c r="F225" i="1" s="1"/>
  <c r="G225" i="1" s="1"/>
  <c r="L221" i="1"/>
  <c r="E221" i="1"/>
  <c r="F221" i="1" s="1"/>
  <c r="G221" i="1" s="1"/>
  <c r="L217" i="1"/>
  <c r="E217" i="1"/>
  <c r="F217" i="1" s="1"/>
  <c r="G217" i="1" s="1"/>
  <c r="L213" i="1"/>
  <c r="E213" i="1"/>
  <c r="F213" i="1" s="1"/>
  <c r="G213" i="1" s="1"/>
  <c r="L209" i="1"/>
  <c r="E209" i="1"/>
  <c r="F209" i="1" s="1"/>
  <c r="G209" i="1" s="1"/>
  <c r="L205" i="1"/>
  <c r="E205" i="1"/>
  <c r="F205" i="1" s="1"/>
  <c r="G205" i="1" s="1"/>
  <c r="L201" i="1"/>
  <c r="E201" i="1"/>
  <c r="F201" i="1" s="1"/>
  <c r="G201" i="1" s="1"/>
  <c r="L197" i="1"/>
  <c r="E197" i="1"/>
  <c r="F197" i="1" s="1"/>
  <c r="G197" i="1" s="1"/>
  <c r="E194" i="1"/>
  <c r="F194" i="1" s="1"/>
  <c r="G194" i="1" s="1"/>
  <c r="L194" i="1"/>
  <c r="E190" i="1"/>
  <c r="F190" i="1" s="1"/>
  <c r="G190" i="1" s="1"/>
  <c r="L190" i="1"/>
  <c r="E186" i="1"/>
  <c r="F186" i="1" s="1"/>
  <c r="G186" i="1" s="1"/>
  <c r="L186" i="1"/>
  <c r="E182" i="1"/>
  <c r="F182" i="1" s="1"/>
  <c r="G182" i="1" s="1"/>
  <c r="L182" i="1"/>
  <c r="E178" i="1"/>
  <c r="F178" i="1" s="1"/>
  <c r="G178" i="1" s="1"/>
  <c r="L178" i="1"/>
  <c r="E174" i="1"/>
  <c r="F174" i="1" s="1"/>
  <c r="G174" i="1" s="1"/>
  <c r="L174" i="1"/>
  <c r="E170" i="1"/>
  <c r="F170" i="1" s="1"/>
  <c r="G170" i="1" s="1"/>
  <c r="L170" i="1"/>
  <c r="E166" i="1"/>
  <c r="F166" i="1" s="1"/>
  <c r="G166" i="1" s="1"/>
  <c r="L166" i="1"/>
  <c r="E162" i="1"/>
  <c r="F162" i="1" s="1"/>
  <c r="G162" i="1" s="1"/>
  <c r="L162" i="1"/>
  <c r="E158" i="1"/>
  <c r="F158" i="1" s="1"/>
  <c r="G158" i="1" s="1"/>
  <c r="L158" i="1"/>
  <c r="E154" i="1"/>
  <c r="F154" i="1" s="1"/>
  <c r="G154" i="1" s="1"/>
  <c r="L154" i="1"/>
  <c r="E150" i="1"/>
  <c r="F150" i="1" s="1"/>
  <c r="G150" i="1" s="1"/>
  <c r="L150" i="1"/>
  <c r="E146" i="1"/>
  <c r="F146" i="1" s="1"/>
  <c r="G146" i="1" s="1"/>
  <c r="L146" i="1"/>
  <c r="E142" i="1"/>
  <c r="F142" i="1" s="1"/>
  <c r="G142" i="1" s="1"/>
  <c r="L142" i="1"/>
  <c r="E138" i="1"/>
  <c r="F138" i="1" s="1"/>
  <c r="G138" i="1" s="1"/>
  <c r="L138" i="1"/>
  <c r="E134" i="1"/>
  <c r="F134" i="1" s="1"/>
  <c r="G134" i="1" s="1"/>
  <c r="L134" i="1"/>
  <c r="E130" i="1"/>
  <c r="F130" i="1" s="1"/>
  <c r="G130" i="1" s="1"/>
  <c r="L130" i="1"/>
  <c r="E126" i="1"/>
  <c r="F126" i="1" s="1"/>
  <c r="G126" i="1" s="1"/>
  <c r="L126" i="1"/>
  <c r="E122" i="1"/>
  <c r="F122" i="1" s="1"/>
  <c r="G122" i="1" s="1"/>
  <c r="L122" i="1"/>
  <c r="E118" i="1"/>
  <c r="F118" i="1" s="1"/>
  <c r="G118" i="1" s="1"/>
  <c r="L118" i="1"/>
  <c r="E114" i="1"/>
  <c r="F114" i="1" s="1"/>
  <c r="G114" i="1" s="1"/>
  <c r="L114" i="1"/>
  <c r="E110" i="1"/>
  <c r="F110" i="1" s="1"/>
  <c r="G110" i="1" s="1"/>
  <c r="L110" i="1"/>
  <c r="L193" i="1"/>
  <c r="E193" i="1"/>
  <c r="F193" i="1" s="1"/>
  <c r="G193" i="1" s="1"/>
  <c r="L189" i="1"/>
  <c r="E189" i="1"/>
  <c r="F189" i="1" s="1"/>
  <c r="G189" i="1" s="1"/>
  <c r="L185" i="1"/>
  <c r="E185" i="1"/>
  <c r="F185" i="1" s="1"/>
  <c r="G185" i="1" s="1"/>
  <c r="L181" i="1"/>
  <c r="E181" i="1"/>
  <c r="F181" i="1" s="1"/>
  <c r="G181" i="1" s="1"/>
  <c r="L177" i="1"/>
  <c r="E177" i="1"/>
  <c r="F177" i="1" s="1"/>
  <c r="G177" i="1" s="1"/>
  <c r="L173" i="1"/>
  <c r="E173" i="1"/>
  <c r="F173" i="1" s="1"/>
  <c r="G173" i="1" s="1"/>
  <c r="L169" i="1"/>
  <c r="E169" i="1"/>
  <c r="F169" i="1" s="1"/>
  <c r="G169" i="1" s="1"/>
  <c r="L165" i="1"/>
  <c r="E165" i="1"/>
  <c r="F165" i="1" s="1"/>
  <c r="G165" i="1" s="1"/>
  <c r="L161" i="1"/>
  <c r="E161" i="1"/>
  <c r="F161" i="1" s="1"/>
  <c r="G161" i="1" s="1"/>
  <c r="L157" i="1"/>
  <c r="E157" i="1"/>
  <c r="F157" i="1" s="1"/>
  <c r="G157" i="1" s="1"/>
  <c r="L153" i="1"/>
  <c r="E153" i="1"/>
  <c r="F153" i="1" s="1"/>
  <c r="G153" i="1" s="1"/>
  <c r="L149" i="1"/>
  <c r="E149" i="1"/>
  <c r="F149" i="1" s="1"/>
  <c r="G149" i="1" s="1"/>
  <c r="L145" i="1"/>
  <c r="E145" i="1"/>
  <c r="F145" i="1" s="1"/>
  <c r="G145" i="1" s="1"/>
  <c r="L141" i="1"/>
  <c r="E141" i="1"/>
  <c r="F141" i="1" s="1"/>
  <c r="G141" i="1" s="1"/>
  <c r="L137" i="1"/>
  <c r="E137" i="1"/>
  <c r="F137" i="1" s="1"/>
  <c r="G137" i="1" s="1"/>
  <c r="L133" i="1"/>
  <c r="E133" i="1"/>
  <c r="F133" i="1" s="1"/>
  <c r="G133" i="1" s="1"/>
  <c r="L129" i="1"/>
  <c r="E129" i="1"/>
  <c r="F129" i="1" s="1"/>
  <c r="G129" i="1" s="1"/>
  <c r="L125" i="1"/>
  <c r="E125" i="1"/>
  <c r="F125" i="1" s="1"/>
  <c r="G125" i="1" s="1"/>
  <c r="L121" i="1"/>
  <c r="E121" i="1"/>
  <c r="F121" i="1" s="1"/>
  <c r="G121" i="1" s="1"/>
  <c r="L117" i="1"/>
  <c r="E117" i="1"/>
  <c r="F117" i="1" s="1"/>
  <c r="G117" i="1" s="1"/>
  <c r="L113" i="1"/>
  <c r="E113" i="1"/>
  <c r="F113" i="1" s="1"/>
  <c r="G113" i="1" s="1"/>
  <c r="L109" i="1"/>
  <c r="E109" i="1"/>
  <c r="F109" i="1" s="1"/>
  <c r="G109" i="1" s="1"/>
  <c r="E106" i="1"/>
  <c r="F106" i="1" s="1"/>
  <c r="G106" i="1" s="1"/>
  <c r="L106" i="1"/>
  <c r="E102" i="1"/>
  <c r="F102" i="1" s="1"/>
  <c r="G102" i="1" s="1"/>
  <c r="L102" i="1"/>
  <c r="E98" i="1"/>
  <c r="F98" i="1" s="1"/>
  <c r="G98" i="1" s="1"/>
  <c r="L98" i="1"/>
  <c r="L105" i="1"/>
  <c r="E105" i="1"/>
  <c r="F105" i="1" s="1"/>
  <c r="G105" i="1" s="1"/>
  <c r="L101" i="1"/>
  <c r="E101" i="1"/>
  <c r="F101" i="1" s="1"/>
  <c r="G101" i="1" s="1"/>
  <c r="L97" i="1"/>
  <c r="E97" i="1"/>
  <c r="F97" i="1" s="1"/>
  <c r="G97" i="1" s="1"/>
  <c r="E93" i="1"/>
  <c r="F93" i="1" s="1"/>
  <c r="G93" i="1" s="1"/>
  <c r="L93" i="1"/>
  <c r="E89" i="1"/>
  <c r="F89" i="1" s="1"/>
  <c r="G89" i="1" s="1"/>
  <c r="L89" i="1"/>
  <c r="E85" i="1"/>
  <c r="F85" i="1" s="1"/>
  <c r="G85" i="1" s="1"/>
  <c r="L85" i="1"/>
  <c r="E81" i="1"/>
  <c r="F81" i="1" s="1"/>
  <c r="G81" i="1" s="1"/>
  <c r="L81" i="1"/>
  <c r="E77" i="1"/>
  <c r="F77" i="1" s="1"/>
  <c r="G77" i="1" s="1"/>
  <c r="L77" i="1"/>
  <c r="E73" i="1"/>
  <c r="F73" i="1" s="1"/>
  <c r="G73" i="1" s="1"/>
  <c r="L73" i="1"/>
  <c r="E69" i="1"/>
  <c r="F69" i="1" s="1"/>
  <c r="G69" i="1" s="1"/>
  <c r="L69" i="1"/>
  <c r="E65" i="1"/>
  <c r="F65" i="1" s="1"/>
  <c r="G65" i="1" s="1"/>
  <c r="L65" i="1"/>
  <c r="E61" i="1"/>
  <c r="F61" i="1" s="1"/>
  <c r="G61" i="1" s="1"/>
  <c r="L61" i="1"/>
  <c r="E57" i="1"/>
  <c r="F57" i="1" s="1"/>
  <c r="G57" i="1" s="1"/>
  <c r="L57" i="1"/>
  <c r="E53" i="1"/>
  <c r="F53" i="1" s="1"/>
  <c r="G53" i="1" s="1"/>
  <c r="L53" i="1"/>
  <c r="E49" i="1"/>
  <c r="F49" i="1" s="1"/>
  <c r="G49" i="1" s="1"/>
  <c r="L49" i="1"/>
  <c r="E45" i="1"/>
  <c r="F45" i="1" s="1"/>
  <c r="G45" i="1" s="1"/>
  <c r="L45" i="1"/>
  <c r="E41" i="1"/>
  <c r="F41" i="1" s="1"/>
  <c r="G41" i="1" s="1"/>
  <c r="L41" i="1"/>
  <c r="E37" i="1"/>
  <c r="F37" i="1" s="1"/>
  <c r="G37" i="1" s="1"/>
  <c r="L37" i="1"/>
  <c r="E33" i="1"/>
  <c r="F33" i="1" s="1"/>
  <c r="G33" i="1" s="1"/>
  <c r="L33" i="1"/>
  <c r="E29" i="1"/>
  <c r="F29" i="1" s="1"/>
  <c r="G29" i="1" s="1"/>
  <c r="L29" i="1"/>
  <c r="L94" i="1"/>
  <c r="E94" i="1"/>
  <c r="F94" i="1" s="1"/>
  <c r="G94" i="1" s="1"/>
  <c r="L90" i="1"/>
  <c r="E90" i="1"/>
  <c r="F90" i="1" s="1"/>
  <c r="G90" i="1" s="1"/>
  <c r="L86" i="1"/>
  <c r="E86" i="1"/>
  <c r="F86" i="1" s="1"/>
  <c r="G86" i="1" s="1"/>
  <c r="L82" i="1"/>
  <c r="E82" i="1"/>
  <c r="F82" i="1" s="1"/>
  <c r="G82" i="1" s="1"/>
  <c r="L78" i="1"/>
  <c r="E78" i="1"/>
  <c r="F78" i="1" s="1"/>
  <c r="G78" i="1" s="1"/>
  <c r="L74" i="1"/>
  <c r="E74" i="1"/>
  <c r="F74" i="1" s="1"/>
  <c r="G74" i="1" s="1"/>
  <c r="L70" i="1"/>
  <c r="E70" i="1"/>
  <c r="F70" i="1" s="1"/>
  <c r="G70" i="1" s="1"/>
  <c r="L66" i="1"/>
  <c r="E66" i="1"/>
  <c r="F66" i="1" s="1"/>
  <c r="G66" i="1" s="1"/>
  <c r="L62" i="1"/>
  <c r="E62" i="1"/>
  <c r="F62" i="1" s="1"/>
  <c r="G62" i="1" s="1"/>
  <c r="L58" i="1"/>
  <c r="E58" i="1"/>
  <c r="F58" i="1" s="1"/>
  <c r="G58" i="1" s="1"/>
  <c r="L54" i="1"/>
  <c r="E54" i="1"/>
  <c r="F54" i="1" s="1"/>
  <c r="G54" i="1" s="1"/>
  <c r="L50" i="1"/>
  <c r="E50" i="1"/>
  <c r="F50" i="1" s="1"/>
  <c r="G50" i="1" s="1"/>
  <c r="L46" i="1"/>
  <c r="E46" i="1"/>
  <c r="F46" i="1" s="1"/>
  <c r="G46" i="1" s="1"/>
  <c r="L42" i="1"/>
  <c r="E42" i="1"/>
  <c r="F42" i="1" s="1"/>
  <c r="G42" i="1" s="1"/>
  <c r="L38" i="1"/>
  <c r="E38" i="1"/>
  <c r="F38" i="1" s="1"/>
  <c r="G38" i="1" s="1"/>
  <c r="L34" i="1"/>
  <c r="E34" i="1"/>
  <c r="F34" i="1" s="1"/>
  <c r="G34" i="1" s="1"/>
  <c r="L30" i="1"/>
  <c r="E30" i="1"/>
  <c r="F30" i="1" s="1"/>
  <c r="G30" i="1" s="1"/>
  <c r="E26" i="1"/>
  <c r="F26" i="1" s="1"/>
  <c r="G26" i="1" s="1"/>
  <c r="L26" i="1"/>
  <c r="E22" i="1"/>
  <c r="F22" i="1" s="1"/>
  <c r="G22" i="1" s="1"/>
  <c r="L22" i="1"/>
  <c r="E18" i="1"/>
  <c r="F18" i="1" s="1"/>
  <c r="G18" i="1" s="1"/>
  <c r="L18" i="1"/>
  <c r="E14" i="1"/>
  <c r="F14" i="1" s="1"/>
  <c r="G14" i="1" s="1"/>
  <c r="L14" i="1"/>
  <c r="E8" i="1"/>
  <c r="F8" i="1" s="1"/>
  <c r="G8" i="1" s="1"/>
  <c r="L8" i="1"/>
  <c r="E4" i="1"/>
  <c r="F4" i="1" s="1"/>
  <c r="G4" i="1" s="1"/>
  <c r="L4" i="1"/>
  <c r="L27" i="1"/>
  <c r="E27" i="1"/>
  <c r="F27" i="1" s="1"/>
  <c r="G27" i="1" s="1"/>
  <c r="L23" i="1"/>
  <c r="E23" i="1"/>
  <c r="F23" i="1" s="1"/>
  <c r="G23" i="1" s="1"/>
  <c r="L19" i="1"/>
  <c r="E19" i="1"/>
  <c r="F19" i="1" s="1"/>
  <c r="G19" i="1" s="1"/>
  <c r="L15" i="1"/>
  <c r="E15" i="1"/>
  <c r="F15" i="1" s="1"/>
  <c r="G15" i="1" s="1"/>
  <c r="L11" i="1"/>
  <c r="E11" i="1"/>
  <c r="F11" i="1" s="1"/>
  <c r="G11" i="1" s="1"/>
  <c r="L7" i="1"/>
  <c r="E7" i="1"/>
  <c r="F7" i="1" s="1"/>
  <c r="G7" i="1" s="1"/>
  <c r="E246" i="1"/>
  <c r="F246" i="1" s="1"/>
  <c r="G246" i="1" s="1"/>
  <c r="L246" i="1"/>
  <c r="E242" i="1"/>
  <c r="F242" i="1" s="1"/>
  <c r="G242" i="1" s="1"/>
  <c r="L242" i="1"/>
  <c r="E238" i="1"/>
  <c r="F238" i="1" s="1"/>
  <c r="G238" i="1" s="1"/>
  <c r="L238" i="1"/>
  <c r="E234" i="1"/>
  <c r="F234" i="1" s="1"/>
  <c r="G234" i="1" s="1"/>
  <c r="L234" i="1"/>
  <c r="E230" i="1"/>
  <c r="F230" i="1" s="1"/>
  <c r="G230" i="1" s="1"/>
  <c r="L230" i="1"/>
  <c r="E226" i="1"/>
  <c r="F226" i="1" s="1"/>
  <c r="G226" i="1" s="1"/>
  <c r="L226" i="1"/>
  <c r="E222" i="1"/>
  <c r="F222" i="1" s="1"/>
  <c r="G222" i="1" s="1"/>
  <c r="L222" i="1"/>
  <c r="E218" i="1"/>
  <c r="F218" i="1" s="1"/>
  <c r="G218" i="1" s="1"/>
  <c r="L218" i="1"/>
  <c r="E214" i="1"/>
  <c r="F214" i="1" s="1"/>
  <c r="G214" i="1" s="1"/>
  <c r="L214" i="1"/>
  <c r="E210" i="1"/>
  <c r="F210" i="1" s="1"/>
  <c r="G210" i="1" s="1"/>
  <c r="L210" i="1"/>
  <c r="E206" i="1"/>
  <c r="F206" i="1" s="1"/>
  <c r="G206" i="1" s="1"/>
  <c r="L206" i="1"/>
  <c r="E202" i="1"/>
  <c r="F202" i="1" s="1"/>
  <c r="G202" i="1" s="1"/>
  <c r="L202" i="1"/>
  <c r="E198" i="1"/>
  <c r="F198" i="1" s="1"/>
  <c r="G198" i="1" s="1"/>
  <c r="L198" i="1"/>
  <c r="L247" i="1"/>
  <c r="E247" i="1"/>
  <c r="F247" i="1" s="1"/>
  <c r="G247" i="1" s="1"/>
  <c r="L243" i="1"/>
  <c r="E243" i="1"/>
  <c r="F243" i="1" s="1"/>
  <c r="G243" i="1" s="1"/>
  <c r="L239" i="1"/>
  <c r="E239" i="1"/>
  <c r="F239" i="1" s="1"/>
  <c r="G239" i="1" s="1"/>
  <c r="L235" i="1"/>
  <c r="E235" i="1"/>
  <c r="F235" i="1" s="1"/>
  <c r="G235" i="1" s="1"/>
  <c r="L231" i="1"/>
  <c r="E231" i="1"/>
  <c r="F231" i="1" s="1"/>
  <c r="G231" i="1" s="1"/>
  <c r="L227" i="1"/>
  <c r="E227" i="1"/>
  <c r="F227" i="1" s="1"/>
  <c r="G227" i="1" s="1"/>
  <c r="L223" i="1"/>
  <c r="E223" i="1"/>
  <c r="F223" i="1" s="1"/>
  <c r="G223" i="1" s="1"/>
  <c r="L219" i="1"/>
  <c r="E219" i="1"/>
  <c r="F219" i="1" s="1"/>
  <c r="G219" i="1" s="1"/>
  <c r="L215" i="1"/>
  <c r="E215" i="1"/>
  <c r="F215" i="1" s="1"/>
  <c r="G215" i="1" s="1"/>
  <c r="L211" i="1"/>
  <c r="E211" i="1"/>
  <c r="F211" i="1" s="1"/>
  <c r="G211" i="1" s="1"/>
  <c r="L207" i="1"/>
  <c r="E207" i="1"/>
  <c r="F207" i="1" s="1"/>
  <c r="G207" i="1" s="1"/>
  <c r="L203" i="1"/>
  <c r="E203" i="1"/>
  <c r="F203" i="1" s="1"/>
  <c r="G203" i="1" s="1"/>
  <c r="L199" i="1"/>
  <c r="E199" i="1"/>
  <c r="F199" i="1" s="1"/>
  <c r="G199" i="1" s="1"/>
  <c r="L195" i="1"/>
  <c r="E195" i="1"/>
  <c r="F195" i="1" s="1"/>
  <c r="G195" i="1" s="1"/>
  <c r="E192" i="1"/>
  <c r="F192" i="1" s="1"/>
  <c r="G192" i="1" s="1"/>
  <c r="L192" i="1"/>
  <c r="E188" i="1"/>
  <c r="F188" i="1" s="1"/>
  <c r="G188" i="1" s="1"/>
  <c r="L188" i="1"/>
  <c r="E184" i="1"/>
  <c r="F184" i="1" s="1"/>
  <c r="G184" i="1" s="1"/>
  <c r="L184" i="1"/>
  <c r="E180" i="1"/>
  <c r="F180" i="1" s="1"/>
  <c r="G180" i="1" s="1"/>
  <c r="L180" i="1"/>
  <c r="E176" i="1"/>
  <c r="F176" i="1" s="1"/>
  <c r="G176" i="1" s="1"/>
  <c r="L176" i="1"/>
  <c r="E172" i="1"/>
  <c r="F172" i="1" s="1"/>
  <c r="G172" i="1" s="1"/>
  <c r="L172" i="1"/>
  <c r="E168" i="1"/>
  <c r="F168" i="1" s="1"/>
  <c r="G168" i="1" s="1"/>
  <c r="L168" i="1"/>
  <c r="E164" i="1"/>
  <c r="F164" i="1" s="1"/>
  <c r="G164" i="1" s="1"/>
  <c r="L164" i="1"/>
  <c r="E160" i="1"/>
  <c r="F160" i="1" s="1"/>
  <c r="G160" i="1" s="1"/>
  <c r="L160" i="1"/>
  <c r="E156" i="1"/>
  <c r="F156" i="1" s="1"/>
  <c r="G156" i="1" s="1"/>
  <c r="L156" i="1"/>
  <c r="E152" i="1"/>
  <c r="F152" i="1" s="1"/>
  <c r="G152" i="1" s="1"/>
  <c r="L152" i="1"/>
  <c r="E148" i="1"/>
  <c r="F148" i="1" s="1"/>
  <c r="G148" i="1" s="1"/>
  <c r="L148" i="1"/>
  <c r="E144" i="1"/>
  <c r="F144" i="1" s="1"/>
  <c r="G144" i="1" s="1"/>
  <c r="L144" i="1"/>
  <c r="E140" i="1"/>
  <c r="F140" i="1" s="1"/>
  <c r="G140" i="1" s="1"/>
  <c r="L140" i="1"/>
  <c r="E136" i="1"/>
  <c r="F136" i="1" s="1"/>
  <c r="G136" i="1" s="1"/>
  <c r="L136" i="1"/>
  <c r="E132" i="1"/>
  <c r="F132" i="1" s="1"/>
  <c r="G132" i="1" s="1"/>
  <c r="L132" i="1"/>
  <c r="E128" i="1"/>
  <c r="F128" i="1" s="1"/>
  <c r="G128" i="1" s="1"/>
  <c r="L128" i="1"/>
  <c r="E124" i="1"/>
  <c r="F124" i="1" s="1"/>
  <c r="G124" i="1" s="1"/>
  <c r="L124" i="1"/>
  <c r="E120" i="1"/>
  <c r="F120" i="1" s="1"/>
  <c r="G120" i="1" s="1"/>
  <c r="L120" i="1"/>
  <c r="E116" i="1"/>
  <c r="F116" i="1" s="1"/>
  <c r="G116" i="1" s="1"/>
  <c r="L116" i="1"/>
  <c r="E112" i="1"/>
  <c r="F112" i="1" s="1"/>
  <c r="G112" i="1" s="1"/>
  <c r="L112" i="1"/>
  <c r="E108" i="1"/>
  <c r="F108" i="1" s="1"/>
  <c r="G108" i="1" s="1"/>
  <c r="L108" i="1"/>
  <c r="L191" i="1"/>
  <c r="E191" i="1"/>
  <c r="F191" i="1" s="1"/>
  <c r="G191" i="1" s="1"/>
  <c r="L187" i="1"/>
  <c r="E187" i="1"/>
  <c r="F187" i="1" s="1"/>
  <c r="G187" i="1" s="1"/>
  <c r="L183" i="1"/>
  <c r="E183" i="1"/>
  <c r="F183" i="1" s="1"/>
  <c r="G183" i="1" s="1"/>
  <c r="L179" i="1"/>
  <c r="E179" i="1"/>
  <c r="F179" i="1" s="1"/>
  <c r="G179" i="1" s="1"/>
  <c r="L175" i="1"/>
  <c r="E175" i="1"/>
  <c r="F175" i="1" s="1"/>
  <c r="G175" i="1" s="1"/>
  <c r="L171" i="1"/>
  <c r="E171" i="1"/>
  <c r="F171" i="1" s="1"/>
  <c r="G171" i="1" s="1"/>
  <c r="L167" i="1"/>
  <c r="E167" i="1"/>
  <c r="F167" i="1" s="1"/>
  <c r="G167" i="1" s="1"/>
  <c r="L163" i="1"/>
  <c r="E163" i="1"/>
  <c r="F163" i="1" s="1"/>
  <c r="G163" i="1" s="1"/>
  <c r="L159" i="1"/>
  <c r="E159" i="1"/>
  <c r="F159" i="1" s="1"/>
  <c r="G159" i="1" s="1"/>
  <c r="L155" i="1"/>
  <c r="E155" i="1"/>
  <c r="F155" i="1" s="1"/>
  <c r="G155" i="1" s="1"/>
  <c r="L151" i="1"/>
  <c r="E151" i="1"/>
  <c r="F151" i="1" s="1"/>
  <c r="G151" i="1" s="1"/>
  <c r="L147" i="1"/>
  <c r="E147" i="1"/>
  <c r="F147" i="1" s="1"/>
  <c r="G147" i="1" s="1"/>
  <c r="L143" i="1"/>
  <c r="E143" i="1"/>
  <c r="F143" i="1" s="1"/>
  <c r="G143" i="1" s="1"/>
  <c r="L139" i="1"/>
  <c r="E139" i="1"/>
  <c r="F139" i="1" s="1"/>
  <c r="G139" i="1" s="1"/>
  <c r="L135" i="1"/>
  <c r="E135" i="1"/>
  <c r="F135" i="1" s="1"/>
  <c r="G135" i="1" s="1"/>
  <c r="L131" i="1"/>
  <c r="E131" i="1"/>
  <c r="F131" i="1" s="1"/>
  <c r="G131" i="1" s="1"/>
  <c r="L127" i="1"/>
  <c r="E127" i="1"/>
  <c r="F127" i="1" s="1"/>
  <c r="G127" i="1" s="1"/>
  <c r="L123" i="1"/>
  <c r="E123" i="1"/>
  <c r="F123" i="1" s="1"/>
  <c r="G123" i="1" s="1"/>
  <c r="L119" i="1"/>
  <c r="E119" i="1"/>
  <c r="F119" i="1" s="1"/>
  <c r="G119" i="1" s="1"/>
  <c r="L115" i="1"/>
  <c r="E115" i="1"/>
  <c r="F115" i="1" s="1"/>
  <c r="G115" i="1" s="1"/>
  <c r="L111" i="1"/>
  <c r="E111" i="1"/>
  <c r="F111" i="1" s="1"/>
  <c r="G111" i="1" s="1"/>
  <c r="L107" i="1"/>
  <c r="E107" i="1"/>
  <c r="F107" i="1" s="1"/>
  <c r="G107" i="1" s="1"/>
  <c r="E104" i="1"/>
  <c r="F104" i="1" s="1"/>
  <c r="G104" i="1" s="1"/>
  <c r="L104" i="1"/>
  <c r="E100" i="1"/>
  <c r="F100" i="1" s="1"/>
  <c r="G100" i="1" s="1"/>
  <c r="L100" i="1"/>
  <c r="E96" i="1"/>
  <c r="F96" i="1" s="1"/>
  <c r="G96" i="1" s="1"/>
  <c r="L96" i="1"/>
  <c r="L103" i="1"/>
  <c r="E103" i="1"/>
  <c r="F103" i="1" s="1"/>
  <c r="G103" i="1" s="1"/>
  <c r="L99" i="1"/>
  <c r="E99" i="1"/>
  <c r="F99" i="1" s="1"/>
  <c r="G99" i="1" s="1"/>
  <c r="L95" i="1"/>
  <c r="E95" i="1"/>
  <c r="F95" i="1" s="1"/>
  <c r="G95" i="1" s="1"/>
  <c r="E91" i="1"/>
  <c r="F91" i="1" s="1"/>
  <c r="G91" i="1" s="1"/>
  <c r="L91" i="1"/>
  <c r="E87" i="1"/>
  <c r="F87" i="1" s="1"/>
  <c r="G87" i="1" s="1"/>
  <c r="L87" i="1"/>
  <c r="E83" i="1"/>
  <c r="F83" i="1" s="1"/>
  <c r="G83" i="1" s="1"/>
  <c r="L83" i="1"/>
  <c r="E79" i="1"/>
  <c r="F79" i="1" s="1"/>
  <c r="G79" i="1" s="1"/>
  <c r="L79" i="1"/>
  <c r="E75" i="1"/>
  <c r="F75" i="1" s="1"/>
  <c r="G75" i="1" s="1"/>
  <c r="L75" i="1"/>
  <c r="E71" i="1"/>
  <c r="F71" i="1" s="1"/>
  <c r="G71" i="1" s="1"/>
  <c r="L71" i="1"/>
  <c r="E67" i="1"/>
  <c r="F67" i="1" s="1"/>
  <c r="G67" i="1" s="1"/>
  <c r="L67" i="1"/>
  <c r="E63" i="1"/>
  <c r="F63" i="1" s="1"/>
  <c r="G63" i="1" s="1"/>
  <c r="L63" i="1"/>
  <c r="E59" i="1"/>
  <c r="F59" i="1" s="1"/>
  <c r="G59" i="1" s="1"/>
  <c r="L59" i="1"/>
  <c r="E55" i="1"/>
  <c r="F55" i="1" s="1"/>
  <c r="G55" i="1" s="1"/>
  <c r="L55" i="1"/>
  <c r="E51" i="1"/>
  <c r="F51" i="1" s="1"/>
  <c r="G51" i="1" s="1"/>
  <c r="L51" i="1"/>
  <c r="E47" i="1"/>
  <c r="F47" i="1" s="1"/>
  <c r="G47" i="1" s="1"/>
  <c r="L47" i="1"/>
  <c r="E43" i="1"/>
  <c r="F43" i="1" s="1"/>
  <c r="G43" i="1" s="1"/>
  <c r="L43" i="1"/>
  <c r="E39" i="1"/>
  <c r="F39" i="1" s="1"/>
  <c r="G39" i="1" s="1"/>
  <c r="L39" i="1"/>
  <c r="E35" i="1"/>
  <c r="F35" i="1" s="1"/>
  <c r="G35" i="1" s="1"/>
  <c r="L35" i="1"/>
  <c r="E31" i="1"/>
  <c r="F31" i="1" s="1"/>
  <c r="G31" i="1" s="1"/>
  <c r="L31" i="1"/>
  <c r="E12" i="1"/>
  <c r="F12" i="1" s="1"/>
  <c r="G12" i="1" s="1"/>
  <c r="L12" i="1"/>
  <c r="L92" i="1"/>
  <c r="E92" i="1"/>
  <c r="F92" i="1" s="1"/>
  <c r="G92" i="1" s="1"/>
  <c r="L88" i="1"/>
  <c r="E88" i="1"/>
  <c r="F88" i="1" s="1"/>
  <c r="G88" i="1" s="1"/>
  <c r="L84" i="1"/>
  <c r="E84" i="1"/>
  <c r="F84" i="1" s="1"/>
  <c r="G84" i="1" s="1"/>
  <c r="L80" i="1"/>
  <c r="E80" i="1"/>
  <c r="F80" i="1" s="1"/>
  <c r="G80" i="1" s="1"/>
  <c r="L76" i="1"/>
  <c r="E76" i="1"/>
  <c r="F76" i="1" s="1"/>
  <c r="G76" i="1" s="1"/>
  <c r="L72" i="1"/>
  <c r="E72" i="1"/>
  <c r="F72" i="1" s="1"/>
  <c r="G72" i="1" s="1"/>
  <c r="L68" i="1"/>
  <c r="E68" i="1"/>
  <c r="F68" i="1" s="1"/>
  <c r="G68" i="1" s="1"/>
  <c r="L64" i="1"/>
  <c r="E64" i="1"/>
  <c r="F64" i="1" s="1"/>
  <c r="G64" i="1" s="1"/>
  <c r="L60" i="1"/>
  <c r="E60" i="1"/>
  <c r="F60" i="1" s="1"/>
  <c r="G60" i="1" s="1"/>
  <c r="L56" i="1"/>
  <c r="E56" i="1"/>
  <c r="F56" i="1" s="1"/>
  <c r="G56" i="1" s="1"/>
  <c r="L52" i="1"/>
  <c r="E52" i="1"/>
  <c r="F52" i="1" s="1"/>
  <c r="G52" i="1" s="1"/>
  <c r="L48" i="1"/>
  <c r="E48" i="1"/>
  <c r="F48" i="1" s="1"/>
  <c r="G48" i="1" s="1"/>
  <c r="L44" i="1"/>
  <c r="E44" i="1"/>
  <c r="F44" i="1" s="1"/>
  <c r="G44" i="1" s="1"/>
  <c r="L40" i="1"/>
  <c r="E40" i="1"/>
  <c r="F40" i="1" s="1"/>
  <c r="G40" i="1" s="1"/>
  <c r="L36" i="1"/>
  <c r="E36" i="1"/>
  <c r="F36" i="1" s="1"/>
  <c r="G36" i="1" s="1"/>
  <c r="L32" i="1"/>
  <c r="E32" i="1"/>
  <c r="F32" i="1" s="1"/>
  <c r="G32" i="1" s="1"/>
  <c r="E28" i="1"/>
  <c r="F28" i="1" s="1"/>
  <c r="G28" i="1" s="1"/>
  <c r="L28" i="1"/>
  <c r="E24" i="1"/>
  <c r="F24" i="1" s="1"/>
  <c r="G24" i="1" s="1"/>
  <c r="L24" i="1"/>
  <c r="E20" i="1"/>
  <c r="F20" i="1" s="1"/>
  <c r="G20" i="1" s="1"/>
  <c r="L20" i="1"/>
  <c r="E16" i="1"/>
  <c r="F16" i="1" s="1"/>
  <c r="G16" i="1" s="1"/>
  <c r="L16" i="1"/>
  <c r="E10" i="1"/>
  <c r="F10" i="1" s="1"/>
  <c r="G10" i="1" s="1"/>
  <c r="L10" i="1"/>
  <c r="E6" i="1"/>
  <c r="F6" i="1" s="1"/>
  <c r="G6" i="1" s="1"/>
  <c r="L6" i="1"/>
  <c r="E3" i="1"/>
  <c r="L3" i="1"/>
  <c r="D248" i="1"/>
  <c r="L25" i="1"/>
  <c r="E25" i="1"/>
  <c r="F25" i="1" s="1"/>
  <c r="G25" i="1" s="1"/>
  <c r="L21" i="1"/>
  <c r="E21" i="1"/>
  <c r="F21" i="1" s="1"/>
  <c r="G21" i="1" s="1"/>
  <c r="L17" i="1"/>
  <c r="E17" i="1"/>
  <c r="F17" i="1" s="1"/>
  <c r="G17" i="1" s="1"/>
  <c r="L13" i="1"/>
  <c r="E13" i="1"/>
  <c r="F13" i="1" s="1"/>
  <c r="G13" i="1" s="1"/>
  <c r="L9" i="1"/>
  <c r="E9" i="1"/>
  <c r="F9" i="1" s="1"/>
  <c r="G9" i="1" s="1"/>
  <c r="L5" i="1"/>
  <c r="E5" i="1"/>
  <c r="F5" i="1" s="1"/>
  <c r="G5" i="1" s="1"/>
  <c r="L248" i="1" l="1"/>
  <c r="M3" i="1" s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7" i="1"/>
  <c r="H11" i="1"/>
  <c r="H15" i="1"/>
  <c r="H19" i="1"/>
  <c r="H23" i="1"/>
  <c r="H27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5" i="1"/>
  <c r="H9" i="1"/>
  <c r="H13" i="1"/>
  <c r="H17" i="1"/>
  <c r="H21" i="1"/>
  <c r="H25" i="1"/>
  <c r="F3" i="1"/>
  <c r="G3" i="1" s="1"/>
  <c r="G248" i="1" s="1"/>
  <c r="E248" i="1"/>
  <c r="H6" i="1"/>
  <c r="H10" i="1"/>
  <c r="H16" i="1"/>
  <c r="H20" i="1"/>
  <c r="H24" i="1"/>
  <c r="H28" i="1"/>
  <c r="H12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4" i="1"/>
  <c r="H8" i="1"/>
  <c r="H14" i="1"/>
  <c r="H18" i="1"/>
  <c r="H22" i="1"/>
  <c r="H26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3" i="1" l="1"/>
  <c r="F248" i="1"/>
  <c r="I3" i="1" l="1"/>
  <c r="J3" i="1" s="1"/>
  <c r="H248" i="1"/>
  <c r="S87" i="5" l="1"/>
</calcChain>
</file>

<file path=xl/sharedStrings.xml><?xml version="1.0" encoding="utf-8"?>
<sst xmlns="http://schemas.openxmlformats.org/spreadsheetml/2006/main" count="235" uniqueCount="97">
  <si>
    <t>Average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</si>
  <si>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</si>
  <si>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MAPE</t>
  </si>
  <si>
    <t>Tests</t>
  </si>
  <si>
    <t>y-Intercept (β0)</t>
  </si>
  <si>
    <t>Slope (β1)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</si>
  <si>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(SSR / SST)</t>
    </r>
  </si>
  <si>
    <r>
      <t>∑(ŷ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MS Reference Sans Serif"/>
        <family val="2"/>
      </rPr>
      <t>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</si>
  <si>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∑(y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MS Reference Sans Serif"/>
        <family val="2"/>
      </rPr>
      <t>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</si>
  <si>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Ave Diff</t>
  </si>
  <si>
    <t>Diff</t>
  </si>
  <si>
    <r>
      <t>(y</t>
    </r>
    <r>
      <rPr>
        <b/>
        <vertAlign val="subscript"/>
        <sz val="10"/>
        <color theme="1"/>
        <rFont val="MS Reference Sans Serif"/>
        <family val="2"/>
      </rPr>
      <t>i</t>
    </r>
    <r>
      <rPr>
        <b/>
        <sz val="10"/>
        <color theme="1"/>
        <rFont val="MS Reference Sans Serif"/>
        <family val="2"/>
      </rPr>
      <t xml:space="preserve"> - ŷ</t>
    </r>
    <r>
      <rPr>
        <b/>
        <vertAlign val="subscript"/>
        <sz val="10"/>
        <color theme="1"/>
        <rFont val="MS Reference Sans Serif"/>
        <family val="2"/>
      </rPr>
      <t>i</t>
    </r>
    <r>
      <rPr>
        <b/>
        <sz val="10"/>
        <color theme="1"/>
        <rFont val="MS Reference Sans Serif"/>
        <family val="2"/>
      </rPr>
      <t>)</t>
    </r>
    <r>
      <rPr>
        <b/>
        <vertAlign val="superscript"/>
        <sz val="10"/>
        <color theme="1"/>
        <rFont val="MS Reference Sans Serif"/>
        <family val="2"/>
      </rPr>
      <t>2</t>
    </r>
  </si>
  <si>
    <t>abs</t>
  </si>
  <si>
    <r>
      <t>y</t>
    </r>
    <r>
      <rPr>
        <b/>
        <vertAlign val="subscript"/>
        <sz val="11"/>
        <color theme="1"/>
        <rFont val="Liberation Sans"/>
      </rPr>
      <t>i</t>
    </r>
    <r>
      <rPr>
        <b/>
        <sz val="11"/>
        <color theme="1"/>
        <rFont val="Liberation Sans"/>
      </rPr>
      <t xml:space="preserve"> - ŷ</t>
    </r>
    <r>
      <rPr>
        <b/>
        <vertAlign val="subscript"/>
        <sz val="11"/>
        <color theme="1"/>
        <rFont val="Liberation Sans"/>
      </rPr>
      <t>i</t>
    </r>
  </si>
  <si>
    <t>ŷ</t>
  </si>
  <si>
    <t></t>
  </si>
  <si>
    <t>SSR</t>
  </si>
  <si>
    <t>SST</t>
  </si>
  <si>
    <t>SSE</t>
  </si>
  <si>
    <t>Residual</t>
  </si>
  <si>
    <t>Forecast</t>
  </si>
  <si>
    <t>EngDispl</t>
  </si>
  <si>
    <t>FE</t>
  </si>
  <si>
    <t>NumCyl</t>
  </si>
  <si>
    <t>NumGears</t>
  </si>
  <si>
    <t>TransLockup</t>
  </si>
  <si>
    <t>TransCreeperGear</t>
  </si>
  <si>
    <t>IntakeValvePerCyl</t>
  </si>
  <si>
    <t>ExhaustValvesPerCyl</t>
  </si>
  <si>
    <t>VarValveTiming</t>
  </si>
  <si>
    <t>VarValveLift</t>
  </si>
  <si>
    <t>3 Models</t>
  </si>
  <si>
    <t>Rand Values</t>
  </si>
  <si>
    <t>Set</t>
  </si>
  <si>
    <t>Samples</t>
  </si>
  <si>
    <r>
      <t xml:space="preserve">The columns to the left are where the randomization takes place, and to the right are the sample values only.
</t>
    </r>
    <r>
      <rPr>
        <b/>
        <sz val="11"/>
        <color theme="1"/>
        <rFont val="Calibri"/>
        <family val="2"/>
        <scheme val="minor"/>
      </rPr>
      <t>Clicking the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Randomize</t>
    </r>
    <r>
      <rPr>
        <sz val="11"/>
        <color theme="1"/>
        <rFont val="Calibri"/>
        <family val="2"/>
        <scheme val="minor"/>
      </rPr>
      <t xml:space="preserve"> button allows the </t>
    </r>
    <r>
      <rPr>
        <b/>
        <sz val="11"/>
        <color theme="1"/>
        <rFont val="Calibri"/>
        <family val="2"/>
        <scheme val="minor"/>
      </rPr>
      <t>rand()</t>
    </r>
    <r>
      <rPr>
        <sz val="11"/>
        <color theme="1"/>
        <rFont val="Calibri"/>
        <family val="2"/>
        <scheme val="minor"/>
      </rPr>
      <t xml:space="preserve"> function to produce new values in the </t>
    </r>
    <r>
      <rPr>
        <b/>
        <sz val="11"/>
        <color theme="1"/>
        <rFont val="Calibri"/>
        <family val="2"/>
        <scheme val="minor"/>
      </rPr>
      <t>Rand Values</t>
    </r>
    <r>
      <rPr>
        <sz val="11"/>
        <color theme="1"/>
        <rFont val="Calibri"/>
        <family val="2"/>
        <scheme val="minor"/>
      </rPr>
      <t xml:space="preserve"> column.
The X and Y variable values are then ordered by the Rand Values column, thus changing the position of each row-value pair of X and Y.
The </t>
    </r>
    <r>
      <rPr>
        <b/>
        <sz val="11"/>
        <color theme="1"/>
        <rFont val="Calibri"/>
        <family val="2"/>
        <scheme val="minor"/>
      </rPr>
      <t>MOD()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ROW()</t>
    </r>
    <r>
      <rPr>
        <sz val="11"/>
        <color theme="1"/>
        <rFont val="Calibri"/>
        <family val="2"/>
        <scheme val="minor"/>
      </rPr>
      <t xml:space="preserve"> functions allocates a 1, 2, or 3 to each row. ROW() gets the current row number, which becomes the mod's first argument, and since we have 3 numbers, 3 is the second argument, the divisor. </t>
    </r>
    <r>
      <rPr>
        <b/>
        <sz val="11"/>
        <color theme="1"/>
        <rFont val="Calibri"/>
        <family val="2"/>
        <scheme val="minor"/>
      </rPr>
      <t>Plus 1</t>
    </r>
    <r>
      <rPr>
        <sz val="11"/>
        <color theme="1"/>
        <rFont val="Calibri"/>
        <family val="2"/>
        <scheme val="minor"/>
      </rPr>
      <t xml:space="preserve"> ensures we don't get a zero.</t>
    </r>
  </si>
  <si>
    <r>
      <rPr>
        <b/>
        <sz val="11"/>
        <color theme="1"/>
        <rFont val="Calibri"/>
        <family val="2"/>
        <scheme val="minor"/>
      </rPr>
      <t>Clicking the Values Only</t>
    </r>
    <r>
      <rPr>
        <sz val="11"/>
        <color theme="1"/>
        <rFont val="Calibri"/>
        <family val="2"/>
        <scheme val="minor"/>
      </rPr>
      <t xml:space="preserve"> button takes the values from</t>
    </r>
    <r>
      <rPr>
        <b/>
        <sz val="11"/>
        <color theme="1"/>
        <rFont val="Calibri"/>
        <family val="2"/>
        <scheme val="minor"/>
      </rPr>
      <t xml:space="preserve"> F - K</t>
    </r>
    <r>
      <rPr>
        <sz val="11"/>
        <color theme="1"/>
        <rFont val="Calibri"/>
        <family val="2"/>
        <scheme val="minor"/>
      </rPr>
      <t xml:space="preserve"> and pastes them in columns </t>
    </r>
    <r>
      <rPr>
        <b/>
        <sz val="11"/>
        <color theme="1"/>
        <rFont val="Calibri"/>
        <family val="2"/>
        <scheme val="minor"/>
      </rPr>
      <t>R - W</t>
    </r>
    <r>
      <rPr>
        <sz val="11"/>
        <color theme="1"/>
        <rFont val="Calibri"/>
        <family val="2"/>
        <scheme val="minor"/>
      </rPr>
      <t>. Only the values are pasted over. Sample values can then be taken from the values only cells without fear of being deleted by new random values.</t>
    </r>
  </si>
  <si>
    <t xml:space="preserve">7-8.  You may need to do the random sampling separately here as well. 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</si>
  <si>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</si>
  <si>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</si>
  <si>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</si>
  <si>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</si>
  <si>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</si>
  <si>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</si>
  <si>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</si>
  <si>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</si>
  <si>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</si>
  <si>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</si>
  <si>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</si>
  <si>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</si>
  <si>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</si>
  <si>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</si>
  <si>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</si>
  <si>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</si>
  <si>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</si>
  <si>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</si>
  <si>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</si>
  <si>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</si>
  <si>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</si>
  <si>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</si>
  <si>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</si>
  <si>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</si>
  <si>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</si>
  <si>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Residuals</t>
  </si>
  <si>
    <t xml:space="preserve">7-8. Use Data Analysis feature of Excel to bypass the co-efficient calculation formulas and compute the Regression Model directly. </t>
  </si>
  <si>
    <r>
      <t>ABS(</t>
    </r>
    <r>
      <rPr>
        <i/>
        <sz val="11"/>
        <color theme="1"/>
        <rFont val="Calibri"/>
        <family val="2"/>
        <scheme val="minor"/>
      </rPr>
      <t>Residuals</t>
    </r>
    <r>
      <rPr>
        <sz val="11"/>
        <color theme="1"/>
        <rFont val="Calibri"/>
        <family val="2"/>
        <scheme val="minor"/>
      </rPr>
      <t>)</t>
    </r>
  </si>
  <si>
    <t>Mod 1 Test 1</t>
  </si>
  <si>
    <t>Mod 1 Test 2</t>
  </si>
  <si>
    <t>Mod 2 Test 1</t>
  </si>
  <si>
    <t>Mod 2 Test 2</t>
  </si>
  <si>
    <t>Mod 3 Test 1</t>
  </si>
  <si>
    <t>Mod 3 Test 2</t>
  </si>
  <si>
    <t>Data linked from file named:</t>
  </si>
  <si>
    <t>MyFE2010_v5_Final.xlsm</t>
  </si>
  <si>
    <t>See Tab: Q.6b-e CrossVal</t>
  </si>
  <si>
    <t>Models</t>
  </si>
  <si>
    <t>S1_X</t>
  </si>
  <si>
    <t>S1_Y</t>
  </si>
  <si>
    <r>
      <t>SUM([S1_Y</t>
    </r>
    <r>
      <rPr>
        <i/>
        <vertAlign val="subscript"/>
        <sz val="11"/>
        <color theme="1"/>
        <rFont val="Calibri"/>
        <family val="2"/>
        <scheme val="minor"/>
      </rPr>
      <t>i</t>
    </r>
    <r>
      <rPr>
        <i/>
        <sz val="11"/>
        <color theme="1"/>
        <rFont val="Calibri"/>
        <family val="2"/>
        <scheme val="minor"/>
      </rPr>
      <t xml:space="preserve">] - </t>
    </r>
    <r>
      <rPr>
        <sz val="11"/>
        <color theme="1"/>
        <rFont val="MS Reference Sans Serif"/>
        <family val="2"/>
      </rPr>
      <t></t>
    </r>
    <r>
      <rPr>
        <i/>
        <sz val="11"/>
        <color theme="1"/>
        <rFont val="Calibri"/>
        <family val="2"/>
      </rPr>
      <t>)</t>
    </r>
    <r>
      <rPr>
        <i/>
        <vertAlign val="superscript"/>
        <sz val="11"/>
        <color theme="1"/>
        <rFont val="Calibri"/>
        <family val="2"/>
      </rPr>
      <t>2</t>
    </r>
  </si>
  <si>
    <r>
      <t xml:space="preserve">SUM(Predicted [S1_Y] - </t>
    </r>
    <r>
      <rPr>
        <sz val="11"/>
        <color theme="1"/>
        <rFont val="MS Reference Sans Serif"/>
        <family val="2"/>
      </rPr>
      <t></t>
    </r>
    <r>
      <rPr>
        <i/>
        <sz val="11"/>
        <color theme="1"/>
        <rFont val="Calibri"/>
        <family val="2"/>
      </rPr>
      <t>)</t>
    </r>
    <r>
      <rPr>
        <i/>
        <vertAlign val="superscript"/>
        <sz val="11"/>
        <color theme="1"/>
        <rFont val="Calibri"/>
        <family val="2"/>
      </rPr>
      <t>2</t>
    </r>
  </si>
  <si>
    <t>S2_X</t>
  </si>
  <si>
    <t>S2_Y</t>
  </si>
  <si>
    <t>S3_X</t>
  </si>
  <si>
    <t>S3_Y</t>
  </si>
  <si>
    <t/>
  </si>
  <si>
    <t>Predicted S1_Y</t>
  </si>
  <si>
    <t>Slope</t>
  </si>
  <si>
    <t>yi - ŷi</t>
  </si>
  <si>
    <t>Coorrelation</t>
  </si>
  <si>
    <r>
      <t>S1_</t>
    </r>
    <r>
      <rPr>
        <b/>
        <sz val="11"/>
        <color theme="1"/>
        <rFont val="Calibri"/>
        <family val="2"/>
      </rPr>
      <t>ŷ</t>
    </r>
  </si>
  <si>
    <t>S2_ŷ</t>
  </si>
  <si>
    <t>S3_ŷ</t>
  </si>
  <si>
    <t>S1</t>
  </si>
  <si>
    <t>PROBABILITY OUTPUT</t>
  </si>
  <si>
    <t>Percentile</t>
  </si>
  <si>
    <t>Predicted S2_Y</t>
  </si>
  <si>
    <t>Predicted S3_Y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</si>
</sst>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"/>
    <numFmt numFmtId="166" formatCode="[$₹-4009]#,##0.00;[Red]&quot;-&quot;[$₹-4009]#,##0.00"/>
    <numFmt numFmtId="167" formatCode="0.0"/>
    <numFmt numFmtId="168" formatCode="0.000000000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Liberation Sans"/>
    </font>
    <font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MS Reference Sans Serif"/>
      <family val="2"/>
    </font>
    <font>
      <b/>
      <sz val="10"/>
      <color theme="1"/>
      <name val="MS Reference Sans Serif"/>
      <family val="2"/>
    </font>
    <font>
      <b/>
      <vertAlign val="subscript"/>
      <sz val="10"/>
      <color theme="1"/>
      <name val="MS Reference Sans Serif"/>
      <family val="2"/>
    </font>
    <font>
      <b/>
      <vertAlign val="superscript"/>
      <sz val="10"/>
      <color theme="1"/>
      <name val="MS Reference Sans Serif"/>
      <family val="2"/>
    </font>
    <font>
      <b/>
      <sz val="11"/>
      <color theme="1"/>
      <name val="Liberation Sans"/>
    </font>
    <font>
      <b/>
      <vertAlign val="subscript"/>
      <sz val="11"/>
      <color theme="1"/>
      <name val="Liberation Sans"/>
    </font>
    <font>
      <b/>
      <sz val="11"/>
      <color theme="1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sz val="10"/>
      <name val="Arial"/>
      <family val="2"/>
    </font>
    <font>
      <sz val="11"/>
      <color rgb="FF000000"/>
      <name val="Calibri"/>
      <family val="2"/>
    </font>
    <font>
      <sz val="12"/>
      <color rgb="FF22222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MS Reference Sans Serif"/>
      <family val="2"/>
    </font>
    <font>
      <i/>
      <sz val="11"/>
      <color theme="1"/>
      <name val="Calibri"/>
      <family val="2"/>
    </font>
    <font>
      <i/>
      <vertAlign val="superscript"/>
      <sz val="11"/>
      <color theme="1"/>
      <name val="Calibri"/>
      <family val="2"/>
    </font>
    <font>
      <i/>
      <vertAlign val="sub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9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15" fillId="0" borderId="0" applyNumberFormat="0" applyFill="0" applyBorder="0" applyAlignment="0" applyProtection="0"/>
    <xf numFmtId="0" fontId="16" fillId="0" borderId="15" applyNumberFormat="0" applyFill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8" fillId="0" borderId="0" applyNumberFormat="0" applyFill="0" applyBorder="0" applyAlignment="0" applyProtection="0"/>
    <xf numFmtId="0" fontId="19" fillId="8" borderId="0" applyNumberFormat="0" applyBorder="0" applyAlignment="0" applyProtection="0"/>
    <xf numFmtId="0" fontId="20" fillId="9" borderId="0" applyNumberFormat="0" applyBorder="0" applyAlignment="0" applyProtection="0"/>
    <xf numFmtId="0" fontId="21" fillId="10" borderId="0" applyNumberFormat="0" applyBorder="0" applyAlignment="0" applyProtection="0"/>
    <xf numFmtId="0" fontId="22" fillId="11" borderId="18" applyNumberFormat="0" applyAlignment="0" applyProtection="0"/>
    <xf numFmtId="0" fontId="23" fillId="12" borderId="19" applyNumberFormat="0" applyAlignment="0" applyProtection="0"/>
    <xf numFmtId="0" fontId="24" fillId="12" borderId="18" applyNumberFormat="0" applyAlignment="0" applyProtection="0"/>
    <xf numFmtId="0" fontId="25" fillId="0" borderId="20" applyNumberFormat="0" applyFill="0" applyAlignment="0" applyProtection="0"/>
    <xf numFmtId="0" fontId="26" fillId="13" borderId="21" applyNumberFormat="0" applyAlignment="0" applyProtection="0"/>
    <xf numFmtId="0" fontId="27" fillId="0" borderId="0" applyNumberFormat="0" applyFill="0" applyBorder="0" applyAlignment="0" applyProtection="0"/>
    <xf numFmtId="0" fontId="1" fillId="14" borderId="22" applyNumberFormat="0" applyFont="0" applyAlignment="0" applyProtection="0"/>
    <xf numFmtId="0" fontId="2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2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9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0" fillId="0" borderId="0">
      <alignment horizontal="center"/>
    </xf>
    <xf numFmtId="0" fontId="30" fillId="0" borderId="0">
      <alignment horizontal="center" textRotation="90"/>
    </xf>
    <xf numFmtId="0" fontId="31" fillId="0" borderId="0"/>
    <xf numFmtId="166" fontId="31" fillId="0" borderId="0"/>
    <xf numFmtId="0" fontId="32" fillId="0" borderId="0"/>
  </cellStyleXfs>
  <cellXfs count="1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2" fillId="2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2" borderId="0" xfId="0" applyFill="1"/>
    <xf numFmtId="2" fontId="3" fillId="2" borderId="1" xfId="0" applyNumberFormat="1" applyFon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1" fillId="2" borderId="0" xfId="2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0" xfId="2" applyFill="1" applyAlignment="1">
      <alignment horizontal="center"/>
    </xf>
    <xf numFmtId="2" fontId="2" fillId="2" borderId="2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2" fontId="0" fillId="5" borderId="5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2" fontId="5" fillId="5" borderId="5" xfId="0" applyNumberFormat="1" applyFont="1" applyFill="1" applyBorder="1" applyAlignment="1">
      <alignment horizontal="center"/>
    </xf>
    <xf numFmtId="2" fontId="5" fillId="5" borderId="0" xfId="0" applyNumberFormat="1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0" xfId="0" applyNumberFormat="1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2" fontId="5" fillId="4" borderId="5" xfId="0" applyNumberFormat="1" applyFont="1" applyFill="1" applyBorder="1" applyAlignment="1">
      <alignment horizontal="center"/>
    </xf>
    <xf numFmtId="2" fontId="5" fillId="4" borderId="0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6" borderId="0" xfId="2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9" fontId="2" fillId="6" borderId="1" xfId="1" quotePrefix="1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4" fillId="2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8" fillId="7" borderId="1" xfId="2" applyFont="1" applyFill="1" applyBorder="1" applyAlignment="1">
      <alignment horizontal="center"/>
    </xf>
    <xf numFmtId="2" fontId="0" fillId="7" borderId="0" xfId="0" applyNumberFormat="1" applyFill="1" applyAlignment="1">
      <alignment horizontal="center"/>
    </xf>
    <xf numFmtId="2" fontId="2" fillId="7" borderId="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67" fontId="0" fillId="2" borderId="0" xfId="0" applyNumberFormat="1" applyFill="1" applyAlignment="1">
      <alignment horizontal="center"/>
    </xf>
    <xf numFmtId="0" fontId="34" fillId="0" borderId="0" xfId="0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2" fontId="2" fillId="5" borderId="1" xfId="0" applyNumberFormat="1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2" fillId="0" borderId="1" xfId="0" applyNumberFormat="1" applyFont="1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" fillId="0" borderId="24" xfId="0" applyFont="1" applyFill="1" applyBorder="1" applyAlignment="1">
      <alignment horizontal="left"/>
    </xf>
    <xf numFmtId="2" fontId="2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40" borderId="0" xfId="0" applyNumberForma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35" fillId="0" borderId="26" xfId="0" applyFont="1" applyFill="1" applyBorder="1" applyAlignment="1">
      <alignment horizontal="center"/>
    </xf>
    <xf numFmtId="0" fontId="35" fillId="0" borderId="13" xfId="0" applyFont="1" applyFill="1" applyBorder="1" applyAlignment="1">
      <alignment horizontal="center"/>
    </xf>
    <xf numFmtId="0" fontId="35" fillId="0" borderId="13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2" fontId="2" fillId="40" borderId="0" xfId="2" applyNumberFormat="1" applyFont="1" applyFill="1" applyAlignment="1">
      <alignment horizontal="center"/>
    </xf>
    <xf numFmtId="0" fontId="0" fillId="0" borderId="0" xfId="0" applyBorder="1"/>
    <xf numFmtId="0" fontId="8" fillId="5" borderId="27" xfId="0" applyFont="1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2" fontId="2" fillId="3" borderId="0" xfId="0" applyNumberFormat="1" applyFont="1" applyFill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9" fontId="2" fillId="40" borderId="1" xfId="1" quotePrefix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2" fontId="2" fillId="2" borderId="8" xfId="0" applyNumberFormat="1" applyFont="1" applyFill="1" applyBorder="1" applyAlignment="1">
      <alignment horizontal="center"/>
    </xf>
    <xf numFmtId="2" fontId="2" fillId="2" borderId="7" xfId="0" applyNumberFormat="1" applyFont="1" applyFill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6" xfId="0" applyBorder="1"/>
    <xf numFmtId="0" fontId="0" fillId="0" borderId="5" xfId="0" applyBorder="1"/>
    <xf numFmtId="167" fontId="0" fillId="2" borderId="1" xfId="0" applyNumberFormat="1" applyFill="1" applyBorder="1" applyAlignment="1">
      <alignment horizontal="center"/>
    </xf>
    <xf numFmtId="2" fontId="2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5" xfId="0" applyFill="1" applyBorder="1" applyAlignment="1"/>
    <xf numFmtId="0" fontId="0" fillId="40" borderId="0" xfId="0" applyFill="1" applyBorder="1" applyAlignment="1"/>
    <xf numFmtId="0" fontId="0" fillId="4" borderId="0" xfId="0" applyFill="1" applyBorder="1" applyAlignment="1"/>
    <xf numFmtId="0" fontId="0" fillId="4" borderId="25" xfId="0" applyFill="1" applyBorder="1" applyAlignment="1"/>
    <xf numFmtId="0" fontId="35" fillId="0" borderId="14" xfId="0" applyFont="1" applyFill="1" applyBorder="1" applyAlignment="1">
      <alignment horizontal="centerContinuous"/>
    </xf>
    <xf numFmtId="0" fontId="0" fillId="0" borderId="6" xfId="0" applyFill="1" applyBorder="1" applyAlignment="1"/>
    <xf numFmtId="0" fontId="0" fillId="0" borderId="32" xfId="0" applyFill="1" applyBorder="1" applyAlignment="1"/>
    <xf numFmtId="0" fontId="35" fillId="0" borderId="14" xfId="0" applyFont="1" applyFill="1" applyBorder="1" applyAlignment="1">
      <alignment horizontal="center"/>
    </xf>
    <xf numFmtId="0" fontId="35" fillId="0" borderId="12" xfId="0" applyFont="1" applyFill="1" applyBorder="1" applyAlignment="1">
      <alignment horizontal="center"/>
    </xf>
    <xf numFmtId="0" fontId="0" fillId="0" borderId="5" xfId="0" applyFill="1" applyBorder="1" applyAlignment="1"/>
    <xf numFmtId="0" fontId="0" fillId="0" borderId="33" xfId="0" applyFill="1" applyBorder="1" applyAlignment="1"/>
    <xf numFmtId="0" fontId="0" fillId="0" borderId="25" xfId="0" applyBorder="1"/>
    <xf numFmtId="0" fontId="0" fillId="0" borderId="33" xfId="0" applyBorder="1"/>
    <xf numFmtId="0" fontId="2" fillId="40" borderId="1" xfId="0" applyFont="1" applyFill="1" applyBorder="1" applyAlignment="1">
      <alignment horizontal="center"/>
    </xf>
    <xf numFmtId="0" fontId="0" fillId="0" borderId="34" xfId="0" applyBorder="1"/>
    <xf numFmtId="0" fontId="0" fillId="0" borderId="36" xfId="0" applyBorder="1"/>
    <xf numFmtId="2" fontId="0" fillId="0" borderId="0" xfId="0" applyNumberFormat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2" fontId="40" fillId="0" borderId="1" xfId="0" applyNumberFormat="1" applyFont="1" applyBorder="1" applyAlignment="1">
      <alignment horizontal="center"/>
    </xf>
    <xf numFmtId="2" fontId="40" fillId="0" borderId="27" xfId="0" applyNumberFormat="1" applyFont="1" applyBorder="1" applyAlignment="1">
      <alignment horizontal="center"/>
    </xf>
    <xf numFmtId="0" fontId="0" fillId="0" borderId="29" xfId="0" applyBorder="1"/>
    <xf numFmtId="2" fontId="0" fillId="0" borderId="0" xfId="0" applyNumberFormat="1" applyBorder="1"/>
    <xf numFmtId="2" fontId="0" fillId="0" borderId="35" xfId="0" applyNumberFormat="1" applyBorder="1"/>
    <xf numFmtId="168" fontId="0" fillId="0" borderId="36" xfId="0" applyNumberFormat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40" fillId="0" borderId="25" xfId="0" applyFont="1" applyFill="1" applyBorder="1" applyAlignment="1">
      <alignment horizontal="center"/>
    </xf>
    <xf numFmtId="0" fontId="41" fillId="0" borderId="13" xfId="0" applyFont="1" applyFill="1" applyBorder="1" applyAlignment="1">
      <alignment horizontal="center"/>
    </xf>
    <xf numFmtId="0" fontId="40" fillId="0" borderId="32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0" fillId="5" borderId="0" xfId="0" applyNumberFormat="1" applyFont="1" applyFill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2" fontId="0" fillId="4" borderId="0" xfId="0" applyNumberFormat="1" applyFont="1" applyFill="1" applyAlignment="1">
      <alignment horizontal="center"/>
    </xf>
    <xf numFmtId="2" fontId="0" fillId="4" borderId="1" xfId="0" applyNumberFormat="1" applyFont="1" applyFill="1" applyBorder="1" applyAlignment="1">
      <alignment horizontal="center"/>
    </xf>
    <xf numFmtId="2" fontId="0" fillId="3" borderId="0" xfId="0" applyNumberFormat="1" applyFont="1" applyFill="1" applyAlignment="1">
      <alignment horizontal="center"/>
    </xf>
    <xf numFmtId="2" fontId="0" fillId="3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2" borderId="14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2" fillId="6" borderId="29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2" fillId="6" borderId="32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0" xfId="0" applyAlignment="1">
      <alignment horizontal="left" vertical="top" wrapText="1" indent="1" readingOrder="1"/>
    </xf>
    <xf numFmtId="0" fontId="0" fillId="0" borderId="0" xfId="0" applyAlignment="1">
      <alignment horizontal="left" vertical="top" wrapText="1" indent="1"/>
    </xf>
    <xf numFmtId="0" fontId="0" fillId="0" borderId="0" xfId="0" applyAlignment="1">
      <alignment horizontal="left" wrapText="1" indent="1"/>
    </xf>
    <xf numFmtId="0" fontId="2" fillId="39" borderId="24" xfId="0" applyFont="1" applyFill="1" applyBorder="1" applyAlignment="1">
      <alignment horizontal="left"/>
    </xf>
    <xf numFmtId="0" fontId="2" fillId="39" borderId="0" xfId="0" applyFont="1" applyFill="1" applyBorder="1" applyAlignment="1">
      <alignment horizontal="left"/>
    </xf>
    <xf numFmtId="0" fontId="2" fillId="0" borderId="34" xfId="0" applyFont="1" applyBorder="1" applyAlignment="1">
      <alignment horizontal="center"/>
    </xf>
    <xf numFmtId="0" fontId="2" fillId="0" borderId="37" xfId="0" applyFont="1" applyBorder="1" applyAlignment="1"/>
    <xf numFmtId="0" fontId="2" fillId="0" borderId="38" xfId="0" applyFont="1" applyBorder="1" applyAlignment="1"/>
  </cellXfs>
  <cellStyles count="4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" xfId="44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eading1" xfId="45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rmal 2 2" xfId="48"/>
    <cellStyle name="Note" xfId="17" builtinId="10" customBuiltin="1"/>
    <cellStyle name="Output" xfId="12" builtinId="21" customBuiltin="1"/>
    <cellStyle name="Percent" xfId="1" builtinId="5"/>
    <cellStyle name="Result" xfId="46"/>
    <cellStyle name="Result2" xfId="47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S1_X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'Q.7-8_S1'!$A$2:$A$83</c:f>
              <c:numCache>
                <c:formatCode>0.00</c:formatCode>
                <c:ptCount val="82"/>
                <c:pt idx="0">
                  <c:v>3.7</c:v>
                </c:pt>
                <c:pt idx="1">
                  <c:v>2.7</c:v>
                </c:pt>
                <c:pt idx="2">
                  <c:v>2.4</c:v>
                </c:pt>
                <c:pt idx="3">
                  <c:v>1.4</c:v>
                </c:pt>
                <c:pt idx="4">
                  <c:v>5.4</c:v>
                </c:pt>
                <c:pt idx="5">
                  <c:v>4.7</c:v>
                </c:pt>
                <c:pt idx="6">
                  <c:v>3</c:v>
                </c:pt>
                <c:pt idx="7">
                  <c:v>3</c:v>
                </c:pt>
                <c:pt idx="8">
                  <c:v>6.3</c:v>
                </c:pt>
                <c:pt idx="9">
                  <c:v>4.4000000000000004</c:v>
                </c:pt>
                <c:pt idx="10">
                  <c:v>3</c:v>
                </c:pt>
                <c:pt idx="11">
                  <c:v>2.4</c:v>
                </c:pt>
                <c:pt idx="12">
                  <c:v>1.6</c:v>
                </c:pt>
                <c:pt idx="13">
                  <c:v>4.4000000000000004</c:v>
                </c:pt>
                <c:pt idx="14">
                  <c:v>3.5</c:v>
                </c:pt>
                <c:pt idx="15">
                  <c:v>5.2</c:v>
                </c:pt>
                <c:pt idx="16">
                  <c:v>3</c:v>
                </c:pt>
                <c:pt idx="17">
                  <c:v>3.6</c:v>
                </c:pt>
                <c:pt idx="18">
                  <c:v>4</c:v>
                </c:pt>
                <c:pt idx="19">
                  <c:v>3</c:v>
                </c:pt>
                <c:pt idx="20">
                  <c:v>2.5</c:v>
                </c:pt>
                <c:pt idx="21">
                  <c:v>3</c:v>
                </c:pt>
                <c:pt idx="22">
                  <c:v>4.5999999999999996</c:v>
                </c:pt>
                <c:pt idx="23">
                  <c:v>3.5</c:v>
                </c:pt>
                <c:pt idx="24">
                  <c:v>3.7</c:v>
                </c:pt>
                <c:pt idx="25">
                  <c:v>2</c:v>
                </c:pt>
                <c:pt idx="26">
                  <c:v>6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3.8</c:v>
                </c:pt>
                <c:pt idx="34">
                  <c:v>3.7</c:v>
                </c:pt>
                <c:pt idx="35">
                  <c:v>6</c:v>
                </c:pt>
                <c:pt idx="36">
                  <c:v>3.6</c:v>
                </c:pt>
                <c:pt idx="37">
                  <c:v>3.7</c:v>
                </c:pt>
                <c:pt idx="38">
                  <c:v>3.2</c:v>
                </c:pt>
                <c:pt idx="39">
                  <c:v>3.6</c:v>
                </c:pt>
                <c:pt idx="40">
                  <c:v>2.5</c:v>
                </c:pt>
                <c:pt idx="41">
                  <c:v>5.4</c:v>
                </c:pt>
                <c:pt idx="42">
                  <c:v>6</c:v>
                </c:pt>
                <c:pt idx="43">
                  <c:v>3</c:v>
                </c:pt>
                <c:pt idx="44">
                  <c:v>3.6</c:v>
                </c:pt>
                <c:pt idx="45">
                  <c:v>2</c:v>
                </c:pt>
                <c:pt idx="46">
                  <c:v>5.3</c:v>
                </c:pt>
                <c:pt idx="47">
                  <c:v>3</c:v>
                </c:pt>
                <c:pt idx="48">
                  <c:v>2.5</c:v>
                </c:pt>
                <c:pt idx="49">
                  <c:v>3.8</c:v>
                </c:pt>
                <c:pt idx="50">
                  <c:v>3</c:v>
                </c:pt>
                <c:pt idx="51">
                  <c:v>3.4</c:v>
                </c:pt>
                <c:pt idx="52">
                  <c:v>3</c:v>
                </c:pt>
                <c:pt idx="53">
                  <c:v>3</c:v>
                </c:pt>
                <c:pt idx="54">
                  <c:v>6.8</c:v>
                </c:pt>
                <c:pt idx="55">
                  <c:v>6.2</c:v>
                </c:pt>
                <c:pt idx="56">
                  <c:v>2</c:v>
                </c:pt>
                <c:pt idx="57">
                  <c:v>1.8</c:v>
                </c:pt>
                <c:pt idx="58">
                  <c:v>5.4</c:v>
                </c:pt>
                <c:pt idx="59">
                  <c:v>2</c:v>
                </c:pt>
                <c:pt idx="60">
                  <c:v>6</c:v>
                </c:pt>
                <c:pt idx="61">
                  <c:v>6</c:v>
                </c:pt>
                <c:pt idx="62">
                  <c:v>4</c:v>
                </c:pt>
                <c:pt idx="63">
                  <c:v>1.6</c:v>
                </c:pt>
                <c:pt idx="64">
                  <c:v>3.6</c:v>
                </c:pt>
                <c:pt idx="65">
                  <c:v>4.4000000000000004</c:v>
                </c:pt>
                <c:pt idx="66">
                  <c:v>6.4</c:v>
                </c:pt>
                <c:pt idx="67">
                  <c:v>5.7</c:v>
                </c:pt>
                <c:pt idx="68">
                  <c:v>1.6</c:v>
                </c:pt>
                <c:pt idx="69">
                  <c:v>6</c:v>
                </c:pt>
                <c:pt idx="70">
                  <c:v>5.7</c:v>
                </c:pt>
                <c:pt idx="71">
                  <c:v>3</c:v>
                </c:pt>
                <c:pt idx="72">
                  <c:v>2.5</c:v>
                </c:pt>
                <c:pt idx="73">
                  <c:v>2</c:v>
                </c:pt>
                <c:pt idx="74">
                  <c:v>5</c:v>
                </c:pt>
                <c:pt idx="75">
                  <c:v>3</c:v>
                </c:pt>
                <c:pt idx="76">
                  <c:v>3.5</c:v>
                </c:pt>
                <c:pt idx="77">
                  <c:v>6</c:v>
                </c:pt>
                <c:pt idx="78">
                  <c:v>1.4</c:v>
                </c:pt>
                <c:pt idx="79">
                  <c:v>3</c:v>
                </c:pt>
                <c:pt idx="80">
                  <c:v>3.6</c:v>
                </c:pt>
                <c:pt idx="81">
                  <c:v>4.5999999999999996</c:v>
                </c:pt>
              </c:numCache>
            </c:numRef>
          </c:xVal>
          <c:yVal>
            <c:numRef>
              <c:f>'Q.7-8_S1'!$F$25:$F$106</c:f>
              <c:numCache>
                <c:formatCode>General</c:formatCode>
                <c:ptCount val="82"/>
                <c:pt idx="0">
                  <c:v>-5.3040800056714588</c:v>
                </c:pt>
                <c:pt idx="1">
                  <c:v>-1.5093249668481334</c:v>
                </c:pt>
                <c:pt idx="2">
                  <c:v>2.5993215447988618</c:v>
                </c:pt>
                <c:pt idx="3">
                  <c:v>8.2110765836221802</c:v>
                </c:pt>
                <c:pt idx="4">
                  <c:v>-1.8315435716710979</c:v>
                </c:pt>
                <c:pt idx="5">
                  <c:v>-3.6336350444947705</c:v>
                </c:pt>
                <c:pt idx="6">
                  <c:v>-1.6213714784951279</c:v>
                </c:pt>
                <c:pt idx="7">
                  <c:v>-0.19777147849512744</c:v>
                </c:pt>
                <c:pt idx="8">
                  <c:v>4.1869168933879131</c:v>
                </c:pt>
                <c:pt idx="9">
                  <c:v>2.9782114671522244</c:v>
                </c:pt>
                <c:pt idx="10">
                  <c:v>-1.6127714784951266</c:v>
                </c:pt>
                <c:pt idx="11">
                  <c:v>4.899321544798859</c:v>
                </c:pt>
                <c:pt idx="12">
                  <c:v>1.9881455758575228</c:v>
                </c:pt>
                <c:pt idx="13">
                  <c:v>0.60241146715222271</c:v>
                </c:pt>
                <c:pt idx="14">
                  <c:v>-3.1548997906796217E-2</c:v>
                </c:pt>
                <c:pt idx="15">
                  <c:v>-2.5822125639064346</c:v>
                </c:pt>
                <c:pt idx="16">
                  <c:v>-2.7179714784951301</c:v>
                </c:pt>
                <c:pt idx="17">
                  <c:v>1.1647354982108737</c:v>
                </c:pt>
                <c:pt idx="18">
                  <c:v>-4.0801265173184547</c:v>
                </c:pt>
                <c:pt idx="19">
                  <c:v>-1.6825714784951273</c:v>
                </c:pt>
                <c:pt idx="20">
                  <c:v>-5.0027939590834691</c:v>
                </c:pt>
                <c:pt idx="21">
                  <c:v>-3.9898714784951252</c:v>
                </c:pt>
                <c:pt idx="22">
                  <c:v>-6.6974195406124437</c:v>
                </c:pt>
                <c:pt idx="23">
                  <c:v>-0.77024899790679768</c:v>
                </c:pt>
                <c:pt idx="24">
                  <c:v>-3.4714800056714594</c:v>
                </c:pt>
                <c:pt idx="25">
                  <c:v>1.7441835603281888</c:v>
                </c:pt>
                <c:pt idx="26">
                  <c:v>-1.7310365949650866</c:v>
                </c:pt>
                <c:pt idx="27">
                  <c:v>-4.8319714784951273</c:v>
                </c:pt>
                <c:pt idx="28">
                  <c:v>-0.64417147849513157</c:v>
                </c:pt>
                <c:pt idx="29">
                  <c:v>1.2174835603281906</c:v>
                </c:pt>
                <c:pt idx="30">
                  <c:v>-8.0699939590834688</c:v>
                </c:pt>
                <c:pt idx="31">
                  <c:v>-1.4568939590834731</c:v>
                </c:pt>
                <c:pt idx="32">
                  <c:v>-4.3459435716710964</c:v>
                </c:pt>
                <c:pt idx="33">
                  <c:v>2.6200044904462132</c:v>
                </c:pt>
                <c:pt idx="34">
                  <c:v>1.2913199943285392</c:v>
                </c:pt>
                <c:pt idx="35">
                  <c:v>1.4955634050349111</c:v>
                </c:pt>
                <c:pt idx="36">
                  <c:v>-2.0352645017891291</c:v>
                </c:pt>
                <c:pt idx="37">
                  <c:v>2.8813199943285426</c:v>
                </c:pt>
                <c:pt idx="38">
                  <c:v>-1.6480024862597915</c:v>
                </c:pt>
                <c:pt idx="39">
                  <c:v>0.66473549821087374</c:v>
                </c:pt>
                <c:pt idx="40">
                  <c:v>-5.0027939590834691</c:v>
                </c:pt>
                <c:pt idx="41">
                  <c:v>-4.7871435716710984</c:v>
                </c:pt>
                <c:pt idx="42">
                  <c:v>9.1955634050349104</c:v>
                </c:pt>
                <c:pt idx="43">
                  <c:v>-1.3179714784951315</c:v>
                </c:pt>
                <c:pt idx="44">
                  <c:v>3.5647354982108723</c:v>
                </c:pt>
                <c:pt idx="45">
                  <c:v>-0.85581643967181265</c:v>
                </c:pt>
                <c:pt idx="46">
                  <c:v>2.5490719322112341</c:v>
                </c:pt>
                <c:pt idx="47">
                  <c:v>0.30792852150486993</c:v>
                </c:pt>
                <c:pt idx="48">
                  <c:v>-6.6368939590834728</c:v>
                </c:pt>
                <c:pt idx="49">
                  <c:v>3.6589044904462114</c:v>
                </c:pt>
                <c:pt idx="50">
                  <c:v>-5.8154714784951302</c:v>
                </c:pt>
                <c:pt idx="51">
                  <c:v>6.0841665059755456</c:v>
                </c:pt>
                <c:pt idx="52">
                  <c:v>-1.6213714784951279</c:v>
                </c:pt>
                <c:pt idx="53">
                  <c:v>-5.6179714784951287</c:v>
                </c:pt>
                <c:pt idx="54">
                  <c:v>-1.7941606260237464</c:v>
                </c:pt>
                <c:pt idx="55">
                  <c:v>1.9231323972702477</c:v>
                </c:pt>
                <c:pt idx="56">
                  <c:v>2.9441835603281916</c:v>
                </c:pt>
                <c:pt idx="57">
                  <c:v>8.1166145680928494</c:v>
                </c:pt>
                <c:pt idx="58">
                  <c:v>-5.3871435716710963</c:v>
                </c:pt>
                <c:pt idx="59">
                  <c:v>1.4441835603281916</c:v>
                </c:pt>
                <c:pt idx="60">
                  <c:v>-1.7310365949650866</c:v>
                </c:pt>
                <c:pt idx="61">
                  <c:v>9.595563405034909</c:v>
                </c:pt>
                <c:pt idx="62">
                  <c:v>-3.0801265173184547</c:v>
                </c:pt>
                <c:pt idx="63">
                  <c:v>12.809445575857524</c:v>
                </c:pt>
                <c:pt idx="64">
                  <c:v>-3.135264501789127</c:v>
                </c:pt>
                <c:pt idx="65">
                  <c:v>-0.78718853284777524</c:v>
                </c:pt>
                <c:pt idx="66">
                  <c:v>10.050701389505583</c:v>
                </c:pt>
                <c:pt idx="67">
                  <c:v>2.6042099166819064</c:v>
                </c:pt>
                <c:pt idx="68">
                  <c:v>-1.9109544241424743</c:v>
                </c:pt>
                <c:pt idx="69">
                  <c:v>9.1955634050349104</c:v>
                </c:pt>
                <c:pt idx="70">
                  <c:v>2.6042099166819064</c:v>
                </c:pt>
                <c:pt idx="71">
                  <c:v>-3.9179714784951258</c:v>
                </c:pt>
                <c:pt idx="72">
                  <c:v>-1.8368939590834685</c:v>
                </c:pt>
                <c:pt idx="73">
                  <c:v>5.1441835603281874</c:v>
                </c:pt>
                <c:pt idx="74">
                  <c:v>-0.40478155614177069</c:v>
                </c:pt>
                <c:pt idx="75">
                  <c:v>-2.7179714784951301</c:v>
                </c:pt>
                <c:pt idx="76">
                  <c:v>-3.6048997906796387E-2</c:v>
                </c:pt>
                <c:pt idx="77">
                  <c:v>-1.5529365949650895</c:v>
                </c:pt>
                <c:pt idx="78">
                  <c:v>15.161476583622182</c:v>
                </c:pt>
                <c:pt idx="79">
                  <c:v>-3.8179714784951315</c:v>
                </c:pt>
                <c:pt idx="80">
                  <c:v>-4.8352645017891263</c:v>
                </c:pt>
                <c:pt idx="81">
                  <c:v>-5.397419540612443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C0-4C35-87FD-615EC148F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99592"/>
        <c:axId val="506999920"/>
      </c:scatterChart>
      <c:valAx>
        <c:axId val="506999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S1_X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06999920"/>
        <c:crosses val="autoZero"/>
        <c:crossBetween val="midCat"/>
      </c:valAx>
      <c:valAx>
        <c:axId val="506999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6999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S1_X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S1_Y</c:v>
          </c:tx>
          <c:spPr>
            <a:ln w="19050">
              <a:noFill/>
            </a:ln>
          </c:spPr>
          <c:xVal>
            <c:numRef>
              <c:f>'Q.7-8_S1'!$A$2:$A$83</c:f>
              <c:numCache>
                <c:formatCode>0.00</c:formatCode>
                <c:ptCount val="82"/>
                <c:pt idx="0">
                  <c:v>3.7</c:v>
                </c:pt>
                <c:pt idx="1">
                  <c:v>2.7</c:v>
                </c:pt>
                <c:pt idx="2">
                  <c:v>2.4</c:v>
                </c:pt>
                <c:pt idx="3">
                  <c:v>1.4</c:v>
                </c:pt>
                <c:pt idx="4">
                  <c:v>5.4</c:v>
                </c:pt>
                <c:pt idx="5">
                  <c:v>4.7</c:v>
                </c:pt>
                <c:pt idx="6">
                  <c:v>3</c:v>
                </c:pt>
                <c:pt idx="7">
                  <c:v>3</c:v>
                </c:pt>
                <c:pt idx="8">
                  <c:v>6.3</c:v>
                </c:pt>
                <c:pt idx="9">
                  <c:v>4.4000000000000004</c:v>
                </c:pt>
                <c:pt idx="10">
                  <c:v>3</c:v>
                </c:pt>
                <c:pt idx="11">
                  <c:v>2.4</c:v>
                </c:pt>
                <c:pt idx="12">
                  <c:v>1.6</c:v>
                </c:pt>
                <c:pt idx="13">
                  <c:v>4.4000000000000004</c:v>
                </c:pt>
                <c:pt idx="14">
                  <c:v>3.5</c:v>
                </c:pt>
                <c:pt idx="15">
                  <c:v>5.2</c:v>
                </c:pt>
                <c:pt idx="16">
                  <c:v>3</c:v>
                </c:pt>
                <c:pt idx="17">
                  <c:v>3.6</c:v>
                </c:pt>
                <c:pt idx="18">
                  <c:v>4</c:v>
                </c:pt>
                <c:pt idx="19">
                  <c:v>3</c:v>
                </c:pt>
                <c:pt idx="20">
                  <c:v>2.5</c:v>
                </c:pt>
                <c:pt idx="21">
                  <c:v>3</c:v>
                </c:pt>
                <c:pt idx="22">
                  <c:v>4.5999999999999996</c:v>
                </c:pt>
                <c:pt idx="23">
                  <c:v>3.5</c:v>
                </c:pt>
                <c:pt idx="24">
                  <c:v>3.7</c:v>
                </c:pt>
                <c:pt idx="25">
                  <c:v>2</c:v>
                </c:pt>
                <c:pt idx="26">
                  <c:v>6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3.8</c:v>
                </c:pt>
                <c:pt idx="34">
                  <c:v>3.7</c:v>
                </c:pt>
                <c:pt idx="35">
                  <c:v>6</c:v>
                </c:pt>
                <c:pt idx="36">
                  <c:v>3.6</c:v>
                </c:pt>
                <c:pt idx="37">
                  <c:v>3.7</c:v>
                </c:pt>
                <c:pt idx="38">
                  <c:v>3.2</c:v>
                </c:pt>
                <c:pt idx="39">
                  <c:v>3.6</c:v>
                </c:pt>
                <c:pt idx="40">
                  <c:v>2.5</c:v>
                </c:pt>
                <c:pt idx="41">
                  <c:v>5.4</c:v>
                </c:pt>
                <c:pt idx="42">
                  <c:v>6</c:v>
                </c:pt>
                <c:pt idx="43">
                  <c:v>3</c:v>
                </c:pt>
                <c:pt idx="44">
                  <c:v>3.6</c:v>
                </c:pt>
                <c:pt idx="45">
                  <c:v>2</c:v>
                </c:pt>
                <c:pt idx="46">
                  <c:v>5.3</c:v>
                </c:pt>
                <c:pt idx="47">
                  <c:v>3</c:v>
                </c:pt>
                <c:pt idx="48">
                  <c:v>2.5</c:v>
                </c:pt>
                <c:pt idx="49">
                  <c:v>3.8</c:v>
                </c:pt>
                <c:pt idx="50">
                  <c:v>3</c:v>
                </c:pt>
                <c:pt idx="51">
                  <c:v>3.4</c:v>
                </c:pt>
                <c:pt idx="52">
                  <c:v>3</c:v>
                </c:pt>
                <c:pt idx="53">
                  <c:v>3</c:v>
                </c:pt>
                <c:pt idx="54">
                  <c:v>6.8</c:v>
                </c:pt>
                <c:pt idx="55">
                  <c:v>6.2</c:v>
                </c:pt>
                <c:pt idx="56">
                  <c:v>2</c:v>
                </c:pt>
                <c:pt idx="57">
                  <c:v>1.8</c:v>
                </c:pt>
                <c:pt idx="58">
                  <c:v>5.4</c:v>
                </c:pt>
                <c:pt idx="59">
                  <c:v>2</c:v>
                </c:pt>
                <c:pt idx="60">
                  <c:v>6</c:v>
                </c:pt>
                <c:pt idx="61">
                  <c:v>6</c:v>
                </c:pt>
                <c:pt idx="62">
                  <c:v>4</c:v>
                </c:pt>
                <c:pt idx="63">
                  <c:v>1.6</c:v>
                </c:pt>
                <c:pt idx="64">
                  <c:v>3.6</c:v>
                </c:pt>
                <c:pt idx="65">
                  <c:v>4.4000000000000004</c:v>
                </c:pt>
                <c:pt idx="66">
                  <c:v>6.4</c:v>
                </c:pt>
                <c:pt idx="67">
                  <c:v>5.7</c:v>
                </c:pt>
                <c:pt idx="68">
                  <c:v>1.6</c:v>
                </c:pt>
                <c:pt idx="69">
                  <c:v>6</c:v>
                </c:pt>
                <c:pt idx="70">
                  <c:v>5.7</c:v>
                </c:pt>
                <c:pt idx="71">
                  <c:v>3</c:v>
                </c:pt>
                <c:pt idx="72">
                  <c:v>2.5</c:v>
                </c:pt>
                <c:pt idx="73">
                  <c:v>2</c:v>
                </c:pt>
                <c:pt idx="74">
                  <c:v>5</c:v>
                </c:pt>
                <c:pt idx="75">
                  <c:v>3</c:v>
                </c:pt>
                <c:pt idx="76">
                  <c:v>3.5</c:v>
                </c:pt>
                <c:pt idx="77">
                  <c:v>6</c:v>
                </c:pt>
                <c:pt idx="78">
                  <c:v>1.4</c:v>
                </c:pt>
                <c:pt idx="79">
                  <c:v>3</c:v>
                </c:pt>
                <c:pt idx="80">
                  <c:v>3.6</c:v>
                </c:pt>
                <c:pt idx="81">
                  <c:v>4.5999999999999996</c:v>
                </c:pt>
              </c:numCache>
            </c:numRef>
          </c:xVal>
          <c:yVal>
            <c:numRef>
              <c:f>'Q.7-8_S1'!$B$2:$B$83</c:f>
              <c:numCache>
                <c:formatCode>0.00</c:formatCode>
                <c:ptCount val="82"/>
                <c:pt idx="0">
                  <c:v>28.567399999999999</c:v>
                </c:pt>
                <c:pt idx="1">
                  <c:v>37</c:v>
                </c:pt>
                <c:pt idx="2">
                  <c:v>42.5</c:v>
                </c:pt>
                <c:pt idx="3">
                  <c:v>52.749600000000001</c:v>
                </c:pt>
                <c:pt idx="4">
                  <c:v>24.1556</c:v>
                </c:pt>
                <c:pt idx="5">
                  <c:v>25.6</c:v>
                </c:pt>
                <c:pt idx="6">
                  <c:v>35.496600000000001</c:v>
                </c:pt>
                <c:pt idx="7">
                  <c:v>36.920200000000001</c:v>
                </c:pt>
                <c:pt idx="8">
                  <c:v>26</c:v>
                </c:pt>
                <c:pt idx="9">
                  <c:v>33.603200000000001</c:v>
                </c:pt>
                <c:pt idx="10">
                  <c:v>35.505200000000002</c:v>
                </c:pt>
                <c:pt idx="11">
                  <c:v>44.8</c:v>
                </c:pt>
                <c:pt idx="12">
                  <c:v>45.5991</c:v>
                </c:pt>
                <c:pt idx="13">
                  <c:v>31.227399999999999</c:v>
                </c:pt>
                <c:pt idx="14">
                  <c:v>34.767499999999998</c:v>
                </c:pt>
                <c:pt idx="15">
                  <c:v>24.3325</c:v>
                </c:pt>
                <c:pt idx="16">
                  <c:v>34.4</c:v>
                </c:pt>
                <c:pt idx="17">
                  <c:v>35.5</c:v>
                </c:pt>
                <c:pt idx="18">
                  <c:v>28.4</c:v>
                </c:pt>
                <c:pt idx="19">
                  <c:v>35.435400000000001</c:v>
                </c:pt>
                <c:pt idx="20">
                  <c:v>34.434100000000001</c:v>
                </c:pt>
                <c:pt idx="21">
                  <c:v>33.128100000000003</c:v>
                </c:pt>
                <c:pt idx="22">
                  <c:v>23</c:v>
                </c:pt>
                <c:pt idx="23">
                  <c:v>34.028799999999997</c:v>
                </c:pt>
                <c:pt idx="24">
                  <c:v>30.4</c:v>
                </c:pt>
                <c:pt idx="25">
                  <c:v>43.5</c:v>
                </c:pt>
                <c:pt idx="26">
                  <c:v>21.473400000000002</c:v>
                </c:pt>
                <c:pt idx="27">
                  <c:v>32.286000000000001</c:v>
                </c:pt>
                <c:pt idx="28">
                  <c:v>36.473799999999997</c:v>
                </c:pt>
                <c:pt idx="29">
                  <c:v>42.973300000000002</c:v>
                </c:pt>
                <c:pt idx="30">
                  <c:v>31.366900000000001</c:v>
                </c:pt>
                <c:pt idx="31">
                  <c:v>37.979999999999997</c:v>
                </c:pt>
                <c:pt idx="32">
                  <c:v>21.641200000000001</c:v>
                </c:pt>
                <c:pt idx="33">
                  <c:v>36.027700000000003</c:v>
                </c:pt>
                <c:pt idx="34">
                  <c:v>35.162799999999997</c:v>
                </c:pt>
                <c:pt idx="35">
                  <c:v>24.7</c:v>
                </c:pt>
                <c:pt idx="36">
                  <c:v>32.299999999999997</c:v>
                </c:pt>
                <c:pt idx="37">
                  <c:v>36.752800000000001</c:v>
                </c:pt>
                <c:pt idx="38">
                  <c:v>34.542400000000001</c:v>
                </c:pt>
                <c:pt idx="39">
                  <c:v>35</c:v>
                </c:pt>
                <c:pt idx="40">
                  <c:v>34.434100000000001</c:v>
                </c:pt>
                <c:pt idx="41">
                  <c:v>21.2</c:v>
                </c:pt>
                <c:pt idx="42">
                  <c:v>32.4</c:v>
                </c:pt>
                <c:pt idx="43">
                  <c:v>35.799999999999997</c:v>
                </c:pt>
                <c:pt idx="44">
                  <c:v>37.9</c:v>
                </c:pt>
                <c:pt idx="45">
                  <c:v>40.9</c:v>
                </c:pt>
                <c:pt idx="46">
                  <c:v>29</c:v>
                </c:pt>
                <c:pt idx="47">
                  <c:v>37.425899999999999</c:v>
                </c:pt>
                <c:pt idx="48">
                  <c:v>32.799999999999997</c:v>
                </c:pt>
                <c:pt idx="49">
                  <c:v>37.066600000000001</c:v>
                </c:pt>
                <c:pt idx="50">
                  <c:v>31.302499999999998</c:v>
                </c:pt>
                <c:pt idx="51">
                  <c:v>41.347000000000001</c:v>
                </c:pt>
                <c:pt idx="52">
                  <c:v>35.496600000000001</c:v>
                </c:pt>
                <c:pt idx="53">
                  <c:v>31.5</c:v>
                </c:pt>
                <c:pt idx="54">
                  <c:v>17.7</c:v>
                </c:pt>
                <c:pt idx="55">
                  <c:v>24.2</c:v>
                </c:pt>
                <c:pt idx="56">
                  <c:v>44.7</c:v>
                </c:pt>
                <c:pt idx="57">
                  <c:v>50.8</c:v>
                </c:pt>
                <c:pt idx="58">
                  <c:v>20.6</c:v>
                </c:pt>
                <c:pt idx="59">
                  <c:v>43.2</c:v>
                </c:pt>
                <c:pt idx="60">
                  <c:v>21.473400000000002</c:v>
                </c:pt>
                <c:pt idx="61">
                  <c:v>32.799999999999997</c:v>
                </c:pt>
                <c:pt idx="62">
                  <c:v>29.4</c:v>
                </c:pt>
                <c:pt idx="63">
                  <c:v>56.420400000000001</c:v>
                </c:pt>
                <c:pt idx="64">
                  <c:v>31.2</c:v>
                </c:pt>
                <c:pt idx="65">
                  <c:v>29.837800000000001</c:v>
                </c:pt>
                <c:pt idx="66">
                  <c:v>31.4</c:v>
                </c:pt>
                <c:pt idx="67">
                  <c:v>27.2</c:v>
                </c:pt>
                <c:pt idx="68">
                  <c:v>41.7</c:v>
                </c:pt>
                <c:pt idx="69">
                  <c:v>32.4</c:v>
                </c:pt>
                <c:pt idx="70">
                  <c:v>27.2</c:v>
                </c:pt>
                <c:pt idx="71">
                  <c:v>33.200000000000003</c:v>
                </c:pt>
                <c:pt idx="72">
                  <c:v>37.6</c:v>
                </c:pt>
                <c:pt idx="73">
                  <c:v>46.9</c:v>
                </c:pt>
                <c:pt idx="74">
                  <c:v>27.4375</c:v>
                </c:pt>
                <c:pt idx="75">
                  <c:v>34.4</c:v>
                </c:pt>
                <c:pt idx="76">
                  <c:v>34.762999999999998</c:v>
                </c:pt>
                <c:pt idx="77">
                  <c:v>21.651499999999999</c:v>
                </c:pt>
                <c:pt idx="78">
                  <c:v>59.7</c:v>
                </c:pt>
                <c:pt idx="79">
                  <c:v>33.299999999999997</c:v>
                </c:pt>
                <c:pt idx="80">
                  <c:v>29.5</c:v>
                </c:pt>
                <c:pt idx="81">
                  <c:v>24.3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31-4CF8-8210-F77AD0B399CC}"/>
            </c:ext>
          </c:extLst>
        </c:ser>
        <c:ser>
          <c:idx val="1"/>
          <c:order val="1"/>
          <c:tx>
            <c:v>Predicted S1_Y</c:v>
          </c:tx>
          <c:spPr>
            <a:ln w="19050">
              <a:noFill/>
            </a:ln>
          </c:spPr>
          <c:xVal>
            <c:numRef>
              <c:f>'Q.7-8_S1'!$A$2:$A$83</c:f>
              <c:numCache>
                <c:formatCode>0.00</c:formatCode>
                <c:ptCount val="82"/>
                <c:pt idx="0">
                  <c:v>3.7</c:v>
                </c:pt>
                <c:pt idx="1">
                  <c:v>2.7</c:v>
                </c:pt>
                <c:pt idx="2">
                  <c:v>2.4</c:v>
                </c:pt>
                <c:pt idx="3">
                  <c:v>1.4</c:v>
                </c:pt>
                <c:pt idx="4">
                  <c:v>5.4</c:v>
                </c:pt>
                <c:pt idx="5">
                  <c:v>4.7</c:v>
                </c:pt>
                <c:pt idx="6">
                  <c:v>3</c:v>
                </c:pt>
                <c:pt idx="7">
                  <c:v>3</c:v>
                </c:pt>
                <c:pt idx="8">
                  <c:v>6.3</c:v>
                </c:pt>
                <c:pt idx="9">
                  <c:v>4.4000000000000004</c:v>
                </c:pt>
                <c:pt idx="10">
                  <c:v>3</c:v>
                </c:pt>
                <c:pt idx="11">
                  <c:v>2.4</c:v>
                </c:pt>
                <c:pt idx="12">
                  <c:v>1.6</c:v>
                </c:pt>
                <c:pt idx="13">
                  <c:v>4.4000000000000004</c:v>
                </c:pt>
                <c:pt idx="14">
                  <c:v>3.5</c:v>
                </c:pt>
                <c:pt idx="15">
                  <c:v>5.2</c:v>
                </c:pt>
                <c:pt idx="16">
                  <c:v>3</c:v>
                </c:pt>
                <c:pt idx="17">
                  <c:v>3.6</c:v>
                </c:pt>
                <c:pt idx="18">
                  <c:v>4</c:v>
                </c:pt>
                <c:pt idx="19">
                  <c:v>3</c:v>
                </c:pt>
                <c:pt idx="20">
                  <c:v>2.5</c:v>
                </c:pt>
                <c:pt idx="21">
                  <c:v>3</c:v>
                </c:pt>
                <c:pt idx="22">
                  <c:v>4.5999999999999996</c:v>
                </c:pt>
                <c:pt idx="23">
                  <c:v>3.5</c:v>
                </c:pt>
                <c:pt idx="24">
                  <c:v>3.7</c:v>
                </c:pt>
                <c:pt idx="25">
                  <c:v>2</c:v>
                </c:pt>
                <c:pt idx="26">
                  <c:v>6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3.8</c:v>
                </c:pt>
                <c:pt idx="34">
                  <c:v>3.7</c:v>
                </c:pt>
                <c:pt idx="35">
                  <c:v>6</c:v>
                </c:pt>
                <c:pt idx="36">
                  <c:v>3.6</c:v>
                </c:pt>
                <c:pt idx="37">
                  <c:v>3.7</c:v>
                </c:pt>
                <c:pt idx="38">
                  <c:v>3.2</c:v>
                </c:pt>
                <c:pt idx="39">
                  <c:v>3.6</c:v>
                </c:pt>
                <c:pt idx="40">
                  <c:v>2.5</c:v>
                </c:pt>
                <c:pt idx="41">
                  <c:v>5.4</c:v>
                </c:pt>
                <c:pt idx="42">
                  <c:v>6</c:v>
                </c:pt>
                <c:pt idx="43">
                  <c:v>3</c:v>
                </c:pt>
                <c:pt idx="44">
                  <c:v>3.6</c:v>
                </c:pt>
                <c:pt idx="45">
                  <c:v>2</c:v>
                </c:pt>
                <c:pt idx="46">
                  <c:v>5.3</c:v>
                </c:pt>
                <c:pt idx="47">
                  <c:v>3</c:v>
                </c:pt>
                <c:pt idx="48">
                  <c:v>2.5</c:v>
                </c:pt>
                <c:pt idx="49">
                  <c:v>3.8</c:v>
                </c:pt>
                <c:pt idx="50">
                  <c:v>3</c:v>
                </c:pt>
                <c:pt idx="51">
                  <c:v>3.4</c:v>
                </c:pt>
                <c:pt idx="52">
                  <c:v>3</c:v>
                </c:pt>
                <c:pt idx="53">
                  <c:v>3</c:v>
                </c:pt>
                <c:pt idx="54">
                  <c:v>6.8</c:v>
                </c:pt>
                <c:pt idx="55">
                  <c:v>6.2</c:v>
                </c:pt>
                <c:pt idx="56">
                  <c:v>2</c:v>
                </c:pt>
                <c:pt idx="57">
                  <c:v>1.8</c:v>
                </c:pt>
                <c:pt idx="58">
                  <c:v>5.4</c:v>
                </c:pt>
                <c:pt idx="59">
                  <c:v>2</c:v>
                </c:pt>
                <c:pt idx="60">
                  <c:v>6</c:v>
                </c:pt>
                <c:pt idx="61">
                  <c:v>6</c:v>
                </c:pt>
                <c:pt idx="62">
                  <c:v>4</c:v>
                </c:pt>
                <c:pt idx="63">
                  <c:v>1.6</c:v>
                </c:pt>
                <c:pt idx="64">
                  <c:v>3.6</c:v>
                </c:pt>
                <c:pt idx="65">
                  <c:v>4.4000000000000004</c:v>
                </c:pt>
                <c:pt idx="66">
                  <c:v>6.4</c:v>
                </c:pt>
                <c:pt idx="67">
                  <c:v>5.7</c:v>
                </c:pt>
                <c:pt idx="68">
                  <c:v>1.6</c:v>
                </c:pt>
                <c:pt idx="69">
                  <c:v>6</c:v>
                </c:pt>
                <c:pt idx="70">
                  <c:v>5.7</c:v>
                </c:pt>
                <c:pt idx="71">
                  <c:v>3</c:v>
                </c:pt>
                <c:pt idx="72">
                  <c:v>2.5</c:v>
                </c:pt>
                <c:pt idx="73">
                  <c:v>2</c:v>
                </c:pt>
                <c:pt idx="74">
                  <c:v>5</c:v>
                </c:pt>
                <c:pt idx="75">
                  <c:v>3</c:v>
                </c:pt>
                <c:pt idx="76">
                  <c:v>3.5</c:v>
                </c:pt>
                <c:pt idx="77">
                  <c:v>6</c:v>
                </c:pt>
                <c:pt idx="78">
                  <c:v>1.4</c:v>
                </c:pt>
                <c:pt idx="79">
                  <c:v>3</c:v>
                </c:pt>
                <c:pt idx="80">
                  <c:v>3.6</c:v>
                </c:pt>
                <c:pt idx="81">
                  <c:v>4.5999999999999996</c:v>
                </c:pt>
              </c:numCache>
            </c:numRef>
          </c:xVal>
          <c:yVal>
            <c:numRef>
              <c:f>'Q.7-8_S1'!$E$25:$E$106</c:f>
              <c:numCache>
                <c:formatCode>General</c:formatCode>
                <c:ptCount val="82"/>
                <c:pt idx="0">
                  <c:v>33.871480005671458</c:v>
                </c:pt>
                <c:pt idx="1">
                  <c:v>38.509324966848133</c:v>
                </c:pt>
                <c:pt idx="2">
                  <c:v>39.900678455201138</c:v>
                </c:pt>
                <c:pt idx="3">
                  <c:v>44.538523416377821</c:v>
                </c:pt>
                <c:pt idx="4">
                  <c:v>25.987143571671098</c:v>
                </c:pt>
                <c:pt idx="5">
                  <c:v>29.233635044494772</c:v>
                </c:pt>
                <c:pt idx="6">
                  <c:v>37.117971478495129</c:v>
                </c:pt>
                <c:pt idx="7">
                  <c:v>37.117971478495129</c:v>
                </c:pt>
                <c:pt idx="8">
                  <c:v>21.813083106612087</c:v>
                </c:pt>
                <c:pt idx="9">
                  <c:v>30.624988532847777</c:v>
                </c:pt>
                <c:pt idx="10">
                  <c:v>37.117971478495129</c:v>
                </c:pt>
                <c:pt idx="11">
                  <c:v>39.900678455201138</c:v>
                </c:pt>
                <c:pt idx="12">
                  <c:v>43.610954424142477</c:v>
                </c:pt>
                <c:pt idx="13">
                  <c:v>30.624988532847777</c:v>
                </c:pt>
                <c:pt idx="14">
                  <c:v>34.799048997906795</c:v>
                </c:pt>
                <c:pt idx="15">
                  <c:v>26.914712563906434</c:v>
                </c:pt>
                <c:pt idx="16">
                  <c:v>37.117971478495129</c:v>
                </c:pt>
                <c:pt idx="17">
                  <c:v>34.335264501789126</c:v>
                </c:pt>
                <c:pt idx="18">
                  <c:v>32.480126517318453</c:v>
                </c:pt>
                <c:pt idx="19">
                  <c:v>37.117971478495129</c:v>
                </c:pt>
                <c:pt idx="20">
                  <c:v>39.43689395908347</c:v>
                </c:pt>
                <c:pt idx="21">
                  <c:v>37.117971478495129</c:v>
                </c:pt>
                <c:pt idx="22">
                  <c:v>29.697419540612444</c:v>
                </c:pt>
                <c:pt idx="23">
                  <c:v>34.799048997906795</c:v>
                </c:pt>
                <c:pt idx="24">
                  <c:v>33.871480005671458</c:v>
                </c:pt>
                <c:pt idx="25">
                  <c:v>41.755816439671811</c:v>
                </c:pt>
                <c:pt idx="26">
                  <c:v>23.204436594965088</c:v>
                </c:pt>
                <c:pt idx="27">
                  <c:v>37.117971478495129</c:v>
                </c:pt>
                <c:pt idx="28">
                  <c:v>37.117971478495129</c:v>
                </c:pt>
                <c:pt idx="29">
                  <c:v>41.755816439671811</c:v>
                </c:pt>
                <c:pt idx="30">
                  <c:v>39.43689395908347</c:v>
                </c:pt>
                <c:pt idx="31">
                  <c:v>39.43689395908347</c:v>
                </c:pt>
                <c:pt idx="32">
                  <c:v>25.987143571671098</c:v>
                </c:pt>
                <c:pt idx="33">
                  <c:v>33.40769550955379</c:v>
                </c:pt>
                <c:pt idx="34">
                  <c:v>33.871480005671458</c:v>
                </c:pt>
                <c:pt idx="35">
                  <c:v>23.204436594965088</c:v>
                </c:pt>
                <c:pt idx="36">
                  <c:v>34.335264501789126</c:v>
                </c:pt>
                <c:pt idx="37">
                  <c:v>33.871480005671458</c:v>
                </c:pt>
                <c:pt idx="38">
                  <c:v>36.190402486259792</c:v>
                </c:pt>
                <c:pt idx="39">
                  <c:v>34.335264501789126</c:v>
                </c:pt>
                <c:pt idx="40">
                  <c:v>39.43689395908347</c:v>
                </c:pt>
                <c:pt idx="41">
                  <c:v>25.987143571671098</c:v>
                </c:pt>
                <c:pt idx="42">
                  <c:v>23.204436594965088</c:v>
                </c:pt>
                <c:pt idx="43">
                  <c:v>37.117971478495129</c:v>
                </c:pt>
                <c:pt idx="44">
                  <c:v>34.335264501789126</c:v>
                </c:pt>
                <c:pt idx="45">
                  <c:v>41.755816439671811</c:v>
                </c:pt>
                <c:pt idx="46">
                  <c:v>26.450928067788766</c:v>
                </c:pt>
                <c:pt idx="47">
                  <c:v>37.117971478495129</c:v>
                </c:pt>
                <c:pt idx="48">
                  <c:v>39.43689395908347</c:v>
                </c:pt>
                <c:pt idx="49">
                  <c:v>33.40769550955379</c:v>
                </c:pt>
                <c:pt idx="50">
                  <c:v>37.117971478495129</c:v>
                </c:pt>
                <c:pt idx="51">
                  <c:v>35.262833494024456</c:v>
                </c:pt>
                <c:pt idx="52">
                  <c:v>37.117971478495129</c:v>
                </c:pt>
                <c:pt idx="53">
                  <c:v>37.117971478495129</c:v>
                </c:pt>
                <c:pt idx="54">
                  <c:v>19.494160626023746</c:v>
                </c:pt>
                <c:pt idx="55">
                  <c:v>22.276867602729752</c:v>
                </c:pt>
                <c:pt idx="56">
                  <c:v>41.755816439671811</c:v>
                </c:pt>
                <c:pt idx="57">
                  <c:v>42.683385431907148</c:v>
                </c:pt>
                <c:pt idx="58">
                  <c:v>25.987143571671098</c:v>
                </c:pt>
                <c:pt idx="59">
                  <c:v>41.755816439671811</c:v>
                </c:pt>
                <c:pt idx="60">
                  <c:v>23.204436594965088</c:v>
                </c:pt>
                <c:pt idx="61">
                  <c:v>23.204436594965088</c:v>
                </c:pt>
                <c:pt idx="62">
                  <c:v>32.480126517318453</c:v>
                </c:pt>
                <c:pt idx="63">
                  <c:v>43.610954424142477</c:v>
                </c:pt>
                <c:pt idx="64">
                  <c:v>34.335264501789126</c:v>
                </c:pt>
                <c:pt idx="65">
                  <c:v>30.624988532847777</c:v>
                </c:pt>
                <c:pt idx="66">
                  <c:v>21.349298610494415</c:v>
                </c:pt>
                <c:pt idx="67">
                  <c:v>24.595790083318093</c:v>
                </c:pt>
                <c:pt idx="68">
                  <c:v>43.610954424142477</c:v>
                </c:pt>
                <c:pt idx="69">
                  <c:v>23.204436594965088</c:v>
                </c:pt>
                <c:pt idx="70">
                  <c:v>24.595790083318093</c:v>
                </c:pt>
                <c:pt idx="71">
                  <c:v>37.117971478495129</c:v>
                </c:pt>
                <c:pt idx="72">
                  <c:v>39.43689395908347</c:v>
                </c:pt>
                <c:pt idx="73">
                  <c:v>41.755816439671811</c:v>
                </c:pt>
                <c:pt idx="74">
                  <c:v>27.842281556141771</c:v>
                </c:pt>
                <c:pt idx="75">
                  <c:v>37.117971478495129</c:v>
                </c:pt>
                <c:pt idx="76">
                  <c:v>34.799048997906795</c:v>
                </c:pt>
                <c:pt idx="77">
                  <c:v>23.204436594965088</c:v>
                </c:pt>
                <c:pt idx="78">
                  <c:v>44.538523416377821</c:v>
                </c:pt>
                <c:pt idx="79">
                  <c:v>37.117971478495129</c:v>
                </c:pt>
                <c:pt idx="80">
                  <c:v>34.335264501789126</c:v>
                </c:pt>
                <c:pt idx="81">
                  <c:v>29.697419540612444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31-4CF8-8210-F77AD0B39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728568"/>
        <c:axId val="506999592"/>
      </c:scatterChart>
      <c:valAx>
        <c:axId val="645728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S1_X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06999592"/>
        <c:crosses val="autoZero"/>
        <c:crossBetween val="midCat"/>
      </c:valAx>
      <c:valAx>
        <c:axId val="5069995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S1_Y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45728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'Q.7-8_S1'!$H$25:$H$106</c:f>
              <c:numCache>
                <c:formatCode>General</c:formatCode>
                <c:ptCount val="82"/>
                <c:pt idx="0">
                  <c:v>0.6097560975609756</c:v>
                </c:pt>
                <c:pt idx="1">
                  <c:v>1.8292682926829267</c:v>
                </c:pt>
                <c:pt idx="2">
                  <c:v>3.0487804878048781</c:v>
                </c:pt>
                <c:pt idx="3">
                  <c:v>4.2682926829268286</c:v>
                </c:pt>
                <c:pt idx="4">
                  <c:v>5.48780487804878</c:v>
                </c:pt>
                <c:pt idx="5">
                  <c:v>6.7073170731707314</c:v>
                </c:pt>
                <c:pt idx="6">
                  <c:v>7.926829268292682</c:v>
                </c:pt>
                <c:pt idx="7">
                  <c:v>9.1463414634146343</c:v>
                </c:pt>
                <c:pt idx="8">
                  <c:v>10.365853658536585</c:v>
                </c:pt>
                <c:pt idx="9">
                  <c:v>11.585365853658535</c:v>
                </c:pt>
                <c:pt idx="10">
                  <c:v>12.804878048780488</c:v>
                </c:pt>
                <c:pt idx="11">
                  <c:v>14.024390243902438</c:v>
                </c:pt>
                <c:pt idx="12">
                  <c:v>15.243902439024389</c:v>
                </c:pt>
                <c:pt idx="13">
                  <c:v>16.463414634146343</c:v>
                </c:pt>
                <c:pt idx="14">
                  <c:v>17.682926829268293</c:v>
                </c:pt>
                <c:pt idx="15">
                  <c:v>18.902439024390244</c:v>
                </c:pt>
                <c:pt idx="16">
                  <c:v>20.121951219512194</c:v>
                </c:pt>
                <c:pt idx="17">
                  <c:v>21.341463414634145</c:v>
                </c:pt>
                <c:pt idx="18">
                  <c:v>22.560975609756095</c:v>
                </c:pt>
                <c:pt idx="19">
                  <c:v>23.780487804878049</c:v>
                </c:pt>
                <c:pt idx="20">
                  <c:v>25</c:v>
                </c:pt>
                <c:pt idx="21">
                  <c:v>26.219512195121951</c:v>
                </c:pt>
                <c:pt idx="22">
                  <c:v>27.439024390243901</c:v>
                </c:pt>
                <c:pt idx="23">
                  <c:v>28.658536585365852</c:v>
                </c:pt>
                <c:pt idx="24">
                  <c:v>29.878048780487802</c:v>
                </c:pt>
                <c:pt idx="25">
                  <c:v>31.097560975609756</c:v>
                </c:pt>
                <c:pt idx="26">
                  <c:v>32.31707317073171</c:v>
                </c:pt>
                <c:pt idx="27">
                  <c:v>33.536585365853661</c:v>
                </c:pt>
                <c:pt idx="28">
                  <c:v>34.756097560975611</c:v>
                </c:pt>
                <c:pt idx="29">
                  <c:v>35.975609756097562</c:v>
                </c:pt>
                <c:pt idx="30">
                  <c:v>37.195121951219512</c:v>
                </c:pt>
                <c:pt idx="31">
                  <c:v>38.414634146341463</c:v>
                </c:pt>
                <c:pt idx="32">
                  <c:v>39.634146341463413</c:v>
                </c:pt>
                <c:pt idx="33">
                  <c:v>40.853658536585364</c:v>
                </c:pt>
                <c:pt idx="34">
                  <c:v>42.073170731707314</c:v>
                </c:pt>
                <c:pt idx="35">
                  <c:v>43.292682926829265</c:v>
                </c:pt>
                <c:pt idx="36">
                  <c:v>44.512195121951216</c:v>
                </c:pt>
                <c:pt idx="37">
                  <c:v>45.731707317073166</c:v>
                </c:pt>
                <c:pt idx="38">
                  <c:v>46.951219512195124</c:v>
                </c:pt>
                <c:pt idx="39">
                  <c:v>48.170731707317074</c:v>
                </c:pt>
                <c:pt idx="40">
                  <c:v>49.390243902439025</c:v>
                </c:pt>
                <c:pt idx="41">
                  <c:v>50.609756097560975</c:v>
                </c:pt>
                <c:pt idx="42">
                  <c:v>51.829268292682926</c:v>
                </c:pt>
                <c:pt idx="43">
                  <c:v>53.048780487804876</c:v>
                </c:pt>
                <c:pt idx="44">
                  <c:v>54.268292682926827</c:v>
                </c:pt>
                <c:pt idx="45">
                  <c:v>55.487804878048777</c:v>
                </c:pt>
                <c:pt idx="46">
                  <c:v>56.707317073170728</c:v>
                </c:pt>
                <c:pt idx="47">
                  <c:v>57.926829268292678</c:v>
                </c:pt>
                <c:pt idx="48">
                  <c:v>59.146341463414629</c:v>
                </c:pt>
                <c:pt idx="49">
                  <c:v>60.365853658536587</c:v>
                </c:pt>
                <c:pt idx="50">
                  <c:v>61.585365853658537</c:v>
                </c:pt>
                <c:pt idx="51">
                  <c:v>62.804878048780488</c:v>
                </c:pt>
                <c:pt idx="52">
                  <c:v>64.024390243902445</c:v>
                </c:pt>
                <c:pt idx="53">
                  <c:v>65.243902439024382</c:v>
                </c:pt>
                <c:pt idx="54">
                  <c:v>66.463414634146346</c:v>
                </c:pt>
                <c:pt idx="55">
                  <c:v>67.682926829268297</c:v>
                </c:pt>
                <c:pt idx="56">
                  <c:v>68.902439024390247</c:v>
                </c:pt>
                <c:pt idx="57">
                  <c:v>70.121951219512198</c:v>
                </c:pt>
                <c:pt idx="58">
                  <c:v>71.341463414634148</c:v>
                </c:pt>
                <c:pt idx="59">
                  <c:v>72.560975609756099</c:v>
                </c:pt>
                <c:pt idx="60">
                  <c:v>73.780487804878049</c:v>
                </c:pt>
                <c:pt idx="61">
                  <c:v>75</c:v>
                </c:pt>
                <c:pt idx="62">
                  <c:v>76.219512195121951</c:v>
                </c:pt>
                <c:pt idx="63">
                  <c:v>77.439024390243901</c:v>
                </c:pt>
                <c:pt idx="64">
                  <c:v>78.658536585365852</c:v>
                </c:pt>
                <c:pt idx="65">
                  <c:v>79.878048780487802</c:v>
                </c:pt>
                <c:pt idx="66">
                  <c:v>81.097560975609753</c:v>
                </c:pt>
                <c:pt idx="67">
                  <c:v>82.317073170731703</c:v>
                </c:pt>
                <c:pt idx="68">
                  <c:v>83.536585365853654</c:v>
                </c:pt>
                <c:pt idx="69">
                  <c:v>84.756097560975604</c:v>
                </c:pt>
                <c:pt idx="70">
                  <c:v>85.975609756097555</c:v>
                </c:pt>
                <c:pt idx="71">
                  <c:v>87.195121951219505</c:v>
                </c:pt>
                <c:pt idx="72">
                  <c:v>88.414634146341456</c:v>
                </c:pt>
                <c:pt idx="73">
                  <c:v>89.634146341463406</c:v>
                </c:pt>
                <c:pt idx="74">
                  <c:v>90.853658536585357</c:v>
                </c:pt>
                <c:pt idx="75">
                  <c:v>92.073170731707322</c:v>
                </c:pt>
                <c:pt idx="76">
                  <c:v>93.292682926829272</c:v>
                </c:pt>
                <c:pt idx="77">
                  <c:v>94.512195121951223</c:v>
                </c:pt>
                <c:pt idx="78">
                  <c:v>95.731707317073173</c:v>
                </c:pt>
                <c:pt idx="79">
                  <c:v>96.951219512195124</c:v>
                </c:pt>
                <c:pt idx="80">
                  <c:v>98.170731707317074</c:v>
                </c:pt>
                <c:pt idx="81">
                  <c:v>99.390243902439025</c:v>
                </c:pt>
              </c:numCache>
            </c:numRef>
          </c:xVal>
          <c:yVal>
            <c:numRef>
              <c:f>'Q.7-8_S1'!$I$25:$I$106</c:f>
              <c:numCache>
                <c:formatCode>General</c:formatCode>
                <c:ptCount val="82"/>
                <c:pt idx="0">
                  <c:v>17.7</c:v>
                </c:pt>
                <c:pt idx="1">
                  <c:v>20.6</c:v>
                </c:pt>
                <c:pt idx="2">
                  <c:v>21.2</c:v>
                </c:pt>
                <c:pt idx="3">
                  <c:v>21.473400000000002</c:v>
                </c:pt>
                <c:pt idx="4">
                  <c:v>21.473400000000002</c:v>
                </c:pt>
                <c:pt idx="5">
                  <c:v>21.641200000000001</c:v>
                </c:pt>
                <c:pt idx="6">
                  <c:v>21.651499999999999</c:v>
                </c:pt>
                <c:pt idx="7">
                  <c:v>23</c:v>
                </c:pt>
                <c:pt idx="8">
                  <c:v>24.1556</c:v>
                </c:pt>
                <c:pt idx="9">
                  <c:v>24.2</c:v>
                </c:pt>
                <c:pt idx="10">
                  <c:v>24.3</c:v>
                </c:pt>
                <c:pt idx="11">
                  <c:v>24.3325</c:v>
                </c:pt>
                <c:pt idx="12">
                  <c:v>24.7</c:v>
                </c:pt>
                <c:pt idx="13">
                  <c:v>25.6</c:v>
                </c:pt>
                <c:pt idx="14">
                  <c:v>26</c:v>
                </c:pt>
                <c:pt idx="15">
                  <c:v>27.2</c:v>
                </c:pt>
                <c:pt idx="16">
                  <c:v>27.2</c:v>
                </c:pt>
                <c:pt idx="17">
                  <c:v>27.4375</c:v>
                </c:pt>
                <c:pt idx="18">
                  <c:v>28.4</c:v>
                </c:pt>
                <c:pt idx="19">
                  <c:v>28.567399999999999</c:v>
                </c:pt>
                <c:pt idx="20">
                  <c:v>29</c:v>
                </c:pt>
                <c:pt idx="21">
                  <c:v>29.4</c:v>
                </c:pt>
                <c:pt idx="22">
                  <c:v>29.5</c:v>
                </c:pt>
                <c:pt idx="23">
                  <c:v>29.837800000000001</c:v>
                </c:pt>
                <c:pt idx="24">
                  <c:v>30.4</c:v>
                </c:pt>
                <c:pt idx="25">
                  <c:v>31.2</c:v>
                </c:pt>
                <c:pt idx="26">
                  <c:v>31.227399999999999</c:v>
                </c:pt>
                <c:pt idx="27">
                  <c:v>31.302499999999998</c:v>
                </c:pt>
                <c:pt idx="28">
                  <c:v>31.366900000000001</c:v>
                </c:pt>
                <c:pt idx="29">
                  <c:v>31.4</c:v>
                </c:pt>
                <c:pt idx="30">
                  <c:v>31.5</c:v>
                </c:pt>
                <c:pt idx="31">
                  <c:v>32.286000000000001</c:v>
                </c:pt>
                <c:pt idx="32">
                  <c:v>32.299999999999997</c:v>
                </c:pt>
                <c:pt idx="33">
                  <c:v>32.4</c:v>
                </c:pt>
                <c:pt idx="34">
                  <c:v>32.4</c:v>
                </c:pt>
                <c:pt idx="35">
                  <c:v>32.799999999999997</c:v>
                </c:pt>
                <c:pt idx="36">
                  <c:v>32.799999999999997</c:v>
                </c:pt>
                <c:pt idx="37">
                  <c:v>33.128100000000003</c:v>
                </c:pt>
                <c:pt idx="38">
                  <c:v>33.200000000000003</c:v>
                </c:pt>
                <c:pt idx="39">
                  <c:v>33.299999999999997</c:v>
                </c:pt>
                <c:pt idx="40">
                  <c:v>33.603200000000001</c:v>
                </c:pt>
                <c:pt idx="41">
                  <c:v>34.028799999999997</c:v>
                </c:pt>
                <c:pt idx="42">
                  <c:v>34.4</c:v>
                </c:pt>
                <c:pt idx="43">
                  <c:v>34.4</c:v>
                </c:pt>
                <c:pt idx="44">
                  <c:v>34.434100000000001</c:v>
                </c:pt>
                <c:pt idx="45">
                  <c:v>34.434100000000001</c:v>
                </c:pt>
                <c:pt idx="46">
                  <c:v>34.542400000000001</c:v>
                </c:pt>
                <c:pt idx="47">
                  <c:v>34.762999999999998</c:v>
                </c:pt>
                <c:pt idx="48">
                  <c:v>34.767499999999998</c:v>
                </c:pt>
                <c:pt idx="49">
                  <c:v>35</c:v>
                </c:pt>
                <c:pt idx="50">
                  <c:v>35.162799999999997</c:v>
                </c:pt>
                <c:pt idx="51">
                  <c:v>35.435400000000001</c:v>
                </c:pt>
                <c:pt idx="52">
                  <c:v>35.496600000000001</c:v>
                </c:pt>
                <c:pt idx="53">
                  <c:v>35.496600000000001</c:v>
                </c:pt>
                <c:pt idx="54">
                  <c:v>35.5</c:v>
                </c:pt>
                <c:pt idx="55">
                  <c:v>35.505200000000002</c:v>
                </c:pt>
                <c:pt idx="56">
                  <c:v>35.799999999999997</c:v>
                </c:pt>
                <c:pt idx="57">
                  <c:v>36.027700000000003</c:v>
                </c:pt>
                <c:pt idx="58">
                  <c:v>36.473799999999997</c:v>
                </c:pt>
                <c:pt idx="59">
                  <c:v>36.752800000000001</c:v>
                </c:pt>
                <c:pt idx="60">
                  <c:v>36.920200000000001</c:v>
                </c:pt>
                <c:pt idx="61">
                  <c:v>37</c:v>
                </c:pt>
                <c:pt idx="62">
                  <c:v>37.066600000000001</c:v>
                </c:pt>
                <c:pt idx="63">
                  <c:v>37.425899999999999</c:v>
                </c:pt>
                <c:pt idx="64">
                  <c:v>37.6</c:v>
                </c:pt>
                <c:pt idx="65">
                  <c:v>37.9</c:v>
                </c:pt>
                <c:pt idx="66">
                  <c:v>37.979999999999997</c:v>
                </c:pt>
                <c:pt idx="67">
                  <c:v>40.9</c:v>
                </c:pt>
                <c:pt idx="68">
                  <c:v>41.347000000000001</c:v>
                </c:pt>
                <c:pt idx="69">
                  <c:v>41.7</c:v>
                </c:pt>
                <c:pt idx="70">
                  <c:v>42.5</c:v>
                </c:pt>
                <c:pt idx="71">
                  <c:v>42.973300000000002</c:v>
                </c:pt>
                <c:pt idx="72">
                  <c:v>43.2</c:v>
                </c:pt>
                <c:pt idx="73">
                  <c:v>43.5</c:v>
                </c:pt>
                <c:pt idx="74">
                  <c:v>44.7</c:v>
                </c:pt>
                <c:pt idx="75">
                  <c:v>44.8</c:v>
                </c:pt>
                <c:pt idx="76">
                  <c:v>45.5991</c:v>
                </c:pt>
                <c:pt idx="77">
                  <c:v>46.9</c:v>
                </c:pt>
                <c:pt idx="78">
                  <c:v>50.8</c:v>
                </c:pt>
                <c:pt idx="79">
                  <c:v>52.749600000000001</c:v>
                </c:pt>
                <c:pt idx="80">
                  <c:v>56.420400000000001</c:v>
                </c:pt>
                <c:pt idx="81">
                  <c:v>59.7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56-43F4-893D-7B4955CD0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471288"/>
        <c:axId val="648468664"/>
      </c:scatterChart>
      <c:valAx>
        <c:axId val="648471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468664"/>
        <c:crosses val="autoZero"/>
        <c:crossBetween val="midCat"/>
      </c:valAx>
      <c:valAx>
        <c:axId val="648468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S1_Y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471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S2_X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'Q.7-8_S2'!$A$2:$A$83</c:f>
              <c:numCache>
                <c:formatCode>0.00</c:formatCode>
                <c:ptCount val="82"/>
                <c:pt idx="0">
                  <c:v>3.5</c:v>
                </c:pt>
                <c:pt idx="1">
                  <c:v>2.5</c:v>
                </c:pt>
                <c:pt idx="2">
                  <c:v>1.4</c:v>
                </c:pt>
                <c:pt idx="3">
                  <c:v>3.5</c:v>
                </c:pt>
                <c:pt idx="4">
                  <c:v>3</c:v>
                </c:pt>
                <c:pt idx="5">
                  <c:v>2.5</c:v>
                </c:pt>
                <c:pt idx="6">
                  <c:v>1.5</c:v>
                </c:pt>
                <c:pt idx="7">
                  <c:v>3</c:v>
                </c:pt>
                <c:pt idx="8">
                  <c:v>1.6</c:v>
                </c:pt>
                <c:pt idx="9">
                  <c:v>4.4000000000000004</c:v>
                </c:pt>
                <c:pt idx="10">
                  <c:v>5</c:v>
                </c:pt>
                <c:pt idx="11">
                  <c:v>6.2</c:v>
                </c:pt>
                <c:pt idx="12">
                  <c:v>3</c:v>
                </c:pt>
                <c:pt idx="13">
                  <c:v>4.5999999999999996</c:v>
                </c:pt>
                <c:pt idx="14">
                  <c:v>4</c:v>
                </c:pt>
                <c:pt idx="15">
                  <c:v>6</c:v>
                </c:pt>
                <c:pt idx="16">
                  <c:v>2.4</c:v>
                </c:pt>
                <c:pt idx="17">
                  <c:v>5.7</c:v>
                </c:pt>
                <c:pt idx="18">
                  <c:v>1.5</c:v>
                </c:pt>
                <c:pt idx="19">
                  <c:v>2</c:v>
                </c:pt>
                <c:pt idx="20">
                  <c:v>3</c:v>
                </c:pt>
                <c:pt idx="21">
                  <c:v>4.7</c:v>
                </c:pt>
                <c:pt idx="22">
                  <c:v>6</c:v>
                </c:pt>
                <c:pt idx="23">
                  <c:v>6</c:v>
                </c:pt>
                <c:pt idx="24">
                  <c:v>5.4</c:v>
                </c:pt>
                <c:pt idx="25">
                  <c:v>2.5</c:v>
                </c:pt>
                <c:pt idx="26">
                  <c:v>2.5</c:v>
                </c:pt>
                <c:pt idx="27">
                  <c:v>4.4000000000000004</c:v>
                </c:pt>
                <c:pt idx="28">
                  <c:v>1.8</c:v>
                </c:pt>
                <c:pt idx="29">
                  <c:v>5.7</c:v>
                </c:pt>
                <c:pt idx="30">
                  <c:v>1.6</c:v>
                </c:pt>
                <c:pt idx="31">
                  <c:v>3.6</c:v>
                </c:pt>
                <c:pt idx="32">
                  <c:v>3</c:v>
                </c:pt>
                <c:pt idx="33">
                  <c:v>2.4</c:v>
                </c:pt>
                <c:pt idx="34">
                  <c:v>2</c:v>
                </c:pt>
                <c:pt idx="35">
                  <c:v>2.4</c:v>
                </c:pt>
                <c:pt idx="36">
                  <c:v>2</c:v>
                </c:pt>
                <c:pt idx="37">
                  <c:v>3.8</c:v>
                </c:pt>
                <c:pt idx="38">
                  <c:v>1.4</c:v>
                </c:pt>
                <c:pt idx="39">
                  <c:v>3.7</c:v>
                </c:pt>
                <c:pt idx="40">
                  <c:v>6</c:v>
                </c:pt>
                <c:pt idx="41">
                  <c:v>2</c:v>
                </c:pt>
                <c:pt idx="42">
                  <c:v>3.6</c:v>
                </c:pt>
                <c:pt idx="43">
                  <c:v>2.4</c:v>
                </c:pt>
                <c:pt idx="44">
                  <c:v>3.6</c:v>
                </c:pt>
                <c:pt idx="45">
                  <c:v>4.5999999999999996</c:v>
                </c:pt>
                <c:pt idx="46">
                  <c:v>3.5</c:v>
                </c:pt>
                <c:pt idx="47">
                  <c:v>1.5</c:v>
                </c:pt>
                <c:pt idx="48">
                  <c:v>5.2</c:v>
                </c:pt>
                <c:pt idx="49">
                  <c:v>3.7</c:v>
                </c:pt>
                <c:pt idx="50">
                  <c:v>6</c:v>
                </c:pt>
                <c:pt idx="51">
                  <c:v>1.8</c:v>
                </c:pt>
                <c:pt idx="52">
                  <c:v>4.2</c:v>
                </c:pt>
                <c:pt idx="53">
                  <c:v>3.6</c:v>
                </c:pt>
                <c:pt idx="54">
                  <c:v>2.5</c:v>
                </c:pt>
                <c:pt idx="55">
                  <c:v>5</c:v>
                </c:pt>
                <c:pt idx="56">
                  <c:v>5.9</c:v>
                </c:pt>
                <c:pt idx="57">
                  <c:v>3.5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3.8</c:v>
                </c:pt>
                <c:pt idx="62">
                  <c:v>2</c:v>
                </c:pt>
                <c:pt idx="63">
                  <c:v>3.7</c:v>
                </c:pt>
                <c:pt idx="64">
                  <c:v>3.6</c:v>
                </c:pt>
                <c:pt idx="65">
                  <c:v>4.2</c:v>
                </c:pt>
                <c:pt idx="66">
                  <c:v>6</c:v>
                </c:pt>
                <c:pt idx="67">
                  <c:v>1.6</c:v>
                </c:pt>
                <c:pt idx="68">
                  <c:v>2.5</c:v>
                </c:pt>
                <c:pt idx="69">
                  <c:v>2</c:v>
                </c:pt>
                <c:pt idx="70">
                  <c:v>3.8</c:v>
                </c:pt>
                <c:pt idx="71">
                  <c:v>2.4</c:v>
                </c:pt>
                <c:pt idx="72">
                  <c:v>3</c:v>
                </c:pt>
                <c:pt idx="73">
                  <c:v>4.7</c:v>
                </c:pt>
                <c:pt idx="74">
                  <c:v>1.6</c:v>
                </c:pt>
                <c:pt idx="75">
                  <c:v>1.8</c:v>
                </c:pt>
                <c:pt idx="76">
                  <c:v>1.6</c:v>
                </c:pt>
                <c:pt idx="77">
                  <c:v>6.2</c:v>
                </c:pt>
                <c:pt idx="78">
                  <c:v>4.4000000000000004</c:v>
                </c:pt>
                <c:pt idx="79">
                  <c:v>3.5</c:v>
                </c:pt>
                <c:pt idx="80">
                  <c:v>3.5</c:v>
                </c:pt>
                <c:pt idx="81">
                  <c:v>4.5999999999999996</c:v>
                </c:pt>
              </c:numCache>
            </c:numRef>
          </c:xVal>
          <c:yVal>
            <c:numRef>
              <c:f>'Q.7-8_S2'!$F$25:$F$106</c:f>
              <c:numCache>
                <c:formatCode>General</c:formatCode>
                <c:ptCount val="82"/>
                <c:pt idx="0">
                  <c:v>-0.9462056358814479</c:v>
                </c:pt>
                <c:pt idx="1">
                  <c:v>-4.3549964881131515</c:v>
                </c:pt>
                <c:pt idx="2">
                  <c:v>1.7465435744319748</c:v>
                </c:pt>
                <c:pt idx="3">
                  <c:v>-4.6205635881449325E-2</c:v>
                </c:pt>
                <c:pt idx="4">
                  <c:v>-2.4217510619972984</c:v>
                </c:pt>
                <c:pt idx="5">
                  <c:v>-4.3549964881131515</c:v>
                </c:pt>
                <c:pt idx="6">
                  <c:v>-1.5435873403448497</c:v>
                </c:pt>
                <c:pt idx="7">
                  <c:v>-3.0045510619972973</c:v>
                </c:pt>
                <c:pt idx="8">
                  <c:v>2.5156817448783144</c:v>
                </c:pt>
                <c:pt idx="9">
                  <c:v>-2.1926838688729156</c:v>
                </c:pt>
                <c:pt idx="10">
                  <c:v>-1.9053693575338961</c:v>
                </c:pt>
                <c:pt idx="11">
                  <c:v>4.8202596651441461</c:v>
                </c:pt>
                <c:pt idx="12">
                  <c:v>0.80444893800270734</c:v>
                </c:pt>
                <c:pt idx="13">
                  <c:v>4.7623543015734207</c:v>
                </c:pt>
                <c:pt idx="14">
                  <c:v>-4.8257602097655976</c:v>
                </c:pt>
                <c:pt idx="15">
                  <c:v>1.2005214946978064</c:v>
                </c:pt>
                <c:pt idx="16">
                  <c:v>0.87713442666368024</c:v>
                </c:pt>
                <c:pt idx="17">
                  <c:v>12.070914239028298</c:v>
                </c:pt>
                <c:pt idx="18">
                  <c:v>7.6010126596551473</c:v>
                </c:pt>
                <c:pt idx="19">
                  <c:v>6.793358085770997</c:v>
                </c:pt>
                <c:pt idx="20">
                  <c:v>-6.0376510619972947</c:v>
                </c:pt>
                <c:pt idx="21">
                  <c:v>-2.9277766132034024</c:v>
                </c:pt>
                <c:pt idx="22">
                  <c:v>0.60052149469780502</c:v>
                </c:pt>
                <c:pt idx="23">
                  <c:v>4.4005214946978057</c:v>
                </c:pt>
                <c:pt idx="24">
                  <c:v>-2.4586930166412095</c:v>
                </c:pt>
                <c:pt idx="25">
                  <c:v>0.54390351188684605</c:v>
                </c:pt>
                <c:pt idx="26">
                  <c:v>-1.1373964881131542</c:v>
                </c:pt>
                <c:pt idx="27">
                  <c:v>3.2458161311270857</c:v>
                </c:pt>
                <c:pt idx="28">
                  <c:v>10.77751991532466</c:v>
                </c:pt>
                <c:pt idx="29">
                  <c:v>4.865014239028298</c:v>
                </c:pt>
                <c:pt idx="30">
                  <c:v>-1.9337182551216827</c:v>
                </c:pt>
                <c:pt idx="31">
                  <c:v>2.0634634493417181</c:v>
                </c:pt>
                <c:pt idx="32">
                  <c:v>-2.9024510619972972</c:v>
                </c:pt>
                <c:pt idx="33">
                  <c:v>17.34523442666368</c:v>
                </c:pt>
                <c:pt idx="34">
                  <c:v>-3.4281419142290019</c:v>
                </c:pt>
                <c:pt idx="35">
                  <c:v>-5.15476557333632</c:v>
                </c:pt>
                <c:pt idx="36">
                  <c:v>3.7057580857710022</c:v>
                </c:pt>
                <c:pt idx="37">
                  <c:v>2.7503016197880612</c:v>
                </c:pt>
                <c:pt idx="38">
                  <c:v>5.3965435744319734</c:v>
                </c:pt>
                <c:pt idx="39">
                  <c:v>-10.226467465435107</c:v>
                </c:pt>
                <c:pt idx="40">
                  <c:v>0.87392149469780733</c:v>
                </c:pt>
                <c:pt idx="41">
                  <c:v>1.2057580857710022</c:v>
                </c:pt>
                <c:pt idx="42">
                  <c:v>1.3076634493417174</c:v>
                </c:pt>
                <c:pt idx="43">
                  <c:v>13.745234426663679</c:v>
                </c:pt>
                <c:pt idx="44">
                  <c:v>-2.9370365506582772</c:v>
                </c:pt>
                <c:pt idx="45">
                  <c:v>-7.2376456984265793</c:v>
                </c:pt>
                <c:pt idx="46">
                  <c:v>-3.6462056358814436</c:v>
                </c:pt>
                <c:pt idx="47">
                  <c:v>4.1564126596551532</c:v>
                </c:pt>
                <c:pt idx="48">
                  <c:v>-2.411731187087554</c:v>
                </c:pt>
                <c:pt idx="49">
                  <c:v>-3.2625674654351045</c:v>
                </c:pt>
                <c:pt idx="50">
                  <c:v>0.87392149469780733</c:v>
                </c:pt>
                <c:pt idx="51">
                  <c:v>2.8860199153246597</c:v>
                </c:pt>
                <c:pt idx="52">
                  <c:v>-4.8093220393192553</c:v>
                </c:pt>
                <c:pt idx="53">
                  <c:v>5.2636634493417205</c:v>
                </c:pt>
                <c:pt idx="54">
                  <c:v>2.5710035118868504</c:v>
                </c:pt>
                <c:pt idx="55">
                  <c:v>2.0178306424661052</c:v>
                </c:pt>
                <c:pt idx="56">
                  <c:v>1.7164524094746376</c:v>
                </c:pt>
                <c:pt idx="57">
                  <c:v>-5.7969056358814477</c:v>
                </c:pt>
                <c:pt idx="58">
                  <c:v>-3.4942419142290007</c:v>
                </c:pt>
                <c:pt idx="59">
                  <c:v>-6.0376510619972947</c:v>
                </c:pt>
                <c:pt idx="60">
                  <c:v>-4.9942419142290007</c:v>
                </c:pt>
                <c:pt idx="61">
                  <c:v>2.7503016197880612</c:v>
                </c:pt>
                <c:pt idx="62">
                  <c:v>-8.1942419142290035</c:v>
                </c:pt>
                <c:pt idx="63">
                  <c:v>-6.526467465435104</c:v>
                </c:pt>
                <c:pt idx="64">
                  <c:v>5.2636634493417205</c:v>
                </c:pt>
                <c:pt idx="65">
                  <c:v>4.1450779606807444</c:v>
                </c:pt>
                <c:pt idx="66">
                  <c:v>1.100521494697805</c:v>
                </c:pt>
                <c:pt idx="67">
                  <c:v>-3.7337182551216799</c:v>
                </c:pt>
                <c:pt idx="68">
                  <c:v>-5.2891964881131486</c:v>
                </c:pt>
                <c:pt idx="69">
                  <c:v>14.541858085770997</c:v>
                </c:pt>
                <c:pt idx="70">
                  <c:v>0.84510161978806053</c:v>
                </c:pt>
                <c:pt idx="71">
                  <c:v>-3.8547655733363158</c:v>
                </c:pt>
                <c:pt idx="72">
                  <c:v>-6.0376510619972947</c:v>
                </c:pt>
                <c:pt idx="73">
                  <c:v>-3.9277766132034024</c:v>
                </c:pt>
                <c:pt idx="74">
                  <c:v>-4.1358182551216842</c:v>
                </c:pt>
                <c:pt idx="75">
                  <c:v>0.98601991532466116</c:v>
                </c:pt>
                <c:pt idx="76">
                  <c:v>-5.4337182551216827</c:v>
                </c:pt>
                <c:pt idx="77">
                  <c:v>0.13415966514414635</c:v>
                </c:pt>
                <c:pt idx="78">
                  <c:v>-2.6266838688729166</c:v>
                </c:pt>
                <c:pt idx="79">
                  <c:v>-1.8462056358814465</c:v>
                </c:pt>
                <c:pt idx="80">
                  <c:v>-1.0968056358814451</c:v>
                </c:pt>
                <c:pt idx="81">
                  <c:v>-6.1376456984265779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15-46E1-A606-DA0257C21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52048"/>
        <c:axId val="664353688"/>
      </c:scatterChart>
      <c:valAx>
        <c:axId val="66435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S2_X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4353688"/>
        <c:crosses val="autoZero"/>
        <c:crossBetween val="midCat"/>
      </c:valAx>
      <c:valAx>
        <c:axId val="664353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435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S2_X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S2_Y</c:v>
          </c:tx>
          <c:spPr>
            <a:ln w="19050">
              <a:noFill/>
            </a:ln>
          </c:spPr>
          <c:xVal>
            <c:numRef>
              <c:f>'Q.7-8_S2'!$A$2:$A$83</c:f>
              <c:numCache>
                <c:formatCode>0.00</c:formatCode>
                <c:ptCount val="82"/>
                <c:pt idx="0">
                  <c:v>3.5</c:v>
                </c:pt>
                <c:pt idx="1">
                  <c:v>2.5</c:v>
                </c:pt>
                <c:pt idx="2">
                  <c:v>1.4</c:v>
                </c:pt>
                <c:pt idx="3">
                  <c:v>3.5</c:v>
                </c:pt>
                <c:pt idx="4">
                  <c:v>3</c:v>
                </c:pt>
                <c:pt idx="5">
                  <c:v>2.5</c:v>
                </c:pt>
                <c:pt idx="6">
                  <c:v>1.5</c:v>
                </c:pt>
                <c:pt idx="7">
                  <c:v>3</c:v>
                </c:pt>
                <c:pt idx="8">
                  <c:v>1.6</c:v>
                </c:pt>
                <c:pt idx="9">
                  <c:v>4.4000000000000004</c:v>
                </c:pt>
                <c:pt idx="10">
                  <c:v>5</c:v>
                </c:pt>
                <c:pt idx="11">
                  <c:v>6.2</c:v>
                </c:pt>
                <c:pt idx="12">
                  <c:v>3</c:v>
                </c:pt>
                <c:pt idx="13">
                  <c:v>4.5999999999999996</c:v>
                </c:pt>
                <c:pt idx="14">
                  <c:v>4</c:v>
                </c:pt>
                <c:pt idx="15">
                  <c:v>6</c:v>
                </c:pt>
                <c:pt idx="16">
                  <c:v>2.4</c:v>
                </c:pt>
                <c:pt idx="17">
                  <c:v>5.7</c:v>
                </c:pt>
                <c:pt idx="18">
                  <c:v>1.5</c:v>
                </c:pt>
                <c:pt idx="19">
                  <c:v>2</c:v>
                </c:pt>
                <c:pt idx="20">
                  <c:v>3</c:v>
                </c:pt>
                <c:pt idx="21">
                  <c:v>4.7</c:v>
                </c:pt>
                <c:pt idx="22">
                  <c:v>6</c:v>
                </c:pt>
                <c:pt idx="23">
                  <c:v>6</c:v>
                </c:pt>
                <c:pt idx="24">
                  <c:v>5.4</c:v>
                </c:pt>
                <c:pt idx="25">
                  <c:v>2.5</c:v>
                </c:pt>
                <c:pt idx="26">
                  <c:v>2.5</c:v>
                </c:pt>
                <c:pt idx="27">
                  <c:v>4.4000000000000004</c:v>
                </c:pt>
                <c:pt idx="28">
                  <c:v>1.8</c:v>
                </c:pt>
                <c:pt idx="29">
                  <c:v>5.7</c:v>
                </c:pt>
                <c:pt idx="30">
                  <c:v>1.6</c:v>
                </c:pt>
                <c:pt idx="31">
                  <c:v>3.6</c:v>
                </c:pt>
                <c:pt idx="32">
                  <c:v>3</c:v>
                </c:pt>
                <c:pt idx="33">
                  <c:v>2.4</c:v>
                </c:pt>
                <c:pt idx="34">
                  <c:v>2</c:v>
                </c:pt>
                <c:pt idx="35">
                  <c:v>2.4</c:v>
                </c:pt>
                <c:pt idx="36">
                  <c:v>2</c:v>
                </c:pt>
                <c:pt idx="37">
                  <c:v>3.8</c:v>
                </c:pt>
                <c:pt idx="38">
                  <c:v>1.4</c:v>
                </c:pt>
                <c:pt idx="39">
                  <c:v>3.7</c:v>
                </c:pt>
                <c:pt idx="40">
                  <c:v>6</c:v>
                </c:pt>
                <c:pt idx="41">
                  <c:v>2</c:v>
                </c:pt>
                <c:pt idx="42">
                  <c:v>3.6</c:v>
                </c:pt>
                <c:pt idx="43">
                  <c:v>2.4</c:v>
                </c:pt>
                <c:pt idx="44">
                  <c:v>3.6</c:v>
                </c:pt>
                <c:pt idx="45">
                  <c:v>4.5999999999999996</c:v>
                </c:pt>
                <c:pt idx="46">
                  <c:v>3.5</c:v>
                </c:pt>
                <c:pt idx="47">
                  <c:v>1.5</c:v>
                </c:pt>
                <c:pt idx="48">
                  <c:v>5.2</c:v>
                </c:pt>
                <c:pt idx="49">
                  <c:v>3.7</c:v>
                </c:pt>
                <c:pt idx="50">
                  <c:v>6</c:v>
                </c:pt>
                <c:pt idx="51">
                  <c:v>1.8</c:v>
                </c:pt>
                <c:pt idx="52">
                  <c:v>4.2</c:v>
                </c:pt>
                <c:pt idx="53">
                  <c:v>3.6</c:v>
                </c:pt>
                <c:pt idx="54">
                  <c:v>2.5</c:v>
                </c:pt>
                <c:pt idx="55">
                  <c:v>5</c:v>
                </c:pt>
                <c:pt idx="56">
                  <c:v>5.9</c:v>
                </c:pt>
                <c:pt idx="57">
                  <c:v>3.5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3.8</c:v>
                </c:pt>
                <c:pt idx="62">
                  <c:v>2</c:v>
                </c:pt>
                <c:pt idx="63">
                  <c:v>3.7</c:v>
                </c:pt>
                <c:pt idx="64">
                  <c:v>3.6</c:v>
                </c:pt>
                <c:pt idx="65">
                  <c:v>4.2</c:v>
                </c:pt>
                <c:pt idx="66">
                  <c:v>6</c:v>
                </c:pt>
                <c:pt idx="67">
                  <c:v>1.6</c:v>
                </c:pt>
                <c:pt idx="68">
                  <c:v>2.5</c:v>
                </c:pt>
                <c:pt idx="69">
                  <c:v>2</c:v>
                </c:pt>
                <c:pt idx="70">
                  <c:v>3.8</c:v>
                </c:pt>
                <c:pt idx="71">
                  <c:v>2.4</c:v>
                </c:pt>
                <c:pt idx="72">
                  <c:v>3</c:v>
                </c:pt>
                <c:pt idx="73">
                  <c:v>4.7</c:v>
                </c:pt>
                <c:pt idx="74">
                  <c:v>1.6</c:v>
                </c:pt>
                <c:pt idx="75">
                  <c:v>1.8</c:v>
                </c:pt>
                <c:pt idx="76">
                  <c:v>1.6</c:v>
                </c:pt>
                <c:pt idx="77">
                  <c:v>6.2</c:v>
                </c:pt>
                <c:pt idx="78">
                  <c:v>4.4000000000000004</c:v>
                </c:pt>
                <c:pt idx="79">
                  <c:v>3.5</c:v>
                </c:pt>
                <c:pt idx="80">
                  <c:v>3.5</c:v>
                </c:pt>
                <c:pt idx="81">
                  <c:v>4.5999999999999996</c:v>
                </c:pt>
              </c:numCache>
            </c:numRef>
          </c:xVal>
          <c:yVal>
            <c:numRef>
              <c:f>'Q.7-8_S2'!$B$2:$B$83</c:f>
              <c:numCache>
                <c:formatCode>0.00</c:formatCode>
                <c:ptCount val="82"/>
                <c:pt idx="0">
                  <c:v>34.9</c:v>
                </c:pt>
                <c:pt idx="1">
                  <c:v>37.5899</c:v>
                </c:pt>
                <c:pt idx="2">
                  <c:v>50.4</c:v>
                </c:pt>
                <c:pt idx="3">
                  <c:v>35.799999999999997</c:v>
                </c:pt>
                <c:pt idx="4">
                  <c:v>36.473799999999997</c:v>
                </c:pt>
                <c:pt idx="5">
                  <c:v>37.5899</c:v>
                </c:pt>
                <c:pt idx="6">
                  <c:v>46.5</c:v>
                </c:pt>
                <c:pt idx="7">
                  <c:v>35.890999999999998</c:v>
                </c:pt>
                <c:pt idx="8">
                  <c:v>49.949399999999997</c:v>
                </c:pt>
                <c:pt idx="9">
                  <c:v>28.1647</c:v>
                </c:pt>
                <c:pt idx="10">
                  <c:v>24.7928</c:v>
                </c:pt>
                <c:pt idx="11">
                  <c:v>24.2</c:v>
                </c:pt>
                <c:pt idx="12">
                  <c:v>39.700000000000003</c:v>
                </c:pt>
                <c:pt idx="13">
                  <c:v>33.9</c:v>
                </c:pt>
                <c:pt idx="14">
                  <c:v>27.9711</c:v>
                </c:pt>
                <c:pt idx="15">
                  <c:v>21.8</c:v>
                </c:pt>
                <c:pt idx="16">
                  <c:v>43.431899999999999</c:v>
                </c:pt>
                <c:pt idx="17">
                  <c:v>34.5</c:v>
                </c:pt>
                <c:pt idx="18">
                  <c:v>55.644599999999997</c:v>
                </c:pt>
                <c:pt idx="19">
                  <c:v>51.787599999999998</c:v>
                </c:pt>
                <c:pt idx="20">
                  <c:v>32.857900000000001</c:v>
                </c:pt>
                <c:pt idx="21">
                  <c:v>25.6</c:v>
                </c:pt>
                <c:pt idx="22">
                  <c:v>21.2</c:v>
                </c:pt>
                <c:pt idx="23">
                  <c:v>25</c:v>
                </c:pt>
                <c:pt idx="24">
                  <c:v>21.8</c:v>
                </c:pt>
                <c:pt idx="25">
                  <c:v>42.488799999999998</c:v>
                </c:pt>
                <c:pt idx="26">
                  <c:v>40.807499999999997</c:v>
                </c:pt>
                <c:pt idx="27">
                  <c:v>33.603200000000001</c:v>
                </c:pt>
                <c:pt idx="28">
                  <c:v>56.991500000000002</c:v>
                </c:pt>
                <c:pt idx="29">
                  <c:v>27.2941</c:v>
                </c:pt>
                <c:pt idx="30">
                  <c:v>45.5</c:v>
                </c:pt>
                <c:pt idx="31">
                  <c:v>37.299799999999998</c:v>
                </c:pt>
                <c:pt idx="32">
                  <c:v>35.993099999999998</c:v>
                </c:pt>
                <c:pt idx="33">
                  <c:v>59.9</c:v>
                </c:pt>
                <c:pt idx="34">
                  <c:v>41.566099999999999</c:v>
                </c:pt>
                <c:pt idx="35">
                  <c:v>37.4</c:v>
                </c:pt>
                <c:pt idx="36">
                  <c:v>48.7</c:v>
                </c:pt>
                <c:pt idx="37">
                  <c:v>36.7669</c:v>
                </c:pt>
                <c:pt idx="38">
                  <c:v>54.05</c:v>
                </c:pt>
                <c:pt idx="39">
                  <c:v>24.4</c:v>
                </c:pt>
                <c:pt idx="40">
                  <c:v>21.473400000000002</c:v>
                </c:pt>
                <c:pt idx="41">
                  <c:v>46.2</c:v>
                </c:pt>
                <c:pt idx="42">
                  <c:v>36.543999999999997</c:v>
                </c:pt>
                <c:pt idx="43">
                  <c:v>56.3</c:v>
                </c:pt>
                <c:pt idx="44">
                  <c:v>32.299300000000002</c:v>
                </c:pt>
                <c:pt idx="45">
                  <c:v>21.9</c:v>
                </c:pt>
                <c:pt idx="46">
                  <c:v>32.200000000000003</c:v>
                </c:pt>
                <c:pt idx="47">
                  <c:v>52.2</c:v>
                </c:pt>
                <c:pt idx="48">
                  <c:v>23.066700000000001</c:v>
                </c:pt>
                <c:pt idx="49">
                  <c:v>31.363900000000001</c:v>
                </c:pt>
                <c:pt idx="50">
                  <c:v>21.473400000000002</c:v>
                </c:pt>
                <c:pt idx="51">
                  <c:v>49.1</c:v>
                </c:pt>
                <c:pt idx="52">
                  <c:v>26.767800000000001</c:v>
                </c:pt>
                <c:pt idx="53">
                  <c:v>40.5</c:v>
                </c:pt>
                <c:pt idx="54">
                  <c:v>44.515900000000002</c:v>
                </c:pt>
                <c:pt idx="55">
                  <c:v>28.716000000000001</c:v>
                </c:pt>
                <c:pt idx="56">
                  <c:v>22.925799999999999</c:v>
                </c:pt>
                <c:pt idx="57">
                  <c:v>30.049299999999999</c:v>
                </c:pt>
                <c:pt idx="58">
                  <c:v>41.5</c:v>
                </c:pt>
                <c:pt idx="59">
                  <c:v>32.857900000000001</c:v>
                </c:pt>
                <c:pt idx="60">
                  <c:v>40</c:v>
                </c:pt>
                <c:pt idx="61">
                  <c:v>36.7669</c:v>
                </c:pt>
                <c:pt idx="62">
                  <c:v>36.799999999999997</c:v>
                </c:pt>
                <c:pt idx="63">
                  <c:v>28.1</c:v>
                </c:pt>
                <c:pt idx="64">
                  <c:v>40.5</c:v>
                </c:pt>
                <c:pt idx="65">
                  <c:v>35.722200000000001</c:v>
                </c:pt>
                <c:pt idx="66">
                  <c:v>21.7</c:v>
                </c:pt>
                <c:pt idx="67">
                  <c:v>43.7</c:v>
                </c:pt>
                <c:pt idx="68">
                  <c:v>36.655700000000003</c:v>
                </c:pt>
                <c:pt idx="69">
                  <c:v>59.536099999999998</c:v>
                </c:pt>
                <c:pt idx="70">
                  <c:v>34.861699999999999</c:v>
                </c:pt>
                <c:pt idx="71">
                  <c:v>38.700000000000003</c:v>
                </c:pt>
                <c:pt idx="72">
                  <c:v>32.857900000000001</c:v>
                </c:pt>
                <c:pt idx="73">
                  <c:v>24.6</c:v>
                </c:pt>
                <c:pt idx="74">
                  <c:v>43.297899999999998</c:v>
                </c:pt>
                <c:pt idx="75">
                  <c:v>47.2</c:v>
                </c:pt>
                <c:pt idx="76">
                  <c:v>42</c:v>
                </c:pt>
                <c:pt idx="77">
                  <c:v>19.5139</c:v>
                </c:pt>
                <c:pt idx="78">
                  <c:v>27.730699999999999</c:v>
                </c:pt>
                <c:pt idx="79">
                  <c:v>34</c:v>
                </c:pt>
                <c:pt idx="80">
                  <c:v>34.749400000000001</c:v>
                </c:pt>
                <c:pt idx="81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44-405A-89E4-8AC57BE8ECAD}"/>
            </c:ext>
          </c:extLst>
        </c:ser>
        <c:ser>
          <c:idx val="1"/>
          <c:order val="1"/>
          <c:tx>
            <c:v>Predicted S2_Y</c:v>
          </c:tx>
          <c:spPr>
            <a:ln w="19050">
              <a:noFill/>
            </a:ln>
          </c:spPr>
          <c:xVal>
            <c:numRef>
              <c:f>'Q.7-8_S2'!$A$2:$A$83</c:f>
              <c:numCache>
                <c:formatCode>0.00</c:formatCode>
                <c:ptCount val="82"/>
                <c:pt idx="0">
                  <c:v>3.5</c:v>
                </c:pt>
                <c:pt idx="1">
                  <c:v>2.5</c:v>
                </c:pt>
                <c:pt idx="2">
                  <c:v>1.4</c:v>
                </c:pt>
                <c:pt idx="3">
                  <c:v>3.5</c:v>
                </c:pt>
                <c:pt idx="4">
                  <c:v>3</c:v>
                </c:pt>
                <c:pt idx="5">
                  <c:v>2.5</c:v>
                </c:pt>
                <c:pt idx="6">
                  <c:v>1.5</c:v>
                </c:pt>
                <c:pt idx="7">
                  <c:v>3</c:v>
                </c:pt>
                <c:pt idx="8">
                  <c:v>1.6</c:v>
                </c:pt>
                <c:pt idx="9">
                  <c:v>4.4000000000000004</c:v>
                </c:pt>
                <c:pt idx="10">
                  <c:v>5</c:v>
                </c:pt>
                <c:pt idx="11">
                  <c:v>6.2</c:v>
                </c:pt>
                <c:pt idx="12">
                  <c:v>3</c:v>
                </c:pt>
                <c:pt idx="13">
                  <c:v>4.5999999999999996</c:v>
                </c:pt>
                <c:pt idx="14">
                  <c:v>4</c:v>
                </c:pt>
                <c:pt idx="15">
                  <c:v>6</c:v>
                </c:pt>
                <c:pt idx="16">
                  <c:v>2.4</c:v>
                </c:pt>
                <c:pt idx="17">
                  <c:v>5.7</c:v>
                </c:pt>
                <c:pt idx="18">
                  <c:v>1.5</c:v>
                </c:pt>
                <c:pt idx="19">
                  <c:v>2</c:v>
                </c:pt>
                <c:pt idx="20">
                  <c:v>3</c:v>
                </c:pt>
                <c:pt idx="21">
                  <c:v>4.7</c:v>
                </c:pt>
                <c:pt idx="22">
                  <c:v>6</c:v>
                </c:pt>
                <c:pt idx="23">
                  <c:v>6</c:v>
                </c:pt>
                <c:pt idx="24">
                  <c:v>5.4</c:v>
                </c:pt>
                <c:pt idx="25">
                  <c:v>2.5</c:v>
                </c:pt>
                <c:pt idx="26">
                  <c:v>2.5</c:v>
                </c:pt>
                <c:pt idx="27">
                  <c:v>4.4000000000000004</c:v>
                </c:pt>
                <c:pt idx="28">
                  <c:v>1.8</c:v>
                </c:pt>
                <c:pt idx="29">
                  <c:v>5.7</c:v>
                </c:pt>
                <c:pt idx="30">
                  <c:v>1.6</c:v>
                </c:pt>
                <c:pt idx="31">
                  <c:v>3.6</c:v>
                </c:pt>
                <c:pt idx="32">
                  <c:v>3</c:v>
                </c:pt>
                <c:pt idx="33">
                  <c:v>2.4</c:v>
                </c:pt>
                <c:pt idx="34">
                  <c:v>2</c:v>
                </c:pt>
                <c:pt idx="35">
                  <c:v>2.4</c:v>
                </c:pt>
                <c:pt idx="36">
                  <c:v>2</c:v>
                </c:pt>
                <c:pt idx="37">
                  <c:v>3.8</c:v>
                </c:pt>
                <c:pt idx="38">
                  <c:v>1.4</c:v>
                </c:pt>
                <c:pt idx="39">
                  <c:v>3.7</c:v>
                </c:pt>
                <c:pt idx="40">
                  <c:v>6</c:v>
                </c:pt>
                <c:pt idx="41">
                  <c:v>2</c:v>
                </c:pt>
                <c:pt idx="42">
                  <c:v>3.6</c:v>
                </c:pt>
                <c:pt idx="43">
                  <c:v>2.4</c:v>
                </c:pt>
                <c:pt idx="44">
                  <c:v>3.6</c:v>
                </c:pt>
                <c:pt idx="45">
                  <c:v>4.5999999999999996</c:v>
                </c:pt>
                <c:pt idx="46">
                  <c:v>3.5</c:v>
                </c:pt>
                <c:pt idx="47">
                  <c:v>1.5</c:v>
                </c:pt>
                <c:pt idx="48">
                  <c:v>5.2</c:v>
                </c:pt>
                <c:pt idx="49">
                  <c:v>3.7</c:v>
                </c:pt>
                <c:pt idx="50">
                  <c:v>6</c:v>
                </c:pt>
                <c:pt idx="51">
                  <c:v>1.8</c:v>
                </c:pt>
                <c:pt idx="52">
                  <c:v>4.2</c:v>
                </c:pt>
                <c:pt idx="53">
                  <c:v>3.6</c:v>
                </c:pt>
                <c:pt idx="54">
                  <c:v>2.5</c:v>
                </c:pt>
                <c:pt idx="55">
                  <c:v>5</c:v>
                </c:pt>
                <c:pt idx="56">
                  <c:v>5.9</c:v>
                </c:pt>
                <c:pt idx="57">
                  <c:v>3.5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3.8</c:v>
                </c:pt>
                <c:pt idx="62">
                  <c:v>2</c:v>
                </c:pt>
                <c:pt idx="63">
                  <c:v>3.7</c:v>
                </c:pt>
                <c:pt idx="64">
                  <c:v>3.6</c:v>
                </c:pt>
                <c:pt idx="65">
                  <c:v>4.2</c:v>
                </c:pt>
                <c:pt idx="66">
                  <c:v>6</c:v>
                </c:pt>
                <c:pt idx="67">
                  <c:v>1.6</c:v>
                </c:pt>
                <c:pt idx="68">
                  <c:v>2.5</c:v>
                </c:pt>
                <c:pt idx="69">
                  <c:v>2</c:v>
                </c:pt>
                <c:pt idx="70">
                  <c:v>3.8</c:v>
                </c:pt>
                <c:pt idx="71">
                  <c:v>2.4</c:v>
                </c:pt>
                <c:pt idx="72">
                  <c:v>3</c:v>
                </c:pt>
                <c:pt idx="73">
                  <c:v>4.7</c:v>
                </c:pt>
                <c:pt idx="74">
                  <c:v>1.6</c:v>
                </c:pt>
                <c:pt idx="75">
                  <c:v>1.8</c:v>
                </c:pt>
                <c:pt idx="76">
                  <c:v>1.6</c:v>
                </c:pt>
                <c:pt idx="77">
                  <c:v>6.2</c:v>
                </c:pt>
                <c:pt idx="78">
                  <c:v>4.4000000000000004</c:v>
                </c:pt>
                <c:pt idx="79">
                  <c:v>3.5</c:v>
                </c:pt>
                <c:pt idx="80">
                  <c:v>3.5</c:v>
                </c:pt>
                <c:pt idx="81">
                  <c:v>4.5999999999999996</c:v>
                </c:pt>
              </c:numCache>
            </c:numRef>
          </c:xVal>
          <c:yVal>
            <c:numRef>
              <c:f>'Q.7-8_S2'!$E$25:$E$106</c:f>
              <c:numCache>
                <c:formatCode>General</c:formatCode>
                <c:ptCount val="82"/>
                <c:pt idx="0">
                  <c:v>35.846205635881446</c:v>
                </c:pt>
                <c:pt idx="1">
                  <c:v>41.944896488113152</c:v>
                </c:pt>
                <c:pt idx="2">
                  <c:v>48.653456425568024</c:v>
                </c:pt>
                <c:pt idx="3">
                  <c:v>35.846205635881446</c:v>
                </c:pt>
                <c:pt idx="4">
                  <c:v>38.895551061997296</c:v>
                </c:pt>
                <c:pt idx="5">
                  <c:v>41.944896488113152</c:v>
                </c:pt>
                <c:pt idx="6">
                  <c:v>48.04358734034485</c:v>
                </c:pt>
                <c:pt idx="7">
                  <c:v>38.895551061997296</c:v>
                </c:pt>
                <c:pt idx="8">
                  <c:v>47.433718255121683</c:v>
                </c:pt>
                <c:pt idx="9">
                  <c:v>30.357383868872915</c:v>
                </c:pt>
                <c:pt idx="10">
                  <c:v>26.698169357533896</c:v>
                </c:pt>
                <c:pt idx="11">
                  <c:v>19.379740334855853</c:v>
                </c:pt>
                <c:pt idx="12">
                  <c:v>38.895551061997296</c:v>
                </c:pt>
                <c:pt idx="13">
                  <c:v>29.137645698426578</c:v>
                </c:pt>
                <c:pt idx="14">
                  <c:v>32.796860209765597</c:v>
                </c:pt>
                <c:pt idx="15">
                  <c:v>20.599478505302194</c:v>
                </c:pt>
                <c:pt idx="16">
                  <c:v>42.554765573336319</c:v>
                </c:pt>
                <c:pt idx="17">
                  <c:v>22.429085760971702</c:v>
                </c:pt>
                <c:pt idx="18">
                  <c:v>48.04358734034485</c:v>
                </c:pt>
                <c:pt idx="19">
                  <c:v>44.994241914229001</c:v>
                </c:pt>
                <c:pt idx="20">
                  <c:v>38.895551061997296</c:v>
                </c:pt>
                <c:pt idx="21">
                  <c:v>28.527776613203404</c:v>
                </c:pt>
                <c:pt idx="22">
                  <c:v>20.599478505302194</c:v>
                </c:pt>
                <c:pt idx="23">
                  <c:v>20.599478505302194</c:v>
                </c:pt>
                <c:pt idx="24">
                  <c:v>24.25869301664121</c:v>
                </c:pt>
                <c:pt idx="25">
                  <c:v>41.944896488113152</c:v>
                </c:pt>
                <c:pt idx="26">
                  <c:v>41.944896488113152</c:v>
                </c:pt>
                <c:pt idx="27">
                  <c:v>30.357383868872915</c:v>
                </c:pt>
                <c:pt idx="28">
                  <c:v>46.213980084675342</c:v>
                </c:pt>
                <c:pt idx="29">
                  <c:v>22.429085760971702</c:v>
                </c:pt>
                <c:pt idx="30">
                  <c:v>47.433718255121683</c:v>
                </c:pt>
                <c:pt idx="31">
                  <c:v>35.23633655065828</c:v>
                </c:pt>
                <c:pt idx="32">
                  <c:v>38.895551061997296</c:v>
                </c:pt>
                <c:pt idx="33">
                  <c:v>42.554765573336319</c:v>
                </c:pt>
                <c:pt idx="34">
                  <c:v>44.994241914229001</c:v>
                </c:pt>
                <c:pt idx="35">
                  <c:v>42.554765573336319</c:v>
                </c:pt>
                <c:pt idx="36">
                  <c:v>44.994241914229001</c:v>
                </c:pt>
                <c:pt idx="37">
                  <c:v>34.016598380211938</c:v>
                </c:pt>
                <c:pt idx="38">
                  <c:v>48.653456425568024</c:v>
                </c:pt>
                <c:pt idx="39">
                  <c:v>34.626467465435105</c:v>
                </c:pt>
                <c:pt idx="40">
                  <c:v>20.599478505302194</c:v>
                </c:pt>
                <c:pt idx="41">
                  <c:v>44.994241914229001</c:v>
                </c:pt>
                <c:pt idx="42">
                  <c:v>35.23633655065828</c:v>
                </c:pt>
                <c:pt idx="43">
                  <c:v>42.554765573336319</c:v>
                </c:pt>
                <c:pt idx="44">
                  <c:v>35.23633655065828</c:v>
                </c:pt>
                <c:pt idx="45">
                  <c:v>29.137645698426578</c:v>
                </c:pt>
                <c:pt idx="46">
                  <c:v>35.846205635881446</c:v>
                </c:pt>
                <c:pt idx="47">
                  <c:v>48.04358734034485</c:v>
                </c:pt>
                <c:pt idx="48">
                  <c:v>25.478431187087555</c:v>
                </c:pt>
                <c:pt idx="49">
                  <c:v>34.626467465435105</c:v>
                </c:pt>
                <c:pt idx="50">
                  <c:v>20.599478505302194</c:v>
                </c:pt>
                <c:pt idx="51">
                  <c:v>46.213980084675342</c:v>
                </c:pt>
                <c:pt idx="52">
                  <c:v>31.577122039319256</c:v>
                </c:pt>
                <c:pt idx="53">
                  <c:v>35.23633655065828</c:v>
                </c:pt>
                <c:pt idx="54">
                  <c:v>41.944896488113152</c:v>
                </c:pt>
                <c:pt idx="55">
                  <c:v>26.698169357533896</c:v>
                </c:pt>
                <c:pt idx="56">
                  <c:v>21.209347590525361</c:v>
                </c:pt>
                <c:pt idx="57">
                  <c:v>35.846205635881446</c:v>
                </c:pt>
                <c:pt idx="58">
                  <c:v>44.994241914229001</c:v>
                </c:pt>
                <c:pt idx="59">
                  <c:v>38.895551061997296</c:v>
                </c:pt>
                <c:pt idx="60">
                  <c:v>44.994241914229001</c:v>
                </c:pt>
                <c:pt idx="61">
                  <c:v>34.016598380211938</c:v>
                </c:pt>
                <c:pt idx="62">
                  <c:v>44.994241914229001</c:v>
                </c:pt>
                <c:pt idx="63">
                  <c:v>34.626467465435105</c:v>
                </c:pt>
                <c:pt idx="64">
                  <c:v>35.23633655065828</c:v>
                </c:pt>
                <c:pt idx="65">
                  <c:v>31.577122039319256</c:v>
                </c:pt>
                <c:pt idx="66">
                  <c:v>20.599478505302194</c:v>
                </c:pt>
                <c:pt idx="67">
                  <c:v>47.433718255121683</c:v>
                </c:pt>
                <c:pt idx="68">
                  <c:v>41.944896488113152</c:v>
                </c:pt>
                <c:pt idx="69">
                  <c:v>44.994241914229001</c:v>
                </c:pt>
                <c:pt idx="70">
                  <c:v>34.016598380211938</c:v>
                </c:pt>
                <c:pt idx="71">
                  <c:v>42.554765573336319</c:v>
                </c:pt>
                <c:pt idx="72">
                  <c:v>38.895551061997296</c:v>
                </c:pt>
                <c:pt idx="73">
                  <c:v>28.527776613203404</c:v>
                </c:pt>
                <c:pt idx="74">
                  <c:v>47.433718255121683</c:v>
                </c:pt>
                <c:pt idx="75">
                  <c:v>46.213980084675342</c:v>
                </c:pt>
                <c:pt idx="76">
                  <c:v>47.433718255121683</c:v>
                </c:pt>
                <c:pt idx="77">
                  <c:v>19.379740334855853</c:v>
                </c:pt>
                <c:pt idx="78">
                  <c:v>30.357383868872915</c:v>
                </c:pt>
                <c:pt idx="79">
                  <c:v>35.846205635881446</c:v>
                </c:pt>
                <c:pt idx="80">
                  <c:v>35.846205635881446</c:v>
                </c:pt>
                <c:pt idx="81">
                  <c:v>29.137645698426578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44-405A-89E4-8AC57BE8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60904"/>
        <c:axId val="664354016"/>
      </c:scatterChart>
      <c:valAx>
        <c:axId val="664360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S2_X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4354016"/>
        <c:crosses val="autoZero"/>
        <c:crossBetween val="midCat"/>
      </c:valAx>
      <c:valAx>
        <c:axId val="6643540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S2_Y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4360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'Q.7-8_S2'!$H$25:$H$106</c:f>
              <c:numCache>
                <c:formatCode>General</c:formatCode>
                <c:ptCount val="82"/>
                <c:pt idx="0">
                  <c:v>0.6097560975609756</c:v>
                </c:pt>
                <c:pt idx="1">
                  <c:v>1.8292682926829267</c:v>
                </c:pt>
                <c:pt idx="2">
                  <c:v>3.0487804878048781</c:v>
                </c:pt>
                <c:pt idx="3">
                  <c:v>4.2682926829268286</c:v>
                </c:pt>
                <c:pt idx="4">
                  <c:v>5.48780487804878</c:v>
                </c:pt>
                <c:pt idx="5">
                  <c:v>6.7073170731707314</c:v>
                </c:pt>
                <c:pt idx="6">
                  <c:v>7.926829268292682</c:v>
                </c:pt>
                <c:pt idx="7">
                  <c:v>9.1463414634146343</c:v>
                </c:pt>
                <c:pt idx="8">
                  <c:v>10.365853658536585</c:v>
                </c:pt>
                <c:pt idx="9">
                  <c:v>11.585365853658535</c:v>
                </c:pt>
                <c:pt idx="10">
                  <c:v>12.804878048780488</c:v>
                </c:pt>
                <c:pt idx="11">
                  <c:v>14.024390243902438</c:v>
                </c:pt>
                <c:pt idx="12">
                  <c:v>15.243902439024389</c:v>
                </c:pt>
                <c:pt idx="13">
                  <c:v>16.463414634146343</c:v>
                </c:pt>
                <c:pt idx="14">
                  <c:v>17.682926829268293</c:v>
                </c:pt>
                <c:pt idx="15">
                  <c:v>18.902439024390244</c:v>
                </c:pt>
                <c:pt idx="16">
                  <c:v>20.121951219512194</c:v>
                </c:pt>
                <c:pt idx="17">
                  <c:v>21.341463414634145</c:v>
                </c:pt>
                <c:pt idx="18">
                  <c:v>22.560975609756095</c:v>
                </c:pt>
                <c:pt idx="19">
                  <c:v>23.780487804878049</c:v>
                </c:pt>
                <c:pt idx="20">
                  <c:v>25</c:v>
                </c:pt>
                <c:pt idx="21">
                  <c:v>26.219512195121951</c:v>
                </c:pt>
                <c:pt idx="22">
                  <c:v>27.439024390243901</c:v>
                </c:pt>
                <c:pt idx="23">
                  <c:v>28.658536585365852</c:v>
                </c:pt>
                <c:pt idx="24">
                  <c:v>29.878048780487802</c:v>
                </c:pt>
                <c:pt idx="25">
                  <c:v>31.097560975609756</c:v>
                </c:pt>
                <c:pt idx="26">
                  <c:v>32.31707317073171</c:v>
                </c:pt>
                <c:pt idx="27">
                  <c:v>33.536585365853661</c:v>
                </c:pt>
                <c:pt idx="28">
                  <c:v>34.756097560975611</c:v>
                </c:pt>
                <c:pt idx="29">
                  <c:v>35.975609756097562</c:v>
                </c:pt>
                <c:pt idx="30">
                  <c:v>37.195121951219512</c:v>
                </c:pt>
                <c:pt idx="31">
                  <c:v>38.414634146341463</c:v>
                </c:pt>
                <c:pt idx="32">
                  <c:v>39.634146341463413</c:v>
                </c:pt>
                <c:pt idx="33">
                  <c:v>40.853658536585364</c:v>
                </c:pt>
                <c:pt idx="34">
                  <c:v>42.073170731707314</c:v>
                </c:pt>
                <c:pt idx="35">
                  <c:v>43.292682926829265</c:v>
                </c:pt>
                <c:pt idx="36">
                  <c:v>44.512195121951216</c:v>
                </c:pt>
                <c:pt idx="37">
                  <c:v>45.731707317073166</c:v>
                </c:pt>
                <c:pt idx="38">
                  <c:v>46.951219512195124</c:v>
                </c:pt>
                <c:pt idx="39">
                  <c:v>48.170731707317074</c:v>
                </c:pt>
                <c:pt idx="40">
                  <c:v>49.390243902439025</c:v>
                </c:pt>
                <c:pt idx="41">
                  <c:v>50.609756097560975</c:v>
                </c:pt>
                <c:pt idx="42">
                  <c:v>51.829268292682926</c:v>
                </c:pt>
                <c:pt idx="43">
                  <c:v>53.048780487804876</c:v>
                </c:pt>
                <c:pt idx="44">
                  <c:v>54.268292682926827</c:v>
                </c:pt>
                <c:pt idx="45">
                  <c:v>55.487804878048777</c:v>
                </c:pt>
                <c:pt idx="46">
                  <c:v>56.707317073170728</c:v>
                </c:pt>
                <c:pt idx="47">
                  <c:v>57.926829268292678</c:v>
                </c:pt>
                <c:pt idx="48">
                  <c:v>59.146341463414629</c:v>
                </c:pt>
                <c:pt idx="49">
                  <c:v>60.365853658536587</c:v>
                </c:pt>
                <c:pt idx="50">
                  <c:v>61.585365853658537</c:v>
                </c:pt>
                <c:pt idx="51">
                  <c:v>62.804878048780488</c:v>
                </c:pt>
                <c:pt idx="52">
                  <c:v>64.024390243902445</c:v>
                </c:pt>
                <c:pt idx="53">
                  <c:v>65.243902439024382</c:v>
                </c:pt>
                <c:pt idx="54">
                  <c:v>66.463414634146346</c:v>
                </c:pt>
                <c:pt idx="55">
                  <c:v>67.682926829268297</c:v>
                </c:pt>
                <c:pt idx="56">
                  <c:v>68.902439024390247</c:v>
                </c:pt>
                <c:pt idx="57">
                  <c:v>70.121951219512198</c:v>
                </c:pt>
                <c:pt idx="58">
                  <c:v>71.341463414634148</c:v>
                </c:pt>
                <c:pt idx="59">
                  <c:v>72.560975609756099</c:v>
                </c:pt>
                <c:pt idx="60">
                  <c:v>73.780487804878049</c:v>
                </c:pt>
                <c:pt idx="61">
                  <c:v>75</c:v>
                </c:pt>
                <c:pt idx="62">
                  <c:v>76.219512195121951</c:v>
                </c:pt>
                <c:pt idx="63">
                  <c:v>77.439024390243901</c:v>
                </c:pt>
                <c:pt idx="64">
                  <c:v>78.658536585365852</c:v>
                </c:pt>
                <c:pt idx="65">
                  <c:v>79.878048780487802</c:v>
                </c:pt>
                <c:pt idx="66">
                  <c:v>81.097560975609753</c:v>
                </c:pt>
                <c:pt idx="67">
                  <c:v>82.317073170731703</c:v>
                </c:pt>
                <c:pt idx="68">
                  <c:v>83.536585365853654</c:v>
                </c:pt>
                <c:pt idx="69">
                  <c:v>84.756097560975604</c:v>
                </c:pt>
                <c:pt idx="70">
                  <c:v>85.975609756097555</c:v>
                </c:pt>
                <c:pt idx="71">
                  <c:v>87.195121951219505</c:v>
                </c:pt>
                <c:pt idx="72">
                  <c:v>88.414634146341456</c:v>
                </c:pt>
                <c:pt idx="73">
                  <c:v>89.634146341463406</c:v>
                </c:pt>
                <c:pt idx="74">
                  <c:v>90.853658536585357</c:v>
                </c:pt>
                <c:pt idx="75">
                  <c:v>92.073170731707322</c:v>
                </c:pt>
                <c:pt idx="76">
                  <c:v>93.292682926829272</c:v>
                </c:pt>
                <c:pt idx="77">
                  <c:v>94.512195121951223</c:v>
                </c:pt>
                <c:pt idx="78">
                  <c:v>95.731707317073173</c:v>
                </c:pt>
                <c:pt idx="79">
                  <c:v>96.951219512195124</c:v>
                </c:pt>
                <c:pt idx="80">
                  <c:v>98.170731707317074</c:v>
                </c:pt>
                <c:pt idx="81">
                  <c:v>99.390243902439025</c:v>
                </c:pt>
              </c:numCache>
            </c:numRef>
          </c:xVal>
          <c:yVal>
            <c:numRef>
              <c:f>'Q.7-8_S2'!$I$25:$I$106</c:f>
              <c:numCache>
                <c:formatCode>General</c:formatCode>
                <c:ptCount val="82"/>
                <c:pt idx="0">
                  <c:v>19.5139</c:v>
                </c:pt>
                <c:pt idx="1">
                  <c:v>21.2</c:v>
                </c:pt>
                <c:pt idx="2">
                  <c:v>21.473400000000002</c:v>
                </c:pt>
                <c:pt idx="3">
                  <c:v>21.473400000000002</c:v>
                </c:pt>
                <c:pt idx="4">
                  <c:v>21.7</c:v>
                </c:pt>
                <c:pt idx="5">
                  <c:v>21.8</c:v>
                </c:pt>
                <c:pt idx="6">
                  <c:v>21.8</c:v>
                </c:pt>
                <c:pt idx="7">
                  <c:v>21.9</c:v>
                </c:pt>
                <c:pt idx="8">
                  <c:v>22.925799999999999</c:v>
                </c:pt>
                <c:pt idx="9">
                  <c:v>23</c:v>
                </c:pt>
                <c:pt idx="10">
                  <c:v>23.066700000000001</c:v>
                </c:pt>
                <c:pt idx="11">
                  <c:v>24.2</c:v>
                </c:pt>
                <c:pt idx="12">
                  <c:v>24.4</c:v>
                </c:pt>
                <c:pt idx="13">
                  <c:v>24.6</c:v>
                </c:pt>
                <c:pt idx="14">
                  <c:v>24.7928</c:v>
                </c:pt>
                <c:pt idx="15">
                  <c:v>25</c:v>
                </c:pt>
                <c:pt idx="16">
                  <c:v>25.6</c:v>
                </c:pt>
                <c:pt idx="17">
                  <c:v>26.767800000000001</c:v>
                </c:pt>
                <c:pt idx="18">
                  <c:v>27.2941</c:v>
                </c:pt>
                <c:pt idx="19">
                  <c:v>27.730699999999999</c:v>
                </c:pt>
                <c:pt idx="20">
                  <c:v>27.9711</c:v>
                </c:pt>
                <c:pt idx="21">
                  <c:v>28.1</c:v>
                </c:pt>
                <c:pt idx="22">
                  <c:v>28.1647</c:v>
                </c:pt>
                <c:pt idx="23">
                  <c:v>28.716000000000001</c:v>
                </c:pt>
                <c:pt idx="24">
                  <c:v>30.049299999999999</c:v>
                </c:pt>
                <c:pt idx="25">
                  <c:v>31.363900000000001</c:v>
                </c:pt>
                <c:pt idx="26">
                  <c:v>32.200000000000003</c:v>
                </c:pt>
                <c:pt idx="27">
                  <c:v>32.299300000000002</c:v>
                </c:pt>
                <c:pt idx="28">
                  <c:v>32.857900000000001</c:v>
                </c:pt>
                <c:pt idx="29">
                  <c:v>32.857900000000001</c:v>
                </c:pt>
                <c:pt idx="30">
                  <c:v>32.857900000000001</c:v>
                </c:pt>
                <c:pt idx="31">
                  <c:v>33.603200000000001</c:v>
                </c:pt>
                <c:pt idx="32">
                  <c:v>33.9</c:v>
                </c:pt>
                <c:pt idx="33">
                  <c:v>34</c:v>
                </c:pt>
                <c:pt idx="34">
                  <c:v>34.5</c:v>
                </c:pt>
                <c:pt idx="35">
                  <c:v>34.749400000000001</c:v>
                </c:pt>
                <c:pt idx="36">
                  <c:v>34.861699999999999</c:v>
                </c:pt>
                <c:pt idx="37">
                  <c:v>34.9</c:v>
                </c:pt>
                <c:pt idx="38">
                  <c:v>35.722200000000001</c:v>
                </c:pt>
                <c:pt idx="39">
                  <c:v>35.799999999999997</c:v>
                </c:pt>
                <c:pt idx="40">
                  <c:v>35.890999999999998</c:v>
                </c:pt>
                <c:pt idx="41">
                  <c:v>35.993099999999998</c:v>
                </c:pt>
                <c:pt idx="42">
                  <c:v>36.473799999999997</c:v>
                </c:pt>
                <c:pt idx="43">
                  <c:v>36.543999999999997</c:v>
                </c:pt>
                <c:pt idx="44">
                  <c:v>36.655700000000003</c:v>
                </c:pt>
                <c:pt idx="45">
                  <c:v>36.7669</c:v>
                </c:pt>
                <c:pt idx="46">
                  <c:v>36.7669</c:v>
                </c:pt>
                <c:pt idx="47">
                  <c:v>36.799999999999997</c:v>
                </c:pt>
                <c:pt idx="48">
                  <c:v>37.299799999999998</c:v>
                </c:pt>
                <c:pt idx="49">
                  <c:v>37.4</c:v>
                </c:pt>
                <c:pt idx="50">
                  <c:v>37.5899</c:v>
                </c:pt>
                <c:pt idx="51">
                  <c:v>37.5899</c:v>
                </c:pt>
                <c:pt idx="52">
                  <c:v>38.700000000000003</c:v>
                </c:pt>
                <c:pt idx="53">
                  <c:v>39.700000000000003</c:v>
                </c:pt>
                <c:pt idx="54">
                  <c:v>40</c:v>
                </c:pt>
                <c:pt idx="55">
                  <c:v>40.5</c:v>
                </c:pt>
                <c:pt idx="56">
                  <c:v>40.5</c:v>
                </c:pt>
                <c:pt idx="57">
                  <c:v>40.807499999999997</c:v>
                </c:pt>
                <c:pt idx="58">
                  <c:v>41.5</c:v>
                </c:pt>
                <c:pt idx="59">
                  <c:v>41.566099999999999</c:v>
                </c:pt>
                <c:pt idx="60">
                  <c:v>42</c:v>
                </c:pt>
                <c:pt idx="61">
                  <c:v>42.488799999999998</c:v>
                </c:pt>
                <c:pt idx="62">
                  <c:v>43.297899999999998</c:v>
                </c:pt>
                <c:pt idx="63">
                  <c:v>43.431899999999999</c:v>
                </c:pt>
                <c:pt idx="64">
                  <c:v>43.7</c:v>
                </c:pt>
                <c:pt idx="65">
                  <c:v>44.515900000000002</c:v>
                </c:pt>
                <c:pt idx="66">
                  <c:v>45.5</c:v>
                </c:pt>
                <c:pt idx="67">
                  <c:v>46.2</c:v>
                </c:pt>
                <c:pt idx="68">
                  <c:v>46.5</c:v>
                </c:pt>
                <c:pt idx="69">
                  <c:v>47.2</c:v>
                </c:pt>
                <c:pt idx="70">
                  <c:v>48.7</c:v>
                </c:pt>
                <c:pt idx="71">
                  <c:v>49.1</c:v>
                </c:pt>
                <c:pt idx="72">
                  <c:v>49.949399999999997</c:v>
                </c:pt>
                <c:pt idx="73">
                  <c:v>50.4</c:v>
                </c:pt>
                <c:pt idx="74">
                  <c:v>51.787599999999998</c:v>
                </c:pt>
                <c:pt idx="75">
                  <c:v>52.2</c:v>
                </c:pt>
                <c:pt idx="76">
                  <c:v>54.05</c:v>
                </c:pt>
                <c:pt idx="77">
                  <c:v>55.644599999999997</c:v>
                </c:pt>
                <c:pt idx="78">
                  <c:v>56.3</c:v>
                </c:pt>
                <c:pt idx="79">
                  <c:v>56.991500000000002</c:v>
                </c:pt>
                <c:pt idx="80">
                  <c:v>59.536099999999998</c:v>
                </c:pt>
                <c:pt idx="81">
                  <c:v>59.9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48-4E10-9E9B-C3227F5FE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59592"/>
        <c:axId val="664360904"/>
      </c:scatterChart>
      <c:valAx>
        <c:axId val="664359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4360904"/>
        <c:crosses val="autoZero"/>
        <c:crossBetween val="midCat"/>
      </c:valAx>
      <c:valAx>
        <c:axId val="6643609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S2_Y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4359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S3_X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'Q.7-8_S3'!$A$2:$A$82</c:f>
              <c:numCache>
                <c:formatCode>0.00</c:formatCode>
                <c:ptCount val="81"/>
                <c:pt idx="0">
                  <c:v>2.5</c:v>
                </c:pt>
                <c:pt idx="1">
                  <c:v>2.8</c:v>
                </c:pt>
                <c:pt idx="2">
                  <c:v>3</c:v>
                </c:pt>
                <c:pt idx="3">
                  <c:v>2</c:v>
                </c:pt>
                <c:pt idx="4">
                  <c:v>4.8</c:v>
                </c:pt>
                <c:pt idx="5">
                  <c:v>4.2</c:v>
                </c:pt>
                <c:pt idx="6">
                  <c:v>4.4000000000000004</c:v>
                </c:pt>
                <c:pt idx="7">
                  <c:v>3.6</c:v>
                </c:pt>
                <c:pt idx="8">
                  <c:v>2.5</c:v>
                </c:pt>
                <c:pt idx="9">
                  <c:v>3.6</c:v>
                </c:pt>
                <c:pt idx="10">
                  <c:v>4.4000000000000004</c:v>
                </c:pt>
                <c:pt idx="11">
                  <c:v>6</c:v>
                </c:pt>
                <c:pt idx="12">
                  <c:v>6.8</c:v>
                </c:pt>
                <c:pt idx="13">
                  <c:v>6.2</c:v>
                </c:pt>
                <c:pt idx="14">
                  <c:v>5.3</c:v>
                </c:pt>
                <c:pt idx="15">
                  <c:v>2</c:v>
                </c:pt>
                <c:pt idx="16">
                  <c:v>6</c:v>
                </c:pt>
                <c:pt idx="17">
                  <c:v>3.6</c:v>
                </c:pt>
                <c:pt idx="18">
                  <c:v>3.7</c:v>
                </c:pt>
                <c:pt idx="19">
                  <c:v>1.6</c:v>
                </c:pt>
                <c:pt idx="20">
                  <c:v>2.5</c:v>
                </c:pt>
                <c:pt idx="21">
                  <c:v>6.2</c:v>
                </c:pt>
                <c:pt idx="22">
                  <c:v>1.8</c:v>
                </c:pt>
                <c:pt idx="23">
                  <c:v>3.7</c:v>
                </c:pt>
                <c:pt idx="24">
                  <c:v>6</c:v>
                </c:pt>
                <c:pt idx="25">
                  <c:v>3.6</c:v>
                </c:pt>
                <c:pt idx="26">
                  <c:v>2.5</c:v>
                </c:pt>
                <c:pt idx="27">
                  <c:v>5.6</c:v>
                </c:pt>
                <c:pt idx="28">
                  <c:v>4.4000000000000004</c:v>
                </c:pt>
                <c:pt idx="29">
                  <c:v>2.4</c:v>
                </c:pt>
                <c:pt idx="30">
                  <c:v>5</c:v>
                </c:pt>
                <c:pt idx="31">
                  <c:v>2</c:v>
                </c:pt>
                <c:pt idx="32">
                  <c:v>2.4</c:v>
                </c:pt>
                <c:pt idx="33">
                  <c:v>5.6</c:v>
                </c:pt>
                <c:pt idx="34">
                  <c:v>3.7</c:v>
                </c:pt>
                <c:pt idx="35">
                  <c:v>1.6</c:v>
                </c:pt>
                <c:pt idx="36">
                  <c:v>1.6</c:v>
                </c:pt>
                <c:pt idx="37">
                  <c:v>3</c:v>
                </c:pt>
                <c:pt idx="38">
                  <c:v>2.2000000000000002</c:v>
                </c:pt>
                <c:pt idx="39">
                  <c:v>3.2</c:v>
                </c:pt>
                <c:pt idx="40">
                  <c:v>2</c:v>
                </c:pt>
                <c:pt idx="41">
                  <c:v>3.5</c:v>
                </c:pt>
                <c:pt idx="42">
                  <c:v>2.5</c:v>
                </c:pt>
                <c:pt idx="43">
                  <c:v>5</c:v>
                </c:pt>
                <c:pt idx="44">
                  <c:v>5</c:v>
                </c:pt>
                <c:pt idx="45">
                  <c:v>5.4</c:v>
                </c:pt>
                <c:pt idx="46">
                  <c:v>2.5</c:v>
                </c:pt>
                <c:pt idx="47">
                  <c:v>3.7</c:v>
                </c:pt>
                <c:pt idx="48">
                  <c:v>2.5</c:v>
                </c:pt>
                <c:pt idx="49">
                  <c:v>2.2999999999999998</c:v>
                </c:pt>
                <c:pt idx="50">
                  <c:v>3.6</c:v>
                </c:pt>
                <c:pt idx="51">
                  <c:v>6</c:v>
                </c:pt>
                <c:pt idx="52">
                  <c:v>6</c:v>
                </c:pt>
                <c:pt idx="53">
                  <c:v>5.3</c:v>
                </c:pt>
                <c:pt idx="54">
                  <c:v>5.5</c:v>
                </c:pt>
                <c:pt idx="55">
                  <c:v>4.8</c:v>
                </c:pt>
                <c:pt idx="56">
                  <c:v>4.4000000000000004</c:v>
                </c:pt>
                <c:pt idx="57">
                  <c:v>2</c:v>
                </c:pt>
                <c:pt idx="58">
                  <c:v>5.7</c:v>
                </c:pt>
                <c:pt idx="59">
                  <c:v>2</c:v>
                </c:pt>
                <c:pt idx="60">
                  <c:v>3</c:v>
                </c:pt>
                <c:pt idx="61">
                  <c:v>6</c:v>
                </c:pt>
                <c:pt idx="62">
                  <c:v>2.4</c:v>
                </c:pt>
                <c:pt idx="63">
                  <c:v>4.7</c:v>
                </c:pt>
                <c:pt idx="64">
                  <c:v>2.4</c:v>
                </c:pt>
                <c:pt idx="65">
                  <c:v>4.5999999999999996</c:v>
                </c:pt>
                <c:pt idx="66">
                  <c:v>4</c:v>
                </c:pt>
                <c:pt idx="67">
                  <c:v>1.6</c:v>
                </c:pt>
                <c:pt idx="68">
                  <c:v>6.4</c:v>
                </c:pt>
                <c:pt idx="69">
                  <c:v>6.8</c:v>
                </c:pt>
                <c:pt idx="70">
                  <c:v>2</c:v>
                </c:pt>
                <c:pt idx="71">
                  <c:v>1.5</c:v>
                </c:pt>
                <c:pt idx="72">
                  <c:v>5.5</c:v>
                </c:pt>
                <c:pt idx="73">
                  <c:v>2.5</c:v>
                </c:pt>
                <c:pt idx="74">
                  <c:v>3.4</c:v>
                </c:pt>
                <c:pt idx="75">
                  <c:v>1.6</c:v>
                </c:pt>
                <c:pt idx="76">
                  <c:v>5</c:v>
                </c:pt>
                <c:pt idx="77">
                  <c:v>1.6</c:v>
                </c:pt>
                <c:pt idx="78">
                  <c:v>3.7</c:v>
                </c:pt>
                <c:pt idx="79">
                  <c:v>5</c:v>
                </c:pt>
                <c:pt idx="80">
                  <c:v>3.7</c:v>
                </c:pt>
              </c:numCache>
            </c:numRef>
          </c:xVal>
          <c:yVal>
            <c:numRef>
              <c:f>'Q.7-8_S3'!$F$25:$F$105</c:f>
              <c:numCache>
                <c:formatCode>General</c:formatCode>
                <c:ptCount val="81"/>
                <c:pt idx="0">
                  <c:v>11.234973963916197</c:v>
                </c:pt>
                <c:pt idx="1">
                  <c:v>-8.5796660684733119</c:v>
                </c:pt>
                <c:pt idx="2">
                  <c:v>1.8105739099336873</c:v>
                </c:pt>
                <c:pt idx="3">
                  <c:v>-1.6406259821012839</c:v>
                </c:pt>
                <c:pt idx="4">
                  <c:v>-6.1772662844033803</c:v>
                </c:pt>
                <c:pt idx="5">
                  <c:v>-7.6469862196243596</c:v>
                </c:pt>
                <c:pt idx="6">
                  <c:v>-1.1199462412173631</c:v>
                </c:pt>
                <c:pt idx="7">
                  <c:v>-0.65910615484533963</c:v>
                </c:pt>
                <c:pt idx="8">
                  <c:v>-8.9981260360838036</c:v>
                </c:pt>
                <c:pt idx="9">
                  <c:v>2.5686938451546624</c:v>
                </c:pt>
                <c:pt idx="10">
                  <c:v>2.0921537587826364</c:v>
                </c:pt>
                <c:pt idx="11">
                  <c:v>-1.407326413961421</c:v>
                </c:pt>
                <c:pt idx="12">
                  <c:v>4.3251334996665491</c:v>
                </c:pt>
                <c:pt idx="13">
                  <c:v>2.1544135644455729</c:v>
                </c:pt>
                <c:pt idx="14">
                  <c:v>2.4983336616141045</c:v>
                </c:pt>
                <c:pt idx="15">
                  <c:v>-3.3959259821012893</c:v>
                </c:pt>
                <c:pt idx="16">
                  <c:v>-1.8358264139614207</c:v>
                </c:pt>
                <c:pt idx="17">
                  <c:v>8.1293845154661426E-2</c:v>
                </c:pt>
                <c:pt idx="18">
                  <c:v>-6.6235861656418358</c:v>
                </c:pt>
                <c:pt idx="19">
                  <c:v>3.0266940610847328</c:v>
                </c:pt>
                <c:pt idx="20">
                  <c:v>-3.7093260360838016</c:v>
                </c:pt>
                <c:pt idx="21">
                  <c:v>4.7544135644455743</c:v>
                </c:pt>
                <c:pt idx="22">
                  <c:v>3.0691340394917219</c:v>
                </c:pt>
                <c:pt idx="23">
                  <c:v>6.9820138343581633</c:v>
                </c:pt>
                <c:pt idx="24">
                  <c:v>-1.3358264139614207</c:v>
                </c:pt>
                <c:pt idx="25">
                  <c:v>-2.01870615484534</c:v>
                </c:pt>
                <c:pt idx="26">
                  <c:v>-3.2280260360838042</c:v>
                </c:pt>
                <c:pt idx="27">
                  <c:v>7.3836936292245916</c:v>
                </c:pt>
                <c:pt idx="28">
                  <c:v>-0.40974624121736625</c:v>
                </c:pt>
                <c:pt idx="29">
                  <c:v>-2.1601460252872968</c:v>
                </c:pt>
                <c:pt idx="30">
                  <c:v>-4.3842263059963891</c:v>
                </c:pt>
                <c:pt idx="31">
                  <c:v>3.3593740178987161</c:v>
                </c:pt>
                <c:pt idx="32">
                  <c:v>-3.5601460252873025</c:v>
                </c:pt>
                <c:pt idx="33">
                  <c:v>9.483693629224593</c:v>
                </c:pt>
                <c:pt idx="34">
                  <c:v>-5.9235861656418365</c:v>
                </c:pt>
                <c:pt idx="35">
                  <c:v>7.7788940610847348</c:v>
                </c:pt>
                <c:pt idx="36">
                  <c:v>0.47889406108473054</c:v>
                </c:pt>
                <c:pt idx="37">
                  <c:v>0.11027390993368158</c:v>
                </c:pt>
                <c:pt idx="38">
                  <c:v>-11.40038600369429</c:v>
                </c:pt>
                <c:pt idx="39">
                  <c:v>-2.3567861116593249</c:v>
                </c:pt>
                <c:pt idx="40">
                  <c:v>-3.4406259821012881</c:v>
                </c:pt>
                <c:pt idx="41">
                  <c:v>-0.51382614404883498</c:v>
                </c:pt>
                <c:pt idx="42">
                  <c:v>-0.25732603608380344</c:v>
                </c:pt>
                <c:pt idx="43">
                  <c:v>-2.089826305996386</c:v>
                </c:pt>
                <c:pt idx="44">
                  <c:v>0.71387369400361322</c:v>
                </c:pt>
                <c:pt idx="45">
                  <c:v>-4.8065463491823976</c:v>
                </c:pt>
                <c:pt idx="46">
                  <c:v>2.8966739639161929</c:v>
                </c:pt>
                <c:pt idx="47">
                  <c:v>-3.059486165641836</c:v>
                </c:pt>
                <c:pt idx="48">
                  <c:v>-3.3272260360838075</c:v>
                </c:pt>
                <c:pt idx="49">
                  <c:v>-6.6552660144907918</c:v>
                </c:pt>
                <c:pt idx="50">
                  <c:v>1.1812938451546628</c:v>
                </c:pt>
                <c:pt idx="51">
                  <c:v>-1.5624264139614183</c:v>
                </c:pt>
                <c:pt idx="52">
                  <c:v>-1.2358264139614192</c:v>
                </c:pt>
                <c:pt idx="53">
                  <c:v>2.4983336616141045</c:v>
                </c:pt>
                <c:pt idx="54">
                  <c:v>6.1885736400210973</c:v>
                </c:pt>
                <c:pt idx="55">
                  <c:v>-6.1772662844033803</c:v>
                </c:pt>
                <c:pt idx="56">
                  <c:v>-3.2270462412173657</c:v>
                </c:pt>
                <c:pt idx="57">
                  <c:v>1.8673740178987117</c:v>
                </c:pt>
                <c:pt idx="58">
                  <c:v>1.078813618428093</c:v>
                </c:pt>
                <c:pt idx="59">
                  <c:v>16.597474017898712</c:v>
                </c:pt>
                <c:pt idx="60">
                  <c:v>9.2105739099336859</c:v>
                </c:pt>
                <c:pt idx="61">
                  <c:v>-1.5624264139614183</c:v>
                </c:pt>
                <c:pt idx="62">
                  <c:v>1.1398539747127003</c:v>
                </c:pt>
                <c:pt idx="63">
                  <c:v>-3.7723862736068767</c:v>
                </c:pt>
                <c:pt idx="64">
                  <c:v>-0.56014602528730251</c:v>
                </c:pt>
                <c:pt idx="65">
                  <c:v>-8.067506262810376</c:v>
                </c:pt>
                <c:pt idx="66">
                  <c:v>-4.4382261980313515</c:v>
                </c:pt>
                <c:pt idx="67">
                  <c:v>-2.0211059389152695</c:v>
                </c:pt>
                <c:pt idx="68">
                  <c:v>8.8945535428525666</c:v>
                </c:pt>
                <c:pt idx="69">
                  <c:v>-0.47486650033344802</c:v>
                </c:pt>
                <c:pt idx="70">
                  <c:v>-1.4416259821012858</c:v>
                </c:pt>
                <c:pt idx="71">
                  <c:v>4.2837740718812327</c:v>
                </c:pt>
                <c:pt idx="72">
                  <c:v>5.0885736400210995</c:v>
                </c:pt>
                <c:pt idx="73">
                  <c:v>2.5389739639161988</c:v>
                </c:pt>
                <c:pt idx="74">
                  <c:v>1.1460538667476712</c:v>
                </c:pt>
                <c:pt idx="75">
                  <c:v>5.4224940610847341</c:v>
                </c:pt>
                <c:pt idx="76">
                  <c:v>-2.0895263059963867</c:v>
                </c:pt>
                <c:pt idx="77">
                  <c:v>9.4289940610847367</c:v>
                </c:pt>
                <c:pt idx="78">
                  <c:v>-1.0235861656418379</c:v>
                </c:pt>
                <c:pt idx="79">
                  <c:v>2.8632736940036132</c:v>
                </c:pt>
                <c:pt idx="80">
                  <c:v>-5.8567861656418359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8-41E7-B5A6-094F405EF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435416"/>
        <c:axId val="665439024"/>
      </c:scatterChart>
      <c:valAx>
        <c:axId val="66543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S3_X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5439024"/>
        <c:crosses val="autoZero"/>
        <c:crossBetween val="midCat"/>
      </c:valAx>
      <c:valAx>
        <c:axId val="665439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35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S3_X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S3_Y</c:v>
          </c:tx>
          <c:spPr>
            <a:ln w="19050">
              <a:noFill/>
            </a:ln>
          </c:spPr>
          <c:xVal>
            <c:numRef>
              <c:f>'Q.7-8_S3'!$A$2:$A$82</c:f>
              <c:numCache>
                <c:formatCode>0.00</c:formatCode>
                <c:ptCount val="81"/>
                <c:pt idx="0">
                  <c:v>2.5</c:v>
                </c:pt>
                <c:pt idx="1">
                  <c:v>2.8</c:v>
                </c:pt>
                <c:pt idx="2">
                  <c:v>3</c:v>
                </c:pt>
                <c:pt idx="3">
                  <c:v>2</c:v>
                </c:pt>
                <c:pt idx="4">
                  <c:v>4.8</c:v>
                </c:pt>
                <c:pt idx="5">
                  <c:v>4.2</c:v>
                </c:pt>
                <c:pt idx="6">
                  <c:v>4.4000000000000004</c:v>
                </c:pt>
                <c:pt idx="7">
                  <c:v>3.6</c:v>
                </c:pt>
                <c:pt idx="8">
                  <c:v>2.5</c:v>
                </c:pt>
                <c:pt idx="9">
                  <c:v>3.6</c:v>
                </c:pt>
                <c:pt idx="10">
                  <c:v>4.4000000000000004</c:v>
                </c:pt>
                <c:pt idx="11">
                  <c:v>6</c:v>
                </c:pt>
                <c:pt idx="12">
                  <c:v>6.8</c:v>
                </c:pt>
                <c:pt idx="13">
                  <c:v>6.2</c:v>
                </c:pt>
                <c:pt idx="14">
                  <c:v>5.3</c:v>
                </c:pt>
                <c:pt idx="15">
                  <c:v>2</c:v>
                </c:pt>
                <c:pt idx="16">
                  <c:v>6</c:v>
                </c:pt>
                <c:pt idx="17">
                  <c:v>3.6</c:v>
                </c:pt>
                <c:pt idx="18">
                  <c:v>3.7</c:v>
                </c:pt>
                <c:pt idx="19">
                  <c:v>1.6</c:v>
                </c:pt>
                <c:pt idx="20">
                  <c:v>2.5</c:v>
                </c:pt>
                <c:pt idx="21">
                  <c:v>6.2</c:v>
                </c:pt>
                <c:pt idx="22">
                  <c:v>1.8</c:v>
                </c:pt>
                <c:pt idx="23">
                  <c:v>3.7</c:v>
                </c:pt>
                <c:pt idx="24">
                  <c:v>6</c:v>
                </c:pt>
                <c:pt idx="25">
                  <c:v>3.6</c:v>
                </c:pt>
                <c:pt idx="26">
                  <c:v>2.5</c:v>
                </c:pt>
                <c:pt idx="27">
                  <c:v>5.6</c:v>
                </c:pt>
                <c:pt idx="28">
                  <c:v>4.4000000000000004</c:v>
                </c:pt>
                <c:pt idx="29">
                  <c:v>2.4</c:v>
                </c:pt>
                <c:pt idx="30">
                  <c:v>5</c:v>
                </c:pt>
                <c:pt idx="31">
                  <c:v>2</c:v>
                </c:pt>
                <c:pt idx="32">
                  <c:v>2.4</c:v>
                </c:pt>
                <c:pt idx="33">
                  <c:v>5.6</c:v>
                </c:pt>
                <c:pt idx="34">
                  <c:v>3.7</c:v>
                </c:pt>
                <c:pt idx="35">
                  <c:v>1.6</c:v>
                </c:pt>
                <c:pt idx="36">
                  <c:v>1.6</c:v>
                </c:pt>
                <c:pt idx="37">
                  <c:v>3</c:v>
                </c:pt>
                <c:pt idx="38">
                  <c:v>2.2000000000000002</c:v>
                </c:pt>
                <c:pt idx="39">
                  <c:v>3.2</c:v>
                </c:pt>
                <c:pt idx="40">
                  <c:v>2</c:v>
                </c:pt>
                <c:pt idx="41">
                  <c:v>3.5</c:v>
                </c:pt>
                <c:pt idx="42">
                  <c:v>2.5</c:v>
                </c:pt>
                <c:pt idx="43">
                  <c:v>5</c:v>
                </c:pt>
                <c:pt idx="44">
                  <c:v>5</c:v>
                </c:pt>
                <c:pt idx="45">
                  <c:v>5.4</c:v>
                </c:pt>
                <c:pt idx="46">
                  <c:v>2.5</c:v>
                </c:pt>
                <c:pt idx="47">
                  <c:v>3.7</c:v>
                </c:pt>
                <c:pt idx="48">
                  <c:v>2.5</c:v>
                </c:pt>
                <c:pt idx="49">
                  <c:v>2.2999999999999998</c:v>
                </c:pt>
                <c:pt idx="50">
                  <c:v>3.6</c:v>
                </c:pt>
                <c:pt idx="51">
                  <c:v>6</c:v>
                </c:pt>
                <c:pt idx="52">
                  <c:v>6</c:v>
                </c:pt>
                <c:pt idx="53">
                  <c:v>5.3</c:v>
                </c:pt>
                <c:pt idx="54">
                  <c:v>5.5</c:v>
                </c:pt>
                <c:pt idx="55">
                  <c:v>4.8</c:v>
                </c:pt>
                <c:pt idx="56">
                  <c:v>4.4000000000000004</c:v>
                </c:pt>
                <c:pt idx="57">
                  <c:v>2</c:v>
                </c:pt>
                <c:pt idx="58">
                  <c:v>5.7</c:v>
                </c:pt>
                <c:pt idx="59">
                  <c:v>2</c:v>
                </c:pt>
                <c:pt idx="60">
                  <c:v>3</c:v>
                </c:pt>
                <c:pt idx="61">
                  <c:v>6</c:v>
                </c:pt>
                <c:pt idx="62">
                  <c:v>2.4</c:v>
                </c:pt>
                <c:pt idx="63">
                  <c:v>4.7</c:v>
                </c:pt>
                <c:pt idx="64">
                  <c:v>2.4</c:v>
                </c:pt>
                <c:pt idx="65">
                  <c:v>4.5999999999999996</c:v>
                </c:pt>
                <c:pt idx="66">
                  <c:v>4</c:v>
                </c:pt>
                <c:pt idx="67">
                  <c:v>1.6</c:v>
                </c:pt>
                <c:pt idx="68">
                  <c:v>6.4</c:v>
                </c:pt>
                <c:pt idx="69">
                  <c:v>6.8</c:v>
                </c:pt>
                <c:pt idx="70">
                  <c:v>2</c:v>
                </c:pt>
                <c:pt idx="71">
                  <c:v>1.5</c:v>
                </c:pt>
                <c:pt idx="72">
                  <c:v>5.5</c:v>
                </c:pt>
                <c:pt idx="73">
                  <c:v>2.5</c:v>
                </c:pt>
                <c:pt idx="74">
                  <c:v>3.4</c:v>
                </c:pt>
                <c:pt idx="75">
                  <c:v>1.6</c:v>
                </c:pt>
                <c:pt idx="76">
                  <c:v>5</c:v>
                </c:pt>
                <c:pt idx="77">
                  <c:v>1.6</c:v>
                </c:pt>
                <c:pt idx="78">
                  <c:v>3.7</c:v>
                </c:pt>
                <c:pt idx="79">
                  <c:v>5</c:v>
                </c:pt>
                <c:pt idx="80">
                  <c:v>3.7</c:v>
                </c:pt>
              </c:numCache>
            </c:numRef>
          </c:xVal>
          <c:yVal>
            <c:numRef>
              <c:f>'Q.7-8_S3'!$B$2:$B$82</c:f>
              <c:numCache>
                <c:formatCode>0.00</c:formatCode>
                <c:ptCount val="81"/>
                <c:pt idx="0">
                  <c:v>51.6</c:v>
                </c:pt>
                <c:pt idx="1">
                  <c:v>30.3</c:v>
                </c:pt>
                <c:pt idx="2">
                  <c:v>39.700000000000003</c:v>
                </c:pt>
                <c:pt idx="3">
                  <c:v>41.2</c:v>
                </c:pt>
                <c:pt idx="4">
                  <c:v>22.8</c:v>
                </c:pt>
                <c:pt idx="5">
                  <c:v>24.300999999999998</c:v>
                </c:pt>
                <c:pt idx="6">
                  <c:v>29.837800000000001</c:v>
                </c:pt>
                <c:pt idx="7">
                  <c:v>34.259599999999999</c:v>
                </c:pt>
                <c:pt idx="8">
                  <c:v>31.366900000000001</c:v>
                </c:pt>
                <c:pt idx="9">
                  <c:v>37.487400000000001</c:v>
                </c:pt>
                <c:pt idx="10">
                  <c:v>33.049900000000001</c:v>
                </c:pt>
                <c:pt idx="11">
                  <c:v>21.628499999999999</c:v>
                </c:pt>
                <c:pt idx="12">
                  <c:v>23.4</c:v>
                </c:pt>
                <c:pt idx="13">
                  <c:v>24.2</c:v>
                </c:pt>
                <c:pt idx="14">
                  <c:v>29</c:v>
                </c:pt>
                <c:pt idx="15">
                  <c:v>39.444699999999997</c:v>
                </c:pt>
                <c:pt idx="16">
                  <c:v>21.2</c:v>
                </c:pt>
                <c:pt idx="17">
                  <c:v>35</c:v>
                </c:pt>
                <c:pt idx="18">
                  <c:v>27.8</c:v>
                </c:pt>
                <c:pt idx="19">
                  <c:v>47.847799999999999</c:v>
                </c:pt>
                <c:pt idx="20">
                  <c:v>36.655700000000003</c:v>
                </c:pt>
                <c:pt idx="21">
                  <c:v>26.8</c:v>
                </c:pt>
                <c:pt idx="22">
                  <c:v>46.9</c:v>
                </c:pt>
                <c:pt idx="23">
                  <c:v>41.4056</c:v>
                </c:pt>
                <c:pt idx="24">
                  <c:v>21.7</c:v>
                </c:pt>
                <c:pt idx="25">
                  <c:v>32.9</c:v>
                </c:pt>
                <c:pt idx="26">
                  <c:v>37.137</c:v>
                </c:pt>
                <c:pt idx="27">
                  <c:v>32.4</c:v>
                </c:pt>
                <c:pt idx="28">
                  <c:v>30.547999999999998</c:v>
                </c:pt>
                <c:pt idx="29">
                  <c:v>38.700000000000003</c:v>
                </c:pt>
                <c:pt idx="30">
                  <c:v>23.602799999999998</c:v>
                </c:pt>
                <c:pt idx="31">
                  <c:v>46.2</c:v>
                </c:pt>
                <c:pt idx="32">
                  <c:v>37.299999999999997</c:v>
                </c:pt>
                <c:pt idx="33">
                  <c:v>34.5</c:v>
                </c:pt>
                <c:pt idx="34">
                  <c:v>28.5</c:v>
                </c:pt>
                <c:pt idx="35">
                  <c:v>52.6</c:v>
                </c:pt>
                <c:pt idx="36">
                  <c:v>45.3</c:v>
                </c:pt>
                <c:pt idx="37">
                  <c:v>37.999699999999997</c:v>
                </c:pt>
                <c:pt idx="38">
                  <c:v>30.45</c:v>
                </c:pt>
                <c:pt idx="39">
                  <c:v>34.542400000000001</c:v>
                </c:pt>
                <c:pt idx="40">
                  <c:v>39.4</c:v>
                </c:pt>
                <c:pt idx="41">
                  <c:v>34.9</c:v>
                </c:pt>
                <c:pt idx="42">
                  <c:v>40.107700000000001</c:v>
                </c:pt>
                <c:pt idx="43">
                  <c:v>25.897200000000002</c:v>
                </c:pt>
                <c:pt idx="44">
                  <c:v>28.700900000000001</c:v>
                </c:pt>
                <c:pt idx="45">
                  <c:v>21.2</c:v>
                </c:pt>
                <c:pt idx="46">
                  <c:v>43.261699999999998</c:v>
                </c:pt>
                <c:pt idx="47">
                  <c:v>31.364100000000001</c:v>
                </c:pt>
                <c:pt idx="48">
                  <c:v>37.037799999999997</c:v>
                </c:pt>
                <c:pt idx="49">
                  <c:v>34.700000000000003</c:v>
                </c:pt>
                <c:pt idx="50">
                  <c:v>36.1</c:v>
                </c:pt>
                <c:pt idx="51">
                  <c:v>21.473400000000002</c:v>
                </c:pt>
                <c:pt idx="52">
                  <c:v>21.8</c:v>
                </c:pt>
                <c:pt idx="53">
                  <c:v>29</c:v>
                </c:pt>
                <c:pt idx="54">
                  <c:v>31.7</c:v>
                </c:pt>
                <c:pt idx="55">
                  <c:v>22.8</c:v>
                </c:pt>
                <c:pt idx="56">
                  <c:v>27.730699999999999</c:v>
                </c:pt>
                <c:pt idx="57">
                  <c:v>44.707999999999998</c:v>
                </c:pt>
                <c:pt idx="58">
                  <c:v>25.6</c:v>
                </c:pt>
                <c:pt idx="59">
                  <c:v>59.438099999999999</c:v>
                </c:pt>
                <c:pt idx="60">
                  <c:v>47.1</c:v>
                </c:pt>
                <c:pt idx="61">
                  <c:v>21.473400000000002</c:v>
                </c:pt>
                <c:pt idx="62">
                  <c:v>42</c:v>
                </c:pt>
                <c:pt idx="63">
                  <c:v>25.7</c:v>
                </c:pt>
                <c:pt idx="64">
                  <c:v>40.299999999999997</c:v>
                </c:pt>
                <c:pt idx="65">
                  <c:v>21.9</c:v>
                </c:pt>
                <c:pt idx="66">
                  <c:v>28.5</c:v>
                </c:pt>
                <c:pt idx="67">
                  <c:v>42.8</c:v>
                </c:pt>
                <c:pt idx="68">
                  <c:v>29.9499</c:v>
                </c:pt>
                <c:pt idx="69">
                  <c:v>18.600000000000001</c:v>
                </c:pt>
                <c:pt idx="70">
                  <c:v>41.399000000000001</c:v>
                </c:pt>
                <c:pt idx="71">
                  <c:v>49.6</c:v>
                </c:pt>
                <c:pt idx="72">
                  <c:v>30.6</c:v>
                </c:pt>
                <c:pt idx="73">
                  <c:v>42.904000000000003</c:v>
                </c:pt>
                <c:pt idx="74">
                  <c:v>37.055</c:v>
                </c:pt>
                <c:pt idx="75">
                  <c:v>50.243600000000001</c:v>
                </c:pt>
                <c:pt idx="76">
                  <c:v>25.897500000000001</c:v>
                </c:pt>
                <c:pt idx="77">
                  <c:v>54.250100000000003</c:v>
                </c:pt>
                <c:pt idx="78">
                  <c:v>33.4</c:v>
                </c:pt>
                <c:pt idx="79">
                  <c:v>30.850300000000001</c:v>
                </c:pt>
                <c:pt idx="80">
                  <c:v>28.566800000000001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63-4465-A9F4-7B9027173A1B}"/>
            </c:ext>
          </c:extLst>
        </c:ser>
        <c:ser>
          <c:idx val="1"/>
          <c:order val="1"/>
          <c:tx>
            <c:v>Predicted S3_Y</c:v>
          </c:tx>
          <c:spPr>
            <a:ln w="19050">
              <a:noFill/>
            </a:ln>
          </c:spPr>
          <c:xVal>
            <c:numRef>
              <c:f>'Q.7-8_S3'!$A$2:$A$82</c:f>
              <c:numCache>
                <c:formatCode>0.00</c:formatCode>
                <c:ptCount val="81"/>
                <c:pt idx="0">
                  <c:v>2.5</c:v>
                </c:pt>
                <c:pt idx="1">
                  <c:v>2.8</c:v>
                </c:pt>
                <c:pt idx="2">
                  <c:v>3</c:v>
                </c:pt>
                <c:pt idx="3">
                  <c:v>2</c:v>
                </c:pt>
                <c:pt idx="4">
                  <c:v>4.8</c:v>
                </c:pt>
                <c:pt idx="5">
                  <c:v>4.2</c:v>
                </c:pt>
                <c:pt idx="6">
                  <c:v>4.4000000000000004</c:v>
                </c:pt>
                <c:pt idx="7">
                  <c:v>3.6</c:v>
                </c:pt>
                <c:pt idx="8">
                  <c:v>2.5</c:v>
                </c:pt>
                <c:pt idx="9">
                  <c:v>3.6</c:v>
                </c:pt>
                <c:pt idx="10">
                  <c:v>4.4000000000000004</c:v>
                </c:pt>
                <c:pt idx="11">
                  <c:v>6</c:v>
                </c:pt>
                <c:pt idx="12">
                  <c:v>6.8</c:v>
                </c:pt>
                <c:pt idx="13">
                  <c:v>6.2</c:v>
                </c:pt>
                <c:pt idx="14">
                  <c:v>5.3</c:v>
                </c:pt>
                <c:pt idx="15">
                  <c:v>2</c:v>
                </c:pt>
                <c:pt idx="16">
                  <c:v>6</c:v>
                </c:pt>
                <c:pt idx="17">
                  <c:v>3.6</c:v>
                </c:pt>
                <c:pt idx="18">
                  <c:v>3.7</c:v>
                </c:pt>
                <c:pt idx="19">
                  <c:v>1.6</c:v>
                </c:pt>
                <c:pt idx="20">
                  <c:v>2.5</c:v>
                </c:pt>
                <c:pt idx="21">
                  <c:v>6.2</c:v>
                </c:pt>
                <c:pt idx="22">
                  <c:v>1.8</c:v>
                </c:pt>
                <c:pt idx="23">
                  <c:v>3.7</c:v>
                </c:pt>
                <c:pt idx="24">
                  <c:v>6</c:v>
                </c:pt>
                <c:pt idx="25">
                  <c:v>3.6</c:v>
                </c:pt>
                <c:pt idx="26">
                  <c:v>2.5</c:v>
                </c:pt>
                <c:pt idx="27">
                  <c:v>5.6</c:v>
                </c:pt>
                <c:pt idx="28">
                  <c:v>4.4000000000000004</c:v>
                </c:pt>
                <c:pt idx="29">
                  <c:v>2.4</c:v>
                </c:pt>
                <c:pt idx="30">
                  <c:v>5</c:v>
                </c:pt>
                <c:pt idx="31">
                  <c:v>2</c:v>
                </c:pt>
                <c:pt idx="32">
                  <c:v>2.4</c:v>
                </c:pt>
                <c:pt idx="33">
                  <c:v>5.6</c:v>
                </c:pt>
                <c:pt idx="34">
                  <c:v>3.7</c:v>
                </c:pt>
                <c:pt idx="35">
                  <c:v>1.6</c:v>
                </c:pt>
                <c:pt idx="36">
                  <c:v>1.6</c:v>
                </c:pt>
                <c:pt idx="37">
                  <c:v>3</c:v>
                </c:pt>
                <c:pt idx="38">
                  <c:v>2.2000000000000002</c:v>
                </c:pt>
                <c:pt idx="39">
                  <c:v>3.2</c:v>
                </c:pt>
                <c:pt idx="40">
                  <c:v>2</c:v>
                </c:pt>
                <c:pt idx="41">
                  <c:v>3.5</c:v>
                </c:pt>
                <c:pt idx="42">
                  <c:v>2.5</c:v>
                </c:pt>
                <c:pt idx="43">
                  <c:v>5</c:v>
                </c:pt>
                <c:pt idx="44">
                  <c:v>5</c:v>
                </c:pt>
                <c:pt idx="45">
                  <c:v>5.4</c:v>
                </c:pt>
                <c:pt idx="46">
                  <c:v>2.5</c:v>
                </c:pt>
                <c:pt idx="47">
                  <c:v>3.7</c:v>
                </c:pt>
                <c:pt idx="48">
                  <c:v>2.5</c:v>
                </c:pt>
                <c:pt idx="49">
                  <c:v>2.2999999999999998</c:v>
                </c:pt>
                <c:pt idx="50">
                  <c:v>3.6</c:v>
                </c:pt>
                <c:pt idx="51">
                  <c:v>6</c:v>
                </c:pt>
                <c:pt idx="52">
                  <c:v>6</c:v>
                </c:pt>
                <c:pt idx="53">
                  <c:v>5.3</c:v>
                </c:pt>
                <c:pt idx="54">
                  <c:v>5.5</c:v>
                </c:pt>
                <c:pt idx="55">
                  <c:v>4.8</c:v>
                </c:pt>
                <c:pt idx="56">
                  <c:v>4.4000000000000004</c:v>
                </c:pt>
                <c:pt idx="57">
                  <c:v>2</c:v>
                </c:pt>
                <c:pt idx="58">
                  <c:v>5.7</c:v>
                </c:pt>
                <c:pt idx="59">
                  <c:v>2</c:v>
                </c:pt>
                <c:pt idx="60">
                  <c:v>3</c:v>
                </c:pt>
                <c:pt idx="61">
                  <c:v>6</c:v>
                </c:pt>
                <c:pt idx="62">
                  <c:v>2.4</c:v>
                </c:pt>
                <c:pt idx="63">
                  <c:v>4.7</c:v>
                </c:pt>
                <c:pt idx="64">
                  <c:v>2.4</c:v>
                </c:pt>
                <c:pt idx="65">
                  <c:v>4.5999999999999996</c:v>
                </c:pt>
                <c:pt idx="66">
                  <c:v>4</c:v>
                </c:pt>
                <c:pt idx="67">
                  <c:v>1.6</c:v>
                </c:pt>
                <c:pt idx="68">
                  <c:v>6.4</c:v>
                </c:pt>
                <c:pt idx="69">
                  <c:v>6.8</c:v>
                </c:pt>
                <c:pt idx="70">
                  <c:v>2</c:v>
                </c:pt>
                <c:pt idx="71">
                  <c:v>1.5</c:v>
                </c:pt>
                <c:pt idx="72">
                  <c:v>5.5</c:v>
                </c:pt>
                <c:pt idx="73">
                  <c:v>2.5</c:v>
                </c:pt>
                <c:pt idx="74">
                  <c:v>3.4</c:v>
                </c:pt>
                <c:pt idx="75">
                  <c:v>1.6</c:v>
                </c:pt>
                <c:pt idx="76">
                  <c:v>5</c:v>
                </c:pt>
                <c:pt idx="77">
                  <c:v>1.6</c:v>
                </c:pt>
                <c:pt idx="78">
                  <c:v>3.7</c:v>
                </c:pt>
                <c:pt idx="79">
                  <c:v>5</c:v>
                </c:pt>
                <c:pt idx="80">
                  <c:v>3.7</c:v>
                </c:pt>
              </c:numCache>
            </c:numRef>
          </c:xVal>
          <c:yVal>
            <c:numRef>
              <c:f>'Q.7-8_S3'!$E$25:$E$105</c:f>
              <c:numCache>
                <c:formatCode>General</c:formatCode>
                <c:ptCount val="81"/>
                <c:pt idx="0">
                  <c:v>40.365026036083805</c:v>
                </c:pt>
                <c:pt idx="1">
                  <c:v>38.879666068473313</c:v>
                </c:pt>
                <c:pt idx="2">
                  <c:v>37.889426090066316</c:v>
                </c:pt>
                <c:pt idx="3">
                  <c:v>42.840625982101287</c:v>
                </c:pt>
                <c:pt idx="4">
                  <c:v>28.977266284403381</c:v>
                </c:pt>
                <c:pt idx="5">
                  <c:v>31.947986219624358</c:v>
                </c:pt>
                <c:pt idx="6">
                  <c:v>30.957746241217365</c:v>
                </c:pt>
                <c:pt idx="7">
                  <c:v>34.918706154845339</c:v>
                </c:pt>
                <c:pt idx="8">
                  <c:v>40.365026036083805</c:v>
                </c:pt>
                <c:pt idx="9">
                  <c:v>34.918706154845339</c:v>
                </c:pt>
                <c:pt idx="10">
                  <c:v>30.957746241217365</c:v>
                </c:pt>
                <c:pt idx="11">
                  <c:v>23.03582641396142</c:v>
                </c:pt>
                <c:pt idx="12">
                  <c:v>19.074866500333449</c:v>
                </c:pt>
                <c:pt idx="13">
                  <c:v>22.045586435554426</c:v>
                </c:pt>
                <c:pt idx="14">
                  <c:v>26.501666338385895</c:v>
                </c:pt>
                <c:pt idx="15">
                  <c:v>42.840625982101287</c:v>
                </c:pt>
                <c:pt idx="16">
                  <c:v>23.03582641396142</c:v>
                </c:pt>
                <c:pt idx="17">
                  <c:v>34.918706154845339</c:v>
                </c:pt>
                <c:pt idx="18">
                  <c:v>34.423586165641836</c:v>
                </c:pt>
                <c:pt idx="19">
                  <c:v>44.821105938915267</c:v>
                </c:pt>
                <c:pt idx="20">
                  <c:v>40.365026036083805</c:v>
                </c:pt>
                <c:pt idx="21">
                  <c:v>22.045586435554426</c:v>
                </c:pt>
                <c:pt idx="22">
                  <c:v>43.830865960508277</c:v>
                </c:pt>
                <c:pt idx="23">
                  <c:v>34.423586165641836</c:v>
                </c:pt>
                <c:pt idx="24">
                  <c:v>23.03582641396142</c:v>
                </c:pt>
                <c:pt idx="25">
                  <c:v>34.918706154845339</c:v>
                </c:pt>
                <c:pt idx="26">
                  <c:v>40.365026036083805</c:v>
                </c:pt>
                <c:pt idx="27">
                  <c:v>25.016306370775407</c:v>
                </c:pt>
                <c:pt idx="28">
                  <c:v>30.957746241217365</c:v>
                </c:pt>
                <c:pt idx="29">
                  <c:v>40.8601460252873</c:v>
                </c:pt>
                <c:pt idx="30">
                  <c:v>27.987026305996388</c:v>
                </c:pt>
                <c:pt idx="31">
                  <c:v>42.840625982101287</c:v>
                </c:pt>
                <c:pt idx="32">
                  <c:v>40.8601460252873</c:v>
                </c:pt>
                <c:pt idx="33">
                  <c:v>25.016306370775407</c:v>
                </c:pt>
                <c:pt idx="34">
                  <c:v>34.423586165641836</c:v>
                </c:pt>
                <c:pt idx="35">
                  <c:v>44.821105938915267</c:v>
                </c:pt>
                <c:pt idx="36">
                  <c:v>44.821105938915267</c:v>
                </c:pt>
                <c:pt idx="37">
                  <c:v>37.889426090066316</c:v>
                </c:pt>
                <c:pt idx="38">
                  <c:v>41.85038600369429</c:v>
                </c:pt>
                <c:pt idx="39">
                  <c:v>36.899186111659326</c:v>
                </c:pt>
                <c:pt idx="40">
                  <c:v>42.840625982101287</c:v>
                </c:pt>
                <c:pt idx="41">
                  <c:v>35.413826144048834</c:v>
                </c:pt>
                <c:pt idx="42">
                  <c:v>40.365026036083805</c:v>
                </c:pt>
                <c:pt idx="43">
                  <c:v>27.987026305996388</c:v>
                </c:pt>
                <c:pt idx="44">
                  <c:v>27.987026305996388</c:v>
                </c:pt>
                <c:pt idx="45">
                  <c:v>26.006546349182397</c:v>
                </c:pt>
                <c:pt idx="46">
                  <c:v>40.365026036083805</c:v>
                </c:pt>
                <c:pt idx="47">
                  <c:v>34.423586165641836</c:v>
                </c:pt>
                <c:pt idx="48">
                  <c:v>40.365026036083805</c:v>
                </c:pt>
                <c:pt idx="49">
                  <c:v>41.355266014490795</c:v>
                </c:pt>
                <c:pt idx="50">
                  <c:v>34.918706154845339</c:v>
                </c:pt>
                <c:pt idx="51">
                  <c:v>23.03582641396142</c:v>
                </c:pt>
                <c:pt idx="52">
                  <c:v>23.03582641396142</c:v>
                </c:pt>
                <c:pt idx="53">
                  <c:v>26.501666338385895</c:v>
                </c:pt>
                <c:pt idx="54">
                  <c:v>25.511426359978902</c:v>
                </c:pt>
                <c:pt idx="55">
                  <c:v>28.977266284403381</c:v>
                </c:pt>
                <c:pt idx="56">
                  <c:v>30.957746241217365</c:v>
                </c:pt>
                <c:pt idx="57">
                  <c:v>42.840625982101287</c:v>
                </c:pt>
                <c:pt idx="58">
                  <c:v>24.521186381571908</c:v>
                </c:pt>
                <c:pt idx="59">
                  <c:v>42.840625982101287</c:v>
                </c:pt>
                <c:pt idx="60">
                  <c:v>37.889426090066316</c:v>
                </c:pt>
                <c:pt idx="61">
                  <c:v>23.03582641396142</c:v>
                </c:pt>
                <c:pt idx="62">
                  <c:v>40.8601460252873</c:v>
                </c:pt>
                <c:pt idx="63">
                  <c:v>29.472386273606876</c:v>
                </c:pt>
                <c:pt idx="64">
                  <c:v>40.8601460252873</c:v>
                </c:pt>
                <c:pt idx="65">
                  <c:v>29.967506262810375</c:v>
                </c:pt>
                <c:pt idx="66">
                  <c:v>32.938226198031352</c:v>
                </c:pt>
                <c:pt idx="67">
                  <c:v>44.821105938915267</c:v>
                </c:pt>
                <c:pt idx="68">
                  <c:v>21.055346457147433</c:v>
                </c:pt>
                <c:pt idx="69">
                  <c:v>19.074866500333449</c:v>
                </c:pt>
                <c:pt idx="70">
                  <c:v>42.840625982101287</c:v>
                </c:pt>
                <c:pt idx="71">
                  <c:v>45.316225928118769</c:v>
                </c:pt>
                <c:pt idx="72">
                  <c:v>25.511426359978902</c:v>
                </c:pt>
                <c:pt idx="73">
                  <c:v>40.365026036083805</c:v>
                </c:pt>
                <c:pt idx="74">
                  <c:v>35.908946133252329</c:v>
                </c:pt>
                <c:pt idx="75">
                  <c:v>44.821105938915267</c:v>
                </c:pt>
                <c:pt idx="76">
                  <c:v>27.987026305996388</c:v>
                </c:pt>
                <c:pt idx="77">
                  <c:v>44.821105938915267</c:v>
                </c:pt>
                <c:pt idx="78">
                  <c:v>34.423586165641836</c:v>
                </c:pt>
                <c:pt idx="79">
                  <c:v>27.987026305996388</c:v>
                </c:pt>
                <c:pt idx="80">
                  <c:v>34.423586165641836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63-4465-A9F4-7B9027173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434432"/>
        <c:axId val="665429840"/>
      </c:scatterChart>
      <c:valAx>
        <c:axId val="66543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S3_X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5429840"/>
        <c:crosses val="autoZero"/>
        <c:crossBetween val="midCat"/>
      </c:valAx>
      <c:valAx>
        <c:axId val="665429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S3_Y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5434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'Q.7-8_S3'!$H$25:$H$105</c:f>
              <c:numCache>
                <c:formatCode>General</c:formatCode>
                <c:ptCount val="81"/>
                <c:pt idx="0">
                  <c:v>0.61728395061728392</c:v>
                </c:pt>
                <c:pt idx="1">
                  <c:v>1.8518518518518516</c:v>
                </c:pt>
                <c:pt idx="2">
                  <c:v>3.0864197530864197</c:v>
                </c:pt>
                <c:pt idx="3">
                  <c:v>4.3209876543209873</c:v>
                </c:pt>
                <c:pt idx="4">
                  <c:v>5.5555555555555554</c:v>
                </c:pt>
                <c:pt idx="5">
                  <c:v>6.7901234567901234</c:v>
                </c:pt>
                <c:pt idx="6">
                  <c:v>8.0246913580246897</c:v>
                </c:pt>
                <c:pt idx="7">
                  <c:v>9.2592592592592577</c:v>
                </c:pt>
                <c:pt idx="8">
                  <c:v>10.493827160493826</c:v>
                </c:pt>
                <c:pt idx="9">
                  <c:v>11.728395061728394</c:v>
                </c:pt>
                <c:pt idx="10">
                  <c:v>12.962962962962962</c:v>
                </c:pt>
                <c:pt idx="11">
                  <c:v>14.19753086419753</c:v>
                </c:pt>
                <c:pt idx="12">
                  <c:v>15.432098765432096</c:v>
                </c:pt>
                <c:pt idx="13">
                  <c:v>16.666666666666668</c:v>
                </c:pt>
                <c:pt idx="14">
                  <c:v>17.901234567901234</c:v>
                </c:pt>
                <c:pt idx="15">
                  <c:v>19.135802469135804</c:v>
                </c:pt>
                <c:pt idx="16">
                  <c:v>20.37037037037037</c:v>
                </c:pt>
                <c:pt idx="17">
                  <c:v>21.604938271604937</c:v>
                </c:pt>
                <c:pt idx="18">
                  <c:v>22.839506172839506</c:v>
                </c:pt>
                <c:pt idx="19">
                  <c:v>24.074074074074073</c:v>
                </c:pt>
                <c:pt idx="20">
                  <c:v>25.308641975308642</c:v>
                </c:pt>
                <c:pt idx="21">
                  <c:v>26.543209876543209</c:v>
                </c:pt>
                <c:pt idx="22">
                  <c:v>27.777777777777779</c:v>
                </c:pt>
                <c:pt idx="23">
                  <c:v>29.012345679012345</c:v>
                </c:pt>
                <c:pt idx="24">
                  <c:v>30.246913580246911</c:v>
                </c:pt>
                <c:pt idx="25">
                  <c:v>31.481481481481481</c:v>
                </c:pt>
                <c:pt idx="26">
                  <c:v>32.716049382716051</c:v>
                </c:pt>
                <c:pt idx="27">
                  <c:v>33.950617283950614</c:v>
                </c:pt>
                <c:pt idx="28">
                  <c:v>35.185185185185183</c:v>
                </c:pt>
                <c:pt idx="29">
                  <c:v>36.419753086419753</c:v>
                </c:pt>
                <c:pt idx="30">
                  <c:v>37.654320987654323</c:v>
                </c:pt>
                <c:pt idx="31">
                  <c:v>38.888888888888886</c:v>
                </c:pt>
                <c:pt idx="32">
                  <c:v>40.123456790123456</c:v>
                </c:pt>
                <c:pt idx="33">
                  <c:v>41.358024691358025</c:v>
                </c:pt>
                <c:pt idx="34">
                  <c:v>42.592592592592588</c:v>
                </c:pt>
                <c:pt idx="35">
                  <c:v>43.827160493827158</c:v>
                </c:pt>
                <c:pt idx="36">
                  <c:v>45.061728395061728</c:v>
                </c:pt>
                <c:pt idx="37">
                  <c:v>46.296296296296298</c:v>
                </c:pt>
                <c:pt idx="38">
                  <c:v>47.53086419753086</c:v>
                </c:pt>
                <c:pt idx="39">
                  <c:v>48.76543209876543</c:v>
                </c:pt>
                <c:pt idx="40">
                  <c:v>50</c:v>
                </c:pt>
                <c:pt idx="41">
                  <c:v>51.234567901234563</c:v>
                </c:pt>
                <c:pt idx="42">
                  <c:v>52.469135802469133</c:v>
                </c:pt>
                <c:pt idx="43">
                  <c:v>53.703703703703702</c:v>
                </c:pt>
                <c:pt idx="44">
                  <c:v>54.938271604938272</c:v>
                </c:pt>
                <c:pt idx="45">
                  <c:v>56.172839506172835</c:v>
                </c:pt>
                <c:pt idx="46">
                  <c:v>57.407407407407405</c:v>
                </c:pt>
                <c:pt idx="47">
                  <c:v>58.641975308641975</c:v>
                </c:pt>
                <c:pt idx="48">
                  <c:v>59.876543209876537</c:v>
                </c:pt>
                <c:pt idx="49">
                  <c:v>61.111111111111107</c:v>
                </c:pt>
                <c:pt idx="50">
                  <c:v>62.345679012345677</c:v>
                </c:pt>
                <c:pt idx="51">
                  <c:v>63.580246913580247</c:v>
                </c:pt>
                <c:pt idx="52">
                  <c:v>64.81481481481481</c:v>
                </c:pt>
                <c:pt idx="53">
                  <c:v>66.049382716049379</c:v>
                </c:pt>
                <c:pt idx="54">
                  <c:v>67.283950617283935</c:v>
                </c:pt>
                <c:pt idx="55">
                  <c:v>68.518518518518505</c:v>
                </c:pt>
                <c:pt idx="56">
                  <c:v>69.753086419753075</c:v>
                </c:pt>
                <c:pt idx="57">
                  <c:v>70.987654320987644</c:v>
                </c:pt>
                <c:pt idx="58">
                  <c:v>72.222222222222214</c:v>
                </c:pt>
                <c:pt idx="59">
                  <c:v>73.456790123456784</c:v>
                </c:pt>
                <c:pt idx="60">
                  <c:v>74.691358024691354</c:v>
                </c:pt>
                <c:pt idx="61">
                  <c:v>75.92592592592591</c:v>
                </c:pt>
                <c:pt idx="62">
                  <c:v>77.160493827160479</c:v>
                </c:pt>
                <c:pt idx="63">
                  <c:v>78.395061728395049</c:v>
                </c:pt>
                <c:pt idx="64">
                  <c:v>79.629629629629619</c:v>
                </c:pt>
                <c:pt idx="65">
                  <c:v>80.864197530864189</c:v>
                </c:pt>
                <c:pt idx="66">
                  <c:v>82.098765432098759</c:v>
                </c:pt>
                <c:pt idx="67">
                  <c:v>83.333333333333329</c:v>
                </c:pt>
                <c:pt idx="68">
                  <c:v>84.567901234567884</c:v>
                </c:pt>
                <c:pt idx="69">
                  <c:v>85.802469135802454</c:v>
                </c:pt>
                <c:pt idx="70">
                  <c:v>87.037037037037024</c:v>
                </c:pt>
                <c:pt idx="71">
                  <c:v>88.271604938271594</c:v>
                </c:pt>
                <c:pt idx="72">
                  <c:v>89.506172839506164</c:v>
                </c:pt>
                <c:pt idx="73">
                  <c:v>90.740740740740733</c:v>
                </c:pt>
                <c:pt idx="74">
                  <c:v>91.975308641975303</c:v>
                </c:pt>
                <c:pt idx="75">
                  <c:v>93.209876543209859</c:v>
                </c:pt>
                <c:pt idx="76">
                  <c:v>94.444444444444429</c:v>
                </c:pt>
                <c:pt idx="77">
                  <c:v>95.679012345678998</c:v>
                </c:pt>
                <c:pt idx="78">
                  <c:v>96.913580246913568</c:v>
                </c:pt>
                <c:pt idx="79">
                  <c:v>98.148148148148138</c:v>
                </c:pt>
                <c:pt idx="80">
                  <c:v>99.382716049382708</c:v>
                </c:pt>
              </c:numCache>
            </c:numRef>
          </c:xVal>
          <c:yVal>
            <c:numRef>
              <c:f>'Q.7-8_S3'!$I$25:$I$105</c:f>
              <c:numCache>
                <c:formatCode>General</c:formatCode>
                <c:ptCount val="81"/>
                <c:pt idx="0">
                  <c:v>18.600000000000001</c:v>
                </c:pt>
                <c:pt idx="1">
                  <c:v>21.2</c:v>
                </c:pt>
                <c:pt idx="2">
                  <c:v>21.2</c:v>
                </c:pt>
                <c:pt idx="3">
                  <c:v>21.473400000000002</c:v>
                </c:pt>
                <c:pt idx="4">
                  <c:v>21.473400000000002</c:v>
                </c:pt>
                <c:pt idx="5">
                  <c:v>21.628499999999999</c:v>
                </c:pt>
                <c:pt idx="6">
                  <c:v>21.7</c:v>
                </c:pt>
                <c:pt idx="7">
                  <c:v>21.8</c:v>
                </c:pt>
                <c:pt idx="8">
                  <c:v>21.9</c:v>
                </c:pt>
                <c:pt idx="9">
                  <c:v>22.8</c:v>
                </c:pt>
                <c:pt idx="10">
                  <c:v>22.8</c:v>
                </c:pt>
                <c:pt idx="11">
                  <c:v>23.4</c:v>
                </c:pt>
                <c:pt idx="12">
                  <c:v>23.602799999999998</c:v>
                </c:pt>
                <c:pt idx="13">
                  <c:v>24.2</c:v>
                </c:pt>
                <c:pt idx="14">
                  <c:v>24.300999999999998</c:v>
                </c:pt>
                <c:pt idx="15">
                  <c:v>25.6</c:v>
                </c:pt>
                <c:pt idx="16">
                  <c:v>25.7</c:v>
                </c:pt>
                <c:pt idx="17">
                  <c:v>25.897200000000002</c:v>
                </c:pt>
                <c:pt idx="18">
                  <c:v>25.897500000000001</c:v>
                </c:pt>
                <c:pt idx="19">
                  <c:v>26.8</c:v>
                </c:pt>
                <c:pt idx="20">
                  <c:v>27.730699999999999</c:v>
                </c:pt>
                <c:pt idx="21">
                  <c:v>27.8</c:v>
                </c:pt>
                <c:pt idx="22">
                  <c:v>28.5</c:v>
                </c:pt>
                <c:pt idx="23">
                  <c:v>28.5</c:v>
                </c:pt>
                <c:pt idx="24">
                  <c:v>28.566800000000001</c:v>
                </c:pt>
                <c:pt idx="25">
                  <c:v>28.700900000000001</c:v>
                </c:pt>
                <c:pt idx="26">
                  <c:v>29</c:v>
                </c:pt>
                <c:pt idx="27">
                  <c:v>29</c:v>
                </c:pt>
                <c:pt idx="28">
                  <c:v>29.837800000000001</c:v>
                </c:pt>
                <c:pt idx="29">
                  <c:v>29.9499</c:v>
                </c:pt>
                <c:pt idx="30">
                  <c:v>30.3</c:v>
                </c:pt>
                <c:pt idx="31">
                  <c:v>30.45</c:v>
                </c:pt>
                <c:pt idx="32">
                  <c:v>30.547999999999998</c:v>
                </c:pt>
                <c:pt idx="33">
                  <c:v>30.6</c:v>
                </c:pt>
                <c:pt idx="34">
                  <c:v>30.850300000000001</c:v>
                </c:pt>
                <c:pt idx="35">
                  <c:v>31.364100000000001</c:v>
                </c:pt>
                <c:pt idx="36">
                  <c:v>31.366900000000001</c:v>
                </c:pt>
                <c:pt idx="37">
                  <c:v>31.7</c:v>
                </c:pt>
                <c:pt idx="38">
                  <c:v>32.4</c:v>
                </c:pt>
                <c:pt idx="39">
                  <c:v>32.9</c:v>
                </c:pt>
                <c:pt idx="40">
                  <c:v>33.049900000000001</c:v>
                </c:pt>
                <c:pt idx="41">
                  <c:v>33.4</c:v>
                </c:pt>
                <c:pt idx="42">
                  <c:v>34.259599999999999</c:v>
                </c:pt>
                <c:pt idx="43">
                  <c:v>34.5</c:v>
                </c:pt>
                <c:pt idx="44">
                  <c:v>34.542400000000001</c:v>
                </c:pt>
                <c:pt idx="45">
                  <c:v>34.700000000000003</c:v>
                </c:pt>
                <c:pt idx="46">
                  <c:v>34.9</c:v>
                </c:pt>
                <c:pt idx="47">
                  <c:v>35</c:v>
                </c:pt>
                <c:pt idx="48">
                  <c:v>36.1</c:v>
                </c:pt>
                <c:pt idx="49">
                  <c:v>36.655700000000003</c:v>
                </c:pt>
                <c:pt idx="50">
                  <c:v>37.037799999999997</c:v>
                </c:pt>
                <c:pt idx="51">
                  <c:v>37.055</c:v>
                </c:pt>
                <c:pt idx="52">
                  <c:v>37.137</c:v>
                </c:pt>
                <c:pt idx="53">
                  <c:v>37.299999999999997</c:v>
                </c:pt>
                <c:pt idx="54">
                  <c:v>37.487400000000001</c:v>
                </c:pt>
                <c:pt idx="55">
                  <c:v>37.999699999999997</c:v>
                </c:pt>
                <c:pt idx="56">
                  <c:v>38.700000000000003</c:v>
                </c:pt>
                <c:pt idx="57">
                  <c:v>39.4</c:v>
                </c:pt>
                <c:pt idx="58">
                  <c:v>39.444699999999997</c:v>
                </c:pt>
                <c:pt idx="59">
                  <c:v>39.700000000000003</c:v>
                </c:pt>
                <c:pt idx="60">
                  <c:v>40.107700000000001</c:v>
                </c:pt>
                <c:pt idx="61">
                  <c:v>40.299999999999997</c:v>
                </c:pt>
                <c:pt idx="62">
                  <c:v>41.2</c:v>
                </c:pt>
                <c:pt idx="63">
                  <c:v>41.399000000000001</c:v>
                </c:pt>
                <c:pt idx="64">
                  <c:v>41.4056</c:v>
                </c:pt>
                <c:pt idx="65">
                  <c:v>42</c:v>
                </c:pt>
                <c:pt idx="66">
                  <c:v>42.8</c:v>
                </c:pt>
                <c:pt idx="67">
                  <c:v>42.904000000000003</c:v>
                </c:pt>
                <c:pt idx="68">
                  <c:v>43.261699999999998</c:v>
                </c:pt>
                <c:pt idx="69">
                  <c:v>44.707999999999998</c:v>
                </c:pt>
                <c:pt idx="70">
                  <c:v>45.3</c:v>
                </c:pt>
                <c:pt idx="71">
                  <c:v>46.2</c:v>
                </c:pt>
                <c:pt idx="72">
                  <c:v>46.9</c:v>
                </c:pt>
                <c:pt idx="73">
                  <c:v>47.1</c:v>
                </c:pt>
                <c:pt idx="74">
                  <c:v>47.847799999999999</c:v>
                </c:pt>
                <c:pt idx="75">
                  <c:v>49.6</c:v>
                </c:pt>
                <c:pt idx="76">
                  <c:v>50.243600000000001</c:v>
                </c:pt>
                <c:pt idx="77">
                  <c:v>51.6</c:v>
                </c:pt>
                <c:pt idx="78">
                  <c:v>52.6</c:v>
                </c:pt>
                <c:pt idx="79">
                  <c:v>54.250100000000003</c:v>
                </c:pt>
                <c:pt idx="80">
                  <c:v>59.438099999999999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36-48E4-A960-B449DFAF3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594472"/>
        <c:axId val="665592504"/>
      </c:scatterChart>
      <c:valAx>
        <c:axId val="665594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592504"/>
        <c:crosses val="autoZero"/>
        <c:crossBetween val="midCat"/>
      </c:valAx>
      <c:valAx>
        <c:axId val="665592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S3_Y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594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1</xdr:row>
          <xdr:rowOff>47625</xdr:rowOff>
        </xdr:from>
        <xdr:to>
          <xdr:col>13</xdr:col>
          <xdr:colOff>295275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</xdr:row>
          <xdr:rowOff>38100</xdr:rowOff>
        </xdr:from>
        <xdr:to>
          <xdr:col>16</xdr:col>
          <xdr:colOff>371475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Values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180975</xdr:rowOff>
    </xdr:from>
    <xdr:to>
      <xdr:col>20</xdr:col>
      <xdr:colOff>400050</xdr:colOff>
      <xdr:row>31</xdr:row>
      <xdr:rowOff>94010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9524</xdr:colOff>
      <xdr:row>0</xdr:row>
      <xdr:rowOff>28574</xdr:rowOff>
    </xdr:from>
    <xdr:to>
      <xdr:col>20</xdr:col>
      <xdr:colOff>438055</xdr:colOff>
      <xdr:row>14</xdr:row>
      <xdr:rowOff>114299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9524</xdr:colOff>
      <xdr:row>32</xdr:row>
      <xdr:rowOff>171450</xdr:rowOff>
    </xdr:from>
    <xdr:to>
      <xdr:col>20</xdr:col>
      <xdr:colOff>375885</xdr:colOff>
      <xdr:row>47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838199</xdr:colOff>
      <xdr:row>35</xdr:row>
      <xdr:rowOff>180975</xdr:rowOff>
    </xdr:from>
    <xdr:to>
      <xdr:col>21</xdr:col>
      <xdr:colOff>9008</xdr:colOff>
      <xdr:row>51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9524</xdr:colOff>
      <xdr:row>0</xdr:row>
      <xdr:rowOff>76200</xdr:rowOff>
    </xdr:from>
    <xdr:to>
      <xdr:col>20</xdr:col>
      <xdr:colOff>601017</xdr:colOff>
      <xdr:row>15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19049</xdr:colOff>
      <xdr:row>18</xdr:row>
      <xdr:rowOff>19050</xdr:rowOff>
    </xdr:from>
    <xdr:to>
      <xdr:col>21</xdr:col>
      <xdr:colOff>10040</xdr:colOff>
      <xdr:row>33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37</xdr:row>
      <xdr:rowOff>14288</xdr:rowOff>
    </xdr:from>
    <xdr:to>
      <xdr:col>22</xdr:col>
      <xdr:colOff>12527</xdr:colOff>
      <xdr:row>54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0</xdr:row>
      <xdr:rowOff>19050</xdr:rowOff>
    </xdr:from>
    <xdr:to>
      <xdr:col>22</xdr:col>
      <xdr:colOff>9525</xdr:colOff>
      <xdr:row>16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847724</xdr:colOff>
      <xdr:row>18</xdr:row>
      <xdr:rowOff>61913</xdr:rowOff>
    </xdr:from>
    <xdr:to>
      <xdr:col>21</xdr:col>
      <xdr:colOff>581024</xdr:colOff>
      <xdr:row>35</xdr:row>
      <xdr:rowOff>21407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yFE2010_v5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.1 &amp; 4"/>
      <sheetName val="Q.2, 3, 5"/>
      <sheetName val="Q.6 Rand()"/>
      <sheetName val="Q.6a Model 1"/>
      <sheetName val="Q.6a Model 2"/>
      <sheetName val="Q.6a Model 3"/>
      <sheetName val="Q.6b-e CrossVal"/>
      <sheetName val="Q.6f"/>
      <sheetName val="Unique X"/>
      <sheetName val="TOC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Y3">
            <v>-4.2156046482739882</v>
          </cell>
          <cell r="Z3">
            <v>49.692469240187599</v>
          </cell>
        </row>
        <row r="4">
          <cell r="Y4">
            <v>-4.9417187089717549</v>
          </cell>
          <cell r="Z4">
            <v>51.975304449011269</v>
          </cell>
        </row>
        <row r="6">
          <cell r="Y6">
            <v>-4.5124073186338576</v>
          </cell>
          <cell r="Z6">
            <v>50.334136237805865</v>
          </cell>
        </row>
        <row r="19">
          <cell r="Y19">
            <v>10.324132821722854</v>
          </cell>
          <cell r="Z19">
            <v>0.56287332776336219</v>
          </cell>
        </row>
        <row r="20">
          <cell r="Y20">
            <v>10.200307623028547</v>
          </cell>
          <cell r="Z20">
            <v>0.77013052902427981</v>
          </cell>
        </row>
        <row r="21">
          <cell r="Y21">
            <v>10.626588289684642</v>
          </cell>
          <cell r="Z21">
            <v>0.68202231525796697</v>
          </cell>
        </row>
        <row r="22">
          <cell r="Y22">
            <v>10.907951859765051</v>
          </cell>
          <cell r="Z22">
            <v>0.81611945604801583</v>
          </cell>
        </row>
        <row r="23">
          <cell r="Y23">
            <v>10.246221973749487</v>
          </cell>
          <cell r="Z23">
            <v>0.53000394289818786</v>
          </cell>
        </row>
        <row r="24">
          <cell r="Y24">
            <v>10.510230094923276</v>
          </cell>
          <cell r="Z24">
            <v>0.46296146019414286</v>
          </cell>
        </row>
      </sheetData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7"/>
  <sheetViews>
    <sheetView workbookViewId="0"/>
  </sheetViews>
  <sheetFormatPr defaultRowHeight="15"/>
  <cols>
    <col min="1" max="1" width="8" bestFit="1" customWidth="1"/>
    <col min="2" max="2" width="10.28515625" bestFit="1" customWidth="1"/>
    <col min="3" max="3" width="11.85546875" bestFit="1" customWidth="1"/>
    <col min="4" max="4" width="17.28515625" bestFit="1" customWidth="1"/>
    <col min="5" max="5" width="17.5703125" bestFit="1" customWidth="1"/>
    <col min="6" max="6" width="19.7109375" bestFit="1" customWidth="1"/>
    <col min="7" max="7" width="15.140625" bestFit="1" customWidth="1"/>
    <col min="8" max="8" width="11.85546875" bestFit="1" customWidth="1"/>
    <col min="9" max="9" width="8.7109375" bestFit="1" customWidth="1"/>
    <col min="10" max="10" width="7.5703125" bestFit="1" customWidth="1"/>
  </cols>
  <sheetData>
    <row r="1" spans="1:10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21</v>
      </c>
      <c r="J1" s="1" t="s">
        <v>22</v>
      </c>
    </row>
    <row r="2" spans="1:10">
      <c r="A2" s="1">
        <v>12</v>
      </c>
      <c r="B2" s="1">
        <v>6</v>
      </c>
      <c r="C2" s="1">
        <v>0</v>
      </c>
      <c r="D2" s="1">
        <v>0</v>
      </c>
      <c r="E2" s="1">
        <v>2</v>
      </c>
      <c r="F2" s="1">
        <v>2</v>
      </c>
      <c r="G2" s="1">
        <v>0</v>
      </c>
      <c r="H2" s="1">
        <v>0</v>
      </c>
      <c r="I2" s="1">
        <v>5.9</v>
      </c>
      <c r="J2" s="38">
        <v>22.925799999999999</v>
      </c>
    </row>
    <row r="3" spans="1:10">
      <c r="A3" s="1">
        <v>8</v>
      </c>
      <c r="B3" s="1">
        <v>6</v>
      </c>
      <c r="C3" s="1">
        <v>0</v>
      </c>
      <c r="D3" s="1">
        <v>0</v>
      </c>
      <c r="E3" s="1">
        <v>2</v>
      </c>
      <c r="F3" s="1">
        <v>2</v>
      </c>
      <c r="G3" s="1">
        <v>1</v>
      </c>
      <c r="H3" s="1">
        <v>0</v>
      </c>
      <c r="I3" s="1">
        <v>4.2</v>
      </c>
      <c r="J3" s="38">
        <v>26.767800000000001</v>
      </c>
    </row>
    <row r="4" spans="1:10">
      <c r="A4" s="1">
        <v>8</v>
      </c>
      <c r="B4" s="1">
        <v>6</v>
      </c>
      <c r="C4" s="1">
        <v>0</v>
      </c>
      <c r="D4" s="1">
        <v>0</v>
      </c>
      <c r="E4" s="1">
        <v>2</v>
      </c>
      <c r="F4" s="1">
        <v>2</v>
      </c>
      <c r="G4" s="1">
        <v>1</v>
      </c>
      <c r="H4" s="1">
        <v>0</v>
      </c>
      <c r="I4" s="1">
        <v>4.2</v>
      </c>
      <c r="J4" s="38">
        <v>24.300999999999998</v>
      </c>
    </row>
    <row r="5" spans="1:10">
      <c r="A5" s="1">
        <v>10</v>
      </c>
      <c r="B5" s="1">
        <v>6</v>
      </c>
      <c r="C5" s="1">
        <v>0</v>
      </c>
      <c r="D5" s="1">
        <v>0</v>
      </c>
      <c r="E5" s="1">
        <v>2</v>
      </c>
      <c r="F5" s="1">
        <v>2</v>
      </c>
      <c r="G5" s="1">
        <v>1</v>
      </c>
      <c r="H5" s="1">
        <v>0</v>
      </c>
      <c r="I5" s="1">
        <v>5.2</v>
      </c>
      <c r="J5" s="38">
        <v>24.3325</v>
      </c>
    </row>
    <row r="6" spans="1:10">
      <c r="A6" s="1">
        <v>10</v>
      </c>
      <c r="B6" s="1">
        <v>6</v>
      </c>
      <c r="C6" s="1">
        <v>0</v>
      </c>
      <c r="D6" s="1">
        <v>0</v>
      </c>
      <c r="E6" s="1">
        <v>2</v>
      </c>
      <c r="F6" s="1">
        <v>2</v>
      </c>
      <c r="G6" s="1">
        <v>1</v>
      </c>
      <c r="H6" s="1">
        <v>0</v>
      </c>
      <c r="I6" s="1">
        <v>5.2</v>
      </c>
      <c r="J6" s="38">
        <v>23.066700000000001</v>
      </c>
    </row>
    <row r="7" spans="1:10">
      <c r="A7" s="1">
        <v>6</v>
      </c>
      <c r="B7" s="1">
        <v>7</v>
      </c>
      <c r="C7" s="1">
        <v>1</v>
      </c>
      <c r="D7" s="1">
        <v>0</v>
      </c>
      <c r="E7" s="1">
        <v>2</v>
      </c>
      <c r="F7" s="1">
        <v>2</v>
      </c>
      <c r="G7" s="1">
        <v>1</v>
      </c>
      <c r="H7" s="1">
        <v>0</v>
      </c>
      <c r="I7" s="1">
        <v>3</v>
      </c>
      <c r="J7" s="38">
        <v>32.857900000000001</v>
      </c>
    </row>
    <row r="8" spans="1:10">
      <c r="A8" s="1">
        <v>4</v>
      </c>
      <c r="B8" s="1">
        <v>6</v>
      </c>
      <c r="C8" s="1">
        <v>0</v>
      </c>
      <c r="D8" s="1">
        <v>0</v>
      </c>
      <c r="E8" s="1">
        <v>2</v>
      </c>
      <c r="F8" s="1">
        <v>2</v>
      </c>
      <c r="G8" s="1">
        <v>1</v>
      </c>
      <c r="H8" s="1">
        <v>1</v>
      </c>
      <c r="I8" s="1">
        <v>1.5</v>
      </c>
      <c r="J8" s="38">
        <v>52.2</v>
      </c>
    </row>
    <row r="9" spans="1:10">
      <c r="A9" s="1">
        <v>4</v>
      </c>
      <c r="B9" s="1">
        <v>1</v>
      </c>
      <c r="C9" s="1">
        <v>1</v>
      </c>
      <c r="D9" s="1">
        <v>0</v>
      </c>
      <c r="E9" s="1">
        <v>2</v>
      </c>
      <c r="F9" s="1">
        <v>2</v>
      </c>
      <c r="G9" s="1">
        <v>1</v>
      </c>
      <c r="H9" s="1">
        <v>1</v>
      </c>
      <c r="I9" s="1">
        <v>1.5</v>
      </c>
      <c r="J9" s="38">
        <v>55.644599999999997</v>
      </c>
    </row>
    <row r="10" spans="1:10">
      <c r="A10" s="1">
        <v>8</v>
      </c>
      <c r="B10" s="1">
        <v>7</v>
      </c>
      <c r="C10" s="1">
        <v>1</v>
      </c>
      <c r="D10" s="1">
        <v>0</v>
      </c>
      <c r="E10" s="1">
        <v>2</v>
      </c>
      <c r="F10" s="1">
        <v>2</v>
      </c>
      <c r="G10" s="1">
        <v>1</v>
      </c>
      <c r="H10" s="1">
        <v>0</v>
      </c>
      <c r="I10" s="1">
        <v>6.3</v>
      </c>
      <c r="J10" s="38">
        <v>26</v>
      </c>
    </row>
    <row r="11" spans="1:10">
      <c r="A11" s="1">
        <v>12</v>
      </c>
      <c r="B11" s="1">
        <v>5</v>
      </c>
      <c r="C11" s="1">
        <v>1</v>
      </c>
      <c r="D11" s="1">
        <v>0</v>
      </c>
      <c r="E11" s="1">
        <v>2</v>
      </c>
      <c r="F11" s="1">
        <v>1</v>
      </c>
      <c r="G11" s="1">
        <v>1</v>
      </c>
      <c r="H11" s="1">
        <v>0</v>
      </c>
      <c r="I11" s="1">
        <v>6</v>
      </c>
      <c r="J11" s="38">
        <v>25</v>
      </c>
    </row>
    <row r="12" spans="1:10">
      <c r="A12" s="1">
        <v>8</v>
      </c>
      <c r="B12" s="1">
        <v>7</v>
      </c>
      <c r="C12" s="1">
        <v>0</v>
      </c>
      <c r="D12" s="1">
        <v>0</v>
      </c>
      <c r="E12" s="1">
        <v>2</v>
      </c>
      <c r="F12" s="1">
        <v>2</v>
      </c>
      <c r="G12" s="1">
        <v>1</v>
      </c>
      <c r="H12" s="1">
        <v>0</v>
      </c>
      <c r="I12" s="1">
        <v>6.2</v>
      </c>
      <c r="J12" s="38">
        <v>26.8</v>
      </c>
    </row>
    <row r="13" spans="1:10">
      <c r="A13" s="1">
        <v>6</v>
      </c>
      <c r="B13" s="1">
        <v>6</v>
      </c>
      <c r="C13" s="1">
        <v>0</v>
      </c>
      <c r="D13" s="1">
        <v>0</v>
      </c>
      <c r="E13" s="1">
        <v>2</v>
      </c>
      <c r="F13" s="1">
        <v>2</v>
      </c>
      <c r="G13" s="1">
        <v>1</v>
      </c>
      <c r="H13" s="1">
        <v>1</v>
      </c>
      <c r="I13" s="1">
        <v>3.6</v>
      </c>
      <c r="J13" s="38">
        <v>32.299300000000002</v>
      </c>
    </row>
    <row r="14" spans="1:10">
      <c r="A14" s="1">
        <v>6</v>
      </c>
      <c r="B14" s="1">
        <v>7</v>
      </c>
      <c r="C14" s="1">
        <v>1</v>
      </c>
      <c r="D14" s="1">
        <v>0</v>
      </c>
      <c r="E14" s="1">
        <v>2</v>
      </c>
      <c r="F14" s="1">
        <v>2</v>
      </c>
      <c r="G14" s="1">
        <v>1</v>
      </c>
      <c r="H14" s="1">
        <v>1</v>
      </c>
      <c r="I14" s="1">
        <v>3.8</v>
      </c>
      <c r="J14" s="38">
        <v>36.7669</v>
      </c>
    </row>
    <row r="15" spans="1:10">
      <c r="A15" s="1">
        <v>6</v>
      </c>
      <c r="B15" s="1">
        <v>7</v>
      </c>
      <c r="C15" s="1">
        <v>1</v>
      </c>
      <c r="D15" s="1">
        <v>0</v>
      </c>
      <c r="E15" s="1">
        <v>2</v>
      </c>
      <c r="F15" s="1">
        <v>2</v>
      </c>
      <c r="G15" s="1">
        <v>1</v>
      </c>
      <c r="H15" s="1">
        <v>1</v>
      </c>
      <c r="I15" s="1">
        <v>3.4</v>
      </c>
      <c r="J15" s="38">
        <v>41.347000000000001</v>
      </c>
    </row>
    <row r="16" spans="1:10">
      <c r="A16" s="1">
        <v>6</v>
      </c>
      <c r="B16" s="1">
        <v>6</v>
      </c>
      <c r="C16" s="1">
        <v>0</v>
      </c>
      <c r="D16" s="1">
        <v>0</v>
      </c>
      <c r="E16" s="1">
        <v>2</v>
      </c>
      <c r="F16" s="1">
        <v>2</v>
      </c>
      <c r="G16" s="1">
        <v>1</v>
      </c>
      <c r="H16" s="1">
        <v>1</v>
      </c>
      <c r="I16" s="1">
        <v>3.4</v>
      </c>
      <c r="J16" s="38">
        <v>37.055</v>
      </c>
    </row>
    <row r="17" spans="1:10">
      <c r="A17" s="1">
        <v>8</v>
      </c>
      <c r="B17" s="1">
        <v>6</v>
      </c>
      <c r="C17" s="1">
        <v>1</v>
      </c>
      <c r="D17" s="1">
        <v>0</v>
      </c>
      <c r="E17" s="1">
        <v>2</v>
      </c>
      <c r="F17" s="1">
        <v>2</v>
      </c>
      <c r="G17" s="1">
        <v>1</v>
      </c>
      <c r="H17" s="1">
        <v>1</v>
      </c>
      <c r="I17" s="1">
        <v>5</v>
      </c>
      <c r="J17" s="38">
        <v>30.850300000000001</v>
      </c>
    </row>
    <row r="18" spans="1:10">
      <c r="A18" s="1">
        <v>6</v>
      </c>
      <c r="B18" s="1">
        <v>7</v>
      </c>
      <c r="C18" s="1">
        <v>1</v>
      </c>
      <c r="D18" s="1">
        <v>0</v>
      </c>
      <c r="E18" s="1">
        <v>2</v>
      </c>
      <c r="F18" s="1">
        <v>2</v>
      </c>
      <c r="G18" s="1">
        <v>1</v>
      </c>
      <c r="H18" s="1">
        <v>1</v>
      </c>
      <c r="I18" s="1">
        <v>3.8</v>
      </c>
      <c r="J18" s="38">
        <v>36.7669</v>
      </c>
    </row>
    <row r="19" spans="1:10">
      <c r="A19" s="1">
        <v>6</v>
      </c>
      <c r="B19" s="1">
        <v>6</v>
      </c>
      <c r="C19" s="1">
        <v>0</v>
      </c>
      <c r="D19" s="1">
        <v>0</v>
      </c>
      <c r="E19" s="1">
        <v>2</v>
      </c>
      <c r="F19" s="1">
        <v>2</v>
      </c>
      <c r="G19" s="1">
        <v>1</v>
      </c>
      <c r="H19" s="1">
        <v>1</v>
      </c>
      <c r="I19" s="1">
        <v>3.8</v>
      </c>
      <c r="J19" s="38">
        <v>34.861699999999999</v>
      </c>
    </row>
    <row r="20" spans="1:10">
      <c r="A20" s="1">
        <v>6</v>
      </c>
      <c r="B20" s="1">
        <v>7</v>
      </c>
      <c r="C20" s="1">
        <v>1</v>
      </c>
      <c r="D20" s="1">
        <v>0</v>
      </c>
      <c r="E20" s="1">
        <v>2</v>
      </c>
      <c r="F20" s="1">
        <v>2</v>
      </c>
      <c r="G20" s="1">
        <v>1</v>
      </c>
      <c r="H20" s="1">
        <v>1</v>
      </c>
      <c r="I20" s="1">
        <v>3.8</v>
      </c>
      <c r="J20" s="38">
        <v>37.066600000000001</v>
      </c>
    </row>
    <row r="21" spans="1:10">
      <c r="A21" s="1">
        <v>6</v>
      </c>
      <c r="B21" s="1">
        <v>6</v>
      </c>
      <c r="C21" s="1">
        <v>0</v>
      </c>
      <c r="D21" s="1">
        <v>0</v>
      </c>
      <c r="E21" s="1">
        <v>2</v>
      </c>
      <c r="F21" s="1">
        <v>2</v>
      </c>
      <c r="G21" s="1">
        <v>1</v>
      </c>
      <c r="H21" s="1">
        <v>1</v>
      </c>
      <c r="I21" s="1">
        <v>3.8</v>
      </c>
      <c r="J21" s="38">
        <v>36.027700000000003</v>
      </c>
    </row>
    <row r="22" spans="1:10">
      <c r="A22" s="1">
        <v>12</v>
      </c>
      <c r="B22" s="1">
        <v>6</v>
      </c>
      <c r="C22" s="1">
        <v>0</v>
      </c>
      <c r="D22" s="1">
        <v>0</v>
      </c>
      <c r="E22" s="1">
        <v>2</v>
      </c>
      <c r="F22" s="1">
        <v>2</v>
      </c>
      <c r="G22" s="1">
        <v>1</v>
      </c>
      <c r="H22" s="1">
        <v>0</v>
      </c>
      <c r="I22" s="1">
        <v>6</v>
      </c>
      <c r="J22" s="38">
        <v>24.7</v>
      </c>
    </row>
    <row r="23" spans="1:10">
      <c r="A23" s="1">
        <v>6</v>
      </c>
      <c r="B23" s="1">
        <v>6</v>
      </c>
      <c r="C23" s="1">
        <v>0</v>
      </c>
      <c r="D23" s="1">
        <v>0</v>
      </c>
      <c r="E23" s="1">
        <v>2</v>
      </c>
      <c r="F23" s="1">
        <v>2</v>
      </c>
      <c r="G23" s="1">
        <v>1</v>
      </c>
      <c r="H23" s="1">
        <v>0</v>
      </c>
      <c r="I23" s="1">
        <v>3</v>
      </c>
      <c r="J23" s="38">
        <v>36.473799999999997</v>
      </c>
    </row>
    <row r="24" spans="1:10">
      <c r="A24" s="1">
        <v>6</v>
      </c>
      <c r="B24" s="1">
        <v>7</v>
      </c>
      <c r="C24" s="1">
        <v>1</v>
      </c>
      <c r="D24" s="1">
        <v>0</v>
      </c>
      <c r="E24" s="1">
        <v>2</v>
      </c>
      <c r="F24" s="1">
        <v>2</v>
      </c>
      <c r="G24" s="1">
        <v>1</v>
      </c>
      <c r="H24" s="1">
        <v>0</v>
      </c>
      <c r="I24" s="1">
        <v>3</v>
      </c>
      <c r="J24" s="38">
        <v>32.857900000000001</v>
      </c>
    </row>
    <row r="25" spans="1:10">
      <c r="A25" s="1">
        <v>6</v>
      </c>
      <c r="B25" s="1">
        <v>6</v>
      </c>
      <c r="C25" s="1">
        <v>0</v>
      </c>
      <c r="D25" s="1">
        <v>0</v>
      </c>
      <c r="E25" s="1">
        <v>2</v>
      </c>
      <c r="F25" s="1">
        <v>2</v>
      </c>
      <c r="G25" s="1">
        <v>1</v>
      </c>
      <c r="H25" s="1">
        <v>0</v>
      </c>
      <c r="I25" s="1">
        <v>3</v>
      </c>
      <c r="J25" s="38">
        <v>36.473799999999997</v>
      </c>
    </row>
    <row r="26" spans="1:10">
      <c r="A26" s="1">
        <v>6</v>
      </c>
      <c r="B26" s="1">
        <v>7</v>
      </c>
      <c r="C26" s="1">
        <v>1</v>
      </c>
      <c r="D26" s="1">
        <v>0</v>
      </c>
      <c r="E26" s="1">
        <v>2</v>
      </c>
      <c r="F26" s="1">
        <v>2</v>
      </c>
      <c r="G26" s="1">
        <v>1</v>
      </c>
      <c r="H26" s="1">
        <v>0</v>
      </c>
      <c r="I26" s="1">
        <v>3</v>
      </c>
      <c r="J26" s="38">
        <v>32.857900000000001</v>
      </c>
    </row>
    <row r="27" spans="1:10">
      <c r="A27" s="1">
        <v>4</v>
      </c>
      <c r="B27" s="1">
        <v>6</v>
      </c>
      <c r="C27" s="1">
        <v>1</v>
      </c>
      <c r="D27" s="1">
        <v>1</v>
      </c>
      <c r="E27" s="1">
        <v>2</v>
      </c>
      <c r="F27" s="1">
        <v>2</v>
      </c>
      <c r="G27" s="1">
        <v>1</v>
      </c>
      <c r="H27" s="1">
        <v>0</v>
      </c>
      <c r="I27" s="1">
        <v>1.6</v>
      </c>
      <c r="J27" s="38">
        <v>54.250100000000003</v>
      </c>
    </row>
    <row r="28" spans="1:10">
      <c r="A28" s="1">
        <v>4</v>
      </c>
      <c r="B28" s="1">
        <v>5</v>
      </c>
      <c r="C28" s="1">
        <v>0</v>
      </c>
      <c r="D28" s="1">
        <v>1</v>
      </c>
      <c r="E28" s="1">
        <v>2</v>
      </c>
      <c r="F28" s="1">
        <v>2</v>
      </c>
      <c r="G28" s="1">
        <v>1</v>
      </c>
      <c r="H28" s="1">
        <v>0</v>
      </c>
      <c r="I28" s="1">
        <v>1.6</v>
      </c>
      <c r="J28" s="38">
        <v>52.6</v>
      </c>
    </row>
    <row r="29" spans="1:10">
      <c r="A29" s="1">
        <v>4</v>
      </c>
      <c r="B29" s="1">
        <v>6</v>
      </c>
      <c r="C29" s="1">
        <v>1</v>
      </c>
      <c r="D29" s="1">
        <v>1</v>
      </c>
      <c r="E29" s="1">
        <v>2</v>
      </c>
      <c r="F29" s="1">
        <v>2</v>
      </c>
      <c r="G29" s="1">
        <v>1</v>
      </c>
      <c r="H29" s="1">
        <v>0</v>
      </c>
      <c r="I29" s="1">
        <v>1.6</v>
      </c>
      <c r="J29" s="38">
        <v>56.420400000000001</v>
      </c>
    </row>
    <row r="30" spans="1:10">
      <c r="A30" s="1">
        <v>6</v>
      </c>
      <c r="B30" s="1">
        <v>6</v>
      </c>
      <c r="C30" s="1">
        <v>1</v>
      </c>
      <c r="D30" s="1">
        <v>0</v>
      </c>
      <c r="E30" s="1">
        <v>2</v>
      </c>
      <c r="F30" s="1">
        <v>2</v>
      </c>
      <c r="G30" s="1">
        <v>1</v>
      </c>
      <c r="H30" s="1">
        <v>0</v>
      </c>
      <c r="I30" s="1">
        <v>3.7</v>
      </c>
      <c r="J30" s="38">
        <v>41.4056</v>
      </c>
    </row>
    <row r="31" spans="1:10">
      <c r="A31" s="1">
        <v>6</v>
      </c>
      <c r="B31" s="1">
        <v>7</v>
      </c>
      <c r="C31" s="1">
        <v>1</v>
      </c>
      <c r="D31" s="1">
        <v>0</v>
      </c>
      <c r="E31" s="1">
        <v>2</v>
      </c>
      <c r="F31" s="1">
        <v>2</v>
      </c>
      <c r="G31" s="1">
        <v>1</v>
      </c>
      <c r="H31" s="1">
        <v>1</v>
      </c>
      <c r="I31" s="1">
        <v>3.7</v>
      </c>
      <c r="J31" s="38">
        <v>35.162799999999997</v>
      </c>
    </row>
    <row r="32" spans="1:10">
      <c r="A32" s="1">
        <v>6</v>
      </c>
      <c r="B32" s="1">
        <v>6</v>
      </c>
      <c r="C32" s="1">
        <v>1</v>
      </c>
      <c r="D32" s="1">
        <v>0</v>
      </c>
      <c r="E32" s="1">
        <v>2</v>
      </c>
      <c r="F32" s="1">
        <v>2</v>
      </c>
      <c r="G32" s="1">
        <v>1</v>
      </c>
      <c r="H32" s="1">
        <v>0</v>
      </c>
      <c r="I32" s="1">
        <v>3.5</v>
      </c>
      <c r="J32" s="38">
        <v>34.749400000000001</v>
      </c>
    </row>
    <row r="33" spans="1:10">
      <c r="A33" s="1">
        <v>6</v>
      </c>
      <c r="B33" s="1">
        <v>7</v>
      </c>
      <c r="C33" s="1">
        <v>1</v>
      </c>
      <c r="D33" s="1">
        <v>0</v>
      </c>
      <c r="E33" s="1">
        <v>2</v>
      </c>
      <c r="F33" s="1">
        <v>2</v>
      </c>
      <c r="G33" s="1">
        <v>1</v>
      </c>
      <c r="H33" s="1">
        <v>0</v>
      </c>
      <c r="I33" s="1">
        <v>3.5</v>
      </c>
      <c r="J33" s="38">
        <v>34.9</v>
      </c>
    </row>
    <row r="34" spans="1:10">
      <c r="A34" s="1">
        <v>8</v>
      </c>
      <c r="B34" s="1">
        <v>7</v>
      </c>
      <c r="C34" s="1">
        <v>1</v>
      </c>
      <c r="D34" s="1">
        <v>0</v>
      </c>
      <c r="E34" s="1">
        <v>2</v>
      </c>
      <c r="F34" s="1">
        <v>2</v>
      </c>
      <c r="G34" s="1">
        <v>1</v>
      </c>
      <c r="H34" s="1">
        <v>0</v>
      </c>
      <c r="I34" s="1">
        <v>5.5</v>
      </c>
      <c r="J34" s="38">
        <v>30.6</v>
      </c>
    </row>
    <row r="35" spans="1:10">
      <c r="A35" s="1">
        <v>8</v>
      </c>
      <c r="B35" s="1">
        <v>7</v>
      </c>
      <c r="C35" s="1">
        <v>1</v>
      </c>
      <c r="D35" s="1">
        <v>0</v>
      </c>
      <c r="E35" s="1">
        <v>2</v>
      </c>
      <c r="F35" s="1">
        <v>2</v>
      </c>
      <c r="G35" s="1">
        <v>1</v>
      </c>
      <c r="H35" s="1">
        <v>0</v>
      </c>
      <c r="I35" s="1">
        <v>5.5</v>
      </c>
      <c r="J35" s="38">
        <v>31.7</v>
      </c>
    </row>
    <row r="36" spans="1:10">
      <c r="A36" s="1">
        <v>4</v>
      </c>
      <c r="B36" s="1">
        <v>6</v>
      </c>
      <c r="C36" s="1">
        <v>1</v>
      </c>
      <c r="D36" s="1">
        <v>0</v>
      </c>
      <c r="E36" s="1">
        <v>2</v>
      </c>
      <c r="F36" s="1">
        <v>2</v>
      </c>
      <c r="G36" s="1">
        <v>1</v>
      </c>
      <c r="H36" s="1">
        <v>1</v>
      </c>
      <c r="I36" s="1">
        <v>1.6</v>
      </c>
      <c r="J36" s="38">
        <v>47.847799999999999</v>
      </c>
    </row>
    <row r="37" spans="1:10">
      <c r="A37" s="1">
        <v>4</v>
      </c>
      <c r="B37" s="1">
        <v>6</v>
      </c>
      <c r="C37" s="1">
        <v>0</v>
      </c>
      <c r="D37" s="1">
        <v>0</v>
      </c>
      <c r="E37" s="1">
        <v>2</v>
      </c>
      <c r="F37" s="1">
        <v>2</v>
      </c>
      <c r="G37" s="1">
        <v>1</v>
      </c>
      <c r="H37" s="1">
        <v>1</v>
      </c>
      <c r="I37" s="1">
        <v>1.6</v>
      </c>
      <c r="J37" s="38">
        <v>50.243600000000001</v>
      </c>
    </row>
    <row r="38" spans="1:10">
      <c r="A38" s="1">
        <v>4</v>
      </c>
      <c r="B38" s="1">
        <v>4</v>
      </c>
      <c r="C38" s="1">
        <v>1</v>
      </c>
      <c r="D38" s="1">
        <v>0</v>
      </c>
      <c r="E38" s="1">
        <v>2</v>
      </c>
      <c r="F38" s="1">
        <v>2</v>
      </c>
      <c r="G38" s="1">
        <v>1</v>
      </c>
      <c r="H38" s="1">
        <v>0</v>
      </c>
      <c r="I38" s="1">
        <v>1.8</v>
      </c>
      <c r="J38" s="38">
        <v>47.2</v>
      </c>
    </row>
    <row r="39" spans="1:10">
      <c r="A39" s="1">
        <v>4</v>
      </c>
      <c r="B39" s="1">
        <v>5</v>
      </c>
      <c r="C39" s="1">
        <v>0</v>
      </c>
      <c r="D39" s="1">
        <v>0</v>
      </c>
      <c r="E39" s="1">
        <v>2</v>
      </c>
      <c r="F39" s="1">
        <v>2</v>
      </c>
      <c r="G39" s="1">
        <v>1</v>
      </c>
      <c r="H39" s="1">
        <v>0</v>
      </c>
      <c r="I39" s="1">
        <v>1.8</v>
      </c>
      <c r="J39" s="38">
        <v>46.9</v>
      </c>
    </row>
    <row r="40" spans="1:10">
      <c r="A40" s="1">
        <v>8</v>
      </c>
      <c r="B40" s="1">
        <v>6</v>
      </c>
      <c r="C40" s="1">
        <v>0</v>
      </c>
      <c r="D40" s="1">
        <v>0</v>
      </c>
      <c r="E40" s="1">
        <v>2</v>
      </c>
      <c r="F40" s="1">
        <v>2</v>
      </c>
      <c r="G40" s="1">
        <v>1</v>
      </c>
      <c r="H40" s="1">
        <v>0</v>
      </c>
      <c r="I40" s="1">
        <v>4</v>
      </c>
      <c r="J40" s="38">
        <v>28.4</v>
      </c>
    </row>
    <row r="41" spans="1:10">
      <c r="A41" s="1">
        <v>8</v>
      </c>
      <c r="B41" s="1">
        <v>7</v>
      </c>
      <c r="C41" s="1">
        <v>1</v>
      </c>
      <c r="D41" s="1">
        <v>0</v>
      </c>
      <c r="E41" s="1">
        <v>2</v>
      </c>
      <c r="F41" s="1">
        <v>2</v>
      </c>
      <c r="G41" s="1">
        <v>1</v>
      </c>
      <c r="H41" s="1">
        <v>0</v>
      </c>
      <c r="I41" s="1">
        <v>4</v>
      </c>
      <c r="J41" s="38">
        <v>27.9711</v>
      </c>
    </row>
    <row r="42" spans="1:10">
      <c r="A42" s="1">
        <v>4</v>
      </c>
      <c r="B42" s="1">
        <v>6</v>
      </c>
      <c r="C42" s="1">
        <v>1</v>
      </c>
      <c r="D42" s="1">
        <v>0</v>
      </c>
      <c r="E42" s="1">
        <v>2</v>
      </c>
      <c r="F42" s="1">
        <v>2</v>
      </c>
      <c r="G42" s="1">
        <v>1</v>
      </c>
      <c r="H42" s="1">
        <v>0</v>
      </c>
      <c r="I42" s="1">
        <v>1.4</v>
      </c>
      <c r="J42" s="38">
        <v>50.4</v>
      </c>
    </row>
    <row r="43" spans="1:10">
      <c r="A43" s="1">
        <v>4</v>
      </c>
      <c r="B43" s="1">
        <v>6</v>
      </c>
      <c r="C43" s="1">
        <v>1</v>
      </c>
      <c r="D43" s="1">
        <v>0</v>
      </c>
      <c r="E43" s="1">
        <v>2</v>
      </c>
      <c r="F43" s="1">
        <v>2</v>
      </c>
      <c r="G43" s="1">
        <v>1</v>
      </c>
      <c r="H43" s="1">
        <v>0</v>
      </c>
      <c r="I43" s="1">
        <v>1.4</v>
      </c>
      <c r="J43" s="38">
        <v>54.05</v>
      </c>
    </row>
    <row r="44" spans="1:10">
      <c r="A44" s="1">
        <v>4</v>
      </c>
      <c r="B44" s="1">
        <v>6</v>
      </c>
      <c r="C44" s="1">
        <v>0</v>
      </c>
      <c r="D44" s="1">
        <v>0</v>
      </c>
      <c r="E44" s="1">
        <v>2</v>
      </c>
      <c r="F44" s="1">
        <v>2</v>
      </c>
      <c r="G44" s="1">
        <v>1</v>
      </c>
      <c r="H44" s="1">
        <v>0</v>
      </c>
      <c r="I44" s="1">
        <v>1.4</v>
      </c>
      <c r="J44" s="38">
        <v>59.7</v>
      </c>
    </row>
    <row r="45" spans="1:10">
      <c r="A45" s="1">
        <v>4</v>
      </c>
      <c r="B45" s="1">
        <v>1</v>
      </c>
      <c r="C45" s="1">
        <v>0</v>
      </c>
      <c r="D45" s="1">
        <v>0</v>
      </c>
      <c r="E45" s="1">
        <v>2</v>
      </c>
      <c r="F45" s="1">
        <v>2</v>
      </c>
      <c r="G45" s="1">
        <v>1</v>
      </c>
      <c r="H45" s="1">
        <v>0</v>
      </c>
      <c r="I45" s="1">
        <v>1.4</v>
      </c>
      <c r="J45" s="38">
        <v>52.749600000000001</v>
      </c>
    </row>
    <row r="46" spans="1:10">
      <c r="A46" s="1">
        <v>4</v>
      </c>
      <c r="B46" s="1">
        <v>4</v>
      </c>
      <c r="C46" s="1">
        <v>1</v>
      </c>
      <c r="D46" s="1">
        <v>0</v>
      </c>
      <c r="E46" s="1">
        <v>2</v>
      </c>
      <c r="F46" s="1">
        <v>2</v>
      </c>
      <c r="G46" s="1">
        <v>1</v>
      </c>
      <c r="H46" s="1">
        <v>0</v>
      </c>
      <c r="I46" s="1">
        <v>2</v>
      </c>
      <c r="J46" s="38">
        <v>40</v>
      </c>
    </row>
    <row r="47" spans="1:10">
      <c r="A47" s="1">
        <v>4</v>
      </c>
      <c r="B47" s="1">
        <v>6</v>
      </c>
      <c r="C47" s="1">
        <v>1</v>
      </c>
      <c r="D47" s="1">
        <v>0</v>
      </c>
      <c r="E47" s="1">
        <v>2</v>
      </c>
      <c r="F47" s="1">
        <v>2</v>
      </c>
      <c r="G47" s="1">
        <v>1</v>
      </c>
      <c r="H47" s="1">
        <v>0</v>
      </c>
      <c r="I47" s="1">
        <v>2</v>
      </c>
      <c r="J47" s="38">
        <v>40.9</v>
      </c>
    </row>
    <row r="48" spans="1:10">
      <c r="A48" s="1">
        <v>6</v>
      </c>
      <c r="B48" s="1">
        <v>6</v>
      </c>
      <c r="C48" s="1">
        <v>1</v>
      </c>
      <c r="D48" s="1">
        <v>0</v>
      </c>
      <c r="E48" s="1">
        <v>2</v>
      </c>
      <c r="F48" s="1">
        <v>2</v>
      </c>
      <c r="G48" s="1">
        <v>1</v>
      </c>
      <c r="H48" s="1">
        <v>0</v>
      </c>
      <c r="I48" s="1">
        <v>3.6</v>
      </c>
      <c r="J48" s="38">
        <v>40.5</v>
      </c>
    </row>
    <row r="49" spans="1:10">
      <c r="A49" s="1">
        <v>8</v>
      </c>
      <c r="B49" s="1">
        <v>5</v>
      </c>
      <c r="C49" s="1">
        <v>1</v>
      </c>
      <c r="D49" s="1">
        <v>0</v>
      </c>
      <c r="E49" s="1">
        <v>1</v>
      </c>
      <c r="F49" s="1">
        <v>1</v>
      </c>
      <c r="G49" s="1">
        <v>1</v>
      </c>
      <c r="H49" s="1">
        <v>0</v>
      </c>
      <c r="I49" s="1">
        <v>6.4</v>
      </c>
      <c r="J49" s="38">
        <v>29.9499</v>
      </c>
    </row>
    <row r="50" spans="1:10">
      <c r="A50" s="1">
        <v>8</v>
      </c>
      <c r="B50" s="1">
        <v>6</v>
      </c>
      <c r="C50" s="1">
        <v>1</v>
      </c>
      <c r="D50" s="1">
        <v>0</v>
      </c>
      <c r="E50" s="1">
        <v>1</v>
      </c>
      <c r="F50" s="1">
        <v>1</v>
      </c>
      <c r="G50" s="1">
        <v>1</v>
      </c>
      <c r="H50" s="1">
        <v>0</v>
      </c>
      <c r="I50" s="1">
        <v>6.4</v>
      </c>
      <c r="J50" s="38">
        <v>31.4</v>
      </c>
    </row>
    <row r="51" spans="1:10">
      <c r="A51" s="1">
        <v>4</v>
      </c>
      <c r="B51" s="1">
        <v>1</v>
      </c>
      <c r="C51" s="1">
        <v>0</v>
      </c>
      <c r="D51" s="1">
        <v>0</v>
      </c>
      <c r="E51" s="1">
        <v>2</v>
      </c>
      <c r="F51" s="1">
        <v>2</v>
      </c>
      <c r="G51" s="1">
        <v>1</v>
      </c>
      <c r="H51" s="1">
        <v>0</v>
      </c>
      <c r="I51" s="1">
        <v>1.8</v>
      </c>
      <c r="J51" s="38">
        <v>56.991500000000002</v>
      </c>
    </row>
    <row r="52" spans="1:10">
      <c r="A52" s="1">
        <v>4</v>
      </c>
      <c r="B52" s="1">
        <v>4</v>
      </c>
      <c r="C52" s="1">
        <v>1</v>
      </c>
      <c r="D52" s="1">
        <v>0</v>
      </c>
      <c r="E52" s="1">
        <v>2</v>
      </c>
      <c r="F52" s="1">
        <v>2</v>
      </c>
      <c r="G52" s="1">
        <v>1</v>
      </c>
      <c r="H52" s="1">
        <v>0</v>
      </c>
      <c r="I52" s="1">
        <v>1.5</v>
      </c>
      <c r="J52" s="38">
        <v>46.5</v>
      </c>
    </row>
    <row r="53" spans="1:10">
      <c r="A53" s="1">
        <v>4</v>
      </c>
      <c r="B53" s="1">
        <v>5</v>
      </c>
      <c r="C53" s="1">
        <v>0</v>
      </c>
      <c r="D53" s="1">
        <v>0</v>
      </c>
      <c r="E53" s="1">
        <v>2</v>
      </c>
      <c r="F53" s="1">
        <v>2</v>
      </c>
      <c r="G53" s="1">
        <v>1</v>
      </c>
      <c r="H53" s="1">
        <v>0</v>
      </c>
      <c r="I53" s="1">
        <v>1.5</v>
      </c>
      <c r="J53" s="38">
        <v>49.6</v>
      </c>
    </row>
    <row r="54" spans="1:10">
      <c r="A54" s="1">
        <v>4</v>
      </c>
      <c r="B54" s="1">
        <v>6</v>
      </c>
      <c r="C54" s="1">
        <v>1</v>
      </c>
      <c r="D54" s="1">
        <v>0</v>
      </c>
      <c r="E54" s="1">
        <v>2</v>
      </c>
      <c r="F54" s="1">
        <v>2</v>
      </c>
      <c r="G54" s="1">
        <v>1</v>
      </c>
      <c r="H54" s="1">
        <v>1</v>
      </c>
      <c r="I54" s="1">
        <v>1.6</v>
      </c>
      <c r="J54" s="38">
        <v>42</v>
      </c>
    </row>
    <row r="55" spans="1:10">
      <c r="A55" s="1">
        <v>4</v>
      </c>
      <c r="B55" s="1">
        <v>6</v>
      </c>
      <c r="C55" s="1">
        <v>0</v>
      </c>
      <c r="D55" s="1">
        <v>0</v>
      </c>
      <c r="E55" s="1">
        <v>2</v>
      </c>
      <c r="F55" s="1">
        <v>2</v>
      </c>
      <c r="G55" s="1">
        <v>1</v>
      </c>
      <c r="H55" s="1">
        <v>1</v>
      </c>
      <c r="I55" s="1">
        <v>1.6</v>
      </c>
      <c r="J55" s="38">
        <v>49.949399999999997</v>
      </c>
    </row>
    <row r="56" spans="1:10">
      <c r="A56" s="1">
        <v>4</v>
      </c>
      <c r="B56" s="1">
        <v>6</v>
      </c>
      <c r="C56" s="1">
        <v>1</v>
      </c>
      <c r="D56" s="1">
        <v>0</v>
      </c>
      <c r="E56" s="1">
        <v>2</v>
      </c>
      <c r="F56" s="1">
        <v>2</v>
      </c>
      <c r="G56" s="1">
        <v>1</v>
      </c>
      <c r="H56" s="1">
        <v>1</v>
      </c>
      <c r="I56" s="1">
        <v>1.6</v>
      </c>
      <c r="J56" s="38">
        <v>45.3</v>
      </c>
    </row>
    <row r="57" spans="1:10">
      <c r="A57" s="1">
        <v>4</v>
      </c>
      <c r="B57" s="1">
        <v>6</v>
      </c>
      <c r="C57" s="1">
        <v>0</v>
      </c>
      <c r="D57" s="1">
        <v>0</v>
      </c>
      <c r="E57" s="1">
        <v>2</v>
      </c>
      <c r="F57" s="1">
        <v>2</v>
      </c>
      <c r="G57" s="1">
        <v>1</v>
      </c>
      <c r="H57" s="1">
        <v>1</v>
      </c>
      <c r="I57" s="1">
        <v>1.6</v>
      </c>
      <c r="J57" s="38">
        <v>45.5</v>
      </c>
    </row>
    <row r="58" spans="1:10">
      <c r="A58" s="1">
        <v>4</v>
      </c>
      <c r="B58" s="1">
        <v>6</v>
      </c>
      <c r="C58" s="1">
        <v>1</v>
      </c>
      <c r="D58" s="1">
        <v>0</v>
      </c>
      <c r="E58" s="1">
        <v>2</v>
      </c>
      <c r="F58" s="1">
        <v>2</v>
      </c>
      <c r="G58" s="1">
        <v>1</v>
      </c>
      <c r="H58" s="1">
        <v>1</v>
      </c>
      <c r="I58" s="1">
        <v>1.6</v>
      </c>
      <c r="J58" s="38">
        <v>42.8</v>
      </c>
    </row>
    <row r="59" spans="1:10">
      <c r="A59" s="1">
        <v>4</v>
      </c>
      <c r="B59" s="1">
        <v>6</v>
      </c>
      <c r="C59" s="1">
        <v>0</v>
      </c>
      <c r="D59" s="1">
        <v>0</v>
      </c>
      <c r="E59" s="1">
        <v>2</v>
      </c>
      <c r="F59" s="1">
        <v>2</v>
      </c>
      <c r="G59" s="1">
        <v>1</v>
      </c>
      <c r="H59" s="1">
        <v>1</v>
      </c>
      <c r="I59" s="1">
        <v>1.6</v>
      </c>
      <c r="J59" s="38">
        <v>43.7</v>
      </c>
    </row>
    <row r="60" spans="1:10">
      <c r="A60" s="1">
        <v>4</v>
      </c>
      <c r="B60" s="1">
        <v>6</v>
      </c>
      <c r="C60" s="1">
        <v>0</v>
      </c>
      <c r="D60" s="1">
        <v>0</v>
      </c>
      <c r="E60" s="1">
        <v>2</v>
      </c>
      <c r="F60" s="1">
        <v>2</v>
      </c>
      <c r="G60" s="1">
        <v>1</v>
      </c>
      <c r="H60" s="1">
        <v>0</v>
      </c>
      <c r="I60" s="1">
        <v>2.5</v>
      </c>
      <c r="J60" s="38">
        <v>42.904000000000003</v>
      </c>
    </row>
    <row r="61" spans="1:10">
      <c r="A61" s="1">
        <v>4</v>
      </c>
      <c r="B61" s="1">
        <v>6</v>
      </c>
      <c r="C61" s="1">
        <v>1</v>
      </c>
      <c r="D61" s="1">
        <v>0</v>
      </c>
      <c r="E61" s="1">
        <v>2</v>
      </c>
      <c r="F61" s="1">
        <v>2</v>
      </c>
      <c r="G61" s="1">
        <v>1</v>
      </c>
      <c r="H61" s="1">
        <v>0</v>
      </c>
      <c r="I61" s="1">
        <v>2.5</v>
      </c>
      <c r="J61" s="38">
        <v>43.261699999999998</v>
      </c>
    </row>
    <row r="62" spans="1:10">
      <c r="A62" s="1">
        <v>4</v>
      </c>
      <c r="B62" s="1">
        <v>5</v>
      </c>
      <c r="C62" s="1">
        <v>0</v>
      </c>
      <c r="D62" s="1">
        <v>0</v>
      </c>
      <c r="E62" s="1">
        <v>2</v>
      </c>
      <c r="F62" s="1">
        <v>2</v>
      </c>
      <c r="G62" s="1">
        <v>0</v>
      </c>
      <c r="H62" s="1">
        <v>1</v>
      </c>
      <c r="I62" s="1">
        <v>2.5</v>
      </c>
      <c r="J62" s="38">
        <v>37.5899</v>
      </c>
    </row>
    <row r="63" spans="1:10">
      <c r="A63" s="1">
        <v>4</v>
      </c>
      <c r="B63" s="1">
        <v>4</v>
      </c>
      <c r="C63" s="1">
        <v>1</v>
      </c>
      <c r="D63" s="1">
        <v>0</v>
      </c>
      <c r="E63" s="1">
        <v>2</v>
      </c>
      <c r="F63" s="1">
        <v>2</v>
      </c>
      <c r="G63" s="1">
        <v>0</v>
      </c>
      <c r="H63" s="1">
        <v>1</v>
      </c>
      <c r="I63" s="1">
        <v>2.5</v>
      </c>
      <c r="J63" s="38">
        <v>36.655700000000003</v>
      </c>
    </row>
    <row r="64" spans="1:10">
      <c r="A64" s="1">
        <v>4</v>
      </c>
      <c r="B64" s="1">
        <v>5</v>
      </c>
      <c r="C64" s="1">
        <v>0</v>
      </c>
      <c r="D64" s="1">
        <v>0</v>
      </c>
      <c r="E64" s="1">
        <v>2</v>
      </c>
      <c r="F64" s="1">
        <v>2</v>
      </c>
      <c r="G64" s="1">
        <v>1</v>
      </c>
      <c r="H64" s="1">
        <v>0</v>
      </c>
      <c r="I64" s="1">
        <v>2.5</v>
      </c>
      <c r="J64" s="38">
        <v>34.434100000000001</v>
      </c>
    </row>
    <row r="65" spans="1:10">
      <c r="A65" s="1">
        <v>4</v>
      </c>
      <c r="B65" s="1">
        <v>6</v>
      </c>
      <c r="C65" s="1">
        <v>0</v>
      </c>
      <c r="D65" s="1">
        <v>0</v>
      </c>
      <c r="E65" s="1">
        <v>2</v>
      </c>
      <c r="F65" s="1">
        <v>2</v>
      </c>
      <c r="G65" s="1">
        <v>1</v>
      </c>
      <c r="H65" s="1">
        <v>0</v>
      </c>
      <c r="I65" s="1">
        <v>2.5</v>
      </c>
      <c r="J65" s="38">
        <v>31.366900000000001</v>
      </c>
    </row>
    <row r="66" spans="1:10">
      <c r="A66" s="1">
        <v>4</v>
      </c>
      <c r="B66" s="1">
        <v>1</v>
      </c>
      <c r="C66" s="1">
        <v>1</v>
      </c>
      <c r="D66" s="1">
        <v>0</v>
      </c>
      <c r="E66" s="1">
        <v>2</v>
      </c>
      <c r="F66" s="1">
        <v>2</v>
      </c>
      <c r="G66" s="1">
        <v>1</v>
      </c>
      <c r="H66" s="1">
        <v>0</v>
      </c>
      <c r="I66" s="1">
        <v>2</v>
      </c>
      <c r="J66" s="38">
        <v>41.566099999999999</v>
      </c>
    </row>
    <row r="67" spans="1:10">
      <c r="A67" s="1">
        <v>4</v>
      </c>
      <c r="B67" s="1">
        <v>6</v>
      </c>
      <c r="C67" s="1">
        <v>0</v>
      </c>
      <c r="D67" s="1">
        <v>0</v>
      </c>
      <c r="E67" s="1">
        <v>2</v>
      </c>
      <c r="F67" s="1">
        <v>2</v>
      </c>
      <c r="G67" s="1">
        <v>1</v>
      </c>
      <c r="H67" s="1">
        <v>0</v>
      </c>
      <c r="I67" s="1">
        <v>2</v>
      </c>
      <c r="J67" s="38">
        <v>44.707999999999998</v>
      </c>
    </row>
    <row r="68" spans="1:10">
      <c r="A68" s="1">
        <v>4</v>
      </c>
      <c r="B68" s="1">
        <v>6</v>
      </c>
      <c r="C68" s="1">
        <v>0</v>
      </c>
      <c r="D68" s="1">
        <v>0</v>
      </c>
      <c r="E68" s="1">
        <v>2</v>
      </c>
      <c r="F68" s="1">
        <v>2</v>
      </c>
      <c r="G68" s="1">
        <v>0</v>
      </c>
      <c r="H68" s="1">
        <v>0</v>
      </c>
      <c r="I68" s="1">
        <v>2</v>
      </c>
      <c r="J68" s="38">
        <v>59.536099999999998</v>
      </c>
    </row>
    <row r="69" spans="1:10">
      <c r="A69" s="1">
        <v>4</v>
      </c>
      <c r="B69" s="1">
        <v>6</v>
      </c>
      <c r="C69" s="1">
        <v>1</v>
      </c>
      <c r="D69" s="1">
        <v>0</v>
      </c>
      <c r="E69" s="1">
        <v>2</v>
      </c>
      <c r="F69" s="1">
        <v>2</v>
      </c>
      <c r="G69" s="1">
        <v>0</v>
      </c>
      <c r="H69" s="1">
        <v>0</v>
      </c>
      <c r="I69" s="1">
        <v>2</v>
      </c>
      <c r="J69" s="38">
        <v>59.438099999999999</v>
      </c>
    </row>
    <row r="70" spans="1:10">
      <c r="A70" s="1">
        <v>4</v>
      </c>
      <c r="B70" s="1">
        <v>5</v>
      </c>
      <c r="C70" s="1">
        <v>0</v>
      </c>
      <c r="D70" s="1">
        <v>0</v>
      </c>
      <c r="E70" s="1">
        <v>1</v>
      </c>
      <c r="F70" s="1">
        <v>1</v>
      </c>
      <c r="G70" s="1">
        <v>0</v>
      </c>
      <c r="H70" s="1">
        <v>0</v>
      </c>
      <c r="I70" s="1">
        <v>2</v>
      </c>
      <c r="J70" s="38">
        <v>46.2</v>
      </c>
    </row>
    <row r="71" spans="1:10">
      <c r="A71" s="1">
        <v>4</v>
      </c>
      <c r="B71" s="1">
        <v>6</v>
      </c>
      <c r="C71" s="1">
        <v>1</v>
      </c>
      <c r="D71" s="1">
        <v>0</v>
      </c>
      <c r="E71" s="1">
        <v>1</v>
      </c>
      <c r="F71" s="1">
        <v>1</v>
      </c>
      <c r="G71" s="1">
        <v>0</v>
      </c>
      <c r="H71" s="1">
        <v>0</v>
      </c>
      <c r="I71" s="1">
        <v>2</v>
      </c>
      <c r="J71" s="38">
        <v>41.399000000000001</v>
      </c>
    </row>
    <row r="72" spans="1:10">
      <c r="A72" s="1">
        <v>5</v>
      </c>
      <c r="B72" s="1">
        <v>5</v>
      </c>
      <c r="C72" s="1">
        <v>0</v>
      </c>
      <c r="D72" s="1">
        <v>0</v>
      </c>
      <c r="E72" s="1">
        <v>2</v>
      </c>
      <c r="F72" s="1">
        <v>2</v>
      </c>
      <c r="G72" s="1">
        <v>1</v>
      </c>
      <c r="H72" s="1">
        <v>0</v>
      </c>
      <c r="I72" s="1">
        <v>2.5</v>
      </c>
      <c r="J72" s="38">
        <v>44.515900000000002</v>
      </c>
    </row>
    <row r="73" spans="1:10">
      <c r="A73" s="1">
        <v>5</v>
      </c>
      <c r="B73" s="1">
        <v>6</v>
      </c>
      <c r="C73" s="1">
        <v>1</v>
      </c>
      <c r="D73" s="1">
        <v>0</v>
      </c>
      <c r="E73" s="1">
        <v>2</v>
      </c>
      <c r="F73" s="1">
        <v>2</v>
      </c>
      <c r="G73" s="1">
        <v>1</v>
      </c>
      <c r="H73" s="1">
        <v>0</v>
      </c>
      <c r="I73" s="1">
        <v>2.5</v>
      </c>
      <c r="J73" s="38">
        <v>42.488799999999998</v>
      </c>
    </row>
    <row r="74" spans="1:10">
      <c r="A74" s="1">
        <v>6</v>
      </c>
      <c r="B74" s="1">
        <v>6</v>
      </c>
      <c r="C74" s="1">
        <v>1</v>
      </c>
      <c r="D74" s="1">
        <v>0</v>
      </c>
      <c r="E74" s="1">
        <v>2</v>
      </c>
      <c r="F74" s="1">
        <v>2</v>
      </c>
      <c r="G74" s="1">
        <v>1</v>
      </c>
      <c r="H74" s="1">
        <v>0</v>
      </c>
      <c r="I74" s="1">
        <v>3</v>
      </c>
      <c r="J74" s="38">
        <v>35.799999999999997</v>
      </c>
    </row>
    <row r="75" spans="1:10">
      <c r="A75" s="1">
        <v>8</v>
      </c>
      <c r="B75" s="1">
        <v>8</v>
      </c>
      <c r="C75" s="1">
        <v>0</v>
      </c>
      <c r="D75" s="1">
        <v>0</v>
      </c>
      <c r="E75" s="1">
        <v>1</v>
      </c>
      <c r="F75" s="1">
        <v>1</v>
      </c>
      <c r="G75" s="1">
        <v>1</v>
      </c>
      <c r="H75" s="1">
        <v>0</v>
      </c>
      <c r="I75" s="1">
        <v>6.8</v>
      </c>
      <c r="J75" s="38">
        <v>23.4</v>
      </c>
    </row>
    <row r="76" spans="1:10">
      <c r="A76" s="1">
        <v>8</v>
      </c>
      <c r="B76" s="1">
        <v>8</v>
      </c>
      <c r="C76" s="1">
        <v>1</v>
      </c>
      <c r="D76" s="1">
        <v>0</v>
      </c>
      <c r="E76" s="1">
        <v>2</v>
      </c>
      <c r="F76" s="1">
        <v>2</v>
      </c>
      <c r="G76" s="1">
        <v>1</v>
      </c>
      <c r="H76" s="1">
        <v>0</v>
      </c>
      <c r="I76" s="1">
        <v>4.4000000000000004</v>
      </c>
      <c r="J76" s="38">
        <v>33.049900000000001</v>
      </c>
    </row>
    <row r="77" spans="1:10">
      <c r="A77" s="1">
        <v>8</v>
      </c>
      <c r="B77" s="1">
        <v>8</v>
      </c>
      <c r="C77" s="1">
        <v>1</v>
      </c>
      <c r="D77" s="1">
        <v>0</v>
      </c>
      <c r="E77" s="1">
        <v>2</v>
      </c>
      <c r="F77" s="1">
        <v>2</v>
      </c>
      <c r="G77" s="1">
        <v>1</v>
      </c>
      <c r="H77" s="1">
        <v>0</v>
      </c>
      <c r="I77" s="1">
        <v>4.4000000000000004</v>
      </c>
      <c r="J77" s="38">
        <v>33.603200000000001</v>
      </c>
    </row>
    <row r="78" spans="1:10">
      <c r="A78" s="1">
        <v>4</v>
      </c>
      <c r="B78" s="1">
        <v>6</v>
      </c>
      <c r="C78" s="1">
        <v>1</v>
      </c>
      <c r="D78" s="1">
        <v>0</v>
      </c>
      <c r="E78" s="1">
        <v>2</v>
      </c>
      <c r="F78" s="1">
        <v>2</v>
      </c>
      <c r="G78" s="1">
        <v>1</v>
      </c>
      <c r="H78" s="1">
        <v>0</v>
      </c>
      <c r="I78" s="1">
        <v>2.4</v>
      </c>
      <c r="J78" s="38">
        <v>42</v>
      </c>
    </row>
    <row r="79" spans="1:10">
      <c r="A79" s="1">
        <v>6</v>
      </c>
      <c r="B79" s="1">
        <v>6</v>
      </c>
      <c r="C79" s="1">
        <v>1</v>
      </c>
      <c r="D79" s="1">
        <v>0</v>
      </c>
      <c r="E79" s="1">
        <v>2</v>
      </c>
      <c r="F79" s="1">
        <v>2</v>
      </c>
      <c r="G79" s="1">
        <v>1</v>
      </c>
      <c r="H79" s="1">
        <v>0</v>
      </c>
      <c r="I79" s="1">
        <v>3.6</v>
      </c>
      <c r="J79" s="38">
        <v>37.487400000000001</v>
      </c>
    </row>
    <row r="80" spans="1:10">
      <c r="A80" s="1">
        <v>6</v>
      </c>
      <c r="B80" s="1">
        <v>6</v>
      </c>
      <c r="C80" s="1">
        <v>1</v>
      </c>
      <c r="D80" s="1">
        <v>0</v>
      </c>
      <c r="E80" s="1">
        <v>2</v>
      </c>
      <c r="F80" s="1">
        <v>2</v>
      </c>
      <c r="G80" s="1">
        <v>1</v>
      </c>
      <c r="H80" s="1">
        <v>0</v>
      </c>
      <c r="I80" s="1">
        <v>3.6</v>
      </c>
      <c r="J80" s="38">
        <v>36.1</v>
      </c>
    </row>
    <row r="81" spans="1:10">
      <c r="A81" s="1">
        <v>4</v>
      </c>
      <c r="B81" s="1">
        <v>6</v>
      </c>
      <c r="C81" s="1">
        <v>1</v>
      </c>
      <c r="D81" s="1">
        <v>0</v>
      </c>
      <c r="E81" s="1">
        <v>2</v>
      </c>
      <c r="F81" s="1">
        <v>2</v>
      </c>
      <c r="G81" s="1">
        <v>1</v>
      </c>
      <c r="H81" s="1">
        <v>0</v>
      </c>
      <c r="I81" s="1">
        <v>2</v>
      </c>
      <c r="J81" s="38">
        <v>39.4</v>
      </c>
    </row>
    <row r="82" spans="1:10">
      <c r="A82" s="1">
        <v>4</v>
      </c>
      <c r="B82" s="1">
        <v>6</v>
      </c>
      <c r="C82" s="1">
        <v>0</v>
      </c>
      <c r="D82" s="1">
        <v>0</v>
      </c>
      <c r="E82" s="1">
        <v>2</v>
      </c>
      <c r="F82" s="1">
        <v>2</v>
      </c>
      <c r="G82" s="1">
        <v>1</v>
      </c>
      <c r="H82" s="1">
        <v>0</v>
      </c>
      <c r="I82" s="1">
        <v>2</v>
      </c>
      <c r="J82" s="38">
        <v>44.7</v>
      </c>
    </row>
    <row r="83" spans="1:10">
      <c r="A83" s="1">
        <v>4</v>
      </c>
      <c r="B83" s="1">
        <v>6</v>
      </c>
      <c r="C83" s="1">
        <v>1</v>
      </c>
      <c r="D83" s="1">
        <v>0</v>
      </c>
      <c r="E83" s="1">
        <v>2</v>
      </c>
      <c r="F83" s="1">
        <v>2</v>
      </c>
      <c r="G83" s="1">
        <v>1</v>
      </c>
      <c r="H83" s="1">
        <v>0</v>
      </c>
      <c r="I83" s="1">
        <v>2.4</v>
      </c>
      <c r="J83" s="38">
        <v>42.5</v>
      </c>
    </row>
    <row r="84" spans="1:10">
      <c r="A84" s="1">
        <v>4</v>
      </c>
      <c r="B84" s="1">
        <v>4</v>
      </c>
      <c r="C84" s="1">
        <v>1</v>
      </c>
      <c r="D84" s="1">
        <v>0</v>
      </c>
      <c r="E84" s="1">
        <v>2</v>
      </c>
      <c r="F84" s="1">
        <v>2</v>
      </c>
      <c r="G84" s="1">
        <v>1</v>
      </c>
      <c r="H84" s="1">
        <v>0</v>
      </c>
      <c r="I84" s="1">
        <v>2</v>
      </c>
      <c r="J84" s="38">
        <v>41.5</v>
      </c>
    </row>
    <row r="85" spans="1:10">
      <c r="A85" s="1">
        <v>4</v>
      </c>
      <c r="B85" s="1">
        <v>6</v>
      </c>
      <c r="C85" s="1">
        <v>1</v>
      </c>
      <c r="D85" s="1">
        <v>0</v>
      </c>
      <c r="E85" s="1">
        <v>2</v>
      </c>
      <c r="F85" s="1">
        <v>2</v>
      </c>
      <c r="G85" s="1">
        <v>1</v>
      </c>
      <c r="H85" s="1">
        <v>0</v>
      </c>
      <c r="I85" s="1">
        <v>2</v>
      </c>
      <c r="J85" s="38">
        <v>43.5</v>
      </c>
    </row>
    <row r="86" spans="1:10">
      <c r="A86" s="1">
        <v>6</v>
      </c>
      <c r="B86" s="1">
        <v>6</v>
      </c>
      <c r="C86" s="1">
        <v>1</v>
      </c>
      <c r="D86" s="1">
        <v>0</v>
      </c>
      <c r="E86" s="1">
        <v>2</v>
      </c>
      <c r="F86" s="1">
        <v>2</v>
      </c>
      <c r="G86" s="1">
        <v>1</v>
      </c>
      <c r="H86" s="1">
        <v>0</v>
      </c>
      <c r="I86" s="1">
        <v>3.6</v>
      </c>
      <c r="J86" s="38">
        <v>40.5</v>
      </c>
    </row>
    <row r="87" spans="1:10">
      <c r="A87" s="1">
        <v>6</v>
      </c>
      <c r="B87" s="1">
        <v>6</v>
      </c>
      <c r="C87" s="1">
        <v>1</v>
      </c>
      <c r="D87" s="1">
        <v>1</v>
      </c>
      <c r="E87" s="1">
        <v>2</v>
      </c>
      <c r="F87" s="1">
        <v>2</v>
      </c>
      <c r="G87" s="1">
        <v>1</v>
      </c>
      <c r="H87" s="1">
        <v>0</v>
      </c>
      <c r="I87" s="1">
        <v>3</v>
      </c>
      <c r="J87" s="38">
        <v>39.700000000000003</v>
      </c>
    </row>
    <row r="88" spans="1:10">
      <c r="A88" s="1">
        <v>6</v>
      </c>
      <c r="B88" s="1">
        <v>7</v>
      </c>
      <c r="C88" s="1">
        <v>1</v>
      </c>
      <c r="D88" s="1">
        <v>0</v>
      </c>
      <c r="E88" s="1">
        <v>2</v>
      </c>
      <c r="F88" s="1">
        <v>2</v>
      </c>
      <c r="G88" s="1">
        <v>1</v>
      </c>
      <c r="H88" s="1">
        <v>0</v>
      </c>
      <c r="I88" s="1">
        <v>2.5</v>
      </c>
      <c r="J88" s="38">
        <v>40.807499999999997</v>
      </c>
    </row>
    <row r="89" spans="1:10">
      <c r="A89" s="1">
        <v>6</v>
      </c>
      <c r="B89" s="1">
        <v>7</v>
      </c>
      <c r="C89" s="1">
        <v>1</v>
      </c>
      <c r="D89" s="1">
        <v>0</v>
      </c>
      <c r="E89" s="1">
        <v>2</v>
      </c>
      <c r="F89" s="1">
        <v>2</v>
      </c>
      <c r="G89" s="1">
        <v>1</v>
      </c>
      <c r="H89" s="1">
        <v>0</v>
      </c>
      <c r="I89" s="1">
        <v>2.5</v>
      </c>
      <c r="J89" s="38">
        <v>37.979999999999997</v>
      </c>
    </row>
    <row r="90" spans="1:10">
      <c r="A90" s="1">
        <v>6</v>
      </c>
      <c r="B90" s="1">
        <v>7</v>
      </c>
      <c r="C90" s="1">
        <v>1</v>
      </c>
      <c r="D90" s="1">
        <v>0</v>
      </c>
      <c r="E90" s="1">
        <v>2</v>
      </c>
      <c r="F90" s="1">
        <v>2</v>
      </c>
      <c r="G90" s="1">
        <v>1</v>
      </c>
      <c r="H90" s="1">
        <v>1</v>
      </c>
      <c r="I90" s="1">
        <v>3.7</v>
      </c>
      <c r="J90" s="38">
        <v>36.752800000000001</v>
      </c>
    </row>
    <row r="91" spans="1:10">
      <c r="A91" s="1">
        <v>6</v>
      </c>
      <c r="B91" s="1">
        <v>7</v>
      </c>
      <c r="C91" s="1">
        <v>1</v>
      </c>
      <c r="D91" s="1">
        <v>0</v>
      </c>
      <c r="E91" s="1">
        <v>2</v>
      </c>
      <c r="F91" s="1">
        <v>2</v>
      </c>
      <c r="G91" s="1">
        <v>1</v>
      </c>
      <c r="H91" s="1">
        <v>1</v>
      </c>
      <c r="I91" s="1">
        <v>3.7</v>
      </c>
      <c r="J91" s="38">
        <v>33.4</v>
      </c>
    </row>
    <row r="92" spans="1:10">
      <c r="A92" s="1">
        <v>8</v>
      </c>
      <c r="B92" s="1">
        <v>7</v>
      </c>
      <c r="C92" s="1">
        <v>1</v>
      </c>
      <c r="D92" s="1">
        <v>0</v>
      </c>
      <c r="E92" s="1">
        <v>2</v>
      </c>
      <c r="F92" s="1">
        <v>2</v>
      </c>
      <c r="G92" s="1">
        <v>1</v>
      </c>
      <c r="H92" s="1">
        <v>1</v>
      </c>
      <c r="I92" s="1">
        <v>5.6</v>
      </c>
      <c r="J92" s="38">
        <v>34.5</v>
      </c>
    </row>
    <row r="93" spans="1:10">
      <c r="A93" s="1">
        <v>8</v>
      </c>
      <c r="B93" s="1">
        <v>7</v>
      </c>
      <c r="C93" s="1">
        <v>1</v>
      </c>
      <c r="D93" s="1">
        <v>0</v>
      </c>
      <c r="E93" s="1">
        <v>2</v>
      </c>
      <c r="F93" s="1">
        <v>2</v>
      </c>
      <c r="G93" s="1">
        <v>1</v>
      </c>
      <c r="H93" s="1">
        <v>1</v>
      </c>
      <c r="I93" s="1">
        <v>5.6</v>
      </c>
      <c r="J93" s="38">
        <v>32.4</v>
      </c>
    </row>
    <row r="94" spans="1:10">
      <c r="A94" s="1">
        <v>6</v>
      </c>
      <c r="B94" s="1">
        <v>6</v>
      </c>
      <c r="C94" s="1">
        <v>1</v>
      </c>
      <c r="D94" s="1">
        <v>1</v>
      </c>
      <c r="E94" s="1">
        <v>2</v>
      </c>
      <c r="F94" s="1">
        <v>2</v>
      </c>
      <c r="G94" s="1">
        <v>1</v>
      </c>
      <c r="H94" s="1">
        <v>0</v>
      </c>
      <c r="I94" s="1">
        <v>3</v>
      </c>
      <c r="J94" s="38">
        <v>39.700000000000003</v>
      </c>
    </row>
    <row r="95" spans="1:10">
      <c r="A95" s="1">
        <v>4</v>
      </c>
      <c r="B95" s="1">
        <v>1</v>
      </c>
      <c r="C95" s="1">
        <v>0</v>
      </c>
      <c r="D95" s="1">
        <v>0</v>
      </c>
      <c r="E95" s="1">
        <v>2</v>
      </c>
      <c r="F95" s="1">
        <v>2</v>
      </c>
      <c r="G95" s="1">
        <v>1</v>
      </c>
      <c r="H95" s="1">
        <v>0</v>
      </c>
      <c r="I95" s="1">
        <v>2.5</v>
      </c>
      <c r="J95" s="38">
        <v>51.6</v>
      </c>
    </row>
    <row r="96" spans="1:10">
      <c r="A96" s="1">
        <v>4</v>
      </c>
      <c r="B96" s="1">
        <v>6</v>
      </c>
      <c r="C96" s="1">
        <v>0</v>
      </c>
      <c r="D96" s="1">
        <v>0</v>
      </c>
      <c r="E96" s="1">
        <v>2</v>
      </c>
      <c r="F96" s="1">
        <v>2</v>
      </c>
      <c r="G96" s="1">
        <v>1</v>
      </c>
      <c r="H96" s="1">
        <v>0</v>
      </c>
      <c r="I96" s="1">
        <v>2.2999999999999998</v>
      </c>
      <c r="J96" s="38">
        <v>34.700000000000003</v>
      </c>
    </row>
    <row r="97" spans="1:10">
      <c r="A97" s="1">
        <v>6</v>
      </c>
      <c r="B97" s="1">
        <v>7</v>
      </c>
      <c r="C97" s="1">
        <v>1</v>
      </c>
      <c r="D97" s="1">
        <v>0</v>
      </c>
      <c r="E97" s="1">
        <v>2</v>
      </c>
      <c r="F97" s="1">
        <v>2</v>
      </c>
      <c r="G97" s="1">
        <v>1</v>
      </c>
      <c r="H97" s="1">
        <v>0</v>
      </c>
      <c r="I97" s="1">
        <v>3</v>
      </c>
      <c r="J97" s="38">
        <v>47.1</v>
      </c>
    </row>
    <row r="98" spans="1:10">
      <c r="A98" s="1">
        <v>8</v>
      </c>
      <c r="B98" s="1">
        <v>8</v>
      </c>
      <c r="C98" s="1">
        <v>0</v>
      </c>
      <c r="D98" s="1">
        <v>0</v>
      </c>
      <c r="E98" s="1">
        <v>2</v>
      </c>
      <c r="F98" s="1">
        <v>2</v>
      </c>
      <c r="G98" s="1">
        <v>1</v>
      </c>
      <c r="H98" s="1">
        <v>0</v>
      </c>
      <c r="I98" s="1">
        <v>4.2</v>
      </c>
      <c r="J98" s="38">
        <v>35.722200000000001</v>
      </c>
    </row>
    <row r="99" spans="1:10">
      <c r="A99" s="1">
        <v>6</v>
      </c>
      <c r="B99" s="1">
        <v>8</v>
      </c>
      <c r="C99" s="1">
        <v>1</v>
      </c>
      <c r="D99" s="1">
        <v>0</v>
      </c>
      <c r="E99" s="1">
        <v>2</v>
      </c>
      <c r="F99" s="1">
        <v>2</v>
      </c>
      <c r="G99" s="1">
        <v>1</v>
      </c>
      <c r="H99" s="1">
        <v>1</v>
      </c>
      <c r="I99" s="1">
        <v>3</v>
      </c>
      <c r="J99" s="38">
        <v>37.999699999999997</v>
      </c>
    </row>
    <row r="100" spans="1:10">
      <c r="A100" s="1">
        <v>8</v>
      </c>
      <c r="B100" s="1">
        <v>8</v>
      </c>
      <c r="C100" s="1">
        <v>1</v>
      </c>
      <c r="D100" s="1">
        <v>0</v>
      </c>
      <c r="E100" s="1">
        <v>2</v>
      </c>
      <c r="F100" s="1">
        <v>2</v>
      </c>
      <c r="G100" s="1">
        <v>1</v>
      </c>
      <c r="H100" s="1">
        <v>0</v>
      </c>
      <c r="I100" s="1">
        <v>4.4000000000000004</v>
      </c>
      <c r="J100" s="38">
        <v>31.227399999999999</v>
      </c>
    </row>
    <row r="101" spans="1:10">
      <c r="A101" s="1">
        <v>8</v>
      </c>
      <c r="B101" s="1">
        <v>8</v>
      </c>
      <c r="C101" s="1">
        <v>1</v>
      </c>
      <c r="D101" s="1">
        <v>0</v>
      </c>
      <c r="E101" s="1">
        <v>2</v>
      </c>
      <c r="F101" s="1">
        <v>2</v>
      </c>
      <c r="G101" s="1">
        <v>1</v>
      </c>
      <c r="H101" s="1">
        <v>0</v>
      </c>
      <c r="I101" s="1">
        <v>4.4000000000000004</v>
      </c>
      <c r="J101" s="38">
        <v>30.547999999999998</v>
      </c>
    </row>
    <row r="102" spans="1:10">
      <c r="A102" s="1">
        <v>6</v>
      </c>
      <c r="B102" s="1">
        <v>6</v>
      </c>
      <c r="C102" s="1">
        <v>1</v>
      </c>
      <c r="D102" s="1">
        <v>0</v>
      </c>
      <c r="E102" s="1">
        <v>2</v>
      </c>
      <c r="F102" s="1">
        <v>2</v>
      </c>
      <c r="G102" s="1">
        <v>1</v>
      </c>
      <c r="H102" s="1">
        <v>0</v>
      </c>
      <c r="I102" s="1">
        <v>3</v>
      </c>
      <c r="J102" s="38">
        <v>35.496600000000001</v>
      </c>
    </row>
    <row r="103" spans="1:10">
      <c r="A103" s="1">
        <v>6</v>
      </c>
      <c r="B103" s="1">
        <v>6</v>
      </c>
      <c r="C103" s="1">
        <v>1</v>
      </c>
      <c r="D103" s="1">
        <v>0</v>
      </c>
      <c r="E103" s="1">
        <v>2</v>
      </c>
      <c r="F103" s="1">
        <v>2</v>
      </c>
      <c r="G103" s="1">
        <v>1</v>
      </c>
      <c r="H103" s="1">
        <v>0</v>
      </c>
      <c r="I103" s="1">
        <v>3</v>
      </c>
      <c r="J103" s="38">
        <v>35.496600000000001</v>
      </c>
    </row>
    <row r="104" spans="1:10">
      <c r="A104" s="1">
        <v>8</v>
      </c>
      <c r="B104" s="1">
        <v>8</v>
      </c>
      <c r="C104" s="1">
        <v>1</v>
      </c>
      <c r="D104" s="1">
        <v>0</v>
      </c>
      <c r="E104" s="1">
        <v>2</v>
      </c>
      <c r="F104" s="1">
        <v>2</v>
      </c>
      <c r="G104" s="1">
        <v>1</v>
      </c>
      <c r="H104" s="1">
        <v>0</v>
      </c>
      <c r="I104" s="1">
        <v>4.4000000000000004</v>
      </c>
      <c r="J104" s="38">
        <v>33.603200000000001</v>
      </c>
    </row>
    <row r="105" spans="1:10">
      <c r="A105" s="1">
        <v>8</v>
      </c>
      <c r="B105" s="1">
        <v>6</v>
      </c>
      <c r="C105" s="1">
        <v>1</v>
      </c>
      <c r="D105" s="1">
        <v>0</v>
      </c>
      <c r="E105" s="1">
        <v>2</v>
      </c>
      <c r="F105" s="1">
        <v>2</v>
      </c>
      <c r="G105" s="1">
        <v>1</v>
      </c>
      <c r="H105" s="1">
        <v>0</v>
      </c>
      <c r="I105" s="1">
        <v>4.4000000000000004</v>
      </c>
      <c r="J105" s="38">
        <v>29.837800000000001</v>
      </c>
    </row>
    <row r="106" spans="1:10">
      <c r="A106" s="1">
        <v>8</v>
      </c>
      <c r="B106" s="1">
        <v>6</v>
      </c>
      <c r="C106" s="1">
        <v>1</v>
      </c>
      <c r="D106" s="1">
        <v>0</v>
      </c>
      <c r="E106" s="1">
        <v>2</v>
      </c>
      <c r="F106" s="1">
        <v>2</v>
      </c>
      <c r="G106" s="1">
        <v>1</v>
      </c>
      <c r="H106" s="1">
        <v>0</v>
      </c>
      <c r="I106" s="1">
        <v>4.4000000000000004</v>
      </c>
      <c r="J106" s="38">
        <v>27.730699999999999</v>
      </c>
    </row>
    <row r="107" spans="1:10">
      <c r="A107" s="1">
        <v>8</v>
      </c>
      <c r="B107" s="1">
        <v>6</v>
      </c>
      <c r="C107" s="1">
        <v>1</v>
      </c>
      <c r="D107" s="1">
        <v>0</v>
      </c>
      <c r="E107" s="1">
        <v>2</v>
      </c>
      <c r="F107" s="1">
        <v>2</v>
      </c>
      <c r="G107" s="1">
        <v>1</v>
      </c>
      <c r="H107" s="1">
        <v>0</v>
      </c>
      <c r="I107" s="1">
        <v>4.4000000000000004</v>
      </c>
      <c r="J107" s="38">
        <v>29.837800000000001</v>
      </c>
    </row>
    <row r="108" spans="1:10">
      <c r="A108" s="1">
        <v>8</v>
      </c>
      <c r="B108" s="1">
        <v>6</v>
      </c>
      <c r="C108" s="1">
        <v>1</v>
      </c>
      <c r="D108" s="1">
        <v>0</v>
      </c>
      <c r="E108" s="1">
        <v>2</v>
      </c>
      <c r="F108" s="1">
        <v>2</v>
      </c>
      <c r="G108" s="1">
        <v>1</v>
      </c>
      <c r="H108" s="1">
        <v>0</v>
      </c>
      <c r="I108" s="1">
        <v>4.4000000000000004</v>
      </c>
      <c r="J108" s="38">
        <v>27.730699999999999</v>
      </c>
    </row>
    <row r="109" spans="1:10">
      <c r="A109" s="1">
        <v>6</v>
      </c>
      <c r="B109" s="1">
        <v>5</v>
      </c>
      <c r="C109" s="1">
        <v>1</v>
      </c>
      <c r="D109" s="1">
        <v>0</v>
      </c>
      <c r="E109" s="1">
        <v>2</v>
      </c>
      <c r="F109" s="1">
        <v>2</v>
      </c>
      <c r="G109" s="1">
        <v>1</v>
      </c>
      <c r="H109" s="1">
        <v>0</v>
      </c>
      <c r="I109" s="1">
        <v>3.6</v>
      </c>
      <c r="J109" s="38">
        <v>37.9</v>
      </c>
    </row>
    <row r="110" spans="1:10">
      <c r="A110" s="1">
        <v>8</v>
      </c>
      <c r="B110" s="1">
        <v>5</v>
      </c>
      <c r="C110" s="1">
        <v>1</v>
      </c>
      <c r="D110" s="1">
        <v>0</v>
      </c>
      <c r="E110" s="1">
        <v>1</v>
      </c>
      <c r="F110" s="1">
        <v>1</v>
      </c>
      <c r="G110" s="1">
        <v>1</v>
      </c>
      <c r="H110" s="1">
        <v>0</v>
      </c>
      <c r="I110" s="1">
        <v>5.7</v>
      </c>
      <c r="J110" s="38">
        <v>34.5</v>
      </c>
    </row>
    <row r="111" spans="1:10">
      <c r="A111" s="1">
        <v>8</v>
      </c>
      <c r="B111" s="1">
        <v>6</v>
      </c>
      <c r="C111" s="1">
        <v>1</v>
      </c>
      <c r="D111" s="1">
        <v>0</v>
      </c>
      <c r="E111" s="1">
        <v>2</v>
      </c>
      <c r="F111" s="1">
        <v>2</v>
      </c>
      <c r="G111" s="1">
        <v>1</v>
      </c>
      <c r="H111" s="1">
        <v>0</v>
      </c>
      <c r="I111" s="1">
        <v>4.5999999999999996</v>
      </c>
      <c r="J111" s="38">
        <v>33.9</v>
      </c>
    </row>
    <row r="112" spans="1:10">
      <c r="A112" s="1">
        <v>6</v>
      </c>
      <c r="B112" s="1">
        <v>7</v>
      </c>
      <c r="C112" s="1">
        <v>1</v>
      </c>
      <c r="D112" s="1">
        <v>0</v>
      </c>
      <c r="E112" s="1">
        <v>2</v>
      </c>
      <c r="F112" s="1">
        <v>2</v>
      </c>
      <c r="G112" s="1">
        <v>1</v>
      </c>
      <c r="H112" s="1">
        <v>1</v>
      </c>
      <c r="I112" s="1">
        <v>3.6</v>
      </c>
      <c r="J112" s="38">
        <v>37.299799999999998</v>
      </c>
    </row>
    <row r="113" spans="1:10">
      <c r="A113" s="1">
        <v>6</v>
      </c>
      <c r="B113" s="1">
        <v>7</v>
      </c>
      <c r="C113" s="1">
        <v>1</v>
      </c>
      <c r="D113" s="1">
        <v>0</v>
      </c>
      <c r="E113" s="1">
        <v>2</v>
      </c>
      <c r="F113" s="1">
        <v>2</v>
      </c>
      <c r="G113" s="1">
        <v>1</v>
      </c>
      <c r="H113" s="1">
        <v>1</v>
      </c>
      <c r="I113" s="1">
        <v>3.6</v>
      </c>
      <c r="J113" s="38">
        <v>36.543999999999997</v>
      </c>
    </row>
    <row r="114" spans="1:10">
      <c r="A114" s="1">
        <v>6</v>
      </c>
      <c r="B114" s="1">
        <v>6</v>
      </c>
      <c r="C114" s="1">
        <v>1</v>
      </c>
      <c r="D114" s="1">
        <v>0</v>
      </c>
      <c r="E114" s="1">
        <v>2</v>
      </c>
      <c r="F114" s="1">
        <v>2</v>
      </c>
      <c r="G114" s="1">
        <v>1</v>
      </c>
      <c r="H114" s="1">
        <v>1</v>
      </c>
      <c r="I114" s="1">
        <v>3</v>
      </c>
      <c r="J114" s="38">
        <v>36.920200000000001</v>
      </c>
    </row>
    <row r="115" spans="1:10">
      <c r="A115" s="1">
        <v>6</v>
      </c>
      <c r="B115" s="1">
        <v>6</v>
      </c>
      <c r="C115" s="1">
        <v>1</v>
      </c>
      <c r="D115" s="1">
        <v>0</v>
      </c>
      <c r="E115" s="1">
        <v>2</v>
      </c>
      <c r="F115" s="1">
        <v>2</v>
      </c>
      <c r="G115" s="1">
        <v>1</v>
      </c>
      <c r="H115" s="1">
        <v>1</v>
      </c>
      <c r="I115" s="1">
        <v>3</v>
      </c>
      <c r="J115" s="38">
        <v>37.425899999999999</v>
      </c>
    </row>
    <row r="116" spans="1:10">
      <c r="A116" s="1">
        <v>6</v>
      </c>
      <c r="B116" s="1">
        <v>6</v>
      </c>
      <c r="C116" s="1">
        <v>0</v>
      </c>
      <c r="D116" s="1">
        <v>0</v>
      </c>
      <c r="E116" s="1">
        <v>2</v>
      </c>
      <c r="F116" s="1">
        <v>2</v>
      </c>
      <c r="G116" s="1">
        <v>1</v>
      </c>
      <c r="H116" s="1">
        <v>1</v>
      </c>
      <c r="I116" s="1">
        <v>3</v>
      </c>
      <c r="J116" s="38">
        <v>35.435400000000001</v>
      </c>
    </row>
    <row r="117" spans="1:10">
      <c r="A117" s="1">
        <v>6</v>
      </c>
      <c r="B117" s="1">
        <v>6</v>
      </c>
      <c r="C117" s="1">
        <v>1</v>
      </c>
      <c r="D117" s="1">
        <v>0</v>
      </c>
      <c r="E117" s="1">
        <v>2</v>
      </c>
      <c r="F117" s="1">
        <v>2</v>
      </c>
      <c r="G117" s="1">
        <v>1</v>
      </c>
      <c r="H117" s="1">
        <v>1</v>
      </c>
      <c r="I117" s="1">
        <v>3</v>
      </c>
      <c r="J117" s="38">
        <v>35.890999999999998</v>
      </c>
    </row>
    <row r="118" spans="1:10">
      <c r="A118" s="1">
        <v>4</v>
      </c>
      <c r="B118" s="1">
        <v>6</v>
      </c>
      <c r="C118" s="1">
        <v>0</v>
      </c>
      <c r="D118" s="1">
        <v>0</v>
      </c>
      <c r="E118" s="1">
        <v>2</v>
      </c>
      <c r="F118" s="1">
        <v>2</v>
      </c>
      <c r="G118" s="1">
        <v>1</v>
      </c>
      <c r="H118" s="1">
        <v>0</v>
      </c>
      <c r="I118" s="1">
        <v>1.6</v>
      </c>
      <c r="J118" s="38">
        <v>43.297899999999998</v>
      </c>
    </row>
    <row r="119" spans="1:10">
      <c r="A119" s="1">
        <v>4</v>
      </c>
      <c r="B119" s="1">
        <v>1</v>
      </c>
      <c r="C119" s="1">
        <v>1</v>
      </c>
      <c r="D119" s="1">
        <v>0</v>
      </c>
      <c r="E119" s="1">
        <v>2</v>
      </c>
      <c r="F119" s="1">
        <v>2</v>
      </c>
      <c r="G119" s="1">
        <v>1</v>
      </c>
      <c r="H119" s="1">
        <v>0</v>
      </c>
      <c r="I119" s="1">
        <v>1.6</v>
      </c>
      <c r="J119" s="38">
        <v>45.5991</v>
      </c>
    </row>
    <row r="120" spans="1:10">
      <c r="A120" s="1">
        <v>4</v>
      </c>
      <c r="B120" s="1">
        <v>1</v>
      </c>
      <c r="C120" s="1">
        <v>1</v>
      </c>
      <c r="D120" s="1">
        <v>0</v>
      </c>
      <c r="E120" s="1">
        <v>2</v>
      </c>
      <c r="F120" s="1">
        <v>2</v>
      </c>
      <c r="G120" s="1">
        <v>1</v>
      </c>
      <c r="H120" s="1">
        <v>0</v>
      </c>
      <c r="I120" s="1">
        <v>1.6</v>
      </c>
      <c r="J120" s="38">
        <v>41.7</v>
      </c>
    </row>
    <row r="121" spans="1:10">
      <c r="A121" s="1">
        <v>4</v>
      </c>
      <c r="B121" s="1">
        <v>5</v>
      </c>
      <c r="C121" s="1">
        <v>0</v>
      </c>
      <c r="D121" s="1">
        <v>0</v>
      </c>
      <c r="E121" s="1">
        <v>2</v>
      </c>
      <c r="F121" s="1">
        <v>2</v>
      </c>
      <c r="G121" s="1">
        <v>1</v>
      </c>
      <c r="H121" s="1">
        <v>0</v>
      </c>
      <c r="I121" s="1">
        <v>2.4</v>
      </c>
      <c r="J121" s="38">
        <v>38.700000000000003</v>
      </c>
    </row>
    <row r="122" spans="1:10">
      <c r="A122" s="1">
        <v>4</v>
      </c>
      <c r="B122" s="1">
        <v>4</v>
      </c>
      <c r="C122" s="1">
        <v>1</v>
      </c>
      <c r="D122" s="1">
        <v>0</v>
      </c>
      <c r="E122" s="1">
        <v>2</v>
      </c>
      <c r="F122" s="1">
        <v>2</v>
      </c>
      <c r="G122" s="1">
        <v>1</v>
      </c>
      <c r="H122" s="1">
        <v>0</v>
      </c>
      <c r="I122" s="1">
        <v>2.4</v>
      </c>
      <c r="J122" s="38">
        <v>38.700000000000003</v>
      </c>
    </row>
    <row r="123" spans="1:10">
      <c r="A123" s="1">
        <v>4</v>
      </c>
      <c r="B123" s="1">
        <v>5</v>
      </c>
      <c r="C123" s="1">
        <v>0</v>
      </c>
      <c r="D123" s="1">
        <v>0</v>
      </c>
      <c r="E123" s="1">
        <v>2</v>
      </c>
      <c r="F123" s="1">
        <v>2</v>
      </c>
      <c r="G123" s="1">
        <v>0</v>
      </c>
      <c r="H123" s="1">
        <v>1</v>
      </c>
      <c r="I123" s="1">
        <v>2.5</v>
      </c>
      <c r="J123" s="38">
        <v>37.5899</v>
      </c>
    </row>
    <row r="124" spans="1:10">
      <c r="A124" s="1">
        <v>4</v>
      </c>
      <c r="B124" s="1">
        <v>4</v>
      </c>
      <c r="C124" s="1">
        <v>1</v>
      </c>
      <c r="D124" s="1">
        <v>0</v>
      </c>
      <c r="E124" s="1">
        <v>2</v>
      </c>
      <c r="F124" s="1">
        <v>2</v>
      </c>
      <c r="G124" s="1">
        <v>0</v>
      </c>
      <c r="H124" s="1">
        <v>1</v>
      </c>
      <c r="I124" s="1">
        <v>2.5</v>
      </c>
      <c r="J124" s="38">
        <v>36.655700000000003</v>
      </c>
    </row>
    <row r="125" spans="1:10">
      <c r="A125" s="1">
        <v>4</v>
      </c>
      <c r="B125" s="1">
        <v>5</v>
      </c>
      <c r="C125" s="1">
        <v>0</v>
      </c>
      <c r="D125" s="1">
        <v>0</v>
      </c>
      <c r="E125" s="1">
        <v>2</v>
      </c>
      <c r="F125" s="1">
        <v>2</v>
      </c>
      <c r="G125" s="1">
        <v>1</v>
      </c>
      <c r="H125" s="1">
        <v>0</v>
      </c>
      <c r="I125" s="1">
        <v>2.5</v>
      </c>
      <c r="J125" s="38">
        <v>34.434100000000001</v>
      </c>
    </row>
    <row r="126" spans="1:10">
      <c r="A126" s="1">
        <v>4</v>
      </c>
      <c r="B126" s="1">
        <v>6</v>
      </c>
      <c r="C126" s="1">
        <v>0</v>
      </c>
      <c r="D126" s="1">
        <v>0</v>
      </c>
      <c r="E126" s="1">
        <v>2</v>
      </c>
      <c r="F126" s="1">
        <v>2</v>
      </c>
      <c r="G126" s="1">
        <v>1</v>
      </c>
      <c r="H126" s="1">
        <v>0</v>
      </c>
      <c r="I126" s="1">
        <v>2.5</v>
      </c>
      <c r="J126" s="38">
        <v>31.366900000000001</v>
      </c>
    </row>
    <row r="127" spans="1:10">
      <c r="A127" s="1">
        <v>6</v>
      </c>
      <c r="B127" s="1">
        <v>7</v>
      </c>
      <c r="C127" s="1">
        <v>1</v>
      </c>
      <c r="D127" s="1">
        <v>0</v>
      </c>
      <c r="E127" s="1">
        <v>2</v>
      </c>
      <c r="F127" s="1">
        <v>2</v>
      </c>
      <c r="G127" s="1">
        <v>1</v>
      </c>
      <c r="H127" s="1">
        <v>0</v>
      </c>
      <c r="I127" s="1">
        <v>3.5</v>
      </c>
      <c r="J127" s="38">
        <v>32.200000000000003</v>
      </c>
    </row>
    <row r="128" spans="1:10">
      <c r="A128" s="1">
        <v>6</v>
      </c>
      <c r="B128" s="1">
        <v>4</v>
      </c>
      <c r="C128" s="1">
        <v>1</v>
      </c>
      <c r="D128" s="1">
        <v>0</v>
      </c>
      <c r="E128" s="1">
        <v>1</v>
      </c>
      <c r="F128" s="1">
        <v>1</v>
      </c>
      <c r="G128" s="1">
        <v>0</v>
      </c>
      <c r="H128" s="1">
        <v>0</v>
      </c>
      <c r="I128" s="1">
        <v>3.7</v>
      </c>
      <c r="J128" s="38">
        <v>28.1</v>
      </c>
    </row>
    <row r="129" spans="1:10">
      <c r="A129" s="1">
        <v>8</v>
      </c>
      <c r="B129" s="1">
        <v>5</v>
      </c>
      <c r="C129" s="1">
        <v>1</v>
      </c>
      <c r="D129" s="1">
        <v>0</v>
      </c>
      <c r="E129" s="1">
        <v>1</v>
      </c>
      <c r="F129" s="1">
        <v>1</v>
      </c>
      <c r="G129" s="1">
        <v>0</v>
      </c>
      <c r="H129" s="1">
        <v>0</v>
      </c>
      <c r="I129" s="1">
        <v>4.7</v>
      </c>
      <c r="J129" s="38">
        <v>25.7</v>
      </c>
    </row>
    <row r="130" spans="1:10">
      <c r="A130" s="1">
        <v>6</v>
      </c>
      <c r="B130" s="1">
        <v>4</v>
      </c>
      <c r="C130" s="1">
        <v>1</v>
      </c>
      <c r="D130" s="1">
        <v>0</v>
      </c>
      <c r="E130" s="1">
        <v>1</v>
      </c>
      <c r="F130" s="1">
        <v>1</v>
      </c>
      <c r="G130" s="1">
        <v>0</v>
      </c>
      <c r="H130" s="1">
        <v>0</v>
      </c>
      <c r="I130" s="1">
        <v>3.7</v>
      </c>
      <c r="J130" s="38">
        <v>27.8</v>
      </c>
    </row>
    <row r="131" spans="1:10">
      <c r="A131" s="1">
        <v>8</v>
      </c>
      <c r="B131" s="1">
        <v>5</v>
      </c>
      <c r="C131" s="1">
        <v>1</v>
      </c>
      <c r="D131" s="1">
        <v>0</v>
      </c>
      <c r="E131" s="1">
        <v>1</v>
      </c>
      <c r="F131" s="1">
        <v>1</v>
      </c>
      <c r="G131" s="1">
        <v>0</v>
      </c>
      <c r="H131" s="1">
        <v>0</v>
      </c>
      <c r="I131" s="1">
        <v>4.7</v>
      </c>
      <c r="J131" s="38">
        <v>25.6</v>
      </c>
    </row>
    <row r="132" spans="1:10">
      <c r="A132" s="1">
        <v>8</v>
      </c>
      <c r="B132" s="1">
        <v>5</v>
      </c>
      <c r="C132" s="1">
        <v>1</v>
      </c>
      <c r="D132" s="1">
        <v>0</v>
      </c>
      <c r="E132" s="1">
        <v>1</v>
      </c>
      <c r="F132" s="1">
        <v>1</v>
      </c>
      <c r="G132" s="1">
        <v>1</v>
      </c>
      <c r="H132" s="1">
        <v>0</v>
      </c>
      <c r="I132" s="1">
        <v>5.7</v>
      </c>
      <c r="J132" s="38">
        <v>27.2</v>
      </c>
    </row>
    <row r="133" spans="1:10">
      <c r="A133" s="1">
        <v>6</v>
      </c>
      <c r="B133" s="1">
        <v>6</v>
      </c>
      <c r="C133" s="1">
        <v>1</v>
      </c>
      <c r="D133" s="1">
        <v>1</v>
      </c>
      <c r="E133" s="1">
        <v>2</v>
      </c>
      <c r="F133" s="1">
        <v>2</v>
      </c>
      <c r="G133" s="1">
        <v>1</v>
      </c>
      <c r="H133" s="1">
        <v>0</v>
      </c>
      <c r="I133" s="1">
        <v>3.7</v>
      </c>
      <c r="J133" s="38">
        <v>31.364100000000001</v>
      </c>
    </row>
    <row r="134" spans="1:10">
      <c r="A134" s="1">
        <v>6</v>
      </c>
      <c r="B134" s="1">
        <v>6</v>
      </c>
      <c r="C134" s="1">
        <v>0</v>
      </c>
      <c r="D134" s="1">
        <v>1</v>
      </c>
      <c r="E134" s="1">
        <v>2</v>
      </c>
      <c r="F134" s="1">
        <v>2</v>
      </c>
      <c r="G134" s="1">
        <v>1</v>
      </c>
      <c r="H134" s="1">
        <v>0</v>
      </c>
      <c r="I134" s="1">
        <v>3.7</v>
      </c>
      <c r="J134" s="38">
        <v>31.363900000000001</v>
      </c>
    </row>
    <row r="135" spans="1:10">
      <c r="A135" s="1">
        <v>8</v>
      </c>
      <c r="B135" s="1">
        <v>6</v>
      </c>
      <c r="C135" s="1">
        <v>1</v>
      </c>
      <c r="D135" s="1">
        <v>1</v>
      </c>
      <c r="E135" s="1">
        <v>2</v>
      </c>
      <c r="F135" s="1">
        <v>2</v>
      </c>
      <c r="G135" s="1">
        <v>1</v>
      </c>
      <c r="H135" s="1">
        <v>0</v>
      </c>
      <c r="I135" s="1">
        <v>5</v>
      </c>
      <c r="J135" s="38">
        <v>28.716000000000001</v>
      </c>
    </row>
    <row r="136" spans="1:10">
      <c r="A136" s="1">
        <v>8</v>
      </c>
      <c r="B136" s="1">
        <v>6</v>
      </c>
      <c r="C136" s="1">
        <v>0</v>
      </c>
      <c r="D136" s="1">
        <v>1</v>
      </c>
      <c r="E136" s="1">
        <v>2</v>
      </c>
      <c r="F136" s="1">
        <v>2</v>
      </c>
      <c r="G136" s="1">
        <v>1</v>
      </c>
      <c r="H136" s="1">
        <v>0</v>
      </c>
      <c r="I136" s="1">
        <v>5</v>
      </c>
      <c r="J136" s="38">
        <v>28.700900000000001</v>
      </c>
    </row>
    <row r="137" spans="1:10">
      <c r="A137" s="1">
        <v>6</v>
      </c>
      <c r="B137" s="1">
        <v>4</v>
      </c>
      <c r="C137" s="1">
        <v>1</v>
      </c>
      <c r="D137" s="1">
        <v>0</v>
      </c>
      <c r="E137" s="1">
        <v>1</v>
      </c>
      <c r="F137" s="1">
        <v>1</v>
      </c>
      <c r="G137" s="1">
        <v>0</v>
      </c>
      <c r="H137" s="1">
        <v>0</v>
      </c>
      <c r="I137" s="1">
        <v>3.7</v>
      </c>
      <c r="J137" s="38">
        <v>24.4</v>
      </c>
    </row>
    <row r="138" spans="1:10">
      <c r="A138" s="1">
        <v>8</v>
      </c>
      <c r="B138" s="1">
        <v>5</v>
      </c>
      <c r="C138" s="1">
        <v>0</v>
      </c>
      <c r="D138" s="1">
        <v>0</v>
      </c>
      <c r="E138" s="1">
        <v>1</v>
      </c>
      <c r="F138" s="1">
        <v>1</v>
      </c>
      <c r="G138" s="1">
        <v>0</v>
      </c>
      <c r="H138" s="1">
        <v>0</v>
      </c>
      <c r="I138" s="1">
        <v>4.7</v>
      </c>
      <c r="J138" s="38">
        <v>25.6</v>
      </c>
    </row>
    <row r="139" spans="1:10">
      <c r="A139" s="1">
        <v>8</v>
      </c>
      <c r="B139" s="1">
        <v>5</v>
      </c>
      <c r="C139" s="1">
        <v>1</v>
      </c>
      <c r="D139" s="1">
        <v>0</v>
      </c>
      <c r="E139" s="1">
        <v>1</v>
      </c>
      <c r="F139" s="1">
        <v>1</v>
      </c>
      <c r="G139" s="1">
        <v>0</v>
      </c>
      <c r="H139" s="1">
        <v>0</v>
      </c>
      <c r="I139" s="1">
        <v>4.7</v>
      </c>
      <c r="J139" s="38">
        <v>24.6</v>
      </c>
    </row>
    <row r="140" spans="1:10">
      <c r="A140" s="1">
        <v>8</v>
      </c>
      <c r="B140" s="1">
        <v>5</v>
      </c>
      <c r="C140" s="1">
        <v>1</v>
      </c>
      <c r="D140" s="1">
        <v>0</v>
      </c>
      <c r="E140" s="1">
        <v>1</v>
      </c>
      <c r="F140" s="1">
        <v>1</v>
      </c>
      <c r="G140" s="1">
        <v>1</v>
      </c>
      <c r="H140" s="1">
        <v>0</v>
      </c>
      <c r="I140" s="1">
        <v>5.7</v>
      </c>
      <c r="J140" s="38">
        <v>25.6</v>
      </c>
    </row>
    <row r="141" spans="1:10">
      <c r="A141" s="1">
        <v>6</v>
      </c>
      <c r="B141" s="1">
        <v>6</v>
      </c>
      <c r="C141" s="1">
        <v>1</v>
      </c>
      <c r="D141" s="1">
        <v>1</v>
      </c>
      <c r="E141" s="1">
        <v>2</v>
      </c>
      <c r="F141" s="1">
        <v>2</v>
      </c>
      <c r="G141" s="1">
        <v>1</v>
      </c>
      <c r="H141" s="1">
        <v>0</v>
      </c>
      <c r="I141" s="1">
        <v>3.7</v>
      </c>
      <c r="J141" s="38">
        <v>28.566800000000001</v>
      </c>
    </row>
    <row r="142" spans="1:10">
      <c r="A142" s="1">
        <v>6</v>
      </c>
      <c r="B142" s="1">
        <v>6</v>
      </c>
      <c r="C142" s="1">
        <v>0</v>
      </c>
      <c r="D142" s="1">
        <v>1</v>
      </c>
      <c r="E142" s="1">
        <v>2</v>
      </c>
      <c r="F142" s="1">
        <v>2</v>
      </c>
      <c r="G142" s="1">
        <v>1</v>
      </c>
      <c r="H142" s="1">
        <v>0</v>
      </c>
      <c r="I142" s="1">
        <v>3.7</v>
      </c>
      <c r="J142" s="38">
        <v>28.567399999999999</v>
      </c>
    </row>
    <row r="143" spans="1:10">
      <c r="A143" s="1">
        <v>8</v>
      </c>
      <c r="B143" s="1">
        <v>6</v>
      </c>
      <c r="C143" s="1">
        <v>1</v>
      </c>
      <c r="D143" s="1">
        <v>1</v>
      </c>
      <c r="E143" s="1">
        <v>2</v>
      </c>
      <c r="F143" s="1">
        <v>2</v>
      </c>
      <c r="G143" s="1">
        <v>1</v>
      </c>
      <c r="H143" s="1">
        <v>0</v>
      </c>
      <c r="I143" s="1">
        <v>5</v>
      </c>
      <c r="J143" s="38">
        <v>25.897500000000001</v>
      </c>
    </row>
    <row r="144" spans="1:10">
      <c r="A144" s="1">
        <v>8</v>
      </c>
      <c r="B144" s="1">
        <v>6</v>
      </c>
      <c r="C144" s="1">
        <v>0</v>
      </c>
      <c r="D144" s="1">
        <v>1</v>
      </c>
      <c r="E144" s="1">
        <v>2</v>
      </c>
      <c r="F144" s="1">
        <v>2</v>
      </c>
      <c r="G144" s="1">
        <v>1</v>
      </c>
      <c r="H144" s="1">
        <v>0</v>
      </c>
      <c r="I144" s="1">
        <v>5</v>
      </c>
      <c r="J144" s="38">
        <v>25.897200000000002</v>
      </c>
    </row>
    <row r="145" spans="1:10">
      <c r="A145" s="1">
        <v>8</v>
      </c>
      <c r="B145" s="1">
        <v>6</v>
      </c>
      <c r="C145" s="1">
        <v>0</v>
      </c>
      <c r="D145" s="1">
        <v>1</v>
      </c>
      <c r="E145" s="1">
        <v>1</v>
      </c>
      <c r="F145" s="1">
        <v>1</v>
      </c>
      <c r="G145" s="1">
        <v>1</v>
      </c>
      <c r="H145" s="1">
        <v>0</v>
      </c>
      <c r="I145" s="1">
        <v>6.2</v>
      </c>
      <c r="J145" s="38">
        <v>19.5139</v>
      </c>
    </row>
    <row r="146" spans="1:10">
      <c r="A146" s="1">
        <v>4</v>
      </c>
      <c r="B146" s="1">
        <v>6</v>
      </c>
      <c r="C146" s="1">
        <v>0</v>
      </c>
      <c r="D146" s="1">
        <v>0</v>
      </c>
      <c r="E146" s="1">
        <v>2</v>
      </c>
      <c r="F146" s="1">
        <v>2</v>
      </c>
      <c r="G146" s="1">
        <v>0</v>
      </c>
      <c r="H146" s="1">
        <v>0</v>
      </c>
      <c r="I146" s="1">
        <v>2.2000000000000002</v>
      </c>
      <c r="J146" s="38">
        <v>30.45</v>
      </c>
    </row>
    <row r="147" spans="1:10">
      <c r="A147" s="1">
        <v>8</v>
      </c>
      <c r="B147" s="1">
        <v>6</v>
      </c>
      <c r="C147" s="1">
        <v>1</v>
      </c>
      <c r="D147" s="1">
        <v>0</v>
      </c>
      <c r="E147" s="1">
        <v>1</v>
      </c>
      <c r="F147" s="1">
        <v>1</v>
      </c>
      <c r="G147" s="1">
        <v>1</v>
      </c>
      <c r="H147" s="1">
        <v>0</v>
      </c>
      <c r="I147" s="1">
        <v>6</v>
      </c>
      <c r="J147" s="38">
        <v>21.473400000000002</v>
      </c>
    </row>
    <row r="148" spans="1:10">
      <c r="A148" s="1">
        <v>8</v>
      </c>
      <c r="B148" s="1">
        <v>6</v>
      </c>
      <c r="C148" s="1">
        <v>1</v>
      </c>
      <c r="D148" s="1">
        <v>0</v>
      </c>
      <c r="E148" s="1">
        <v>1</v>
      </c>
      <c r="F148" s="1">
        <v>1</v>
      </c>
      <c r="G148" s="1">
        <v>1</v>
      </c>
      <c r="H148" s="1">
        <v>0</v>
      </c>
      <c r="I148" s="1">
        <v>6</v>
      </c>
      <c r="J148" s="38">
        <v>21.473400000000002</v>
      </c>
    </row>
    <row r="149" spans="1:10">
      <c r="A149" s="1">
        <v>8</v>
      </c>
      <c r="B149" s="1">
        <v>6</v>
      </c>
      <c r="C149" s="1">
        <v>1</v>
      </c>
      <c r="D149" s="1">
        <v>0</v>
      </c>
      <c r="E149" s="1">
        <v>1</v>
      </c>
      <c r="F149" s="1">
        <v>1</v>
      </c>
      <c r="G149" s="1">
        <v>1</v>
      </c>
      <c r="H149" s="1">
        <v>0</v>
      </c>
      <c r="I149" s="1">
        <v>6</v>
      </c>
      <c r="J149" s="38">
        <v>21.473400000000002</v>
      </c>
    </row>
    <row r="150" spans="1:10">
      <c r="A150" s="1">
        <v>8</v>
      </c>
      <c r="B150" s="1">
        <v>4</v>
      </c>
      <c r="C150" s="1">
        <v>1</v>
      </c>
      <c r="D150" s="1">
        <v>1</v>
      </c>
      <c r="E150" s="1">
        <v>1</v>
      </c>
      <c r="F150" s="1">
        <v>1</v>
      </c>
      <c r="G150" s="1">
        <v>0</v>
      </c>
      <c r="H150" s="1">
        <v>0</v>
      </c>
      <c r="I150" s="1">
        <v>4.5999999999999996</v>
      </c>
      <c r="J150" s="38">
        <v>23</v>
      </c>
    </row>
    <row r="151" spans="1:10">
      <c r="A151" s="1">
        <v>8</v>
      </c>
      <c r="B151" s="1">
        <v>4</v>
      </c>
      <c r="C151" s="1">
        <v>1</v>
      </c>
      <c r="D151" s="1">
        <v>1</v>
      </c>
      <c r="E151" s="1">
        <v>1</v>
      </c>
      <c r="F151" s="1">
        <v>1</v>
      </c>
      <c r="G151" s="1">
        <v>0</v>
      </c>
      <c r="H151" s="1">
        <v>0</v>
      </c>
      <c r="I151" s="1">
        <v>5.4</v>
      </c>
      <c r="J151" s="38">
        <v>21.8</v>
      </c>
    </row>
    <row r="152" spans="1:10">
      <c r="A152" s="1">
        <v>8</v>
      </c>
      <c r="B152" s="1">
        <v>4</v>
      </c>
      <c r="C152" s="1">
        <v>1</v>
      </c>
      <c r="D152" s="1">
        <v>1</v>
      </c>
      <c r="E152" s="1">
        <v>1</v>
      </c>
      <c r="F152" s="1">
        <v>1</v>
      </c>
      <c r="G152" s="1">
        <v>0</v>
      </c>
      <c r="H152" s="1">
        <v>0</v>
      </c>
      <c r="I152" s="1">
        <v>4.5999999999999996</v>
      </c>
      <c r="J152" s="38">
        <v>23</v>
      </c>
    </row>
    <row r="153" spans="1:10">
      <c r="A153" s="1">
        <v>8</v>
      </c>
      <c r="B153" s="1">
        <v>4</v>
      </c>
      <c r="C153" s="1">
        <v>1</v>
      </c>
      <c r="D153" s="1">
        <v>1</v>
      </c>
      <c r="E153" s="1">
        <v>1</v>
      </c>
      <c r="F153" s="1">
        <v>1</v>
      </c>
      <c r="G153" s="1">
        <v>0</v>
      </c>
      <c r="H153" s="1">
        <v>0</v>
      </c>
      <c r="I153" s="1">
        <v>5.4</v>
      </c>
      <c r="J153" s="38">
        <v>21.641200000000001</v>
      </c>
    </row>
    <row r="154" spans="1:10">
      <c r="A154" s="1">
        <v>10</v>
      </c>
      <c r="B154" s="1">
        <v>5</v>
      </c>
      <c r="C154" s="1">
        <v>1</v>
      </c>
      <c r="D154" s="1">
        <v>1</v>
      </c>
      <c r="E154" s="1">
        <v>1</v>
      </c>
      <c r="F154" s="1">
        <v>1</v>
      </c>
      <c r="G154" s="1">
        <v>0</v>
      </c>
      <c r="H154" s="1">
        <v>0</v>
      </c>
      <c r="I154" s="1">
        <v>6.8</v>
      </c>
      <c r="J154" s="38">
        <v>18.600000000000001</v>
      </c>
    </row>
    <row r="155" spans="1:10">
      <c r="A155" s="1">
        <v>8</v>
      </c>
      <c r="B155" s="1">
        <v>4</v>
      </c>
      <c r="C155" s="1">
        <v>1</v>
      </c>
      <c r="D155" s="1">
        <v>1</v>
      </c>
      <c r="E155" s="1">
        <v>1</v>
      </c>
      <c r="F155" s="1">
        <v>1</v>
      </c>
      <c r="G155" s="1">
        <v>0</v>
      </c>
      <c r="H155" s="1">
        <v>0</v>
      </c>
      <c r="I155" s="1">
        <v>5.4</v>
      </c>
      <c r="J155" s="38">
        <v>21.2</v>
      </c>
    </row>
    <row r="156" spans="1:10">
      <c r="A156" s="1">
        <v>8</v>
      </c>
      <c r="B156" s="1">
        <v>6</v>
      </c>
      <c r="C156" s="1">
        <v>1</v>
      </c>
      <c r="D156" s="1">
        <v>0</v>
      </c>
      <c r="E156" s="1">
        <v>1</v>
      </c>
      <c r="F156" s="1">
        <v>1</v>
      </c>
      <c r="G156" s="1">
        <v>1</v>
      </c>
      <c r="H156" s="1">
        <v>0</v>
      </c>
      <c r="I156" s="1">
        <v>6</v>
      </c>
      <c r="J156" s="38">
        <v>21.473400000000002</v>
      </c>
    </row>
    <row r="157" spans="1:10">
      <c r="A157" s="1">
        <v>8</v>
      </c>
      <c r="B157" s="1">
        <v>6</v>
      </c>
      <c r="C157" s="1">
        <v>1</v>
      </c>
      <c r="D157" s="1">
        <v>0</v>
      </c>
      <c r="E157" s="1">
        <v>1</v>
      </c>
      <c r="F157" s="1">
        <v>1</v>
      </c>
      <c r="G157" s="1">
        <v>1</v>
      </c>
      <c r="H157" s="1">
        <v>0</v>
      </c>
      <c r="I157" s="1">
        <v>6</v>
      </c>
      <c r="J157" s="38">
        <v>21.473400000000002</v>
      </c>
    </row>
    <row r="158" spans="1:10">
      <c r="A158" s="1">
        <v>8</v>
      </c>
      <c r="B158" s="1">
        <v>6</v>
      </c>
      <c r="C158" s="1">
        <v>1</v>
      </c>
      <c r="D158" s="1">
        <v>0</v>
      </c>
      <c r="E158" s="1">
        <v>1</v>
      </c>
      <c r="F158" s="1">
        <v>1</v>
      </c>
      <c r="G158" s="1">
        <v>1</v>
      </c>
      <c r="H158" s="1">
        <v>0</v>
      </c>
      <c r="I158" s="1">
        <v>6</v>
      </c>
      <c r="J158" s="38">
        <v>21.473400000000002</v>
      </c>
    </row>
    <row r="159" spans="1:10">
      <c r="A159" s="1">
        <v>8</v>
      </c>
      <c r="B159" s="1">
        <v>6</v>
      </c>
      <c r="C159" s="1">
        <v>1</v>
      </c>
      <c r="D159" s="1">
        <v>0</v>
      </c>
      <c r="E159" s="1">
        <v>1</v>
      </c>
      <c r="F159" s="1">
        <v>1</v>
      </c>
      <c r="G159" s="1">
        <v>1</v>
      </c>
      <c r="H159" s="1">
        <v>0</v>
      </c>
      <c r="I159" s="1">
        <v>4.8</v>
      </c>
      <c r="J159" s="38">
        <v>22.8</v>
      </c>
    </row>
    <row r="160" spans="1:10">
      <c r="A160" s="1">
        <v>8</v>
      </c>
      <c r="B160" s="1">
        <v>6</v>
      </c>
      <c r="C160" s="1">
        <v>1</v>
      </c>
      <c r="D160" s="1">
        <v>0</v>
      </c>
      <c r="E160" s="1">
        <v>1</v>
      </c>
      <c r="F160" s="1">
        <v>1</v>
      </c>
      <c r="G160" s="1">
        <v>1</v>
      </c>
      <c r="H160" s="1">
        <v>0</v>
      </c>
      <c r="I160" s="1">
        <v>6</v>
      </c>
      <c r="J160" s="38">
        <v>21.8</v>
      </c>
    </row>
    <row r="161" spans="1:10">
      <c r="A161" s="1">
        <v>8</v>
      </c>
      <c r="B161" s="1">
        <v>6</v>
      </c>
      <c r="C161" s="1">
        <v>1</v>
      </c>
      <c r="D161" s="1">
        <v>0</v>
      </c>
      <c r="E161" s="1">
        <v>1</v>
      </c>
      <c r="F161" s="1">
        <v>1</v>
      </c>
      <c r="G161" s="1">
        <v>1</v>
      </c>
      <c r="H161" s="1">
        <v>0</v>
      </c>
      <c r="I161" s="1">
        <v>6</v>
      </c>
      <c r="J161" s="38">
        <v>21.628499999999999</v>
      </c>
    </row>
    <row r="162" spans="1:10">
      <c r="A162" s="1">
        <v>8</v>
      </c>
      <c r="B162" s="1">
        <v>4</v>
      </c>
      <c r="C162" s="1">
        <v>1</v>
      </c>
      <c r="D162" s="1">
        <v>1</v>
      </c>
      <c r="E162" s="1">
        <v>1</v>
      </c>
      <c r="F162" s="1">
        <v>1</v>
      </c>
      <c r="G162" s="1">
        <v>0</v>
      </c>
      <c r="H162" s="1">
        <v>0</v>
      </c>
      <c r="I162" s="1">
        <v>4.5999999999999996</v>
      </c>
      <c r="J162" s="38">
        <v>21.9</v>
      </c>
    </row>
    <row r="163" spans="1:10">
      <c r="A163" s="1">
        <v>8</v>
      </c>
      <c r="B163" s="1">
        <v>4</v>
      </c>
      <c r="C163" s="1">
        <v>1</v>
      </c>
      <c r="D163" s="1">
        <v>1</v>
      </c>
      <c r="E163" s="1">
        <v>1</v>
      </c>
      <c r="F163" s="1">
        <v>1</v>
      </c>
      <c r="G163" s="1">
        <v>0</v>
      </c>
      <c r="H163" s="1">
        <v>0</v>
      </c>
      <c r="I163" s="1">
        <v>5.4</v>
      </c>
      <c r="J163" s="38">
        <v>21.2</v>
      </c>
    </row>
    <row r="164" spans="1:10">
      <c r="A164" s="1">
        <v>10</v>
      </c>
      <c r="B164" s="1">
        <v>5</v>
      </c>
      <c r="C164" s="1">
        <v>1</v>
      </c>
      <c r="D164" s="1">
        <v>1</v>
      </c>
      <c r="E164" s="1">
        <v>1</v>
      </c>
      <c r="F164" s="1">
        <v>1</v>
      </c>
      <c r="G164" s="1">
        <v>0</v>
      </c>
      <c r="H164" s="1">
        <v>0</v>
      </c>
      <c r="I164" s="1">
        <v>6.8</v>
      </c>
      <c r="J164" s="38">
        <v>17.7</v>
      </c>
    </row>
    <row r="165" spans="1:10">
      <c r="A165" s="1">
        <v>8</v>
      </c>
      <c r="B165" s="1">
        <v>4</v>
      </c>
      <c r="C165" s="1">
        <v>1</v>
      </c>
      <c r="D165" s="1">
        <v>1</v>
      </c>
      <c r="E165" s="1">
        <v>1</v>
      </c>
      <c r="F165" s="1">
        <v>1</v>
      </c>
      <c r="G165" s="1">
        <v>0</v>
      </c>
      <c r="H165" s="1">
        <v>0</v>
      </c>
      <c r="I165" s="1">
        <v>5.4</v>
      </c>
      <c r="J165" s="38">
        <v>20.6</v>
      </c>
    </row>
    <row r="166" spans="1:10">
      <c r="A166" s="1">
        <v>8</v>
      </c>
      <c r="B166" s="1">
        <v>6</v>
      </c>
      <c r="C166" s="1">
        <v>1</v>
      </c>
      <c r="D166" s="1">
        <v>0</v>
      </c>
      <c r="E166" s="1">
        <v>1</v>
      </c>
      <c r="F166" s="1">
        <v>1</v>
      </c>
      <c r="G166" s="1">
        <v>1</v>
      </c>
      <c r="H166" s="1">
        <v>0</v>
      </c>
      <c r="I166" s="1">
        <v>4.8</v>
      </c>
      <c r="J166" s="38">
        <v>22.8</v>
      </c>
    </row>
    <row r="167" spans="1:10">
      <c r="A167" s="1">
        <v>8</v>
      </c>
      <c r="B167" s="1">
        <v>6</v>
      </c>
      <c r="C167" s="1">
        <v>1</v>
      </c>
      <c r="D167" s="1">
        <v>0</v>
      </c>
      <c r="E167" s="1">
        <v>1</v>
      </c>
      <c r="F167" s="1">
        <v>1</v>
      </c>
      <c r="G167" s="1">
        <v>1</v>
      </c>
      <c r="H167" s="1">
        <v>0</v>
      </c>
      <c r="I167" s="1">
        <v>6</v>
      </c>
      <c r="J167" s="38">
        <v>21.8</v>
      </c>
    </row>
    <row r="168" spans="1:10">
      <c r="A168" s="1">
        <v>8</v>
      </c>
      <c r="B168" s="1">
        <v>6</v>
      </c>
      <c r="C168" s="1">
        <v>1</v>
      </c>
      <c r="D168" s="1">
        <v>0</v>
      </c>
      <c r="E168" s="1">
        <v>1</v>
      </c>
      <c r="F168" s="1">
        <v>1</v>
      </c>
      <c r="G168" s="1">
        <v>1</v>
      </c>
      <c r="H168" s="1">
        <v>0</v>
      </c>
      <c r="I168" s="1">
        <v>6</v>
      </c>
      <c r="J168" s="38">
        <v>21.651499999999999</v>
      </c>
    </row>
    <row r="169" spans="1:10">
      <c r="A169" s="1">
        <v>6</v>
      </c>
      <c r="B169" s="1">
        <v>6</v>
      </c>
      <c r="C169" s="1">
        <v>1</v>
      </c>
      <c r="D169" s="1">
        <v>0</v>
      </c>
      <c r="E169" s="1">
        <v>2</v>
      </c>
      <c r="F169" s="1">
        <v>2</v>
      </c>
      <c r="G169" s="1">
        <v>1</v>
      </c>
      <c r="H169" s="1">
        <v>0</v>
      </c>
      <c r="I169" s="1">
        <v>3.6</v>
      </c>
      <c r="J169" s="38">
        <v>35</v>
      </c>
    </row>
    <row r="170" spans="1:10">
      <c r="A170" s="1">
        <v>6</v>
      </c>
      <c r="B170" s="1">
        <v>6</v>
      </c>
      <c r="C170" s="1">
        <v>1</v>
      </c>
      <c r="D170" s="1">
        <v>0</v>
      </c>
      <c r="E170" s="1">
        <v>2</v>
      </c>
      <c r="F170" s="1">
        <v>2</v>
      </c>
      <c r="G170" s="1">
        <v>1</v>
      </c>
      <c r="H170" s="1">
        <v>0</v>
      </c>
      <c r="I170" s="1">
        <v>3.6</v>
      </c>
      <c r="J170" s="38">
        <v>35</v>
      </c>
    </row>
    <row r="171" spans="1:10">
      <c r="A171" s="1">
        <v>4</v>
      </c>
      <c r="B171" s="1">
        <v>6</v>
      </c>
      <c r="C171" s="1">
        <v>1</v>
      </c>
      <c r="D171" s="1">
        <v>0</v>
      </c>
      <c r="E171" s="1">
        <v>2</v>
      </c>
      <c r="F171" s="1">
        <v>2</v>
      </c>
      <c r="G171" s="1">
        <v>1</v>
      </c>
      <c r="H171" s="1">
        <v>0</v>
      </c>
      <c r="I171" s="1">
        <v>2.7</v>
      </c>
      <c r="J171" s="38">
        <v>37</v>
      </c>
    </row>
    <row r="172" spans="1:10">
      <c r="A172" s="1">
        <v>6</v>
      </c>
      <c r="B172" s="1">
        <v>6</v>
      </c>
      <c r="C172" s="1">
        <v>1</v>
      </c>
      <c r="D172" s="1">
        <v>0</v>
      </c>
      <c r="E172" s="1">
        <v>2</v>
      </c>
      <c r="F172" s="1">
        <v>2</v>
      </c>
      <c r="G172" s="1">
        <v>1</v>
      </c>
      <c r="H172" s="1">
        <v>0</v>
      </c>
      <c r="I172" s="1">
        <v>3.5</v>
      </c>
      <c r="J172" s="38">
        <v>34</v>
      </c>
    </row>
    <row r="173" spans="1:10">
      <c r="A173" s="1">
        <v>6</v>
      </c>
      <c r="B173" s="1">
        <v>6</v>
      </c>
      <c r="C173" s="1">
        <v>1</v>
      </c>
      <c r="D173" s="1">
        <v>0</v>
      </c>
      <c r="E173" s="1">
        <v>2</v>
      </c>
      <c r="F173" s="1">
        <v>2</v>
      </c>
      <c r="G173" s="1">
        <v>1</v>
      </c>
      <c r="H173" s="1">
        <v>0</v>
      </c>
      <c r="I173" s="1">
        <v>3.5</v>
      </c>
      <c r="J173" s="38">
        <v>30.049299999999999</v>
      </c>
    </row>
    <row r="174" spans="1:10">
      <c r="A174" s="1">
        <v>8</v>
      </c>
      <c r="B174" s="1">
        <v>6</v>
      </c>
      <c r="C174" s="1">
        <v>1</v>
      </c>
      <c r="D174" s="1">
        <v>0</v>
      </c>
      <c r="E174" s="1">
        <v>1</v>
      </c>
      <c r="F174" s="1">
        <v>1</v>
      </c>
      <c r="G174" s="1">
        <v>1</v>
      </c>
      <c r="H174" s="1">
        <v>0</v>
      </c>
      <c r="I174" s="1">
        <v>6</v>
      </c>
      <c r="J174" s="38">
        <v>21.7</v>
      </c>
    </row>
    <row r="175" spans="1:10">
      <c r="A175" s="1">
        <v>6</v>
      </c>
      <c r="B175" s="1">
        <v>5</v>
      </c>
      <c r="C175" s="1">
        <v>1</v>
      </c>
      <c r="D175" s="1">
        <v>0</v>
      </c>
      <c r="E175" s="1">
        <v>2</v>
      </c>
      <c r="F175" s="1">
        <v>2</v>
      </c>
      <c r="G175" s="1">
        <v>1</v>
      </c>
      <c r="H175" s="1">
        <v>0</v>
      </c>
      <c r="I175" s="1">
        <v>3.6</v>
      </c>
      <c r="J175" s="38">
        <v>32.299999999999997</v>
      </c>
    </row>
    <row r="176" spans="1:10">
      <c r="A176" s="1">
        <v>8</v>
      </c>
      <c r="B176" s="1">
        <v>5</v>
      </c>
      <c r="C176" s="1">
        <v>1</v>
      </c>
      <c r="D176" s="1">
        <v>0</v>
      </c>
      <c r="E176" s="1">
        <v>1</v>
      </c>
      <c r="F176" s="1">
        <v>1</v>
      </c>
      <c r="G176" s="1">
        <v>1</v>
      </c>
      <c r="H176" s="1">
        <v>0</v>
      </c>
      <c r="I176" s="1">
        <v>5.7</v>
      </c>
      <c r="J176" s="38">
        <v>27.2</v>
      </c>
    </row>
    <row r="177" spans="1:10">
      <c r="A177" s="1">
        <v>4</v>
      </c>
      <c r="B177" s="1">
        <v>4</v>
      </c>
      <c r="C177" s="1">
        <v>0</v>
      </c>
      <c r="D177" s="1">
        <v>0</v>
      </c>
      <c r="E177" s="1">
        <v>2</v>
      </c>
      <c r="F177" s="1">
        <v>2</v>
      </c>
      <c r="G177" s="1">
        <v>1</v>
      </c>
      <c r="H177" s="1">
        <v>0</v>
      </c>
      <c r="I177" s="1">
        <v>2</v>
      </c>
      <c r="J177" s="38">
        <v>36.799999999999997</v>
      </c>
    </row>
    <row r="178" spans="1:10">
      <c r="A178" s="1">
        <v>6</v>
      </c>
      <c r="B178" s="1">
        <v>6</v>
      </c>
      <c r="C178" s="1">
        <v>1</v>
      </c>
      <c r="D178" s="1">
        <v>0</v>
      </c>
      <c r="E178" s="1">
        <v>2</v>
      </c>
      <c r="F178" s="1">
        <v>2</v>
      </c>
      <c r="G178" s="1">
        <v>1</v>
      </c>
      <c r="H178" s="1">
        <v>0</v>
      </c>
      <c r="I178" s="1">
        <v>3.6</v>
      </c>
      <c r="J178" s="38">
        <v>35.5</v>
      </c>
    </row>
    <row r="179" spans="1:10">
      <c r="A179" s="1">
        <v>6</v>
      </c>
      <c r="B179" s="1">
        <v>4</v>
      </c>
      <c r="C179" s="1">
        <v>1</v>
      </c>
      <c r="D179" s="1">
        <v>0</v>
      </c>
      <c r="E179" s="1">
        <v>1</v>
      </c>
      <c r="F179" s="1">
        <v>1</v>
      </c>
      <c r="G179" s="1">
        <v>0</v>
      </c>
      <c r="H179" s="1">
        <v>0</v>
      </c>
      <c r="I179" s="1">
        <v>3.7</v>
      </c>
      <c r="J179" s="38">
        <v>30.4</v>
      </c>
    </row>
    <row r="180" spans="1:10">
      <c r="A180" s="1">
        <v>6</v>
      </c>
      <c r="B180" s="1">
        <v>5</v>
      </c>
      <c r="C180" s="1">
        <v>1</v>
      </c>
      <c r="D180" s="1">
        <v>0</v>
      </c>
      <c r="E180" s="1">
        <v>2</v>
      </c>
      <c r="F180" s="1">
        <v>2</v>
      </c>
      <c r="G180" s="1">
        <v>0</v>
      </c>
      <c r="H180" s="1">
        <v>0</v>
      </c>
      <c r="I180" s="1">
        <v>4</v>
      </c>
      <c r="J180" s="38">
        <v>29.4</v>
      </c>
    </row>
    <row r="181" spans="1:10">
      <c r="A181" s="1">
        <v>6</v>
      </c>
      <c r="B181" s="1">
        <v>6</v>
      </c>
      <c r="C181" s="1">
        <v>1</v>
      </c>
      <c r="D181" s="1">
        <v>1</v>
      </c>
      <c r="E181" s="1">
        <v>2</v>
      </c>
      <c r="F181" s="1">
        <v>2</v>
      </c>
      <c r="G181" s="1">
        <v>1</v>
      </c>
      <c r="H181" s="1">
        <v>0</v>
      </c>
      <c r="I181" s="1">
        <v>3.5</v>
      </c>
      <c r="J181" s="38">
        <v>34.762999999999998</v>
      </c>
    </row>
    <row r="182" spans="1:10">
      <c r="A182" s="1">
        <v>6</v>
      </c>
      <c r="B182" s="1">
        <v>6</v>
      </c>
      <c r="C182" s="1">
        <v>1</v>
      </c>
      <c r="D182" s="1">
        <v>1</v>
      </c>
      <c r="E182" s="1">
        <v>2</v>
      </c>
      <c r="F182" s="1">
        <v>2</v>
      </c>
      <c r="G182" s="1">
        <v>1</v>
      </c>
      <c r="H182" s="1">
        <v>0</v>
      </c>
      <c r="I182" s="1">
        <v>3.5</v>
      </c>
      <c r="J182" s="38">
        <v>34.767499999999998</v>
      </c>
    </row>
    <row r="183" spans="1:10">
      <c r="A183" s="1">
        <v>8</v>
      </c>
      <c r="B183" s="1">
        <v>1</v>
      </c>
      <c r="C183" s="1">
        <v>0</v>
      </c>
      <c r="D183" s="1">
        <v>0</v>
      </c>
      <c r="E183" s="1">
        <v>1</v>
      </c>
      <c r="F183" s="1">
        <v>1</v>
      </c>
      <c r="G183" s="1">
        <v>1</v>
      </c>
      <c r="H183" s="1">
        <v>0</v>
      </c>
      <c r="I183" s="1">
        <v>6</v>
      </c>
      <c r="J183" s="38">
        <v>32.799999999999997</v>
      </c>
    </row>
    <row r="184" spans="1:10">
      <c r="A184" s="1">
        <v>8</v>
      </c>
      <c r="B184" s="1">
        <v>6</v>
      </c>
      <c r="C184" s="1">
        <v>1</v>
      </c>
      <c r="D184" s="1">
        <v>0</v>
      </c>
      <c r="E184" s="1">
        <v>1</v>
      </c>
      <c r="F184" s="1">
        <v>1</v>
      </c>
      <c r="G184" s="1">
        <v>1</v>
      </c>
      <c r="H184" s="1">
        <v>0</v>
      </c>
      <c r="I184" s="1">
        <v>6</v>
      </c>
      <c r="J184" s="38">
        <v>21.7</v>
      </c>
    </row>
    <row r="185" spans="1:10">
      <c r="A185" s="1">
        <v>4</v>
      </c>
      <c r="B185" s="1">
        <v>6</v>
      </c>
      <c r="C185" s="1">
        <v>1</v>
      </c>
      <c r="D185" s="1">
        <v>0</v>
      </c>
      <c r="E185" s="1">
        <v>2</v>
      </c>
      <c r="F185" s="1">
        <v>2</v>
      </c>
      <c r="G185" s="1">
        <v>1</v>
      </c>
      <c r="H185" s="1">
        <v>0</v>
      </c>
      <c r="I185" s="1">
        <v>2.4</v>
      </c>
      <c r="J185" s="38">
        <v>40.299999999999997</v>
      </c>
    </row>
    <row r="186" spans="1:10">
      <c r="A186" s="1">
        <v>4</v>
      </c>
      <c r="B186" s="1">
        <v>6</v>
      </c>
      <c r="C186" s="1">
        <v>0</v>
      </c>
      <c r="D186" s="1">
        <v>0</v>
      </c>
      <c r="E186" s="1">
        <v>2</v>
      </c>
      <c r="F186" s="1">
        <v>2</v>
      </c>
      <c r="G186" s="1">
        <v>1</v>
      </c>
      <c r="H186" s="1">
        <v>0</v>
      </c>
      <c r="I186" s="1">
        <v>2.4</v>
      </c>
      <c r="J186" s="38">
        <v>37.299999999999997</v>
      </c>
    </row>
    <row r="187" spans="1:10">
      <c r="A187" s="1">
        <v>6</v>
      </c>
      <c r="B187" s="1">
        <v>6</v>
      </c>
      <c r="C187" s="1">
        <v>1</v>
      </c>
      <c r="D187" s="1">
        <v>0</v>
      </c>
      <c r="E187" s="1">
        <v>2</v>
      </c>
      <c r="F187" s="1">
        <v>2</v>
      </c>
      <c r="G187" s="1">
        <v>1</v>
      </c>
      <c r="H187" s="1">
        <v>0</v>
      </c>
      <c r="I187" s="1">
        <v>3.5</v>
      </c>
      <c r="J187" s="38">
        <v>35.799999999999997</v>
      </c>
    </row>
    <row r="188" spans="1:10">
      <c r="A188" s="1">
        <v>8</v>
      </c>
      <c r="B188" s="1">
        <v>6</v>
      </c>
      <c r="C188" s="1">
        <v>1</v>
      </c>
      <c r="D188" s="1">
        <v>1</v>
      </c>
      <c r="E188" s="1">
        <v>2</v>
      </c>
      <c r="F188" s="1">
        <v>1</v>
      </c>
      <c r="G188" s="1">
        <v>1</v>
      </c>
      <c r="H188" s="1">
        <v>0</v>
      </c>
      <c r="I188" s="1">
        <v>5.4</v>
      </c>
      <c r="J188" s="38">
        <v>24.1556</v>
      </c>
    </row>
    <row r="189" spans="1:10">
      <c r="A189" s="1">
        <v>4</v>
      </c>
      <c r="B189" s="1">
        <v>5</v>
      </c>
      <c r="C189" s="1">
        <v>0</v>
      </c>
      <c r="D189" s="1">
        <v>0</v>
      </c>
      <c r="E189" s="1">
        <v>2</v>
      </c>
      <c r="F189" s="1">
        <v>2</v>
      </c>
      <c r="G189" s="1">
        <v>1</v>
      </c>
      <c r="H189" s="1">
        <v>0</v>
      </c>
      <c r="I189" s="1">
        <v>2</v>
      </c>
      <c r="J189" s="38">
        <v>43.2</v>
      </c>
    </row>
    <row r="190" spans="1:10">
      <c r="A190" s="1">
        <v>4</v>
      </c>
      <c r="B190" s="1">
        <v>1</v>
      </c>
      <c r="C190" s="1">
        <v>0</v>
      </c>
      <c r="D190" s="1">
        <v>0</v>
      </c>
      <c r="E190" s="1">
        <v>2</v>
      </c>
      <c r="F190" s="1">
        <v>2</v>
      </c>
      <c r="G190" s="1">
        <v>1</v>
      </c>
      <c r="H190" s="1">
        <v>0</v>
      </c>
      <c r="I190" s="1">
        <v>2</v>
      </c>
      <c r="J190" s="38">
        <v>42.973300000000002</v>
      </c>
    </row>
    <row r="191" spans="1:10">
      <c r="A191" s="1">
        <v>6</v>
      </c>
      <c r="B191" s="1">
        <v>6</v>
      </c>
      <c r="C191" s="1">
        <v>1</v>
      </c>
      <c r="D191" s="1">
        <v>0</v>
      </c>
      <c r="E191" s="1">
        <v>2</v>
      </c>
      <c r="F191" s="1">
        <v>2</v>
      </c>
      <c r="G191" s="1">
        <v>1</v>
      </c>
      <c r="H191" s="1">
        <v>0</v>
      </c>
      <c r="I191" s="1">
        <v>3.2</v>
      </c>
      <c r="J191" s="38">
        <v>34.542400000000001</v>
      </c>
    </row>
    <row r="192" spans="1:10">
      <c r="A192" s="1">
        <v>6</v>
      </c>
      <c r="B192" s="1">
        <v>6</v>
      </c>
      <c r="C192" s="1">
        <v>1</v>
      </c>
      <c r="D192" s="1">
        <v>0</v>
      </c>
      <c r="E192" s="1">
        <v>2</v>
      </c>
      <c r="F192" s="1">
        <v>2</v>
      </c>
      <c r="G192" s="1">
        <v>1</v>
      </c>
      <c r="H192" s="1">
        <v>0</v>
      </c>
      <c r="I192" s="1">
        <v>3.2</v>
      </c>
      <c r="J192" s="38">
        <v>34.542400000000001</v>
      </c>
    </row>
    <row r="193" spans="1:10">
      <c r="A193" s="1">
        <v>6</v>
      </c>
      <c r="B193" s="1">
        <v>8</v>
      </c>
      <c r="C193" s="1">
        <v>1</v>
      </c>
      <c r="D193" s="1">
        <v>0</v>
      </c>
      <c r="E193" s="1">
        <v>2</v>
      </c>
      <c r="F193" s="1">
        <v>2</v>
      </c>
      <c r="G193" s="1">
        <v>1</v>
      </c>
      <c r="H193" s="1">
        <v>1</v>
      </c>
      <c r="I193" s="1">
        <v>3</v>
      </c>
      <c r="J193" s="38">
        <v>35.505200000000002</v>
      </c>
    </row>
    <row r="194" spans="1:10">
      <c r="A194" s="1">
        <v>6</v>
      </c>
      <c r="B194" s="1">
        <v>8</v>
      </c>
      <c r="C194" s="1">
        <v>1</v>
      </c>
      <c r="D194" s="1">
        <v>0</v>
      </c>
      <c r="E194" s="1">
        <v>2</v>
      </c>
      <c r="F194" s="1">
        <v>2</v>
      </c>
      <c r="G194" s="1">
        <v>1</v>
      </c>
      <c r="H194" s="1">
        <v>1</v>
      </c>
      <c r="I194" s="1">
        <v>3</v>
      </c>
      <c r="J194" s="38">
        <v>35.993099999999998</v>
      </c>
    </row>
    <row r="195" spans="1:10">
      <c r="A195" s="1">
        <v>6</v>
      </c>
      <c r="B195" s="1">
        <v>8</v>
      </c>
      <c r="C195" s="1">
        <v>1</v>
      </c>
      <c r="D195" s="1">
        <v>0</v>
      </c>
      <c r="E195" s="1">
        <v>2</v>
      </c>
      <c r="F195" s="1">
        <v>2</v>
      </c>
      <c r="G195" s="1">
        <v>1</v>
      </c>
      <c r="H195" s="1">
        <v>1</v>
      </c>
      <c r="I195" s="1">
        <v>3</v>
      </c>
      <c r="J195" s="38">
        <v>32.286000000000001</v>
      </c>
    </row>
    <row r="196" spans="1:10">
      <c r="A196" s="1">
        <v>8</v>
      </c>
      <c r="B196" s="1">
        <v>8</v>
      </c>
      <c r="C196" s="1">
        <v>1</v>
      </c>
      <c r="D196" s="1">
        <v>0</v>
      </c>
      <c r="E196" s="1">
        <v>2</v>
      </c>
      <c r="F196" s="1">
        <v>2</v>
      </c>
      <c r="G196" s="1">
        <v>1</v>
      </c>
      <c r="H196" s="1">
        <v>0</v>
      </c>
      <c r="I196" s="1">
        <v>4.4000000000000004</v>
      </c>
      <c r="J196" s="38">
        <v>28.1647</v>
      </c>
    </row>
    <row r="197" spans="1:10">
      <c r="A197" s="1">
        <v>8</v>
      </c>
      <c r="B197" s="1">
        <v>1</v>
      </c>
      <c r="C197" s="1">
        <v>0</v>
      </c>
      <c r="D197" s="1">
        <v>0</v>
      </c>
      <c r="E197" s="1">
        <v>1</v>
      </c>
      <c r="F197" s="1">
        <v>1</v>
      </c>
      <c r="G197" s="1">
        <v>1</v>
      </c>
      <c r="H197" s="1">
        <v>0</v>
      </c>
      <c r="I197" s="1">
        <v>6</v>
      </c>
      <c r="J197" s="38">
        <v>32.4</v>
      </c>
    </row>
    <row r="198" spans="1:10">
      <c r="A198" s="1">
        <v>8</v>
      </c>
      <c r="B198" s="1">
        <v>6</v>
      </c>
      <c r="C198" s="1">
        <v>1</v>
      </c>
      <c r="D198" s="1">
        <v>0</v>
      </c>
      <c r="E198" s="1">
        <v>1</v>
      </c>
      <c r="F198" s="1">
        <v>1</v>
      </c>
      <c r="G198" s="1">
        <v>1</v>
      </c>
      <c r="H198" s="1">
        <v>0</v>
      </c>
      <c r="I198" s="1">
        <v>6.2</v>
      </c>
      <c r="J198" s="38">
        <v>24.2</v>
      </c>
    </row>
    <row r="199" spans="1:10">
      <c r="A199" s="1">
        <v>8</v>
      </c>
      <c r="B199" s="1">
        <v>6</v>
      </c>
      <c r="C199" s="1">
        <v>1</v>
      </c>
      <c r="D199" s="1">
        <v>0</v>
      </c>
      <c r="E199" s="1">
        <v>1</v>
      </c>
      <c r="F199" s="1">
        <v>1</v>
      </c>
      <c r="G199" s="1">
        <v>1</v>
      </c>
      <c r="H199" s="1">
        <v>0</v>
      </c>
      <c r="I199" s="1">
        <v>6.2</v>
      </c>
      <c r="J199" s="38">
        <v>24.2</v>
      </c>
    </row>
    <row r="200" spans="1:10">
      <c r="A200" s="1">
        <v>8</v>
      </c>
      <c r="B200" s="1">
        <v>6</v>
      </c>
      <c r="C200" s="1">
        <v>1</v>
      </c>
      <c r="D200" s="1">
        <v>0</v>
      </c>
      <c r="E200" s="1">
        <v>1</v>
      </c>
      <c r="F200" s="1">
        <v>1</v>
      </c>
      <c r="G200" s="1">
        <v>1</v>
      </c>
      <c r="H200" s="1">
        <v>0</v>
      </c>
      <c r="I200" s="1">
        <v>5.3</v>
      </c>
      <c r="J200" s="38">
        <v>29</v>
      </c>
    </row>
    <row r="201" spans="1:10">
      <c r="A201" s="1">
        <v>8</v>
      </c>
      <c r="B201" s="1">
        <v>6</v>
      </c>
      <c r="C201" s="1">
        <v>1</v>
      </c>
      <c r="D201" s="1">
        <v>0</v>
      </c>
      <c r="E201" s="1">
        <v>1</v>
      </c>
      <c r="F201" s="1">
        <v>1</v>
      </c>
      <c r="G201" s="1">
        <v>1</v>
      </c>
      <c r="H201" s="1">
        <v>0</v>
      </c>
      <c r="I201" s="1">
        <v>5.3</v>
      </c>
      <c r="J201" s="38">
        <v>29</v>
      </c>
    </row>
    <row r="202" spans="1:10">
      <c r="A202" s="1">
        <v>8</v>
      </c>
      <c r="B202" s="1">
        <v>6</v>
      </c>
      <c r="C202" s="1">
        <v>1</v>
      </c>
      <c r="D202" s="1">
        <v>0</v>
      </c>
      <c r="E202" s="1">
        <v>1</v>
      </c>
      <c r="F202" s="1">
        <v>1</v>
      </c>
      <c r="G202" s="1">
        <v>1</v>
      </c>
      <c r="H202" s="1">
        <v>0</v>
      </c>
      <c r="I202" s="1">
        <v>6</v>
      </c>
      <c r="J202" s="38">
        <v>21.2</v>
      </c>
    </row>
    <row r="203" spans="1:10">
      <c r="A203" s="1">
        <v>6</v>
      </c>
      <c r="B203" s="1">
        <v>5</v>
      </c>
      <c r="C203" s="1">
        <v>1</v>
      </c>
      <c r="D203" s="1">
        <v>0</v>
      </c>
      <c r="E203" s="1">
        <v>2</v>
      </c>
      <c r="F203" s="1">
        <v>2</v>
      </c>
      <c r="G203" s="1">
        <v>1</v>
      </c>
      <c r="H203" s="1">
        <v>0</v>
      </c>
      <c r="I203" s="1">
        <v>3.6</v>
      </c>
      <c r="J203" s="38">
        <v>31.2</v>
      </c>
    </row>
    <row r="204" spans="1:10">
      <c r="A204" s="1">
        <v>8</v>
      </c>
      <c r="B204" s="1">
        <v>5</v>
      </c>
      <c r="C204" s="1">
        <v>1</v>
      </c>
      <c r="D204" s="1">
        <v>0</v>
      </c>
      <c r="E204" s="1">
        <v>1</v>
      </c>
      <c r="F204" s="1">
        <v>1</v>
      </c>
      <c r="G204" s="1">
        <v>1</v>
      </c>
      <c r="H204" s="1">
        <v>0</v>
      </c>
      <c r="I204" s="1">
        <v>5.7</v>
      </c>
      <c r="J204" s="38">
        <v>27.2941</v>
      </c>
    </row>
    <row r="205" spans="1:10">
      <c r="A205" s="1">
        <v>6</v>
      </c>
      <c r="B205" s="1">
        <v>6</v>
      </c>
      <c r="C205" s="1">
        <v>1</v>
      </c>
      <c r="D205" s="1">
        <v>0</v>
      </c>
      <c r="E205" s="1">
        <v>2</v>
      </c>
      <c r="F205" s="1">
        <v>2</v>
      </c>
      <c r="G205" s="1">
        <v>1</v>
      </c>
      <c r="H205" s="1">
        <v>0</v>
      </c>
      <c r="I205" s="1">
        <v>3.6</v>
      </c>
      <c r="J205" s="38">
        <v>32.9</v>
      </c>
    </row>
    <row r="206" spans="1:10">
      <c r="A206" s="1">
        <v>6</v>
      </c>
      <c r="B206" s="1">
        <v>4</v>
      </c>
      <c r="C206" s="1">
        <v>1</v>
      </c>
      <c r="D206" s="1">
        <v>0</v>
      </c>
      <c r="E206" s="1">
        <v>1</v>
      </c>
      <c r="F206" s="1">
        <v>1</v>
      </c>
      <c r="G206" s="1">
        <v>0</v>
      </c>
      <c r="H206" s="1">
        <v>0</v>
      </c>
      <c r="I206" s="1">
        <v>3.7</v>
      </c>
      <c r="J206" s="38">
        <v>28.5</v>
      </c>
    </row>
    <row r="207" spans="1:10">
      <c r="A207" s="1">
        <v>6</v>
      </c>
      <c r="B207" s="1">
        <v>5</v>
      </c>
      <c r="C207" s="1">
        <v>1</v>
      </c>
      <c r="D207" s="1">
        <v>0</v>
      </c>
      <c r="E207" s="1">
        <v>2</v>
      </c>
      <c r="F207" s="1">
        <v>2</v>
      </c>
      <c r="G207" s="1">
        <v>0</v>
      </c>
      <c r="H207" s="1">
        <v>0</v>
      </c>
      <c r="I207" s="1">
        <v>4</v>
      </c>
      <c r="J207" s="38">
        <v>28.5</v>
      </c>
    </row>
    <row r="208" spans="1:10">
      <c r="A208" s="1">
        <v>8</v>
      </c>
      <c r="B208" s="1">
        <v>1</v>
      </c>
      <c r="C208" s="1">
        <v>0</v>
      </c>
      <c r="D208" s="1">
        <v>0</v>
      </c>
      <c r="E208" s="1">
        <v>1</v>
      </c>
      <c r="F208" s="1">
        <v>1</v>
      </c>
      <c r="G208" s="1">
        <v>1</v>
      </c>
      <c r="H208" s="1">
        <v>0</v>
      </c>
      <c r="I208" s="1">
        <v>6</v>
      </c>
      <c r="J208" s="38">
        <v>32.4</v>
      </c>
    </row>
    <row r="209" spans="1:10">
      <c r="A209" s="1">
        <v>8</v>
      </c>
      <c r="B209" s="1">
        <v>6</v>
      </c>
      <c r="C209" s="1">
        <v>1</v>
      </c>
      <c r="D209" s="1">
        <v>0</v>
      </c>
      <c r="E209" s="1">
        <v>1</v>
      </c>
      <c r="F209" s="1">
        <v>1</v>
      </c>
      <c r="G209" s="1">
        <v>1</v>
      </c>
      <c r="H209" s="1">
        <v>0</v>
      </c>
      <c r="I209" s="1">
        <v>5.3</v>
      </c>
      <c r="J209" s="38">
        <v>29</v>
      </c>
    </row>
    <row r="210" spans="1:10">
      <c r="A210" s="1">
        <v>8</v>
      </c>
      <c r="B210" s="1">
        <v>6</v>
      </c>
      <c r="C210" s="1">
        <v>1</v>
      </c>
      <c r="D210" s="1">
        <v>0</v>
      </c>
      <c r="E210" s="1">
        <v>1</v>
      </c>
      <c r="F210" s="1">
        <v>1</v>
      </c>
      <c r="G210" s="1">
        <v>1</v>
      </c>
      <c r="H210" s="1">
        <v>0</v>
      </c>
      <c r="I210" s="1">
        <v>6.2</v>
      </c>
      <c r="J210" s="38">
        <v>24.2</v>
      </c>
    </row>
    <row r="211" spans="1:10">
      <c r="A211" s="1">
        <v>8</v>
      </c>
      <c r="B211" s="1">
        <v>6</v>
      </c>
      <c r="C211" s="1">
        <v>1</v>
      </c>
      <c r="D211" s="1">
        <v>0</v>
      </c>
      <c r="E211" s="1">
        <v>1</v>
      </c>
      <c r="F211" s="1">
        <v>1</v>
      </c>
      <c r="G211" s="1">
        <v>1</v>
      </c>
      <c r="H211" s="1">
        <v>0</v>
      </c>
      <c r="I211" s="1">
        <v>6</v>
      </c>
      <c r="J211" s="38">
        <v>21.2</v>
      </c>
    </row>
    <row r="212" spans="1:10">
      <c r="A212" s="1">
        <v>8</v>
      </c>
      <c r="B212" s="1">
        <v>7</v>
      </c>
      <c r="C212" s="1">
        <v>1</v>
      </c>
      <c r="D212" s="1">
        <v>0</v>
      </c>
      <c r="E212" s="1">
        <v>2</v>
      </c>
      <c r="F212" s="1">
        <v>2</v>
      </c>
      <c r="G212" s="1">
        <v>1</v>
      </c>
      <c r="H212" s="1">
        <v>1</v>
      </c>
      <c r="I212" s="1">
        <v>5</v>
      </c>
      <c r="J212" s="38">
        <v>27.4375</v>
      </c>
    </row>
    <row r="213" spans="1:10">
      <c r="A213" s="1">
        <v>4</v>
      </c>
      <c r="B213" s="1">
        <v>6</v>
      </c>
      <c r="C213" s="1">
        <v>1</v>
      </c>
      <c r="D213" s="1">
        <v>0</v>
      </c>
      <c r="E213" s="1">
        <v>2</v>
      </c>
      <c r="F213" s="1">
        <v>2</v>
      </c>
      <c r="G213" s="1">
        <v>1</v>
      </c>
      <c r="H213" s="1">
        <v>0</v>
      </c>
      <c r="I213" s="1">
        <v>2.4</v>
      </c>
      <c r="J213" s="38">
        <v>37.4</v>
      </c>
    </row>
    <row r="214" spans="1:10">
      <c r="A214" s="1">
        <v>6</v>
      </c>
      <c r="B214" s="1">
        <v>6</v>
      </c>
      <c r="C214" s="1">
        <v>1</v>
      </c>
      <c r="D214" s="1">
        <v>0</v>
      </c>
      <c r="E214" s="1">
        <v>2</v>
      </c>
      <c r="F214" s="1">
        <v>2</v>
      </c>
      <c r="G214" s="1">
        <v>1</v>
      </c>
      <c r="H214" s="1">
        <v>0</v>
      </c>
      <c r="I214" s="1">
        <v>3.5</v>
      </c>
      <c r="J214" s="38">
        <v>34.9</v>
      </c>
    </row>
    <row r="215" spans="1:10">
      <c r="A215" s="1">
        <v>8</v>
      </c>
      <c r="B215" s="1">
        <v>6</v>
      </c>
      <c r="C215" s="1">
        <v>1</v>
      </c>
      <c r="D215" s="1">
        <v>0</v>
      </c>
      <c r="E215" s="1">
        <v>2</v>
      </c>
      <c r="F215" s="1">
        <v>2</v>
      </c>
      <c r="G215" s="1">
        <v>1</v>
      </c>
      <c r="H215" s="1">
        <v>1</v>
      </c>
      <c r="I215" s="1">
        <v>5</v>
      </c>
      <c r="J215" s="38">
        <v>24.7928</v>
      </c>
    </row>
    <row r="216" spans="1:10">
      <c r="A216" s="1">
        <v>8</v>
      </c>
      <c r="B216" s="1">
        <v>6</v>
      </c>
      <c r="C216" s="1">
        <v>1</v>
      </c>
      <c r="D216" s="1">
        <v>0</v>
      </c>
      <c r="E216" s="1">
        <v>2</v>
      </c>
      <c r="F216" s="1">
        <v>2</v>
      </c>
      <c r="G216" s="1">
        <v>1</v>
      </c>
      <c r="H216" s="1">
        <v>0</v>
      </c>
      <c r="I216" s="1">
        <v>5</v>
      </c>
      <c r="J216" s="38">
        <v>23.602799999999998</v>
      </c>
    </row>
    <row r="217" spans="1:10">
      <c r="A217" s="1">
        <v>6</v>
      </c>
      <c r="B217" s="1">
        <v>7</v>
      </c>
      <c r="C217" s="1">
        <v>1</v>
      </c>
      <c r="D217" s="1">
        <v>0</v>
      </c>
      <c r="E217" s="1">
        <v>2</v>
      </c>
      <c r="F217" s="1">
        <v>2</v>
      </c>
      <c r="G217" s="1">
        <v>1</v>
      </c>
      <c r="H217" s="1">
        <v>0</v>
      </c>
      <c r="I217" s="1">
        <v>3</v>
      </c>
      <c r="J217" s="38">
        <v>31.5</v>
      </c>
    </row>
    <row r="218" spans="1:10">
      <c r="A218" s="1">
        <v>6</v>
      </c>
      <c r="B218" s="1">
        <v>7</v>
      </c>
      <c r="C218" s="1">
        <v>1</v>
      </c>
      <c r="D218" s="1">
        <v>0</v>
      </c>
      <c r="E218" s="1">
        <v>2</v>
      </c>
      <c r="F218" s="1">
        <v>2</v>
      </c>
      <c r="G218" s="1">
        <v>1</v>
      </c>
      <c r="H218" s="1">
        <v>0</v>
      </c>
      <c r="I218" s="1">
        <v>3</v>
      </c>
      <c r="J218" s="38">
        <v>34.4</v>
      </c>
    </row>
    <row r="219" spans="1:10">
      <c r="A219" s="1">
        <v>6</v>
      </c>
      <c r="B219" s="1">
        <v>7</v>
      </c>
      <c r="C219" s="1">
        <v>1</v>
      </c>
      <c r="D219" s="1">
        <v>0</v>
      </c>
      <c r="E219" s="1">
        <v>2</v>
      </c>
      <c r="F219" s="1">
        <v>2</v>
      </c>
      <c r="G219" s="1">
        <v>1</v>
      </c>
      <c r="H219" s="1">
        <v>0</v>
      </c>
      <c r="I219" s="1">
        <v>3</v>
      </c>
      <c r="J219" s="38">
        <v>33.299999999999997</v>
      </c>
    </row>
    <row r="220" spans="1:10">
      <c r="A220" s="1">
        <v>4</v>
      </c>
      <c r="B220" s="1">
        <v>1</v>
      </c>
      <c r="C220" s="1">
        <v>0</v>
      </c>
      <c r="D220" s="1">
        <v>0</v>
      </c>
      <c r="E220" s="1">
        <v>2</v>
      </c>
      <c r="F220" s="1">
        <v>2</v>
      </c>
      <c r="G220" s="1">
        <v>1</v>
      </c>
      <c r="H220" s="1">
        <v>0</v>
      </c>
      <c r="I220" s="1">
        <v>2</v>
      </c>
      <c r="J220" s="38">
        <v>41.2</v>
      </c>
    </row>
    <row r="221" spans="1:10">
      <c r="A221" s="1">
        <v>6</v>
      </c>
      <c r="B221" s="1">
        <v>8</v>
      </c>
      <c r="C221" s="1">
        <v>1</v>
      </c>
      <c r="D221" s="1">
        <v>0</v>
      </c>
      <c r="E221" s="1">
        <v>2</v>
      </c>
      <c r="F221" s="1">
        <v>2</v>
      </c>
      <c r="G221" s="1">
        <v>1</v>
      </c>
      <c r="H221" s="1">
        <v>1</v>
      </c>
      <c r="I221" s="1">
        <v>3</v>
      </c>
      <c r="J221" s="38">
        <v>33.128100000000003</v>
      </c>
    </row>
    <row r="222" spans="1:10">
      <c r="A222" s="1">
        <v>4</v>
      </c>
      <c r="B222" s="1">
        <v>4</v>
      </c>
      <c r="C222" s="1">
        <v>1</v>
      </c>
      <c r="D222" s="1">
        <v>0</v>
      </c>
      <c r="E222" s="1">
        <v>2</v>
      </c>
      <c r="F222" s="1">
        <v>2</v>
      </c>
      <c r="G222" s="1">
        <v>1</v>
      </c>
      <c r="H222" s="1">
        <v>0</v>
      </c>
      <c r="I222" s="1">
        <v>2.5</v>
      </c>
      <c r="J222" s="38">
        <v>32.799999999999997</v>
      </c>
    </row>
    <row r="223" spans="1:10">
      <c r="A223" s="1">
        <v>4</v>
      </c>
      <c r="B223" s="1">
        <v>5</v>
      </c>
      <c r="C223" s="1">
        <v>0</v>
      </c>
      <c r="D223" s="1">
        <v>0</v>
      </c>
      <c r="E223" s="1">
        <v>2</v>
      </c>
      <c r="F223" s="1">
        <v>2</v>
      </c>
      <c r="G223" s="1">
        <v>1</v>
      </c>
      <c r="H223" s="1">
        <v>0</v>
      </c>
      <c r="I223" s="1">
        <v>2.5</v>
      </c>
      <c r="J223" s="38">
        <v>37.6</v>
      </c>
    </row>
    <row r="224" spans="1:10">
      <c r="A224" s="1">
        <v>4</v>
      </c>
      <c r="B224" s="1">
        <v>4</v>
      </c>
      <c r="C224" s="1">
        <v>1</v>
      </c>
      <c r="D224" s="1">
        <v>0</v>
      </c>
      <c r="E224" s="1">
        <v>2</v>
      </c>
      <c r="F224" s="1">
        <v>2</v>
      </c>
      <c r="G224" s="1">
        <v>1</v>
      </c>
      <c r="H224" s="1">
        <v>0</v>
      </c>
      <c r="I224" s="1">
        <v>2.5</v>
      </c>
      <c r="J224" s="38">
        <v>37.037799999999997</v>
      </c>
    </row>
    <row r="225" spans="1:10">
      <c r="A225" s="1">
        <v>4</v>
      </c>
      <c r="B225" s="1">
        <v>1</v>
      </c>
      <c r="C225" s="1">
        <v>1</v>
      </c>
      <c r="D225" s="1">
        <v>0</v>
      </c>
      <c r="E225" s="1">
        <v>2</v>
      </c>
      <c r="F225" s="1">
        <v>2</v>
      </c>
      <c r="G225" s="1">
        <v>0</v>
      </c>
      <c r="H225" s="1">
        <v>1</v>
      </c>
      <c r="I225" s="1">
        <v>2.5</v>
      </c>
      <c r="J225" s="38">
        <v>40.107700000000001</v>
      </c>
    </row>
    <row r="226" spans="1:10">
      <c r="A226" s="1">
        <v>4</v>
      </c>
      <c r="B226" s="1">
        <v>6</v>
      </c>
      <c r="C226" s="1">
        <v>0</v>
      </c>
      <c r="D226" s="1">
        <v>0</v>
      </c>
      <c r="E226" s="1">
        <v>2</v>
      </c>
      <c r="F226" s="1">
        <v>2</v>
      </c>
      <c r="G226" s="1">
        <v>0</v>
      </c>
      <c r="H226" s="1">
        <v>1</v>
      </c>
      <c r="I226" s="1">
        <v>2.5</v>
      </c>
      <c r="J226" s="38">
        <v>37.137</v>
      </c>
    </row>
    <row r="227" spans="1:10">
      <c r="A227" s="1">
        <v>6</v>
      </c>
      <c r="B227" s="1">
        <v>5</v>
      </c>
      <c r="C227" s="1">
        <v>1</v>
      </c>
      <c r="D227" s="1">
        <v>0</v>
      </c>
      <c r="E227" s="1">
        <v>2</v>
      </c>
      <c r="F227" s="1">
        <v>2</v>
      </c>
      <c r="G227" s="1">
        <v>1</v>
      </c>
      <c r="H227" s="1">
        <v>0</v>
      </c>
      <c r="I227" s="1">
        <v>3.6</v>
      </c>
      <c r="J227" s="38">
        <v>34.259599999999999</v>
      </c>
    </row>
    <row r="228" spans="1:10">
      <c r="A228" s="1">
        <v>6</v>
      </c>
      <c r="B228" s="1">
        <v>5</v>
      </c>
      <c r="C228" s="1">
        <v>1</v>
      </c>
      <c r="D228" s="1">
        <v>0</v>
      </c>
      <c r="E228" s="1">
        <v>2</v>
      </c>
      <c r="F228" s="1">
        <v>2</v>
      </c>
      <c r="G228" s="1">
        <v>1</v>
      </c>
      <c r="H228" s="1">
        <v>0</v>
      </c>
      <c r="I228" s="1">
        <v>3.6</v>
      </c>
      <c r="J228" s="38">
        <v>29.5</v>
      </c>
    </row>
    <row r="229" spans="1:10">
      <c r="A229" s="1">
        <v>6</v>
      </c>
      <c r="B229" s="1">
        <v>8</v>
      </c>
      <c r="C229" s="1">
        <v>1</v>
      </c>
      <c r="D229" s="1">
        <v>0</v>
      </c>
      <c r="E229" s="1">
        <v>2</v>
      </c>
      <c r="F229" s="1">
        <v>2</v>
      </c>
      <c r="G229" s="1">
        <v>1</v>
      </c>
      <c r="H229" s="1">
        <v>0</v>
      </c>
      <c r="I229" s="1">
        <v>3</v>
      </c>
      <c r="J229" s="38">
        <v>33.200000000000003</v>
      </c>
    </row>
    <row r="230" spans="1:10">
      <c r="A230" s="1">
        <v>4</v>
      </c>
      <c r="B230" s="1">
        <v>6</v>
      </c>
      <c r="C230" s="1">
        <v>0</v>
      </c>
      <c r="D230" s="1">
        <v>0</v>
      </c>
      <c r="E230" s="1">
        <v>2</v>
      </c>
      <c r="F230" s="1">
        <v>2</v>
      </c>
      <c r="G230" s="1">
        <v>1</v>
      </c>
      <c r="H230" s="1">
        <v>0</v>
      </c>
      <c r="I230" s="1">
        <v>1.8</v>
      </c>
      <c r="J230" s="38">
        <v>49.1</v>
      </c>
    </row>
    <row r="231" spans="1:10">
      <c r="A231" s="1">
        <v>4</v>
      </c>
      <c r="B231" s="1">
        <v>6</v>
      </c>
      <c r="C231" s="1">
        <v>0</v>
      </c>
      <c r="D231" s="1">
        <v>0</v>
      </c>
      <c r="E231" s="1">
        <v>2</v>
      </c>
      <c r="F231" s="1">
        <v>2</v>
      </c>
      <c r="G231" s="1">
        <v>1</v>
      </c>
      <c r="H231" s="1">
        <v>0</v>
      </c>
      <c r="I231" s="1">
        <v>1.8</v>
      </c>
      <c r="J231" s="38">
        <v>50.8</v>
      </c>
    </row>
    <row r="232" spans="1:10">
      <c r="A232" s="1">
        <v>8</v>
      </c>
      <c r="B232" s="1">
        <v>4</v>
      </c>
      <c r="C232" s="1">
        <v>1</v>
      </c>
      <c r="D232" s="1">
        <v>0</v>
      </c>
      <c r="E232" s="1">
        <v>1</v>
      </c>
      <c r="F232" s="1">
        <v>1</v>
      </c>
      <c r="G232" s="1">
        <v>0</v>
      </c>
      <c r="H232" s="1">
        <v>0</v>
      </c>
      <c r="I232" s="1">
        <v>4.5999999999999996</v>
      </c>
      <c r="J232" s="38">
        <v>21.9</v>
      </c>
    </row>
    <row r="233" spans="1:10">
      <c r="A233" s="1">
        <v>8</v>
      </c>
      <c r="B233" s="1">
        <v>4</v>
      </c>
      <c r="C233" s="1">
        <v>1</v>
      </c>
      <c r="D233" s="1">
        <v>0</v>
      </c>
      <c r="E233" s="1">
        <v>1</v>
      </c>
      <c r="F233" s="1">
        <v>1</v>
      </c>
      <c r="G233" s="1">
        <v>0</v>
      </c>
      <c r="H233" s="1">
        <v>0</v>
      </c>
      <c r="I233" s="1">
        <v>4.5999999999999996</v>
      </c>
      <c r="J233" s="38">
        <v>24.3</v>
      </c>
    </row>
    <row r="234" spans="1:10">
      <c r="A234" s="1">
        <v>4</v>
      </c>
      <c r="B234" s="1">
        <v>6</v>
      </c>
      <c r="C234" s="1">
        <v>1</v>
      </c>
      <c r="D234" s="1">
        <v>0</v>
      </c>
      <c r="E234" s="1">
        <v>2</v>
      </c>
      <c r="F234" s="1">
        <v>2</v>
      </c>
      <c r="G234" s="1">
        <v>1</v>
      </c>
      <c r="H234" s="1">
        <v>0</v>
      </c>
      <c r="I234" s="1">
        <v>2</v>
      </c>
      <c r="J234" s="38">
        <v>48.7</v>
      </c>
    </row>
    <row r="235" spans="1:10">
      <c r="A235" s="1">
        <v>4</v>
      </c>
      <c r="B235" s="1">
        <v>6</v>
      </c>
      <c r="C235" s="1">
        <v>0</v>
      </c>
      <c r="D235" s="1">
        <v>0</v>
      </c>
      <c r="E235" s="1">
        <v>2</v>
      </c>
      <c r="F235" s="1">
        <v>2</v>
      </c>
      <c r="G235" s="1">
        <v>1</v>
      </c>
      <c r="H235" s="1">
        <v>0</v>
      </c>
      <c r="I235" s="1">
        <v>2</v>
      </c>
      <c r="J235" s="38">
        <v>46.2</v>
      </c>
    </row>
    <row r="236" spans="1:10">
      <c r="A236" s="1">
        <v>4</v>
      </c>
      <c r="B236" s="1">
        <v>6</v>
      </c>
      <c r="C236" s="1">
        <v>1</v>
      </c>
      <c r="D236" s="1">
        <v>0</v>
      </c>
      <c r="E236" s="1">
        <v>2</v>
      </c>
      <c r="F236" s="1">
        <v>2</v>
      </c>
      <c r="G236" s="1">
        <v>1</v>
      </c>
      <c r="H236" s="1">
        <v>0</v>
      </c>
      <c r="I236" s="1">
        <v>2.4</v>
      </c>
      <c r="J236" s="38">
        <v>43.431899999999999</v>
      </c>
    </row>
    <row r="237" spans="1:10">
      <c r="A237" s="1">
        <v>4</v>
      </c>
      <c r="B237" s="1">
        <v>6</v>
      </c>
      <c r="C237" s="1">
        <v>0</v>
      </c>
      <c r="D237" s="1">
        <v>0</v>
      </c>
      <c r="E237" s="1">
        <v>2</v>
      </c>
      <c r="F237" s="1">
        <v>2</v>
      </c>
      <c r="G237" s="1">
        <v>1</v>
      </c>
      <c r="H237" s="1">
        <v>0</v>
      </c>
      <c r="I237" s="1">
        <v>2.4</v>
      </c>
      <c r="J237" s="38">
        <v>44.8</v>
      </c>
    </row>
    <row r="238" spans="1:10">
      <c r="A238" s="1">
        <v>4</v>
      </c>
      <c r="B238" s="1">
        <v>6</v>
      </c>
      <c r="C238" s="1">
        <v>0</v>
      </c>
      <c r="D238" s="1">
        <v>0</v>
      </c>
      <c r="E238" s="1">
        <v>2</v>
      </c>
      <c r="F238" s="1">
        <v>2</v>
      </c>
      <c r="G238" s="1">
        <v>1</v>
      </c>
      <c r="H238" s="1">
        <v>0</v>
      </c>
      <c r="I238" s="1">
        <v>2.4</v>
      </c>
      <c r="J238" s="38">
        <v>59.9</v>
      </c>
    </row>
    <row r="239" spans="1:10">
      <c r="A239" s="1">
        <v>4</v>
      </c>
      <c r="B239" s="1">
        <v>6</v>
      </c>
      <c r="C239" s="1">
        <v>1</v>
      </c>
      <c r="D239" s="1">
        <v>0</v>
      </c>
      <c r="E239" s="1">
        <v>2</v>
      </c>
      <c r="F239" s="1">
        <v>2</v>
      </c>
      <c r="G239" s="1">
        <v>1</v>
      </c>
      <c r="H239" s="1">
        <v>0</v>
      </c>
      <c r="I239" s="1">
        <v>2</v>
      </c>
      <c r="J239" s="38">
        <v>51.787599999999998</v>
      </c>
    </row>
    <row r="240" spans="1:10">
      <c r="A240" s="1">
        <v>6</v>
      </c>
      <c r="B240" s="1">
        <v>1</v>
      </c>
      <c r="C240" s="1">
        <v>0</v>
      </c>
      <c r="D240" s="1">
        <v>0</v>
      </c>
      <c r="E240" s="1">
        <v>2</v>
      </c>
      <c r="F240" s="1">
        <v>2</v>
      </c>
      <c r="G240" s="1">
        <v>1</v>
      </c>
      <c r="H240" s="1">
        <v>0</v>
      </c>
      <c r="I240" s="1">
        <v>3.5</v>
      </c>
      <c r="J240" s="38">
        <v>34.028799999999997</v>
      </c>
    </row>
    <row r="241" spans="1:10">
      <c r="A241" s="1">
        <v>4</v>
      </c>
      <c r="B241" s="1">
        <v>6</v>
      </c>
      <c r="C241" s="1">
        <v>1</v>
      </c>
      <c r="D241" s="1">
        <v>0</v>
      </c>
      <c r="E241" s="1">
        <v>2</v>
      </c>
      <c r="F241" s="1">
        <v>2</v>
      </c>
      <c r="G241" s="1">
        <v>1</v>
      </c>
      <c r="H241" s="1">
        <v>0</v>
      </c>
      <c r="I241" s="1">
        <v>2</v>
      </c>
      <c r="J241" s="38">
        <v>39.444699999999997</v>
      </c>
    </row>
    <row r="242" spans="1:10">
      <c r="A242" s="1">
        <v>4</v>
      </c>
      <c r="B242" s="1">
        <v>6</v>
      </c>
      <c r="C242" s="1">
        <v>0</v>
      </c>
      <c r="D242" s="1">
        <v>0</v>
      </c>
      <c r="E242" s="1">
        <v>2</v>
      </c>
      <c r="F242" s="1">
        <v>2</v>
      </c>
      <c r="G242" s="1">
        <v>1</v>
      </c>
      <c r="H242" s="1">
        <v>0</v>
      </c>
      <c r="I242" s="1">
        <v>2</v>
      </c>
      <c r="J242" s="38">
        <v>46.9</v>
      </c>
    </row>
    <row r="243" spans="1:10">
      <c r="A243" s="1">
        <v>6</v>
      </c>
      <c r="B243" s="1">
        <v>6</v>
      </c>
      <c r="C243" s="1">
        <v>1</v>
      </c>
      <c r="D243" s="1">
        <v>0</v>
      </c>
      <c r="E243" s="1">
        <v>2</v>
      </c>
      <c r="F243" s="1">
        <v>2</v>
      </c>
      <c r="G243" s="1">
        <v>1</v>
      </c>
      <c r="H243" s="1">
        <v>0</v>
      </c>
      <c r="I243" s="1">
        <v>2.8</v>
      </c>
      <c r="J243" s="38">
        <v>30.3</v>
      </c>
    </row>
    <row r="244" spans="1:10">
      <c r="A244" s="1">
        <v>6</v>
      </c>
      <c r="B244" s="1">
        <v>6</v>
      </c>
      <c r="C244" s="1">
        <v>1</v>
      </c>
      <c r="D244" s="1">
        <v>0</v>
      </c>
      <c r="E244" s="1">
        <v>2</v>
      </c>
      <c r="F244" s="1">
        <v>2</v>
      </c>
      <c r="G244" s="1">
        <v>1</v>
      </c>
      <c r="H244" s="1">
        <v>0</v>
      </c>
      <c r="I244" s="1">
        <v>3</v>
      </c>
      <c r="J244" s="38">
        <v>31.302499999999998</v>
      </c>
    </row>
    <row r="245" spans="1:10">
      <c r="A245" s="1">
        <v>6</v>
      </c>
      <c r="B245" s="1">
        <v>6</v>
      </c>
      <c r="C245" s="1">
        <v>1</v>
      </c>
      <c r="D245" s="1">
        <v>0</v>
      </c>
      <c r="E245" s="1">
        <v>2</v>
      </c>
      <c r="F245" s="1">
        <v>2</v>
      </c>
      <c r="G245" s="1">
        <v>1</v>
      </c>
      <c r="H245" s="1">
        <v>0</v>
      </c>
      <c r="I245" s="1">
        <v>3</v>
      </c>
      <c r="J245" s="38">
        <v>34.4</v>
      </c>
    </row>
    <row r="246" spans="1:10">
      <c r="A246" s="1">
        <v>4</v>
      </c>
      <c r="B246" s="1">
        <v>6</v>
      </c>
      <c r="C246" s="1">
        <v>0</v>
      </c>
      <c r="D246" s="1">
        <v>0</v>
      </c>
      <c r="E246" s="1">
        <v>2</v>
      </c>
      <c r="F246" s="1">
        <v>2</v>
      </c>
      <c r="G246" s="1">
        <v>1</v>
      </c>
      <c r="H246" s="1">
        <v>0</v>
      </c>
      <c r="I246" s="1">
        <v>2.4</v>
      </c>
      <c r="J246" s="38">
        <v>56.3</v>
      </c>
    </row>
    <row r="247" spans="1:10">
      <c r="I247" s="68">
        <f>SUM(I2:I246)</f>
        <v>890.69999999999982</v>
      </c>
      <c r="J247" s="68">
        <f>SUM(J2:J246)</f>
        <v>8509.012699999992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251"/>
  <sheetViews>
    <sheetView workbookViewId="0"/>
  </sheetViews>
  <sheetFormatPr defaultRowHeight="15"/>
  <cols>
    <col min="1" max="1" width="8.5703125" style="1" bestFit="1" customWidth="1"/>
    <col min="2" max="2" width="8.5703125" style="1" customWidth="1"/>
    <col min="3" max="3" width="5.5703125" style="1" customWidth="1"/>
    <col min="4" max="5" width="8.5703125" style="1" customWidth="1"/>
    <col min="6" max="6" width="7.5703125" style="1" customWidth="1"/>
    <col min="7" max="7" width="11" style="1" customWidth="1"/>
    <col min="8" max="8" width="5.5703125" style="1" customWidth="1"/>
    <col min="9" max="9" width="8.140625" style="1" customWidth="1"/>
    <col min="10" max="10" width="6.28515625" style="1" customWidth="1"/>
    <col min="11" max="12" width="8.5703125" style="1" customWidth="1"/>
    <col min="13" max="13" width="12.5703125" style="1" customWidth="1"/>
    <col min="14" max="14" width="10" style="1" customWidth="1"/>
    <col min="15" max="15" width="16.5703125" style="1" bestFit="1" customWidth="1"/>
    <col min="16" max="16" width="10" style="1" bestFit="1" customWidth="1"/>
    <col min="17" max="17" width="15" style="1" bestFit="1" customWidth="1"/>
    <col min="18" max="18" width="10" style="1" customWidth="1"/>
    <col min="19" max="19" width="15" style="1" customWidth="1"/>
    <col min="20" max="20" width="8.28515625" style="1" customWidth="1"/>
    <col min="21" max="21" width="3" style="1" customWidth="1"/>
    <col min="22" max="22" width="15" style="1" customWidth="1"/>
    <col min="23" max="16384" width="9.140625" style="1"/>
  </cols>
  <sheetData>
    <row r="1" spans="1:23">
      <c r="D1" s="50" t="s">
        <v>20</v>
      </c>
      <c r="E1" s="47" t="s">
        <v>19</v>
      </c>
      <c r="F1" s="49"/>
      <c r="G1" s="47" t="s">
        <v>18</v>
      </c>
      <c r="H1" s="48"/>
      <c r="I1" s="48"/>
      <c r="J1" s="46"/>
      <c r="K1" s="47" t="s">
        <v>17</v>
      </c>
      <c r="L1" s="47" t="s">
        <v>16</v>
      </c>
      <c r="M1" s="46"/>
      <c r="N1"/>
      <c r="O1"/>
      <c r="W1"/>
    </row>
    <row r="2" spans="1:23" ht="19.5" thickBot="1">
      <c r="A2" s="42" t="s">
        <v>21</v>
      </c>
      <c r="B2" s="42" t="s">
        <v>22</v>
      </c>
      <c r="C2" s="44" t="s">
        <v>15</v>
      </c>
      <c r="D2" s="51" t="s">
        <v>14</v>
      </c>
      <c r="E2" s="45" t="s">
        <v>13</v>
      </c>
      <c r="F2" s="44" t="s">
        <v>12</v>
      </c>
      <c r="G2" s="44" t="s">
        <v>11</v>
      </c>
      <c r="H2" s="42" t="s">
        <v>10</v>
      </c>
      <c r="I2" s="42" t="s">
        <v>9</v>
      </c>
      <c r="J2" s="43" t="s">
        <v>2</v>
      </c>
      <c r="K2" s="42" t="s">
        <v>8</v>
      </c>
      <c r="L2" s="42" t="s">
        <v>7</v>
      </c>
      <c r="M2" s="41" t="s">
        <v>6</v>
      </c>
      <c r="N2"/>
      <c r="O2"/>
    </row>
    <row r="3" spans="1:23">
      <c r="A3" s="7">
        <v>5.9</v>
      </c>
      <c r="B3" s="7">
        <v>22.925799999999999</v>
      </c>
      <c r="C3" s="7">
        <f>AVERAGE(B3:B247)</f>
        <v>34.730664081632618</v>
      </c>
      <c r="D3" s="52">
        <f t="shared" ref="D3:D66" si="0">$Q$8 + $P$8 * A3</f>
        <v>23.783499646438354</v>
      </c>
      <c r="E3" s="7">
        <f t="shared" ref="E3:E66" si="1">B3-D3</f>
        <v>-0.8576996464383555</v>
      </c>
      <c r="F3" s="7">
        <f t="shared" ref="F3:F66" si="2">ABS(E3)</f>
        <v>0.8576996464383555</v>
      </c>
      <c r="G3" s="8">
        <f t="shared" ref="G3:G66" si="3">F3^2</f>
        <v>0.73564868350048007</v>
      </c>
      <c r="H3" s="7">
        <f t="shared" ref="H3:H66" si="4">F3/B3</f>
        <v>3.7411983286880092E-2</v>
      </c>
      <c r="I3" s="40">
        <f>AVERAGE(H3:H247)</f>
        <v>0.11176226706054153</v>
      </c>
      <c r="J3" s="39">
        <f>I3*100</f>
        <v>11.176226706054154</v>
      </c>
      <c r="K3" s="8">
        <f t="shared" ref="K3:K66" si="5">(B3-$C$3)^2</f>
        <v>139.35481598581995</v>
      </c>
      <c r="L3" s="7">
        <f t="shared" ref="L3:L66" si="6">(D3-$C$3)^2</f>
        <v>119.84040917118215</v>
      </c>
      <c r="M3" s="39">
        <f>L248/K248</f>
        <v>0.53498236239565777</v>
      </c>
      <c r="N3"/>
      <c r="O3" s="139" t="s">
        <v>31</v>
      </c>
      <c r="P3" s="140"/>
      <c r="Q3" s="141"/>
    </row>
    <row r="4" spans="1:23">
      <c r="A4" s="7">
        <v>4.2</v>
      </c>
      <c r="B4" s="7">
        <v>26.767800000000001</v>
      </c>
      <c r="C4"/>
      <c r="D4" s="52">
        <f t="shared" si="0"/>
        <v>31.529680362770129</v>
      </c>
      <c r="E4" s="7">
        <f t="shared" si="1"/>
        <v>-4.7618803627701283</v>
      </c>
      <c r="F4" s="7">
        <f t="shared" si="2"/>
        <v>4.7618803627701283</v>
      </c>
      <c r="G4" s="8">
        <f t="shared" si="3"/>
        <v>22.67550458933577</v>
      </c>
      <c r="H4" s="7">
        <f t="shared" si="4"/>
        <v>0.17789584361696248</v>
      </c>
      <c r="I4" s="10"/>
      <c r="J4" s="12"/>
      <c r="K4" s="8">
        <f t="shared" si="5"/>
        <v>63.407204382554859</v>
      </c>
      <c r="L4" s="7">
        <f t="shared" si="6"/>
        <v>10.246296768422727</v>
      </c>
      <c r="O4" s="37" t="s">
        <v>75</v>
      </c>
      <c r="P4" s="36" t="s">
        <v>5</v>
      </c>
      <c r="Q4" s="35" t="s">
        <v>4</v>
      </c>
    </row>
    <row r="5" spans="1:23">
      <c r="A5" s="7">
        <v>4.2</v>
      </c>
      <c r="B5" s="7">
        <v>24.300999999999998</v>
      </c>
      <c r="C5"/>
      <c r="D5" s="52">
        <f t="shared" si="0"/>
        <v>31.529680362770129</v>
      </c>
      <c r="E5" s="7">
        <f t="shared" si="1"/>
        <v>-7.228680362770131</v>
      </c>
      <c r="F5" s="7">
        <f t="shared" si="2"/>
        <v>7.228680362770131</v>
      </c>
      <c r="G5" s="8">
        <f t="shared" si="3"/>
        <v>52.253819787098514</v>
      </c>
      <c r="H5" s="7">
        <f t="shared" si="4"/>
        <v>0.29746431680877872</v>
      </c>
      <c r="I5" s="10"/>
      <c r="J5" s="12"/>
      <c r="K5" s="8">
        <f t="shared" si="5"/>
        <v>108.7778928556976</v>
      </c>
      <c r="L5" s="7">
        <f t="shared" si="6"/>
        <v>10.246296768422727</v>
      </c>
      <c r="O5" s="28">
        <v>1</v>
      </c>
      <c r="P5" s="27">
        <f>'[1]Q.6b-e CrossVal'!$Y$6</f>
        <v>-4.5124073186338576</v>
      </c>
      <c r="Q5" s="26">
        <f>'[1]Q.6b-e CrossVal'!$Z$6</f>
        <v>50.334136237805865</v>
      </c>
    </row>
    <row r="6" spans="1:23">
      <c r="A6" s="7">
        <v>5.2</v>
      </c>
      <c r="B6" s="7">
        <v>24.3325</v>
      </c>
      <c r="C6"/>
      <c r="D6" s="52">
        <f t="shared" si="0"/>
        <v>26.973103470810262</v>
      </c>
      <c r="E6" s="7">
        <f t="shared" si="1"/>
        <v>-2.6406034708102624</v>
      </c>
      <c r="F6" s="7">
        <f t="shared" si="2"/>
        <v>2.6406034708102624</v>
      </c>
      <c r="G6" s="8">
        <f t="shared" si="3"/>
        <v>6.9727866900552042</v>
      </c>
      <c r="H6" s="7">
        <f t="shared" si="4"/>
        <v>0.10852166735067348</v>
      </c>
      <c r="I6" s="10"/>
      <c r="J6" s="12"/>
      <c r="K6" s="8">
        <f t="shared" si="5"/>
        <v>108.12181626855471</v>
      </c>
      <c r="L6" s="7">
        <f t="shared" si="6"/>
        <v>60.179746630582528</v>
      </c>
      <c r="O6" s="34">
        <v>2</v>
      </c>
      <c r="P6" s="33">
        <f>'[1]Q.6b-e CrossVal'!$Y$3</f>
        <v>-4.2156046482739882</v>
      </c>
      <c r="Q6" s="32">
        <f>'[1]Q.6b-e CrossVal'!$Z$3</f>
        <v>49.692469240187599</v>
      </c>
    </row>
    <row r="7" spans="1:23">
      <c r="A7" s="7">
        <v>5.2</v>
      </c>
      <c r="B7" s="7">
        <v>23.066700000000001</v>
      </c>
      <c r="C7"/>
      <c r="D7" s="52">
        <f t="shared" si="0"/>
        <v>26.973103470810262</v>
      </c>
      <c r="E7" s="7">
        <f t="shared" si="1"/>
        <v>-3.9064034708102611</v>
      </c>
      <c r="F7" s="7">
        <f t="shared" si="2"/>
        <v>3.9064034708102611</v>
      </c>
      <c r="G7" s="8">
        <f t="shared" si="3"/>
        <v>15.259988076758454</v>
      </c>
      <c r="H7" s="7">
        <f t="shared" si="4"/>
        <v>0.16935250689566608</v>
      </c>
      <c r="I7" s="10"/>
      <c r="J7" s="12"/>
      <c r="K7" s="8">
        <f t="shared" si="5"/>
        <v>136.04805809761581</v>
      </c>
      <c r="L7" s="7">
        <f t="shared" si="6"/>
        <v>60.179746630582528</v>
      </c>
      <c r="O7" s="31">
        <v>3</v>
      </c>
      <c r="P7" s="30">
        <f>'[1]Q.6b-e CrossVal'!$Y$4</f>
        <v>-4.9417187089717549</v>
      </c>
      <c r="Q7" s="29">
        <f>'[1]Q.6b-e CrossVal'!$Z$4</f>
        <v>51.975304449011269</v>
      </c>
    </row>
    <row r="8" spans="1:23" ht="15.75" thickBot="1">
      <c r="A8" s="7">
        <v>3</v>
      </c>
      <c r="B8" s="7">
        <v>32.857900000000001</v>
      </c>
      <c r="C8"/>
      <c r="D8" s="52">
        <f t="shared" si="0"/>
        <v>36.997572633121976</v>
      </c>
      <c r="E8" s="7">
        <f t="shared" si="1"/>
        <v>-4.1396726331219753</v>
      </c>
      <c r="F8" s="7">
        <f t="shared" si="2"/>
        <v>4.1396726331219753</v>
      </c>
      <c r="G8" s="8">
        <f t="shared" si="3"/>
        <v>17.136889509419028</v>
      </c>
      <c r="H8" s="7">
        <f t="shared" si="4"/>
        <v>0.12598713347846258</v>
      </c>
      <c r="I8" s="10"/>
      <c r="J8" s="12"/>
      <c r="K8" s="8">
        <f t="shared" si="5"/>
        <v>3.5072453054532602</v>
      </c>
      <c r="L8" s="7">
        <f t="shared" si="6"/>
        <v>5.1388743808155795</v>
      </c>
      <c r="O8" s="15" t="s">
        <v>0</v>
      </c>
      <c r="P8" s="14">
        <f>AVERAGE(P5:P7)</f>
        <v>-4.5565768919598675</v>
      </c>
      <c r="Q8" s="13">
        <f>AVERAGE(Q5:Q7)</f>
        <v>50.667303309001575</v>
      </c>
    </row>
    <row r="9" spans="1:23" ht="15.75" thickBot="1">
      <c r="A9" s="7">
        <v>1.5</v>
      </c>
      <c r="B9" s="7">
        <v>52.2</v>
      </c>
      <c r="C9"/>
      <c r="D9" s="52">
        <f t="shared" si="0"/>
        <v>43.832437971061772</v>
      </c>
      <c r="E9" s="7">
        <f t="shared" si="1"/>
        <v>8.3675620289382309</v>
      </c>
      <c r="F9" s="7">
        <f t="shared" si="2"/>
        <v>8.3675620289382309</v>
      </c>
      <c r="G9" s="8">
        <f t="shared" si="3"/>
        <v>70.016094308128885</v>
      </c>
      <c r="H9" s="7">
        <f t="shared" si="4"/>
        <v>0.16029812315973621</v>
      </c>
      <c r="I9" s="10"/>
      <c r="J9" s="12"/>
      <c r="K9" s="8">
        <f t="shared" si="5"/>
        <v>305.17769742876084</v>
      </c>
      <c r="L9" s="7">
        <f t="shared" si="6"/>
        <v>82.842287934294305</v>
      </c>
    </row>
    <row r="10" spans="1:23" ht="15.75" customHeight="1">
      <c r="A10" s="7">
        <v>1.5</v>
      </c>
      <c r="B10" s="7">
        <v>55.644599999999997</v>
      </c>
      <c r="C10"/>
      <c r="D10" s="52">
        <f t="shared" si="0"/>
        <v>43.832437971061772</v>
      </c>
      <c r="E10" s="7">
        <f t="shared" si="1"/>
        <v>11.812162028938225</v>
      </c>
      <c r="F10" s="7">
        <f t="shared" si="2"/>
        <v>11.812162028938225</v>
      </c>
      <c r="G10" s="8">
        <f t="shared" si="3"/>
        <v>139.52717179788999</v>
      </c>
      <c r="H10" s="7">
        <f t="shared" si="4"/>
        <v>0.2122786762585808</v>
      </c>
      <c r="I10" s="10"/>
      <c r="J10" s="12"/>
      <c r="K10" s="8">
        <f t="shared" si="5"/>
        <v>437.39271559757719</v>
      </c>
      <c r="L10" s="7">
        <f t="shared" si="6"/>
        <v>82.842287934294305</v>
      </c>
      <c r="O10" s="142" t="s">
        <v>72</v>
      </c>
      <c r="P10" s="143"/>
      <c r="Q10" s="144"/>
    </row>
    <row r="11" spans="1:23">
      <c r="A11" s="7">
        <v>6.3</v>
      </c>
      <c r="B11" s="7">
        <v>26</v>
      </c>
      <c r="C11"/>
      <c r="D11" s="52">
        <f t="shared" si="0"/>
        <v>21.96086888965441</v>
      </c>
      <c r="E11" s="7">
        <f t="shared" si="1"/>
        <v>4.0391311103455898</v>
      </c>
      <c r="F11" s="7">
        <f t="shared" si="2"/>
        <v>4.0391311103455898</v>
      </c>
      <c r="G11" s="8">
        <f t="shared" si="3"/>
        <v>16.314580126561598</v>
      </c>
      <c r="H11" s="7">
        <f t="shared" si="4"/>
        <v>0.15535119655175345</v>
      </c>
      <c r="I11" s="10"/>
      <c r="J11" s="12"/>
      <c r="K11" s="8">
        <f t="shared" si="5"/>
        <v>76.224495306309919</v>
      </c>
      <c r="L11" s="7">
        <f t="shared" si="6"/>
        <v>163.06766924506977</v>
      </c>
      <c r="O11" s="145" t="s">
        <v>73</v>
      </c>
      <c r="P11" s="146"/>
      <c r="Q11" s="147"/>
    </row>
    <row r="12" spans="1:23" ht="15.75" thickBot="1">
      <c r="A12" s="7">
        <v>6</v>
      </c>
      <c r="B12" s="7">
        <v>25</v>
      </c>
      <c r="C12"/>
      <c r="D12" s="52">
        <f t="shared" si="0"/>
        <v>23.32784195724237</v>
      </c>
      <c r="E12" s="7">
        <f t="shared" si="1"/>
        <v>1.6721580427576299</v>
      </c>
      <c r="F12" s="7">
        <f t="shared" si="2"/>
        <v>1.6721580427576299</v>
      </c>
      <c r="G12" s="8">
        <f t="shared" si="3"/>
        <v>2.7961125199590278</v>
      </c>
      <c r="H12" s="7">
        <f t="shared" si="4"/>
        <v>6.6886321710305202E-2</v>
      </c>
      <c r="I12" s="10"/>
      <c r="J12" s="12"/>
      <c r="K12" s="8">
        <f t="shared" si="5"/>
        <v>94.685823469575155</v>
      </c>
      <c r="L12" s="7">
        <f t="shared" si="6"/>
        <v>130.02435240048374</v>
      </c>
      <c r="O12" s="148" t="s">
        <v>74</v>
      </c>
      <c r="P12" s="149"/>
      <c r="Q12" s="150"/>
    </row>
    <row r="13" spans="1:23" ht="17.25">
      <c r="A13" s="7">
        <v>6.2</v>
      </c>
      <c r="B13" s="7">
        <v>26.8</v>
      </c>
      <c r="C13"/>
      <c r="D13" s="52">
        <f t="shared" si="0"/>
        <v>22.416526578850394</v>
      </c>
      <c r="E13" s="7">
        <f t="shared" si="1"/>
        <v>4.3834734211496063</v>
      </c>
      <c r="F13" s="7">
        <f t="shared" si="2"/>
        <v>4.3834734211496063</v>
      </c>
      <c r="G13" s="8">
        <f t="shared" si="3"/>
        <v>19.214839233925034</v>
      </c>
      <c r="H13" s="7">
        <f t="shared" si="4"/>
        <v>0.16356244108767187</v>
      </c>
      <c r="I13" s="10"/>
      <c r="J13" s="12"/>
      <c r="K13" s="8">
        <f t="shared" si="5"/>
        <v>62.895432775697728</v>
      </c>
      <c r="L13" s="7">
        <f t="shared" si="6"/>
        <v>151.63798243742761</v>
      </c>
      <c r="O13" s="25" t="s">
        <v>3</v>
      </c>
      <c r="P13" s="91" t="s">
        <v>2</v>
      </c>
      <c r="Q13" s="92" t="s">
        <v>1</v>
      </c>
    </row>
    <row r="14" spans="1:23">
      <c r="A14" s="7">
        <v>3.6</v>
      </c>
      <c r="B14" s="7">
        <v>32.299300000000002</v>
      </c>
      <c r="C14"/>
      <c r="D14" s="52">
        <f t="shared" si="0"/>
        <v>34.263626497946049</v>
      </c>
      <c r="E14" s="7">
        <f t="shared" si="1"/>
        <v>-1.9643264979460469</v>
      </c>
      <c r="F14" s="7">
        <f t="shared" si="2"/>
        <v>1.9643264979460469</v>
      </c>
      <c r="G14" s="8">
        <f t="shared" si="3"/>
        <v>3.8585785905329808</v>
      </c>
      <c r="H14" s="7">
        <f t="shared" si="4"/>
        <v>6.0816379857955023E-2</v>
      </c>
      <c r="I14" s="10"/>
      <c r="J14" s="12"/>
      <c r="K14" s="8">
        <f t="shared" si="5"/>
        <v>5.9115312974532124</v>
      </c>
      <c r="L14" s="7">
        <f t="shared" si="6"/>
        <v>0.21812410457578874</v>
      </c>
      <c r="N14"/>
      <c r="O14" s="24" t="s">
        <v>66</v>
      </c>
      <c r="P14" s="23">
        <f>'[1]Q.6b-e CrossVal'!$Y$19</f>
        <v>10.324132821722854</v>
      </c>
      <c r="Q14" s="22">
        <f>'[1]Q.6b-e CrossVal'!$Z$19</f>
        <v>0.56287332776336219</v>
      </c>
    </row>
    <row r="15" spans="1:23">
      <c r="A15" s="7">
        <v>3.8</v>
      </c>
      <c r="B15" s="7">
        <v>36.7669</v>
      </c>
      <c r="C15"/>
      <c r="D15" s="52">
        <f t="shared" si="0"/>
        <v>33.352311119554081</v>
      </c>
      <c r="E15" s="7">
        <f t="shared" si="1"/>
        <v>3.414588880445919</v>
      </c>
      <c r="F15" s="7">
        <f t="shared" si="2"/>
        <v>3.414588880445919</v>
      </c>
      <c r="G15" s="8">
        <f t="shared" si="3"/>
        <v>11.659417222464915</v>
      </c>
      <c r="H15" s="7">
        <f t="shared" si="4"/>
        <v>9.2871274990437569E-2</v>
      </c>
      <c r="I15" s="10"/>
      <c r="J15" s="12"/>
      <c r="K15" s="8">
        <f t="shared" si="5"/>
        <v>4.1462567152494545</v>
      </c>
      <c r="L15" s="7">
        <f t="shared" si="6"/>
        <v>1.8998568880706777</v>
      </c>
      <c r="O15" s="24" t="s">
        <v>67</v>
      </c>
      <c r="P15" s="23">
        <f>'[1]Q.6b-e CrossVal'!$Y$20</f>
        <v>10.200307623028547</v>
      </c>
      <c r="Q15" s="22">
        <f>'[1]Q.6b-e CrossVal'!$Z$20</f>
        <v>0.77013052902427981</v>
      </c>
    </row>
    <row r="16" spans="1:23">
      <c r="A16" s="7">
        <v>3.4</v>
      </c>
      <c r="B16" s="7">
        <v>41.347000000000001</v>
      </c>
      <c r="C16"/>
      <c r="D16" s="52">
        <f t="shared" si="0"/>
        <v>35.174941876338025</v>
      </c>
      <c r="E16" s="7">
        <f t="shared" si="1"/>
        <v>6.1720581236619765</v>
      </c>
      <c r="F16" s="7">
        <f t="shared" si="2"/>
        <v>6.1720581236619765</v>
      </c>
      <c r="G16" s="8">
        <f t="shared" si="3"/>
        <v>38.094301481861798</v>
      </c>
      <c r="H16" s="7">
        <f t="shared" si="4"/>
        <v>0.14927462992870041</v>
      </c>
      <c r="I16" s="10"/>
      <c r="J16" s="12"/>
      <c r="K16" s="8">
        <f t="shared" si="5"/>
        <v>43.775900984678366</v>
      </c>
      <c r="L16" s="7">
        <f t="shared" si="6"/>
        <v>0.19738275886829965</v>
      </c>
      <c r="O16" s="21" t="s">
        <v>68</v>
      </c>
      <c r="P16" s="20">
        <f>'[1]Q.6b-e CrossVal'!$Y$21</f>
        <v>10.626588289684642</v>
      </c>
      <c r="Q16" s="19">
        <f>'[1]Q.6b-e CrossVal'!$Z$21</f>
        <v>0.68202231525796697</v>
      </c>
    </row>
    <row r="17" spans="1:17">
      <c r="A17" s="7">
        <v>3.4</v>
      </c>
      <c r="B17" s="7">
        <v>37.055</v>
      </c>
      <c r="C17"/>
      <c r="D17" s="52">
        <f t="shared" si="0"/>
        <v>35.174941876338025</v>
      </c>
      <c r="E17" s="7">
        <f t="shared" si="1"/>
        <v>1.8800581236619749</v>
      </c>
      <c r="F17" s="7">
        <f t="shared" si="2"/>
        <v>1.8800581236619749</v>
      </c>
      <c r="G17" s="8">
        <f t="shared" si="3"/>
        <v>3.5346185483473858</v>
      </c>
      <c r="H17" s="7">
        <f t="shared" si="4"/>
        <v>5.0736961912345835E-2</v>
      </c>
      <c r="I17" s="10"/>
      <c r="J17" s="12"/>
      <c r="K17" s="8">
        <f t="shared" si="5"/>
        <v>5.4025374614127397</v>
      </c>
      <c r="L17" s="7">
        <f t="shared" si="6"/>
        <v>0.19738275886829965</v>
      </c>
      <c r="O17" s="21" t="s">
        <v>69</v>
      </c>
      <c r="P17" s="20">
        <f>'[1]Q.6b-e CrossVal'!$Y$22</f>
        <v>10.907951859765051</v>
      </c>
      <c r="Q17" s="19">
        <f>'[1]Q.6b-e CrossVal'!$Z$22</f>
        <v>0.81611945604801583</v>
      </c>
    </row>
    <row r="18" spans="1:17">
      <c r="A18" s="7">
        <v>5</v>
      </c>
      <c r="B18" s="7">
        <v>30.850300000000001</v>
      </c>
      <c r="C18"/>
      <c r="D18" s="52">
        <f t="shared" si="0"/>
        <v>27.884418849202238</v>
      </c>
      <c r="E18" s="7">
        <f t="shared" si="1"/>
        <v>2.9658811507977632</v>
      </c>
      <c r="F18" s="7">
        <f t="shared" si="2"/>
        <v>2.9658811507977632</v>
      </c>
      <c r="G18" s="8">
        <f t="shared" si="3"/>
        <v>8.7964510006574645</v>
      </c>
      <c r="H18" s="7">
        <f t="shared" si="4"/>
        <v>9.6137838231646469E-2</v>
      </c>
      <c r="I18" s="10"/>
      <c r="J18" s="12"/>
      <c r="K18" s="8">
        <f t="shared" si="5"/>
        <v>15.057225406024545</v>
      </c>
      <c r="L18" s="7">
        <f t="shared" si="6"/>
        <v>46.871073782575714</v>
      </c>
      <c r="O18" s="18" t="s">
        <v>70</v>
      </c>
      <c r="P18" s="17">
        <f>'[1]Q.6b-e CrossVal'!$Y$23</f>
        <v>10.246221973749487</v>
      </c>
      <c r="Q18" s="16">
        <f>'[1]Q.6b-e CrossVal'!$Z$23</f>
        <v>0.53000394289818786</v>
      </c>
    </row>
    <row r="19" spans="1:17">
      <c r="A19" s="7">
        <v>3.8</v>
      </c>
      <c r="B19" s="7">
        <v>36.7669</v>
      </c>
      <c r="C19"/>
      <c r="D19" s="52">
        <f t="shared" si="0"/>
        <v>33.352311119554081</v>
      </c>
      <c r="E19" s="7">
        <f t="shared" si="1"/>
        <v>3.414588880445919</v>
      </c>
      <c r="F19" s="7">
        <f t="shared" si="2"/>
        <v>3.414588880445919</v>
      </c>
      <c r="G19" s="8">
        <f t="shared" si="3"/>
        <v>11.659417222464915</v>
      </c>
      <c r="H19" s="7">
        <f t="shared" si="4"/>
        <v>9.2871274990437569E-2</v>
      </c>
      <c r="I19" s="10"/>
      <c r="J19" s="12"/>
      <c r="K19" s="8">
        <f t="shared" si="5"/>
        <v>4.1462567152494545</v>
      </c>
      <c r="L19" s="7">
        <f t="shared" si="6"/>
        <v>1.8998568880706777</v>
      </c>
      <c r="O19" s="18" t="s">
        <v>71</v>
      </c>
      <c r="P19" s="17">
        <f>'[1]Q.6b-e CrossVal'!$Y$24</f>
        <v>10.510230094923276</v>
      </c>
      <c r="Q19" s="16">
        <f>'[1]Q.6b-e CrossVal'!$Z$24</f>
        <v>0.46296146019414286</v>
      </c>
    </row>
    <row r="20" spans="1:17" ht="15" customHeight="1" thickBot="1">
      <c r="A20" s="7">
        <v>3.8</v>
      </c>
      <c r="B20" s="7">
        <v>34.861699999999999</v>
      </c>
      <c r="C20"/>
      <c r="D20" s="52">
        <f t="shared" si="0"/>
        <v>33.352311119554081</v>
      </c>
      <c r="E20" s="7">
        <f t="shared" si="1"/>
        <v>1.5093888804459183</v>
      </c>
      <c r="F20" s="7">
        <f t="shared" si="2"/>
        <v>1.5093888804459183</v>
      </c>
      <c r="G20" s="8">
        <f t="shared" si="3"/>
        <v>2.2782547924137826</v>
      </c>
      <c r="H20" s="7">
        <f t="shared" si="4"/>
        <v>4.3296479530427902E-2</v>
      </c>
      <c r="I20" s="10"/>
      <c r="J20" s="12"/>
      <c r="K20" s="8">
        <f t="shared" si="5"/>
        <v>1.717041190238295E-2</v>
      </c>
      <c r="L20" s="7">
        <f t="shared" si="6"/>
        <v>1.8998568880706777</v>
      </c>
      <c r="O20" s="15" t="s">
        <v>0</v>
      </c>
      <c r="P20" s="14">
        <f>AVERAGE(P14:P19)</f>
        <v>10.469238777145641</v>
      </c>
      <c r="Q20" s="13">
        <f>AVERAGE(Q14:Q19)</f>
        <v>0.63735183853099253</v>
      </c>
    </row>
    <row r="21" spans="1:17">
      <c r="A21" s="7">
        <v>3.8</v>
      </c>
      <c r="B21" s="7">
        <v>37.066600000000001</v>
      </c>
      <c r="C21"/>
      <c r="D21" s="52">
        <f t="shared" si="0"/>
        <v>33.352311119554081</v>
      </c>
      <c r="E21" s="7">
        <f t="shared" si="1"/>
        <v>3.7142888804459204</v>
      </c>
      <c r="F21" s="7">
        <f t="shared" si="2"/>
        <v>3.7142888804459204</v>
      </c>
      <c r="G21" s="8">
        <f t="shared" si="3"/>
        <v>13.79594188740421</v>
      </c>
      <c r="H21" s="7">
        <f t="shared" si="4"/>
        <v>0.10020581549011563</v>
      </c>
      <c r="I21" s="10"/>
      <c r="J21" s="12"/>
      <c r="K21" s="8">
        <f t="shared" si="5"/>
        <v>5.4565966147188698</v>
      </c>
      <c r="L21" s="7">
        <f t="shared" si="6"/>
        <v>1.8998568880706777</v>
      </c>
    </row>
    <row r="22" spans="1:17">
      <c r="A22" s="7">
        <v>3.8</v>
      </c>
      <c r="B22" s="7">
        <v>36.027700000000003</v>
      </c>
      <c r="C22"/>
      <c r="D22" s="52">
        <f t="shared" si="0"/>
        <v>33.352311119554081</v>
      </c>
      <c r="E22" s="7">
        <f t="shared" si="1"/>
        <v>2.6753888804459223</v>
      </c>
      <c r="F22" s="7">
        <f t="shared" si="2"/>
        <v>2.6753888804459223</v>
      </c>
      <c r="G22" s="8">
        <f t="shared" si="3"/>
        <v>7.1577056616136856</v>
      </c>
      <c r="H22" s="7">
        <f t="shared" si="4"/>
        <v>7.4259219446312752E-2</v>
      </c>
      <c r="I22" s="10"/>
      <c r="J22" s="12"/>
      <c r="K22" s="8">
        <f t="shared" si="5"/>
        <v>1.6823021735351258</v>
      </c>
      <c r="L22" s="7">
        <f t="shared" si="6"/>
        <v>1.8998568880706777</v>
      </c>
    </row>
    <row r="23" spans="1:17">
      <c r="A23" s="7">
        <v>6</v>
      </c>
      <c r="B23" s="7">
        <v>24.7</v>
      </c>
      <c r="C23"/>
      <c r="D23" s="52">
        <f t="shared" si="0"/>
        <v>23.32784195724237</v>
      </c>
      <c r="E23" s="7">
        <f t="shared" si="1"/>
        <v>1.3721580427576292</v>
      </c>
      <c r="F23" s="7">
        <f t="shared" si="2"/>
        <v>1.3721580427576292</v>
      </c>
      <c r="G23" s="8">
        <f t="shared" si="3"/>
        <v>1.8828176943044477</v>
      </c>
      <c r="H23" s="7">
        <f t="shared" si="4"/>
        <v>5.5552957196665149E-2</v>
      </c>
      <c r="I23" s="10"/>
      <c r="J23" s="12"/>
      <c r="K23" s="8">
        <f t="shared" si="5"/>
        <v>100.61422191855475</v>
      </c>
      <c r="L23" s="7">
        <f t="shared" si="6"/>
        <v>130.02435240048374</v>
      </c>
    </row>
    <row r="24" spans="1:17">
      <c r="A24" s="7">
        <v>3</v>
      </c>
      <c r="B24" s="7">
        <v>36.473799999999997</v>
      </c>
      <c r="C24"/>
      <c r="D24" s="52">
        <f t="shared" si="0"/>
        <v>36.997572633121976</v>
      </c>
      <c r="E24" s="7">
        <f t="shared" si="1"/>
        <v>-0.52377263312197897</v>
      </c>
      <c r="F24" s="7">
        <f t="shared" si="2"/>
        <v>0.52377263312197897</v>
      </c>
      <c r="G24" s="8">
        <f t="shared" si="3"/>
        <v>0.27433777120753117</v>
      </c>
      <c r="H24" s="7">
        <f t="shared" si="4"/>
        <v>1.4360243054520752E-2</v>
      </c>
      <c r="I24" s="10"/>
      <c r="J24" s="9"/>
      <c r="K24" s="8">
        <f t="shared" si="5"/>
        <v>3.0385228299024862</v>
      </c>
      <c r="L24" s="7">
        <f t="shared" si="6"/>
        <v>5.1388743808155795</v>
      </c>
    </row>
    <row r="25" spans="1:17">
      <c r="A25" s="7">
        <v>3</v>
      </c>
      <c r="B25" s="7">
        <v>32.857900000000001</v>
      </c>
      <c r="C25"/>
      <c r="D25" s="52">
        <f t="shared" si="0"/>
        <v>36.997572633121976</v>
      </c>
      <c r="E25" s="7">
        <f t="shared" si="1"/>
        <v>-4.1396726331219753</v>
      </c>
      <c r="F25" s="7">
        <f t="shared" si="2"/>
        <v>4.1396726331219753</v>
      </c>
      <c r="G25" s="8">
        <f t="shared" si="3"/>
        <v>17.136889509419028</v>
      </c>
      <c r="H25" s="7">
        <f t="shared" si="4"/>
        <v>0.12598713347846258</v>
      </c>
      <c r="I25" s="10"/>
      <c r="J25" s="9"/>
      <c r="K25" s="8">
        <f t="shared" si="5"/>
        <v>3.5072453054532602</v>
      </c>
      <c r="L25" s="7">
        <f t="shared" si="6"/>
        <v>5.1388743808155795</v>
      </c>
    </row>
    <row r="26" spans="1:17">
      <c r="A26" s="7">
        <v>3</v>
      </c>
      <c r="B26" s="7">
        <v>36.473799999999997</v>
      </c>
      <c r="C26"/>
      <c r="D26" s="52">
        <f t="shared" si="0"/>
        <v>36.997572633121976</v>
      </c>
      <c r="E26" s="7">
        <f t="shared" si="1"/>
        <v>-0.52377263312197897</v>
      </c>
      <c r="F26" s="7">
        <f t="shared" si="2"/>
        <v>0.52377263312197897</v>
      </c>
      <c r="G26" s="8">
        <f t="shared" si="3"/>
        <v>0.27433777120753117</v>
      </c>
      <c r="H26" s="7">
        <f t="shared" si="4"/>
        <v>1.4360243054520752E-2</v>
      </c>
      <c r="I26" s="10"/>
      <c r="J26" s="9"/>
      <c r="K26" s="8">
        <f t="shared" si="5"/>
        <v>3.0385228299024862</v>
      </c>
      <c r="L26" s="7">
        <f t="shared" si="6"/>
        <v>5.1388743808155795</v>
      </c>
    </row>
    <row r="27" spans="1:17">
      <c r="A27" s="7">
        <v>3</v>
      </c>
      <c r="B27" s="7">
        <v>32.857900000000001</v>
      </c>
      <c r="C27"/>
      <c r="D27" s="52">
        <f t="shared" si="0"/>
        <v>36.997572633121976</v>
      </c>
      <c r="E27" s="7">
        <f t="shared" si="1"/>
        <v>-4.1396726331219753</v>
      </c>
      <c r="F27" s="7">
        <f t="shared" si="2"/>
        <v>4.1396726331219753</v>
      </c>
      <c r="G27" s="8">
        <f t="shared" si="3"/>
        <v>17.136889509419028</v>
      </c>
      <c r="H27" s="7">
        <f t="shared" si="4"/>
        <v>0.12598713347846258</v>
      </c>
      <c r="I27" s="10"/>
      <c r="J27" s="9"/>
      <c r="K27" s="8">
        <f t="shared" si="5"/>
        <v>3.5072453054532602</v>
      </c>
      <c r="L27" s="7">
        <f t="shared" si="6"/>
        <v>5.1388743808155795</v>
      </c>
    </row>
    <row r="28" spans="1:17">
      <c r="A28" s="7">
        <v>1.6</v>
      </c>
      <c r="B28" s="7">
        <v>54.250100000000003</v>
      </c>
      <c r="C28"/>
      <c r="D28" s="52">
        <f t="shared" si="0"/>
        <v>43.376780281865784</v>
      </c>
      <c r="E28" s="7">
        <f t="shared" si="1"/>
        <v>10.873319718134219</v>
      </c>
      <c r="F28" s="7">
        <f t="shared" si="2"/>
        <v>10.873319718134219</v>
      </c>
      <c r="G28" s="8">
        <f t="shared" si="3"/>
        <v>118.22908169276641</v>
      </c>
      <c r="H28" s="7">
        <f t="shared" si="4"/>
        <v>0.2004294871001937</v>
      </c>
      <c r="I28" s="10"/>
      <c r="J28" s="9"/>
      <c r="K28" s="8">
        <f t="shared" si="5"/>
        <v>381.00837857125083</v>
      </c>
      <c r="L28" s="7">
        <f t="shared" si="6"/>
        <v>74.755325347934402</v>
      </c>
    </row>
    <row r="29" spans="1:17">
      <c r="A29" s="7">
        <v>1.6</v>
      </c>
      <c r="B29" s="7">
        <v>52.6</v>
      </c>
      <c r="C29"/>
      <c r="D29" s="52">
        <f t="shared" si="0"/>
        <v>43.376780281865784</v>
      </c>
      <c r="E29" s="7">
        <f t="shared" si="1"/>
        <v>9.2232197181342173</v>
      </c>
      <c r="F29" s="7">
        <f t="shared" si="2"/>
        <v>9.2232197181342173</v>
      </c>
      <c r="G29" s="8">
        <f t="shared" si="3"/>
        <v>85.06778196897983</v>
      </c>
      <c r="H29" s="7">
        <f t="shared" si="4"/>
        <v>0.17534638247403456</v>
      </c>
      <c r="I29" s="10"/>
      <c r="J29" s="9"/>
      <c r="K29" s="8">
        <f t="shared" si="5"/>
        <v>319.3131661634547</v>
      </c>
      <c r="L29" s="7">
        <f t="shared" si="6"/>
        <v>74.755325347934402</v>
      </c>
    </row>
    <row r="30" spans="1:17">
      <c r="A30" s="7">
        <v>1.6</v>
      </c>
      <c r="B30" s="7">
        <v>56.420400000000001</v>
      </c>
      <c r="C30"/>
      <c r="D30" s="52">
        <f t="shared" si="0"/>
        <v>43.376780281865784</v>
      </c>
      <c r="E30" s="7">
        <f t="shared" si="1"/>
        <v>13.043619718134217</v>
      </c>
      <c r="F30" s="7">
        <f t="shared" si="2"/>
        <v>13.043619718134217</v>
      </c>
      <c r="G30" s="8">
        <f t="shared" si="3"/>
        <v>170.13601535129973</v>
      </c>
      <c r="H30" s="7">
        <f t="shared" si="4"/>
        <v>0.23118623260618884</v>
      </c>
      <c r="I30" s="10"/>
      <c r="J30" s="9"/>
      <c r="K30" s="8">
        <f t="shared" si="5"/>
        <v>470.44464420851619</v>
      </c>
      <c r="L30" s="7">
        <f t="shared" si="6"/>
        <v>74.755325347934402</v>
      </c>
    </row>
    <row r="31" spans="1:17">
      <c r="A31" s="7">
        <v>3.7</v>
      </c>
      <c r="B31" s="7">
        <v>41.4056</v>
      </c>
      <c r="C31"/>
      <c r="D31" s="52">
        <f t="shared" si="0"/>
        <v>33.807968808750061</v>
      </c>
      <c r="E31" s="7">
        <f t="shared" si="1"/>
        <v>7.5976311912499384</v>
      </c>
      <c r="F31" s="7">
        <f t="shared" si="2"/>
        <v>7.5976311912499384</v>
      </c>
      <c r="G31" s="8">
        <f t="shared" si="3"/>
        <v>57.723999718253957</v>
      </c>
      <c r="H31" s="7">
        <f t="shared" si="4"/>
        <v>0.18349284133667762</v>
      </c>
      <c r="I31" s="10"/>
      <c r="J31" s="9"/>
      <c r="K31" s="8">
        <f t="shared" si="5"/>
        <v>44.554769514311005</v>
      </c>
      <c r="L31" s="7">
        <f t="shared" si="6"/>
        <v>0.85136656659981558</v>
      </c>
    </row>
    <row r="32" spans="1:17">
      <c r="A32" s="7">
        <v>3.7</v>
      </c>
      <c r="B32" s="7">
        <v>35.162799999999997</v>
      </c>
      <c r="C32"/>
      <c r="D32" s="52">
        <f t="shared" si="0"/>
        <v>33.807968808750061</v>
      </c>
      <c r="E32" s="7">
        <f t="shared" si="1"/>
        <v>1.3548311912499358</v>
      </c>
      <c r="F32" s="7">
        <f t="shared" si="2"/>
        <v>1.3548311912499358</v>
      </c>
      <c r="G32" s="8">
        <f t="shared" si="3"/>
        <v>1.83556755678372</v>
      </c>
      <c r="H32" s="7">
        <f t="shared" si="4"/>
        <v>3.8530241938922266E-2</v>
      </c>
      <c r="I32" s="10"/>
      <c r="J32" s="9"/>
      <c r="K32" s="8">
        <f t="shared" si="5"/>
        <v>0.1867414519432182</v>
      </c>
      <c r="L32" s="7">
        <f t="shared" si="6"/>
        <v>0.85136656659981558</v>
      </c>
    </row>
    <row r="33" spans="1:12">
      <c r="A33" s="7">
        <v>3.5</v>
      </c>
      <c r="B33" s="7">
        <v>34.749400000000001</v>
      </c>
      <c r="C33"/>
      <c r="D33" s="52">
        <f t="shared" si="0"/>
        <v>34.719284187142037</v>
      </c>
      <c r="E33" s="7">
        <f t="shared" si="1"/>
        <v>3.0115812857964386E-2</v>
      </c>
      <c r="F33" s="7">
        <f t="shared" si="2"/>
        <v>3.0115812857964386E-2</v>
      </c>
      <c r="G33" s="8">
        <f t="shared" si="3"/>
        <v>9.0696218409593303E-4</v>
      </c>
      <c r="H33" s="7">
        <f t="shared" si="4"/>
        <v>8.6665706049498365E-4</v>
      </c>
      <c r="I33" s="10"/>
      <c r="J33" s="9"/>
      <c r="K33" s="8">
        <f t="shared" si="5"/>
        <v>3.5103463706925538E-4</v>
      </c>
      <c r="L33" s="7">
        <f t="shared" si="6"/>
        <v>1.2950199861675504E-4</v>
      </c>
    </row>
    <row r="34" spans="1:12">
      <c r="A34" s="7">
        <v>3.5</v>
      </c>
      <c r="B34" s="7">
        <v>34.9</v>
      </c>
      <c r="C34"/>
      <c r="D34" s="52">
        <f t="shared" si="0"/>
        <v>34.719284187142037</v>
      </c>
      <c r="E34" s="7">
        <f t="shared" si="1"/>
        <v>0.18071581285796157</v>
      </c>
      <c r="F34" s="7">
        <f t="shared" si="2"/>
        <v>0.18071581285796157</v>
      </c>
      <c r="G34" s="8">
        <f t="shared" si="3"/>
        <v>3.2658205016913786E-2</v>
      </c>
      <c r="H34" s="7">
        <f t="shared" si="4"/>
        <v>5.1781035202854318E-3</v>
      </c>
      <c r="I34" s="10"/>
      <c r="J34" s="9"/>
      <c r="K34" s="8">
        <f t="shared" si="5"/>
        <v>2.8674653249324188E-2</v>
      </c>
      <c r="L34" s="7">
        <f t="shared" si="6"/>
        <v>1.2950199861675504E-4</v>
      </c>
    </row>
    <row r="35" spans="1:12">
      <c r="A35" s="7">
        <v>5.5</v>
      </c>
      <c r="B35" s="7">
        <v>30.6</v>
      </c>
      <c r="C35"/>
      <c r="D35" s="52">
        <f t="shared" si="0"/>
        <v>25.606130403222302</v>
      </c>
      <c r="E35" s="7">
        <f t="shared" si="1"/>
        <v>4.9938695967776994</v>
      </c>
      <c r="F35" s="7">
        <f t="shared" si="2"/>
        <v>4.9938695967776994</v>
      </c>
      <c r="G35" s="8">
        <f t="shared" si="3"/>
        <v>24.938733549620661</v>
      </c>
      <c r="H35" s="7">
        <f t="shared" si="4"/>
        <v>0.16319835283587253</v>
      </c>
      <c r="I35" s="10"/>
      <c r="J35" s="9"/>
      <c r="K35" s="8">
        <f t="shared" si="5"/>
        <v>17.062385755289828</v>
      </c>
      <c r="L35" s="7">
        <f t="shared" si="6"/>
        <v>83.25711484844409</v>
      </c>
    </row>
    <row r="36" spans="1:12">
      <c r="A36" s="7">
        <v>5.5</v>
      </c>
      <c r="B36" s="7">
        <v>31.7</v>
      </c>
      <c r="C36"/>
      <c r="D36" s="52">
        <f t="shared" si="0"/>
        <v>25.606130403222302</v>
      </c>
      <c r="E36" s="7">
        <f t="shared" si="1"/>
        <v>6.0938695967776972</v>
      </c>
      <c r="F36" s="7">
        <f t="shared" si="2"/>
        <v>6.0938695967776972</v>
      </c>
      <c r="G36" s="8">
        <f t="shared" si="3"/>
        <v>37.135246662531571</v>
      </c>
      <c r="H36" s="7">
        <f t="shared" si="4"/>
        <v>0.1922356339677507</v>
      </c>
      <c r="I36" s="10"/>
      <c r="J36" s="9"/>
      <c r="K36" s="8">
        <f t="shared" si="5"/>
        <v>9.1849247756980841</v>
      </c>
      <c r="L36" s="7">
        <f t="shared" si="6"/>
        <v>83.25711484844409</v>
      </c>
    </row>
    <row r="37" spans="1:12">
      <c r="A37" s="7">
        <v>1.6</v>
      </c>
      <c r="B37" s="7">
        <v>47.847799999999999</v>
      </c>
      <c r="C37"/>
      <c r="D37" s="52">
        <f t="shared" si="0"/>
        <v>43.376780281865784</v>
      </c>
      <c r="E37" s="7">
        <f t="shared" si="1"/>
        <v>4.4710197181342153</v>
      </c>
      <c r="F37" s="7">
        <f t="shared" si="2"/>
        <v>4.4710197181342153</v>
      </c>
      <c r="G37" s="8">
        <f t="shared" si="3"/>
        <v>19.990017319944958</v>
      </c>
      <c r="H37" s="7">
        <f t="shared" si="4"/>
        <v>9.3442534831992594E-2</v>
      </c>
      <c r="I37" s="10"/>
      <c r="J37" s="9"/>
      <c r="K37" s="8">
        <f t="shared" si="5"/>
        <v>172.05925470092367</v>
      </c>
      <c r="L37" s="7">
        <f t="shared" si="6"/>
        <v>74.755325347934402</v>
      </c>
    </row>
    <row r="38" spans="1:12">
      <c r="A38" s="7">
        <v>1.6</v>
      </c>
      <c r="B38" s="7">
        <v>50.243600000000001</v>
      </c>
      <c r="C38"/>
      <c r="D38" s="52">
        <f t="shared" si="0"/>
        <v>43.376780281865784</v>
      </c>
      <c r="E38" s="7">
        <f t="shared" si="1"/>
        <v>6.8668197181342165</v>
      </c>
      <c r="F38" s="7">
        <f t="shared" si="2"/>
        <v>6.8668197181342165</v>
      </c>
      <c r="G38" s="8">
        <f t="shared" si="3"/>
        <v>47.153213041356878</v>
      </c>
      <c r="H38" s="7">
        <f t="shared" si="4"/>
        <v>0.13667053551366176</v>
      </c>
      <c r="I38" s="10"/>
      <c r="J38" s="9"/>
      <c r="K38" s="8">
        <f t="shared" si="5"/>
        <v>240.65118080737287</v>
      </c>
      <c r="L38" s="7">
        <f t="shared" si="6"/>
        <v>74.755325347934402</v>
      </c>
    </row>
    <row r="39" spans="1:12">
      <c r="A39" s="7">
        <v>1.8</v>
      </c>
      <c r="B39" s="7">
        <v>47.2</v>
      </c>
      <c r="C39"/>
      <c r="D39" s="52">
        <f t="shared" si="0"/>
        <v>42.465464903473816</v>
      </c>
      <c r="E39" s="7">
        <f t="shared" si="1"/>
        <v>4.7345350965261872</v>
      </c>
      <c r="F39" s="7">
        <f t="shared" si="2"/>
        <v>4.7345350965261872</v>
      </c>
      <c r="G39" s="8">
        <f t="shared" si="3"/>
        <v>22.415822580238231</v>
      </c>
      <c r="H39" s="7">
        <f t="shared" si="4"/>
        <v>0.10030794696030057</v>
      </c>
      <c r="I39" s="10"/>
      <c r="J39" s="9"/>
      <c r="K39" s="8">
        <f t="shared" si="5"/>
        <v>155.484338245087</v>
      </c>
      <c r="L39" s="7">
        <f t="shared" si="6"/>
        <v>59.827143753555269</v>
      </c>
    </row>
    <row r="40" spans="1:12">
      <c r="A40" s="7">
        <v>1.8</v>
      </c>
      <c r="B40" s="7">
        <v>46.9</v>
      </c>
      <c r="C40"/>
      <c r="D40" s="52">
        <f t="shared" si="0"/>
        <v>42.465464903473816</v>
      </c>
      <c r="E40" s="7">
        <f t="shared" si="1"/>
        <v>4.4345350965261829</v>
      </c>
      <c r="F40" s="7">
        <f t="shared" si="2"/>
        <v>4.4345350965261829</v>
      </c>
      <c r="G40" s="8">
        <f t="shared" si="3"/>
        <v>19.665101522322484</v>
      </c>
      <c r="H40" s="7">
        <f t="shared" si="4"/>
        <v>9.4552987132754437E-2</v>
      </c>
      <c r="I40" s="10"/>
      <c r="J40" s="9"/>
      <c r="K40" s="8">
        <f t="shared" si="5"/>
        <v>148.09273669406645</v>
      </c>
      <c r="L40" s="7">
        <f t="shared" si="6"/>
        <v>59.827143753555269</v>
      </c>
    </row>
    <row r="41" spans="1:12">
      <c r="A41" s="7">
        <v>4</v>
      </c>
      <c r="B41" s="7">
        <v>28.4</v>
      </c>
      <c r="C41"/>
      <c r="D41" s="52">
        <f t="shared" si="0"/>
        <v>32.440995741162105</v>
      </c>
      <c r="E41" s="7">
        <f t="shared" si="1"/>
        <v>-4.0409957411621065</v>
      </c>
      <c r="F41" s="7">
        <f t="shared" si="2"/>
        <v>4.0409957411621065</v>
      </c>
      <c r="G41" s="8">
        <f t="shared" si="3"/>
        <v>16.329646580090284</v>
      </c>
      <c r="H41" s="7">
        <f t="shared" si="4"/>
        <v>0.14228858243528544</v>
      </c>
      <c r="I41" s="10"/>
      <c r="J41" s="9"/>
      <c r="K41" s="8">
        <f t="shared" si="5"/>
        <v>40.077307714473378</v>
      </c>
      <c r="L41" s="7">
        <f t="shared" si="6"/>
        <v>5.2425811093529928</v>
      </c>
    </row>
    <row r="42" spans="1:12">
      <c r="A42" s="7">
        <v>4</v>
      </c>
      <c r="B42" s="7">
        <v>27.9711</v>
      </c>
      <c r="C42"/>
      <c r="D42" s="52">
        <f t="shared" si="0"/>
        <v>32.440995741162105</v>
      </c>
      <c r="E42" s="7">
        <f t="shared" si="1"/>
        <v>-4.4698957411621052</v>
      </c>
      <c r="F42" s="7">
        <f t="shared" si="2"/>
        <v>4.4698957411621052</v>
      </c>
      <c r="G42" s="8">
        <f t="shared" si="3"/>
        <v>19.979967936859126</v>
      </c>
      <c r="H42" s="7">
        <f t="shared" si="4"/>
        <v>0.15980407424670839</v>
      </c>
      <c r="I42" s="10"/>
      <c r="J42" s="9"/>
      <c r="K42" s="8">
        <f t="shared" si="5"/>
        <v>45.691706573697822</v>
      </c>
      <c r="L42" s="7">
        <f t="shared" si="6"/>
        <v>5.2425811093529928</v>
      </c>
    </row>
    <row r="43" spans="1:12">
      <c r="A43" s="7">
        <v>1.4</v>
      </c>
      <c r="B43" s="7">
        <v>50.4</v>
      </c>
      <c r="C43"/>
      <c r="D43" s="52">
        <f t="shared" si="0"/>
        <v>44.28809566025776</v>
      </c>
      <c r="E43" s="7">
        <f t="shared" si="1"/>
        <v>6.1119043397422388</v>
      </c>
      <c r="F43" s="7">
        <f t="shared" si="2"/>
        <v>6.1119043397422388</v>
      </c>
      <c r="G43" s="8">
        <f t="shared" si="3"/>
        <v>37.355374658160009</v>
      </c>
      <c r="H43" s="7">
        <f t="shared" si="4"/>
        <v>0.12126794324885395</v>
      </c>
      <c r="I43" s="10"/>
      <c r="J43" s="9"/>
      <c r="K43" s="8">
        <f t="shared" si="5"/>
        <v>245.52808812263811</v>
      </c>
      <c r="L43" s="7">
        <f t="shared" si="6"/>
        <v>91.344498380101072</v>
      </c>
    </row>
    <row r="44" spans="1:12">
      <c r="A44" s="7">
        <v>1.4</v>
      </c>
      <c r="B44" s="7">
        <v>54.05</v>
      </c>
      <c r="C44"/>
      <c r="D44" s="52">
        <f t="shared" si="0"/>
        <v>44.28809566025776</v>
      </c>
      <c r="E44" s="7">
        <f t="shared" si="1"/>
        <v>9.7619043397422374</v>
      </c>
      <c r="F44" s="7">
        <f t="shared" si="2"/>
        <v>9.7619043397422374</v>
      </c>
      <c r="G44" s="8">
        <f t="shared" si="3"/>
        <v>95.294776338278325</v>
      </c>
      <c r="H44" s="7">
        <f t="shared" si="4"/>
        <v>0.18060877594342717</v>
      </c>
      <c r="I44" s="10"/>
      <c r="J44" s="9"/>
      <c r="K44" s="8">
        <f t="shared" si="5"/>
        <v>373.23674032671994</v>
      </c>
      <c r="L44" s="7">
        <f t="shared" si="6"/>
        <v>91.344498380101072</v>
      </c>
    </row>
    <row r="45" spans="1:12">
      <c r="A45" s="7">
        <v>1.4</v>
      </c>
      <c r="B45" s="7">
        <v>59.7</v>
      </c>
      <c r="C45"/>
      <c r="D45" s="52">
        <f t="shared" si="0"/>
        <v>44.28809566025776</v>
      </c>
      <c r="E45" s="7">
        <f t="shared" si="1"/>
        <v>15.411904339742243</v>
      </c>
      <c r="F45" s="7">
        <f t="shared" si="2"/>
        <v>15.411904339742243</v>
      </c>
      <c r="G45" s="8">
        <f t="shared" si="3"/>
        <v>237.52679537736577</v>
      </c>
      <c r="H45" s="7">
        <f t="shared" si="4"/>
        <v>0.25815585158697224</v>
      </c>
      <c r="I45" s="10"/>
      <c r="J45" s="9"/>
      <c r="K45" s="8">
        <f t="shared" si="5"/>
        <v>623.46773620427166</v>
      </c>
      <c r="L45" s="7">
        <f t="shared" si="6"/>
        <v>91.344498380101072</v>
      </c>
    </row>
    <row r="46" spans="1:12">
      <c r="A46" s="7">
        <v>1.4</v>
      </c>
      <c r="B46" s="7">
        <v>52.749600000000001</v>
      </c>
      <c r="C46"/>
      <c r="D46" s="52">
        <f t="shared" si="0"/>
        <v>44.28809566025776</v>
      </c>
      <c r="E46" s="7">
        <f t="shared" si="1"/>
        <v>8.4615043397422411</v>
      </c>
      <c r="F46" s="7">
        <f t="shared" si="2"/>
        <v>8.4615043397422411</v>
      </c>
      <c r="G46" s="8">
        <f t="shared" si="3"/>
        <v>71.597055691476783</v>
      </c>
      <c r="H46" s="7">
        <f t="shared" si="4"/>
        <v>0.16040888157904973</v>
      </c>
      <c r="I46" s="10"/>
      <c r="J46" s="9"/>
      <c r="K46" s="8">
        <f t="shared" si="5"/>
        <v>324.68205163023021</v>
      </c>
      <c r="L46" s="7">
        <f t="shared" si="6"/>
        <v>91.344498380101072</v>
      </c>
    </row>
    <row r="47" spans="1:12">
      <c r="A47" s="7">
        <v>2</v>
      </c>
      <c r="B47" s="7">
        <v>40</v>
      </c>
      <c r="C47"/>
      <c r="D47" s="52">
        <f t="shared" si="0"/>
        <v>41.55414952508184</v>
      </c>
      <c r="E47" s="7">
        <f t="shared" si="1"/>
        <v>-1.55414952508184</v>
      </c>
      <c r="F47" s="7">
        <f t="shared" si="2"/>
        <v>1.55414952508184</v>
      </c>
      <c r="G47" s="8">
        <f t="shared" si="3"/>
        <v>2.4153807463121089</v>
      </c>
      <c r="H47" s="7">
        <f t="shared" si="4"/>
        <v>3.8853738127045997E-2</v>
      </c>
      <c r="I47" s="10"/>
      <c r="J47" s="9"/>
      <c r="K47" s="8">
        <f t="shared" si="5"/>
        <v>27.765901020596623</v>
      </c>
      <c r="L47" s="7">
        <f t="shared" si="6"/>
        <v>46.559953596963425</v>
      </c>
    </row>
    <row r="48" spans="1:12">
      <c r="A48" s="7">
        <v>2</v>
      </c>
      <c r="B48" s="7">
        <v>40.9</v>
      </c>
      <c r="C48"/>
      <c r="D48" s="52">
        <f t="shared" si="0"/>
        <v>41.55414952508184</v>
      </c>
      <c r="E48" s="7">
        <f t="shared" si="1"/>
        <v>-0.65414952508184143</v>
      </c>
      <c r="F48" s="7">
        <f t="shared" si="2"/>
        <v>0.65414952508184143</v>
      </c>
      <c r="G48" s="8">
        <f t="shared" si="3"/>
        <v>0.42791160116479871</v>
      </c>
      <c r="H48" s="7">
        <f t="shared" si="4"/>
        <v>1.5993875918871428E-2</v>
      </c>
      <c r="I48" s="10"/>
      <c r="J48" s="9"/>
      <c r="K48" s="8">
        <f t="shared" si="5"/>
        <v>38.060705673657893</v>
      </c>
      <c r="L48" s="7">
        <f t="shared" si="6"/>
        <v>46.559953596963425</v>
      </c>
    </row>
    <row r="49" spans="1:12">
      <c r="A49" s="7">
        <v>3.6</v>
      </c>
      <c r="B49" s="7">
        <v>40.5</v>
      </c>
      <c r="C49"/>
      <c r="D49" s="52">
        <f t="shared" si="0"/>
        <v>34.263626497946049</v>
      </c>
      <c r="E49" s="7">
        <f t="shared" si="1"/>
        <v>6.2363735020539508</v>
      </c>
      <c r="F49" s="7">
        <f t="shared" si="2"/>
        <v>6.2363735020539508</v>
      </c>
      <c r="G49" s="8">
        <f t="shared" si="3"/>
        <v>38.892354457120661</v>
      </c>
      <c r="H49" s="7">
        <f t="shared" si="4"/>
        <v>0.15398453091491238</v>
      </c>
      <c r="I49" s="10"/>
      <c r="J49" s="9"/>
      <c r="K49" s="8">
        <f t="shared" si="5"/>
        <v>33.285236938964005</v>
      </c>
      <c r="L49" s="7">
        <f t="shared" si="6"/>
        <v>0.21812410457578874</v>
      </c>
    </row>
    <row r="50" spans="1:12">
      <c r="A50" s="7">
        <v>6.4</v>
      </c>
      <c r="B50" s="7">
        <v>29.9499</v>
      </c>
      <c r="C50"/>
      <c r="D50" s="52">
        <f t="shared" si="0"/>
        <v>21.505211200458422</v>
      </c>
      <c r="E50" s="7">
        <f t="shared" si="1"/>
        <v>8.4446887995415771</v>
      </c>
      <c r="F50" s="7">
        <f t="shared" si="2"/>
        <v>8.4446887995415771</v>
      </c>
      <c r="G50" s="8">
        <f t="shared" si="3"/>
        <v>71.312768921102958</v>
      </c>
      <c r="H50" s="7">
        <f t="shared" si="4"/>
        <v>0.28196050068753409</v>
      </c>
      <c r="I50" s="10"/>
      <c r="J50" s="9"/>
      <c r="K50" s="8">
        <f t="shared" si="5"/>
        <v>22.855705204228574</v>
      </c>
      <c r="L50" s="7">
        <f t="shared" si="6"/>
        <v>174.91260391215883</v>
      </c>
    </row>
    <row r="51" spans="1:12">
      <c r="A51" s="7">
        <v>6.4</v>
      </c>
      <c r="B51" s="7">
        <v>31.4</v>
      </c>
      <c r="C51"/>
      <c r="D51" s="52">
        <f t="shared" si="0"/>
        <v>21.505211200458422</v>
      </c>
      <c r="E51" s="7">
        <f t="shared" si="1"/>
        <v>9.8947887995415762</v>
      </c>
      <c r="F51" s="7">
        <f t="shared" si="2"/>
        <v>9.8947887995415762</v>
      </c>
      <c r="G51" s="8">
        <f t="shared" si="3"/>
        <v>97.906845387533423</v>
      </c>
      <c r="H51" s="7">
        <f t="shared" si="4"/>
        <v>0.31512066240578268</v>
      </c>
      <c r="I51" s="10"/>
      <c r="J51" s="9"/>
      <c r="K51" s="8">
        <f t="shared" si="5"/>
        <v>11.093323224677659</v>
      </c>
      <c r="L51" s="7">
        <f t="shared" si="6"/>
        <v>174.91260391215883</v>
      </c>
    </row>
    <row r="52" spans="1:12">
      <c r="A52" s="7">
        <v>1.8</v>
      </c>
      <c r="B52" s="7">
        <v>56.991500000000002</v>
      </c>
      <c r="C52"/>
      <c r="D52" s="52">
        <f t="shared" si="0"/>
        <v>42.465464903473816</v>
      </c>
      <c r="E52" s="7">
        <f t="shared" si="1"/>
        <v>14.526035096526186</v>
      </c>
      <c r="F52" s="7">
        <f t="shared" si="2"/>
        <v>14.526035096526186</v>
      </c>
      <c r="G52" s="8">
        <f t="shared" si="3"/>
        <v>211.00569562551053</v>
      </c>
      <c r="H52" s="7">
        <f t="shared" si="4"/>
        <v>0.2548807295215284</v>
      </c>
      <c r="I52" s="10"/>
      <c r="J52" s="9"/>
      <c r="K52" s="8">
        <f t="shared" si="5"/>
        <v>495.54481578447547</v>
      </c>
      <c r="L52" s="7">
        <f t="shared" si="6"/>
        <v>59.827143753555269</v>
      </c>
    </row>
    <row r="53" spans="1:12">
      <c r="A53" s="7">
        <v>1.5</v>
      </c>
      <c r="B53" s="7">
        <v>46.5</v>
      </c>
      <c r="C53"/>
      <c r="D53" s="52">
        <f t="shared" si="0"/>
        <v>43.832437971061772</v>
      </c>
      <c r="E53" s="7">
        <f t="shared" si="1"/>
        <v>2.667562028938228</v>
      </c>
      <c r="F53" s="7">
        <f t="shared" si="2"/>
        <v>2.667562028938228</v>
      </c>
      <c r="G53" s="8">
        <f t="shared" si="3"/>
        <v>7.1158871782330353</v>
      </c>
      <c r="H53" s="7">
        <f t="shared" si="4"/>
        <v>5.7366925353510283E-2</v>
      </c>
      <c r="I53" s="10"/>
      <c r="J53" s="9"/>
      <c r="K53" s="8">
        <f t="shared" si="5"/>
        <v>138.51726795937259</v>
      </c>
      <c r="L53" s="7">
        <f t="shared" si="6"/>
        <v>82.842287934294305</v>
      </c>
    </row>
    <row r="54" spans="1:12">
      <c r="A54" s="7">
        <v>1.5</v>
      </c>
      <c r="B54" s="7">
        <v>49.6</v>
      </c>
      <c r="C54"/>
      <c r="D54" s="52">
        <f t="shared" si="0"/>
        <v>43.832437971061772</v>
      </c>
      <c r="E54" s="7">
        <f t="shared" si="1"/>
        <v>5.7675620289382294</v>
      </c>
      <c r="F54" s="7">
        <f t="shared" si="2"/>
        <v>5.7675620289382294</v>
      </c>
      <c r="G54" s="8">
        <f t="shared" si="3"/>
        <v>33.264771757650067</v>
      </c>
      <c r="H54" s="7">
        <f t="shared" si="4"/>
        <v>0.11628149251891591</v>
      </c>
      <c r="I54" s="10"/>
      <c r="J54" s="9"/>
      <c r="K54" s="8">
        <f t="shared" si="5"/>
        <v>221.0971506532504</v>
      </c>
      <c r="L54" s="7">
        <f t="shared" si="6"/>
        <v>82.842287934294305</v>
      </c>
    </row>
    <row r="55" spans="1:12">
      <c r="A55" s="7">
        <v>1.6</v>
      </c>
      <c r="B55" s="7">
        <v>42</v>
      </c>
      <c r="C55"/>
      <c r="D55" s="52">
        <f t="shared" si="0"/>
        <v>43.376780281865784</v>
      </c>
      <c r="E55" s="7">
        <f t="shared" si="1"/>
        <v>-1.3767802818657842</v>
      </c>
      <c r="F55" s="7">
        <f t="shared" si="2"/>
        <v>1.3767802818657842</v>
      </c>
      <c r="G55" s="8">
        <f t="shared" si="3"/>
        <v>1.8955239445344281</v>
      </c>
      <c r="H55" s="7">
        <f t="shared" si="4"/>
        <v>3.2780482901566287E-2</v>
      </c>
      <c r="I55" s="10"/>
      <c r="J55" s="9"/>
      <c r="K55" s="8">
        <f t="shared" si="5"/>
        <v>52.843244694066151</v>
      </c>
      <c r="L55" s="7">
        <f t="shared" si="6"/>
        <v>74.755325347934402</v>
      </c>
    </row>
    <row r="56" spans="1:12">
      <c r="A56" s="7">
        <v>1.6</v>
      </c>
      <c r="B56" s="7">
        <v>49.949399999999997</v>
      </c>
      <c r="C56"/>
      <c r="D56" s="52">
        <f t="shared" si="0"/>
        <v>43.376780281865784</v>
      </c>
      <c r="E56" s="7">
        <f t="shared" si="1"/>
        <v>6.572619718134213</v>
      </c>
      <c r="F56" s="7">
        <f t="shared" si="2"/>
        <v>6.572619718134213</v>
      </c>
      <c r="G56" s="8">
        <f t="shared" si="3"/>
        <v>43.199329959206658</v>
      </c>
      <c r="H56" s="7">
        <f t="shared" si="4"/>
        <v>0.13158555894833998</v>
      </c>
      <c r="I56" s="10"/>
      <c r="J56" s="9"/>
      <c r="K56" s="8">
        <f t="shared" si="5"/>
        <v>231.60992295300539</v>
      </c>
      <c r="L56" s="7">
        <f t="shared" si="6"/>
        <v>74.755325347934402</v>
      </c>
    </row>
    <row r="57" spans="1:12">
      <c r="A57" s="7">
        <v>1.6</v>
      </c>
      <c r="B57" s="7">
        <v>45.3</v>
      </c>
      <c r="C57"/>
      <c r="D57" s="52">
        <f t="shared" si="0"/>
        <v>43.376780281865784</v>
      </c>
      <c r="E57" s="7">
        <f t="shared" si="1"/>
        <v>1.923219718134213</v>
      </c>
      <c r="F57" s="7">
        <f t="shared" si="2"/>
        <v>1.923219718134213</v>
      </c>
      <c r="G57" s="8">
        <f t="shared" si="3"/>
        <v>3.6987740842202417</v>
      </c>
      <c r="H57" s="7">
        <f t="shared" si="4"/>
        <v>4.2455181415766291E-2</v>
      </c>
      <c r="I57" s="10"/>
      <c r="J57" s="9"/>
      <c r="K57" s="8">
        <f t="shared" si="5"/>
        <v>111.71086175529081</v>
      </c>
      <c r="L57" s="7">
        <f t="shared" si="6"/>
        <v>74.755325347934402</v>
      </c>
    </row>
    <row r="58" spans="1:12">
      <c r="A58" s="7">
        <v>1.6</v>
      </c>
      <c r="B58" s="7">
        <v>45.5</v>
      </c>
      <c r="C58"/>
      <c r="D58" s="52">
        <f t="shared" si="0"/>
        <v>43.376780281865784</v>
      </c>
      <c r="E58" s="7">
        <f t="shared" si="1"/>
        <v>2.1232197181342158</v>
      </c>
      <c r="F58" s="7">
        <f t="shared" si="2"/>
        <v>2.1232197181342158</v>
      </c>
      <c r="G58" s="8">
        <f t="shared" si="3"/>
        <v>4.5080619714739392</v>
      </c>
      <c r="H58" s="7">
        <f t="shared" si="4"/>
        <v>4.6664169629323425E-2</v>
      </c>
      <c r="I58" s="10"/>
      <c r="J58" s="9"/>
      <c r="K58" s="8">
        <f t="shared" si="5"/>
        <v>115.97859612263782</v>
      </c>
      <c r="L58" s="7">
        <f t="shared" si="6"/>
        <v>74.755325347934402</v>
      </c>
    </row>
    <row r="59" spans="1:12">
      <c r="A59" s="7">
        <v>1.6</v>
      </c>
      <c r="B59" s="7">
        <v>42.8</v>
      </c>
      <c r="C59"/>
      <c r="D59" s="52">
        <f t="shared" si="0"/>
        <v>43.376780281865784</v>
      </c>
      <c r="E59" s="7">
        <f t="shared" si="1"/>
        <v>-0.576780281865787</v>
      </c>
      <c r="F59" s="7">
        <f t="shared" si="2"/>
        <v>0.576780281865787</v>
      </c>
      <c r="G59" s="8">
        <f t="shared" si="3"/>
        <v>0.33267549354917669</v>
      </c>
      <c r="H59" s="7">
        <f t="shared" si="4"/>
        <v>1.3476174809948295E-2</v>
      </c>
      <c r="I59" s="10"/>
      <c r="J59" s="9"/>
      <c r="K59" s="8">
        <f t="shared" si="5"/>
        <v>65.114182163453918</v>
      </c>
      <c r="L59" s="7">
        <f t="shared" si="6"/>
        <v>74.755325347934402</v>
      </c>
    </row>
    <row r="60" spans="1:12">
      <c r="A60" s="7">
        <v>1.6</v>
      </c>
      <c r="B60" s="7">
        <v>43.7</v>
      </c>
      <c r="C60"/>
      <c r="D60" s="52">
        <f t="shared" si="0"/>
        <v>43.376780281865784</v>
      </c>
      <c r="E60" s="7">
        <f t="shared" si="1"/>
        <v>0.32321971813421868</v>
      </c>
      <c r="F60" s="7">
        <f t="shared" si="2"/>
        <v>0.32321971813421868</v>
      </c>
      <c r="G60" s="8">
        <f t="shared" si="3"/>
        <v>0.10447098619076377</v>
      </c>
      <c r="H60" s="7">
        <f t="shared" si="4"/>
        <v>7.3963322227509993E-3</v>
      </c>
      <c r="I60" s="10"/>
      <c r="J60" s="9"/>
      <c r="K60" s="8">
        <f t="shared" si="5"/>
        <v>80.448986816515301</v>
      </c>
      <c r="L60" s="7">
        <f t="shared" si="6"/>
        <v>74.755325347934402</v>
      </c>
    </row>
    <row r="61" spans="1:12">
      <c r="A61" s="7">
        <v>2.5</v>
      </c>
      <c r="B61" s="7">
        <v>42.904000000000003</v>
      </c>
      <c r="C61"/>
      <c r="D61" s="52">
        <f t="shared" si="0"/>
        <v>39.275861079101908</v>
      </c>
      <c r="E61" s="7">
        <f t="shared" si="1"/>
        <v>3.6281389208980954</v>
      </c>
      <c r="F61" s="7">
        <f t="shared" si="2"/>
        <v>3.6281389208980954</v>
      </c>
      <c r="G61" s="8">
        <f t="shared" si="3"/>
        <v>13.163392029335597</v>
      </c>
      <c r="H61" s="7">
        <f t="shared" si="4"/>
        <v>8.456411805188549E-2</v>
      </c>
      <c r="I61" s="10"/>
      <c r="J61" s="9"/>
      <c r="K61" s="8">
        <f t="shared" si="5"/>
        <v>66.803420034474428</v>
      </c>
      <c r="L61" s="7">
        <f t="shared" si="6"/>
        <v>20.658815745803849</v>
      </c>
    </row>
    <row r="62" spans="1:12">
      <c r="A62" s="7">
        <v>2.5</v>
      </c>
      <c r="B62" s="7">
        <v>43.261699999999998</v>
      </c>
      <c r="C62"/>
      <c r="D62" s="52">
        <f t="shared" si="0"/>
        <v>39.275861079101908</v>
      </c>
      <c r="E62" s="7">
        <f t="shared" si="1"/>
        <v>3.9858389208980896</v>
      </c>
      <c r="F62" s="7">
        <f t="shared" si="2"/>
        <v>3.9858389208980896</v>
      </c>
      <c r="G62" s="8">
        <f t="shared" si="3"/>
        <v>15.886911903346046</v>
      </c>
      <c r="H62" s="7">
        <f t="shared" si="4"/>
        <v>9.2133201443727122E-2</v>
      </c>
      <c r="I62" s="10"/>
      <c r="J62" s="9"/>
      <c r="K62" s="8">
        <f t="shared" si="5"/>
        <v>72.778573840474365</v>
      </c>
      <c r="L62" s="7">
        <f t="shared" si="6"/>
        <v>20.658815745803849</v>
      </c>
    </row>
    <row r="63" spans="1:12">
      <c r="A63" s="7">
        <v>2.5</v>
      </c>
      <c r="B63" s="7">
        <v>37.5899</v>
      </c>
      <c r="C63"/>
      <c r="D63" s="52">
        <f t="shared" si="0"/>
        <v>39.275861079101908</v>
      </c>
      <c r="E63" s="7">
        <f t="shared" si="1"/>
        <v>-1.685961079101908</v>
      </c>
      <c r="F63" s="7">
        <f t="shared" si="2"/>
        <v>1.685961079101908</v>
      </c>
      <c r="G63" s="8">
        <f t="shared" si="3"/>
        <v>2.8424647602464699</v>
      </c>
      <c r="H63" s="7">
        <f t="shared" si="4"/>
        <v>4.4851438261392235E-2</v>
      </c>
      <c r="I63" s="10"/>
      <c r="J63" s="9"/>
      <c r="K63" s="8">
        <f t="shared" si="5"/>
        <v>8.1752300368821675</v>
      </c>
      <c r="L63" s="7">
        <f t="shared" si="6"/>
        <v>20.658815745803849</v>
      </c>
    </row>
    <row r="64" spans="1:12">
      <c r="A64" s="7">
        <v>2.5</v>
      </c>
      <c r="B64" s="7">
        <v>36.655700000000003</v>
      </c>
      <c r="C64"/>
      <c r="D64" s="52">
        <f t="shared" si="0"/>
        <v>39.275861079101908</v>
      </c>
      <c r="E64" s="7">
        <f t="shared" si="1"/>
        <v>-2.620161079101905</v>
      </c>
      <c r="F64" s="7">
        <f t="shared" si="2"/>
        <v>2.620161079101905</v>
      </c>
      <c r="G64" s="8">
        <f t="shared" si="3"/>
        <v>6.8652440804404593</v>
      </c>
      <c r="H64" s="7">
        <f t="shared" si="4"/>
        <v>7.1480317634144336E-2</v>
      </c>
      <c r="I64" s="10"/>
      <c r="J64" s="9"/>
      <c r="K64" s="8">
        <f t="shared" si="5"/>
        <v>3.7057632870045616</v>
      </c>
      <c r="L64" s="7">
        <f t="shared" si="6"/>
        <v>20.658815745803849</v>
      </c>
    </row>
    <row r="65" spans="1:12">
      <c r="A65" s="7">
        <v>2.5</v>
      </c>
      <c r="B65" s="7">
        <v>34.434100000000001</v>
      </c>
      <c r="C65"/>
      <c r="D65" s="52">
        <f t="shared" si="0"/>
        <v>39.275861079101908</v>
      </c>
      <c r="E65" s="7">
        <f t="shared" si="1"/>
        <v>-4.8417610791019072</v>
      </c>
      <c r="F65" s="7">
        <f t="shared" si="2"/>
        <v>4.8417610791019072</v>
      </c>
      <c r="G65" s="8">
        <f t="shared" si="3"/>
        <v>23.442650347106063</v>
      </c>
      <c r="H65" s="7">
        <f t="shared" si="4"/>
        <v>0.14060948533871678</v>
      </c>
      <c r="I65" s="10"/>
      <c r="J65" s="9"/>
      <c r="K65" s="8">
        <f t="shared" si="5"/>
        <v>8.795025451459762E-2</v>
      </c>
      <c r="L65" s="7">
        <f t="shared" si="6"/>
        <v>20.658815745803849</v>
      </c>
    </row>
    <row r="66" spans="1:12">
      <c r="A66" s="7">
        <v>2.5</v>
      </c>
      <c r="B66" s="7">
        <v>31.366900000000001</v>
      </c>
      <c r="C66"/>
      <c r="D66" s="52">
        <f t="shared" si="0"/>
        <v>39.275861079101908</v>
      </c>
      <c r="E66" s="7">
        <f t="shared" si="1"/>
        <v>-7.9089610791019069</v>
      </c>
      <c r="F66" s="7">
        <f t="shared" si="2"/>
        <v>7.9089610791019069</v>
      </c>
      <c r="G66" s="8">
        <f t="shared" si="3"/>
        <v>62.551665350748799</v>
      </c>
      <c r="H66" s="7">
        <f t="shared" si="4"/>
        <v>0.25214353599182282</v>
      </c>
      <c r="I66" s="10"/>
      <c r="J66" s="9"/>
      <c r="K66" s="8">
        <f t="shared" si="5"/>
        <v>11.314908796881722</v>
      </c>
      <c r="L66" s="7">
        <f t="shared" si="6"/>
        <v>20.658815745803849</v>
      </c>
    </row>
    <row r="67" spans="1:12">
      <c r="A67" s="7">
        <v>2</v>
      </c>
      <c r="B67" s="7">
        <v>41.566099999999999</v>
      </c>
      <c r="C67"/>
      <c r="D67" s="52">
        <f t="shared" ref="D67:D130" si="7">$Q$8 + $P$8 * A67</f>
        <v>41.55414952508184</v>
      </c>
      <c r="E67" s="7">
        <f t="shared" ref="E67:E130" si="8">B67-D67</f>
        <v>1.1950474918158704E-2</v>
      </c>
      <c r="F67" s="7">
        <f t="shared" ref="F67:F130" si="9">ABS(E67)</f>
        <v>1.1950474918158704E-2</v>
      </c>
      <c r="G67" s="8">
        <f t="shared" ref="G67:G130" si="10">F67^2</f>
        <v>1.4281385076954028E-4</v>
      </c>
      <c r="H67" s="7">
        <f t="shared" ref="H67:H130" si="11">F67/B67</f>
        <v>2.8750532087828073E-4</v>
      </c>
      <c r="I67" s="10"/>
      <c r="J67" s="9"/>
      <c r="K67" s="8">
        <f t="shared" ref="K67:K130" si="12">(B67-$C$3)^2</f>
        <v>46.723184194106921</v>
      </c>
      <c r="L67" s="7">
        <f t="shared" ref="L67:L130" si="13">(D67-$C$3)^2</f>
        <v>46.559953596963425</v>
      </c>
    </row>
    <row r="68" spans="1:12">
      <c r="A68" s="7">
        <v>2</v>
      </c>
      <c r="B68" s="7">
        <v>44.707999999999998</v>
      </c>
      <c r="C68"/>
      <c r="D68" s="52">
        <f t="shared" si="7"/>
        <v>41.55414952508184</v>
      </c>
      <c r="E68" s="7">
        <f t="shared" si="8"/>
        <v>3.1538504749181584</v>
      </c>
      <c r="F68" s="7">
        <f t="shared" si="9"/>
        <v>3.1538504749181584</v>
      </c>
      <c r="G68" s="8">
        <f t="shared" si="10"/>
        <v>9.9467728181414934</v>
      </c>
      <c r="H68" s="7">
        <f t="shared" si="11"/>
        <v>7.0543313834619273E-2</v>
      </c>
      <c r="I68" s="10"/>
      <c r="J68" s="9"/>
      <c r="K68" s="8">
        <f t="shared" si="12"/>
        <v>99.547232027943863</v>
      </c>
      <c r="L68" s="7">
        <f t="shared" si="13"/>
        <v>46.559953596963425</v>
      </c>
    </row>
    <row r="69" spans="1:12">
      <c r="A69" s="7">
        <v>2</v>
      </c>
      <c r="B69" s="7">
        <v>59.536099999999998</v>
      </c>
      <c r="C69"/>
      <c r="D69" s="52">
        <f t="shared" si="7"/>
        <v>41.55414952508184</v>
      </c>
      <c r="E69" s="7">
        <f t="shared" si="8"/>
        <v>17.981950474918158</v>
      </c>
      <c r="F69" s="7">
        <f t="shared" si="9"/>
        <v>17.981950474918158</v>
      </c>
      <c r="G69" s="8">
        <f t="shared" si="10"/>
        <v>323.35054288240934</v>
      </c>
      <c r="H69" s="7">
        <f t="shared" si="11"/>
        <v>0.30203440391490471</v>
      </c>
      <c r="I69" s="10"/>
      <c r="J69" s="9"/>
      <c r="K69" s="8">
        <f t="shared" si="12"/>
        <v>615.30965110023055</v>
      </c>
      <c r="L69" s="7">
        <f t="shared" si="13"/>
        <v>46.559953596963425</v>
      </c>
    </row>
    <row r="70" spans="1:12">
      <c r="A70" s="7">
        <v>2</v>
      </c>
      <c r="B70" s="7">
        <v>59.438099999999999</v>
      </c>
      <c r="C70"/>
      <c r="D70" s="52">
        <f t="shared" si="7"/>
        <v>41.55414952508184</v>
      </c>
      <c r="E70" s="7">
        <f t="shared" si="8"/>
        <v>17.883950474918159</v>
      </c>
      <c r="F70" s="7">
        <f t="shared" si="9"/>
        <v>17.883950474918159</v>
      </c>
      <c r="G70" s="8">
        <f t="shared" si="10"/>
        <v>319.83568458932541</v>
      </c>
      <c r="H70" s="7">
        <f t="shared" si="11"/>
        <v>0.30088361631542998</v>
      </c>
      <c r="I70" s="10"/>
      <c r="J70" s="9"/>
      <c r="K70" s="8">
        <f t="shared" si="12"/>
        <v>610.45738966023055</v>
      </c>
      <c r="L70" s="7">
        <f t="shared" si="13"/>
        <v>46.559953596963425</v>
      </c>
    </row>
    <row r="71" spans="1:12">
      <c r="A71" s="7">
        <v>2</v>
      </c>
      <c r="B71" s="7">
        <v>46.2</v>
      </c>
      <c r="C71"/>
      <c r="D71" s="52">
        <f t="shared" si="7"/>
        <v>41.55414952508184</v>
      </c>
      <c r="E71" s="7">
        <f t="shared" si="8"/>
        <v>4.6458504749181628</v>
      </c>
      <c r="F71" s="7">
        <f t="shared" si="9"/>
        <v>4.6458504749181628</v>
      </c>
      <c r="G71" s="8">
        <f t="shared" si="10"/>
        <v>21.58392663529732</v>
      </c>
      <c r="H71" s="7">
        <f t="shared" si="11"/>
        <v>0.10055953408913772</v>
      </c>
      <c r="I71" s="10"/>
      <c r="J71" s="9"/>
      <c r="K71" s="8">
        <f t="shared" si="12"/>
        <v>131.54566640835222</v>
      </c>
      <c r="L71" s="7">
        <f t="shared" si="13"/>
        <v>46.559953596963425</v>
      </c>
    </row>
    <row r="72" spans="1:12">
      <c r="A72" s="7">
        <v>2</v>
      </c>
      <c r="B72" s="7">
        <v>41.399000000000001</v>
      </c>
      <c r="C72"/>
      <c r="D72" s="52">
        <f t="shared" si="7"/>
        <v>41.55414952508184</v>
      </c>
      <c r="E72" s="7">
        <f t="shared" si="8"/>
        <v>-0.1551495250818391</v>
      </c>
      <c r="F72" s="7">
        <f t="shared" si="9"/>
        <v>0.1551495250818391</v>
      </c>
      <c r="G72" s="8">
        <f t="shared" si="10"/>
        <v>2.4071375133120219E-2</v>
      </c>
      <c r="H72" s="7">
        <f t="shared" si="11"/>
        <v>3.7476635928848307E-3</v>
      </c>
      <c r="I72" s="10"/>
      <c r="J72" s="9"/>
      <c r="K72" s="8">
        <f t="shared" si="12"/>
        <v>44.466703920188571</v>
      </c>
      <c r="L72" s="7">
        <f t="shared" si="13"/>
        <v>46.559953596963425</v>
      </c>
    </row>
    <row r="73" spans="1:12">
      <c r="A73" s="7">
        <v>2.5</v>
      </c>
      <c r="B73" s="7">
        <v>44.515900000000002</v>
      </c>
      <c r="C73"/>
      <c r="D73" s="52">
        <f t="shared" si="7"/>
        <v>39.275861079101908</v>
      </c>
      <c r="E73" s="7">
        <f t="shared" si="8"/>
        <v>5.240038920898094</v>
      </c>
      <c r="F73" s="7">
        <f t="shared" si="9"/>
        <v>5.240038920898094</v>
      </c>
      <c r="G73" s="8">
        <f t="shared" si="10"/>
        <v>27.458007892526862</v>
      </c>
      <c r="H73" s="7">
        <f t="shared" si="11"/>
        <v>0.11771162485534592</v>
      </c>
      <c r="I73" s="10"/>
      <c r="J73" s="9"/>
      <c r="K73" s="8">
        <f t="shared" si="12"/>
        <v>95.750841978107175</v>
      </c>
      <c r="L73" s="7">
        <f t="shared" si="13"/>
        <v>20.658815745803849</v>
      </c>
    </row>
    <row r="74" spans="1:12">
      <c r="A74" s="7">
        <v>2.5</v>
      </c>
      <c r="B74" s="7">
        <v>42.488799999999998</v>
      </c>
      <c r="C74"/>
      <c r="D74" s="52">
        <f t="shared" si="7"/>
        <v>39.275861079101908</v>
      </c>
      <c r="E74" s="7">
        <f t="shared" si="8"/>
        <v>3.2129389208980896</v>
      </c>
      <c r="F74" s="7">
        <f t="shared" si="9"/>
        <v>3.2129389208980896</v>
      </c>
      <c r="G74" s="8">
        <f t="shared" si="10"/>
        <v>10.32297650942178</v>
      </c>
      <c r="H74" s="7">
        <f t="shared" si="11"/>
        <v>7.5618490540991734E-2</v>
      </c>
      <c r="I74" s="10"/>
      <c r="J74" s="9"/>
      <c r="K74" s="8">
        <f t="shared" si="12"/>
        <v>60.188672927862065</v>
      </c>
      <c r="L74" s="7">
        <f t="shared" si="13"/>
        <v>20.658815745803849</v>
      </c>
    </row>
    <row r="75" spans="1:12">
      <c r="A75" s="7">
        <v>3</v>
      </c>
      <c r="B75" s="7">
        <v>35.799999999999997</v>
      </c>
      <c r="C75"/>
      <c r="D75" s="52">
        <f t="shared" si="7"/>
        <v>36.997572633121976</v>
      </c>
      <c r="E75" s="7">
        <f t="shared" si="8"/>
        <v>-1.1975726331219789</v>
      </c>
      <c r="F75" s="7">
        <f t="shared" si="9"/>
        <v>1.1975726331219789</v>
      </c>
      <c r="G75" s="8">
        <f t="shared" si="10"/>
        <v>1.43418021160271</v>
      </c>
      <c r="H75" s="7">
        <f t="shared" si="11"/>
        <v>3.3451749528546897E-2</v>
      </c>
      <c r="I75" s="10"/>
      <c r="J75" s="9"/>
      <c r="K75" s="8">
        <f t="shared" si="12"/>
        <v>1.1434793063106061</v>
      </c>
      <c r="L75" s="7">
        <f t="shared" si="13"/>
        <v>5.1388743808155795</v>
      </c>
    </row>
    <row r="76" spans="1:12">
      <c r="A76" s="7">
        <v>6.8</v>
      </c>
      <c r="B76" s="7">
        <v>23.4</v>
      </c>
      <c r="C76"/>
      <c r="D76" s="52">
        <f t="shared" si="7"/>
        <v>19.682580443674478</v>
      </c>
      <c r="E76" s="7">
        <f t="shared" si="8"/>
        <v>3.7174195563255203</v>
      </c>
      <c r="F76" s="7">
        <f t="shared" si="9"/>
        <v>3.7174195563255203</v>
      </c>
      <c r="G76" s="8">
        <f t="shared" si="10"/>
        <v>13.819208157751429</v>
      </c>
      <c r="H76" s="7">
        <f t="shared" si="11"/>
        <v>0.15886408360365473</v>
      </c>
      <c r="I76" s="10"/>
      <c r="J76" s="9"/>
      <c r="K76" s="8">
        <f t="shared" si="12"/>
        <v>128.38394853079956</v>
      </c>
      <c r="L76" s="7">
        <f t="shared" si="13"/>
        <v>226.44482117498347</v>
      </c>
    </row>
    <row r="77" spans="1:12">
      <c r="A77" s="7">
        <v>4.4000000000000004</v>
      </c>
      <c r="B77" s="7">
        <v>33.049900000000001</v>
      </c>
      <c r="C77"/>
      <c r="D77" s="52">
        <f t="shared" si="7"/>
        <v>30.618364984378157</v>
      </c>
      <c r="E77" s="7">
        <f t="shared" si="8"/>
        <v>2.4315350156218436</v>
      </c>
      <c r="F77" s="7">
        <f t="shared" si="9"/>
        <v>2.4315350156218436</v>
      </c>
      <c r="G77" s="8">
        <f t="shared" si="10"/>
        <v>5.912362532195119</v>
      </c>
      <c r="H77" s="7">
        <f t="shared" si="11"/>
        <v>7.3571630038875874E-2</v>
      </c>
      <c r="I77" s="10"/>
      <c r="J77" s="9"/>
      <c r="K77" s="8">
        <f t="shared" si="12"/>
        <v>2.8249678981063346</v>
      </c>
      <c r="L77" s="7">
        <f t="shared" si="13"/>
        <v>16.911003865279852</v>
      </c>
    </row>
    <row r="78" spans="1:12">
      <c r="A78" s="7">
        <v>4.4000000000000004</v>
      </c>
      <c r="B78" s="7">
        <v>33.603200000000001</v>
      </c>
      <c r="C78"/>
      <c r="D78" s="52">
        <f t="shared" si="7"/>
        <v>30.618364984378157</v>
      </c>
      <c r="E78" s="7">
        <f t="shared" si="8"/>
        <v>2.9848350156218437</v>
      </c>
      <c r="F78" s="7">
        <f t="shared" si="9"/>
        <v>2.9848350156218437</v>
      </c>
      <c r="G78" s="8">
        <f t="shared" si="10"/>
        <v>8.9092400704822516</v>
      </c>
      <c r="H78" s="7">
        <f t="shared" si="11"/>
        <v>8.8825915853902121E-2</v>
      </c>
      <c r="I78" s="10"/>
      <c r="J78" s="9"/>
      <c r="K78" s="8">
        <f t="shared" si="12"/>
        <v>1.2711752553716802</v>
      </c>
      <c r="L78" s="7">
        <f t="shared" si="13"/>
        <v>16.911003865279852</v>
      </c>
    </row>
    <row r="79" spans="1:12">
      <c r="A79" s="7">
        <v>2.4</v>
      </c>
      <c r="B79" s="7">
        <v>42</v>
      </c>
      <c r="C79"/>
      <c r="D79" s="52">
        <f t="shared" si="7"/>
        <v>39.731518768297896</v>
      </c>
      <c r="E79" s="7">
        <f t="shared" si="8"/>
        <v>2.2684812317021041</v>
      </c>
      <c r="F79" s="7">
        <f t="shared" si="9"/>
        <v>2.2684812317021041</v>
      </c>
      <c r="G79" s="8">
        <f t="shared" si="10"/>
        <v>5.1460070985846951</v>
      </c>
      <c r="H79" s="7">
        <f t="shared" si="11"/>
        <v>5.4011457897669146E-2</v>
      </c>
      <c r="I79" s="10"/>
      <c r="J79" s="9"/>
      <c r="K79" s="8">
        <f t="shared" si="12"/>
        <v>52.843244694066151</v>
      </c>
      <c r="L79" s="7">
        <f t="shared" si="13"/>
        <v>25.008547597142076</v>
      </c>
    </row>
    <row r="80" spans="1:12">
      <c r="A80" s="7">
        <v>3.6</v>
      </c>
      <c r="B80" s="7">
        <v>37.487400000000001</v>
      </c>
      <c r="C80"/>
      <c r="D80" s="52">
        <f t="shared" si="7"/>
        <v>34.263626497946049</v>
      </c>
      <c r="E80" s="7">
        <f t="shared" si="8"/>
        <v>3.2237735020539517</v>
      </c>
      <c r="F80" s="7">
        <f t="shared" si="9"/>
        <v>3.2237735020539517</v>
      </c>
      <c r="G80" s="8">
        <f t="shared" si="10"/>
        <v>10.392715592545201</v>
      </c>
      <c r="H80" s="7">
        <f t="shared" si="11"/>
        <v>8.599618810730944E-2</v>
      </c>
      <c r="I80" s="10"/>
      <c r="J80" s="9"/>
      <c r="K80" s="8">
        <f t="shared" si="12"/>
        <v>7.599592923616858</v>
      </c>
      <c r="L80" s="7">
        <f t="shared" si="13"/>
        <v>0.21812410457578874</v>
      </c>
    </row>
    <row r="81" spans="1:13">
      <c r="A81" s="7">
        <v>3.6</v>
      </c>
      <c r="B81" s="7">
        <v>36.1</v>
      </c>
      <c r="C81"/>
      <c r="D81" s="52">
        <f t="shared" si="7"/>
        <v>34.263626497946049</v>
      </c>
      <c r="E81" s="7">
        <f t="shared" si="8"/>
        <v>1.8363735020539522</v>
      </c>
      <c r="F81" s="7">
        <f t="shared" si="9"/>
        <v>1.8363735020539522</v>
      </c>
      <c r="G81" s="8">
        <f t="shared" si="10"/>
        <v>3.372267639045897</v>
      </c>
      <c r="H81" s="7">
        <f t="shared" si="11"/>
        <v>5.0869072079056846E-2</v>
      </c>
      <c r="I81" s="10"/>
      <c r="J81" s="9"/>
      <c r="K81" s="8">
        <f t="shared" si="12"/>
        <v>1.8750808573310453</v>
      </c>
      <c r="L81" s="7">
        <f t="shared" si="13"/>
        <v>0.21812410457578874</v>
      </c>
    </row>
    <row r="82" spans="1:13">
      <c r="A82" s="7">
        <v>2</v>
      </c>
      <c r="B82" s="7">
        <v>39.4</v>
      </c>
      <c r="C82"/>
      <c r="D82" s="52">
        <f t="shared" si="7"/>
        <v>41.55414952508184</v>
      </c>
      <c r="E82" s="7">
        <f t="shared" si="8"/>
        <v>-2.1541495250818414</v>
      </c>
      <c r="F82" s="7">
        <f t="shared" si="9"/>
        <v>2.1541495250818414</v>
      </c>
      <c r="G82" s="8">
        <f t="shared" si="10"/>
        <v>4.6403601764103231</v>
      </c>
      <c r="H82" s="7">
        <f t="shared" si="11"/>
        <v>5.4673845814259936E-2</v>
      </c>
      <c r="I82" s="10"/>
      <c r="J82" s="9"/>
      <c r="K82" s="8">
        <f t="shared" si="12"/>
        <v>21.802697918555751</v>
      </c>
      <c r="L82" s="7">
        <f t="shared" si="13"/>
        <v>46.559953596963425</v>
      </c>
    </row>
    <row r="83" spans="1:13">
      <c r="A83" s="7">
        <v>2</v>
      </c>
      <c r="B83" s="7">
        <v>44.7</v>
      </c>
      <c r="C83"/>
      <c r="D83" s="52">
        <f t="shared" si="7"/>
        <v>41.55414952508184</v>
      </c>
      <c r="E83" s="7">
        <f t="shared" si="8"/>
        <v>3.1458504749181628</v>
      </c>
      <c r="F83" s="7">
        <f t="shared" si="9"/>
        <v>3.1458504749181628</v>
      </c>
      <c r="G83" s="8">
        <f t="shared" si="10"/>
        <v>9.8963752105428302</v>
      </c>
      <c r="H83" s="7">
        <f t="shared" si="11"/>
        <v>7.0376968118974551E-2</v>
      </c>
      <c r="I83" s="10"/>
      <c r="J83" s="9"/>
      <c r="K83" s="8">
        <f t="shared" si="12"/>
        <v>99.387658653250071</v>
      </c>
      <c r="L83" s="7">
        <f t="shared" si="13"/>
        <v>46.559953596963425</v>
      </c>
    </row>
    <row r="84" spans="1:13">
      <c r="A84" s="7">
        <v>2.4</v>
      </c>
      <c r="B84" s="7">
        <v>42.5</v>
      </c>
      <c r="C84"/>
      <c r="D84" s="52">
        <f t="shared" si="7"/>
        <v>39.731518768297896</v>
      </c>
      <c r="E84" s="7">
        <f t="shared" si="8"/>
        <v>2.7684812317021041</v>
      </c>
      <c r="F84" s="7">
        <f t="shared" si="9"/>
        <v>2.7684812317021041</v>
      </c>
      <c r="G84" s="8">
        <f t="shared" si="10"/>
        <v>7.6644883302867992</v>
      </c>
      <c r="H84" s="7">
        <f t="shared" si="11"/>
        <v>6.5140734863578922E-2</v>
      </c>
      <c r="I84" s="10"/>
      <c r="J84" s="9"/>
      <c r="K84" s="8">
        <f t="shared" si="12"/>
        <v>60.362580612433533</v>
      </c>
      <c r="L84" s="7">
        <f t="shared" si="13"/>
        <v>25.008547597142076</v>
      </c>
    </row>
    <row r="85" spans="1:13">
      <c r="A85" s="7">
        <v>2</v>
      </c>
      <c r="B85" s="7">
        <v>41.5</v>
      </c>
      <c r="C85"/>
      <c r="D85" s="52">
        <f t="shared" si="7"/>
        <v>41.55414952508184</v>
      </c>
      <c r="E85" s="7">
        <f t="shared" si="8"/>
        <v>-5.4149525081840011E-2</v>
      </c>
      <c r="F85" s="7">
        <f t="shared" si="9"/>
        <v>5.4149525081840011E-2</v>
      </c>
      <c r="G85" s="8">
        <f t="shared" si="10"/>
        <v>2.9321710665888203E-3</v>
      </c>
      <c r="H85" s="7">
        <f t="shared" si="11"/>
        <v>1.3048078332973496E-3</v>
      </c>
      <c r="I85" s="10"/>
      <c r="J85" s="9"/>
      <c r="K85" s="8">
        <f t="shared" si="12"/>
        <v>45.823908775698769</v>
      </c>
      <c r="L85" s="7">
        <f t="shared" si="13"/>
        <v>46.559953596963425</v>
      </c>
      <c r="M85" s="11"/>
    </row>
    <row r="86" spans="1:13">
      <c r="A86" s="7">
        <v>2</v>
      </c>
      <c r="B86" s="7">
        <v>43.5</v>
      </c>
      <c r="C86"/>
      <c r="D86" s="52">
        <f t="shared" si="7"/>
        <v>41.55414952508184</v>
      </c>
      <c r="E86" s="7">
        <f t="shared" si="8"/>
        <v>1.94585047491816</v>
      </c>
      <c r="F86" s="7">
        <f t="shared" si="9"/>
        <v>1.94585047491816</v>
      </c>
      <c r="G86" s="8">
        <f t="shared" si="10"/>
        <v>3.7863340707392288</v>
      </c>
      <c r="H86" s="7">
        <f t="shared" si="11"/>
        <v>4.4732194825704827E-2</v>
      </c>
      <c r="I86" s="10"/>
      <c r="J86" s="9"/>
      <c r="K86" s="8">
        <f t="shared" si="12"/>
        <v>76.901252449168297</v>
      </c>
      <c r="L86" s="7">
        <f t="shared" si="13"/>
        <v>46.559953596963425</v>
      </c>
    </row>
    <row r="87" spans="1:13">
      <c r="A87" s="7">
        <v>3.6</v>
      </c>
      <c r="B87" s="7">
        <v>40.5</v>
      </c>
      <c r="D87" s="52">
        <f t="shared" si="7"/>
        <v>34.263626497946049</v>
      </c>
      <c r="E87" s="7">
        <f t="shared" si="8"/>
        <v>6.2363735020539508</v>
      </c>
      <c r="F87" s="7">
        <f t="shared" si="9"/>
        <v>6.2363735020539508</v>
      </c>
      <c r="G87" s="8">
        <f t="shared" si="10"/>
        <v>38.892354457120661</v>
      </c>
      <c r="H87" s="7">
        <f t="shared" si="11"/>
        <v>0.15398453091491238</v>
      </c>
      <c r="I87" s="10"/>
      <c r="J87" s="9"/>
      <c r="K87" s="8">
        <f t="shared" si="12"/>
        <v>33.285236938964005</v>
      </c>
      <c r="L87" s="7">
        <f t="shared" si="13"/>
        <v>0.21812410457578874</v>
      </c>
    </row>
    <row r="88" spans="1:13">
      <c r="A88" s="7">
        <v>3</v>
      </c>
      <c r="B88" s="7">
        <v>39.700000000000003</v>
      </c>
      <c r="D88" s="52">
        <f t="shared" si="7"/>
        <v>36.997572633121976</v>
      </c>
      <c r="E88" s="7">
        <f t="shared" si="8"/>
        <v>2.7024273668780268</v>
      </c>
      <c r="F88" s="7">
        <f t="shared" si="9"/>
        <v>2.7024273668780268</v>
      </c>
      <c r="G88" s="8">
        <f t="shared" si="10"/>
        <v>7.3031136732513051</v>
      </c>
      <c r="H88" s="7">
        <f t="shared" si="11"/>
        <v>6.8071218309270196E-2</v>
      </c>
      <c r="I88" s="10"/>
      <c r="J88" s="9"/>
      <c r="K88" s="8">
        <f t="shared" si="12"/>
        <v>24.694299469576219</v>
      </c>
      <c r="L88" s="7">
        <f t="shared" si="13"/>
        <v>5.1388743808155795</v>
      </c>
    </row>
    <row r="89" spans="1:13">
      <c r="A89" s="7">
        <v>2.5</v>
      </c>
      <c r="B89" s="7">
        <v>40.807499999999997</v>
      </c>
      <c r="D89" s="52">
        <f t="shared" si="7"/>
        <v>39.275861079101908</v>
      </c>
      <c r="E89" s="7">
        <f t="shared" si="8"/>
        <v>1.5316389208980894</v>
      </c>
      <c r="F89" s="7">
        <f t="shared" si="9"/>
        <v>1.5316389208980894</v>
      </c>
      <c r="G89" s="8">
        <f t="shared" si="10"/>
        <v>2.3459177840098637</v>
      </c>
      <c r="H89" s="7">
        <f t="shared" si="11"/>
        <v>3.7533270131669169E-2</v>
      </c>
      <c r="I89" s="10"/>
      <c r="J89" s="9"/>
      <c r="K89" s="8">
        <f t="shared" si="12"/>
        <v>36.927934778759912</v>
      </c>
      <c r="L89" s="7">
        <f t="shared" si="13"/>
        <v>20.658815745803849</v>
      </c>
    </row>
    <row r="90" spans="1:13">
      <c r="A90" s="7">
        <v>2.5</v>
      </c>
      <c r="B90" s="7">
        <v>37.979999999999997</v>
      </c>
      <c r="D90" s="52">
        <f t="shared" si="7"/>
        <v>39.275861079101908</v>
      </c>
      <c r="E90" s="7">
        <f t="shared" si="8"/>
        <v>-1.2958610791019112</v>
      </c>
      <c r="F90" s="7">
        <f t="shared" si="9"/>
        <v>1.2958610791019112</v>
      </c>
      <c r="G90" s="8">
        <f t="shared" si="10"/>
        <v>1.6792559363311697</v>
      </c>
      <c r="H90" s="7">
        <f t="shared" si="11"/>
        <v>3.4119565010582185E-2</v>
      </c>
      <c r="I90" s="10"/>
      <c r="J90" s="9"/>
      <c r="K90" s="8">
        <f t="shared" si="12"/>
        <v>10.558183910392378</v>
      </c>
      <c r="L90" s="7">
        <f t="shared" si="13"/>
        <v>20.658815745803849</v>
      </c>
    </row>
    <row r="91" spans="1:13">
      <c r="A91" s="7">
        <v>3.7</v>
      </c>
      <c r="B91" s="7">
        <v>36.752800000000001</v>
      </c>
      <c r="D91" s="52">
        <f t="shared" si="7"/>
        <v>33.807968808750061</v>
      </c>
      <c r="E91" s="7">
        <f t="shared" si="8"/>
        <v>2.9448311912499392</v>
      </c>
      <c r="F91" s="7">
        <f t="shared" si="9"/>
        <v>2.9448311912499392</v>
      </c>
      <c r="G91" s="8">
        <f t="shared" si="10"/>
        <v>8.6720307449585352</v>
      </c>
      <c r="H91" s="7">
        <f t="shared" si="11"/>
        <v>8.0125356197349298E-2</v>
      </c>
      <c r="I91" s="10"/>
      <c r="J91" s="9"/>
      <c r="K91" s="8">
        <f t="shared" si="12"/>
        <v>4.0890336723514977</v>
      </c>
      <c r="L91" s="7">
        <f t="shared" si="13"/>
        <v>0.85136656659981558</v>
      </c>
    </row>
    <row r="92" spans="1:13">
      <c r="A92" s="7">
        <v>3.7</v>
      </c>
      <c r="B92" s="7">
        <v>33.4</v>
      </c>
      <c r="D92" s="52">
        <f t="shared" si="7"/>
        <v>33.807968808750061</v>
      </c>
      <c r="E92" s="7">
        <f t="shared" si="8"/>
        <v>-0.40796880875006281</v>
      </c>
      <c r="F92" s="7">
        <f t="shared" si="9"/>
        <v>0.40796880875006281</v>
      </c>
      <c r="G92" s="8">
        <f t="shared" si="10"/>
        <v>0.16643854891294532</v>
      </c>
      <c r="H92" s="7">
        <f t="shared" si="11"/>
        <v>1.221463499251685E-2</v>
      </c>
      <c r="I92" s="10"/>
      <c r="J92" s="9"/>
      <c r="K92" s="8">
        <f t="shared" si="12"/>
        <v>1.7706668981471825</v>
      </c>
      <c r="L92" s="7">
        <f t="shared" si="13"/>
        <v>0.85136656659981558</v>
      </c>
    </row>
    <row r="93" spans="1:13">
      <c r="A93" s="7">
        <v>5.6</v>
      </c>
      <c r="B93" s="7">
        <v>34.5</v>
      </c>
      <c r="D93" s="52">
        <f t="shared" si="7"/>
        <v>25.150472714026318</v>
      </c>
      <c r="E93" s="7">
        <f t="shared" si="8"/>
        <v>9.3495272859736822</v>
      </c>
      <c r="F93" s="7">
        <f t="shared" si="9"/>
        <v>9.3495272859736822</v>
      </c>
      <c r="G93" s="8">
        <f t="shared" si="10"/>
        <v>87.413660471166409</v>
      </c>
      <c r="H93" s="7">
        <f t="shared" si="11"/>
        <v>0.27100079089778789</v>
      </c>
      <c r="I93" s="10"/>
      <c r="J93" s="9"/>
      <c r="K93" s="8">
        <f t="shared" si="12"/>
        <v>5.3205918555419049E-2</v>
      </c>
      <c r="L93" s="7">
        <f t="shared" si="13"/>
        <v>91.780066639958278</v>
      </c>
    </row>
    <row r="94" spans="1:13">
      <c r="A94" s="7">
        <v>5.6</v>
      </c>
      <c r="B94" s="7">
        <v>32.4</v>
      </c>
      <c r="D94" s="52">
        <f t="shared" si="7"/>
        <v>25.150472714026318</v>
      </c>
      <c r="E94" s="7">
        <f t="shared" si="8"/>
        <v>7.2495272859736808</v>
      </c>
      <c r="F94" s="7">
        <f t="shared" si="9"/>
        <v>7.2495272859736808</v>
      </c>
      <c r="G94" s="8">
        <f t="shared" si="10"/>
        <v>52.555645870076923</v>
      </c>
      <c r="H94" s="7">
        <f t="shared" si="11"/>
        <v>0.22375084215968152</v>
      </c>
      <c r="I94" s="10"/>
      <c r="J94" s="9"/>
      <c r="K94" s="8">
        <f t="shared" si="12"/>
        <v>5.4319950614124215</v>
      </c>
      <c r="L94" s="7">
        <f t="shared" si="13"/>
        <v>91.780066639958278</v>
      </c>
    </row>
    <row r="95" spans="1:13">
      <c r="A95" s="7">
        <v>3</v>
      </c>
      <c r="B95" s="7">
        <v>39.700000000000003</v>
      </c>
      <c r="D95" s="52">
        <f t="shared" si="7"/>
        <v>36.997572633121976</v>
      </c>
      <c r="E95" s="7">
        <f t="shared" si="8"/>
        <v>2.7024273668780268</v>
      </c>
      <c r="F95" s="7">
        <f t="shared" si="9"/>
        <v>2.7024273668780268</v>
      </c>
      <c r="G95" s="8">
        <f t="shared" si="10"/>
        <v>7.3031136732513051</v>
      </c>
      <c r="H95" s="7">
        <f t="shared" si="11"/>
        <v>6.8071218309270196E-2</v>
      </c>
      <c r="I95" s="10"/>
      <c r="J95" s="9"/>
      <c r="K95" s="8">
        <f t="shared" si="12"/>
        <v>24.694299469576219</v>
      </c>
      <c r="L95" s="7">
        <f t="shared" si="13"/>
        <v>5.1388743808155795</v>
      </c>
    </row>
    <row r="96" spans="1:13">
      <c r="A96" s="7">
        <v>2.5</v>
      </c>
      <c r="B96" s="7">
        <v>51.6</v>
      </c>
      <c r="D96" s="52">
        <f t="shared" si="7"/>
        <v>39.275861079101908</v>
      </c>
      <c r="E96" s="7">
        <f t="shared" si="8"/>
        <v>12.324138920898093</v>
      </c>
      <c r="F96" s="7">
        <f t="shared" si="9"/>
        <v>12.324138920898093</v>
      </c>
      <c r="G96" s="8">
        <f t="shared" si="10"/>
        <v>151.88440014159522</v>
      </c>
      <c r="H96" s="7">
        <f t="shared" si="11"/>
        <v>0.2388399015677925</v>
      </c>
      <c r="I96" s="10"/>
      <c r="J96" s="9"/>
      <c r="K96" s="8">
        <f t="shared" si="12"/>
        <v>284.57449432671996</v>
      </c>
      <c r="L96" s="7">
        <f t="shared" si="13"/>
        <v>20.658815745803849</v>
      </c>
    </row>
    <row r="97" spans="1:12">
      <c r="A97" s="7">
        <v>2.2999999999999998</v>
      </c>
      <c r="B97" s="7">
        <v>34.700000000000003</v>
      </c>
      <c r="D97" s="52">
        <f t="shared" si="7"/>
        <v>40.187176457493877</v>
      </c>
      <c r="E97" s="7">
        <f t="shared" si="8"/>
        <v>-5.4871764574938737</v>
      </c>
      <c r="F97" s="7">
        <f t="shared" si="9"/>
        <v>5.4871764574938737</v>
      </c>
      <c r="G97" s="8">
        <f t="shared" si="10"/>
        <v>30.109105475675019</v>
      </c>
      <c r="H97" s="7">
        <f t="shared" si="11"/>
        <v>0.15813188638310874</v>
      </c>
      <c r="I97" s="10"/>
      <c r="J97" s="9"/>
      <c r="K97" s="8">
        <f t="shared" si="12"/>
        <v>9.4028590237168498E-4</v>
      </c>
      <c r="L97" s="7">
        <f t="shared" si="13"/>
        <v>29.773527307927075</v>
      </c>
    </row>
    <row r="98" spans="1:12">
      <c r="A98" s="7">
        <v>3</v>
      </c>
      <c r="B98" s="7">
        <v>47.1</v>
      </c>
      <c r="D98" s="52">
        <f t="shared" si="7"/>
        <v>36.997572633121976</v>
      </c>
      <c r="E98" s="7">
        <f t="shared" si="8"/>
        <v>10.102427366878025</v>
      </c>
      <c r="F98" s="7">
        <f t="shared" si="9"/>
        <v>10.102427366878025</v>
      </c>
      <c r="G98" s="8">
        <f t="shared" si="10"/>
        <v>102.05903870304607</v>
      </c>
      <c r="H98" s="7">
        <f t="shared" si="11"/>
        <v>0.21448890375537208</v>
      </c>
      <c r="I98" s="10"/>
      <c r="J98" s="9"/>
      <c r="K98" s="8">
        <f t="shared" si="12"/>
        <v>153.00047106141349</v>
      </c>
      <c r="L98" s="7">
        <f t="shared" si="13"/>
        <v>5.1388743808155795</v>
      </c>
    </row>
    <row r="99" spans="1:12">
      <c r="A99" s="7">
        <v>4.2</v>
      </c>
      <c r="B99" s="7">
        <v>35.722200000000001</v>
      </c>
      <c r="D99" s="52">
        <f t="shared" si="7"/>
        <v>31.529680362770129</v>
      </c>
      <c r="E99" s="7">
        <f t="shared" si="8"/>
        <v>4.1925196372298714</v>
      </c>
      <c r="F99" s="7">
        <f t="shared" si="9"/>
        <v>4.1925196372298714</v>
      </c>
      <c r="G99" s="8">
        <f t="shared" si="10"/>
        <v>17.577220908558093</v>
      </c>
      <c r="H99" s="7">
        <f t="shared" si="11"/>
        <v>0.11736454185996023</v>
      </c>
      <c r="I99" s="10"/>
      <c r="J99" s="9"/>
      <c r="K99" s="8">
        <f t="shared" si="12"/>
        <v>0.98314347741264929</v>
      </c>
      <c r="L99" s="7">
        <f t="shared" si="13"/>
        <v>10.246296768422727</v>
      </c>
    </row>
    <row r="100" spans="1:12">
      <c r="A100" s="7">
        <v>3</v>
      </c>
      <c r="B100" s="7">
        <v>37.999699999999997</v>
      </c>
      <c r="D100" s="52">
        <f t="shared" si="7"/>
        <v>36.997572633121976</v>
      </c>
      <c r="E100" s="7">
        <f t="shared" si="8"/>
        <v>1.0021273668780211</v>
      </c>
      <c r="F100" s="7">
        <f t="shared" si="9"/>
        <v>1.0021273668780211</v>
      </c>
      <c r="G100" s="8">
        <f t="shared" si="10"/>
        <v>1.0042592594458759</v>
      </c>
      <c r="H100" s="7">
        <f t="shared" si="11"/>
        <v>2.6371981012429602E-2</v>
      </c>
      <c r="I100" s="10"/>
      <c r="J100" s="9"/>
      <c r="K100" s="8">
        <f t="shared" si="12"/>
        <v>10.686595835576053</v>
      </c>
      <c r="L100" s="7">
        <f t="shared" si="13"/>
        <v>5.1388743808155795</v>
      </c>
    </row>
    <row r="101" spans="1:12">
      <c r="A101" s="7">
        <v>4.4000000000000004</v>
      </c>
      <c r="B101" s="7">
        <v>31.227399999999999</v>
      </c>
      <c r="D101" s="52">
        <f t="shared" si="7"/>
        <v>30.618364984378157</v>
      </c>
      <c r="E101" s="7">
        <f t="shared" si="8"/>
        <v>0.60903501562184204</v>
      </c>
      <c r="F101" s="7">
        <f t="shared" si="9"/>
        <v>0.60903501562184204</v>
      </c>
      <c r="G101" s="8">
        <f t="shared" si="10"/>
        <v>0.37092365025349738</v>
      </c>
      <c r="H101" s="7">
        <f t="shared" si="11"/>
        <v>1.9503225232387008E-2</v>
      </c>
      <c r="I101" s="10"/>
      <c r="J101" s="9"/>
      <c r="K101" s="8">
        <f t="shared" si="12"/>
        <v>12.272859225657234</v>
      </c>
      <c r="L101" s="7">
        <f t="shared" si="13"/>
        <v>16.911003865279852</v>
      </c>
    </row>
    <row r="102" spans="1:12">
      <c r="A102" s="7">
        <v>4.4000000000000004</v>
      </c>
      <c r="B102" s="7">
        <v>30.547999999999998</v>
      </c>
      <c r="D102" s="52">
        <f t="shared" si="7"/>
        <v>30.618364984378157</v>
      </c>
      <c r="E102" s="7">
        <f t="shared" si="8"/>
        <v>-7.0364984378159079E-2</v>
      </c>
      <c r="F102" s="7">
        <f t="shared" si="9"/>
        <v>7.0364984378159079E-2</v>
      </c>
      <c r="G102" s="8">
        <f t="shared" si="10"/>
        <v>4.9512310265385712E-3</v>
      </c>
      <c r="H102" s="7">
        <f t="shared" si="11"/>
        <v>2.3034236080319197E-3</v>
      </c>
      <c r="I102" s="10"/>
      <c r="J102" s="9"/>
      <c r="K102" s="8">
        <f t="shared" si="12"/>
        <v>17.494678819779647</v>
      </c>
      <c r="L102" s="7">
        <f t="shared" si="13"/>
        <v>16.911003865279852</v>
      </c>
    </row>
    <row r="103" spans="1:12">
      <c r="A103" s="7">
        <v>3</v>
      </c>
      <c r="B103" s="7">
        <v>35.496600000000001</v>
      </c>
      <c r="D103" s="52">
        <f t="shared" si="7"/>
        <v>36.997572633121976</v>
      </c>
      <c r="E103" s="7">
        <f t="shared" si="8"/>
        <v>-1.5009726331219753</v>
      </c>
      <c r="F103" s="7">
        <f t="shared" si="9"/>
        <v>1.5009726331219753</v>
      </c>
      <c r="G103" s="8">
        <f t="shared" si="10"/>
        <v>2.252918845381116</v>
      </c>
      <c r="H103" s="7">
        <f t="shared" si="11"/>
        <v>4.2284969070896232E-2</v>
      </c>
      <c r="I103" s="10"/>
      <c r="J103" s="9"/>
      <c r="K103" s="8">
        <f t="shared" si="12"/>
        <v>0.58665783104528613</v>
      </c>
      <c r="L103" s="7">
        <f t="shared" si="13"/>
        <v>5.1388743808155795</v>
      </c>
    </row>
    <row r="104" spans="1:12">
      <c r="A104" s="7">
        <v>3</v>
      </c>
      <c r="B104" s="7">
        <v>35.496600000000001</v>
      </c>
      <c r="D104" s="52">
        <f t="shared" si="7"/>
        <v>36.997572633121976</v>
      </c>
      <c r="E104" s="7">
        <f t="shared" si="8"/>
        <v>-1.5009726331219753</v>
      </c>
      <c r="F104" s="7">
        <f t="shared" si="9"/>
        <v>1.5009726331219753</v>
      </c>
      <c r="G104" s="8">
        <f t="shared" si="10"/>
        <v>2.252918845381116</v>
      </c>
      <c r="H104" s="7">
        <f t="shared" si="11"/>
        <v>4.2284969070896232E-2</v>
      </c>
      <c r="I104" s="10"/>
      <c r="J104" s="9"/>
      <c r="K104" s="8">
        <f t="shared" si="12"/>
        <v>0.58665783104528613</v>
      </c>
      <c r="L104" s="7">
        <f t="shared" si="13"/>
        <v>5.1388743808155795</v>
      </c>
    </row>
    <row r="105" spans="1:12">
      <c r="A105" s="7">
        <v>4.4000000000000004</v>
      </c>
      <c r="B105" s="7">
        <v>33.603200000000001</v>
      </c>
      <c r="D105" s="52">
        <f t="shared" si="7"/>
        <v>30.618364984378157</v>
      </c>
      <c r="E105" s="7">
        <f t="shared" si="8"/>
        <v>2.9848350156218437</v>
      </c>
      <c r="F105" s="7">
        <f t="shared" si="9"/>
        <v>2.9848350156218437</v>
      </c>
      <c r="G105" s="8">
        <f t="shared" si="10"/>
        <v>8.9092400704822516</v>
      </c>
      <c r="H105" s="7">
        <f t="shared" si="11"/>
        <v>8.8825915853902121E-2</v>
      </c>
      <c r="I105" s="10"/>
      <c r="J105" s="9"/>
      <c r="K105" s="8">
        <f t="shared" si="12"/>
        <v>1.2711752553716802</v>
      </c>
      <c r="L105" s="7">
        <f t="shared" si="13"/>
        <v>16.911003865279852</v>
      </c>
    </row>
    <row r="106" spans="1:12">
      <c r="A106" s="7">
        <v>4.4000000000000004</v>
      </c>
      <c r="B106" s="7">
        <v>29.837800000000001</v>
      </c>
      <c r="D106" s="52">
        <f t="shared" si="7"/>
        <v>30.618364984378157</v>
      </c>
      <c r="E106" s="7">
        <f t="shared" si="8"/>
        <v>-0.78056498437815591</v>
      </c>
      <c r="F106" s="7">
        <f t="shared" si="9"/>
        <v>0.78056498437815591</v>
      </c>
      <c r="G106" s="8">
        <f t="shared" si="10"/>
        <v>0.60928169483727079</v>
      </c>
      <c r="H106" s="7">
        <f t="shared" si="11"/>
        <v>2.6160272686932544E-2</v>
      </c>
      <c r="I106" s="10"/>
      <c r="J106" s="9"/>
      <c r="K106" s="8">
        <f t="shared" si="12"/>
        <v>23.940118921330587</v>
      </c>
      <c r="L106" s="7">
        <f t="shared" si="13"/>
        <v>16.911003865279852</v>
      </c>
    </row>
    <row r="107" spans="1:12">
      <c r="A107" s="7">
        <v>4.4000000000000004</v>
      </c>
      <c r="B107" s="7">
        <v>27.730699999999999</v>
      </c>
      <c r="D107" s="52">
        <f t="shared" si="7"/>
        <v>30.618364984378157</v>
      </c>
      <c r="E107" s="7">
        <f t="shared" si="8"/>
        <v>-2.8876649843781586</v>
      </c>
      <c r="F107" s="7">
        <f t="shared" si="9"/>
        <v>2.8876649843781586</v>
      </c>
      <c r="G107" s="8">
        <f t="shared" si="10"/>
        <v>8.3386090620037105</v>
      </c>
      <c r="H107" s="7">
        <f t="shared" si="11"/>
        <v>0.10413242306822974</v>
      </c>
      <c r="I107" s="10"/>
      <c r="J107" s="9"/>
      <c r="K107" s="8">
        <f t="shared" si="12"/>
        <v>48.999497144146801</v>
      </c>
      <c r="L107" s="7">
        <f t="shared" si="13"/>
        <v>16.911003865279852</v>
      </c>
    </row>
    <row r="108" spans="1:12">
      <c r="A108" s="7">
        <v>4.4000000000000004</v>
      </c>
      <c r="B108" s="7">
        <v>29.837800000000001</v>
      </c>
      <c r="D108" s="52">
        <f t="shared" si="7"/>
        <v>30.618364984378157</v>
      </c>
      <c r="E108" s="7">
        <f t="shared" si="8"/>
        <v>-0.78056498437815591</v>
      </c>
      <c r="F108" s="7">
        <f t="shared" si="9"/>
        <v>0.78056498437815591</v>
      </c>
      <c r="G108" s="8">
        <f t="shared" si="10"/>
        <v>0.60928169483727079</v>
      </c>
      <c r="H108" s="7">
        <f t="shared" si="11"/>
        <v>2.6160272686932544E-2</v>
      </c>
      <c r="I108" s="10"/>
      <c r="J108" s="9"/>
      <c r="K108" s="8">
        <f t="shared" si="12"/>
        <v>23.940118921330587</v>
      </c>
      <c r="L108" s="7">
        <f t="shared" si="13"/>
        <v>16.911003865279852</v>
      </c>
    </row>
    <row r="109" spans="1:12">
      <c r="A109" s="7">
        <v>4.4000000000000004</v>
      </c>
      <c r="B109" s="7">
        <v>27.730699999999999</v>
      </c>
      <c r="D109" s="52">
        <f t="shared" si="7"/>
        <v>30.618364984378157</v>
      </c>
      <c r="E109" s="7">
        <f t="shared" si="8"/>
        <v>-2.8876649843781586</v>
      </c>
      <c r="F109" s="7">
        <f t="shared" si="9"/>
        <v>2.8876649843781586</v>
      </c>
      <c r="G109" s="8">
        <f t="shared" si="10"/>
        <v>8.3386090620037105</v>
      </c>
      <c r="H109" s="7">
        <f t="shared" si="11"/>
        <v>0.10413242306822974</v>
      </c>
      <c r="I109" s="10"/>
      <c r="J109" s="9"/>
      <c r="K109" s="8">
        <f t="shared" si="12"/>
        <v>48.999497144146801</v>
      </c>
      <c r="L109" s="7">
        <f t="shared" si="13"/>
        <v>16.911003865279852</v>
      </c>
    </row>
    <row r="110" spans="1:12">
      <c r="A110" s="7">
        <v>3.6</v>
      </c>
      <c r="B110" s="7">
        <v>37.9</v>
      </c>
      <c r="D110" s="52">
        <f t="shared" si="7"/>
        <v>34.263626497946049</v>
      </c>
      <c r="E110" s="7">
        <f t="shared" si="8"/>
        <v>3.6363735020539494</v>
      </c>
      <c r="F110" s="7">
        <f t="shared" si="9"/>
        <v>3.6363735020539494</v>
      </c>
      <c r="G110" s="8">
        <f t="shared" si="10"/>
        <v>13.223212246440104</v>
      </c>
      <c r="H110" s="7">
        <f t="shared" si="11"/>
        <v>9.5946530397201829E-2</v>
      </c>
      <c r="I110" s="10"/>
      <c r="J110" s="9"/>
      <c r="K110" s="8">
        <f t="shared" si="12"/>
        <v>10.044690163453607</v>
      </c>
      <c r="L110" s="7">
        <f t="shared" si="13"/>
        <v>0.21812410457578874</v>
      </c>
    </row>
    <row r="111" spans="1:12">
      <c r="A111" s="7">
        <v>5.7</v>
      </c>
      <c r="B111" s="7">
        <v>34.5</v>
      </c>
      <c r="D111" s="52">
        <f t="shared" si="7"/>
        <v>24.69481502483033</v>
      </c>
      <c r="E111" s="7">
        <f t="shared" si="8"/>
        <v>9.80518497516967</v>
      </c>
      <c r="F111" s="7">
        <f t="shared" si="9"/>
        <v>9.80518497516967</v>
      </c>
      <c r="G111" s="8">
        <f t="shared" si="10"/>
        <v>96.141652397293043</v>
      </c>
      <c r="H111" s="7">
        <f t="shared" si="11"/>
        <v>0.28420826014984552</v>
      </c>
      <c r="I111" s="10"/>
      <c r="J111" s="9"/>
      <c r="K111" s="8">
        <f t="shared" si="12"/>
        <v>5.3205918555419049E-2</v>
      </c>
      <c r="L111" s="7">
        <f t="shared" si="13"/>
        <v>100.71826629091937</v>
      </c>
    </row>
    <row r="112" spans="1:12">
      <c r="A112" s="7">
        <v>4.5999999999999996</v>
      </c>
      <c r="B112" s="7">
        <v>33.9</v>
      </c>
      <c r="D112" s="52">
        <f t="shared" si="7"/>
        <v>29.707049605986185</v>
      </c>
      <c r="E112" s="7">
        <f t="shared" si="8"/>
        <v>4.1929503940138133</v>
      </c>
      <c r="F112" s="7">
        <f t="shared" si="9"/>
        <v>4.1929503940138133</v>
      </c>
      <c r="G112" s="8">
        <f t="shared" si="10"/>
        <v>17.580833006660594</v>
      </c>
      <c r="H112" s="7">
        <f t="shared" si="11"/>
        <v>0.12368585233079096</v>
      </c>
      <c r="I112" s="10"/>
      <c r="J112" s="9"/>
      <c r="K112" s="8">
        <f t="shared" si="12"/>
        <v>0.69000281651456297</v>
      </c>
      <c r="L112" s="7">
        <f t="shared" si="13"/>
        <v>25.236702399924383</v>
      </c>
    </row>
    <row r="113" spans="1:12">
      <c r="A113" s="7">
        <v>3.6</v>
      </c>
      <c r="B113" s="7">
        <v>37.299799999999998</v>
      </c>
      <c r="D113" s="52">
        <f t="shared" si="7"/>
        <v>34.263626497946049</v>
      </c>
      <c r="E113" s="7">
        <f t="shared" si="8"/>
        <v>3.0361735020539484</v>
      </c>
      <c r="F113" s="7">
        <f t="shared" si="9"/>
        <v>3.0361735020539484</v>
      </c>
      <c r="G113" s="8">
        <f t="shared" si="10"/>
        <v>9.2183495345745374</v>
      </c>
      <c r="H113" s="7">
        <f t="shared" si="11"/>
        <v>8.1399189863054194E-2</v>
      </c>
      <c r="I113" s="10"/>
      <c r="J113" s="9"/>
      <c r="K113" s="8">
        <f t="shared" si="12"/>
        <v>6.6004593670453993</v>
      </c>
      <c r="L113" s="7">
        <f t="shared" si="13"/>
        <v>0.21812410457578874</v>
      </c>
    </row>
    <row r="114" spans="1:12">
      <c r="A114" s="7">
        <v>3.6</v>
      </c>
      <c r="B114" s="7">
        <v>36.543999999999997</v>
      </c>
      <c r="D114" s="52">
        <f t="shared" si="7"/>
        <v>34.263626497946049</v>
      </c>
      <c r="E114" s="7">
        <f t="shared" si="8"/>
        <v>2.2803735020539477</v>
      </c>
      <c r="F114" s="7">
        <f t="shared" si="9"/>
        <v>2.2803735020539477</v>
      </c>
      <c r="G114" s="8">
        <f t="shared" si="10"/>
        <v>5.2001033088697861</v>
      </c>
      <c r="H114" s="7">
        <f t="shared" si="11"/>
        <v>6.2400763519427208E-2</v>
      </c>
      <c r="I114" s="10"/>
      <c r="J114" s="9"/>
      <c r="K114" s="8">
        <f t="shared" si="12"/>
        <v>3.2881871528412656</v>
      </c>
      <c r="L114" s="7">
        <f t="shared" si="13"/>
        <v>0.21812410457578874</v>
      </c>
    </row>
    <row r="115" spans="1:12">
      <c r="A115" s="7">
        <v>3</v>
      </c>
      <c r="B115" s="7">
        <v>36.920200000000001</v>
      </c>
      <c r="D115" s="52">
        <f t="shared" si="7"/>
        <v>36.997572633121976</v>
      </c>
      <c r="E115" s="7">
        <f t="shared" si="8"/>
        <v>-7.7372633121974843E-2</v>
      </c>
      <c r="F115" s="7">
        <f t="shared" si="9"/>
        <v>7.7372633121974843E-2</v>
      </c>
      <c r="G115" s="8">
        <f t="shared" si="10"/>
        <v>5.9865243562277183E-3</v>
      </c>
      <c r="H115" s="7">
        <f t="shared" si="11"/>
        <v>2.0956721015047276E-3</v>
      </c>
      <c r="I115" s="10"/>
      <c r="J115" s="9"/>
      <c r="K115" s="8">
        <f t="shared" si="12"/>
        <v>4.7940675378209008</v>
      </c>
      <c r="L115" s="7">
        <f t="shared" si="13"/>
        <v>5.1388743808155795</v>
      </c>
    </row>
    <row r="116" spans="1:12">
      <c r="A116" s="7">
        <v>3</v>
      </c>
      <c r="B116" s="7">
        <v>37.425899999999999</v>
      </c>
      <c r="D116" s="52">
        <f t="shared" si="7"/>
        <v>36.997572633121976</v>
      </c>
      <c r="E116" s="7">
        <f t="shared" si="8"/>
        <v>0.42832736687802253</v>
      </c>
      <c r="F116" s="7">
        <f t="shared" si="9"/>
        <v>0.42832736687802253</v>
      </c>
      <c r="G116" s="8">
        <f t="shared" si="10"/>
        <v>0.18346433321666011</v>
      </c>
      <c r="H116" s="7">
        <f t="shared" si="11"/>
        <v>1.1444677800080226E-2</v>
      </c>
      <c r="I116" s="10"/>
      <c r="J116" s="9"/>
      <c r="K116" s="8">
        <f t="shared" si="12"/>
        <v>7.2642966556576578</v>
      </c>
      <c r="L116" s="7">
        <f t="shared" si="13"/>
        <v>5.1388743808155795</v>
      </c>
    </row>
    <row r="117" spans="1:12">
      <c r="A117" s="7">
        <v>3</v>
      </c>
      <c r="B117" s="7">
        <v>35.435400000000001</v>
      </c>
      <c r="D117" s="52">
        <f t="shared" si="7"/>
        <v>36.997572633121976</v>
      </c>
      <c r="E117" s="7">
        <f t="shared" si="8"/>
        <v>-1.5621726331219747</v>
      </c>
      <c r="F117" s="7">
        <f t="shared" si="9"/>
        <v>1.5621726331219747</v>
      </c>
      <c r="G117" s="8">
        <f t="shared" si="10"/>
        <v>2.4403833356752438</v>
      </c>
      <c r="H117" s="7">
        <f t="shared" si="11"/>
        <v>4.4085085341832593E-2</v>
      </c>
      <c r="I117" s="10"/>
      <c r="J117" s="9"/>
      <c r="K117" s="8">
        <f t="shared" si="12"/>
        <v>0.49665271463711924</v>
      </c>
      <c r="L117" s="7">
        <f t="shared" si="13"/>
        <v>5.1388743808155795</v>
      </c>
    </row>
    <row r="118" spans="1:12">
      <c r="A118" s="7">
        <v>3</v>
      </c>
      <c r="B118" s="7">
        <v>35.890999999999998</v>
      </c>
      <c r="D118" s="52">
        <f t="shared" si="7"/>
        <v>36.997572633121976</v>
      </c>
      <c r="E118" s="7">
        <f t="shared" si="8"/>
        <v>-1.1065726331219778</v>
      </c>
      <c r="F118" s="7">
        <f t="shared" si="9"/>
        <v>1.1065726331219778</v>
      </c>
      <c r="G118" s="8">
        <f t="shared" si="10"/>
        <v>1.2245029923745074</v>
      </c>
      <c r="H118" s="7">
        <f t="shared" si="11"/>
        <v>3.0831479566520239E-2</v>
      </c>
      <c r="I118" s="10"/>
      <c r="J118" s="9"/>
      <c r="K118" s="8">
        <f t="shared" si="12"/>
        <v>1.3463794434534717</v>
      </c>
      <c r="L118" s="7">
        <f t="shared" si="13"/>
        <v>5.1388743808155795</v>
      </c>
    </row>
    <row r="119" spans="1:12">
      <c r="A119" s="7">
        <v>1.6</v>
      </c>
      <c r="B119" s="7">
        <v>43.297899999999998</v>
      </c>
      <c r="D119" s="52">
        <f t="shared" si="7"/>
        <v>43.376780281865784</v>
      </c>
      <c r="E119" s="7">
        <f t="shared" si="8"/>
        <v>-7.8880281865785662E-2</v>
      </c>
      <c r="F119" s="7">
        <f t="shared" si="9"/>
        <v>7.8880281865785662E-2</v>
      </c>
      <c r="G119" s="8">
        <f t="shared" si="10"/>
        <v>6.2220988672257943E-3</v>
      </c>
      <c r="H119" s="7">
        <f t="shared" si="11"/>
        <v>1.8218038719149351E-3</v>
      </c>
      <c r="I119" s="10"/>
      <c r="J119" s="9"/>
      <c r="K119" s="8">
        <f t="shared" si="12"/>
        <v>73.397531280964174</v>
      </c>
      <c r="L119" s="7">
        <f t="shared" si="13"/>
        <v>74.755325347934402</v>
      </c>
    </row>
    <row r="120" spans="1:12">
      <c r="A120" s="7">
        <v>1.6</v>
      </c>
      <c r="B120" s="7">
        <v>45.5991</v>
      </c>
      <c r="D120" s="52">
        <f t="shared" si="7"/>
        <v>43.376780281865784</v>
      </c>
      <c r="E120" s="7">
        <f t="shared" si="8"/>
        <v>2.2223197181342158</v>
      </c>
      <c r="F120" s="7">
        <f t="shared" si="9"/>
        <v>2.2223197181342158</v>
      </c>
      <c r="G120" s="8">
        <f t="shared" si="10"/>
        <v>4.9387049296081402</v>
      </c>
      <c r="H120" s="7">
        <f t="shared" si="11"/>
        <v>4.8736043433625136E-2</v>
      </c>
      <c r="I120" s="10"/>
      <c r="J120" s="9"/>
      <c r="K120" s="8">
        <f t="shared" si="12"/>
        <v>118.12289931165824</v>
      </c>
      <c r="L120" s="7">
        <f t="shared" si="13"/>
        <v>74.755325347934402</v>
      </c>
    </row>
    <row r="121" spans="1:12">
      <c r="A121" s="7">
        <v>1.6</v>
      </c>
      <c r="B121" s="7">
        <v>41.7</v>
      </c>
      <c r="D121" s="52">
        <f t="shared" si="7"/>
        <v>43.376780281865784</v>
      </c>
      <c r="E121" s="7">
        <f t="shared" si="8"/>
        <v>-1.6767802818657813</v>
      </c>
      <c r="F121" s="7">
        <f t="shared" si="9"/>
        <v>1.6767802818657813</v>
      </c>
      <c r="G121" s="8">
        <f t="shared" si="10"/>
        <v>2.8115921136538891</v>
      </c>
      <c r="H121" s="7">
        <f t="shared" si="11"/>
        <v>4.021055831812425E-2</v>
      </c>
      <c r="I121" s="10"/>
      <c r="J121" s="9"/>
      <c r="K121" s="8">
        <f t="shared" si="12"/>
        <v>48.571643143045762</v>
      </c>
      <c r="L121" s="7">
        <f t="shared" si="13"/>
        <v>74.755325347934402</v>
      </c>
    </row>
    <row r="122" spans="1:12">
      <c r="A122" s="7">
        <v>2.4</v>
      </c>
      <c r="B122" s="7">
        <v>38.700000000000003</v>
      </c>
      <c r="D122" s="52">
        <f t="shared" si="7"/>
        <v>39.731518768297896</v>
      </c>
      <c r="E122" s="7">
        <f t="shared" si="8"/>
        <v>-1.031518768297893</v>
      </c>
      <c r="F122" s="7">
        <f t="shared" si="9"/>
        <v>1.031518768297893</v>
      </c>
      <c r="G122" s="8">
        <f t="shared" si="10"/>
        <v>1.0640309693508023</v>
      </c>
      <c r="H122" s="7">
        <f t="shared" si="11"/>
        <v>2.6654231738963641E-2</v>
      </c>
      <c r="I122" s="10"/>
      <c r="J122" s="9"/>
      <c r="K122" s="8">
        <f t="shared" si="12"/>
        <v>15.755627632841451</v>
      </c>
      <c r="L122" s="7">
        <f t="shared" si="13"/>
        <v>25.008547597142076</v>
      </c>
    </row>
    <row r="123" spans="1:12">
      <c r="A123" s="7">
        <v>2.4</v>
      </c>
      <c r="B123" s="7">
        <v>38.700000000000003</v>
      </c>
      <c r="D123" s="52">
        <f t="shared" si="7"/>
        <v>39.731518768297896</v>
      </c>
      <c r="E123" s="7">
        <f t="shared" si="8"/>
        <v>-1.031518768297893</v>
      </c>
      <c r="F123" s="7">
        <f t="shared" si="9"/>
        <v>1.031518768297893</v>
      </c>
      <c r="G123" s="8">
        <f t="shared" si="10"/>
        <v>1.0640309693508023</v>
      </c>
      <c r="H123" s="7">
        <f t="shared" si="11"/>
        <v>2.6654231738963641E-2</v>
      </c>
      <c r="I123" s="10"/>
      <c r="J123" s="9"/>
      <c r="K123" s="8">
        <f t="shared" si="12"/>
        <v>15.755627632841451</v>
      </c>
      <c r="L123" s="7">
        <f t="shared" si="13"/>
        <v>25.008547597142076</v>
      </c>
    </row>
    <row r="124" spans="1:12">
      <c r="A124" s="7">
        <v>2.5</v>
      </c>
      <c r="B124" s="7">
        <v>37.5899</v>
      </c>
      <c r="D124" s="52">
        <f t="shared" si="7"/>
        <v>39.275861079101908</v>
      </c>
      <c r="E124" s="7">
        <f t="shared" si="8"/>
        <v>-1.685961079101908</v>
      </c>
      <c r="F124" s="7">
        <f t="shared" si="9"/>
        <v>1.685961079101908</v>
      </c>
      <c r="G124" s="8">
        <f t="shared" si="10"/>
        <v>2.8424647602464699</v>
      </c>
      <c r="H124" s="7">
        <f t="shared" si="11"/>
        <v>4.4851438261392235E-2</v>
      </c>
      <c r="I124" s="10"/>
      <c r="J124" s="9"/>
      <c r="K124" s="8">
        <f t="shared" si="12"/>
        <v>8.1752300368821675</v>
      </c>
      <c r="L124" s="7">
        <f t="shared" si="13"/>
        <v>20.658815745803849</v>
      </c>
    </row>
    <row r="125" spans="1:12">
      <c r="A125" s="7">
        <v>2.5</v>
      </c>
      <c r="B125" s="7">
        <v>36.655700000000003</v>
      </c>
      <c r="D125" s="52">
        <f t="shared" si="7"/>
        <v>39.275861079101908</v>
      </c>
      <c r="E125" s="7">
        <f t="shared" si="8"/>
        <v>-2.620161079101905</v>
      </c>
      <c r="F125" s="7">
        <f t="shared" si="9"/>
        <v>2.620161079101905</v>
      </c>
      <c r="G125" s="8">
        <f t="shared" si="10"/>
        <v>6.8652440804404593</v>
      </c>
      <c r="H125" s="7">
        <f t="shared" si="11"/>
        <v>7.1480317634144336E-2</v>
      </c>
      <c r="I125" s="10"/>
      <c r="J125" s="9"/>
      <c r="K125" s="8">
        <f t="shared" si="12"/>
        <v>3.7057632870045616</v>
      </c>
      <c r="L125" s="7">
        <f t="shared" si="13"/>
        <v>20.658815745803849</v>
      </c>
    </row>
    <row r="126" spans="1:12">
      <c r="A126" s="7">
        <v>2.5</v>
      </c>
      <c r="B126" s="7">
        <v>34.434100000000001</v>
      </c>
      <c r="D126" s="52">
        <f t="shared" si="7"/>
        <v>39.275861079101908</v>
      </c>
      <c r="E126" s="7">
        <f t="shared" si="8"/>
        <v>-4.8417610791019072</v>
      </c>
      <c r="F126" s="7">
        <f t="shared" si="9"/>
        <v>4.8417610791019072</v>
      </c>
      <c r="G126" s="8">
        <f t="shared" si="10"/>
        <v>23.442650347106063</v>
      </c>
      <c r="H126" s="7">
        <f t="shared" si="11"/>
        <v>0.14060948533871678</v>
      </c>
      <c r="I126" s="10"/>
      <c r="J126" s="9"/>
      <c r="K126" s="8">
        <f t="shared" si="12"/>
        <v>8.795025451459762E-2</v>
      </c>
      <c r="L126" s="7">
        <f t="shared" si="13"/>
        <v>20.658815745803849</v>
      </c>
    </row>
    <row r="127" spans="1:12">
      <c r="A127" s="7">
        <v>2.5</v>
      </c>
      <c r="B127" s="7">
        <v>31.366900000000001</v>
      </c>
      <c r="D127" s="52">
        <f t="shared" si="7"/>
        <v>39.275861079101908</v>
      </c>
      <c r="E127" s="7">
        <f t="shared" si="8"/>
        <v>-7.9089610791019069</v>
      </c>
      <c r="F127" s="7">
        <f t="shared" si="9"/>
        <v>7.9089610791019069</v>
      </c>
      <c r="G127" s="8">
        <f t="shared" si="10"/>
        <v>62.551665350748799</v>
      </c>
      <c r="H127" s="7">
        <f t="shared" si="11"/>
        <v>0.25214353599182282</v>
      </c>
      <c r="I127" s="10"/>
      <c r="J127" s="9"/>
      <c r="K127" s="8">
        <f t="shared" si="12"/>
        <v>11.314908796881722</v>
      </c>
      <c r="L127" s="7">
        <f t="shared" si="13"/>
        <v>20.658815745803849</v>
      </c>
    </row>
    <row r="128" spans="1:12">
      <c r="A128" s="7">
        <v>3.5</v>
      </c>
      <c r="B128" s="7">
        <v>32.200000000000003</v>
      </c>
      <c r="D128" s="52">
        <f t="shared" si="7"/>
        <v>34.719284187142037</v>
      </c>
      <c r="E128" s="7">
        <f t="shared" si="8"/>
        <v>-2.5192841871420342</v>
      </c>
      <c r="F128" s="7">
        <f t="shared" si="9"/>
        <v>2.5192841871420342</v>
      </c>
      <c r="G128" s="8">
        <f t="shared" si="10"/>
        <v>6.3467928155838997</v>
      </c>
      <c r="H128" s="7">
        <f t="shared" si="11"/>
        <v>7.8238639352237085E-2</v>
      </c>
      <c r="I128" s="10"/>
      <c r="J128" s="9"/>
      <c r="K128" s="8">
        <f t="shared" si="12"/>
        <v>6.4042606940654476</v>
      </c>
      <c r="L128" s="7">
        <f t="shared" si="13"/>
        <v>1.2950199861675504E-4</v>
      </c>
    </row>
    <row r="129" spans="1:12">
      <c r="A129" s="7">
        <v>3.7</v>
      </c>
      <c r="B129" s="7">
        <v>28.1</v>
      </c>
      <c r="D129" s="52">
        <f t="shared" si="7"/>
        <v>33.807968808750061</v>
      </c>
      <c r="E129" s="7">
        <f t="shared" si="8"/>
        <v>-5.70796880875006</v>
      </c>
      <c r="F129" s="7">
        <f t="shared" si="9"/>
        <v>5.70796880875006</v>
      </c>
      <c r="G129" s="8">
        <f t="shared" si="10"/>
        <v>32.580907921663581</v>
      </c>
      <c r="H129" s="7">
        <f t="shared" si="11"/>
        <v>0.20313056258897008</v>
      </c>
      <c r="I129" s="10"/>
      <c r="J129" s="9"/>
      <c r="K129" s="8">
        <f t="shared" si="12"/>
        <v>43.965706163452907</v>
      </c>
      <c r="L129" s="7">
        <f t="shared" si="13"/>
        <v>0.85136656659981558</v>
      </c>
    </row>
    <row r="130" spans="1:12">
      <c r="A130" s="7">
        <v>4.7</v>
      </c>
      <c r="B130" s="7">
        <v>25.7</v>
      </c>
      <c r="D130" s="52">
        <f t="shared" si="7"/>
        <v>29.251391916790197</v>
      </c>
      <c r="E130" s="7">
        <f t="shared" si="8"/>
        <v>-3.5513919167901982</v>
      </c>
      <c r="F130" s="7">
        <f t="shared" si="9"/>
        <v>3.5513919167901982</v>
      </c>
      <c r="G130" s="8">
        <f t="shared" si="10"/>
        <v>12.612384546642758</v>
      </c>
      <c r="H130" s="7">
        <f t="shared" si="11"/>
        <v>0.13818645590623341</v>
      </c>
      <c r="I130" s="10"/>
      <c r="J130" s="9"/>
      <c r="K130" s="8">
        <f t="shared" si="12"/>
        <v>81.552893755289503</v>
      </c>
      <c r="L130" s="7">
        <f t="shared" si="13"/>
        <v>30.022423456416945</v>
      </c>
    </row>
    <row r="131" spans="1:12">
      <c r="A131" s="7">
        <v>3.7</v>
      </c>
      <c r="B131" s="7">
        <v>27.8</v>
      </c>
      <c r="D131" s="52">
        <f t="shared" ref="D131:D194" si="14">$Q$8 + $P$8 * A131</f>
        <v>33.807968808750061</v>
      </c>
      <c r="E131" s="7">
        <f t="shared" ref="E131:E194" si="15">B131-D131</f>
        <v>-6.0079688087500607</v>
      </c>
      <c r="F131" s="7">
        <f t="shared" ref="F131:F194" si="16">ABS(E131)</f>
        <v>6.0079688087500607</v>
      </c>
      <c r="G131" s="8">
        <f t="shared" ref="G131:G194" si="17">F131^2</f>
        <v>36.095689206913626</v>
      </c>
      <c r="H131" s="7">
        <f t="shared" ref="H131:H194" si="18">F131/B131</f>
        <v>0.21611398592626116</v>
      </c>
      <c r="I131" s="10"/>
      <c r="J131" s="9"/>
      <c r="K131" s="8">
        <f t="shared" ref="K131:K194" si="19">(B131-$C$3)^2</f>
        <v>48.034104612432493</v>
      </c>
      <c r="L131" s="7">
        <f t="shared" ref="L131:L194" si="20">(D131-$C$3)^2</f>
        <v>0.85136656659981558</v>
      </c>
    </row>
    <row r="132" spans="1:12">
      <c r="A132" s="7">
        <v>4.7</v>
      </c>
      <c r="B132" s="7">
        <v>25.6</v>
      </c>
      <c r="D132" s="52">
        <f t="shared" si="14"/>
        <v>29.251391916790197</v>
      </c>
      <c r="E132" s="7">
        <f t="shared" si="15"/>
        <v>-3.651391916790196</v>
      </c>
      <c r="F132" s="7">
        <f t="shared" si="16"/>
        <v>3.651391916790196</v>
      </c>
      <c r="G132" s="8">
        <f t="shared" si="17"/>
        <v>13.332662930000781</v>
      </c>
      <c r="H132" s="7">
        <f t="shared" si="18"/>
        <v>0.14263249674961703</v>
      </c>
      <c r="I132" s="10"/>
      <c r="J132" s="9"/>
      <c r="K132" s="8">
        <f t="shared" si="19"/>
        <v>83.36902657161599</v>
      </c>
      <c r="L132" s="7">
        <f t="shared" si="20"/>
        <v>30.022423456416945</v>
      </c>
    </row>
    <row r="133" spans="1:12">
      <c r="A133" s="7">
        <v>5.7</v>
      </c>
      <c r="B133" s="7">
        <v>27.2</v>
      </c>
      <c r="D133" s="52">
        <f t="shared" si="14"/>
        <v>24.69481502483033</v>
      </c>
      <c r="E133" s="7">
        <f t="shared" si="15"/>
        <v>2.5051849751696693</v>
      </c>
      <c r="F133" s="7">
        <f t="shared" si="16"/>
        <v>2.5051849751696693</v>
      </c>
      <c r="G133" s="8">
        <f t="shared" si="17"/>
        <v>6.2759517598158565</v>
      </c>
      <c r="H133" s="7">
        <f t="shared" si="18"/>
        <v>9.2102388793002546E-2</v>
      </c>
      <c r="I133" s="10"/>
      <c r="J133" s="9"/>
      <c r="K133" s="8">
        <f t="shared" si="19"/>
        <v>56.710901510391651</v>
      </c>
      <c r="L133" s="7">
        <f t="shared" si="20"/>
        <v>100.71826629091937</v>
      </c>
    </row>
    <row r="134" spans="1:12">
      <c r="A134" s="7">
        <v>3.7</v>
      </c>
      <c r="B134" s="7">
        <v>31.364100000000001</v>
      </c>
      <c r="D134" s="52">
        <f t="shared" si="14"/>
        <v>33.807968808750061</v>
      </c>
      <c r="E134" s="7">
        <f t="shared" si="15"/>
        <v>-2.4438688087500609</v>
      </c>
      <c r="F134" s="7">
        <f t="shared" si="16"/>
        <v>2.4438688087500609</v>
      </c>
      <c r="G134" s="8">
        <f t="shared" si="17"/>
        <v>5.9724947543814411</v>
      </c>
      <c r="H134" s="7">
        <f t="shared" si="18"/>
        <v>7.7919302921176145E-2</v>
      </c>
      <c r="I134" s="10"/>
      <c r="J134" s="9"/>
      <c r="K134" s="8">
        <f t="shared" si="19"/>
        <v>11.333753715738869</v>
      </c>
      <c r="L134" s="7">
        <f t="shared" si="20"/>
        <v>0.85136656659981558</v>
      </c>
    </row>
    <row r="135" spans="1:12">
      <c r="A135" s="7">
        <v>3.7</v>
      </c>
      <c r="B135" s="7">
        <v>31.363900000000001</v>
      </c>
      <c r="D135" s="52">
        <f t="shared" si="14"/>
        <v>33.807968808750061</v>
      </c>
      <c r="E135" s="7">
        <f t="shared" si="15"/>
        <v>-2.4440688087500604</v>
      </c>
      <c r="F135" s="7">
        <f t="shared" si="16"/>
        <v>2.4440688087500604</v>
      </c>
      <c r="G135" s="8">
        <f t="shared" si="17"/>
        <v>5.9734723419049391</v>
      </c>
      <c r="H135" s="7">
        <f t="shared" si="18"/>
        <v>7.7926176551706278E-2</v>
      </c>
      <c r="I135" s="10"/>
      <c r="J135" s="9"/>
      <c r="K135" s="8">
        <f t="shared" si="19"/>
        <v>11.335100381371518</v>
      </c>
      <c r="L135" s="7">
        <f t="shared" si="20"/>
        <v>0.85136656659981558</v>
      </c>
    </row>
    <row r="136" spans="1:12">
      <c r="A136" s="7">
        <v>5</v>
      </c>
      <c r="B136" s="7">
        <v>28.716000000000001</v>
      </c>
      <c r="D136" s="52">
        <f t="shared" si="14"/>
        <v>27.884418849202238</v>
      </c>
      <c r="E136" s="7">
        <f t="shared" si="15"/>
        <v>0.83158115079776351</v>
      </c>
      <c r="F136" s="7">
        <f t="shared" si="16"/>
        <v>0.83158115079776351</v>
      </c>
      <c r="G136" s="8">
        <f t="shared" si="17"/>
        <v>0.69152721036213272</v>
      </c>
      <c r="H136" s="7">
        <f t="shared" si="18"/>
        <v>2.8958808705870021E-2</v>
      </c>
      <c r="I136" s="10"/>
      <c r="J136" s="9"/>
      <c r="K136" s="8">
        <f t="shared" si="19"/>
        <v>36.176184014881528</v>
      </c>
      <c r="L136" s="7">
        <f t="shared" si="20"/>
        <v>46.871073782575714</v>
      </c>
    </row>
    <row r="137" spans="1:12">
      <c r="A137" s="7">
        <v>5</v>
      </c>
      <c r="B137" s="7">
        <v>28.700900000000001</v>
      </c>
      <c r="D137" s="52">
        <f t="shared" si="14"/>
        <v>27.884418849202238</v>
      </c>
      <c r="E137" s="7">
        <f t="shared" si="15"/>
        <v>0.81648115079776318</v>
      </c>
      <c r="F137" s="7">
        <f t="shared" si="16"/>
        <v>0.81648115079776318</v>
      </c>
      <c r="G137" s="8">
        <f t="shared" si="17"/>
        <v>0.66664146960803972</v>
      </c>
      <c r="H137" s="7">
        <f t="shared" si="18"/>
        <v>2.8447928489969413E-2</v>
      </c>
      <c r="I137" s="10"/>
      <c r="J137" s="9"/>
      <c r="K137" s="8">
        <f t="shared" si="19"/>
        <v>36.358054880146838</v>
      </c>
      <c r="L137" s="7">
        <f t="shared" si="20"/>
        <v>46.871073782575714</v>
      </c>
    </row>
    <row r="138" spans="1:12">
      <c r="A138" s="7">
        <v>3.7</v>
      </c>
      <c r="B138" s="7">
        <v>24.4</v>
      </c>
      <c r="D138" s="52">
        <f t="shared" si="14"/>
        <v>33.807968808750061</v>
      </c>
      <c r="E138" s="7">
        <f t="shared" si="15"/>
        <v>-9.4079688087500628</v>
      </c>
      <c r="F138" s="7">
        <f t="shared" si="16"/>
        <v>9.4079688087500628</v>
      </c>
      <c r="G138" s="8">
        <f t="shared" si="17"/>
        <v>88.509877106414081</v>
      </c>
      <c r="H138" s="7">
        <f t="shared" si="18"/>
        <v>0.38557249216188783</v>
      </c>
      <c r="I138" s="10"/>
      <c r="J138" s="9"/>
      <c r="K138" s="8">
        <f t="shared" si="19"/>
        <v>106.72262036753433</v>
      </c>
      <c r="L138" s="7">
        <f t="shared" si="20"/>
        <v>0.85136656659981558</v>
      </c>
    </row>
    <row r="139" spans="1:12">
      <c r="A139" s="7">
        <v>4.7</v>
      </c>
      <c r="B139" s="7">
        <v>25.6</v>
      </c>
      <c r="D139" s="52">
        <f t="shared" si="14"/>
        <v>29.251391916790197</v>
      </c>
      <c r="E139" s="7">
        <f t="shared" si="15"/>
        <v>-3.651391916790196</v>
      </c>
      <c r="F139" s="7">
        <f t="shared" si="16"/>
        <v>3.651391916790196</v>
      </c>
      <c r="G139" s="8">
        <f t="shared" si="17"/>
        <v>13.332662930000781</v>
      </c>
      <c r="H139" s="7">
        <f t="shared" si="18"/>
        <v>0.14263249674961703</v>
      </c>
      <c r="I139" s="10"/>
      <c r="J139" s="9"/>
      <c r="K139" s="8">
        <f t="shared" si="19"/>
        <v>83.36902657161599</v>
      </c>
      <c r="L139" s="7">
        <f t="shared" si="20"/>
        <v>30.022423456416945</v>
      </c>
    </row>
    <row r="140" spans="1:12">
      <c r="A140" s="7">
        <v>4.7</v>
      </c>
      <c r="B140" s="7">
        <v>24.6</v>
      </c>
      <c r="D140" s="52">
        <f t="shared" si="14"/>
        <v>29.251391916790197</v>
      </c>
      <c r="E140" s="7">
        <f t="shared" si="15"/>
        <v>-4.651391916790196</v>
      </c>
      <c r="F140" s="7">
        <f t="shared" si="16"/>
        <v>4.651391916790196</v>
      </c>
      <c r="G140" s="8">
        <f t="shared" si="17"/>
        <v>21.635446763581175</v>
      </c>
      <c r="H140" s="7">
        <f t="shared" si="18"/>
        <v>0.18908097222724374</v>
      </c>
      <c r="I140" s="10"/>
      <c r="J140" s="9"/>
      <c r="K140" s="8">
        <f t="shared" si="19"/>
        <v>102.63035473488122</v>
      </c>
      <c r="L140" s="7">
        <f t="shared" si="20"/>
        <v>30.022423456416945</v>
      </c>
    </row>
    <row r="141" spans="1:12">
      <c r="A141" s="7">
        <v>5.7</v>
      </c>
      <c r="B141" s="7">
        <v>25.6</v>
      </c>
      <c r="D141" s="52">
        <f t="shared" si="14"/>
        <v>24.69481502483033</v>
      </c>
      <c r="E141" s="7">
        <f t="shared" si="15"/>
        <v>0.90518497516967145</v>
      </c>
      <c r="F141" s="7">
        <f t="shared" si="16"/>
        <v>0.90518497516967145</v>
      </c>
      <c r="G141" s="8">
        <f t="shared" si="17"/>
        <v>0.81935983927291867</v>
      </c>
      <c r="H141" s="7">
        <f t="shared" si="18"/>
        <v>3.5358788092565291E-2</v>
      </c>
      <c r="I141" s="10"/>
      <c r="J141" s="9"/>
      <c r="K141" s="8">
        <f t="shared" si="19"/>
        <v>83.36902657161599</v>
      </c>
      <c r="L141" s="7">
        <f t="shared" si="20"/>
        <v>100.71826629091937</v>
      </c>
    </row>
    <row r="142" spans="1:12">
      <c r="A142" s="7">
        <v>3.7</v>
      </c>
      <c r="B142" s="7">
        <v>28.566800000000001</v>
      </c>
      <c r="D142" s="52">
        <f t="shared" si="14"/>
        <v>33.807968808750061</v>
      </c>
      <c r="E142" s="7">
        <f t="shared" si="15"/>
        <v>-5.2411688087500607</v>
      </c>
      <c r="F142" s="7">
        <f t="shared" si="16"/>
        <v>5.2411688087500607</v>
      </c>
      <c r="G142" s="8">
        <f t="shared" si="17"/>
        <v>27.469850481814532</v>
      </c>
      <c r="H142" s="7">
        <f t="shared" si="18"/>
        <v>0.18347063054840096</v>
      </c>
      <c r="I142" s="10"/>
      <c r="J142" s="9"/>
      <c r="K142" s="8">
        <f t="shared" si="19"/>
        <v>37.993220416840707</v>
      </c>
      <c r="L142" s="7">
        <f t="shared" si="20"/>
        <v>0.85136656659981558</v>
      </c>
    </row>
    <row r="143" spans="1:12">
      <c r="A143" s="7">
        <v>3.7</v>
      </c>
      <c r="B143" s="7">
        <v>28.567399999999999</v>
      </c>
      <c r="D143" s="52">
        <f t="shared" si="14"/>
        <v>33.807968808750061</v>
      </c>
      <c r="E143" s="7">
        <f t="shared" si="15"/>
        <v>-5.2405688087500621</v>
      </c>
      <c r="F143" s="7">
        <f t="shared" si="16"/>
        <v>5.2405688087500621</v>
      </c>
      <c r="G143" s="8">
        <f t="shared" si="17"/>
        <v>27.463561439244046</v>
      </c>
      <c r="H143" s="7">
        <f t="shared" si="18"/>
        <v>0.1834457741604088</v>
      </c>
      <c r="I143" s="10"/>
      <c r="J143" s="9"/>
      <c r="K143" s="8">
        <f t="shared" si="19"/>
        <v>37.985824139942764</v>
      </c>
      <c r="L143" s="7">
        <f t="shared" si="20"/>
        <v>0.85136656659981558</v>
      </c>
    </row>
    <row r="144" spans="1:12">
      <c r="A144" s="7">
        <v>5</v>
      </c>
      <c r="B144" s="7">
        <v>25.897500000000001</v>
      </c>
      <c r="D144" s="52">
        <f t="shared" si="14"/>
        <v>27.884418849202238</v>
      </c>
      <c r="E144" s="7">
        <f t="shared" si="15"/>
        <v>-1.9869188492022367</v>
      </c>
      <c r="F144" s="7">
        <f t="shared" si="16"/>
        <v>1.9869188492022367</v>
      </c>
      <c r="G144" s="8">
        <f t="shared" si="17"/>
        <v>3.9478465133151408</v>
      </c>
      <c r="H144" s="7">
        <f t="shared" si="18"/>
        <v>7.6722419121623198E-2</v>
      </c>
      <c r="I144" s="10"/>
      <c r="J144" s="9"/>
      <c r="K144" s="8">
        <f t="shared" si="19"/>
        <v>78.024787693044601</v>
      </c>
      <c r="L144" s="7">
        <f t="shared" si="20"/>
        <v>46.871073782575714</v>
      </c>
    </row>
    <row r="145" spans="1:12">
      <c r="A145" s="7">
        <v>5</v>
      </c>
      <c r="B145" s="7">
        <v>25.897200000000002</v>
      </c>
      <c r="D145" s="52">
        <f t="shared" si="14"/>
        <v>27.884418849202238</v>
      </c>
      <c r="E145" s="7">
        <f t="shared" si="15"/>
        <v>-1.987218849202236</v>
      </c>
      <c r="F145" s="7">
        <f t="shared" si="16"/>
        <v>1.987218849202236</v>
      </c>
      <c r="G145" s="8">
        <f t="shared" si="17"/>
        <v>3.949038754624659</v>
      </c>
      <c r="H145" s="7">
        <f t="shared" si="18"/>
        <v>7.6734892158311932E-2</v>
      </c>
      <c r="I145" s="10"/>
      <c r="J145" s="9"/>
      <c r="K145" s="8">
        <f t="shared" si="19"/>
        <v>78.030087681493569</v>
      </c>
      <c r="L145" s="7">
        <f t="shared" si="20"/>
        <v>46.871073782575714</v>
      </c>
    </row>
    <row r="146" spans="1:12">
      <c r="A146" s="7">
        <v>6.2</v>
      </c>
      <c r="B146" s="7">
        <v>19.5139</v>
      </c>
      <c r="D146" s="52">
        <f t="shared" si="14"/>
        <v>22.416526578850394</v>
      </c>
      <c r="E146" s="7">
        <f t="shared" si="15"/>
        <v>-2.9026265788503949</v>
      </c>
      <c r="F146" s="7">
        <f t="shared" si="16"/>
        <v>2.9026265788503949</v>
      </c>
      <c r="G146" s="8">
        <f t="shared" si="17"/>
        <v>8.4252410562487476</v>
      </c>
      <c r="H146" s="7">
        <f t="shared" si="18"/>
        <v>0.1487466154305595</v>
      </c>
      <c r="I146" s="10"/>
      <c r="J146" s="9"/>
      <c r="K146" s="8">
        <f t="shared" si="19"/>
        <v>231.54990911606458</v>
      </c>
      <c r="L146" s="7">
        <f t="shared" si="20"/>
        <v>151.63798243742761</v>
      </c>
    </row>
    <row r="147" spans="1:12">
      <c r="A147" s="7">
        <v>2.2000000000000002</v>
      </c>
      <c r="B147" s="7">
        <v>30.45</v>
      </c>
      <c r="D147" s="52">
        <f t="shared" si="14"/>
        <v>40.642834146689864</v>
      </c>
      <c r="E147" s="7">
        <f t="shared" si="15"/>
        <v>-10.192834146689865</v>
      </c>
      <c r="F147" s="7">
        <f t="shared" si="16"/>
        <v>10.192834146689865</v>
      </c>
      <c r="G147" s="8">
        <f t="shared" si="17"/>
        <v>103.89386794192691</v>
      </c>
      <c r="H147" s="7">
        <f t="shared" si="18"/>
        <v>0.33474003765812366</v>
      </c>
      <c r="I147" s="10"/>
      <c r="J147" s="9"/>
      <c r="K147" s="8">
        <f t="shared" si="19"/>
        <v>18.324084979779631</v>
      </c>
      <c r="L147" s="7">
        <f t="shared" si="20"/>
        <v>34.953754878159003</v>
      </c>
    </row>
    <row r="148" spans="1:12">
      <c r="A148" s="7">
        <v>6</v>
      </c>
      <c r="B148" s="7">
        <v>21.473400000000002</v>
      </c>
      <c r="D148" s="52">
        <f t="shared" si="14"/>
        <v>23.32784195724237</v>
      </c>
      <c r="E148" s="7">
        <f t="shared" si="15"/>
        <v>-1.8544419572423685</v>
      </c>
      <c r="F148" s="7">
        <f t="shared" si="16"/>
        <v>1.8544419572423685</v>
      </c>
      <c r="G148" s="8">
        <f t="shared" si="17"/>
        <v>3.4389549727809063</v>
      </c>
      <c r="H148" s="7">
        <f t="shared" si="18"/>
        <v>8.6359959635752534E-2</v>
      </c>
      <c r="I148" s="10"/>
      <c r="J148" s="9"/>
      <c r="K148" s="8">
        <f t="shared" si="19"/>
        <v>175.7550509301463</v>
      </c>
      <c r="L148" s="7">
        <f t="shared" si="20"/>
        <v>130.02435240048374</v>
      </c>
    </row>
    <row r="149" spans="1:12">
      <c r="A149" s="7">
        <v>6</v>
      </c>
      <c r="B149" s="7">
        <v>21.473400000000002</v>
      </c>
      <c r="D149" s="52">
        <f t="shared" si="14"/>
        <v>23.32784195724237</v>
      </c>
      <c r="E149" s="7">
        <f t="shared" si="15"/>
        <v>-1.8544419572423685</v>
      </c>
      <c r="F149" s="7">
        <f t="shared" si="16"/>
        <v>1.8544419572423685</v>
      </c>
      <c r="G149" s="8">
        <f t="shared" si="17"/>
        <v>3.4389549727809063</v>
      </c>
      <c r="H149" s="7">
        <f t="shared" si="18"/>
        <v>8.6359959635752534E-2</v>
      </c>
      <c r="I149" s="10"/>
      <c r="J149" s="9"/>
      <c r="K149" s="8">
        <f t="shared" si="19"/>
        <v>175.7550509301463</v>
      </c>
      <c r="L149" s="7">
        <f t="shared" si="20"/>
        <v>130.02435240048374</v>
      </c>
    </row>
    <row r="150" spans="1:12">
      <c r="A150" s="7">
        <v>6</v>
      </c>
      <c r="B150" s="7">
        <v>21.473400000000002</v>
      </c>
      <c r="D150" s="52">
        <f t="shared" si="14"/>
        <v>23.32784195724237</v>
      </c>
      <c r="E150" s="7">
        <f t="shared" si="15"/>
        <v>-1.8544419572423685</v>
      </c>
      <c r="F150" s="7">
        <f t="shared" si="16"/>
        <v>1.8544419572423685</v>
      </c>
      <c r="G150" s="8">
        <f t="shared" si="17"/>
        <v>3.4389549727809063</v>
      </c>
      <c r="H150" s="7">
        <f t="shared" si="18"/>
        <v>8.6359959635752534E-2</v>
      </c>
      <c r="I150" s="10"/>
      <c r="J150" s="9"/>
      <c r="K150" s="8">
        <f t="shared" si="19"/>
        <v>175.7550509301463</v>
      </c>
      <c r="L150" s="7">
        <f t="shared" si="20"/>
        <v>130.02435240048374</v>
      </c>
    </row>
    <row r="151" spans="1:12">
      <c r="A151" s="7">
        <v>4.5999999999999996</v>
      </c>
      <c r="B151" s="7">
        <v>23</v>
      </c>
      <c r="D151" s="52">
        <f t="shared" si="14"/>
        <v>29.707049605986185</v>
      </c>
      <c r="E151" s="7">
        <f t="shared" si="15"/>
        <v>-6.7070496059861853</v>
      </c>
      <c r="F151" s="7">
        <f t="shared" si="16"/>
        <v>6.7070496059861853</v>
      </c>
      <c r="G151" s="8">
        <f t="shared" si="17"/>
        <v>44.984514417159446</v>
      </c>
      <c r="H151" s="7">
        <f t="shared" si="18"/>
        <v>0.29161085243418194</v>
      </c>
      <c r="I151" s="10"/>
      <c r="J151" s="9"/>
      <c r="K151" s="8">
        <f t="shared" si="19"/>
        <v>137.60847979610563</v>
      </c>
      <c r="L151" s="7">
        <f t="shared" si="20"/>
        <v>25.236702399924383</v>
      </c>
    </row>
    <row r="152" spans="1:12">
      <c r="A152" s="7">
        <v>5.4</v>
      </c>
      <c r="B152" s="7">
        <v>21.8</v>
      </c>
      <c r="D152" s="52">
        <f t="shared" si="14"/>
        <v>26.06178809241829</v>
      </c>
      <c r="E152" s="7">
        <f t="shared" si="15"/>
        <v>-4.2617880924182892</v>
      </c>
      <c r="F152" s="7">
        <f t="shared" si="16"/>
        <v>4.2617880924182892</v>
      </c>
      <c r="G152" s="8">
        <f t="shared" si="17"/>
        <v>18.16283774467832</v>
      </c>
      <c r="H152" s="7">
        <f t="shared" si="18"/>
        <v>0.19549486662469215</v>
      </c>
      <c r="I152" s="10"/>
      <c r="J152" s="9"/>
      <c r="K152" s="8">
        <f t="shared" si="19"/>
        <v>167.20207359202391</v>
      </c>
      <c r="L152" s="7">
        <f t="shared" si="20"/>
        <v>75.149410916376695</v>
      </c>
    </row>
    <row r="153" spans="1:12">
      <c r="A153" s="7">
        <v>4.5999999999999996</v>
      </c>
      <c r="B153" s="7">
        <v>23</v>
      </c>
      <c r="D153" s="52">
        <f t="shared" si="14"/>
        <v>29.707049605986185</v>
      </c>
      <c r="E153" s="7">
        <f t="shared" si="15"/>
        <v>-6.7070496059861853</v>
      </c>
      <c r="F153" s="7">
        <f t="shared" si="16"/>
        <v>6.7070496059861853</v>
      </c>
      <c r="G153" s="8">
        <f t="shared" si="17"/>
        <v>44.984514417159446</v>
      </c>
      <c r="H153" s="7">
        <f t="shared" si="18"/>
        <v>0.29161085243418194</v>
      </c>
      <c r="I153" s="10"/>
      <c r="J153" s="9"/>
      <c r="K153" s="8">
        <f t="shared" si="19"/>
        <v>137.60847979610563</v>
      </c>
      <c r="L153" s="7">
        <f t="shared" si="20"/>
        <v>25.236702399924383</v>
      </c>
    </row>
    <row r="154" spans="1:12">
      <c r="A154" s="7">
        <v>5.4</v>
      </c>
      <c r="B154" s="7">
        <v>21.641200000000001</v>
      </c>
      <c r="D154" s="52">
        <f t="shared" si="14"/>
        <v>26.06178809241829</v>
      </c>
      <c r="E154" s="7">
        <f t="shared" si="15"/>
        <v>-4.4205880924182885</v>
      </c>
      <c r="F154" s="7">
        <f t="shared" si="16"/>
        <v>4.4205880924182885</v>
      </c>
      <c r="G154" s="8">
        <f t="shared" si="17"/>
        <v>19.541599082830363</v>
      </c>
      <c r="H154" s="7">
        <f t="shared" si="18"/>
        <v>0.2042672352927882</v>
      </c>
      <c r="I154" s="10"/>
      <c r="J154" s="9"/>
      <c r="K154" s="8">
        <f t="shared" si="19"/>
        <v>171.3340699443504</v>
      </c>
      <c r="L154" s="7">
        <f t="shared" si="20"/>
        <v>75.149410916376695</v>
      </c>
    </row>
    <row r="155" spans="1:12">
      <c r="A155" s="7">
        <v>6.8</v>
      </c>
      <c r="B155" s="7">
        <v>18.600000000000001</v>
      </c>
      <c r="D155" s="52">
        <f t="shared" si="14"/>
        <v>19.682580443674478</v>
      </c>
      <c r="E155" s="7">
        <f t="shared" si="15"/>
        <v>-1.0825804436744768</v>
      </c>
      <c r="F155" s="7">
        <f t="shared" si="16"/>
        <v>1.0825804436744768</v>
      </c>
      <c r="G155" s="8">
        <f t="shared" si="17"/>
        <v>1.171980417026427</v>
      </c>
      <c r="H155" s="7">
        <f t="shared" si="18"/>
        <v>5.8203249659918105E-2</v>
      </c>
      <c r="I155" s="10"/>
      <c r="J155" s="9"/>
      <c r="K155" s="8">
        <f t="shared" si="19"/>
        <v>260.19832371447262</v>
      </c>
      <c r="L155" s="7">
        <f t="shared" si="20"/>
        <v>226.44482117498347</v>
      </c>
    </row>
    <row r="156" spans="1:12">
      <c r="A156" s="7">
        <v>5.4</v>
      </c>
      <c r="B156" s="7">
        <v>21.2</v>
      </c>
      <c r="D156" s="52">
        <f t="shared" si="14"/>
        <v>26.06178809241829</v>
      </c>
      <c r="E156" s="7">
        <f t="shared" si="15"/>
        <v>-4.8617880924182906</v>
      </c>
      <c r="F156" s="7">
        <f t="shared" si="16"/>
        <v>4.8617880924182906</v>
      </c>
      <c r="G156" s="8">
        <f t="shared" si="17"/>
        <v>23.636983455580282</v>
      </c>
      <c r="H156" s="7">
        <f t="shared" si="18"/>
        <v>0.22932962700086276</v>
      </c>
      <c r="I156" s="10"/>
      <c r="J156" s="9"/>
      <c r="K156" s="8">
        <f t="shared" si="19"/>
        <v>183.07887048998307</v>
      </c>
      <c r="L156" s="7">
        <f t="shared" si="20"/>
        <v>75.149410916376695</v>
      </c>
    </row>
    <row r="157" spans="1:12">
      <c r="A157" s="7">
        <v>6</v>
      </c>
      <c r="B157" s="7">
        <v>21.473400000000002</v>
      </c>
      <c r="D157" s="52">
        <f t="shared" si="14"/>
        <v>23.32784195724237</v>
      </c>
      <c r="E157" s="7">
        <f t="shared" si="15"/>
        <v>-1.8544419572423685</v>
      </c>
      <c r="F157" s="7">
        <f t="shared" si="16"/>
        <v>1.8544419572423685</v>
      </c>
      <c r="G157" s="8">
        <f t="shared" si="17"/>
        <v>3.4389549727809063</v>
      </c>
      <c r="H157" s="7">
        <f t="shared" si="18"/>
        <v>8.6359959635752534E-2</v>
      </c>
      <c r="I157" s="10"/>
      <c r="J157" s="9"/>
      <c r="K157" s="8">
        <f t="shared" si="19"/>
        <v>175.7550509301463</v>
      </c>
      <c r="L157" s="7">
        <f t="shared" si="20"/>
        <v>130.02435240048374</v>
      </c>
    </row>
    <row r="158" spans="1:12">
      <c r="A158" s="7">
        <v>6</v>
      </c>
      <c r="B158" s="7">
        <v>21.473400000000002</v>
      </c>
      <c r="D158" s="52">
        <f t="shared" si="14"/>
        <v>23.32784195724237</v>
      </c>
      <c r="E158" s="7">
        <f t="shared" si="15"/>
        <v>-1.8544419572423685</v>
      </c>
      <c r="F158" s="7">
        <f t="shared" si="16"/>
        <v>1.8544419572423685</v>
      </c>
      <c r="G158" s="8">
        <f t="shared" si="17"/>
        <v>3.4389549727809063</v>
      </c>
      <c r="H158" s="7">
        <f t="shared" si="18"/>
        <v>8.6359959635752534E-2</v>
      </c>
      <c r="I158" s="10"/>
      <c r="J158" s="9"/>
      <c r="K158" s="8">
        <f t="shared" si="19"/>
        <v>175.7550509301463</v>
      </c>
      <c r="L158" s="7">
        <f t="shared" si="20"/>
        <v>130.02435240048374</v>
      </c>
    </row>
    <row r="159" spans="1:12">
      <c r="A159" s="7">
        <v>6</v>
      </c>
      <c r="B159" s="7">
        <v>21.473400000000002</v>
      </c>
      <c r="D159" s="52">
        <f t="shared" si="14"/>
        <v>23.32784195724237</v>
      </c>
      <c r="E159" s="7">
        <f t="shared" si="15"/>
        <v>-1.8544419572423685</v>
      </c>
      <c r="F159" s="7">
        <f t="shared" si="16"/>
        <v>1.8544419572423685</v>
      </c>
      <c r="G159" s="8">
        <f t="shared" si="17"/>
        <v>3.4389549727809063</v>
      </c>
      <c r="H159" s="7">
        <f t="shared" si="18"/>
        <v>8.6359959635752534E-2</v>
      </c>
      <c r="I159" s="10"/>
      <c r="J159" s="9"/>
      <c r="K159" s="8">
        <f t="shared" si="19"/>
        <v>175.7550509301463</v>
      </c>
      <c r="L159" s="7">
        <f t="shared" si="20"/>
        <v>130.02435240048374</v>
      </c>
    </row>
    <row r="160" spans="1:12">
      <c r="A160" s="7">
        <v>4.8</v>
      </c>
      <c r="B160" s="7">
        <v>22.8</v>
      </c>
      <c r="D160" s="52">
        <f t="shared" si="14"/>
        <v>28.795734227594213</v>
      </c>
      <c r="E160" s="7">
        <f t="shared" si="15"/>
        <v>-5.9957342275942125</v>
      </c>
      <c r="F160" s="7">
        <f t="shared" si="16"/>
        <v>5.9957342275942125</v>
      </c>
      <c r="G160" s="8">
        <f t="shared" si="17"/>
        <v>35.948828927944767</v>
      </c>
      <c r="H160" s="7">
        <f t="shared" si="18"/>
        <v>0.26297079945588653</v>
      </c>
      <c r="I160" s="10"/>
      <c r="J160" s="9"/>
      <c r="K160" s="8">
        <f t="shared" si="19"/>
        <v>142.34074542875865</v>
      </c>
      <c r="L160" s="7">
        <f t="shared" si="20"/>
        <v>35.223392372356322</v>
      </c>
    </row>
    <row r="161" spans="1:12">
      <c r="A161" s="7">
        <v>6</v>
      </c>
      <c r="B161" s="7">
        <v>21.8</v>
      </c>
      <c r="D161" s="52">
        <f t="shared" si="14"/>
        <v>23.32784195724237</v>
      </c>
      <c r="E161" s="7">
        <f t="shared" si="15"/>
        <v>-1.5278419572423694</v>
      </c>
      <c r="F161" s="7">
        <f t="shared" si="16"/>
        <v>1.5278419572423694</v>
      </c>
      <c r="G161" s="8">
        <f t="shared" si="17"/>
        <v>2.3343010463101939</v>
      </c>
      <c r="H161" s="7">
        <f t="shared" si="18"/>
        <v>7.0084493451484833E-2</v>
      </c>
      <c r="I161" s="10"/>
      <c r="J161" s="9"/>
      <c r="K161" s="8">
        <f t="shared" si="19"/>
        <v>167.20207359202391</v>
      </c>
      <c r="L161" s="7">
        <f t="shared" si="20"/>
        <v>130.02435240048374</v>
      </c>
    </row>
    <row r="162" spans="1:12">
      <c r="A162" s="7">
        <v>6</v>
      </c>
      <c r="B162" s="7">
        <v>21.628499999999999</v>
      </c>
      <c r="D162" s="52">
        <f t="shared" si="14"/>
        <v>23.32784195724237</v>
      </c>
      <c r="E162" s="7">
        <f t="shared" si="15"/>
        <v>-1.6993419572423711</v>
      </c>
      <c r="F162" s="7">
        <f t="shared" si="16"/>
        <v>1.6993419572423711</v>
      </c>
      <c r="G162" s="8">
        <f t="shared" si="17"/>
        <v>2.8877630876443328</v>
      </c>
      <c r="H162" s="7">
        <f t="shared" si="18"/>
        <v>7.8569570577819603E-2</v>
      </c>
      <c r="I162" s="10"/>
      <c r="J162" s="9"/>
      <c r="K162" s="8">
        <f t="shared" si="19"/>
        <v>171.66670362202393</v>
      </c>
      <c r="L162" s="7">
        <f t="shared" si="20"/>
        <v>130.02435240048374</v>
      </c>
    </row>
    <row r="163" spans="1:12">
      <c r="A163" s="7">
        <v>4.5999999999999996</v>
      </c>
      <c r="B163" s="7">
        <v>21.9</v>
      </c>
      <c r="D163" s="52">
        <f t="shared" si="14"/>
        <v>29.707049605986185</v>
      </c>
      <c r="E163" s="7">
        <f t="shared" si="15"/>
        <v>-7.8070496059861867</v>
      </c>
      <c r="F163" s="7">
        <f t="shared" si="16"/>
        <v>7.8070496059861867</v>
      </c>
      <c r="G163" s="8">
        <f t="shared" si="17"/>
        <v>60.950023550329071</v>
      </c>
      <c r="H163" s="7">
        <f t="shared" si="18"/>
        <v>0.35648628337836469</v>
      </c>
      <c r="I163" s="10"/>
      <c r="J163" s="9"/>
      <c r="K163" s="8">
        <f t="shared" si="19"/>
        <v>164.62594077569742</v>
      </c>
      <c r="L163" s="7">
        <f t="shared" si="20"/>
        <v>25.236702399924383</v>
      </c>
    </row>
    <row r="164" spans="1:12">
      <c r="A164" s="7">
        <v>5.4</v>
      </c>
      <c r="B164" s="7">
        <v>21.2</v>
      </c>
      <c r="D164" s="52">
        <f t="shared" si="14"/>
        <v>26.06178809241829</v>
      </c>
      <c r="E164" s="7">
        <f t="shared" si="15"/>
        <v>-4.8617880924182906</v>
      </c>
      <c r="F164" s="7">
        <f t="shared" si="16"/>
        <v>4.8617880924182906</v>
      </c>
      <c r="G164" s="8">
        <f t="shared" si="17"/>
        <v>23.636983455580282</v>
      </c>
      <c r="H164" s="7">
        <f t="shared" si="18"/>
        <v>0.22932962700086276</v>
      </c>
      <c r="I164" s="10"/>
      <c r="J164" s="9"/>
      <c r="K164" s="8">
        <f t="shared" si="19"/>
        <v>183.07887048998307</v>
      </c>
      <c r="L164" s="7">
        <f t="shared" si="20"/>
        <v>75.149410916376695</v>
      </c>
    </row>
    <row r="165" spans="1:12">
      <c r="A165" s="7">
        <v>6.8</v>
      </c>
      <c r="B165" s="7">
        <v>17.7</v>
      </c>
      <c r="D165" s="52">
        <f t="shared" si="14"/>
        <v>19.682580443674478</v>
      </c>
      <c r="E165" s="7">
        <f t="shared" si="15"/>
        <v>-1.9825804436744789</v>
      </c>
      <c r="F165" s="7">
        <f t="shared" si="16"/>
        <v>1.9825804436744789</v>
      </c>
      <c r="G165" s="8">
        <f t="shared" si="17"/>
        <v>3.9306252156404939</v>
      </c>
      <c r="H165" s="7">
        <f t="shared" si="18"/>
        <v>0.11201019455788017</v>
      </c>
      <c r="I165" s="10"/>
      <c r="J165" s="9"/>
      <c r="K165" s="8">
        <f t="shared" si="19"/>
        <v>290.04351906141142</v>
      </c>
      <c r="L165" s="7">
        <f t="shared" si="20"/>
        <v>226.44482117498347</v>
      </c>
    </row>
    <row r="166" spans="1:12">
      <c r="A166" s="7">
        <v>5.4</v>
      </c>
      <c r="B166" s="7">
        <v>20.6</v>
      </c>
      <c r="D166" s="52">
        <f t="shared" si="14"/>
        <v>26.06178809241829</v>
      </c>
      <c r="E166" s="7">
        <f t="shared" si="15"/>
        <v>-5.4617880924182884</v>
      </c>
      <c r="F166" s="7">
        <f t="shared" si="16"/>
        <v>5.4617880924182884</v>
      </c>
      <c r="G166" s="8">
        <f t="shared" si="17"/>
        <v>29.831129166482206</v>
      </c>
      <c r="H166" s="7">
        <f t="shared" si="18"/>
        <v>0.26513534429214991</v>
      </c>
      <c r="I166" s="10"/>
      <c r="J166" s="9"/>
      <c r="K166" s="8">
        <f t="shared" si="19"/>
        <v>199.67566738794216</v>
      </c>
      <c r="L166" s="7">
        <f t="shared" si="20"/>
        <v>75.149410916376695</v>
      </c>
    </row>
    <row r="167" spans="1:12">
      <c r="A167" s="7">
        <v>4.8</v>
      </c>
      <c r="B167" s="7">
        <v>22.8</v>
      </c>
      <c r="D167" s="52">
        <f t="shared" si="14"/>
        <v>28.795734227594213</v>
      </c>
      <c r="E167" s="7">
        <f t="shared" si="15"/>
        <v>-5.9957342275942125</v>
      </c>
      <c r="F167" s="7">
        <f t="shared" si="16"/>
        <v>5.9957342275942125</v>
      </c>
      <c r="G167" s="8">
        <f t="shared" si="17"/>
        <v>35.948828927944767</v>
      </c>
      <c r="H167" s="7">
        <f t="shared" si="18"/>
        <v>0.26297079945588653</v>
      </c>
      <c r="I167" s="10"/>
      <c r="J167" s="9"/>
      <c r="K167" s="8">
        <f t="shared" si="19"/>
        <v>142.34074542875865</v>
      </c>
      <c r="L167" s="7">
        <f t="shared" si="20"/>
        <v>35.223392372356322</v>
      </c>
    </row>
    <row r="168" spans="1:12">
      <c r="A168" s="7">
        <v>6</v>
      </c>
      <c r="B168" s="7">
        <v>21.8</v>
      </c>
      <c r="D168" s="52">
        <f t="shared" si="14"/>
        <v>23.32784195724237</v>
      </c>
      <c r="E168" s="7">
        <f t="shared" si="15"/>
        <v>-1.5278419572423694</v>
      </c>
      <c r="F168" s="7">
        <f t="shared" si="16"/>
        <v>1.5278419572423694</v>
      </c>
      <c r="G168" s="8">
        <f t="shared" si="17"/>
        <v>2.3343010463101939</v>
      </c>
      <c r="H168" s="7">
        <f t="shared" si="18"/>
        <v>7.0084493451484833E-2</v>
      </c>
      <c r="I168" s="10"/>
      <c r="J168" s="9"/>
      <c r="K168" s="8">
        <f t="shared" si="19"/>
        <v>167.20207359202391</v>
      </c>
      <c r="L168" s="7">
        <f t="shared" si="20"/>
        <v>130.02435240048374</v>
      </c>
    </row>
    <row r="169" spans="1:12">
      <c r="A169" s="7">
        <v>6</v>
      </c>
      <c r="B169" s="7">
        <v>21.651499999999999</v>
      </c>
      <c r="D169" s="52">
        <f t="shared" si="14"/>
        <v>23.32784195724237</v>
      </c>
      <c r="E169" s="7">
        <f t="shared" si="15"/>
        <v>-1.6763419572423714</v>
      </c>
      <c r="F169" s="7">
        <f t="shared" si="16"/>
        <v>1.6763419572423714</v>
      </c>
      <c r="G169" s="8">
        <f t="shared" si="17"/>
        <v>2.8101223576111849</v>
      </c>
      <c r="H169" s="7">
        <f t="shared" si="18"/>
        <v>7.7423825473633301E-2</v>
      </c>
      <c r="I169" s="10"/>
      <c r="J169" s="9"/>
      <c r="K169" s="8">
        <f t="shared" si="19"/>
        <v>171.06453307426884</v>
      </c>
      <c r="L169" s="7">
        <f t="shared" si="20"/>
        <v>130.02435240048374</v>
      </c>
    </row>
    <row r="170" spans="1:12">
      <c r="A170" s="7">
        <v>3.6</v>
      </c>
      <c r="B170" s="7">
        <v>35</v>
      </c>
      <c r="D170" s="52">
        <f t="shared" si="14"/>
        <v>34.263626497946049</v>
      </c>
      <c r="E170" s="7">
        <f t="shared" si="15"/>
        <v>0.7363735020539508</v>
      </c>
      <c r="F170" s="7">
        <f t="shared" si="16"/>
        <v>0.7363735020539508</v>
      </c>
      <c r="G170" s="8">
        <f t="shared" si="17"/>
        <v>0.54224593452719994</v>
      </c>
      <c r="H170" s="7">
        <f t="shared" si="18"/>
        <v>2.1039242915827167E-2</v>
      </c>
      <c r="I170" s="10"/>
      <c r="J170" s="9"/>
      <c r="K170" s="8">
        <f t="shared" si="19"/>
        <v>7.254183692280107E-2</v>
      </c>
      <c r="L170" s="7">
        <f t="shared" si="20"/>
        <v>0.21812410457578874</v>
      </c>
    </row>
    <row r="171" spans="1:12">
      <c r="A171" s="7">
        <v>3.6</v>
      </c>
      <c r="B171" s="7">
        <v>35</v>
      </c>
      <c r="D171" s="52">
        <f t="shared" si="14"/>
        <v>34.263626497946049</v>
      </c>
      <c r="E171" s="7">
        <f t="shared" si="15"/>
        <v>0.7363735020539508</v>
      </c>
      <c r="F171" s="7">
        <f t="shared" si="16"/>
        <v>0.7363735020539508</v>
      </c>
      <c r="G171" s="8">
        <f t="shared" si="17"/>
        <v>0.54224593452719994</v>
      </c>
      <c r="H171" s="7">
        <f t="shared" si="18"/>
        <v>2.1039242915827167E-2</v>
      </c>
      <c r="I171" s="10"/>
      <c r="J171" s="9"/>
      <c r="K171" s="8">
        <f t="shared" si="19"/>
        <v>7.254183692280107E-2</v>
      </c>
      <c r="L171" s="7">
        <f t="shared" si="20"/>
        <v>0.21812410457578874</v>
      </c>
    </row>
    <row r="172" spans="1:12">
      <c r="A172" s="7">
        <v>2.7</v>
      </c>
      <c r="B172" s="7">
        <v>37</v>
      </c>
      <c r="D172" s="52">
        <f t="shared" si="14"/>
        <v>38.364545700709932</v>
      </c>
      <c r="E172" s="7">
        <f t="shared" si="15"/>
        <v>-1.3645457007099324</v>
      </c>
      <c r="F172" s="7">
        <f t="shared" si="16"/>
        <v>1.3645457007099324</v>
      </c>
      <c r="G172" s="8">
        <f t="shared" si="17"/>
        <v>1.8619849693259605</v>
      </c>
      <c r="H172" s="7">
        <f t="shared" si="18"/>
        <v>3.6879613532700875E-2</v>
      </c>
      <c r="I172" s="10"/>
      <c r="J172" s="9"/>
      <c r="K172" s="8">
        <f t="shared" si="19"/>
        <v>5.1498855103923296</v>
      </c>
      <c r="L172" s="7">
        <f t="shared" si="20"/>
        <v>13.205095621467963</v>
      </c>
    </row>
    <row r="173" spans="1:12">
      <c r="A173" s="7">
        <v>3.5</v>
      </c>
      <c r="B173" s="7">
        <v>34</v>
      </c>
      <c r="D173" s="52">
        <f t="shared" si="14"/>
        <v>34.719284187142037</v>
      </c>
      <c r="E173" s="7">
        <f t="shared" si="15"/>
        <v>-0.71928418714203701</v>
      </c>
      <c r="F173" s="7">
        <f t="shared" si="16"/>
        <v>0.71928418714203701</v>
      </c>
      <c r="G173" s="8">
        <f t="shared" si="17"/>
        <v>0.51736974187258089</v>
      </c>
      <c r="H173" s="7">
        <f t="shared" si="18"/>
        <v>2.1155417268883443E-2</v>
      </c>
      <c r="I173" s="10"/>
      <c r="J173" s="9"/>
      <c r="K173" s="8">
        <f t="shared" si="19"/>
        <v>0.53387000018803699</v>
      </c>
      <c r="L173" s="7">
        <f t="shared" si="20"/>
        <v>1.2950199861675504E-4</v>
      </c>
    </row>
    <row r="174" spans="1:12">
      <c r="A174" s="7">
        <v>3.5</v>
      </c>
      <c r="B174" s="7">
        <v>30.049299999999999</v>
      </c>
      <c r="D174" s="52">
        <f t="shared" si="14"/>
        <v>34.719284187142037</v>
      </c>
      <c r="E174" s="7">
        <f t="shared" si="15"/>
        <v>-4.6699841871420382</v>
      </c>
      <c r="F174" s="7">
        <f t="shared" si="16"/>
        <v>4.6699841871420382</v>
      </c>
      <c r="G174" s="8">
        <f t="shared" si="17"/>
        <v>21.808752308156684</v>
      </c>
      <c r="H174" s="7">
        <f t="shared" si="18"/>
        <v>0.15541074790900414</v>
      </c>
      <c r="I174" s="10"/>
      <c r="J174" s="9"/>
      <c r="K174" s="8">
        <f t="shared" si="19"/>
        <v>21.915169664800015</v>
      </c>
      <c r="L174" s="7">
        <f t="shared" si="20"/>
        <v>1.2950199861675504E-4</v>
      </c>
    </row>
    <row r="175" spans="1:12">
      <c r="A175" s="7">
        <v>6</v>
      </c>
      <c r="B175" s="7">
        <v>21.7</v>
      </c>
      <c r="D175" s="52">
        <f t="shared" si="14"/>
        <v>23.32784195724237</v>
      </c>
      <c r="E175" s="7">
        <f t="shared" si="15"/>
        <v>-1.6278419572423708</v>
      </c>
      <c r="F175" s="7">
        <f t="shared" si="16"/>
        <v>1.6278419572423708</v>
      </c>
      <c r="G175" s="8">
        <f t="shared" si="17"/>
        <v>2.6498694377586727</v>
      </c>
      <c r="H175" s="7">
        <f t="shared" si="18"/>
        <v>7.5015758398265936E-2</v>
      </c>
      <c r="I175" s="10"/>
      <c r="J175" s="9"/>
      <c r="K175" s="8">
        <f t="shared" si="19"/>
        <v>169.79820640835047</v>
      </c>
      <c r="L175" s="7">
        <f t="shared" si="20"/>
        <v>130.02435240048374</v>
      </c>
    </row>
    <row r="176" spans="1:12">
      <c r="A176" s="7">
        <v>3.6</v>
      </c>
      <c r="B176" s="7">
        <v>32.299999999999997</v>
      </c>
      <c r="D176" s="52">
        <f t="shared" si="14"/>
        <v>34.263626497946049</v>
      </c>
      <c r="E176" s="7">
        <f t="shared" si="15"/>
        <v>-1.963626497946052</v>
      </c>
      <c r="F176" s="7">
        <f t="shared" si="16"/>
        <v>1.963626497946052</v>
      </c>
      <c r="G176" s="8">
        <f t="shared" si="17"/>
        <v>3.8558290234358767</v>
      </c>
      <c r="H176" s="7">
        <f t="shared" si="18"/>
        <v>6.0793390029289539E-2</v>
      </c>
      <c r="I176" s="10"/>
      <c r="J176" s="9"/>
      <c r="K176" s="8">
        <f t="shared" si="19"/>
        <v>5.9081278777389521</v>
      </c>
      <c r="L176" s="7">
        <f t="shared" si="20"/>
        <v>0.21812410457578874</v>
      </c>
    </row>
    <row r="177" spans="1:12">
      <c r="A177" s="7">
        <v>5.7</v>
      </c>
      <c r="B177" s="7">
        <v>27.2</v>
      </c>
      <c r="D177" s="52">
        <f t="shared" si="14"/>
        <v>24.69481502483033</v>
      </c>
      <c r="E177" s="7">
        <f t="shared" si="15"/>
        <v>2.5051849751696693</v>
      </c>
      <c r="F177" s="7">
        <f t="shared" si="16"/>
        <v>2.5051849751696693</v>
      </c>
      <c r="G177" s="8">
        <f t="shared" si="17"/>
        <v>6.2759517598158565</v>
      </c>
      <c r="H177" s="7">
        <f t="shared" si="18"/>
        <v>9.2102388793002546E-2</v>
      </c>
      <c r="I177" s="10"/>
      <c r="J177" s="9"/>
      <c r="K177" s="8">
        <f t="shared" si="19"/>
        <v>56.710901510391651</v>
      </c>
      <c r="L177" s="7">
        <f t="shared" si="20"/>
        <v>100.71826629091937</v>
      </c>
    </row>
    <row r="178" spans="1:12">
      <c r="A178" s="7">
        <v>2</v>
      </c>
      <c r="B178" s="7">
        <v>36.799999999999997</v>
      </c>
      <c r="D178" s="52">
        <f t="shared" si="14"/>
        <v>41.55414952508184</v>
      </c>
      <c r="E178" s="7">
        <f t="shared" si="15"/>
        <v>-4.7541495250818429</v>
      </c>
      <c r="F178" s="7">
        <f t="shared" si="16"/>
        <v>4.7541495250818429</v>
      </c>
      <c r="G178" s="8">
        <f t="shared" si="17"/>
        <v>22.601937706835912</v>
      </c>
      <c r="H178" s="7">
        <f t="shared" si="18"/>
        <v>0.12918884579026749</v>
      </c>
      <c r="I178" s="10"/>
      <c r="J178" s="9"/>
      <c r="K178" s="8">
        <f t="shared" si="19"/>
        <v>4.2821511430453647</v>
      </c>
      <c r="L178" s="7">
        <f t="shared" si="20"/>
        <v>46.559953596963425</v>
      </c>
    </row>
    <row r="179" spans="1:12">
      <c r="A179" s="7">
        <v>3.6</v>
      </c>
      <c r="B179" s="7">
        <v>35.5</v>
      </c>
      <c r="D179" s="52">
        <f t="shared" si="14"/>
        <v>34.263626497946049</v>
      </c>
      <c r="E179" s="7">
        <f t="shared" si="15"/>
        <v>1.2363735020539508</v>
      </c>
      <c r="F179" s="7">
        <f t="shared" si="16"/>
        <v>1.2363735020539508</v>
      </c>
      <c r="G179" s="8">
        <f t="shared" si="17"/>
        <v>1.5286194365811507</v>
      </c>
      <c r="H179" s="7">
        <f t="shared" si="18"/>
        <v>3.4827422593069035E-2</v>
      </c>
      <c r="I179" s="10"/>
      <c r="J179" s="9"/>
      <c r="K179" s="8">
        <f t="shared" si="19"/>
        <v>0.59187775529018305</v>
      </c>
      <c r="L179" s="7">
        <f t="shared" si="20"/>
        <v>0.21812410457578874</v>
      </c>
    </row>
    <row r="180" spans="1:12">
      <c r="A180" s="7">
        <v>3.7</v>
      </c>
      <c r="B180" s="7">
        <v>30.4</v>
      </c>
      <c r="D180" s="52">
        <f t="shared" si="14"/>
        <v>33.807968808750061</v>
      </c>
      <c r="E180" s="7">
        <f t="shared" si="15"/>
        <v>-3.4079688087500628</v>
      </c>
      <c r="F180" s="7">
        <f t="shared" si="16"/>
        <v>3.4079688087500628</v>
      </c>
      <c r="G180" s="8">
        <f t="shared" si="17"/>
        <v>11.614251401413322</v>
      </c>
      <c r="H180" s="7">
        <f t="shared" si="18"/>
        <v>0.11210423712993628</v>
      </c>
      <c r="I180" s="10"/>
      <c r="J180" s="9"/>
      <c r="K180" s="8">
        <f t="shared" si="19"/>
        <v>18.7546513879429</v>
      </c>
      <c r="L180" s="7">
        <f t="shared" si="20"/>
        <v>0.85136656659981558</v>
      </c>
    </row>
    <row r="181" spans="1:12">
      <c r="A181" s="7">
        <v>4</v>
      </c>
      <c r="B181" s="7">
        <v>29.4</v>
      </c>
      <c r="D181" s="52">
        <f t="shared" si="14"/>
        <v>32.440995741162105</v>
      </c>
      <c r="E181" s="7">
        <f t="shared" si="15"/>
        <v>-3.0409957411621065</v>
      </c>
      <c r="F181" s="7">
        <f t="shared" si="16"/>
        <v>3.0409957411621065</v>
      </c>
      <c r="G181" s="8">
        <f t="shared" si="17"/>
        <v>9.247655097766069</v>
      </c>
      <c r="H181" s="7">
        <f t="shared" si="18"/>
        <v>0.10343522929122811</v>
      </c>
      <c r="I181" s="10"/>
      <c r="J181" s="9"/>
      <c r="K181" s="8">
        <f t="shared" si="19"/>
        <v>28.415979551208139</v>
      </c>
      <c r="L181" s="7">
        <f t="shared" si="20"/>
        <v>5.2425811093529928</v>
      </c>
    </row>
    <row r="182" spans="1:12">
      <c r="A182" s="7">
        <v>3.5</v>
      </c>
      <c r="B182" s="7">
        <v>34.762999999999998</v>
      </c>
      <c r="D182" s="52">
        <f t="shared" si="14"/>
        <v>34.719284187142037</v>
      </c>
      <c r="E182" s="7">
        <f t="shared" si="15"/>
        <v>4.3715812857961112E-2</v>
      </c>
      <c r="F182" s="7">
        <f t="shared" si="16"/>
        <v>4.3715812857961112E-2</v>
      </c>
      <c r="G182" s="8">
        <f t="shared" si="17"/>
        <v>1.9110722938322782E-3</v>
      </c>
      <c r="H182" s="7">
        <f t="shared" si="18"/>
        <v>1.2575385570279065E-3</v>
      </c>
      <c r="I182" s="10"/>
      <c r="J182" s="9"/>
      <c r="K182" s="8">
        <f t="shared" si="19"/>
        <v>1.0456116166618727E-3</v>
      </c>
      <c r="L182" s="7">
        <f t="shared" si="20"/>
        <v>1.2950199861675504E-4</v>
      </c>
    </row>
    <row r="183" spans="1:12">
      <c r="A183" s="7">
        <v>3.5</v>
      </c>
      <c r="B183" s="7">
        <v>34.767499999999998</v>
      </c>
      <c r="D183" s="52">
        <f t="shared" si="14"/>
        <v>34.719284187142037</v>
      </c>
      <c r="E183" s="7">
        <f t="shared" si="15"/>
        <v>4.8215812857961282E-2</v>
      </c>
      <c r="F183" s="7">
        <f t="shared" si="16"/>
        <v>4.8215812857961282E-2</v>
      </c>
      <c r="G183" s="8">
        <f t="shared" si="17"/>
        <v>2.3247646095539446E-3</v>
      </c>
      <c r="H183" s="7">
        <f t="shared" si="18"/>
        <v>1.3868070139630771E-3</v>
      </c>
      <c r="I183" s="10"/>
      <c r="J183" s="9"/>
      <c r="K183" s="8">
        <f t="shared" si="19"/>
        <v>1.3568848819683066E-3</v>
      </c>
      <c r="L183" s="7">
        <f t="shared" si="20"/>
        <v>1.2950199861675504E-4</v>
      </c>
    </row>
    <row r="184" spans="1:12">
      <c r="A184" s="7">
        <v>6</v>
      </c>
      <c r="B184" s="7">
        <v>32.799999999999997</v>
      </c>
      <c r="D184" s="52">
        <f t="shared" si="14"/>
        <v>23.32784195724237</v>
      </c>
      <c r="E184" s="7">
        <f t="shared" si="15"/>
        <v>9.4721580427576271</v>
      </c>
      <c r="F184" s="7">
        <f t="shared" si="16"/>
        <v>9.4721580427576271</v>
      </c>
      <c r="G184" s="8">
        <f t="shared" si="17"/>
        <v>89.721777986977997</v>
      </c>
      <c r="H184" s="7">
        <f t="shared" si="18"/>
        <v>0.288785306181635</v>
      </c>
      <c r="I184" s="10"/>
      <c r="J184" s="9"/>
      <c r="K184" s="8">
        <f t="shared" si="19"/>
        <v>3.7274637961063313</v>
      </c>
      <c r="L184" s="7">
        <f t="shared" si="20"/>
        <v>130.02435240048374</v>
      </c>
    </row>
    <row r="185" spans="1:12">
      <c r="A185" s="7">
        <v>6</v>
      </c>
      <c r="B185" s="7">
        <v>21.7</v>
      </c>
      <c r="D185" s="52">
        <f t="shared" si="14"/>
        <v>23.32784195724237</v>
      </c>
      <c r="E185" s="7">
        <f t="shared" si="15"/>
        <v>-1.6278419572423708</v>
      </c>
      <c r="F185" s="7">
        <f t="shared" si="16"/>
        <v>1.6278419572423708</v>
      </c>
      <c r="G185" s="8">
        <f t="shared" si="17"/>
        <v>2.6498694377586727</v>
      </c>
      <c r="H185" s="7">
        <f t="shared" si="18"/>
        <v>7.5015758398265936E-2</v>
      </c>
      <c r="I185" s="10"/>
      <c r="J185" s="9"/>
      <c r="K185" s="8">
        <f t="shared" si="19"/>
        <v>169.79820640835047</v>
      </c>
      <c r="L185" s="7">
        <f t="shared" si="20"/>
        <v>130.02435240048374</v>
      </c>
    </row>
    <row r="186" spans="1:12">
      <c r="A186" s="7">
        <v>2.4</v>
      </c>
      <c r="B186" s="7">
        <v>40.299999999999997</v>
      </c>
      <c r="D186" s="52">
        <f t="shared" si="14"/>
        <v>39.731518768297896</v>
      </c>
      <c r="E186" s="7">
        <f t="shared" si="15"/>
        <v>0.5684812317021013</v>
      </c>
      <c r="F186" s="7">
        <f t="shared" si="16"/>
        <v>0.5684812317021013</v>
      </c>
      <c r="G186" s="8">
        <f t="shared" si="17"/>
        <v>0.32317091079753818</v>
      </c>
      <c r="H186" s="7">
        <f t="shared" si="18"/>
        <v>1.4106234037272986E-2</v>
      </c>
      <c r="I186" s="10"/>
      <c r="J186" s="9"/>
      <c r="K186" s="8">
        <f t="shared" si="19"/>
        <v>31.017502571617019</v>
      </c>
      <c r="L186" s="7">
        <f t="shared" si="20"/>
        <v>25.008547597142076</v>
      </c>
    </row>
    <row r="187" spans="1:12">
      <c r="A187" s="7">
        <v>2.4</v>
      </c>
      <c r="B187" s="7">
        <v>37.299999999999997</v>
      </c>
      <c r="D187" s="52">
        <f t="shared" si="14"/>
        <v>39.731518768297896</v>
      </c>
      <c r="E187" s="7">
        <f t="shared" si="15"/>
        <v>-2.4315187682978987</v>
      </c>
      <c r="F187" s="7">
        <f t="shared" si="16"/>
        <v>2.4315187682978987</v>
      </c>
      <c r="G187" s="8">
        <f t="shared" si="17"/>
        <v>5.9122835205849302</v>
      </c>
      <c r="H187" s="7">
        <f t="shared" si="18"/>
        <v>6.5188170731847156E-2</v>
      </c>
      <c r="I187" s="10"/>
      <c r="J187" s="9"/>
      <c r="K187" s="8">
        <f t="shared" si="19"/>
        <v>6.6014870614127439</v>
      </c>
      <c r="L187" s="7">
        <f t="shared" si="20"/>
        <v>25.008547597142076</v>
      </c>
    </row>
    <row r="188" spans="1:12">
      <c r="A188" s="7">
        <v>3.5</v>
      </c>
      <c r="B188" s="7">
        <v>35.799999999999997</v>
      </c>
      <c r="D188" s="52">
        <f t="shared" si="14"/>
        <v>34.719284187142037</v>
      </c>
      <c r="E188" s="7">
        <f t="shared" si="15"/>
        <v>1.0807158128579601</v>
      </c>
      <c r="F188" s="7">
        <f t="shared" si="16"/>
        <v>1.0807158128579601</v>
      </c>
      <c r="G188" s="8">
        <f t="shared" si="17"/>
        <v>1.1679466681612416</v>
      </c>
      <c r="H188" s="7">
        <f t="shared" si="18"/>
        <v>3.0187592537931851E-2</v>
      </c>
      <c r="I188" s="10"/>
      <c r="J188" s="9"/>
      <c r="K188" s="8">
        <f t="shared" si="19"/>
        <v>1.1434793063106061</v>
      </c>
      <c r="L188" s="7">
        <f t="shared" si="20"/>
        <v>1.2950199861675504E-4</v>
      </c>
    </row>
    <row r="189" spans="1:12">
      <c r="A189" s="7">
        <v>5.4</v>
      </c>
      <c r="B189" s="7">
        <v>24.1556</v>
      </c>
      <c r="D189" s="52">
        <f t="shared" si="14"/>
        <v>26.06178809241829</v>
      </c>
      <c r="E189" s="7">
        <f t="shared" si="15"/>
        <v>-1.9061880924182901</v>
      </c>
      <c r="F189" s="7">
        <f t="shared" si="16"/>
        <v>1.9061880924182901</v>
      </c>
      <c r="G189" s="8">
        <f t="shared" si="17"/>
        <v>3.6335530436772796</v>
      </c>
      <c r="H189" s="7">
        <f t="shared" si="18"/>
        <v>7.8912885310995801E-2</v>
      </c>
      <c r="I189" s="10"/>
      <c r="J189" s="9"/>
      <c r="K189" s="8">
        <f t="shared" si="19"/>
        <v>111.83198033063633</v>
      </c>
      <c r="L189" s="7">
        <f t="shared" si="20"/>
        <v>75.149410916376695</v>
      </c>
    </row>
    <row r="190" spans="1:12">
      <c r="A190" s="7">
        <v>2</v>
      </c>
      <c r="B190" s="7">
        <v>43.2</v>
      </c>
      <c r="D190" s="52">
        <f t="shared" si="14"/>
        <v>41.55414952508184</v>
      </c>
      <c r="E190" s="7">
        <f t="shared" si="15"/>
        <v>1.6458504749181628</v>
      </c>
      <c r="F190" s="7">
        <f t="shared" si="16"/>
        <v>1.6458504749181628</v>
      </c>
      <c r="G190" s="8">
        <f t="shared" si="17"/>
        <v>2.7088237857883422</v>
      </c>
      <c r="H190" s="7">
        <f t="shared" si="18"/>
        <v>3.8098390623105619E-2</v>
      </c>
      <c r="I190" s="10"/>
      <c r="J190" s="9"/>
      <c r="K190" s="8">
        <f t="shared" si="19"/>
        <v>71.729650898147909</v>
      </c>
      <c r="L190" s="7">
        <f t="shared" si="20"/>
        <v>46.559953596963425</v>
      </c>
    </row>
    <row r="191" spans="1:12">
      <c r="A191" s="7">
        <v>2</v>
      </c>
      <c r="B191" s="7">
        <v>42.973300000000002</v>
      </c>
      <c r="D191" s="52">
        <f t="shared" si="14"/>
        <v>41.55414952508184</v>
      </c>
      <c r="E191" s="7">
        <f t="shared" si="15"/>
        <v>1.4191504749181618</v>
      </c>
      <c r="F191" s="7">
        <f t="shared" si="16"/>
        <v>1.4191504749181618</v>
      </c>
      <c r="G191" s="8">
        <f t="shared" si="17"/>
        <v>2.013988070460444</v>
      </c>
      <c r="H191" s="7">
        <f t="shared" si="18"/>
        <v>3.3024005019818392E-2</v>
      </c>
      <c r="I191" s="10"/>
      <c r="J191" s="9"/>
      <c r="K191" s="8">
        <f t="shared" si="19"/>
        <v>67.941046882760119</v>
      </c>
      <c r="L191" s="7">
        <f t="shared" si="20"/>
        <v>46.559953596963425</v>
      </c>
    </row>
    <row r="192" spans="1:12">
      <c r="A192" s="7">
        <v>3.2</v>
      </c>
      <c r="B192" s="7">
        <v>34.542400000000001</v>
      </c>
      <c r="D192" s="52">
        <f t="shared" si="14"/>
        <v>36.08625725473</v>
      </c>
      <c r="E192" s="7">
        <f t="shared" si="15"/>
        <v>-1.5438572547299998</v>
      </c>
      <c r="F192" s="7">
        <f t="shared" si="16"/>
        <v>1.5438572547299998</v>
      </c>
      <c r="G192" s="8">
        <f t="shared" si="17"/>
        <v>2.3834952229824515</v>
      </c>
      <c r="H192" s="7">
        <f t="shared" si="18"/>
        <v>4.4694556681932923E-2</v>
      </c>
      <c r="I192" s="10"/>
      <c r="J192" s="9"/>
      <c r="K192" s="8">
        <f t="shared" si="19"/>
        <v>3.5443364432972795E-2</v>
      </c>
      <c r="L192" s="7">
        <f t="shared" si="20"/>
        <v>1.83763285094823</v>
      </c>
    </row>
    <row r="193" spans="1:12">
      <c r="A193" s="7">
        <v>3.2</v>
      </c>
      <c r="B193" s="7">
        <v>34.542400000000001</v>
      </c>
      <c r="D193" s="52">
        <f t="shared" si="14"/>
        <v>36.08625725473</v>
      </c>
      <c r="E193" s="7">
        <f t="shared" si="15"/>
        <v>-1.5438572547299998</v>
      </c>
      <c r="F193" s="7">
        <f t="shared" si="16"/>
        <v>1.5438572547299998</v>
      </c>
      <c r="G193" s="8">
        <f t="shared" si="17"/>
        <v>2.3834952229824515</v>
      </c>
      <c r="H193" s="7">
        <f t="shared" si="18"/>
        <v>4.4694556681932923E-2</v>
      </c>
      <c r="I193" s="10"/>
      <c r="J193" s="9"/>
      <c r="K193" s="8">
        <f t="shared" si="19"/>
        <v>3.5443364432972795E-2</v>
      </c>
      <c r="L193" s="7">
        <f t="shared" si="20"/>
        <v>1.83763285094823</v>
      </c>
    </row>
    <row r="194" spans="1:12">
      <c r="A194" s="7">
        <v>3</v>
      </c>
      <c r="B194" s="7">
        <v>35.505200000000002</v>
      </c>
      <c r="D194" s="52">
        <f t="shared" si="14"/>
        <v>36.997572633121976</v>
      </c>
      <c r="E194" s="7">
        <f t="shared" si="15"/>
        <v>-1.492372633121974</v>
      </c>
      <c r="F194" s="7">
        <f t="shared" si="16"/>
        <v>1.492372633121974</v>
      </c>
      <c r="G194" s="8">
        <f t="shared" si="17"/>
        <v>2.2271760760914141</v>
      </c>
      <c r="H194" s="7">
        <f t="shared" si="18"/>
        <v>4.2032508847210374E-2</v>
      </c>
      <c r="I194" s="10"/>
      <c r="J194" s="9"/>
      <c r="K194" s="8">
        <f t="shared" si="19"/>
        <v>0.5999058888412071</v>
      </c>
      <c r="L194" s="7">
        <f t="shared" si="20"/>
        <v>5.1388743808155795</v>
      </c>
    </row>
    <row r="195" spans="1:12">
      <c r="A195" s="7">
        <v>3</v>
      </c>
      <c r="B195" s="7">
        <v>35.993099999999998</v>
      </c>
      <c r="D195" s="52">
        <f t="shared" ref="D195:D247" si="21">$Q$8 + $P$8 * A195</f>
        <v>36.997572633121976</v>
      </c>
      <c r="E195" s="7">
        <f t="shared" ref="E195:E247" si="22">B195-D195</f>
        <v>-1.0044726331219778</v>
      </c>
      <c r="F195" s="7">
        <f t="shared" ref="F195:F247" si="23">ABS(E195)</f>
        <v>1.0044726331219778</v>
      </c>
      <c r="G195" s="8">
        <f t="shared" ref="G195:G247" si="24">F195^2</f>
        <v>1.0089652706909993</v>
      </c>
      <c r="H195" s="7">
        <f t="shared" ref="H195:H247" si="25">F195/B195</f>
        <v>2.7907366498633845E-2</v>
      </c>
      <c r="I195" s="10"/>
      <c r="J195" s="9"/>
      <c r="K195" s="8">
        <f t="shared" ref="K195:K247" si="26">(B195-$C$3)^2</f>
        <v>1.593744447984091</v>
      </c>
      <c r="L195" s="7">
        <f t="shared" ref="L195:L247" si="27">(D195-$C$3)^2</f>
        <v>5.1388743808155795</v>
      </c>
    </row>
    <row r="196" spans="1:12">
      <c r="A196" s="7">
        <v>3</v>
      </c>
      <c r="B196" s="7">
        <v>32.286000000000001</v>
      </c>
      <c r="D196" s="52">
        <f t="shared" si="21"/>
        <v>36.997572633121976</v>
      </c>
      <c r="E196" s="7">
        <f t="shared" si="22"/>
        <v>-4.7115726331219747</v>
      </c>
      <c r="F196" s="7">
        <f t="shared" si="23"/>
        <v>4.7115726331219747</v>
      </c>
      <c r="G196" s="8">
        <f t="shared" si="24"/>
        <v>22.198916677183938</v>
      </c>
      <c r="H196" s="7">
        <f t="shared" si="25"/>
        <v>0.14593237419073204</v>
      </c>
      <c r="I196" s="10"/>
      <c r="J196" s="9"/>
      <c r="K196" s="8">
        <f t="shared" si="26"/>
        <v>5.9763824720246452</v>
      </c>
      <c r="L196" s="7">
        <f t="shared" si="27"/>
        <v>5.1388743808155795</v>
      </c>
    </row>
    <row r="197" spans="1:12">
      <c r="A197" s="7">
        <v>4.4000000000000004</v>
      </c>
      <c r="B197" s="7">
        <v>28.1647</v>
      </c>
      <c r="D197" s="52">
        <f t="shared" si="21"/>
        <v>30.618364984378157</v>
      </c>
      <c r="E197" s="7">
        <f t="shared" si="22"/>
        <v>-2.4536649843781575</v>
      </c>
      <c r="F197" s="7">
        <f t="shared" si="23"/>
        <v>2.4536649843781575</v>
      </c>
      <c r="G197" s="8">
        <f t="shared" si="24"/>
        <v>6.0204718555634642</v>
      </c>
      <c r="H197" s="7">
        <f t="shared" si="25"/>
        <v>8.7118449135909756E-2</v>
      </c>
      <c r="I197" s="10"/>
      <c r="J197" s="9"/>
      <c r="K197" s="8">
        <f t="shared" si="26"/>
        <v>43.111884321289672</v>
      </c>
      <c r="L197" s="7">
        <f t="shared" si="27"/>
        <v>16.911003865279852</v>
      </c>
    </row>
    <row r="198" spans="1:12">
      <c r="A198" s="7">
        <v>6</v>
      </c>
      <c r="B198" s="7">
        <v>32.4</v>
      </c>
      <c r="D198" s="52">
        <f t="shared" si="21"/>
        <v>23.32784195724237</v>
      </c>
      <c r="E198" s="7">
        <f t="shared" si="22"/>
        <v>9.0721580427576285</v>
      </c>
      <c r="F198" s="7">
        <f t="shared" si="23"/>
        <v>9.0721580427576285</v>
      </c>
      <c r="G198" s="8">
        <f t="shared" si="24"/>
        <v>82.304051552771924</v>
      </c>
      <c r="H198" s="7">
        <f t="shared" si="25"/>
        <v>0.2800048778628898</v>
      </c>
      <c r="I198" s="10"/>
      <c r="J198" s="9"/>
      <c r="K198" s="8">
        <f t="shared" si="26"/>
        <v>5.4319950614124215</v>
      </c>
      <c r="L198" s="7">
        <f t="shared" si="27"/>
        <v>130.02435240048374</v>
      </c>
    </row>
    <row r="199" spans="1:12">
      <c r="A199" s="7">
        <v>6.2</v>
      </c>
      <c r="B199" s="7">
        <v>24.2</v>
      </c>
      <c r="D199" s="52">
        <f t="shared" si="21"/>
        <v>22.416526578850394</v>
      </c>
      <c r="E199" s="7">
        <f t="shared" si="22"/>
        <v>1.7834734211496048</v>
      </c>
      <c r="F199" s="7">
        <f t="shared" si="23"/>
        <v>1.7834734211496048</v>
      </c>
      <c r="G199" s="8">
        <f t="shared" si="24"/>
        <v>3.1807774439470755</v>
      </c>
      <c r="H199" s="7">
        <f t="shared" si="25"/>
        <v>7.3697248807834917E-2</v>
      </c>
      <c r="I199" s="10"/>
      <c r="J199" s="9"/>
      <c r="K199" s="8">
        <f t="shared" si="26"/>
        <v>110.89488600018737</v>
      </c>
      <c r="L199" s="7">
        <f t="shared" si="27"/>
        <v>151.63798243742761</v>
      </c>
    </row>
    <row r="200" spans="1:12">
      <c r="A200" s="7">
        <v>6.2</v>
      </c>
      <c r="B200" s="7">
        <v>24.2</v>
      </c>
      <c r="D200" s="52">
        <f t="shared" si="21"/>
        <v>22.416526578850394</v>
      </c>
      <c r="E200" s="7">
        <f t="shared" si="22"/>
        <v>1.7834734211496048</v>
      </c>
      <c r="F200" s="7">
        <f t="shared" si="23"/>
        <v>1.7834734211496048</v>
      </c>
      <c r="G200" s="8">
        <f t="shared" si="24"/>
        <v>3.1807774439470755</v>
      </c>
      <c r="H200" s="7">
        <f t="shared" si="25"/>
        <v>7.3697248807834917E-2</v>
      </c>
      <c r="I200" s="10"/>
      <c r="J200" s="9"/>
      <c r="K200" s="8">
        <f t="shared" si="26"/>
        <v>110.89488600018737</v>
      </c>
      <c r="L200" s="7">
        <f t="shared" si="27"/>
        <v>151.63798243742761</v>
      </c>
    </row>
    <row r="201" spans="1:12">
      <c r="A201" s="7">
        <v>5.3</v>
      </c>
      <c r="B201" s="7">
        <v>29</v>
      </c>
      <c r="D201" s="52">
        <f t="shared" si="21"/>
        <v>26.517445781614278</v>
      </c>
      <c r="E201" s="7">
        <f t="shared" si="22"/>
        <v>2.4825542183857223</v>
      </c>
      <c r="F201" s="7">
        <f t="shared" si="23"/>
        <v>2.4825542183857223</v>
      </c>
      <c r="G201" s="8">
        <f t="shared" si="24"/>
        <v>6.1630754472247444</v>
      </c>
      <c r="H201" s="7">
        <f t="shared" si="25"/>
        <v>8.5605317875369735E-2</v>
      </c>
      <c r="I201" s="10"/>
      <c r="J201" s="9"/>
      <c r="K201" s="8">
        <f t="shared" si="26"/>
        <v>32.840510816514218</v>
      </c>
      <c r="L201" s="7">
        <f t="shared" si="27"/>
        <v>67.456954843756151</v>
      </c>
    </row>
    <row r="202" spans="1:12">
      <c r="A202" s="7">
        <v>5.3</v>
      </c>
      <c r="B202" s="7">
        <v>29</v>
      </c>
      <c r="D202" s="52">
        <f t="shared" si="21"/>
        <v>26.517445781614278</v>
      </c>
      <c r="E202" s="7">
        <f t="shared" si="22"/>
        <v>2.4825542183857223</v>
      </c>
      <c r="F202" s="7">
        <f t="shared" si="23"/>
        <v>2.4825542183857223</v>
      </c>
      <c r="G202" s="8">
        <f t="shared" si="24"/>
        <v>6.1630754472247444</v>
      </c>
      <c r="H202" s="7">
        <f t="shared" si="25"/>
        <v>8.5605317875369735E-2</v>
      </c>
      <c r="I202" s="10"/>
      <c r="J202" s="9"/>
      <c r="K202" s="8">
        <f t="shared" si="26"/>
        <v>32.840510816514218</v>
      </c>
      <c r="L202" s="7">
        <f t="shared" si="27"/>
        <v>67.456954843756151</v>
      </c>
    </row>
    <row r="203" spans="1:12">
      <c r="A203" s="7">
        <v>6</v>
      </c>
      <c r="B203" s="7">
        <v>21.2</v>
      </c>
      <c r="D203" s="52">
        <f t="shared" si="21"/>
        <v>23.32784195724237</v>
      </c>
      <c r="E203" s="7">
        <f t="shared" si="22"/>
        <v>-2.1278419572423708</v>
      </c>
      <c r="F203" s="7">
        <f t="shared" si="23"/>
        <v>2.1278419572423708</v>
      </c>
      <c r="G203" s="8">
        <f t="shared" si="24"/>
        <v>4.5277113950010435</v>
      </c>
      <c r="H203" s="7">
        <f t="shared" si="25"/>
        <v>0.10036990364350806</v>
      </c>
      <c r="I203" s="10"/>
      <c r="J203" s="9"/>
      <c r="K203" s="8">
        <f t="shared" si="26"/>
        <v>183.07887048998307</v>
      </c>
      <c r="L203" s="7">
        <f t="shared" si="27"/>
        <v>130.02435240048374</v>
      </c>
    </row>
    <row r="204" spans="1:12">
      <c r="A204" s="7">
        <v>3.6</v>
      </c>
      <c r="B204" s="7">
        <v>31.2</v>
      </c>
      <c r="D204" s="52">
        <f t="shared" si="21"/>
        <v>34.263626497946049</v>
      </c>
      <c r="E204" s="7">
        <f t="shared" si="22"/>
        <v>-3.0636264979460499</v>
      </c>
      <c r="F204" s="7">
        <f t="shared" si="23"/>
        <v>3.0636264979460499</v>
      </c>
      <c r="G204" s="8">
        <f t="shared" si="24"/>
        <v>9.3858073189171787</v>
      </c>
      <c r="H204" s="7">
        <f t="shared" si="25"/>
        <v>9.8193156985450322E-2</v>
      </c>
      <c r="I204" s="10"/>
      <c r="J204" s="9"/>
      <c r="K204" s="8">
        <f t="shared" si="26"/>
        <v>12.465588857330703</v>
      </c>
      <c r="L204" s="7">
        <f t="shared" si="27"/>
        <v>0.21812410457578874</v>
      </c>
    </row>
    <row r="205" spans="1:12">
      <c r="A205" s="7">
        <v>5.7</v>
      </c>
      <c r="B205" s="7">
        <v>27.2941</v>
      </c>
      <c r="D205" s="52">
        <f t="shared" si="21"/>
        <v>24.69481502483033</v>
      </c>
      <c r="E205" s="7">
        <f t="shared" si="22"/>
        <v>2.5992849751696703</v>
      </c>
      <c r="F205" s="7">
        <f t="shared" si="23"/>
        <v>2.5992849751696703</v>
      </c>
      <c r="G205" s="8">
        <f t="shared" si="24"/>
        <v>6.7562823821427935</v>
      </c>
      <c r="H205" s="7">
        <f t="shared" si="25"/>
        <v>9.5232485231961123E-2</v>
      </c>
      <c r="I205" s="10"/>
      <c r="J205" s="9"/>
      <c r="K205" s="8">
        <f t="shared" si="26"/>
        <v>55.30248534022838</v>
      </c>
      <c r="L205" s="7">
        <f t="shared" si="27"/>
        <v>100.71826629091937</v>
      </c>
    </row>
    <row r="206" spans="1:12">
      <c r="A206" s="7">
        <v>3.6</v>
      </c>
      <c r="B206" s="7">
        <v>32.9</v>
      </c>
      <c r="D206" s="52">
        <f t="shared" si="21"/>
        <v>34.263626497946049</v>
      </c>
      <c r="E206" s="7">
        <f t="shared" si="22"/>
        <v>-1.3636264979460506</v>
      </c>
      <c r="F206" s="7">
        <f t="shared" si="23"/>
        <v>1.3636264979460506</v>
      </c>
      <c r="G206" s="8">
        <f t="shared" si="24"/>
        <v>1.8594772259006105</v>
      </c>
      <c r="H206" s="7">
        <f t="shared" si="25"/>
        <v>4.1447613919332847E-2</v>
      </c>
      <c r="I206" s="10"/>
      <c r="J206" s="9"/>
      <c r="K206" s="8">
        <f t="shared" si="26"/>
        <v>3.3513309797798017</v>
      </c>
      <c r="L206" s="7">
        <f t="shared" si="27"/>
        <v>0.21812410457578874</v>
      </c>
    </row>
    <row r="207" spans="1:12">
      <c r="A207" s="7">
        <v>3.7</v>
      </c>
      <c r="B207" s="7">
        <v>28.5</v>
      </c>
      <c r="D207" s="52">
        <f t="shared" si="21"/>
        <v>33.807968808750061</v>
      </c>
      <c r="E207" s="7">
        <f t="shared" si="22"/>
        <v>-5.3079688087500614</v>
      </c>
      <c r="F207" s="7">
        <f t="shared" si="23"/>
        <v>5.3079688087500614</v>
      </c>
      <c r="G207" s="8">
        <f t="shared" si="24"/>
        <v>28.174532874663544</v>
      </c>
      <c r="H207" s="7">
        <f t="shared" si="25"/>
        <v>0.18624451960526531</v>
      </c>
      <c r="I207" s="10"/>
      <c r="J207" s="9"/>
      <c r="K207" s="8">
        <f t="shared" si="26"/>
        <v>38.821174898146836</v>
      </c>
      <c r="L207" s="7">
        <f t="shared" si="27"/>
        <v>0.85136656659981558</v>
      </c>
    </row>
    <row r="208" spans="1:12">
      <c r="A208" s="7">
        <v>4</v>
      </c>
      <c r="B208" s="7">
        <v>28.5</v>
      </c>
      <c r="D208" s="52">
        <f t="shared" si="21"/>
        <v>32.440995741162105</v>
      </c>
      <c r="E208" s="7">
        <f t="shared" si="22"/>
        <v>-3.940995741162105</v>
      </c>
      <c r="F208" s="7">
        <f t="shared" si="23"/>
        <v>3.940995741162105</v>
      </c>
      <c r="G208" s="8">
        <f t="shared" si="24"/>
        <v>15.531447431857849</v>
      </c>
      <c r="H208" s="7">
        <f t="shared" si="25"/>
        <v>0.13828055232147737</v>
      </c>
      <c r="I208" s="10"/>
      <c r="J208" s="9"/>
      <c r="K208" s="8">
        <f t="shared" si="26"/>
        <v>38.821174898146836</v>
      </c>
      <c r="L208" s="7">
        <f t="shared" si="27"/>
        <v>5.2425811093529928</v>
      </c>
    </row>
    <row r="209" spans="1:12">
      <c r="A209" s="7">
        <v>6</v>
      </c>
      <c r="B209" s="7">
        <v>32.4</v>
      </c>
      <c r="D209" s="52">
        <f t="shared" si="21"/>
        <v>23.32784195724237</v>
      </c>
      <c r="E209" s="7">
        <f t="shared" si="22"/>
        <v>9.0721580427576285</v>
      </c>
      <c r="F209" s="7">
        <f t="shared" si="23"/>
        <v>9.0721580427576285</v>
      </c>
      <c r="G209" s="8">
        <f t="shared" si="24"/>
        <v>82.304051552771924</v>
      </c>
      <c r="H209" s="7">
        <f t="shared" si="25"/>
        <v>0.2800048778628898</v>
      </c>
      <c r="I209" s="10"/>
      <c r="J209" s="9"/>
      <c r="K209" s="8">
        <f t="shared" si="26"/>
        <v>5.4319950614124215</v>
      </c>
      <c r="L209" s="7">
        <f t="shared" si="27"/>
        <v>130.02435240048374</v>
      </c>
    </row>
    <row r="210" spans="1:12">
      <c r="A210" s="7">
        <v>5.3</v>
      </c>
      <c r="B210" s="7">
        <v>29</v>
      </c>
      <c r="D210" s="52">
        <f t="shared" si="21"/>
        <v>26.517445781614278</v>
      </c>
      <c r="E210" s="7">
        <f t="shared" si="22"/>
        <v>2.4825542183857223</v>
      </c>
      <c r="F210" s="7">
        <f t="shared" si="23"/>
        <v>2.4825542183857223</v>
      </c>
      <c r="G210" s="8">
        <f t="shared" si="24"/>
        <v>6.1630754472247444</v>
      </c>
      <c r="H210" s="7">
        <f t="shared" si="25"/>
        <v>8.5605317875369735E-2</v>
      </c>
      <c r="I210" s="10"/>
      <c r="J210" s="9"/>
      <c r="K210" s="8">
        <f t="shared" si="26"/>
        <v>32.840510816514218</v>
      </c>
      <c r="L210" s="7">
        <f t="shared" si="27"/>
        <v>67.456954843756151</v>
      </c>
    </row>
    <row r="211" spans="1:12">
      <c r="A211" s="7">
        <v>6.2</v>
      </c>
      <c r="B211" s="7">
        <v>24.2</v>
      </c>
      <c r="D211" s="52">
        <f t="shared" si="21"/>
        <v>22.416526578850394</v>
      </c>
      <c r="E211" s="7">
        <f t="shared" si="22"/>
        <v>1.7834734211496048</v>
      </c>
      <c r="F211" s="7">
        <f t="shared" si="23"/>
        <v>1.7834734211496048</v>
      </c>
      <c r="G211" s="8">
        <f t="shared" si="24"/>
        <v>3.1807774439470755</v>
      </c>
      <c r="H211" s="7">
        <f t="shared" si="25"/>
        <v>7.3697248807834917E-2</v>
      </c>
      <c r="I211" s="10"/>
      <c r="J211" s="9"/>
      <c r="K211" s="8">
        <f t="shared" si="26"/>
        <v>110.89488600018737</v>
      </c>
      <c r="L211" s="7">
        <f t="shared" si="27"/>
        <v>151.63798243742761</v>
      </c>
    </row>
    <row r="212" spans="1:12">
      <c r="A212" s="7">
        <v>6</v>
      </c>
      <c r="B212" s="7">
        <v>21.2</v>
      </c>
      <c r="D212" s="52">
        <f t="shared" si="21"/>
        <v>23.32784195724237</v>
      </c>
      <c r="E212" s="7">
        <f t="shared" si="22"/>
        <v>-2.1278419572423708</v>
      </c>
      <c r="F212" s="7">
        <f t="shared" si="23"/>
        <v>2.1278419572423708</v>
      </c>
      <c r="G212" s="8">
        <f t="shared" si="24"/>
        <v>4.5277113950010435</v>
      </c>
      <c r="H212" s="7">
        <f t="shared" si="25"/>
        <v>0.10036990364350806</v>
      </c>
      <c r="I212" s="10"/>
      <c r="J212" s="9"/>
      <c r="K212" s="8">
        <f t="shared" si="26"/>
        <v>183.07887048998307</v>
      </c>
      <c r="L212" s="7">
        <f t="shared" si="27"/>
        <v>130.02435240048374</v>
      </c>
    </row>
    <row r="213" spans="1:12">
      <c r="A213" s="7">
        <v>5</v>
      </c>
      <c r="B213" s="7">
        <v>27.4375</v>
      </c>
      <c r="D213" s="52">
        <f t="shared" si="21"/>
        <v>27.884418849202238</v>
      </c>
      <c r="E213" s="7">
        <f t="shared" si="22"/>
        <v>-0.44691884920223757</v>
      </c>
      <c r="F213" s="7">
        <f t="shared" si="23"/>
        <v>0.44691884920223757</v>
      </c>
      <c r="G213" s="8">
        <f t="shared" si="24"/>
        <v>0.19973645777225235</v>
      </c>
      <c r="H213" s="7">
        <f t="shared" si="25"/>
        <v>1.628861409393121E-2</v>
      </c>
      <c r="I213" s="10"/>
      <c r="J213" s="9"/>
      <c r="K213" s="8">
        <f t="shared" si="26"/>
        <v>53.190242321616147</v>
      </c>
      <c r="L213" s="7">
        <f t="shared" si="27"/>
        <v>46.871073782575714</v>
      </c>
    </row>
    <row r="214" spans="1:12">
      <c r="A214" s="7">
        <v>2.4</v>
      </c>
      <c r="B214" s="7">
        <v>37.4</v>
      </c>
      <c r="D214" s="52">
        <f t="shared" si="21"/>
        <v>39.731518768297896</v>
      </c>
      <c r="E214" s="7">
        <f t="shared" si="22"/>
        <v>-2.3315187682978973</v>
      </c>
      <c r="F214" s="7">
        <f t="shared" si="23"/>
        <v>2.3315187682978973</v>
      </c>
      <c r="G214" s="8">
        <f t="shared" si="24"/>
        <v>5.4359797669253442</v>
      </c>
      <c r="H214" s="7">
        <f t="shared" si="25"/>
        <v>6.234007401866036E-2</v>
      </c>
      <c r="I214" s="10"/>
      <c r="J214" s="9"/>
      <c r="K214" s="8">
        <f t="shared" si="26"/>
        <v>7.1253542450862275</v>
      </c>
      <c r="L214" s="7">
        <f t="shared" si="27"/>
        <v>25.008547597142076</v>
      </c>
    </row>
    <row r="215" spans="1:12">
      <c r="A215" s="7">
        <v>3.5</v>
      </c>
      <c r="B215" s="7">
        <v>34.9</v>
      </c>
      <c r="D215" s="52">
        <f t="shared" si="21"/>
        <v>34.719284187142037</v>
      </c>
      <c r="E215" s="7">
        <f t="shared" si="22"/>
        <v>0.18071581285796157</v>
      </c>
      <c r="F215" s="7">
        <f t="shared" si="23"/>
        <v>0.18071581285796157</v>
      </c>
      <c r="G215" s="8">
        <f t="shared" si="24"/>
        <v>3.2658205016913786E-2</v>
      </c>
      <c r="H215" s="7">
        <f t="shared" si="25"/>
        <v>5.1781035202854318E-3</v>
      </c>
      <c r="I215" s="10"/>
      <c r="J215" s="9"/>
      <c r="K215" s="8">
        <f t="shared" si="26"/>
        <v>2.8674653249324188E-2</v>
      </c>
      <c r="L215" s="7">
        <f t="shared" si="27"/>
        <v>1.2950199861675504E-4</v>
      </c>
    </row>
    <row r="216" spans="1:12">
      <c r="A216" s="7">
        <v>5</v>
      </c>
      <c r="B216" s="7">
        <v>24.7928</v>
      </c>
      <c r="D216" s="52">
        <f t="shared" si="21"/>
        <v>27.884418849202238</v>
      </c>
      <c r="E216" s="7">
        <f t="shared" si="22"/>
        <v>-3.0916188492022378</v>
      </c>
      <c r="F216" s="7">
        <f t="shared" si="23"/>
        <v>3.0916188492022378</v>
      </c>
      <c r="G216" s="8">
        <f t="shared" si="24"/>
        <v>9.5581071087425702</v>
      </c>
      <c r="H216" s="7">
        <f t="shared" si="25"/>
        <v>0.12469825308969693</v>
      </c>
      <c r="I216" s="10"/>
      <c r="J216" s="9"/>
      <c r="K216" s="8">
        <f t="shared" si="26"/>
        <v>98.761142505003718</v>
      </c>
      <c r="L216" s="7">
        <f t="shared" si="27"/>
        <v>46.871073782575714</v>
      </c>
    </row>
    <row r="217" spans="1:12">
      <c r="A217" s="7">
        <v>5</v>
      </c>
      <c r="B217" s="7">
        <v>23.602799999999998</v>
      </c>
      <c r="D217" s="52">
        <f t="shared" si="21"/>
        <v>27.884418849202238</v>
      </c>
      <c r="E217" s="7">
        <f t="shared" si="22"/>
        <v>-4.2816188492022391</v>
      </c>
      <c r="F217" s="7">
        <f t="shared" si="23"/>
        <v>4.2816188492022391</v>
      </c>
      <c r="G217" s="8">
        <f t="shared" si="24"/>
        <v>18.332259969843907</v>
      </c>
      <c r="H217" s="7">
        <f t="shared" si="25"/>
        <v>0.18140300511813173</v>
      </c>
      <c r="I217" s="10"/>
      <c r="J217" s="9"/>
      <c r="K217" s="8">
        <f t="shared" si="26"/>
        <v>123.82935901928938</v>
      </c>
      <c r="L217" s="7">
        <f t="shared" si="27"/>
        <v>46.871073782575714</v>
      </c>
    </row>
    <row r="218" spans="1:12">
      <c r="A218" s="7">
        <v>3</v>
      </c>
      <c r="B218" s="7">
        <v>31.5</v>
      </c>
      <c r="D218" s="52">
        <f t="shared" si="21"/>
        <v>36.997572633121976</v>
      </c>
      <c r="E218" s="7">
        <f t="shared" si="22"/>
        <v>-5.4975726331219761</v>
      </c>
      <c r="F218" s="7">
        <f t="shared" si="23"/>
        <v>5.4975726331219761</v>
      </c>
      <c r="G218" s="8">
        <f t="shared" si="24"/>
        <v>30.223304856451698</v>
      </c>
      <c r="H218" s="7">
        <f t="shared" si="25"/>
        <v>0.17452611533720558</v>
      </c>
      <c r="I218" s="10"/>
      <c r="J218" s="9"/>
      <c r="K218" s="8">
        <f t="shared" si="26"/>
        <v>10.437190408351126</v>
      </c>
      <c r="L218" s="7">
        <f t="shared" si="27"/>
        <v>5.1388743808155795</v>
      </c>
    </row>
    <row r="219" spans="1:12">
      <c r="A219" s="7">
        <v>3</v>
      </c>
      <c r="B219" s="7">
        <v>34.4</v>
      </c>
      <c r="D219" s="52">
        <f t="shared" si="21"/>
        <v>36.997572633121976</v>
      </c>
      <c r="E219" s="7">
        <f t="shared" si="22"/>
        <v>-2.5975726331219775</v>
      </c>
      <c r="F219" s="7">
        <f t="shared" si="23"/>
        <v>2.5975726331219775</v>
      </c>
      <c r="G219" s="8">
        <f t="shared" si="24"/>
        <v>6.7473835843442433</v>
      </c>
      <c r="H219" s="7">
        <f t="shared" si="25"/>
        <v>7.5510832358197028E-2</v>
      </c>
      <c r="I219" s="10"/>
      <c r="J219" s="9"/>
      <c r="K219" s="8">
        <f t="shared" si="26"/>
        <v>0.10933873488194358</v>
      </c>
      <c r="L219" s="7">
        <f t="shared" si="27"/>
        <v>5.1388743808155795</v>
      </c>
    </row>
    <row r="220" spans="1:12">
      <c r="A220" s="7">
        <v>3</v>
      </c>
      <c r="B220" s="7">
        <v>33.299999999999997</v>
      </c>
      <c r="D220" s="52">
        <f t="shared" si="21"/>
        <v>36.997572633121976</v>
      </c>
      <c r="E220" s="7">
        <f t="shared" si="22"/>
        <v>-3.6975726331219789</v>
      </c>
      <c r="F220" s="7">
        <f t="shared" si="23"/>
        <v>3.6975726331219789</v>
      </c>
      <c r="G220" s="8">
        <f t="shared" si="24"/>
        <v>13.672043377212605</v>
      </c>
      <c r="H220" s="7">
        <f t="shared" si="25"/>
        <v>0.11103821721087025</v>
      </c>
      <c r="I220" s="10"/>
      <c r="J220" s="9"/>
      <c r="K220" s="8">
        <f t="shared" si="26"/>
        <v>2.0467997144737105</v>
      </c>
      <c r="L220" s="7">
        <f t="shared" si="27"/>
        <v>5.1388743808155795</v>
      </c>
    </row>
    <row r="221" spans="1:12">
      <c r="A221" s="7">
        <v>2</v>
      </c>
      <c r="B221" s="7">
        <v>41.2</v>
      </c>
      <c r="D221" s="52">
        <f t="shared" si="21"/>
        <v>41.55414952508184</v>
      </c>
      <c r="E221" s="7">
        <f t="shared" si="22"/>
        <v>-0.35414952508183717</v>
      </c>
      <c r="F221" s="7">
        <f t="shared" si="23"/>
        <v>0.35414952508183717</v>
      </c>
      <c r="G221" s="8">
        <f t="shared" si="24"/>
        <v>0.1254218861156908</v>
      </c>
      <c r="H221" s="7">
        <f t="shared" si="25"/>
        <v>8.5958622592678911E-3</v>
      </c>
      <c r="I221" s="10"/>
      <c r="J221" s="9"/>
      <c r="K221" s="8">
        <f t="shared" si="26"/>
        <v>41.852307224678377</v>
      </c>
      <c r="L221" s="7">
        <f t="shared" si="27"/>
        <v>46.559953596963425</v>
      </c>
    </row>
    <row r="222" spans="1:12">
      <c r="A222" s="7">
        <v>3</v>
      </c>
      <c r="B222" s="7">
        <v>33.128100000000003</v>
      </c>
      <c r="D222" s="52">
        <f t="shared" si="21"/>
        <v>36.997572633121976</v>
      </c>
      <c r="E222" s="7">
        <f t="shared" si="22"/>
        <v>-3.8694726331219726</v>
      </c>
      <c r="F222" s="7">
        <f t="shared" si="23"/>
        <v>3.8694726331219726</v>
      </c>
      <c r="G222" s="8">
        <f t="shared" si="24"/>
        <v>14.972818458479892</v>
      </c>
      <c r="H222" s="7">
        <f t="shared" si="25"/>
        <v>0.11680333714043281</v>
      </c>
      <c r="I222" s="10"/>
      <c r="J222" s="9"/>
      <c r="K222" s="8">
        <f t="shared" si="26"/>
        <v>2.5682116357389853</v>
      </c>
      <c r="L222" s="7">
        <f t="shared" si="27"/>
        <v>5.1388743808155795</v>
      </c>
    </row>
    <row r="223" spans="1:12">
      <c r="A223" s="7">
        <v>2.5</v>
      </c>
      <c r="B223" s="7">
        <v>32.799999999999997</v>
      </c>
      <c r="D223" s="52">
        <f t="shared" si="21"/>
        <v>39.275861079101908</v>
      </c>
      <c r="E223" s="7">
        <f t="shared" si="22"/>
        <v>-6.4758610791019109</v>
      </c>
      <c r="F223" s="7">
        <f t="shared" si="23"/>
        <v>6.4758610791019109</v>
      </c>
      <c r="G223" s="8">
        <f t="shared" si="24"/>
        <v>41.936776715826966</v>
      </c>
      <c r="H223" s="7">
        <f t="shared" si="25"/>
        <v>0.1974347889970095</v>
      </c>
      <c r="I223" s="10"/>
      <c r="J223" s="9"/>
      <c r="K223" s="8">
        <f t="shared" si="26"/>
        <v>3.7274637961063313</v>
      </c>
      <c r="L223" s="7">
        <f t="shared" si="27"/>
        <v>20.658815745803849</v>
      </c>
    </row>
    <row r="224" spans="1:12">
      <c r="A224" s="7">
        <v>2.5</v>
      </c>
      <c r="B224" s="7">
        <v>37.6</v>
      </c>
      <c r="D224" s="52">
        <f t="shared" si="21"/>
        <v>39.275861079101908</v>
      </c>
      <c r="E224" s="7">
        <f t="shared" si="22"/>
        <v>-1.6758610791019066</v>
      </c>
      <c r="F224" s="7">
        <f t="shared" si="23"/>
        <v>1.6758610791019066</v>
      </c>
      <c r="G224" s="8">
        <f t="shared" si="24"/>
        <v>2.8085103564486071</v>
      </c>
      <c r="H224" s="7">
        <f t="shared" si="25"/>
        <v>4.4570773380369855E-2</v>
      </c>
      <c r="I224" s="10"/>
      <c r="J224" s="9"/>
      <c r="K224" s="8">
        <f t="shared" si="26"/>
        <v>8.2330886124331961</v>
      </c>
      <c r="L224" s="7">
        <f t="shared" si="27"/>
        <v>20.658815745803849</v>
      </c>
    </row>
    <row r="225" spans="1:12">
      <c r="A225" s="7">
        <v>2.5</v>
      </c>
      <c r="B225" s="7">
        <v>37.037799999999997</v>
      </c>
      <c r="D225" s="52">
        <f t="shared" si="21"/>
        <v>39.275861079101908</v>
      </c>
      <c r="E225" s="7">
        <f t="shared" si="22"/>
        <v>-2.2380610791019109</v>
      </c>
      <c r="F225" s="7">
        <f t="shared" si="23"/>
        <v>2.2380610791019109</v>
      </c>
      <c r="G225" s="8">
        <f t="shared" si="24"/>
        <v>5.00891739379081</v>
      </c>
      <c r="H225" s="7">
        <f t="shared" si="25"/>
        <v>6.042640435182195E-2</v>
      </c>
      <c r="I225" s="10"/>
      <c r="J225" s="9"/>
      <c r="K225" s="8">
        <f t="shared" si="26"/>
        <v>5.3228761458208904</v>
      </c>
      <c r="L225" s="7">
        <f t="shared" si="27"/>
        <v>20.658815745803849</v>
      </c>
    </row>
    <row r="226" spans="1:12">
      <c r="A226" s="7">
        <v>2.5</v>
      </c>
      <c r="B226" s="7">
        <v>40.107700000000001</v>
      </c>
      <c r="D226" s="52">
        <f t="shared" si="21"/>
        <v>39.275861079101908</v>
      </c>
      <c r="E226" s="7">
        <f t="shared" si="22"/>
        <v>0.83183892089809319</v>
      </c>
      <c r="F226" s="7">
        <f t="shared" si="23"/>
        <v>0.83183892089809319</v>
      </c>
      <c r="G226" s="8">
        <f t="shared" si="24"/>
        <v>0.69195599032090416</v>
      </c>
      <c r="H226" s="7">
        <f t="shared" si="25"/>
        <v>2.0740130221830053E-2</v>
      </c>
      <c r="I226" s="10"/>
      <c r="J226" s="9"/>
      <c r="K226" s="8">
        <f t="shared" si="26"/>
        <v>28.912515267412967</v>
      </c>
      <c r="L226" s="7">
        <f t="shared" si="27"/>
        <v>20.658815745803849</v>
      </c>
    </row>
    <row r="227" spans="1:12">
      <c r="A227" s="7">
        <v>2.5</v>
      </c>
      <c r="B227" s="7">
        <v>37.137</v>
      </c>
      <c r="D227" s="52">
        <f t="shared" si="21"/>
        <v>39.275861079101908</v>
      </c>
      <c r="E227" s="7">
        <f t="shared" si="22"/>
        <v>-2.1388610791019076</v>
      </c>
      <c r="F227" s="7">
        <f t="shared" si="23"/>
        <v>2.1388610791019076</v>
      </c>
      <c r="G227" s="8">
        <f t="shared" si="24"/>
        <v>4.5747267156969764</v>
      </c>
      <c r="H227" s="7">
        <f t="shared" si="25"/>
        <v>5.7593803460212388E-2</v>
      </c>
      <c r="I227" s="10"/>
      <c r="J227" s="9"/>
      <c r="K227" s="8">
        <f t="shared" si="26"/>
        <v>5.7904525520249939</v>
      </c>
      <c r="L227" s="7">
        <f t="shared" si="27"/>
        <v>20.658815745803849</v>
      </c>
    </row>
    <row r="228" spans="1:12">
      <c r="A228" s="7">
        <v>3.6</v>
      </c>
      <c r="B228" s="7">
        <v>34.259599999999999</v>
      </c>
      <c r="D228" s="52">
        <f t="shared" si="21"/>
        <v>34.263626497946049</v>
      </c>
      <c r="E228" s="7">
        <f t="shared" si="22"/>
        <v>-4.0264979460502559E-3</v>
      </c>
      <c r="F228" s="7">
        <f t="shared" si="23"/>
        <v>4.0264979460502559E-3</v>
      </c>
      <c r="G228" s="8">
        <f t="shared" si="24"/>
        <v>1.621268570954693E-5</v>
      </c>
      <c r="H228" s="7">
        <f t="shared" si="25"/>
        <v>1.1752904137964997E-4</v>
      </c>
      <c r="I228" s="10"/>
      <c r="J228" s="9"/>
      <c r="K228" s="8">
        <f t="shared" si="26"/>
        <v>0.22190136900438276</v>
      </c>
      <c r="L228" s="7">
        <f t="shared" si="27"/>
        <v>0.21812410457578874</v>
      </c>
    </row>
    <row r="229" spans="1:12">
      <c r="A229" s="7">
        <v>3.6</v>
      </c>
      <c r="B229" s="7">
        <v>29.5</v>
      </c>
      <c r="D229" s="52">
        <f t="shared" si="21"/>
        <v>34.263626497946049</v>
      </c>
      <c r="E229" s="7">
        <f t="shared" si="22"/>
        <v>-4.7636264979460492</v>
      </c>
      <c r="F229" s="7">
        <f t="shared" si="23"/>
        <v>4.7636264979460492</v>
      </c>
      <c r="G229" s="8">
        <f t="shared" si="24"/>
        <v>22.692137411933739</v>
      </c>
      <c r="H229" s="7">
        <f t="shared" si="25"/>
        <v>0.16147886433715422</v>
      </c>
      <c r="I229" s="10"/>
      <c r="J229" s="9"/>
      <c r="K229" s="8">
        <f t="shared" si="26"/>
        <v>27.3598467348816</v>
      </c>
      <c r="L229" s="7">
        <f t="shared" si="27"/>
        <v>0.21812410457578874</v>
      </c>
    </row>
    <row r="230" spans="1:12">
      <c r="A230" s="7">
        <v>3</v>
      </c>
      <c r="B230" s="7">
        <v>33.200000000000003</v>
      </c>
      <c r="D230" s="52">
        <f t="shared" si="21"/>
        <v>36.997572633121976</v>
      </c>
      <c r="E230" s="7">
        <f t="shared" si="22"/>
        <v>-3.7975726331219732</v>
      </c>
      <c r="F230" s="7">
        <f t="shared" si="23"/>
        <v>3.7975726331219732</v>
      </c>
      <c r="G230" s="8">
        <f t="shared" si="24"/>
        <v>14.421557903836957</v>
      </c>
      <c r="H230" s="7">
        <f t="shared" si="25"/>
        <v>0.11438471786511967</v>
      </c>
      <c r="I230" s="10"/>
      <c r="J230" s="9"/>
      <c r="K230" s="8">
        <f t="shared" si="26"/>
        <v>2.3429325308002169</v>
      </c>
      <c r="L230" s="7">
        <f t="shared" si="27"/>
        <v>5.1388743808155795</v>
      </c>
    </row>
    <row r="231" spans="1:12">
      <c r="A231" s="7">
        <v>1.8</v>
      </c>
      <c r="B231" s="7">
        <v>49.1</v>
      </c>
      <c r="D231" s="52">
        <f t="shared" si="21"/>
        <v>42.465464903473816</v>
      </c>
      <c r="E231" s="7">
        <f t="shared" si="22"/>
        <v>6.6345350965261858</v>
      </c>
      <c r="F231" s="7">
        <f t="shared" si="23"/>
        <v>6.6345350965261858</v>
      </c>
      <c r="G231" s="8">
        <f t="shared" si="24"/>
        <v>44.017055947037726</v>
      </c>
      <c r="H231" s="7">
        <f t="shared" si="25"/>
        <v>0.13512291438953536</v>
      </c>
      <c r="I231" s="10"/>
      <c r="J231" s="9"/>
      <c r="K231" s="8">
        <f t="shared" si="26"/>
        <v>206.47781473488303</v>
      </c>
      <c r="L231" s="7">
        <f t="shared" si="27"/>
        <v>59.827143753555269</v>
      </c>
    </row>
    <row r="232" spans="1:12">
      <c r="A232" s="7">
        <v>1.8</v>
      </c>
      <c r="B232" s="7">
        <v>50.8</v>
      </c>
      <c r="D232" s="52">
        <f t="shared" si="21"/>
        <v>42.465464903473816</v>
      </c>
      <c r="E232" s="7">
        <f t="shared" si="22"/>
        <v>8.3345350965261815</v>
      </c>
      <c r="F232" s="7">
        <f t="shared" si="23"/>
        <v>8.3345350965261815</v>
      </c>
      <c r="G232" s="8">
        <f t="shared" si="24"/>
        <v>69.46447527522669</v>
      </c>
      <c r="H232" s="7">
        <f t="shared" si="25"/>
        <v>0.16406565150642091</v>
      </c>
      <c r="I232" s="10"/>
      <c r="J232" s="9"/>
      <c r="K232" s="8">
        <f t="shared" si="26"/>
        <v>258.22355685733197</v>
      </c>
      <c r="L232" s="7">
        <f t="shared" si="27"/>
        <v>59.827143753555269</v>
      </c>
    </row>
    <row r="233" spans="1:12">
      <c r="A233" s="7">
        <v>4.5999999999999996</v>
      </c>
      <c r="B233" s="7">
        <v>21.9</v>
      </c>
      <c r="D233" s="52">
        <f t="shared" si="21"/>
        <v>29.707049605986185</v>
      </c>
      <c r="E233" s="7">
        <f t="shared" si="22"/>
        <v>-7.8070496059861867</v>
      </c>
      <c r="F233" s="7">
        <f t="shared" si="23"/>
        <v>7.8070496059861867</v>
      </c>
      <c r="G233" s="8">
        <f t="shared" si="24"/>
        <v>60.950023550329071</v>
      </c>
      <c r="H233" s="7">
        <f t="shared" si="25"/>
        <v>0.35648628337836469</v>
      </c>
      <c r="I233" s="10"/>
      <c r="J233" s="9"/>
      <c r="K233" s="8">
        <f t="shared" si="26"/>
        <v>164.62594077569742</v>
      </c>
      <c r="L233" s="7">
        <f t="shared" si="27"/>
        <v>25.236702399924383</v>
      </c>
    </row>
    <row r="234" spans="1:12">
      <c r="A234" s="7">
        <v>4.5999999999999996</v>
      </c>
      <c r="B234" s="7">
        <v>24.3</v>
      </c>
      <c r="D234" s="52">
        <f t="shared" si="21"/>
        <v>29.707049605986185</v>
      </c>
      <c r="E234" s="7">
        <f t="shared" si="22"/>
        <v>-5.4070496059861846</v>
      </c>
      <c r="F234" s="7">
        <f t="shared" si="23"/>
        <v>5.4070496059861846</v>
      </c>
      <c r="G234" s="8">
        <f t="shared" si="24"/>
        <v>29.236185441595353</v>
      </c>
      <c r="H234" s="7">
        <f t="shared" si="25"/>
        <v>0.22251232946445204</v>
      </c>
      <c r="I234" s="10"/>
      <c r="J234" s="9"/>
      <c r="K234" s="8">
        <f t="shared" si="26"/>
        <v>108.79875318386081</v>
      </c>
      <c r="L234" s="7">
        <f t="shared" si="27"/>
        <v>25.236702399924383</v>
      </c>
    </row>
    <row r="235" spans="1:12">
      <c r="A235" s="7">
        <v>2</v>
      </c>
      <c r="B235" s="7">
        <v>48.7</v>
      </c>
      <c r="D235" s="52">
        <f t="shared" si="21"/>
        <v>41.55414952508184</v>
      </c>
      <c r="E235" s="7">
        <f t="shared" si="22"/>
        <v>7.1458504749181628</v>
      </c>
      <c r="F235" s="7">
        <f t="shared" si="23"/>
        <v>7.1458504749181628</v>
      </c>
      <c r="G235" s="8">
        <f t="shared" si="24"/>
        <v>51.063179009888131</v>
      </c>
      <c r="H235" s="7">
        <f t="shared" si="25"/>
        <v>0.14673204260612244</v>
      </c>
      <c r="I235" s="10"/>
      <c r="J235" s="9"/>
      <c r="K235" s="8">
        <f t="shared" si="26"/>
        <v>195.14234600018915</v>
      </c>
      <c r="L235" s="7">
        <f t="shared" si="27"/>
        <v>46.559953596963425</v>
      </c>
    </row>
    <row r="236" spans="1:12">
      <c r="A236" s="7">
        <v>2</v>
      </c>
      <c r="B236" s="7">
        <v>46.2</v>
      </c>
      <c r="D236" s="52">
        <f t="shared" si="21"/>
        <v>41.55414952508184</v>
      </c>
      <c r="E236" s="7">
        <f t="shared" si="22"/>
        <v>4.6458504749181628</v>
      </c>
      <c r="F236" s="7">
        <f t="shared" si="23"/>
        <v>4.6458504749181628</v>
      </c>
      <c r="G236" s="8">
        <f t="shared" si="24"/>
        <v>21.58392663529732</v>
      </c>
      <c r="H236" s="7">
        <f t="shared" si="25"/>
        <v>0.10055953408913772</v>
      </c>
      <c r="I236" s="10"/>
      <c r="J236" s="9"/>
      <c r="K236" s="8">
        <f t="shared" si="26"/>
        <v>131.54566640835222</v>
      </c>
      <c r="L236" s="7">
        <f t="shared" si="27"/>
        <v>46.559953596963425</v>
      </c>
    </row>
    <row r="237" spans="1:12">
      <c r="A237" s="7">
        <v>2.4</v>
      </c>
      <c r="B237" s="7">
        <v>43.431899999999999</v>
      </c>
      <c r="D237" s="52">
        <f t="shared" si="21"/>
        <v>39.731518768297896</v>
      </c>
      <c r="E237" s="7">
        <f t="shared" si="22"/>
        <v>3.700381231702103</v>
      </c>
      <c r="F237" s="7">
        <f t="shared" si="23"/>
        <v>3.700381231702103</v>
      </c>
      <c r="G237" s="8">
        <f t="shared" si="24"/>
        <v>13.692821259933172</v>
      </c>
      <c r="H237" s="7">
        <f t="shared" si="25"/>
        <v>8.5199616680414703E-2</v>
      </c>
      <c r="I237" s="10"/>
      <c r="J237" s="9"/>
      <c r="K237" s="8">
        <f t="shared" si="26"/>
        <v>75.711506507086639</v>
      </c>
      <c r="L237" s="7">
        <f t="shared" si="27"/>
        <v>25.008547597142076</v>
      </c>
    </row>
    <row r="238" spans="1:12">
      <c r="A238" s="7">
        <v>2.4</v>
      </c>
      <c r="B238" s="7">
        <v>44.8</v>
      </c>
      <c r="D238" s="52">
        <f t="shared" si="21"/>
        <v>39.731518768297896</v>
      </c>
      <c r="E238" s="7">
        <f t="shared" si="22"/>
        <v>5.0684812317021013</v>
      </c>
      <c r="F238" s="7">
        <f t="shared" si="23"/>
        <v>5.0684812317021013</v>
      </c>
      <c r="G238" s="8">
        <f t="shared" si="24"/>
        <v>25.689501996116451</v>
      </c>
      <c r="H238" s="7">
        <f t="shared" si="25"/>
        <v>0.11313574177906477</v>
      </c>
      <c r="I238" s="10"/>
      <c r="J238" s="9"/>
      <c r="K238" s="8">
        <f t="shared" si="26"/>
        <v>101.39152583692344</v>
      </c>
      <c r="L238" s="7">
        <f t="shared" si="27"/>
        <v>25.008547597142076</v>
      </c>
    </row>
    <row r="239" spans="1:12">
      <c r="A239" s="7">
        <v>2.4</v>
      </c>
      <c r="B239" s="7">
        <v>59.9</v>
      </c>
      <c r="D239" s="52">
        <f t="shared" si="21"/>
        <v>39.731518768297896</v>
      </c>
      <c r="E239" s="7">
        <f t="shared" si="22"/>
        <v>20.168481231702103</v>
      </c>
      <c r="F239" s="7">
        <f t="shared" si="23"/>
        <v>20.168481231702103</v>
      </c>
      <c r="G239" s="8">
        <f t="shared" si="24"/>
        <v>406.76763519351999</v>
      </c>
      <c r="H239" s="7">
        <f t="shared" si="25"/>
        <v>0.33670252473626217</v>
      </c>
      <c r="I239" s="10"/>
      <c r="J239" s="9"/>
      <c r="K239" s="8">
        <f t="shared" si="26"/>
        <v>633.4954705716184</v>
      </c>
      <c r="L239" s="7">
        <f t="shared" si="27"/>
        <v>25.008547597142076</v>
      </c>
    </row>
    <row r="240" spans="1:12">
      <c r="A240" s="7">
        <v>2</v>
      </c>
      <c r="B240" s="7">
        <v>51.787599999999998</v>
      </c>
      <c r="D240" s="52">
        <f t="shared" si="21"/>
        <v>41.55414952508184</v>
      </c>
      <c r="E240" s="7">
        <f t="shared" si="22"/>
        <v>10.233450474918158</v>
      </c>
      <c r="F240" s="7">
        <f t="shared" si="23"/>
        <v>10.233450474918158</v>
      </c>
      <c r="G240" s="8">
        <f t="shared" si="24"/>
        <v>104.72350862260267</v>
      </c>
      <c r="H240" s="7">
        <f t="shared" si="25"/>
        <v>0.19760426192598535</v>
      </c>
      <c r="I240" s="10"/>
      <c r="J240" s="9"/>
      <c r="K240" s="8">
        <f t="shared" si="26"/>
        <v>290.93906292329126</v>
      </c>
      <c r="L240" s="7">
        <f t="shared" si="27"/>
        <v>46.559953596963425</v>
      </c>
    </row>
    <row r="241" spans="1:16">
      <c r="A241" s="7">
        <v>3.5</v>
      </c>
      <c r="B241" s="7">
        <v>34.028799999999997</v>
      </c>
      <c r="D241" s="52">
        <f t="shared" si="21"/>
        <v>34.719284187142037</v>
      </c>
      <c r="E241" s="7">
        <f t="shared" si="22"/>
        <v>-0.69048418714204018</v>
      </c>
      <c r="F241" s="7">
        <f t="shared" si="23"/>
        <v>0.69048418714204018</v>
      </c>
      <c r="G241" s="8">
        <f t="shared" si="24"/>
        <v>0.47676841269320397</v>
      </c>
      <c r="H241" s="7">
        <f t="shared" si="25"/>
        <v>2.0291170630232044E-2</v>
      </c>
      <c r="I241" s="10"/>
      <c r="J241" s="9"/>
      <c r="K241" s="8">
        <f t="shared" si="26"/>
        <v>0.49261318908600271</v>
      </c>
      <c r="L241" s="7">
        <f t="shared" si="27"/>
        <v>1.2950199861675504E-4</v>
      </c>
    </row>
    <row r="242" spans="1:16">
      <c r="A242" s="7">
        <v>2</v>
      </c>
      <c r="B242" s="7">
        <v>39.444699999999997</v>
      </c>
      <c r="D242" s="52">
        <f t="shared" si="21"/>
        <v>41.55414952508184</v>
      </c>
      <c r="E242" s="7">
        <f t="shared" si="22"/>
        <v>-2.1094495250818426</v>
      </c>
      <c r="F242" s="7">
        <f t="shared" si="23"/>
        <v>2.1094495250818426</v>
      </c>
      <c r="G242" s="8">
        <f t="shared" si="24"/>
        <v>4.4497772988680113</v>
      </c>
      <c r="H242" s="7">
        <f t="shared" si="25"/>
        <v>5.3478655562897999E-2</v>
      </c>
      <c r="I242" s="10"/>
      <c r="J242" s="9"/>
      <c r="K242" s="8">
        <f t="shared" si="26"/>
        <v>22.222134639657781</v>
      </c>
      <c r="L242" s="7">
        <f t="shared" si="27"/>
        <v>46.559953596963425</v>
      </c>
    </row>
    <row r="243" spans="1:16">
      <c r="A243" s="7">
        <v>2</v>
      </c>
      <c r="B243" s="7">
        <v>46.9</v>
      </c>
      <c r="D243" s="52">
        <f t="shared" si="21"/>
        <v>41.55414952508184</v>
      </c>
      <c r="E243" s="7">
        <f t="shared" si="22"/>
        <v>5.3458504749181586</v>
      </c>
      <c r="F243" s="7">
        <f t="shared" si="23"/>
        <v>5.3458504749181586</v>
      </c>
      <c r="G243" s="8">
        <f t="shared" si="24"/>
        <v>28.578117300182701</v>
      </c>
      <c r="H243" s="7">
        <f t="shared" si="25"/>
        <v>0.1139840186549714</v>
      </c>
      <c r="I243" s="10"/>
      <c r="J243" s="9"/>
      <c r="K243" s="8">
        <f t="shared" si="26"/>
        <v>148.09273669406645</v>
      </c>
      <c r="L243" s="7">
        <f t="shared" si="27"/>
        <v>46.559953596963425</v>
      </c>
    </row>
    <row r="244" spans="1:16">
      <c r="A244" s="7">
        <v>2.8</v>
      </c>
      <c r="B244" s="7">
        <v>30.3</v>
      </c>
      <c r="D244" s="52">
        <f t="shared" si="21"/>
        <v>37.908888011513945</v>
      </c>
      <c r="E244" s="7">
        <f t="shared" si="22"/>
        <v>-7.6088880115139439</v>
      </c>
      <c r="F244" s="7">
        <f t="shared" si="23"/>
        <v>7.6088880115139439</v>
      </c>
      <c r="G244" s="8">
        <f t="shared" si="24"/>
        <v>57.895176771760617</v>
      </c>
      <c r="H244" s="7">
        <f t="shared" si="25"/>
        <v>0.25111841622158232</v>
      </c>
      <c r="I244" s="10"/>
      <c r="J244" s="9"/>
      <c r="K244" s="8">
        <f t="shared" si="26"/>
        <v>19.630784204269403</v>
      </c>
      <c r="L244" s="7">
        <f t="shared" si="27"/>
        <v>10.101107348470304</v>
      </c>
    </row>
    <row r="245" spans="1:16">
      <c r="A245" s="7">
        <v>3</v>
      </c>
      <c r="B245" s="7">
        <v>31.302499999999998</v>
      </c>
      <c r="D245" s="52">
        <f t="shared" si="21"/>
        <v>36.997572633121976</v>
      </c>
      <c r="E245" s="7">
        <f t="shared" si="22"/>
        <v>-5.6950726331219776</v>
      </c>
      <c r="F245" s="7">
        <f t="shared" si="23"/>
        <v>5.6950726331219776</v>
      </c>
      <c r="G245" s="8">
        <f t="shared" si="24"/>
        <v>32.433852296534894</v>
      </c>
      <c r="H245" s="7">
        <f t="shared" si="25"/>
        <v>0.1819366706532059</v>
      </c>
      <c r="I245" s="10"/>
      <c r="J245" s="9"/>
      <c r="K245" s="8">
        <f t="shared" si="26"/>
        <v>11.752308970596022</v>
      </c>
      <c r="L245" s="7">
        <f t="shared" si="27"/>
        <v>5.1388743808155795</v>
      </c>
    </row>
    <row r="246" spans="1:16">
      <c r="A246" s="7">
        <v>3</v>
      </c>
      <c r="B246" s="7">
        <v>34.4</v>
      </c>
      <c r="D246" s="52">
        <f t="shared" si="21"/>
        <v>36.997572633121976</v>
      </c>
      <c r="E246" s="7">
        <f t="shared" si="22"/>
        <v>-2.5975726331219775</v>
      </c>
      <c r="F246" s="7">
        <f t="shared" si="23"/>
        <v>2.5975726331219775</v>
      </c>
      <c r="G246" s="8">
        <f t="shared" si="24"/>
        <v>6.7473835843442433</v>
      </c>
      <c r="H246" s="7">
        <f t="shared" si="25"/>
        <v>7.5510832358197028E-2</v>
      </c>
      <c r="I246" s="10"/>
      <c r="J246" s="9"/>
      <c r="K246" s="8">
        <f t="shared" si="26"/>
        <v>0.10933873488194358</v>
      </c>
      <c r="L246" s="7">
        <f t="shared" si="27"/>
        <v>5.1388743808155795</v>
      </c>
    </row>
    <row r="247" spans="1:16">
      <c r="A247" s="7">
        <v>2.4</v>
      </c>
      <c r="B247" s="7">
        <v>56.3</v>
      </c>
      <c r="D247" s="52">
        <f t="shared" si="21"/>
        <v>39.731518768297896</v>
      </c>
      <c r="E247" s="7">
        <f t="shared" si="22"/>
        <v>16.568481231702101</v>
      </c>
      <c r="F247" s="7">
        <f t="shared" si="23"/>
        <v>16.568481231702101</v>
      </c>
      <c r="G247" s="8">
        <f t="shared" si="24"/>
        <v>274.5145703252648</v>
      </c>
      <c r="H247" s="7">
        <f t="shared" si="25"/>
        <v>0.2942891870639805</v>
      </c>
      <c r="I247" s="10"/>
      <c r="J247" s="9"/>
      <c r="K247" s="8">
        <f t="shared" si="26"/>
        <v>465.23625195937313</v>
      </c>
      <c r="L247" s="7">
        <f t="shared" si="27"/>
        <v>25.008547597142076</v>
      </c>
    </row>
    <row r="248" spans="1:16">
      <c r="A248" s="6">
        <f>SUM(A3:A247)</f>
        <v>890.69999999999982</v>
      </c>
      <c r="B248" s="6">
        <f>SUM(B3:B247)</f>
        <v>8509.012699999992</v>
      </c>
      <c r="C248" s="4"/>
      <c r="D248" s="53">
        <f>SUM(D3:D247)</f>
        <v>8354.9462730367359</v>
      </c>
      <c r="E248" s="3">
        <f>SUM(E3:E247)</f>
        <v>154.06642696326813</v>
      </c>
      <c r="F248" s="3">
        <f>SUM(F3:F247)</f>
        <v>946.07217972270485</v>
      </c>
      <c r="G248" s="3">
        <f>SUM(G3:G247)</f>
        <v>6510.8900465343459</v>
      </c>
      <c r="H248" s="3">
        <f>SUM(H3:H247)</f>
        <v>27.381755429832676</v>
      </c>
      <c r="I248" s="5"/>
      <c r="J248" s="4"/>
      <c r="K248" s="3">
        <f>SUM(K3:K247)</f>
        <v>20681.086991463908</v>
      </c>
      <c r="L248" s="3">
        <f>SUM(L3:L247)</f>
        <v>11064.016775603468</v>
      </c>
      <c r="M248"/>
      <c r="N248"/>
      <c r="O248"/>
      <c r="P248"/>
    </row>
    <row r="251" spans="1:16">
      <c r="A251" s="138"/>
      <c r="B251" s="138"/>
      <c r="C251" s="138"/>
      <c r="D251" s="138"/>
      <c r="E251" s="138"/>
      <c r="F251" s="138"/>
      <c r="G251" s="138"/>
      <c r="H251" s="138"/>
      <c r="I251" s="138"/>
      <c r="J251" s="138"/>
      <c r="K251" s="2"/>
      <c r="L251" s="2"/>
      <c r="M251" s="2"/>
    </row>
  </sheetData>
  <mergeCells count="5">
    <mergeCell ref="A251:J251"/>
    <mergeCell ref="O3:Q3"/>
    <mergeCell ref="O10:Q10"/>
    <mergeCell ref="O11:Q11"/>
    <mergeCell ref="O12:Q12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50"/>
  <sheetViews>
    <sheetView zoomScaleNormal="100" workbookViewId="0">
      <selection sqref="A1:H1"/>
    </sheetView>
  </sheetViews>
  <sheetFormatPr defaultRowHeight="15"/>
  <cols>
    <col min="1" max="1" width="12" customWidth="1"/>
    <col min="2" max="2" width="8.7109375" customWidth="1"/>
    <col min="3" max="3" width="8.5703125" customWidth="1"/>
    <col min="4" max="4" width="3.85546875" customWidth="1"/>
    <col min="5" max="5" width="10" customWidth="1"/>
    <col min="6" max="6" width="7.5703125" customWidth="1"/>
    <col min="7" max="7" width="8.5703125" customWidth="1"/>
    <col min="8" max="8" width="7.5703125" customWidth="1"/>
    <col min="9" max="9" width="8.5703125" customWidth="1"/>
    <col min="10" max="10" width="7.5703125" customWidth="1"/>
    <col min="11" max="11" width="8.5703125" customWidth="1"/>
    <col min="12" max="12" width="7.5703125" customWidth="1"/>
    <col min="17" max="17" width="10.5703125" customWidth="1"/>
  </cols>
  <sheetData>
    <row r="1" spans="1:23">
      <c r="A1" s="154" t="s">
        <v>37</v>
      </c>
      <c r="B1" s="154"/>
      <c r="C1" s="154"/>
      <c r="D1" s="154"/>
      <c r="E1" s="154"/>
      <c r="F1" s="154"/>
      <c r="G1" s="154"/>
      <c r="H1" s="154"/>
      <c r="I1" s="73"/>
      <c r="J1" s="73"/>
      <c r="K1" s="54"/>
      <c r="L1" s="54"/>
      <c r="M1" s="54"/>
      <c r="N1" s="54"/>
      <c r="O1" s="54"/>
      <c r="P1" s="54"/>
      <c r="Q1" s="54"/>
      <c r="R1" s="54"/>
    </row>
    <row r="2" spans="1:23">
      <c r="A2" s="55" t="s">
        <v>32</v>
      </c>
      <c r="B2" s="55" t="s">
        <v>21</v>
      </c>
      <c r="C2" s="55" t="s">
        <v>22</v>
      </c>
      <c r="D2" s="55" t="s">
        <v>33</v>
      </c>
      <c r="E2" s="56" t="s">
        <v>34</v>
      </c>
      <c r="F2" s="57" t="s">
        <v>76</v>
      </c>
      <c r="G2" s="57" t="s">
        <v>77</v>
      </c>
      <c r="H2" s="58" t="s">
        <v>80</v>
      </c>
      <c r="I2" s="58" t="s">
        <v>81</v>
      </c>
      <c r="J2" s="59" t="s">
        <v>82</v>
      </c>
      <c r="K2" s="59" t="s">
        <v>83</v>
      </c>
      <c r="R2" s="57" t="s">
        <v>76</v>
      </c>
      <c r="S2" s="57" t="s">
        <v>77</v>
      </c>
      <c r="T2" s="58" t="s">
        <v>80</v>
      </c>
      <c r="U2" s="58" t="s">
        <v>81</v>
      </c>
      <c r="V2" s="59" t="s">
        <v>82</v>
      </c>
      <c r="W2" s="59" t="s">
        <v>83</v>
      </c>
    </row>
    <row r="3" spans="1:23" ht="15.75">
      <c r="A3" s="11">
        <f t="shared" ref="A3:A66" ca="1" si="0">RAND()</f>
        <v>0.4494309625605003</v>
      </c>
      <c r="B3" s="60">
        <f>Data!I142</f>
        <v>3.7</v>
      </c>
      <c r="C3" s="60">
        <f>Data!J142</f>
        <v>28.567399999999999</v>
      </c>
      <c r="D3" s="61">
        <f t="array" ref="D3">MOD(ROW(), 3) + 1</f>
        <v>1</v>
      </c>
      <c r="E3" s="62">
        <v>1</v>
      </c>
      <c r="F3" s="63">
        <f t="array" ref="F3">IFERROR(INDEX($B$1:$B$247, SMALL(IF($D$1:$D$247=$E$3,ROW($D$1:$D$247)),ROW()-2),1),"")</f>
        <v>3.7</v>
      </c>
      <c r="G3" s="63">
        <f t="array" ref="G3">IFERROR(INDEX($C$1:$C$247, SMALL(IF($D$1:$D$247=$E$3,ROW($D$1:$D$247)),ROW()-2),1),"")</f>
        <v>28.567399999999999</v>
      </c>
      <c r="H3" s="64">
        <f t="array" ref="H3">IFERROR(INDEX($B$1:$B$247, SMALL(IF($D$1:$D$247=$E$4,ROW($D$1:$D$247)),ROW()-2),1),"")</f>
        <v>3.5</v>
      </c>
      <c r="I3" s="64">
        <f t="array" ref="I3">IFERROR(INDEX($C$1:$C$247, SMALL(IF($D$1:$D$247=$E$4,ROW($D$1:$D$247)),ROW()-2),1),"")</f>
        <v>34.9</v>
      </c>
      <c r="J3" s="65">
        <f t="array" ref="J3">IFERROR(INDEX($B$1:$B$247, SMALL(IF($D$1:$D$247=$E$5,ROW($D$1:$D$247)),ROW()-2),1),"")</f>
        <v>2.5</v>
      </c>
      <c r="K3" s="65">
        <f t="array" ref="K3">IFERROR(INDEX($C$1:$C$247, SMALL(IF($D$1:$D$247=$E$5,ROW($D$1:$D$247)),ROW()-2),1),"")</f>
        <v>51.6</v>
      </c>
      <c r="R3" s="63">
        <v>3.7</v>
      </c>
      <c r="S3" s="63">
        <v>28.567399999999999</v>
      </c>
      <c r="T3" s="64">
        <v>3.5</v>
      </c>
      <c r="U3" s="64">
        <v>34.9</v>
      </c>
      <c r="V3" s="65">
        <v>2.5</v>
      </c>
      <c r="W3" s="65">
        <v>51.6</v>
      </c>
    </row>
    <row r="4" spans="1:23" ht="15.75">
      <c r="A4" s="11">
        <f t="shared" ca="1" si="0"/>
        <v>0.90241677429754774</v>
      </c>
      <c r="B4" s="60">
        <f>Data!I214</f>
        <v>3.5</v>
      </c>
      <c r="C4" s="60">
        <f>Data!J214</f>
        <v>34.9</v>
      </c>
      <c r="D4" s="61">
        <f t="array" ref="D4">MOD(ROW(), 3) + 1</f>
        <v>2</v>
      </c>
      <c r="E4" s="66">
        <v>2</v>
      </c>
      <c r="F4" s="63">
        <f t="array" ref="F4">IFERROR(INDEX($B$1:$B$247, SMALL(IF($D$1:$D$247=$E$3,ROW($D$1:$D$247)),ROW()-2),1),"")</f>
        <v>2.7</v>
      </c>
      <c r="G4" s="63">
        <f t="array" ref="G4">IFERROR(INDEX($C$1:$C$247, SMALL(IF($D$1:$D$247=$E$3,ROW($D$1:$D$247)),ROW()-2),1),"")</f>
        <v>37</v>
      </c>
      <c r="H4" s="64">
        <f t="array" ref="H4">IFERROR(INDEX($B$1:$B$247, SMALL(IF($D$1:$D$247=$E$4,ROW($D$1:$D$247)),ROW()-2),1),"")</f>
        <v>2.5</v>
      </c>
      <c r="I4" s="64">
        <f t="array" ref="I4">IFERROR(INDEX($C$1:$C$247, SMALL(IF($D$1:$D$247=$E$4,ROW($D$1:$D$247)),ROW()-2),1),"")</f>
        <v>37.5899</v>
      </c>
      <c r="J4" s="65">
        <f t="array" ref="J4">IFERROR(INDEX($B$1:$B$247, SMALL(IF($D$1:$D$247=$E$5,ROW($D$1:$D$247)),ROW()-2),1),"")</f>
        <v>2.8</v>
      </c>
      <c r="K4" s="65">
        <f t="array" ref="K4">IFERROR(INDEX($C$1:$C$247, SMALL(IF($D$1:$D$247=$E$5,ROW($D$1:$D$247)),ROW()-2),1),"")</f>
        <v>30.3</v>
      </c>
      <c r="R4" s="63">
        <v>2.7</v>
      </c>
      <c r="S4" s="63">
        <v>37</v>
      </c>
      <c r="T4" s="64">
        <v>2.5</v>
      </c>
      <c r="U4" s="64">
        <v>37.5899</v>
      </c>
      <c r="V4" s="65">
        <v>2.8</v>
      </c>
      <c r="W4" s="65">
        <v>30.3</v>
      </c>
    </row>
    <row r="5" spans="1:23" ht="15.75">
      <c r="A5" s="11">
        <f t="shared" ca="1" si="0"/>
        <v>0.27618309758498638</v>
      </c>
      <c r="B5" s="60">
        <f>Data!I95</f>
        <v>2.5</v>
      </c>
      <c r="C5" s="60">
        <f>Data!J95</f>
        <v>51.6</v>
      </c>
      <c r="D5" s="61">
        <f t="array" ref="D5">MOD(ROW(), 3) + 1</f>
        <v>3</v>
      </c>
      <c r="E5" s="66">
        <v>3</v>
      </c>
      <c r="F5" s="63">
        <f t="array" ref="F5">IFERROR(INDEX($B$1:$B$247, SMALL(IF($D$1:$D$247=$E$3,ROW($D$1:$D$247)),ROW()-2),1),"")</f>
        <v>2.4</v>
      </c>
      <c r="G5" s="63">
        <f t="array" ref="G5">IFERROR(INDEX($C$1:$C$247, SMALL(IF($D$1:$D$247=$E$3,ROW($D$1:$D$247)),ROW()-2),1),"")</f>
        <v>42.5</v>
      </c>
      <c r="H5" s="64">
        <f t="array" ref="H5">IFERROR(INDEX($B$1:$B$247, SMALL(IF($D$1:$D$247=$E$4,ROW($D$1:$D$247)),ROW()-2),1),"")</f>
        <v>1.4</v>
      </c>
      <c r="I5" s="64">
        <f t="array" ref="I5">IFERROR(INDEX($C$1:$C$247, SMALL(IF($D$1:$D$247=$E$4,ROW($D$1:$D$247)),ROW()-2),1),"")</f>
        <v>50.4</v>
      </c>
      <c r="J5" s="65">
        <f t="array" ref="J5">IFERROR(INDEX($B$1:$B$247, SMALL(IF($D$1:$D$247=$E$5,ROW($D$1:$D$247)),ROW()-2),1),"")</f>
        <v>3</v>
      </c>
      <c r="K5" s="65">
        <f t="array" ref="K5">IFERROR(INDEX($C$1:$C$247, SMALL(IF($D$1:$D$247=$E$5,ROW($D$1:$D$247)),ROW()-2),1),"")</f>
        <v>39.700000000000003</v>
      </c>
      <c r="L5" s="151" t="s">
        <v>35</v>
      </c>
      <c r="M5" s="151"/>
      <c r="N5" s="151"/>
      <c r="O5" s="151"/>
      <c r="P5" s="151"/>
      <c r="Q5" s="151"/>
      <c r="R5" s="63">
        <v>2.4</v>
      </c>
      <c r="S5" s="63">
        <v>42.5</v>
      </c>
      <c r="T5" s="64">
        <v>1.4</v>
      </c>
      <c r="U5" s="64">
        <v>50.4</v>
      </c>
      <c r="V5" s="65">
        <v>3</v>
      </c>
      <c r="W5" s="65">
        <v>39.700000000000003</v>
      </c>
    </row>
    <row r="6" spans="1:23" ht="15.75">
      <c r="A6" s="11">
        <f t="shared" ca="1" si="0"/>
        <v>0.95840085885301451</v>
      </c>
      <c r="B6" s="60">
        <f>Data!I171</f>
        <v>2.7</v>
      </c>
      <c r="C6" s="60">
        <f>Data!J171</f>
        <v>37</v>
      </c>
      <c r="D6" s="61">
        <f t="array" ref="D6">MOD(ROW(), 3) + 1</f>
        <v>1</v>
      </c>
      <c r="E6" s="11"/>
      <c r="F6" s="63">
        <f t="array" ref="F6">IFERROR(INDEX($B$1:$B$247, SMALL(IF($D$1:$D$247=$E$3,ROW($D$1:$D$247)),ROW()-2),1),"")</f>
        <v>1.4</v>
      </c>
      <c r="G6" s="63">
        <f t="array" ref="G6">IFERROR(INDEX($C$1:$C$247, SMALL(IF($D$1:$D$247=$E$3,ROW($D$1:$D$247)),ROW()-2),1),"")</f>
        <v>52.749600000000001</v>
      </c>
      <c r="H6" s="64">
        <f t="array" ref="H6">IFERROR(INDEX($B$1:$B$247, SMALL(IF($D$1:$D$247=$E$4,ROW($D$1:$D$247)),ROW()-2),1),"")</f>
        <v>3.5</v>
      </c>
      <c r="I6" s="64">
        <f t="array" ref="I6">IFERROR(INDEX($C$1:$C$247, SMALL(IF($D$1:$D$247=$E$4,ROW($D$1:$D$247)),ROW()-2),1),"")</f>
        <v>35.799999999999997</v>
      </c>
      <c r="J6" s="65">
        <f t="array" ref="J6">IFERROR(INDEX($B$1:$B$247, SMALL(IF($D$1:$D$247=$E$5,ROW($D$1:$D$247)),ROW()-2),1),"")</f>
        <v>2</v>
      </c>
      <c r="K6" s="65">
        <f t="array" ref="K6">IFERROR(INDEX($C$1:$C$247, SMALL(IF($D$1:$D$247=$E$5,ROW($D$1:$D$247)),ROW()-2),1),"")</f>
        <v>41.2</v>
      </c>
      <c r="L6" s="151"/>
      <c r="M6" s="151"/>
      <c r="N6" s="151"/>
      <c r="O6" s="151"/>
      <c r="P6" s="151"/>
      <c r="Q6" s="151"/>
      <c r="R6" s="63">
        <v>1.4</v>
      </c>
      <c r="S6" s="63">
        <v>52.749600000000001</v>
      </c>
      <c r="T6" s="64">
        <v>3.5</v>
      </c>
      <c r="U6" s="64">
        <v>35.799999999999997</v>
      </c>
      <c r="V6" s="65">
        <v>2</v>
      </c>
      <c r="W6" s="65">
        <v>41.2</v>
      </c>
    </row>
    <row r="7" spans="1:23" ht="15.75">
      <c r="A7" s="11">
        <f t="shared" ca="1" si="0"/>
        <v>0.77531448930714553</v>
      </c>
      <c r="B7" s="60">
        <f>Data!I62</f>
        <v>2.5</v>
      </c>
      <c r="C7" s="60">
        <f>Data!J62</f>
        <v>37.5899</v>
      </c>
      <c r="D7" s="61">
        <f t="array" ref="D7">MOD(ROW(), 3) + 1</f>
        <v>2</v>
      </c>
      <c r="E7" s="11"/>
      <c r="F7" s="63">
        <f t="array" ref="F7">IFERROR(INDEX($B$1:$B$247, SMALL(IF($D$1:$D$247=$E$3,ROW($D$1:$D$247)),ROW()-2),1),"")</f>
        <v>5.4</v>
      </c>
      <c r="G7" s="63">
        <f t="array" ref="G7">IFERROR(INDEX($C$1:$C$247, SMALL(IF($D$1:$D$247=$E$3,ROW($D$1:$D$247)),ROW()-2),1),"")</f>
        <v>24.1556</v>
      </c>
      <c r="H7" s="64">
        <f t="array" ref="H7">IFERROR(INDEX($B$1:$B$247, SMALL(IF($D$1:$D$247=$E$4,ROW($D$1:$D$247)),ROW()-2),1),"")</f>
        <v>3</v>
      </c>
      <c r="I7" s="64">
        <f t="array" ref="I7">IFERROR(INDEX($C$1:$C$247, SMALL(IF($D$1:$D$247=$E$4,ROW($D$1:$D$247)),ROW()-2),1),"")</f>
        <v>36.473799999999997</v>
      </c>
      <c r="J7" s="65">
        <f t="array" ref="J7">IFERROR(INDEX($B$1:$B$247, SMALL(IF($D$1:$D$247=$E$5,ROW($D$1:$D$247)),ROW()-2),1),"")</f>
        <v>4.8</v>
      </c>
      <c r="K7" s="65">
        <f t="array" ref="K7">IFERROR(INDEX($C$1:$C$247, SMALL(IF($D$1:$D$247=$E$5,ROW($D$1:$D$247)),ROW()-2),1),"")</f>
        <v>22.8</v>
      </c>
      <c r="L7" s="151"/>
      <c r="M7" s="151"/>
      <c r="N7" s="151"/>
      <c r="O7" s="151"/>
      <c r="P7" s="151"/>
      <c r="Q7" s="151"/>
      <c r="R7" s="63">
        <v>5.4</v>
      </c>
      <c r="S7" s="63">
        <v>24.1556</v>
      </c>
      <c r="T7" s="64">
        <v>3</v>
      </c>
      <c r="U7" s="64">
        <v>36.473799999999997</v>
      </c>
      <c r="V7" s="65">
        <v>4.8</v>
      </c>
      <c r="W7" s="65">
        <v>22.8</v>
      </c>
    </row>
    <row r="8" spans="1:23" ht="15.75">
      <c r="A8" s="11">
        <f t="shared" ca="1" si="0"/>
        <v>3.0154573767760651E-2</v>
      </c>
      <c r="B8" s="60">
        <f>Data!I243</f>
        <v>2.8</v>
      </c>
      <c r="C8" s="60">
        <f>Data!J243</f>
        <v>30.3</v>
      </c>
      <c r="D8" s="61">
        <f t="array" ref="D8">MOD(ROW(), 3) + 1</f>
        <v>3</v>
      </c>
      <c r="E8" s="11"/>
      <c r="F8" s="63">
        <f t="array" ref="F8">IFERROR(INDEX($B$1:$B$247, SMALL(IF($D$1:$D$247=$E$3,ROW($D$1:$D$247)),ROW()-2),1),"")</f>
        <v>4.7</v>
      </c>
      <c r="G8" s="63">
        <f t="array" ref="G8">IFERROR(INDEX($C$1:$C$247, SMALL(IF($D$1:$D$247=$E$3,ROW($D$1:$D$247)),ROW()-2),1),"")</f>
        <v>25.6</v>
      </c>
      <c r="H8" s="64">
        <f t="array" ref="H8">IFERROR(INDEX($B$1:$B$247, SMALL(IF($D$1:$D$247=$E$4,ROW($D$1:$D$247)),ROW()-2),1),"")</f>
        <v>2.5</v>
      </c>
      <c r="I8" s="64">
        <f t="array" ref="I8">IFERROR(INDEX($C$1:$C$247, SMALL(IF($D$1:$D$247=$E$4,ROW($D$1:$D$247)),ROW()-2),1),"")</f>
        <v>37.5899</v>
      </c>
      <c r="J8" s="65">
        <f t="array" ref="J8">IFERROR(INDEX($B$1:$B$247, SMALL(IF($D$1:$D$247=$E$5,ROW($D$1:$D$247)),ROW()-2),1),"")</f>
        <v>4.2</v>
      </c>
      <c r="K8" s="65">
        <f t="array" ref="K8">IFERROR(INDEX($C$1:$C$247, SMALL(IF($D$1:$D$247=$E$5,ROW($D$1:$D$247)),ROW()-2),1),"")</f>
        <v>24.300999999999998</v>
      </c>
      <c r="L8" s="151"/>
      <c r="M8" s="151"/>
      <c r="N8" s="151"/>
      <c r="O8" s="151"/>
      <c r="P8" s="151"/>
      <c r="Q8" s="151"/>
      <c r="R8" s="63">
        <v>4.7</v>
      </c>
      <c r="S8" s="63">
        <v>25.6</v>
      </c>
      <c r="T8" s="64">
        <v>2.5</v>
      </c>
      <c r="U8" s="64">
        <v>37.5899</v>
      </c>
      <c r="V8" s="65">
        <v>4.2</v>
      </c>
      <c r="W8" s="65">
        <v>24.300999999999998</v>
      </c>
    </row>
    <row r="9" spans="1:23" ht="15.75">
      <c r="A9" s="11">
        <f t="shared" ca="1" si="0"/>
        <v>0.59272415963784364</v>
      </c>
      <c r="B9" s="60">
        <f>Data!I83</f>
        <v>2.4</v>
      </c>
      <c r="C9" s="60">
        <f>Data!J83</f>
        <v>42.5</v>
      </c>
      <c r="D9" s="61">
        <f t="array" ref="D9">MOD(ROW(), 3) + 1</f>
        <v>1</v>
      </c>
      <c r="E9" s="11"/>
      <c r="F9" s="63">
        <f t="array" ref="F9">IFERROR(INDEX($B$1:$B$247, SMALL(IF($D$1:$D$247=$E$3,ROW($D$1:$D$247)),ROW()-2),1),"")</f>
        <v>3</v>
      </c>
      <c r="G9" s="63">
        <f t="array" ref="G9">IFERROR(INDEX($C$1:$C$247, SMALL(IF($D$1:$D$247=$E$3,ROW($D$1:$D$247)),ROW()-2),1),"")</f>
        <v>35.496600000000001</v>
      </c>
      <c r="H9" s="64">
        <f t="array" ref="H9">IFERROR(INDEX($B$1:$B$247, SMALL(IF($D$1:$D$247=$E$4,ROW($D$1:$D$247)),ROW()-2),1),"")</f>
        <v>1.5</v>
      </c>
      <c r="I9" s="64">
        <f t="array" ref="I9">IFERROR(INDEX($C$1:$C$247, SMALL(IF($D$1:$D$247=$E$4,ROW($D$1:$D$247)),ROW()-2),1),"")</f>
        <v>46.5</v>
      </c>
      <c r="J9" s="65">
        <f t="array" ref="J9">IFERROR(INDEX($B$1:$B$247, SMALL(IF($D$1:$D$247=$E$5,ROW($D$1:$D$247)),ROW()-2),1),"")</f>
        <v>4.4000000000000004</v>
      </c>
      <c r="K9" s="65">
        <f t="array" ref="K9">IFERROR(INDEX($C$1:$C$247, SMALL(IF($D$1:$D$247=$E$5,ROW($D$1:$D$247)),ROW()-2),1),"")</f>
        <v>29.837800000000001</v>
      </c>
      <c r="L9" s="151"/>
      <c r="M9" s="151"/>
      <c r="N9" s="151"/>
      <c r="O9" s="151"/>
      <c r="P9" s="151"/>
      <c r="Q9" s="151"/>
      <c r="R9" s="63">
        <v>3</v>
      </c>
      <c r="S9" s="63">
        <v>35.496600000000001</v>
      </c>
      <c r="T9" s="64">
        <v>1.5</v>
      </c>
      <c r="U9" s="64">
        <v>46.5</v>
      </c>
      <c r="V9" s="65">
        <v>4.4000000000000004</v>
      </c>
      <c r="W9" s="65">
        <v>29.837800000000001</v>
      </c>
    </row>
    <row r="10" spans="1:23" ht="15.75">
      <c r="A10" s="11">
        <f t="shared" ca="1" si="0"/>
        <v>0.18890097310157505</v>
      </c>
      <c r="B10" s="60">
        <f>Data!I42</f>
        <v>1.4</v>
      </c>
      <c r="C10" s="60">
        <f>Data!J42</f>
        <v>50.4</v>
      </c>
      <c r="D10" s="61">
        <f t="array" ref="D10">MOD(ROW(), 3) + 1</f>
        <v>2</v>
      </c>
      <c r="E10" s="11"/>
      <c r="F10" s="63">
        <f t="array" ref="F10">IFERROR(INDEX($B$1:$B$247, SMALL(IF($D$1:$D$247=$E$3,ROW($D$1:$D$247)),ROW()-2),1),"")</f>
        <v>3</v>
      </c>
      <c r="G10" s="63">
        <f t="array" ref="G10">IFERROR(INDEX($C$1:$C$247, SMALL(IF($D$1:$D$247=$E$3,ROW($D$1:$D$247)),ROW()-2),1),"")</f>
        <v>36.920200000000001</v>
      </c>
      <c r="H10" s="64">
        <f t="array" ref="H10">IFERROR(INDEX($B$1:$B$247, SMALL(IF($D$1:$D$247=$E$4,ROW($D$1:$D$247)),ROW()-2),1),"")</f>
        <v>3</v>
      </c>
      <c r="I10" s="64">
        <f t="array" ref="I10">IFERROR(INDEX($C$1:$C$247, SMALL(IF($D$1:$D$247=$E$4,ROW($D$1:$D$247)),ROW()-2),1),"")</f>
        <v>35.890999999999998</v>
      </c>
      <c r="J10" s="65">
        <f t="array" ref="J10">IFERROR(INDEX($B$1:$B$247, SMALL(IF($D$1:$D$247=$E$5,ROW($D$1:$D$247)),ROW()-2),1),"")</f>
        <v>3.6</v>
      </c>
      <c r="K10" s="65">
        <f t="array" ref="K10">IFERROR(INDEX($C$1:$C$247, SMALL(IF($D$1:$D$247=$E$5,ROW($D$1:$D$247)),ROW()-2),1),"")</f>
        <v>34.259599999999999</v>
      </c>
      <c r="L10" s="151"/>
      <c r="M10" s="151"/>
      <c r="N10" s="151"/>
      <c r="O10" s="151"/>
      <c r="P10" s="151"/>
      <c r="Q10" s="151"/>
      <c r="R10" s="63">
        <v>3</v>
      </c>
      <c r="S10" s="63">
        <v>36.920200000000001</v>
      </c>
      <c r="T10" s="64">
        <v>3</v>
      </c>
      <c r="U10" s="64">
        <v>35.890999999999998</v>
      </c>
      <c r="V10" s="65">
        <v>3.6</v>
      </c>
      <c r="W10" s="65">
        <v>34.259599999999999</v>
      </c>
    </row>
    <row r="11" spans="1:23" ht="15.75">
      <c r="A11" s="11">
        <f t="shared" ca="1" si="0"/>
        <v>0.13401073597797997</v>
      </c>
      <c r="B11" s="60">
        <f>Data!I87</f>
        <v>3</v>
      </c>
      <c r="C11" s="60">
        <f>Data!J87</f>
        <v>39.700000000000003</v>
      </c>
      <c r="D11" s="61">
        <f t="array" ref="D11">MOD(ROW(), 3) + 1</f>
        <v>3</v>
      </c>
      <c r="E11" s="11"/>
      <c r="F11" s="63">
        <f t="array" ref="F11">IFERROR(INDEX($B$1:$B$247, SMALL(IF($D$1:$D$247=$E$3,ROW($D$1:$D$247)),ROW()-2),1),"")</f>
        <v>6.3</v>
      </c>
      <c r="G11" s="63">
        <f t="array" ref="G11">IFERROR(INDEX($C$1:$C$247, SMALL(IF($D$1:$D$247=$E$3,ROW($D$1:$D$247)),ROW()-2),1),"")</f>
        <v>26</v>
      </c>
      <c r="H11" s="64">
        <f t="array" ref="H11">IFERROR(INDEX($B$1:$B$247, SMALL(IF($D$1:$D$247=$E$4,ROW($D$1:$D$247)),ROW()-2),1),"")</f>
        <v>1.6</v>
      </c>
      <c r="I11" s="64">
        <f t="array" ref="I11">IFERROR(INDEX($C$1:$C$247, SMALL(IF($D$1:$D$247=$E$4,ROW($D$1:$D$247)),ROW()-2),1),"")</f>
        <v>49.949399999999997</v>
      </c>
      <c r="J11" s="65">
        <f t="array" ref="J11">IFERROR(INDEX($B$1:$B$247, SMALL(IF($D$1:$D$247=$E$5,ROW($D$1:$D$247)),ROW()-2),1),"")</f>
        <v>2.5</v>
      </c>
      <c r="K11" s="65">
        <f t="array" ref="K11">IFERROR(INDEX($C$1:$C$247, SMALL(IF($D$1:$D$247=$E$5,ROW($D$1:$D$247)),ROW()-2),1),"")</f>
        <v>31.366900000000001</v>
      </c>
      <c r="L11" s="151"/>
      <c r="M11" s="151"/>
      <c r="N11" s="151"/>
      <c r="O11" s="151"/>
      <c r="P11" s="151"/>
      <c r="Q11" s="151"/>
      <c r="R11" s="63">
        <v>6.3</v>
      </c>
      <c r="S11" s="63">
        <v>26</v>
      </c>
      <c r="T11" s="64">
        <v>1.6</v>
      </c>
      <c r="U11" s="64">
        <v>49.949399999999997</v>
      </c>
      <c r="V11" s="65">
        <v>2.5</v>
      </c>
      <c r="W11" s="65">
        <v>31.366900000000001</v>
      </c>
    </row>
    <row r="12" spans="1:23" ht="15.75">
      <c r="A12" s="11">
        <f t="shared" ca="1" si="0"/>
        <v>0.19968088581527665</v>
      </c>
      <c r="B12" s="60">
        <f>Data!I45</f>
        <v>1.4</v>
      </c>
      <c r="C12" s="60">
        <f>Data!J45</f>
        <v>52.749600000000001</v>
      </c>
      <c r="D12" s="61">
        <f t="array" ref="D12">MOD(ROW(), 3) + 1</f>
        <v>1</v>
      </c>
      <c r="E12" s="11"/>
      <c r="F12" s="63">
        <f t="array" ref="F12">IFERROR(INDEX($B$1:$B$247, SMALL(IF($D$1:$D$247=$E$3,ROW($D$1:$D$247)),ROW()-2),1),"")</f>
        <v>4.4000000000000004</v>
      </c>
      <c r="G12" s="63">
        <f t="array" ref="G12">IFERROR(INDEX($C$1:$C$247, SMALL(IF($D$1:$D$247=$E$3,ROW($D$1:$D$247)),ROW()-2),1),"")</f>
        <v>33.603200000000001</v>
      </c>
      <c r="H12" s="64">
        <f t="array" ref="H12">IFERROR(INDEX($B$1:$B$247, SMALL(IF($D$1:$D$247=$E$4,ROW($D$1:$D$247)),ROW()-2),1),"")</f>
        <v>4.4000000000000004</v>
      </c>
      <c r="I12" s="64">
        <f t="array" ref="I12">IFERROR(INDEX($C$1:$C$247, SMALL(IF($D$1:$D$247=$E$4,ROW($D$1:$D$247)),ROW()-2),1),"")</f>
        <v>28.1647</v>
      </c>
      <c r="J12" s="65">
        <f t="array" ref="J12">IFERROR(INDEX($B$1:$B$247, SMALL(IF($D$1:$D$247=$E$5,ROW($D$1:$D$247)),ROW()-2),1),"")</f>
        <v>3.6</v>
      </c>
      <c r="K12" s="65">
        <f t="array" ref="K12">IFERROR(INDEX($C$1:$C$247, SMALL(IF($D$1:$D$247=$E$5,ROW($D$1:$D$247)),ROW()-2),1),"")</f>
        <v>37.487400000000001</v>
      </c>
      <c r="L12" s="151"/>
      <c r="M12" s="151"/>
      <c r="N12" s="151"/>
      <c r="O12" s="151"/>
      <c r="P12" s="151"/>
      <c r="Q12" s="151"/>
      <c r="R12" s="63">
        <v>4.4000000000000004</v>
      </c>
      <c r="S12" s="63">
        <v>33.603200000000001</v>
      </c>
      <c r="T12" s="64">
        <v>4.4000000000000004</v>
      </c>
      <c r="U12" s="64">
        <v>28.1647</v>
      </c>
      <c r="V12" s="65">
        <v>3.6</v>
      </c>
      <c r="W12" s="65">
        <v>37.487400000000001</v>
      </c>
    </row>
    <row r="13" spans="1:23" ht="15.75">
      <c r="A13" s="11">
        <f t="shared" ca="1" si="0"/>
        <v>0.10567181063184916</v>
      </c>
      <c r="B13" s="60">
        <f>Data!I187</f>
        <v>3.5</v>
      </c>
      <c r="C13" s="60">
        <f>Data!J187</f>
        <v>35.799999999999997</v>
      </c>
      <c r="D13" s="61">
        <f t="array" ref="D13">MOD(ROW(), 3) + 1</f>
        <v>2</v>
      </c>
      <c r="E13" s="11"/>
      <c r="F13" s="63">
        <f t="array" ref="F13">IFERROR(INDEX($B$1:$B$247, SMALL(IF($D$1:$D$247=$E$3,ROW($D$1:$D$247)),ROW()-2),1),"")</f>
        <v>3</v>
      </c>
      <c r="G13" s="63">
        <f t="array" ref="G13">IFERROR(INDEX($C$1:$C$247, SMALL(IF($D$1:$D$247=$E$3,ROW($D$1:$D$247)),ROW()-2),1),"")</f>
        <v>35.505200000000002</v>
      </c>
      <c r="H13" s="64">
        <f t="array" ref="H13">IFERROR(INDEX($B$1:$B$247, SMALL(IF($D$1:$D$247=$E$4,ROW($D$1:$D$247)),ROW()-2),1),"")</f>
        <v>5</v>
      </c>
      <c r="I13" s="64">
        <f t="array" ref="I13">IFERROR(INDEX($C$1:$C$247, SMALL(IF($D$1:$D$247=$E$4,ROW($D$1:$D$247)),ROW()-2),1),"")</f>
        <v>24.7928</v>
      </c>
      <c r="J13" s="65">
        <f t="array" ref="J13">IFERROR(INDEX($B$1:$B$247, SMALL(IF($D$1:$D$247=$E$5,ROW($D$1:$D$247)),ROW()-2),1),"")</f>
        <v>4.4000000000000004</v>
      </c>
      <c r="K13" s="65">
        <f t="array" ref="K13">IFERROR(INDEX($C$1:$C$247, SMALL(IF($D$1:$D$247=$E$5,ROW($D$1:$D$247)),ROW()-2),1),"")</f>
        <v>33.049900000000001</v>
      </c>
      <c r="L13" s="151"/>
      <c r="M13" s="151"/>
      <c r="N13" s="151"/>
      <c r="O13" s="151"/>
      <c r="P13" s="151"/>
      <c r="Q13" s="151"/>
      <c r="R13" s="63">
        <v>3</v>
      </c>
      <c r="S13" s="63">
        <v>35.505200000000002</v>
      </c>
      <c r="T13" s="64">
        <v>5</v>
      </c>
      <c r="U13" s="64">
        <v>24.7928</v>
      </c>
      <c r="V13" s="65">
        <v>4.4000000000000004</v>
      </c>
      <c r="W13" s="65">
        <v>33.049900000000001</v>
      </c>
    </row>
    <row r="14" spans="1:23" ht="15.75">
      <c r="A14" s="11">
        <f t="shared" ca="1" si="0"/>
        <v>0.84738605912168208</v>
      </c>
      <c r="B14" s="60">
        <f>Data!I220</f>
        <v>2</v>
      </c>
      <c r="C14" s="60">
        <f>Data!J220</f>
        <v>41.2</v>
      </c>
      <c r="D14" s="61">
        <f t="array" ref="D14">MOD(ROW(), 3) + 1</f>
        <v>3</v>
      </c>
      <c r="E14" s="11"/>
      <c r="F14" s="63">
        <f t="array" ref="F14">IFERROR(INDEX($B$1:$B$247, SMALL(IF($D$1:$D$247=$E$3,ROW($D$1:$D$247)),ROW()-2),1),"")</f>
        <v>2.4</v>
      </c>
      <c r="G14" s="63">
        <f t="array" ref="G14">IFERROR(INDEX($C$1:$C$247, SMALL(IF($D$1:$D$247=$E$3,ROW($D$1:$D$247)),ROW()-2),1),"")</f>
        <v>44.8</v>
      </c>
      <c r="H14" s="64">
        <f t="array" ref="H14">IFERROR(INDEX($B$1:$B$247, SMALL(IF($D$1:$D$247=$E$4,ROW($D$1:$D$247)),ROW()-2),1),"")</f>
        <v>6.2</v>
      </c>
      <c r="I14" s="64">
        <f t="array" ref="I14">IFERROR(INDEX($C$1:$C$247, SMALL(IF($D$1:$D$247=$E$4,ROW($D$1:$D$247)),ROW()-2),1),"")</f>
        <v>24.2</v>
      </c>
      <c r="J14" s="65">
        <f t="array" ref="J14">IFERROR(INDEX($B$1:$B$247, SMALL(IF($D$1:$D$247=$E$5,ROW($D$1:$D$247)),ROW()-2),1),"")</f>
        <v>6</v>
      </c>
      <c r="K14" s="65">
        <f t="array" ref="K14">IFERROR(INDEX($C$1:$C$247, SMALL(IF($D$1:$D$247=$E$5,ROW($D$1:$D$247)),ROW()-2),1),"")</f>
        <v>21.628499999999999</v>
      </c>
      <c r="L14" s="151"/>
      <c r="M14" s="151"/>
      <c r="N14" s="151"/>
      <c r="O14" s="151"/>
      <c r="P14" s="151"/>
      <c r="Q14" s="151"/>
      <c r="R14" s="63">
        <v>2.4</v>
      </c>
      <c r="S14" s="63">
        <v>44.8</v>
      </c>
      <c r="T14" s="64">
        <v>6.2</v>
      </c>
      <c r="U14" s="64">
        <v>24.2</v>
      </c>
      <c r="V14" s="65">
        <v>6</v>
      </c>
      <c r="W14" s="65">
        <v>21.628499999999999</v>
      </c>
    </row>
    <row r="15" spans="1:23" ht="15.75">
      <c r="A15" s="11">
        <f t="shared" ca="1" si="0"/>
        <v>0.86724558834859422</v>
      </c>
      <c r="B15" s="60">
        <f>Data!I188</f>
        <v>5.4</v>
      </c>
      <c r="C15" s="60">
        <f>Data!J188</f>
        <v>24.1556</v>
      </c>
      <c r="D15" s="61">
        <f t="array" ref="D15">MOD(ROW(), 3) + 1</f>
        <v>1</v>
      </c>
      <c r="E15" s="11"/>
      <c r="F15" s="63">
        <f t="array" ref="F15">IFERROR(INDEX($B$1:$B$247, SMALL(IF($D$1:$D$247=$E$3,ROW($D$1:$D$247)),ROW()-2),1),"")</f>
        <v>1.6</v>
      </c>
      <c r="G15" s="63">
        <f t="array" ref="G15">IFERROR(INDEX($C$1:$C$247, SMALL(IF($D$1:$D$247=$E$3,ROW($D$1:$D$247)),ROW()-2),1),"")</f>
        <v>45.5991</v>
      </c>
      <c r="H15" s="64">
        <f t="array" ref="H15">IFERROR(INDEX($B$1:$B$247, SMALL(IF($D$1:$D$247=$E$4,ROW($D$1:$D$247)),ROW()-2),1),"")</f>
        <v>3</v>
      </c>
      <c r="I15" s="64">
        <f t="array" ref="I15">IFERROR(INDEX($C$1:$C$247, SMALL(IF($D$1:$D$247=$E$4,ROW($D$1:$D$247)),ROW()-2),1),"")</f>
        <v>39.700000000000003</v>
      </c>
      <c r="J15" s="65">
        <f t="array" ref="J15">IFERROR(INDEX($B$1:$B$247, SMALL(IF($D$1:$D$247=$E$5,ROW($D$1:$D$247)),ROW()-2),1),"")</f>
        <v>6.8</v>
      </c>
      <c r="K15" s="65">
        <f t="array" ref="K15">IFERROR(INDEX($C$1:$C$247, SMALL(IF($D$1:$D$247=$E$5,ROW($D$1:$D$247)),ROW()-2),1),"")</f>
        <v>23.4</v>
      </c>
      <c r="L15" s="151"/>
      <c r="M15" s="151"/>
      <c r="N15" s="151"/>
      <c r="O15" s="151"/>
      <c r="P15" s="151"/>
      <c r="Q15" s="151"/>
      <c r="R15" s="63">
        <v>1.6</v>
      </c>
      <c r="S15" s="63">
        <v>45.5991</v>
      </c>
      <c r="T15" s="64">
        <v>3</v>
      </c>
      <c r="U15" s="64">
        <v>39.700000000000003</v>
      </c>
      <c r="V15" s="65">
        <v>6.8</v>
      </c>
      <c r="W15" s="65">
        <v>23.4</v>
      </c>
    </row>
    <row r="16" spans="1:23" ht="15.75">
      <c r="A16" s="11">
        <f t="shared" ca="1" si="0"/>
        <v>0.52021758839648635</v>
      </c>
      <c r="B16" s="60">
        <f>Data!I25</f>
        <v>3</v>
      </c>
      <c r="C16" s="60">
        <f>Data!J25</f>
        <v>36.473799999999997</v>
      </c>
      <c r="D16" s="61">
        <f t="array" ref="D16">MOD(ROW(), 3) + 1</f>
        <v>2</v>
      </c>
      <c r="E16" s="11"/>
      <c r="F16" s="63">
        <f t="array" ref="F16">IFERROR(INDEX($B$1:$B$247, SMALL(IF($D$1:$D$247=$E$3,ROW($D$1:$D$247)),ROW()-2),1),"")</f>
        <v>4.4000000000000004</v>
      </c>
      <c r="G16" s="63">
        <f t="array" ref="G16">IFERROR(INDEX($C$1:$C$247, SMALL(IF($D$1:$D$247=$E$3,ROW($D$1:$D$247)),ROW()-2),1),"")</f>
        <v>31.227399999999999</v>
      </c>
      <c r="H16" s="64">
        <f t="array" ref="H16">IFERROR(INDEX($B$1:$B$247, SMALL(IF($D$1:$D$247=$E$4,ROW($D$1:$D$247)),ROW()-2),1),"")</f>
        <v>4.5999999999999996</v>
      </c>
      <c r="I16" s="64">
        <f t="array" ref="I16">IFERROR(INDEX($C$1:$C$247, SMALL(IF($D$1:$D$247=$E$4,ROW($D$1:$D$247)),ROW()-2),1),"")</f>
        <v>33.9</v>
      </c>
      <c r="J16" s="65">
        <f t="array" ref="J16">IFERROR(INDEX($B$1:$B$247, SMALL(IF($D$1:$D$247=$E$5,ROW($D$1:$D$247)),ROW()-2),1),"")</f>
        <v>6.2</v>
      </c>
      <c r="K16" s="65">
        <f t="array" ref="K16">IFERROR(INDEX($C$1:$C$247, SMALL(IF($D$1:$D$247=$E$5,ROW($D$1:$D$247)),ROW()-2),1),"")</f>
        <v>24.2</v>
      </c>
      <c r="L16" s="151"/>
      <c r="M16" s="151"/>
      <c r="N16" s="151"/>
      <c r="O16" s="151"/>
      <c r="P16" s="151"/>
      <c r="Q16" s="151"/>
      <c r="R16" s="63">
        <v>4.4000000000000004</v>
      </c>
      <c r="S16" s="63">
        <v>31.227399999999999</v>
      </c>
      <c r="T16" s="64">
        <v>4.5999999999999996</v>
      </c>
      <c r="U16" s="64">
        <v>33.9</v>
      </c>
      <c r="V16" s="65">
        <v>6.2</v>
      </c>
      <c r="W16" s="65">
        <v>24.2</v>
      </c>
    </row>
    <row r="17" spans="1:23" ht="15.75">
      <c r="A17" s="11">
        <f t="shared" ca="1" si="0"/>
        <v>0.48097036503142898</v>
      </c>
      <c r="B17" s="60">
        <f>Data!I166</f>
        <v>4.8</v>
      </c>
      <c r="C17" s="60">
        <f>Data!J166</f>
        <v>22.8</v>
      </c>
      <c r="D17" s="61">
        <f t="array" ref="D17">MOD(ROW(), 3) + 1</f>
        <v>3</v>
      </c>
      <c r="E17" s="11"/>
      <c r="F17" s="63">
        <f t="array" ref="F17">IFERROR(INDEX($B$1:$B$247, SMALL(IF($D$1:$D$247=$E$3,ROW($D$1:$D$247)),ROW()-2),1),"")</f>
        <v>3.5</v>
      </c>
      <c r="G17" s="63">
        <f t="array" ref="G17">IFERROR(INDEX($C$1:$C$247, SMALL(IF($D$1:$D$247=$E$3,ROW($D$1:$D$247)),ROW()-2),1),"")</f>
        <v>34.767499999999998</v>
      </c>
      <c r="H17" s="64">
        <f t="array" ref="H17">IFERROR(INDEX($B$1:$B$247, SMALL(IF($D$1:$D$247=$E$4,ROW($D$1:$D$247)),ROW()-2),1),"")</f>
        <v>4</v>
      </c>
      <c r="I17" s="64">
        <f t="array" ref="I17">IFERROR(INDEX($C$1:$C$247, SMALL(IF($D$1:$D$247=$E$4,ROW($D$1:$D$247)),ROW()-2),1),"")</f>
        <v>27.9711</v>
      </c>
      <c r="J17" s="65">
        <f t="array" ref="J17">IFERROR(INDEX($B$1:$B$247, SMALL(IF($D$1:$D$247=$E$5,ROW($D$1:$D$247)),ROW()-2),1),"")</f>
        <v>5.3</v>
      </c>
      <c r="K17" s="65">
        <f t="array" ref="K17">IFERROR(INDEX($C$1:$C$247, SMALL(IF($D$1:$D$247=$E$5,ROW($D$1:$D$247)),ROW()-2),1),"")</f>
        <v>29</v>
      </c>
      <c r="L17" s="151"/>
      <c r="M17" s="151"/>
      <c r="N17" s="151"/>
      <c r="O17" s="151"/>
      <c r="P17" s="151"/>
      <c r="Q17" s="151"/>
      <c r="R17" s="63">
        <v>3.5</v>
      </c>
      <c r="S17" s="63">
        <v>34.767499999999998</v>
      </c>
      <c r="T17" s="64">
        <v>4</v>
      </c>
      <c r="U17" s="64">
        <v>27.9711</v>
      </c>
      <c r="V17" s="65">
        <v>5.3</v>
      </c>
      <c r="W17" s="65">
        <v>29</v>
      </c>
    </row>
    <row r="18" spans="1:23" ht="15.75">
      <c r="A18" s="11">
        <f t="shared" ca="1" si="0"/>
        <v>0.39933933240229669</v>
      </c>
      <c r="B18" s="60">
        <f>Data!I138</f>
        <v>4.7</v>
      </c>
      <c r="C18" s="60">
        <f>Data!J138</f>
        <v>25.6</v>
      </c>
      <c r="D18" s="61">
        <f t="array" ref="D18">MOD(ROW(), 3) + 1</f>
        <v>1</v>
      </c>
      <c r="E18" s="11"/>
      <c r="F18" s="63">
        <f t="array" ref="F18">IFERROR(INDEX($B$1:$B$247, SMALL(IF($D$1:$D$247=$E$3,ROW($D$1:$D$247)),ROW()-2),1),"")</f>
        <v>5.2</v>
      </c>
      <c r="G18" s="63">
        <f t="array" ref="G18">IFERROR(INDEX($C$1:$C$247, SMALL(IF($D$1:$D$247=$E$3,ROW($D$1:$D$247)),ROW()-2),1),"")</f>
        <v>24.3325</v>
      </c>
      <c r="H18" s="64">
        <f t="array" ref="H18">IFERROR(INDEX($B$1:$B$247, SMALL(IF($D$1:$D$247=$E$4,ROW($D$1:$D$247)),ROW()-2),1),"")</f>
        <v>6</v>
      </c>
      <c r="I18" s="64">
        <f t="array" ref="I18">IFERROR(INDEX($C$1:$C$247, SMALL(IF($D$1:$D$247=$E$4,ROW($D$1:$D$247)),ROW()-2),1),"")</f>
        <v>21.8</v>
      </c>
      <c r="J18" s="65">
        <f t="array" ref="J18">IFERROR(INDEX($B$1:$B$247, SMALL(IF($D$1:$D$247=$E$5,ROW($D$1:$D$247)),ROW()-2),1),"")</f>
        <v>2</v>
      </c>
      <c r="K18" s="65">
        <f t="array" ref="K18">IFERROR(INDEX($C$1:$C$247, SMALL(IF($D$1:$D$247=$E$5,ROW($D$1:$D$247)),ROW()-2),1),"")</f>
        <v>39.444699999999997</v>
      </c>
      <c r="L18" s="151"/>
      <c r="M18" s="151"/>
      <c r="N18" s="151"/>
      <c r="O18" s="151"/>
      <c r="P18" s="151"/>
      <c r="Q18" s="151"/>
      <c r="R18" s="63">
        <v>5.2</v>
      </c>
      <c r="S18" s="63">
        <v>24.3325</v>
      </c>
      <c r="T18" s="64">
        <v>6</v>
      </c>
      <c r="U18" s="64">
        <v>21.8</v>
      </c>
      <c r="V18" s="65">
        <v>2</v>
      </c>
      <c r="W18" s="65">
        <v>39.444699999999997</v>
      </c>
    </row>
    <row r="19" spans="1:23" ht="15.75">
      <c r="A19" s="11">
        <f t="shared" ca="1" si="0"/>
        <v>0.14555495676350605</v>
      </c>
      <c r="B19" s="60">
        <f>Data!I123</f>
        <v>2.5</v>
      </c>
      <c r="C19" s="60">
        <f>Data!J123</f>
        <v>37.5899</v>
      </c>
      <c r="D19" s="61">
        <f t="array" ref="D19">MOD(ROW(), 3) + 1</f>
        <v>2</v>
      </c>
      <c r="E19" s="11"/>
      <c r="F19" s="63">
        <f t="array" ref="F19">IFERROR(INDEX($B$1:$B$247, SMALL(IF($D$1:$D$247=$E$3,ROW($D$1:$D$247)),ROW()-2),1),"")</f>
        <v>3</v>
      </c>
      <c r="G19" s="63">
        <f t="array" ref="G19">IFERROR(INDEX($C$1:$C$247, SMALL(IF($D$1:$D$247=$E$3,ROW($D$1:$D$247)),ROW()-2),1),"")</f>
        <v>34.4</v>
      </c>
      <c r="H19" s="64">
        <f t="array" ref="H19">IFERROR(INDEX($B$1:$B$247, SMALL(IF($D$1:$D$247=$E$4,ROW($D$1:$D$247)),ROW()-2),1),"")</f>
        <v>2.4</v>
      </c>
      <c r="I19" s="64">
        <f t="array" ref="I19">IFERROR(INDEX($C$1:$C$247, SMALL(IF($D$1:$D$247=$E$4,ROW($D$1:$D$247)),ROW()-2),1),"")</f>
        <v>43.431899999999999</v>
      </c>
      <c r="J19" s="65">
        <f t="array" ref="J19">IFERROR(INDEX($B$1:$B$247, SMALL(IF($D$1:$D$247=$E$5,ROW($D$1:$D$247)),ROW()-2),1),"")</f>
        <v>6</v>
      </c>
      <c r="K19" s="65">
        <f t="array" ref="K19">IFERROR(INDEX($C$1:$C$247, SMALL(IF($D$1:$D$247=$E$5,ROW($D$1:$D$247)),ROW()-2),1),"")</f>
        <v>21.2</v>
      </c>
      <c r="L19" s="151"/>
      <c r="M19" s="151"/>
      <c r="N19" s="151"/>
      <c r="O19" s="151"/>
      <c r="P19" s="151"/>
      <c r="Q19" s="151"/>
      <c r="R19" s="63">
        <v>3</v>
      </c>
      <c r="S19" s="63">
        <v>34.4</v>
      </c>
      <c r="T19" s="64">
        <v>2.4</v>
      </c>
      <c r="U19" s="64">
        <v>43.431899999999999</v>
      </c>
      <c r="V19" s="65">
        <v>6</v>
      </c>
      <c r="W19" s="65">
        <v>21.2</v>
      </c>
    </row>
    <row r="20" spans="1:23" ht="15.75">
      <c r="A20" s="11">
        <f t="shared" ca="1" si="0"/>
        <v>0.54009662983352824</v>
      </c>
      <c r="B20" s="60">
        <f>Data!I4</f>
        <v>4.2</v>
      </c>
      <c r="C20" s="60">
        <f>Data!J4</f>
        <v>24.300999999999998</v>
      </c>
      <c r="D20" s="61">
        <f t="array" ref="D20">MOD(ROW(), 3) + 1</f>
        <v>3</v>
      </c>
      <c r="E20" s="11"/>
      <c r="F20" s="63">
        <f t="array" ref="F20">IFERROR(INDEX($B$1:$B$247, SMALL(IF($D$1:$D$247=$E$3,ROW($D$1:$D$247)),ROW()-2),1),"")</f>
        <v>3.6</v>
      </c>
      <c r="G20" s="63">
        <f t="array" ref="G20">IFERROR(INDEX($C$1:$C$247, SMALL(IF($D$1:$D$247=$E$3,ROW($D$1:$D$247)),ROW()-2),1),"")</f>
        <v>35.5</v>
      </c>
      <c r="H20" s="64">
        <f t="array" ref="H20">IFERROR(INDEX($B$1:$B$247, SMALL(IF($D$1:$D$247=$E$4,ROW($D$1:$D$247)),ROW()-2),1),"")</f>
        <v>5.7</v>
      </c>
      <c r="I20" s="64">
        <f t="array" ref="I20">IFERROR(INDEX($C$1:$C$247, SMALL(IF($D$1:$D$247=$E$4,ROW($D$1:$D$247)),ROW()-2),1),"")</f>
        <v>34.5</v>
      </c>
      <c r="J20" s="65">
        <f t="array" ref="J20">IFERROR(INDEX($B$1:$B$247, SMALL(IF($D$1:$D$247=$E$5,ROW($D$1:$D$247)),ROW()-2),1),"")</f>
        <v>3.6</v>
      </c>
      <c r="K20" s="65">
        <f t="array" ref="K20">IFERROR(INDEX($C$1:$C$247, SMALL(IF($D$1:$D$247=$E$5,ROW($D$1:$D$247)),ROW()-2),1),"")</f>
        <v>35</v>
      </c>
      <c r="R20" s="63">
        <v>3.6</v>
      </c>
      <c r="S20" s="63">
        <v>35.5</v>
      </c>
      <c r="T20" s="64">
        <v>5.7</v>
      </c>
      <c r="U20" s="64">
        <v>34.5</v>
      </c>
      <c r="V20" s="65">
        <v>3.6</v>
      </c>
      <c r="W20" s="65">
        <v>35</v>
      </c>
    </row>
    <row r="21" spans="1:23" ht="15.75">
      <c r="A21" s="11">
        <f t="shared" ca="1" si="0"/>
        <v>0.50859519772183504</v>
      </c>
      <c r="B21" s="60">
        <f>Data!I103</f>
        <v>3</v>
      </c>
      <c r="C21" s="60">
        <f>Data!J103</f>
        <v>35.496600000000001</v>
      </c>
      <c r="D21" s="61">
        <f t="array" ref="D21">MOD(ROW(), 3) + 1</f>
        <v>1</v>
      </c>
      <c r="E21" s="11"/>
      <c r="F21" s="63">
        <f t="array" ref="F21">IFERROR(INDEX($B$1:$B$247, SMALL(IF($D$1:$D$247=$E$3,ROW($D$1:$D$247)),ROW()-2),1),"")</f>
        <v>4</v>
      </c>
      <c r="G21" s="63">
        <f t="array" ref="G21">IFERROR(INDEX($C$1:$C$247, SMALL(IF($D$1:$D$247=$E$3,ROW($D$1:$D$247)),ROW()-2),1),"")</f>
        <v>28.4</v>
      </c>
      <c r="H21" s="64">
        <f t="array" ref="H21">IFERROR(INDEX($B$1:$B$247, SMALL(IF($D$1:$D$247=$E$4,ROW($D$1:$D$247)),ROW()-2),1),"")</f>
        <v>1.5</v>
      </c>
      <c r="I21" s="64">
        <f t="array" ref="I21">IFERROR(INDEX($C$1:$C$247, SMALL(IF($D$1:$D$247=$E$4,ROW($D$1:$D$247)),ROW()-2),1),"")</f>
        <v>55.644599999999997</v>
      </c>
      <c r="J21" s="65">
        <f t="array" ref="J21">IFERROR(INDEX($B$1:$B$247, SMALL(IF($D$1:$D$247=$E$5,ROW($D$1:$D$247)),ROW()-2),1),"")</f>
        <v>3.7</v>
      </c>
      <c r="K21" s="65">
        <f t="array" ref="K21">IFERROR(INDEX($C$1:$C$247, SMALL(IF($D$1:$D$247=$E$5,ROW($D$1:$D$247)),ROW()-2),1),"")</f>
        <v>27.8</v>
      </c>
      <c r="L21" s="152" t="s">
        <v>36</v>
      </c>
      <c r="M21" s="152"/>
      <c r="N21" s="152"/>
      <c r="O21" s="152"/>
      <c r="P21" s="152"/>
      <c r="Q21" s="152"/>
      <c r="R21" s="63">
        <v>4</v>
      </c>
      <c r="S21" s="63">
        <v>28.4</v>
      </c>
      <c r="T21" s="64">
        <v>1.5</v>
      </c>
      <c r="U21" s="64">
        <v>55.644599999999997</v>
      </c>
      <c r="V21" s="65">
        <v>3.7</v>
      </c>
      <c r="W21" s="65">
        <v>27.8</v>
      </c>
    </row>
    <row r="22" spans="1:23" ht="15.75">
      <c r="A22" s="11">
        <f t="shared" ca="1" si="0"/>
        <v>0.41145969580214148</v>
      </c>
      <c r="B22" s="60">
        <f>Data!I52</f>
        <v>1.5</v>
      </c>
      <c r="C22" s="60">
        <f>Data!J52</f>
        <v>46.5</v>
      </c>
      <c r="D22" s="61">
        <f t="array" ref="D22">MOD(ROW(), 3) + 1</f>
        <v>2</v>
      </c>
      <c r="E22" s="11"/>
      <c r="F22" s="63">
        <f t="array" ref="F22">IFERROR(INDEX($B$1:$B$247, SMALL(IF($D$1:$D$247=$E$3,ROW($D$1:$D$247)),ROW()-2),1),"")</f>
        <v>3</v>
      </c>
      <c r="G22" s="63">
        <f t="array" ref="G22">IFERROR(INDEX($C$1:$C$247, SMALL(IF($D$1:$D$247=$E$3,ROW($D$1:$D$247)),ROW()-2),1),"")</f>
        <v>35.435400000000001</v>
      </c>
      <c r="H22" s="64">
        <f t="array" ref="H22">IFERROR(INDEX($B$1:$B$247, SMALL(IF($D$1:$D$247=$E$4,ROW($D$1:$D$247)),ROW()-2),1),"")</f>
        <v>2</v>
      </c>
      <c r="I22" s="64">
        <f t="array" ref="I22">IFERROR(INDEX($C$1:$C$247, SMALL(IF($D$1:$D$247=$E$4,ROW($D$1:$D$247)),ROW()-2),1),"")</f>
        <v>51.787599999999998</v>
      </c>
      <c r="J22" s="65">
        <f t="array" ref="J22">IFERROR(INDEX($B$1:$B$247, SMALL(IF($D$1:$D$247=$E$5,ROW($D$1:$D$247)),ROW()-2),1),"")</f>
        <v>1.6</v>
      </c>
      <c r="K22" s="65">
        <f t="array" ref="K22">IFERROR(INDEX($C$1:$C$247, SMALL(IF($D$1:$D$247=$E$5,ROW($D$1:$D$247)),ROW()-2),1),"")</f>
        <v>47.847799999999999</v>
      </c>
      <c r="L22" s="152"/>
      <c r="M22" s="152"/>
      <c r="N22" s="152"/>
      <c r="O22" s="152"/>
      <c r="P22" s="152"/>
      <c r="Q22" s="152"/>
      <c r="R22" s="63">
        <v>3</v>
      </c>
      <c r="S22" s="63">
        <v>35.435400000000001</v>
      </c>
      <c r="T22" s="64">
        <v>2</v>
      </c>
      <c r="U22" s="64">
        <v>51.787599999999998</v>
      </c>
      <c r="V22" s="65">
        <v>1.6</v>
      </c>
      <c r="W22" s="65">
        <v>47.847799999999999</v>
      </c>
    </row>
    <row r="23" spans="1:23" ht="15.75">
      <c r="A23" s="11">
        <f t="shared" ca="1" si="0"/>
        <v>0.29726391943329089</v>
      </c>
      <c r="B23" s="60">
        <f>Data!I105</f>
        <v>4.4000000000000004</v>
      </c>
      <c r="C23" s="60">
        <f>Data!J105</f>
        <v>29.837800000000001</v>
      </c>
      <c r="D23" s="61">
        <f t="array" ref="D23">MOD(ROW(), 3) + 1</f>
        <v>3</v>
      </c>
      <c r="E23" s="11"/>
      <c r="F23" s="63">
        <f t="array" ref="F23">IFERROR(INDEX($B$1:$B$247, SMALL(IF($D$1:$D$247=$E$3,ROW($D$1:$D$247)),ROW()-2),1),"")</f>
        <v>2.5</v>
      </c>
      <c r="G23" s="63">
        <f t="array" ref="G23">IFERROR(INDEX($C$1:$C$247, SMALL(IF($D$1:$D$247=$E$3,ROW($D$1:$D$247)),ROW()-2),1),"")</f>
        <v>34.434100000000001</v>
      </c>
      <c r="H23" s="64">
        <f t="array" ref="H23">IFERROR(INDEX($B$1:$B$247, SMALL(IF($D$1:$D$247=$E$4,ROW($D$1:$D$247)),ROW()-2),1),"")</f>
        <v>3</v>
      </c>
      <c r="I23" s="64">
        <f t="array" ref="I23">IFERROR(INDEX($C$1:$C$247, SMALL(IF($D$1:$D$247=$E$4,ROW($D$1:$D$247)),ROW()-2),1),"")</f>
        <v>32.857900000000001</v>
      </c>
      <c r="J23" s="65">
        <f t="array" ref="J23">IFERROR(INDEX($B$1:$B$247, SMALL(IF($D$1:$D$247=$E$5,ROW($D$1:$D$247)),ROW()-2),1),"")</f>
        <v>2.5</v>
      </c>
      <c r="K23" s="65">
        <f t="array" ref="K23">IFERROR(INDEX($C$1:$C$247, SMALL(IF($D$1:$D$247=$E$5,ROW($D$1:$D$247)),ROW()-2),1),"")</f>
        <v>36.655700000000003</v>
      </c>
      <c r="L23" s="152"/>
      <c r="M23" s="152"/>
      <c r="N23" s="152"/>
      <c r="O23" s="152"/>
      <c r="P23" s="152"/>
      <c r="Q23" s="152"/>
      <c r="R23" s="63">
        <v>2.5</v>
      </c>
      <c r="S23" s="63">
        <v>34.434100000000001</v>
      </c>
      <c r="T23" s="64">
        <v>3</v>
      </c>
      <c r="U23" s="64">
        <v>32.857900000000001</v>
      </c>
      <c r="V23" s="65">
        <v>2.5</v>
      </c>
      <c r="W23" s="65">
        <v>36.655700000000003</v>
      </c>
    </row>
    <row r="24" spans="1:23" ht="15.75">
      <c r="A24" s="11">
        <f t="shared" ca="1" si="0"/>
        <v>0.27433368960133719</v>
      </c>
      <c r="B24" s="60">
        <f>Data!I114</f>
        <v>3</v>
      </c>
      <c r="C24" s="60">
        <f>Data!J114</f>
        <v>36.920200000000001</v>
      </c>
      <c r="D24" s="61">
        <f t="array" ref="D24">MOD(ROW(), 3) + 1</f>
        <v>1</v>
      </c>
      <c r="E24" s="11"/>
      <c r="F24" s="63">
        <f t="array" ref="F24">IFERROR(INDEX($B$1:$B$247, SMALL(IF($D$1:$D$247=$E$3,ROW($D$1:$D$247)),ROW()-2),1),"")</f>
        <v>3</v>
      </c>
      <c r="G24" s="63">
        <f t="array" ref="G24">IFERROR(INDEX($C$1:$C$247, SMALL(IF($D$1:$D$247=$E$3,ROW($D$1:$D$247)),ROW()-2),1),"")</f>
        <v>33.128100000000003</v>
      </c>
      <c r="H24" s="64">
        <f t="array" ref="H24">IFERROR(INDEX($B$1:$B$247, SMALL(IF($D$1:$D$247=$E$4,ROW($D$1:$D$247)),ROW()-2),1),"")</f>
        <v>4.7</v>
      </c>
      <c r="I24" s="64">
        <f t="array" ref="I24">IFERROR(INDEX($C$1:$C$247, SMALL(IF($D$1:$D$247=$E$4,ROW($D$1:$D$247)),ROW()-2),1),"")</f>
        <v>25.6</v>
      </c>
      <c r="J24" s="65">
        <f t="array" ref="J24">IFERROR(INDEX($B$1:$B$247, SMALL(IF($D$1:$D$247=$E$5,ROW($D$1:$D$247)),ROW()-2),1),"")</f>
        <v>6.2</v>
      </c>
      <c r="K24" s="65">
        <f t="array" ref="K24">IFERROR(INDEX($C$1:$C$247, SMALL(IF($D$1:$D$247=$E$5,ROW($D$1:$D$247)),ROW()-2),1),"")</f>
        <v>26.8</v>
      </c>
      <c r="L24" s="152"/>
      <c r="M24" s="152"/>
      <c r="N24" s="152"/>
      <c r="O24" s="152"/>
      <c r="P24" s="152"/>
      <c r="Q24" s="152"/>
      <c r="R24" s="63">
        <v>3</v>
      </c>
      <c r="S24" s="63">
        <v>33.128100000000003</v>
      </c>
      <c r="T24" s="64">
        <v>4.7</v>
      </c>
      <c r="U24" s="64">
        <v>25.6</v>
      </c>
      <c r="V24" s="65">
        <v>6.2</v>
      </c>
      <c r="W24" s="65">
        <v>26.8</v>
      </c>
    </row>
    <row r="25" spans="1:23" ht="15.75">
      <c r="A25" s="11">
        <f t="shared" ca="1" si="0"/>
        <v>0.85616859302107351</v>
      </c>
      <c r="B25" s="60">
        <f>Data!I117</f>
        <v>3</v>
      </c>
      <c r="C25" s="60">
        <f>Data!J117</f>
        <v>35.890999999999998</v>
      </c>
      <c r="D25" s="61">
        <f t="array" ref="D25">MOD(ROW(), 3) + 1</f>
        <v>2</v>
      </c>
      <c r="E25" s="11"/>
      <c r="F25" s="63">
        <f t="array" ref="F25">IFERROR(INDEX($B$1:$B$247, SMALL(IF($D$1:$D$247=$E$3,ROW($D$1:$D$247)),ROW()-2),1),"")</f>
        <v>4.5999999999999996</v>
      </c>
      <c r="G25" s="63">
        <f t="array" ref="G25">IFERROR(INDEX($C$1:$C$247, SMALL(IF($D$1:$D$247=$E$3,ROW($D$1:$D$247)),ROW()-2),1),"")</f>
        <v>23</v>
      </c>
      <c r="H25" s="64">
        <f t="array" ref="H25">IFERROR(INDEX($B$1:$B$247, SMALL(IF($D$1:$D$247=$E$4,ROW($D$1:$D$247)),ROW()-2),1),"")</f>
        <v>6</v>
      </c>
      <c r="I25" s="64">
        <f t="array" ref="I25">IFERROR(INDEX($C$1:$C$247, SMALL(IF($D$1:$D$247=$E$4,ROW($D$1:$D$247)),ROW()-2),1),"")</f>
        <v>21.2</v>
      </c>
      <c r="J25" s="65">
        <f t="array" ref="J25">IFERROR(INDEX($B$1:$B$247, SMALL(IF($D$1:$D$247=$E$5,ROW($D$1:$D$247)),ROW()-2),1),"")</f>
        <v>1.8</v>
      </c>
      <c r="K25" s="65">
        <f t="array" ref="K25">IFERROR(INDEX($C$1:$C$247, SMALL(IF($D$1:$D$247=$E$5,ROW($D$1:$D$247)),ROW()-2),1),"")</f>
        <v>46.9</v>
      </c>
      <c r="L25" s="153"/>
      <c r="M25" s="153"/>
      <c r="N25" s="153"/>
      <c r="O25" s="153"/>
      <c r="P25" s="153"/>
      <c r="Q25" s="153"/>
      <c r="R25" s="63">
        <v>4.5999999999999996</v>
      </c>
      <c r="S25" s="63">
        <v>23</v>
      </c>
      <c r="T25" s="64">
        <v>6</v>
      </c>
      <c r="U25" s="64">
        <v>21.2</v>
      </c>
      <c r="V25" s="65">
        <v>1.8</v>
      </c>
      <c r="W25" s="65">
        <v>46.9</v>
      </c>
    </row>
    <row r="26" spans="1:23" ht="15.75">
      <c r="A26" s="11">
        <f t="shared" ca="1" si="0"/>
        <v>0.49060887589519031</v>
      </c>
      <c r="B26" s="60">
        <f>Data!I227</f>
        <v>3.6</v>
      </c>
      <c r="C26" s="60">
        <f>Data!J227</f>
        <v>34.259599999999999</v>
      </c>
      <c r="D26" s="61">
        <f t="array" ref="D26">MOD(ROW(), 3) + 1</f>
        <v>3</v>
      </c>
      <c r="E26" s="11"/>
      <c r="F26" s="63">
        <f t="array" ref="F26">IFERROR(INDEX($B$1:$B$247, SMALL(IF($D$1:$D$247=$E$3,ROW($D$1:$D$247)),ROW()-2),1),"")</f>
        <v>3.5</v>
      </c>
      <c r="G26" s="63">
        <f t="array" ref="G26">IFERROR(INDEX($C$1:$C$247, SMALL(IF($D$1:$D$247=$E$3,ROW($D$1:$D$247)),ROW()-2),1),"")</f>
        <v>34.028799999999997</v>
      </c>
      <c r="H26" s="64">
        <f t="array" ref="H26">IFERROR(INDEX($B$1:$B$247, SMALL(IF($D$1:$D$247=$E$4,ROW($D$1:$D$247)),ROW()-2),1),"")</f>
        <v>6</v>
      </c>
      <c r="I26" s="64">
        <f t="array" ref="I26">IFERROR(INDEX($C$1:$C$247, SMALL(IF($D$1:$D$247=$E$4,ROW($D$1:$D$247)),ROW()-2),1),"")</f>
        <v>25</v>
      </c>
      <c r="J26" s="65">
        <f t="array" ref="J26">IFERROR(INDEX($B$1:$B$247, SMALL(IF($D$1:$D$247=$E$5,ROW($D$1:$D$247)),ROW()-2),1),"")</f>
        <v>3.7</v>
      </c>
      <c r="K26" s="65">
        <f t="array" ref="K26">IFERROR(INDEX($C$1:$C$247, SMALL(IF($D$1:$D$247=$E$5,ROW($D$1:$D$247)),ROW()-2),1),"")</f>
        <v>41.4056</v>
      </c>
      <c r="R26" s="63">
        <v>3.5</v>
      </c>
      <c r="S26" s="63">
        <v>34.028799999999997</v>
      </c>
      <c r="T26" s="64">
        <v>6</v>
      </c>
      <c r="U26" s="64">
        <v>25</v>
      </c>
      <c r="V26" s="65">
        <v>3.7</v>
      </c>
      <c r="W26" s="65">
        <v>41.4056</v>
      </c>
    </row>
    <row r="27" spans="1:23" ht="15.75">
      <c r="A27" s="11">
        <f t="shared" ca="1" si="0"/>
        <v>0.10918989049639583</v>
      </c>
      <c r="B27" s="60">
        <f>Data!I10</f>
        <v>6.3</v>
      </c>
      <c r="C27" s="60">
        <f>Data!J10</f>
        <v>26</v>
      </c>
      <c r="D27" s="61">
        <f t="array" ref="D27">MOD(ROW(), 3) + 1</f>
        <v>1</v>
      </c>
      <c r="E27" s="11"/>
      <c r="F27" s="63">
        <f t="array" ref="F27">IFERROR(INDEX($B$1:$B$247, SMALL(IF($D$1:$D$247=$E$3,ROW($D$1:$D$247)),ROW()-2),1),"")</f>
        <v>3.7</v>
      </c>
      <c r="G27" s="63">
        <f t="array" ref="G27">IFERROR(INDEX($C$1:$C$247, SMALL(IF($D$1:$D$247=$E$3,ROW($D$1:$D$247)),ROW()-2),1),"")</f>
        <v>30.4</v>
      </c>
      <c r="H27" s="64">
        <f t="array" ref="H27">IFERROR(INDEX($B$1:$B$247, SMALL(IF($D$1:$D$247=$E$4,ROW($D$1:$D$247)),ROW()-2),1),"")</f>
        <v>5.4</v>
      </c>
      <c r="I27" s="64">
        <f t="array" ref="I27">IFERROR(INDEX($C$1:$C$247, SMALL(IF($D$1:$D$247=$E$4,ROW($D$1:$D$247)),ROW()-2),1),"")</f>
        <v>21.8</v>
      </c>
      <c r="J27" s="65">
        <f t="array" ref="J27">IFERROR(INDEX($B$1:$B$247, SMALL(IF($D$1:$D$247=$E$5,ROW($D$1:$D$247)),ROW()-2),1),"")</f>
        <v>6</v>
      </c>
      <c r="K27" s="65">
        <f t="array" ref="K27">IFERROR(INDEX($C$1:$C$247, SMALL(IF($D$1:$D$247=$E$5,ROW($D$1:$D$247)),ROW()-2),1),"")</f>
        <v>21.7</v>
      </c>
      <c r="R27" s="63">
        <v>3.7</v>
      </c>
      <c r="S27" s="63">
        <v>30.4</v>
      </c>
      <c r="T27" s="64">
        <v>5.4</v>
      </c>
      <c r="U27" s="64">
        <v>21.8</v>
      </c>
      <c r="V27" s="65">
        <v>6</v>
      </c>
      <c r="W27" s="65">
        <v>21.7</v>
      </c>
    </row>
    <row r="28" spans="1:23" ht="15.75">
      <c r="A28" s="11">
        <f t="shared" ca="1" si="0"/>
        <v>0.12094369188293153</v>
      </c>
      <c r="B28" s="60">
        <f>Data!I55</f>
        <v>1.6</v>
      </c>
      <c r="C28" s="60">
        <f>Data!J55</f>
        <v>49.949399999999997</v>
      </c>
      <c r="D28" s="61">
        <f t="array" ref="D28">MOD(ROW(), 3) + 1</f>
        <v>2</v>
      </c>
      <c r="E28" s="11"/>
      <c r="F28" s="63">
        <f t="array" ref="F28">IFERROR(INDEX($B$1:$B$247, SMALL(IF($D$1:$D$247=$E$3,ROW($D$1:$D$247)),ROW()-2),1),"")</f>
        <v>2</v>
      </c>
      <c r="G28" s="63">
        <f t="array" ref="G28">IFERROR(INDEX($C$1:$C$247, SMALL(IF($D$1:$D$247=$E$3,ROW($D$1:$D$247)),ROW()-2),1),"")</f>
        <v>43.5</v>
      </c>
      <c r="H28" s="64">
        <f t="array" ref="H28">IFERROR(INDEX($B$1:$B$247, SMALL(IF($D$1:$D$247=$E$4,ROW($D$1:$D$247)),ROW()-2),1),"")</f>
        <v>2.5</v>
      </c>
      <c r="I28" s="64">
        <f t="array" ref="I28">IFERROR(INDEX($C$1:$C$247, SMALL(IF($D$1:$D$247=$E$4,ROW($D$1:$D$247)),ROW()-2),1),"")</f>
        <v>42.488799999999998</v>
      </c>
      <c r="J28" s="65">
        <f t="array" ref="J28">IFERROR(INDEX($B$1:$B$247, SMALL(IF($D$1:$D$247=$E$5,ROW($D$1:$D$247)),ROW()-2),1),"")</f>
        <v>3.6</v>
      </c>
      <c r="K28" s="65">
        <f t="array" ref="K28">IFERROR(INDEX($C$1:$C$247, SMALL(IF($D$1:$D$247=$E$5,ROW($D$1:$D$247)),ROW()-2),1),"")</f>
        <v>32.9</v>
      </c>
      <c r="R28" s="63">
        <v>2</v>
      </c>
      <c r="S28" s="63">
        <v>43.5</v>
      </c>
      <c r="T28" s="64">
        <v>2.5</v>
      </c>
      <c r="U28" s="64">
        <v>42.488799999999998</v>
      </c>
      <c r="V28" s="65">
        <v>3.6</v>
      </c>
      <c r="W28" s="65">
        <v>32.9</v>
      </c>
    </row>
    <row r="29" spans="1:23" ht="15.75">
      <c r="A29" s="11">
        <f t="shared" ca="1" si="0"/>
        <v>0.93436526791283514</v>
      </c>
      <c r="B29" s="60">
        <f>Data!I65</f>
        <v>2.5</v>
      </c>
      <c r="C29" s="60">
        <f>Data!J65</f>
        <v>31.366900000000001</v>
      </c>
      <c r="D29" s="61">
        <f t="array" ref="D29">MOD(ROW(), 3) + 1</f>
        <v>3</v>
      </c>
      <c r="E29" s="11"/>
      <c r="F29" s="63">
        <f t="array" ref="F29">IFERROR(INDEX($B$1:$B$247, SMALL(IF($D$1:$D$247=$E$3,ROW($D$1:$D$247)),ROW()-2),1),"")</f>
        <v>6</v>
      </c>
      <c r="G29" s="63">
        <f t="array" ref="G29">IFERROR(INDEX($C$1:$C$247, SMALL(IF($D$1:$D$247=$E$3,ROW($D$1:$D$247)),ROW()-2),1),"")</f>
        <v>21.473400000000002</v>
      </c>
      <c r="H29" s="64">
        <f t="array" ref="H29">IFERROR(INDEX($B$1:$B$247, SMALL(IF($D$1:$D$247=$E$4,ROW($D$1:$D$247)),ROW()-2),1),"")</f>
        <v>2.5</v>
      </c>
      <c r="I29" s="64">
        <f t="array" ref="I29">IFERROR(INDEX($C$1:$C$247, SMALL(IF($D$1:$D$247=$E$4,ROW($D$1:$D$247)),ROW()-2),1),"")</f>
        <v>40.807499999999997</v>
      </c>
      <c r="J29" s="65">
        <f t="array" ref="J29">IFERROR(INDEX($B$1:$B$247, SMALL(IF($D$1:$D$247=$E$5,ROW($D$1:$D$247)),ROW()-2),1),"")</f>
        <v>2.5</v>
      </c>
      <c r="K29" s="65">
        <f t="array" ref="K29">IFERROR(INDEX($C$1:$C$247, SMALL(IF($D$1:$D$247=$E$5,ROW($D$1:$D$247)),ROW()-2),1),"")</f>
        <v>37.137</v>
      </c>
      <c r="R29" s="63">
        <v>6</v>
      </c>
      <c r="S29" s="63">
        <v>21.473400000000002</v>
      </c>
      <c r="T29" s="64">
        <v>2.5</v>
      </c>
      <c r="U29" s="64">
        <v>40.807499999999997</v>
      </c>
      <c r="V29" s="65">
        <v>2.5</v>
      </c>
      <c r="W29" s="65">
        <v>37.137</v>
      </c>
    </row>
    <row r="30" spans="1:23" ht="15.75">
      <c r="A30" s="11">
        <f t="shared" ca="1" si="0"/>
        <v>0.10643804120615363</v>
      </c>
      <c r="B30" s="60">
        <f>Data!I77</f>
        <v>4.4000000000000004</v>
      </c>
      <c r="C30" s="60">
        <f>Data!J77</f>
        <v>33.603200000000001</v>
      </c>
      <c r="D30" s="61">
        <f t="array" ref="D30">MOD(ROW(), 3) + 1</f>
        <v>1</v>
      </c>
      <c r="E30" s="11"/>
      <c r="F30" s="63">
        <f t="array" ref="F30">IFERROR(INDEX($B$1:$B$247, SMALL(IF($D$1:$D$247=$E$3,ROW($D$1:$D$247)),ROW()-2),1),"")</f>
        <v>3</v>
      </c>
      <c r="G30" s="63">
        <f t="array" ref="G30">IFERROR(INDEX($C$1:$C$247, SMALL(IF($D$1:$D$247=$E$3,ROW($D$1:$D$247)),ROW()-2),1),"")</f>
        <v>32.286000000000001</v>
      </c>
      <c r="H30" s="64">
        <f t="array" ref="H30">IFERROR(INDEX($B$1:$B$247, SMALL(IF($D$1:$D$247=$E$4,ROW($D$1:$D$247)),ROW()-2),1),"")</f>
        <v>4.4000000000000004</v>
      </c>
      <c r="I30" s="64">
        <f t="array" ref="I30">IFERROR(INDEX($C$1:$C$247, SMALL(IF($D$1:$D$247=$E$4,ROW($D$1:$D$247)),ROW()-2),1),"")</f>
        <v>33.603200000000001</v>
      </c>
      <c r="J30" s="65">
        <f t="array" ref="J30">IFERROR(INDEX($B$1:$B$247, SMALL(IF($D$1:$D$247=$E$5,ROW($D$1:$D$247)),ROW()-2),1),"")</f>
        <v>5.6</v>
      </c>
      <c r="K30" s="65">
        <f t="array" ref="K30">IFERROR(INDEX($C$1:$C$247, SMALL(IF($D$1:$D$247=$E$5,ROW($D$1:$D$247)),ROW()-2),1),"")</f>
        <v>32.4</v>
      </c>
      <c r="R30" s="63">
        <v>3</v>
      </c>
      <c r="S30" s="63">
        <v>32.286000000000001</v>
      </c>
      <c r="T30" s="64">
        <v>4.4000000000000004</v>
      </c>
      <c r="U30" s="64">
        <v>33.603200000000001</v>
      </c>
      <c r="V30" s="65">
        <v>5.6</v>
      </c>
      <c r="W30" s="65">
        <v>32.4</v>
      </c>
    </row>
    <row r="31" spans="1:23" ht="15.75">
      <c r="A31" s="11">
        <f t="shared" ca="1" si="0"/>
        <v>0.25284420565342125</v>
      </c>
      <c r="B31" s="60">
        <f>Data!I196</f>
        <v>4.4000000000000004</v>
      </c>
      <c r="C31" s="60">
        <f>Data!J196</f>
        <v>28.1647</v>
      </c>
      <c r="D31" s="61">
        <f t="array" ref="D31">MOD(ROW(), 3) + 1</f>
        <v>2</v>
      </c>
      <c r="E31" s="11"/>
      <c r="F31" s="63">
        <f t="array" ref="F31">IFERROR(INDEX($B$1:$B$247, SMALL(IF($D$1:$D$247=$E$3,ROW($D$1:$D$247)),ROW()-2),1),"")</f>
        <v>3</v>
      </c>
      <c r="G31" s="63">
        <f t="array" ref="G31">IFERROR(INDEX($C$1:$C$247, SMALL(IF($D$1:$D$247=$E$3,ROW($D$1:$D$247)),ROW()-2),1),"")</f>
        <v>36.473799999999997</v>
      </c>
      <c r="H31" s="64">
        <f t="array" ref="H31">IFERROR(INDEX($B$1:$B$247, SMALL(IF($D$1:$D$247=$E$4,ROW($D$1:$D$247)),ROW()-2),1),"")</f>
        <v>1.8</v>
      </c>
      <c r="I31" s="64">
        <f t="array" ref="I31">IFERROR(INDEX($C$1:$C$247, SMALL(IF($D$1:$D$247=$E$4,ROW($D$1:$D$247)),ROW()-2),1),"")</f>
        <v>56.991500000000002</v>
      </c>
      <c r="J31" s="65">
        <f t="array" ref="J31">IFERROR(INDEX($B$1:$B$247, SMALL(IF($D$1:$D$247=$E$5,ROW($D$1:$D$247)),ROW()-2),1),"")</f>
        <v>4.4000000000000004</v>
      </c>
      <c r="K31" s="65">
        <f t="array" ref="K31">IFERROR(INDEX($C$1:$C$247, SMALL(IF($D$1:$D$247=$E$5,ROW($D$1:$D$247)),ROW()-2),1),"")</f>
        <v>30.547999999999998</v>
      </c>
      <c r="R31" s="63">
        <v>3</v>
      </c>
      <c r="S31" s="63">
        <v>36.473799999999997</v>
      </c>
      <c r="T31" s="64">
        <v>1.8</v>
      </c>
      <c r="U31" s="64">
        <v>56.991500000000002</v>
      </c>
      <c r="V31" s="65">
        <v>4.4000000000000004</v>
      </c>
      <c r="W31" s="65">
        <v>30.547999999999998</v>
      </c>
    </row>
    <row r="32" spans="1:23" ht="15.75">
      <c r="A32" s="11">
        <f t="shared" ca="1" si="0"/>
        <v>5.9633126970100037E-2</v>
      </c>
      <c r="B32" s="60">
        <f>Data!I79</f>
        <v>3.6</v>
      </c>
      <c r="C32" s="60">
        <f>Data!J79</f>
        <v>37.487400000000001</v>
      </c>
      <c r="D32" s="61">
        <f t="array" ref="D32">MOD(ROW(), 3) + 1</f>
        <v>3</v>
      </c>
      <c r="E32" s="11"/>
      <c r="F32" s="63">
        <f t="array" ref="F32">IFERROR(INDEX($B$1:$B$247, SMALL(IF($D$1:$D$247=$E$3,ROW($D$1:$D$247)),ROW()-2),1),"")</f>
        <v>2</v>
      </c>
      <c r="G32" s="63">
        <f t="array" ref="G32">IFERROR(INDEX($C$1:$C$247, SMALL(IF($D$1:$D$247=$E$3,ROW($D$1:$D$247)),ROW()-2),1),"")</f>
        <v>42.973300000000002</v>
      </c>
      <c r="H32" s="64">
        <f t="array" ref="H32">IFERROR(INDEX($B$1:$B$247, SMALL(IF($D$1:$D$247=$E$4,ROW($D$1:$D$247)),ROW()-2),1),"")</f>
        <v>5.7</v>
      </c>
      <c r="I32" s="64">
        <f t="array" ref="I32">IFERROR(INDEX($C$1:$C$247, SMALL(IF($D$1:$D$247=$E$4,ROW($D$1:$D$247)),ROW()-2),1),"")</f>
        <v>27.2941</v>
      </c>
      <c r="J32" s="65">
        <f t="array" ref="J32">IFERROR(INDEX($B$1:$B$247, SMALL(IF($D$1:$D$247=$E$5,ROW($D$1:$D$247)),ROW()-2),1),"")</f>
        <v>2.4</v>
      </c>
      <c r="K32" s="65">
        <f t="array" ref="K32">IFERROR(INDEX($C$1:$C$247, SMALL(IF($D$1:$D$247=$E$5,ROW($D$1:$D$247)),ROW()-2),1),"")</f>
        <v>38.700000000000003</v>
      </c>
      <c r="R32" s="63">
        <v>2</v>
      </c>
      <c r="S32" s="63">
        <v>42.973300000000002</v>
      </c>
      <c r="T32" s="64">
        <v>5.7</v>
      </c>
      <c r="U32" s="64">
        <v>27.2941</v>
      </c>
      <c r="V32" s="65">
        <v>2.4</v>
      </c>
      <c r="W32" s="65">
        <v>38.700000000000003</v>
      </c>
    </row>
    <row r="33" spans="1:23" ht="15.75">
      <c r="A33" s="11">
        <f t="shared" ca="1" si="0"/>
        <v>0.39747897091534246</v>
      </c>
      <c r="B33" s="60">
        <f>Data!I193</f>
        <v>3</v>
      </c>
      <c r="C33" s="60">
        <f>Data!J193</f>
        <v>35.505200000000002</v>
      </c>
      <c r="D33" s="61">
        <f t="array" ref="D33">MOD(ROW(), 3) + 1</f>
        <v>1</v>
      </c>
      <c r="E33" s="11"/>
      <c r="F33" s="63">
        <f t="array" ref="F33">IFERROR(INDEX($B$1:$B$247, SMALL(IF($D$1:$D$247=$E$3,ROW($D$1:$D$247)),ROW()-2),1),"")</f>
        <v>2.5</v>
      </c>
      <c r="G33" s="63">
        <f t="array" ref="G33">IFERROR(INDEX($C$1:$C$247, SMALL(IF($D$1:$D$247=$E$3,ROW($D$1:$D$247)),ROW()-2),1),"")</f>
        <v>31.366900000000001</v>
      </c>
      <c r="H33" s="64">
        <f t="array" ref="H33">IFERROR(INDEX($B$1:$B$247, SMALL(IF($D$1:$D$247=$E$4,ROW($D$1:$D$247)),ROW()-2),1),"")</f>
        <v>1.6</v>
      </c>
      <c r="I33" s="64">
        <f t="array" ref="I33">IFERROR(INDEX($C$1:$C$247, SMALL(IF($D$1:$D$247=$E$4,ROW($D$1:$D$247)),ROW()-2),1),"")</f>
        <v>45.5</v>
      </c>
      <c r="J33" s="65">
        <f t="array" ref="J33">IFERROR(INDEX($B$1:$B$247, SMALL(IF($D$1:$D$247=$E$5,ROW($D$1:$D$247)),ROW()-2),1),"")</f>
        <v>5</v>
      </c>
      <c r="K33" s="65">
        <f t="array" ref="K33">IFERROR(INDEX($C$1:$C$247, SMALL(IF($D$1:$D$247=$E$5,ROW($D$1:$D$247)),ROW()-2),1),"")</f>
        <v>23.602799999999998</v>
      </c>
      <c r="R33" s="63">
        <v>2.5</v>
      </c>
      <c r="S33" s="63">
        <v>31.366900000000001</v>
      </c>
      <c r="T33" s="64">
        <v>1.6</v>
      </c>
      <c r="U33" s="64">
        <v>45.5</v>
      </c>
      <c r="V33" s="65">
        <v>5</v>
      </c>
      <c r="W33" s="65">
        <v>23.602799999999998</v>
      </c>
    </row>
    <row r="34" spans="1:23" ht="15.75">
      <c r="A34" s="11">
        <f t="shared" ca="1" si="0"/>
        <v>0.24655474006699207</v>
      </c>
      <c r="B34" s="60">
        <f>Data!I215</f>
        <v>5</v>
      </c>
      <c r="C34" s="60">
        <f>Data!J215</f>
        <v>24.7928</v>
      </c>
      <c r="D34" s="61">
        <f t="array" ref="D34">MOD(ROW(), 3) + 1</f>
        <v>2</v>
      </c>
      <c r="E34" s="11"/>
      <c r="F34" s="63">
        <f t="array" ref="F34">IFERROR(INDEX($B$1:$B$247, SMALL(IF($D$1:$D$247=$E$3,ROW($D$1:$D$247)),ROW()-2),1),"")</f>
        <v>2.5</v>
      </c>
      <c r="G34" s="63">
        <f t="array" ref="G34">IFERROR(INDEX($C$1:$C$247, SMALL(IF($D$1:$D$247=$E$3,ROW($D$1:$D$247)),ROW()-2),1),"")</f>
        <v>37.979999999999997</v>
      </c>
      <c r="H34" s="64">
        <f t="array" ref="H34">IFERROR(INDEX($B$1:$B$247, SMALL(IF($D$1:$D$247=$E$4,ROW($D$1:$D$247)),ROW()-2),1),"")</f>
        <v>3.6</v>
      </c>
      <c r="I34" s="64">
        <f t="array" ref="I34">IFERROR(INDEX($C$1:$C$247, SMALL(IF($D$1:$D$247=$E$4,ROW($D$1:$D$247)),ROW()-2),1),"")</f>
        <v>37.299799999999998</v>
      </c>
      <c r="J34" s="65">
        <f t="array" ref="J34">IFERROR(INDEX($B$1:$B$247, SMALL(IF($D$1:$D$247=$E$5,ROW($D$1:$D$247)),ROW()-2),1),"")</f>
        <v>2</v>
      </c>
      <c r="K34" s="65">
        <f t="array" ref="K34">IFERROR(INDEX($C$1:$C$247, SMALL(IF($D$1:$D$247=$E$5,ROW($D$1:$D$247)),ROW()-2),1),"")</f>
        <v>46.2</v>
      </c>
      <c r="R34" s="63">
        <v>2.5</v>
      </c>
      <c r="S34" s="63">
        <v>37.979999999999997</v>
      </c>
      <c r="T34" s="64">
        <v>3.6</v>
      </c>
      <c r="U34" s="64">
        <v>37.299799999999998</v>
      </c>
      <c r="V34" s="65">
        <v>2</v>
      </c>
      <c r="W34" s="65">
        <v>46.2</v>
      </c>
    </row>
    <row r="35" spans="1:23" ht="15.75">
      <c r="A35" s="11">
        <f t="shared" ca="1" si="0"/>
        <v>0.78278198591072079</v>
      </c>
      <c r="B35" s="60">
        <f>Data!I76</f>
        <v>4.4000000000000004</v>
      </c>
      <c r="C35" s="60">
        <f>Data!J76</f>
        <v>33.049900000000001</v>
      </c>
      <c r="D35" s="61">
        <f t="array" ref="D35">MOD(ROW(), 3) + 1</f>
        <v>3</v>
      </c>
      <c r="E35" s="11"/>
      <c r="F35" s="63">
        <f t="array" ref="F35">IFERROR(INDEX($B$1:$B$247, SMALL(IF($D$1:$D$247=$E$3,ROW($D$1:$D$247)),ROW()-2),1),"")</f>
        <v>5.4</v>
      </c>
      <c r="G35" s="63">
        <f t="array" ref="G35">IFERROR(INDEX($C$1:$C$247, SMALL(IF($D$1:$D$247=$E$3,ROW($D$1:$D$247)),ROW()-2),1),"")</f>
        <v>21.641200000000001</v>
      </c>
      <c r="H35" s="64">
        <f t="array" ref="H35">IFERROR(INDEX($B$1:$B$247, SMALL(IF($D$1:$D$247=$E$4,ROW($D$1:$D$247)),ROW()-2),1),"")</f>
        <v>3</v>
      </c>
      <c r="I35" s="64">
        <f t="array" ref="I35">IFERROR(INDEX($C$1:$C$247, SMALL(IF($D$1:$D$247=$E$4,ROW($D$1:$D$247)),ROW()-2),1),"")</f>
        <v>35.993099999999998</v>
      </c>
      <c r="J35" s="65">
        <f t="array" ref="J35">IFERROR(INDEX($B$1:$B$247, SMALL(IF($D$1:$D$247=$E$5,ROW($D$1:$D$247)),ROW()-2),1),"")</f>
        <v>2.4</v>
      </c>
      <c r="K35" s="65">
        <f t="array" ref="K35">IFERROR(INDEX($C$1:$C$247, SMALL(IF($D$1:$D$247=$E$5,ROW($D$1:$D$247)),ROW()-2),1),"")</f>
        <v>37.299999999999997</v>
      </c>
      <c r="R35" s="63">
        <v>5.4</v>
      </c>
      <c r="S35" s="63">
        <v>21.641200000000001</v>
      </c>
      <c r="T35" s="64">
        <v>3</v>
      </c>
      <c r="U35" s="64">
        <v>35.993099999999998</v>
      </c>
      <c r="V35" s="65">
        <v>2.4</v>
      </c>
      <c r="W35" s="65">
        <v>37.299999999999997</v>
      </c>
    </row>
    <row r="36" spans="1:23" ht="15.75">
      <c r="A36" s="11">
        <f t="shared" ca="1" si="0"/>
        <v>0.35403895070209401</v>
      </c>
      <c r="B36" s="60">
        <f>Data!I237</f>
        <v>2.4</v>
      </c>
      <c r="C36" s="60">
        <f>Data!J237</f>
        <v>44.8</v>
      </c>
      <c r="D36" s="61">
        <f t="array" ref="D36">MOD(ROW(), 3) + 1</f>
        <v>1</v>
      </c>
      <c r="E36" s="11"/>
      <c r="F36" s="63">
        <f t="array" ref="F36">IFERROR(INDEX($B$1:$B$247, SMALL(IF($D$1:$D$247=$E$3,ROW($D$1:$D$247)),ROW()-2),1),"")</f>
        <v>3.8</v>
      </c>
      <c r="G36" s="63">
        <f t="array" ref="G36">IFERROR(INDEX($C$1:$C$247, SMALL(IF($D$1:$D$247=$E$3,ROW($D$1:$D$247)),ROW()-2),1),"")</f>
        <v>36.027700000000003</v>
      </c>
      <c r="H36" s="64">
        <f t="array" ref="H36">IFERROR(INDEX($B$1:$B$247, SMALL(IF($D$1:$D$247=$E$4,ROW($D$1:$D$247)),ROW()-2),1),"")</f>
        <v>2.4</v>
      </c>
      <c r="I36" s="64">
        <f t="array" ref="I36">IFERROR(INDEX($C$1:$C$247, SMALL(IF($D$1:$D$247=$E$4,ROW($D$1:$D$247)),ROW()-2),1),"")</f>
        <v>59.9</v>
      </c>
      <c r="J36" s="65">
        <f t="array" ref="J36">IFERROR(INDEX($B$1:$B$247, SMALL(IF($D$1:$D$247=$E$5,ROW($D$1:$D$247)),ROW()-2),1),"")</f>
        <v>5.6</v>
      </c>
      <c r="K36" s="65">
        <f t="array" ref="K36">IFERROR(INDEX($C$1:$C$247, SMALL(IF($D$1:$D$247=$E$5,ROW($D$1:$D$247)),ROW()-2),1),"")</f>
        <v>34.5</v>
      </c>
      <c r="R36" s="63">
        <v>3.8</v>
      </c>
      <c r="S36" s="63">
        <v>36.027700000000003</v>
      </c>
      <c r="T36" s="64">
        <v>2.4</v>
      </c>
      <c r="U36" s="64">
        <v>59.9</v>
      </c>
      <c r="V36" s="65">
        <v>5.6</v>
      </c>
      <c r="W36" s="65">
        <v>34.5</v>
      </c>
    </row>
    <row r="37" spans="1:23" ht="15.75">
      <c r="A37" s="11">
        <f t="shared" ca="1" si="0"/>
        <v>0.1561595882670781</v>
      </c>
      <c r="B37" s="60">
        <f>Data!I198</f>
        <v>6.2</v>
      </c>
      <c r="C37" s="60">
        <f>Data!J198</f>
        <v>24.2</v>
      </c>
      <c r="D37" s="61">
        <f t="array" ref="D37">MOD(ROW(), 3) + 1</f>
        <v>2</v>
      </c>
      <c r="E37" s="11"/>
      <c r="F37" s="63">
        <f t="array" ref="F37">IFERROR(INDEX($B$1:$B$247, SMALL(IF($D$1:$D$247=$E$3,ROW($D$1:$D$247)),ROW()-2),1),"")</f>
        <v>3.7</v>
      </c>
      <c r="G37" s="63">
        <f t="array" ref="G37">IFERROR(INDEX($C$1:$C$247, SMALL(IF($D$1:$D$247=$E$3,ROW($D$1:$D$247)),ROW()-2),1),"")</f>
        <v>35.162799999999997</v>
      </c>
      <c r="H37" s="64">
        <f t="array" ref="H37">IFERROR(INDEX($B$1:$B$247, SMALL(IF($D$1:$D$247=$E$4,ROW($D$1:$D$247)),ROW()-2),1),"")</f>
        <v>2</v>
      </c>
      <c r="I37" s="64">
        <f t="array" ref="I37">IFERROR(INDEX($C$1:$C$247, SMALL(IF($D$1:$D$247=$E$4,ROW($D$1:$D$247)),ROW()-2),1),"")</f>
        <v>41.566099999999999</v>
      </c>
      <c r="J37" s="65">
        <f t="array" ref="J37">IFERROR(INDEX($B$1:$B$247, SMALL(IF($D$1:$D$247=$E$5,ROW($D$1:$D$247)),ROW()-2),1),"")</f>
        <v>3.7</v>
      </c>
      <c r="K37" s="65">
        <f t="array" ref="K37">IFERROR(INDEX($C$1:$C$247, SMALL(IF($D$1:$D$247=$E$5,ROW($D$1:$D$247)),ROW()-2),1),"")</f>
        <v>28.5</v>
      </c>
      <c r="R37" s="63">
        <v>3.7</v>
      </c>
      <c r="S37" s="63">
        <v>35.162799999999997</v>
      </c>
      <c r="T37" s="64">
        <v>2</v>
      </c>
      <c r="U37" s="64">
        <v>41.566099999999999</v>
      </c>
      <c r="V37" s="65">
        <v>3.7</v>
      </c>
      <c r="W37" s="65">
        <v>28.5</v>
      </c>
    </row>
    <row r="38" spans="1:23" ht="15.75">
      <c r="A38" s="11">
        <f t="shared" ca="1" si="0"/>
        <v>0.70670941689458355</v>
      </c>
      <c r="B38" s="60">
        <f>Data!I161</f>
        <v>6</v>
      </c>
      <c r="C38" s="60">
        <f>Data!J161</f>
        <v>21.628499999999999</v>
      </c>
      <c r="D38" s="61">
        <f t="array" ref="D38">MOD(ROW(), 3) + 1</f>
        <v>3</v>
      </c>
      <c r="E38" s="11"/>
      <c r="F38" s="63">
        <f t="array" ref="F38">IFERROR(INDEX($B$1:$B$247, SMALL(IF($D$1:$D$247=$E$3,ROW($D$1:$D$247)),ROW()-2),1),"")</f>
        <v>6</v>
      </c>
      <c r="G38" s="63">
        <f t="array" ref="G38">IFERROR(INDEX($C$1:$C$247, SMALL(IF($D$1:$D$247=$E$3,ROW($D$1:$D$247)),ROW()-2),1),"")</f>
        <v>24.7</v>
      </c>
      <c r="H38" s="64">
        <f t="array" ref="H38">IFERROR(INDEX($B$1:$B$247, SMALL(IF($D$1:$D$247=$E$4,ROW($D$1:$D$247)),ROW()-2),1),"")</f>
        <v>2.4</v>
      </c>
      <c r="I38" s="64">
        <f t="array" ref="I38">IFERROR(INDEX($C$1:$C$247, SMALL(IF($D$1:$D$247=$E$4,ROW($D$1:$D$247)),ROW()-2),1),"")</f>
        <v>37.4</v>
      </c>
      <c r="J38" s="65">
        <f t="array" ref="J38">IFERROR(INDEX($B$1:$B$247, SMALL(IF($D$1:$D$247=$E$5,ROW($D$1:$D$247)),ROW()-2),1),"")</f>
        <v>1.6</v>
      </c>
      <c r="K38" s="65">
        <f t="array" ref="K38">IFERROR(INDEX($C$1:$C$247, SMALL(IF($D$1:$D$247=$E$5,ROW($D$1:$D$247)),ROW()-2),1),"")</f>
        <v>52.6</v>
      </c>
      <c r="R38" s="63">
        <v>6</v>
      </c>
      <c r="S38" s="63">
        <v>24.7</v>
      </c>
      <c r="T38" s="64">
        <v>2.4</v>
      </c>
      <c r="U38" s="64">
        <v>37.4</v>
      </c>
      <c r="V38" s="65">
        <v>1.6</v>
      </c>
      <c r="W38" s="65">
        <v>52.6</v>
      </c>
    </row>
    <row r="39" spans="1:23" ht="15.75">
      <c r="A39" s="11">
        <f t="shared" ca="1" si="0"/>
        <v>0.71045989318334035</v>
      </c>
      <c r="B39" s="60">
        <f>Data!I119</f>
        <v>1.6</v>
      </c>
      <c r="C39" s="60">
        <f>Data!J119</f>
        <v>45.5991</v>
      </c>
      <c r="D39" s="61">
        <f t="array" ref="D39">MOD(ROW(), 3) + 1</f>
        <v>1</v>
      </c>
      <c r="E39" s="11"/>
      <c r="F39" s="63">
        <f t="array" ref="F39">IFERROR(INDEX($B$1:$B$247, SMALL(IF($D$1:$D$247=$E$3,ROW($D$1:$D$247)),ROW()-2),1),"")</f>
        <v>3.6</v>
      </c>
      <c r="G39" s="63">
        <f t="array" ref="G39">IFERROR(INDEX($C$1:$C$247, SMALL(IF($D$1:$D$247=$E$3,ROW($D$1:$D$247)),ROW()-2),1),"")</f>
        <v>32.299999999999997</v>
      </c>
      <c r="H39" s="64">
        <f t="array" ref="H39">IFERROR(INDEX($B$1:$B$247, SMALL(IF($D$1:$D$247=$E$4,ROW($D$1:$D$247)),ROW()-2),1),"")</f>
        <v>2</v>
      </c>
      <c r="I39" s="64">
        <f t="array" ref="I39">IFERROR(INDEX($C$1:$C$247, SMALL(IF($D$1:$D$247=$E$4,ROW($D$1:$D$247)),ROW()-2),1),"")</f>
        <v>48.7</v>
      </c>
      <c r="J39" s="65">
        <f t="array" ref="J39">IFERROR(INDEX($B$1:$B$247, SMALL(IF($D$1:$D$247=$E$5,ROW($D$1:$D$247)),ROW()-2),1),"")</f>
        <v>1.6</v>
      </c>
      <c r="K39" s="65">
        <f t="array" ref="K39">IFERROR(INDEX($C$1:$C$247, SMALL(IF($D$1:$D$247=$E$5,ROW($D$1:$D$247)),ROW()-2),1),"")</f>
        <v>45.3</v>
      </c>
      <c r="R39" s="63">
        <v>3.6</v>
      </c>
      <c r="S39" s="63">
        <v>32.299999999999997</v>
      </c>
      <c r="T39" s="64">
        <v>2</v>
      </c>
      <c r="U39" s="64">
        <v>48.7</v>
      </c>
      <c r="V39" s="65">
        <v>1.6</v>
      </c>
      <c r="W39" s="65">
        <v>45.3</v>
      </c>
    </row>
    <row r="40" spans="1:23" ht="15.75">
      <c r="A40" s="11">
        <f t="shared" ca="1" si="0"/>
        <v>0.59343173822141759</v>
      </c>
      <c r="B40" s="60">
        <f>Data!I94</f>
        <v>3</v>
      </c>
      <c r="C40" s="60">
        <f>Data!J94</f>
        <v>39.700000000000003</v>
      </c>
      <c r="D40" s="61">
        <f t="array" ref="D40">MOD(ROW(), 3) + 1</f>
        <v>2</v>
      </c>
      <c r="E40" s="11"/>
      <c r="F40" s="63">
        <f t="array" ref="F40">IFERROR(INDEX($B$1:$B$247, SMALL(IF($D$1:$D$247=$E$3,ROW($D$1:$D$247)),ROW()-2),1),"")</f>
        <v>3.7</v>
      </c>
      <c r="G40" s="63">
        <f t="array" ref="G40">IFERROR(INDEX($C$1:$C$247, SMALL(IF($D$1:$D$247=$E$3,ROW($D$1:$D$247)),ROW()-2),1),"")</f>
        <v>36.752800000000001</v>
      </c>
      <c r="H40" s="64">
        <f t="array" ref="H40">IFERROR(INDEX($B$1:$B$247, SMALL(IF($D$1:$D$247=$E$4,ROW($D$1:$D$247)),ROW()-2),1),"")</f>
        <v>3.8</v>
      </c>
      <c r="I40" s="64">
        <f t="array" ref="I40">IFERROR(INDEX($C$1:$C$247, SMALL(IF($D$1:$D$247=$E$4,ROW($D$1:$D$247)),ROW()-2),1),"")</f>
        <v>36.7669</v>
      </c>
      <c r="J40" s="65">
        <f t="array" ref="J40">IFERROR(INDEX($B$1:$B$247, SMALL(IF($D$1:$D$247=$E$5,ROW($D$1:$D$247)),ROW()-2),1),"")</f>
        <v>3</v>
      </c>
      <c r="K40" s="65">
        <f t="array" ref="K40">IFERROR(INDEX($C$1:$C$247, SMALL(IF($D$1:$D$247=$E$5,ROW($D$1:$D$247)),ROW()-2),1),"")</f>
        <v>37.999699999999997</v>
      </c>
      <c r="R40" s="63">
        <v>3.7</v>
      </c>
      <c r="S40" s="63">
        <v>36.752800000000001</v>
      </c>
      <c r="T40" s="64">
        <v>3.8</v>
      </c>
      <c r="U40" s="64">
        <v>36.7669</v>
      </c>
      <c r="V40" s="65">
        <v>3</v>
      </c>
      <c r="W40" s="65">
        <v>37.999699999999997</v>
      </c>
    </row>
    <row r="41" spans="1:23" ht="15.75">
      <c r="A41" s="11">
        <f t="shared" ca="1" si="0"/>
        <v>0.88790765053170762</v>
      </c>
      <c r="B41" s="60">
        <f>Data!I75</f>
        <v>6.8</v>
      </c>
      <c r="C41" s="60">
        <f>Data!J75</f>
        <v>23.4</v>
      </c>
      <c r="D41" s="61">
        <f t="array" ref="D41">MOD(ROW(), 3) + 1</f>
        <v>3</v>
      </c>
      <c r="E41" s="11"/>
      <c r="F41" s="63">
        <f t="array" ref="F41">IFERROR(INDEX($B$1:$B$247, SMALL(IF($D$1:$D$247=$E$3,ROW($D$1:$D$247)),ROW()-2),1),"")</f>
        <v>3.2</v>
      </c>
      <c r="G41" s="63">
        <f t="array" ref="G41">IFERROR(INDEX($C$1:$C$247, SMALL(IF($D$1:$D$247=$E$3,ROW($D$1:$D$247)),ROW()-2),1),"")</f>
        <v>34.542400000000001</v>
      </c>
      <c r="H41" s="64">
        <f t="array" ref="H41">IFERROR(INDEX($B$1:$B$247, SMALL(IF($D$1:$D$247=$E$4,ROW($D$1:$D$247)),ROW()-2),1),"")</f>
        <v>1.4</v>
      </c>
      <c r="I41" s="64">
        <f t="array" ref="I41">IFERROR(INDEX($C$1:$C$247, SMALL(IF($D$1:$D$247=$E$4,ROW($D$1:$D$247)),ROW()-2),1),"")</f>
        <v>54.05</v>
      </c>
      <c r="J41" s="65">
        <f t="array" ref="J41">IFERROR(INDEX($B$1:$B$247, SMALL(IF($D$1:$D$247=$E$5,ROW($D$1:$D$247)),ROW()-2),1),"")</f>
        <v>2.2000000000000002</v>
      </c>
      <c r="K41" s="65">
        <f t="array" ref="K41">IFERROR(INDEX($C$1:$C$247, SMALL(IF($D$1:$D$247=$E$5,ROW($D$1:$D$247)),ROW()-2),1),"")</f>
        <v>30.45</v>
      </c>
      <c r="R41" s="63">
        <v>3.2</v>
      </c>
      <c r="S41" s="63">
        <v>34.542400000000001</v>
      </c>
      <c r="T41" s="64">
        <v>1.4</v>
      </c>
      <c r="U41" s="64">
        <v>54.05</v>
      </c>
      <c r="V41" s="65">
        <v>2.2000000000000002</v>
      </c>
      <c r="W41" s="65">
        <v>30.45</v>
      </c>
    </row>
    <row r="42" spans="1:23" ht="15.75">
      <c r="A42" s="11">
        <f t="shared" ca="1" si="0"/>
        <v>5.5100316404824157E-2</v>
      </c>
      <c r="B42" s="60">
        <f>Data!I100</f>
        <v>4.4000000000000004</v>
      </c>
      <c r="C42" s="60">
        <f>Data!J100</f>
        <v>31.227399999999999</v>
      </c>
      <c r="D42" s="61">
        <f t="array" ref="D42">MOD(ROW(), 3) + 1</f>
        <v>1</v>
      </c>
      <c r="E42" s="11"/>
      <c r="F42" s="63">
        <f t="array" ref="F42">IFERROR(INDEX($B$1:$B$247, SMALL(IF($D$1:$D$247=$E$3,ROW($D$1:$D$247)),ROW()-2),1),"")</f>
        <v>3.6</v>
      </c>
      <c r="G42" s="63">
        <f t="array" ref="G42">IFERROR(INDEX($C$1:$C$247, SMALL(IF($D$1:$D$247=$E$3,ROW($D$1:$D$247)),ROW()-2),1),"")</f>
        <v>35</v>
      </c>
      <c r="H42" s="64">
        <f t="array" ref="H42">IFERROR(INDEX($B$1:$B$247, SMALL(IF($D$1:$D$247=$E$4,ROW($D$1:$D$247)),ROW()-2),1),"")</f>
        <v>3.7</v>
      </c>
      <c r="I42" s="64">
        <f t="array" ref="I42">IFERROR(INDEX($C$1:$C$247, SMALL(IF($D$1:$D$247=$E$4,ROW($D$1:$D$247)),ROW()-2),1),"")</f>
        <v>24.4</v>
      </c>
      <c r="J42" s="65">
        <f t="array" ref="J42">IFERROR(INDEX($B$1:$B$247, SMALL(IF($D$1:$D$247=$E$5,ROW($D$1:$D$247)),ROW()-2),1),"")</f>
        <v>3.2</v>
      </c>
      <c r="K42" s="65">
        <f t="array" ref="K42">IFERROR(INDEX($C$1:$C$247, SMALL(IF($D$1:$D$247=$E$5,ROW($D$1:$D$247)),ROW()-2),1),"")</f>
        <v>34.542400000000001</v>
      </c>
      <c r="R42" s="63">
        <v>3.6</v>
      </c>
      <c r="S42" s="63">
        <v>35</v>
      </c>
      <c r="T42" s="64">
        <v>3.7</v>
      </c>
      <c r="U42" s="64">
        <v>24.4</v>
      </c>
      <c r="V42" s="65">
        <v>3.2</v>
      </c>
      <c r="W42" s="65">
        <v>34.542400000000001</v>
      </c>
    </row>
    <row r="43" spans="1:23" ht="15.75">
      <c r="A43" s="11">
        <f t="shared" ca="1" si="0"/>
        <v>0.80775493571913037</v>
      </c>
      <c r="B43" s="60">
        <f>Data!I111</f>
        <v>4.5999999999999996</v>
      </c>
      <c r="C43" s="60">
        <f>Data!J111</f>
        <v>33.9</v>
      </c>
      <c r="D43" s="61">
        <f t="array" ref="D43">MOD(ROW(), 3) + 1</f>
        <v>2</v>
      </c>
      <c r="E43" s="11"/>
      <c r="F43" s="63">
        <f t="array" ref="F43">IFERROR(INDEX($B$1:$B$247, SMALL(IF($D$1:$D$247=$E$3,ROW($D$1:$D$247)),ROW()-2),1),"")</f>
        <v>2.5</v>
      </c>
      <c r="G43" s="63">
        <f t="array" ref="G43">IFERROR(INDEX($C$1:$C$247, SMALL(IF($D$1:$D$247=$E$3,ROW($D$1:$D$247)),ROW()-2),1),"")</f>
        <v>34.434100000000001</v>
      </c>
      <c r="H43" s="64">
        <f t="array" ref="H43">IFERROR(INDEX($B$1:$B$247, SMALL(IF($D$1:$D$247=$E$4,ROW($D$1:$D$247)),ROW()-2),1),"")</f>
        <v>6</v>
      </c>
      <c r="I43" s="64">
        <f t="array" ref="I43">IFERROR(INDEX($C$1:$C$247, SMALL(IF($D$1:$D$247=$E$4,ROW($D$1:$D$247)),ROW()-2),1),"")</f>
        <v>21.473400000000002</v>
      </c>
      <c r="J43" s="65">
        <f t="array" ref="J43">IFERROR(INDEX($B$1:$B$247, SMALL(IF($D$1:$D$247=$E$5,ROW($D$1:$D$247)),ROW()-2),1),"")</f>
        <v>2</v>
      </c>
      <c r="K43" s="65">
        <f t="array" ref="K43">IFERROR(INDEX($C$1:$C$247, SMALL(IF($D$1:$D$247=$E$5,ROW($D$1:$D$247)),ROW()-2),1),"")</f>
        <v>39.4</v>
      </c>
      <c r="R43" s="63">
        <v>2.5</v>
      </c>
      <c r="S43" s="63">
        <v>34.434100000000001</v>
      </c>
      <c r="T43" s="64">
        <v>6</v>
      </c>
      <c r="U43" s="64">
        <v>21.473400000000002</v>
      </c>
      <c r="V43" s="65">
        <v>2</v>
      </c>
      <c r="W43" s="65">
        <v>39.4</v>
      </c>
    </row>
    <row r="44" spans="1:23" ht="15.75">
      <c r="A44" s="11">
        <f t="shared" ca="1" si="0"/>
        <v>0.51150414379383446</v>
      </c>
      <c r="B44" s="60">
        <f>Data!I199</f>
        <v>6.2</v>
      </c>
      <c r="C44" s="60">
        <f>Data!J199</f>
        <v>24.2</v>
      </c>
      <c r="D44" s="61">
        <f t="array" ref="D44">MOD(ROW(), 3) + 1</f>
        <v>3</v>
      </c>
      <c r="E44" s="11"/>
      <c r="F44" s="63">
        <f t="array" ref="F44">IFERROR(INDEX($B$1:$B$247, SMALL(IF($D$1:$D$247=$E$3,ROW($D$1:$D$247)),ROW()-2),1),"")</f>
        <v>5.4</v>
      </c>
      <c r="G44" s="63">
        <f t="array" ref="G44">IFERROR(INDEX($C$1:$C$247, SMALL(IF($D$1:$D$247=$E$3,ROW($D$1:$D$247)),ROW()-2),1),"")</f>
        <v>21.2</v>
      </c>
      <c r="H44" s="64">
        <f t="array" ref="H44">IFERROR(INDEX($B$1:$B$247, SMALL(IF($D$1:$D$247=$E$4,ROW($D$1:$D$247)),ROW()-2),1),"")</f>
        <v>2</v>
      </c>
      <c r="I44" s="64">
        <f t="array" ref="I44">IFERROR(INDEX($C$1:$C$247, SMALL(IF($D$1:$D$247=$E$4,ROW($D$1:$D$247)),ROW()-2),1),"")</f>
        <v>46.2</v>
      </c>
      <c r="J44" s="65">
        <f t="array" ref="J44">IFERROR(INDEX($B$1:$B$247, SMALL(IF($D$1:$D$247=$E$5,ROW($D$1:$D$247)),ROW()-2),1),"")</f>
        <v>3.5</v>
      </c>
      <c r="K44" s="65">
        <f t="array" ref="K44">IFERROR(INDEX($C$1:$C$247, SMALL(IF($D$1:$D$247=$E$5,ROW($D$1:$D$247)),ROW()-2),1),"")</f>
        <v>34.9</v>
      </c>
      <c r="R44" s="63">
        <v>5.4</v>
      </c>
      <c r="S44" s="63">
        <v>21.2</v>
      </c>
      <c r="T44" s="64">
        <v>2</v>
      </c>
      <c r="U44" s="64">
        <v>46.2</v>
      </c>
      <c r="V44" s="65">
        <v>3.5</v>
      </c>
      <c r="W44" s="65">
        <v>34.9</v>
      </c>
    </row>
    <row r="45" spans="1:23" ht="15.75">
      <c r="A45" s="11">
        <f t="shared" ca="1" si="0"/>
        <v>0.87082613399027864</v>
      </c>
      <c r="B45" s="60">
        <f>Data!I182</f>
        <v>3.5</v>
      </c>
      <c r="C45" s="60">
        <f>Data!J182</f>
        <v>34.767499999999998</v>
      </c>
      <c r="D45" s="61">
        <f t="array" ref="D45">MOD(ROW(), 3) + 1</f>
        <v>1</v>
      </c>
      <c r="E45" s="11"/>
      <c r="F45" s="63">
        <f t="array" ref="F45">IFERROR(INDEX($B$1:$B$247, SMALL(IF($D$1:$D$247=$E$3,ROW($D$1:$D$247)),ROW()-2),1),"")</f>
        <v>6</v>
      </c>
      <c r="G45" s="63">
        <f t="array" ref="G45">IFERROR(INDEX($C$1:$C$247, SMALL(IF($D$1:$D$247=$E$3,ROW($D$1:$D$247)),ROW()-2),1),"")</f>
        <v>32.4</v>
      </c>
      <c r="H45" s="64">
        <f t="array" ref="H45">IFERROR(INDEX($B$1:$B$247, SMALL(IF($D$1:$D$247=$E$4,ROW($D$1:$D$247)),ROW()-2),1),"")</f>
        <v>3.6</v>
      </c>
      <c r="I45" s="64">
        <f t="array" ref="I45">IFERROR(INDEX($C$1:$C$247, SMALL(IF($D$1:$D$247=$E$4,ROW($D$1:$D$247)),ROW()-2),1),"")</f>
        <v>36.543999999999997</v>
      </c>
      <c r="J45" s="65">
        <f t="array" ref="J45">IFERROR(INDEX($B$1:$B$247, SMALL(IF($D$1:$D$247=$E$5,ROW($D$1:$D$247)),ROW()-2),1),"")</f>
        <v>2.5</v>
      </c>
      <c r="K45" s="65">
        <f t="array" ref="K45">IFERROR(INDEX($C$1:$C$247, SMALL(IF($D$1:$D$247=$E$5,ROW($D$1:$D$247)),ROW()-2),1),"")</f>
        <v>40.107700000000001</v>
      </c>
      <c r="R45" s="63">
        <v>6</v>
      </c>
      <c r="S45" s="63">
        <v>32.4</v>
      </c>
      <c r="T45" s="64">
        <v>3.6</v>
      </c>
      <c r="U45" s="64">
        <v>36.543999999999997</v>
      </c>
      <c r="V45" s="65">
        <v>2.5</v>
      </c>
      <c r="W45" s="65">
        <v>40.107700000000001</v>
      </c>
    </row>
    <row r="46" spans="1:23" ht="15.75">
      <c r="A46" s="11">
        <f t="shared" ca="1" si="0"/>
        <v>0.9211117482371709</v>
      </c>
      <c r="B46" s="60">
        <f>Data!I41</f>
        <v>4</v>
      </c>
      <c r="C46" s="60">
        <f>Data!J41</f>
        <v>27.9711</v>
      </c>
      <c r="D46" s="61">
        <f t="array" ref="D46">MOD(ROW(), 3) + 1</f>
        <v>2</v>
      </c>
      <c r="E46" s="11"/>
      <c r="F46" s="63">
        <f t="array" ref="F46">IFERROR(INDEX($B$1:$B$247, SMALL(IF($D$1:$D$247=$E$3,ROW($D$1:$D$247)),ROW()-2),1),"")</f>
        <v>3</v>
      </c>
      <c r="G46" s="63">
        <f t="array" ref="G46">IFERROR(INDEX($C$1:$C$247, SMALL(IF($D$1:$D$247=$E$3,ROW($D$1:$D$247)),ROW()-2),1),"")</f>
        <v>35.799999999999997</v>
      </c>
      <c r="H46" s="64">
        <f t="array" ref="H46">IFERROR(INDEX($B$1:$B$247, SMALL(IF($D$1:$D$247=$E$4,ROW($D$1:$D$247)),ROW()-2),1),"")</f>
        <v>2.4</v>
      </c>
      <c r="I46" s="64">
        <f t="array" ref="I46">IFERROR(INDEX($C$1:$C$247, SMALL(IF($D$1:$D$247=$E$4,ROW($D$1:$D$247)),ROW()-2),1),"")</f>
        <v>56.3</v>
      </c>
      <c r="J46" s="65">
        <f t="array" ref="J46">IFERROR(INDEX($B$1:$B$247, SMALL(IF($D$1:$D$247=$E$5,ROW($D$1:$D$247)),ROW()-2),1),"")</f>
        <v>5</v>
      </c>
      <c r="K46" s="65">
        <f t="array" ref="K46">IFERROR(INDEX($C$1:$C$247, SMALL(IF($D$1:$D$247=$E$5,ROW($D$1:$D$247)),ROW()-2),1),"")</f>
        <v>25.897200000000002</v>
      </c>
      <c r="R46" s="63">
        <v>3</v>
      </c>
      <c r="S46" s="63">
        <v>35.799999999999997</v>
      </c>
      <c r="T46" s="64">
        <v>2.4</v>
      </c>
      <c r="U46" s="64">
        <v>56.3</v>
      </c>
      <c r="V46" s="65">
        <v>5</v>
      </c>
      <c r="W46" s="65">
        <v>25.897200000000002</v>
      </c>
    </row>
    <row r="47" spans="1:23" ht="15.75">
      <c r="A47" s="11">
        <f t="shared" ca="1" si="0"/>
        <v>0.51895658798437261</v>
      </c>
      <c r="B47" s="60">
        <f>Data!I201</f>
        <v>5.3</v>
      </c>
      <c r="C47" s="60">
        <f>Data!J201</f>
        <v>29</v>
      </c>
      <c r="D47" s="61">
        <f t="array" ref="D47">MOD(ROW(), 3) + 1</f>
        <v>3</v>
      </c>
      <c r="E47" s="11"/>
      <c r="F47" s="63">
        <f t="array" ref="F47">IFERROR(INDEX($B$1:$B$247, SMALL(IF($D$1:$D$247=$E$3,ROW($D$1:$D$247)),ROW()-2),1),"")</f>
        <v>3.6</v>
      </c>
      <c r="G47" s="63">
        <f t="array" ref="G47">IFERROR(INDEX($C$1:$C$247, SMALL(IF($D$1:$D$247=$E$3,ROW($D$1:$D$247)),ROW()-2),1),"")</f>
        <v>37.9</v>
      </c>
      <c r="H47" s="64">
        <f t="array" ref="H47">IFERROR(INDEX($B$1:$B$247, SMALL(IF($D$1:$D$247=$E$4,ROW($D$1:$D$247)),ROW()-2),1),"")</f>
        <v>3.6</v>
      </c>
      <c r="I47" s="64">
        <f t="array" ref="I47">IFERROR(INDEX($C$1:$C$247, SMALL(IF($D$1:$D$247=$E$4,ROW($D$1:$D$247)),ROW()-2),1),"")</f>
        <v>32.299300000000002</v>
      </c>
      <c r="J47" s="65">
        <f t="array" ref="J47">IFERROR(INDEX($B$1:$B$247, SMALL(IF($D$1:$D$247=$E$5,ROW($D$1:$D$247)),ROW()-2),1),"")</f>
        <v>5</v>
      </c>
      <c r="K47" s="65">
        <f t="array" ref="K47">IFERROR(INDEX($C$1:$C$247, SMALL(IF($D$1:$D$247=$E$5,ROW($D$1:$D$247)),ROW()-2),1),"")</f>
        <v>28.700900000000001</v>
      </c>
      <c r="R47" s="63">
        <v>3.6</v>
      </c>
      <c r="S47" s="63">
        <v>37.9</v>
      </c>
      <c r="T47" s="64">
        <v>3.6</v>
      </c>
      <c r="U47" s="64">
        <v>32.299300000000002</v>
      </c>
      <c r="V47" s="65">
        <v>5</v>
      </c>
      <c r="W47" s="65">
        <v>28.700900000000001</v>
      </c>
    </row>
    <row r="48" spans="1:23" ht="15.75">
      <c r="A48" s="11">
        <f t="shared" ca="1" si="0"/>
        <v>0.33172211102686178</v>
      </c>
      <c r="B48" s="60">
        <f>Data!I5</f>
        <v>5.2</v>
      </c>
      <c r="C48" s="60">
        <f>Data!J5</f>
        <v>24.3325</v>
      </c>
      <c r="D48" s="61">
        <f t="array" ref="D48">MOD(ROW(), 3) + 1</f>
        <v>1</v>
      </c>
      <c r="E48" s="11"/>
      <c r="F48" s="63">
        <f t="array" ref="F48">IFERROR(INDEX($B$1:$B$247, SMALL(IF($D$1:$D$247=$E$3,ROW($D$1:$D$247)),ROW()-2),1),"")</f>
        <v>2</v>
      </c>
      <c r="G48" s="63">
        <f t="array" ref="G48">IFERROR(INDEX($C$1:$C$247, SMALL(IF($D$1:$D$247=$E$3,ROW($D$1:$D$247)),ROW()-2),1),"")</f>
        <v>40.9</v>
      </c>
      <c r="H48" s="64">
        <f t="array" ref="H48">IFERROR(INDEX($B$1:$B$247, SMALL(IF($D$1:$D$247=$E$4,ROW($D$1:$D$247)),ROW()-2),1),"")</f>
        <v>4.5999999999999996</v>
      </c>
      <c r="I48" s="64">
        <f t="array" ref="I48">IFERROR(INDEX($C$1:$C$247, SMALL(IF($D$1:$D$247=$E$4,ROW($D$1:$D$247)),ROW()-2),1),"")</f>
        <v>21.9</v>
      </c>
      <c r="J48" s="65">
        <f t="array" ref="J48">IFERROR(INDEX($B$1:$B$247, SMALL(IF($D$1:$D$247=$E$5,ROW($D$1:$D$247)),ROW()-2),1),"")</f>
        <v>5.4</v>
      </c>
      <c r="K48" s="65">
        <f t="array" ref="K48">IFERROR(INDEX($C$1:$C$247, SMALL(IF($D$1:$D$247=$E$5,ROW($D$1:$D$247)),ROW()-2),1),"")</f>
        <v>21.2</v>
      </c>
      <c r="R48" s="63">
        <v>2</v>
      </c>
      <c r="S48" s="63">
        <v>40.9</v>
      </c>
      <c r="T48" s="64">
        <v>4.5999999999999996</v>
      </c>
      <c r="U48" s="64">
        <v>21.9</v>
      </c>
      <c r="V48" s="65">
        <v>5.4</v>
      </c>
      <c r="W48" s="65">
        <v>21.2</v>
      </c>
    </row>
    <row r="49" spans="1:23" ht="15.75">
      <c r="A49" s="11">
        <f t="shared" ca="1" si="0"/>
        <v>0.23671082334484217</v>
      </c>
      <c r="B49" s="60">
        <f>Data!I160</f>
        <v>6</v>
      </c>
      <c r="C49" s="60">
        <f>Data!J160</f>
        <v>21.8</v>
      </c>
      <c r="D49" s="61">
        <f t="array" ref="D49">MOD(ROW(), 3) + 1</f>
        <v>2</v>
      </c>
      <c r="E49" s="11"/>
      <c r="F49" s="63">
        <f t="array" ref="F49">IFERROR(INDEX($B$1:$B$247, SMALL(IF($D$1:$D$247=$E$3,ROW($D$1:$D$247)),ROW()-2),1),"")</f>
        <v>5.3</v>
      </c>
      <c r="G49" s="63">
        <f t="array" ref="G49">IFERROR(INDEX($C$1:$C$247, SMALL(IF($D$1:$D$247=$E$3,ROW($D$1:$D$247)),ROW()-2),1),"")</f>
        <v>29</v>
      </c>
      <c r="H49" s="64">
        <f t="array" ref="H49">IFERROR(INDEX($B$1:$B$247, SMALL(IF($D$1:$D$247=$E$4,ROW($D$1:$D$247)),ROW()-2),1),"")</f>
        <v>3.5</v>
      </c>
      <c r="I49" s="64">
        <f t="array" ref="I49">IFERROR(INDEX($C$1:$C$247, SMALL(IF($D$1:$D$247=$E$4,ROW($D$1:$D$247)),ROW()-2),1),"")</f>
        <v>32.200000000000003</v>
      </c>
      <c r="J49" s="65">
        <f t="array" ref="J49">IFERROR(INDEX($B$1:$B$247, SMALL(IF($D$1:$D$247=$E$5,ROW($D$1:$D$247)),ROW()-2),1),"")</f>
        <v>2.5</v>
      </c>
      <c r="K49" s="65">
        <f t="array" ref="K49">IFERROR(INDEX($C$1:$C$247, SMALL(IF($D$1:$D$247=$E$5,ROW($D$1:$D$247)),ROW()-2),1),"")</f>
        <v>43.261699999999998</v>
      </c>
      <c r="R49" s="63">
        <v>5.3</v>
      </c>
      <c r="S49" s="63">
        <v>29</v>
      </c>
      <c r="T49" s="64">
        <v>3.5</v>
      </c>
      <c r="U49" s="64">
        <v>32.200000000000003</v>
      </c>
      <c r="V49" s="65">
        <v>2.5</v>
      </c>
      <c r="W49" s="65">
        <v>43.261699999999998</v>
      </c>
    </row>
    <row r="50" spans="1:23" ht="15.75">
      <c r="A50" s="11">
        <f t="shared" ca="1" si="0"/>
        <v>0.15741887814039002</v>
      </c>
      <c r="B50" s="60">
        <f>Data!I241</f>
        <v>2</v>
      </c>
      <c r="C50" s="60">
        <f>Data!J241</f>
        <v>39.444699999999997</v>
      </c>
      <c r="D50" s="61">
        <f t="array" ref="D50">MOD(ROW(), 3) + 1</f>
        <v>3</v>
      </c>
      <c r="E50" s="11"/>
      <c r="F50" s="63">
        <f t="array" ref="F50">IFERROR(INDEX($B$1:$B$247, SMALL(IF($D$1:$D$247=$E$3,ROW($D$1:$D$247)),ROW()-2),1),"")</f>
        <v>3</v>
      </c>
      <c r="G50" s="63">
        <f t="array" ref="G50">IFERROR(INDEX($C$1:$C$247, SMALL(IF($D$1:$D$247=$E$3,ROW($D$1:$D$247)),ROW()-2),1),"")</f>
        <v>37.425899999999999</v>
      </c>
      <c r="H50" s="64">
        <f t="array" ref="H50">IFERROR(INDEX($B$1:$B$247, SMALL(IF($D$1:$D$247=$E$4,ROW($D$1:$D$247)),ROW()-2),1),"")</f>
        <v>1.5</v>
      </c>
      <c r="I50" s="64">
        <f t="array" ref="I50">IFERROR(INDEX($C$1:$C$247, SMALL(IF($D$1:$D$247=$E$4,ROW($D$1:$D$247)),ROW()-2),1),"")</f>
        <v>52.2</v>
      </c>
      <c r="J50" s="65">
        <f t="array" ref="J50">IFERROR(INDEX($B$1:$B$247, SMALL(IF($D$1:$D$247=$E$5,ROW($D$1:$D$247)),ROW()-2),1),"")</f>
        <v>3.7</v>
      </c>
      <c r="K50" s="65">
        <f t="array" ref="K50">IFERROR(INDEX($C$1:$C$247, SMALL(IF($D$1:$D$247=$E$5,ROW($D$1:$D$247)),ROW()-2),1),"")</f>
        <v>31.364100000000001</v>
      </c>
      <c r="R50" s="63">
        <v>3</v>
      </c>
      <c r="S50" s="63">
        <v>37.425899999999999</v>
      </c>
      <c r="T50" s="64">
        <v>1.5</v>
      </c>
      <c r="U50" s="64">
        <v>52.2</v>
      </c>
      <c r="V50" s="65">
        <v>3.7</v>
      </c>
      <c r="W50" s="65">
        <v>31.364100000000001</v>
      </c>
    </row>
    <row r="51" spans="1:23" ht="15.75">
      <c r="A51" s="11">
        <f t="shared" ca="1" si="0"/>
        <v>0.52222021609199021</v>
      </c>
      <c r="B51" s="60">
        <f>Data!I218</f>
        <v>3</v>
      </c>
      <c r="C51" s="60">
        <f>Data!J218</f>
        <v>34.4</v>
      </c>
      <c r="D51" s="61">
        <f t="array" ref="D51">MOD(ROW(), 3) + 1</f>
        <v>1</v>
      </c>
      <c r="E51" s="11"/>
      <c r="F51" s="63">
        <f t="array" ref="F51">IFERROR(INDEX($B$1:$B$247, SMALL(IF($D$1:$D$247=$E$3,ROW($D$1:$D$247)),ROW()-2),1),"")</f>
        <v>2.5</v>
      </c>
      <c r="G51" s="63">
        <f t="array" ref="G51">IFERROR(INDEX($C$1:$C$247, SMALL(IF($D$1:$D$247=$E$3,ROW($D$1:$D$247)),ROW()-2),1),"")</f>
        <v>32.799999999999997</v>
      </c>
      <c r="H51" s="64">
        <f t="array" ref="H51">IFERROR(INDEX($B$1:$B$247, SMALL(IF($D$1:$D$247=$E$4,ROW($D$1:$D$247)),ROW()-2),1),"")</f>
        <v>5.2</v>
      </c>
      <c r="I51" s="64">
        <f t="array" ref="I51">IFERROR(INDEX($C$1:$C$247, SMALL(IF($D$1:$D$247=$E$4,ROW($D$1:$D$247)),ROW()-2),1),"")</f>
        <v>23.066700000000001</v>
      </c>
      <c r="J51" s="65">
        <f t="array" ref="J51">IFERROR(INDEX($B$1:$B$247, SMALL(IF($D$1:$D$247=$E$5,ROW($D$1:$D$247)),ROW()-2),1),"")</f>
        <v>2.5</v>
      </c>
      <c r="K51" s="65">
        <f t="array" ref="K51">IFERROR(INDEX($C$1:$C$247, SMALL(IF($D$1:$D$247=$E$5,ROW($D$1:$D$247)),ROW()-2),1),"")</f>
        <v>37.037799999999997</v>
      </c>
      <c r="R51" s="63">
        <v>2.5</v>
      </c>
      <c r="S51" s="63">
        <v>32.799999999999997</v>
      </c>
      <c r="T51" s="64">
        <v>5.2</v>
      </c>
      <c r="U51" s="64">
        <v>23.066700000000001</v>
      </c>
      <c r="V51" s="65">
        <v>2.5</v>
      </c>
      <c r="W51" s="65">
        <v>37.037799999999997</v>
      </c>
    </row>
    <row r="52" spans="1:23" ht="15.75">
      <c r="A52" s="11">
        <f t="shared" ca="1" si="0"/>
        <v>0.85833163978066374</v>
      </c>
      <c r="B52" s="60">
        <f>Data!I236</f>
        <v>2.4</v>
      </c>
      <c r="C52" s="60">
        <f>Data!J236</f>
        <v>43.431899999999999</v>
      </c>
      <c r="D52" s="61">
        <f t="array" ref="D52">MOD(ROW(), 3) + 1</f>
        <v>2</v>
      </c>
      <c r="E52" s="11"/>
      <c r="F52" s="63">
        <f t="array" ref="F52">IFERROR(INDEX($B$1:$B$247, SMALL(IF($D$1:$D$247=$E$3,ROW($D$1:$D$247)),ROW()-2),1),"")</f>
        <v>3.8</v>
      </c>
      <c r="G52" s="63">
        <f t="array" ref="G52">IFERROR(INDEX($C$1:$C$247, SMALL(IF($D$1:$D$247=$E$3,ROW($D$1:$D$247)),ROW()-2),1),"")</f>
        <v>37.066600000000001</v>
      </c>
      <c r="H52" s="64">
        <f t="array" ref="H52">IFERROR(INDEX($B$1:$B$247, SMALL(IF($D$1:$D$247=$E$4,ROW($D$1:$D$247)),ROW()-2),1),"")</f>
        <v>3.7</v>
      </c>
      <c r="I52" s="64">
        <f t="array" ref="I52">IFERROR(INDEX($C$1:$C$247, SMALL(IF($D$1:$D$247=$E$4,ROW($D$1:$D$247)),ROW()-2),1),"")</f>
        <v>31.363900000000001</v>
      </c>
      <c r="J52" s="65">
        <f t="array" ref="J52">IFERROR(INDEX($B$1:$B$247, SMALL(IF($D$1:$D$247=$E$5,ROW($D$1:$D$247)),ROW()-2),1),"")</f>
        <v>2.2999999999999998</v>
      </c>
      <c r="K52" s="65">
        <f t="array" ref="K52">IFERROR(INDEX($C$1:$C$247, SMALL(IF($D$1:$D$247=$E$5,ROW($D$1:$D$247)),ROW()-2),1),"")</f>
        <v>34.700000000000003</v>
      </c>
      <c r="R52" s="63">
        <v>3.8</v>
      </c>
      <c r="S52" s="63">
        <v>37.066600000000001</v>
      </c>
      <c r="T52" s="64">
        <v>3.7</v>
      </c>
      <c r="U52" s="64">
        <v>31.363900000000001</v>
      </c>
      <c r="V52" s="65">
        <v>2.2999999999999998</v>
      </c>
      <c r="W52" s="65">
        <v>34.700000000000003</v>
      </c>
    </row>
    <row r="53" spans="1:23" ht="15.75">
      <c r="A53" s="11">
        <f t="shared" ca="1" si="0"/>
        <v>0.38513134264894944</v>
      </c>
      <c r="B53" s="60">
        <f>Data!I211</f>
        <v>6</v>
      </c>
      <c r="C53" s="60">
        <f>Data!J211</f>
        <v>21.2</v>
      </c>
      <c r="D53" s="61">
        <f t="array" ref="D53">MOD(ROW(), 3) + 1</f>
        <v>3</v>
      </c>
      <c r="E53" s="11"/>
      <c r="F53" s="63">
        <f t="array" ref="F53">IFERROR(INDEX($B$1:$B$247, SMALL(IF($D$1:$D$247=$E$3,ROW($D$1:$D$247)),ROW()-2),1),"")</f>
        <v>3</v>
      </c>
      <c r="G53" s="63">
        <f t="array" ref="G53">IFERROR(INDEX($C$1:$C$247, SMALL(IF($D$1:$D$247=$E$3,ROW($D$1:$D$247)),ROW()-2),1),"")</f>
        <v>31.302499999999998</v>
      </c>
      <c r="H53" s="64">
        <f t="array" ref="H53">IFERROR(INDEX($B$1:$B$247, SMALL(IF($D$1:$D$247=$E$4,ROW($D$1:$D$247)),ROW()-2),1),"")</f>
        <v>6</v>
      </c>
      <c r="I53" s="64">
        <f t="array" ref="I53">IFERROR(INDEX($C$1:$C$247, SMALL(IF($D$1:$D$247=$E$4,ROW($D$1:$D$247)),ROW()-2),1),"")</f>
        <v>21.473400000000002</v>
      </c>
      <c r="J53" s="65">
        <f t="array" ref="J53">IFERROR(INDEX($B$1:$B$247, SMALL(IF($D$1:$D$247=$E$5,ROW($D$1:$D$247)),ROW()-2),1),"")</f>
        <v>3.6</v>
      </c>
      <c r="K53" s="65">
        <f t="array" ref="K53">IFERROR(INDEX($C$1:$C$247, SMALL(IF($D$1:$D$247=$E$5,ROW($D$1:$D$247)),ROW()-2),1),"")</f>
        <v>36.1</v>
      </c>
      <c r="R53" s="63">
        <v>3</v>
      </c>
      <c r="S53" s="63">
        <v>31.302499999999998</v>
      </c>
      <c r="T53" s="64">
        <v>6</v>
      </c>
      <c r="U53" s="64">
        <v>21.473400000000002</v>
      </c>
      <c r="V53" s="65">
        <v>3.6</v>
      </c>
      <c r="W53" s="65">
        <v>36.1</v>
      </c>
    </row>
    <row r="54" spans="1:23" ht="15.75">
      <c r="A54" s="11">
        <f t="shared" ca="1" si="0"/>
        <v>0.45600958854913465</v>
      </c>
      <c r="B54" s="60">
        <f>Data!I178</f>
        <v>3.6</v>
      </c>
      <c r="C54" s="60">
        <f>Data!J178</f>
        <v>35.5</v>
      </c>
      <c r="D54" s="61">
        <f t="array" ref="D54">MOD(ROW(), 3) + 1</f>
        <v>1</v>
      </c>
      <c r="E54" s="11"/>
      <c r="F54" s="63">
        <f t="array" ref="F54">IFERROR(INDEX($B$1:$B$247, SMALL(IF($D$1:$D$247=$E$3,ROW($D$1:$D$247)),ROW()-2),1),"")</f>
        <v>3.4</v>
      </c>
      <c r="G54" s="63">
        <f t="array" ref="G54">IFERROR(INDEX($C$1:$C$247, SMALL(IF($D$1:$D$247=$E$3,ROW($D$1:$D$247)),ROW()-2),1),"")</f>
        <v>41.347000000000001</v>
      </c>
      <c r="H54" s="64">
        <f t="array" ref="H54">IFERROR(INDEX($B$1:$B$247, SMALL(IF($D$1:$D$247=$E$4,ROW($D$1:$D$247)),ROW()-2),1),"")</f>
        <v>1.8</v>
      </c>
      <c r="I54" s="64">
        <f t="array" ref="I54">IFERROR(INDEX($C$1:$C$247, SMALL(IF($D$1:$D$247=$E$4,ROW($D$1:$D$247)),ROW()-2),1),"")</f>
        <v>49.1</v>
      </c>
      <c r="J54" s="65">
        <f t="array" ref="J54">IFERROR(INDEX($B$1:$B$247, SMALL(IF($D$1:$D$247=$E$5,ROW($D$1:$D$247)),ROW()-2),1),"")</f>
        <v>6</v>
      </c>
      <c r="K54" s="65">
        <f t="array" ref="K54">IFERROR(INDEX($C$1:$C$247, SMALL(IF($D$1:$D$247=$E$5,ROW($D$1:$D$247)),ROW()-2),1),"")</f>
        <v>21.473400000000002</v>
      </c>
      <c r="R54" s="63">
        <v>3.4</v>
      </c>
      <c r="S54" s="63">
        <v>41.347000000000001</v>
      </c>
      <c r="T54" s="64">
        <v>1.8</v>
      </c>
      <c r="U54" s="64">
        <v>49.1</v>
      </c>
      <c r="V54" s="65">
        <v>6</v>
      </c>
      <c r="W54" s="65">
        <v>21.473400000000002</v>
      </c>
    </row>
    <row r="55" spans="1:23" ht="15.75">
      <c r="A55" s="11">
        <f t="shared" ca="1" si="0"/>
        <v>0.53849690844729858</v>
      </c>
      <c r="B55" s="60">
        <f>Data!I110</f>
        <v>5.7</v>
      </c>
      <c r="C55" s="60">
        <f>Data!J110</f>
        <v>34.5</v>
      </c>
      <c r="D55" s="61">
        <f t="array" ref="D55">MOD(ROW(), 3) + 1</f>
        <v>2</v>
      </c>
      <c r="E55" s="11"/>
      <c r="F55" s="63">
        <f t="array" ref="F55">IFERROR(INDEX($B$1:$B$247, SMALL(IF($D$1:$D$247=$E$3,ROW($D$1:$D$247)),ROW()-2),1),"")</f>
        <v>3</v>
      </c>
      <c r="G55" s="63">
        <f t="array" ref="G55">IFERROR(INDEX($C$1:$C$247, SMALL(IF($D$1:$D$247=$E$3,ROW($D$1:$D$247)),ROW()-2),1),"")</f>
        <v>35.496600000000001</v>
      </c>
      <c r="H55" s="64">
        <f t="array" ref="H55">IFERROR(INDEX($B$1:$B$247, SMALL(IF($D$1:$D$247=$E$4,ROW($D$1:$D$247)),ROW()-2),1),"")</f>
        <v>4.2</v>
      </c>
      <c r="I55" s="64">
        <f t="array" ref="I55">IFERROR(INDEX($C$1:$C$247, SMALL(IF($D$1:$D$247=$E$4,ROW($D$1:$D$247)),ROW()-2),1),"")</f>
        <v>26.767800000000001</v>
      </c>
      <c r="J55" s="65">
        <f t="array" ref="J55">IFERROR(INDEX($B$1:$B$247, SMALL(IF($D$1:$D$247=$E$5,ROW($D$1:$D$247)),ROW()-2),1),"")</f>
        <v>6</v>
      </c>
      <c r="K55" s="65">
        <f t="array" ref="K55">IFERROR(INDEX($C$1:$C$247, SMALL(IF($D$1:$D$247=$E$5,ROW($D$1:$D$247)),ROW()-2),1),"")</f>
        <v>21.8</v>
      </c>
      <c r="R55" s="63">
        <v>3</v>
      </c>
      <c r="S55" s="63">
        <v>35.496600000000001</v>
      </c>
      <c r="T55" s="64">
        <v>4.2</v>
      </c>
      <c r="U55" s="64">
        <v>26.767800000000001</v>
      </c>
      <c r="V55" s="65">
        <v>6</v>
      </c>
      <c r="W55" s="65">
        <v>21.8</v>
      </c>
    </row>
    <row r="56" spans="1:23" ht="15.75">
      <c r="A56" s="11">
        <f t="shared" ca="1" si="0"/>
        <v>0.20614456643856194</v>
      </c>
      <c r="B56" s="60">
        <f>Data!I170</f>
        <v>3.6</v>
      </c>
      <c r="C56" s="60">
        <f>Data!J170</f>
        <v>35</v>
      </c>
      <c r="D56" s="61">
        <f t="array" ref="D56">MOD(ROW(), 3) + 1</f>
        <v>3</v>
      </c>
      <c r="E56" s="11"/>
      <c r="F56" s="63">
        <f t="array" ref="F56">IFERROR(INDEX($B$1:$B$247, SMALL(IF($D$1:$D$247=$E$3,ROW($D$1:$D$247)),ROW()-2),1),"")</f>
        <v>3</v>
      </c>
      <c r="G56" s="63">
        <f t="array" ref="G56">IFERROR(INDEX($C$1:$C$247, SMALL(IF($D$1:$D$247=$E$3,ROW($D$1:$D$247)),ROW()-2),1),"")</f>
        <v>31.5</v>
      </c>
      <c r="H56" s="64">
        <f t="array" ref="H56">IFERROR(INDEX($B$1:$B$247, SMALL(IF($D$1:$D$247=$E$4,ROW($D$1:$D$247)),ROW()-2),1),"")</f>
        <v>3.6</v>
      </c>
      <c r="I56" s="64">
        <f t="array" ref="I56">IFERROR(INDEX($C$1:$C$247, SMALL(IF($D$1:$D$247=$E$4,ROW($D$1:$D$247)),ROW()-2),1),"")</f>
        <v>40.5</v>
      </c>
      <c r="J56" s="65">
        <f t="array" ref="J56">IFERROR(INDEX($B$1:$B$247, SMALL(IF($D$1:$D$247=$E$5,ROW($D$1:$D$247)),ROW()-2),1),"")</f>
        <v>5.3</v>
      </c>
      <c r="K56" s="65">
        <f t="array" ref="K56">IFERROR(INDEX($C$1:$C$247, SMALL(IF($D$1:$D$247=$E$5,ROW($D$1:$D$247)),ROW()-2),1),"")</f>
        <v>29</v>
      </c>
      <c r="R56" s="63">
        <v>3</v>
      </c>
      <c r="S56" s="63">
        <v>31.5</v>
      </c>
      <c r="T56" s="64">
        <v>3.6</v>
      </c>
      <c r="U56" s="64">
        <v>40.5</v>
      </c>
      <c r="V56" s="65">
        <v>5.3</v>
      </c>
      <c r="W56" s="65">
        <v>29</v>
      </c>
    </row>
    <row r="57" spans="1:23" ht="15.75">
      <c r="A57" s="11">
        <f t="shared" ca="1" si="0"/>
        <v>0.47785143101117677</v>
      </c>
      <c r="B57" s="60">
        <f>Data!I40</f>
        <v>4</v>
      </c>
      <c r="C57" s="60">
        <f>Data!J40</f>
        <v>28.4</v>
      </c>
      <c r="D57" s="61">
        <f t="array" ref="D57">MOD(ROW(), 3) + 1</f>
        <v>1</v>
      </c>
      <c r="E57" s="11"/>
      <c r="F57" s="63">
        <f t="array" ref="F57">IFERROR(INDEX($B$1:$B$247, SMALL(IF($D$1:$D$247=$E$3,ROW($D$1:$D$247)),ROW()-2),1),"")</f>
        <v>6.8</v>
      </c>
      <c r="G57" s="63">
        <f t="array" ref="G57">IFERROR(INDEX($C$1:$C$247, SMALL(IF($D$1:$D$247=$E$3,ROW($D$1:$D$247)),ROW()-2),1),"")</f>
        <v>17.7</v>
      </c>
      <c r="H57" s="64">
        <f t="array" ref="H57">IFERROR(INDEX($B$1:$B$247, SMALL(IF($D$1:$D$247=$E$4,ROW($D$1:$D$247)),ROW()-2),1),"")</f>
        <v>2.5</v>
      </c>
      <c r="I57" s="64">
        <f t="array" ref="I57">IFERROR(INDEX($C$1:$C$247, SMALL(IF($D$1:$D$247=$E$4,ROW($D$1:$D$247)),ROW()-2),1),"")</f>
        <v>44.515900000000002</v>
      </c>
      <c r="J57" s="65">
        <f t="array" ref="J57">IFERROR(INDEX($B$1:$B$247, SMALL(IF($D$1:$D$247=$E$5,ROW($D$1:$D$247)),ROW()-2),1),"")</f>
        <v>5.5</v>
      </c>
      <c r="K57" s="65">
        <f t="array" ref="K57">IFERROR(INDEX($C$1:$C$247, SMALL(IF($D$1:$D$247=$E$5,ROW($D$1:$D$247)),ROW()-2),1),"")</f>
        <v>31.7</v>
      </c>
      <c r="R57" s="63">
        <v>6.8</v>
      </c>
      <c r="S57" s="63">
        <v>17.7</v>
      </c>
      <c r="T57" s="64">
        <v>2.5</v>
      </c>
      <c r="U57" s="64">
        <v>44.515900000000002</v>
      </c>
      <c r="V57" s="65">
        <v>5.5</v>
      </c>
      <c r="W57" s="65">
        <v>31.7</v>
      </c>
    </row>
    <row r="58" spans="1:23" ht="15.75">
      <c r="A58" s="11">
        <f t="shared" ca="1" si="0"/>
        <v>0.47728864445430819</v>
      </c>
      <c r="B58" s="60">
        <f>Data!I9</f>
        <v>1.5</v>
      </c>
      <c r="C58" s="60">
        <f>Data!J9</f>
        <v>55.644599999999997</v>
      </c>
      <c r="D58" s="61">
        <f t="array" ref="D58">MOD(ROW(), 3) + 1</f>
        <v>2</v>
      </c>
      <c r="E58" s="11"/>
      <c r="F58" s="63">
        <f t="array" ref="F58">IFERROR(INDEX($B$1:$B$247, SMALL(IF($D$1:$D$247=$E$3,ROW($D$1:$D$247)),ROW()-2),1),"")</f>
        <v>6.2</v>
      </c>
      <c r="G58" s="63">
        <f t="array" ref="G58">IFERROR(INDEX($C$1:$C$247, SMALL(IF($D$1:$D$247=$E$3,ROW($D$1:$D$247)),ROW()-2),1),"")</f>
        <v>24.2</v>
      </c>
      <c r="H58" s="64">
        <f t="array" ref="H58">IFERROR(INDEX($B$1:$B$247, SMALL(IF($D$1:$D$247=$E$4,ROW($D$1:$D$247)),ROW()-2),1),"")</f>
        <v>5</v>
      </c>
      <c r="I58" s="64">
        <f t="array" ref="I58">IFERROR(INDEX($C$1:$C$247, SMALL(IF($D$1:$D$247=$E$4,ROW($D$1:$D$247)),ROW()-2),1),"")</f>
        <v>28.716000000000001</v>
      </c>
      <c r="J58" s="65">
        <f t="array" ref="J58">IFERROR(INDEX($B$1:$B$247, SMALL(IF($D$1:$D$247=$E$5,ROW($D$1:$D$247)),ROW()-2),1),"")</f>
        <v>4.8</v>
      </c>
      <c r="K58" s="65">
        <f t="array" ref="K58">IFERROR(INDEX($C$1:$C$247, SMALL(IF($D$1:$D$247=$E$5,ROW($D$1:$D$247)),ROW()-2),1),"")</f>
        <v>22.8</v>
      </c>
      <c r="R58" s="63">
        <v>6.2</v>
      </c>
      <c r="S58" s="63">
        <v>24.2</v>
      </c>
      <c r="T58" s="64">
        <v>5</v>
      </c>
      <c r="U58" s="64">
        <v>28.716000000000001</v>
      </c>
      <c r="V58" s="65">
        <v>4.8</v>
      </c>
      <c r="W58" s="65">
        <v>22.8</v>
      </c>
    </row>
    <row r="59" spans="1:23" ht="15.75">
      <c r="A59" s="11">
        <f t="shared" ca="1" si="0"/>
        <v>0.48716044418135429</v>
      </c>
      <c r="B59" s="60">
        <f>Data!I130</f>
        <v>3.7</v>
      </c>
      <c r="C59" s="60">
        <f>Data!J130</f>
        <v>27.8</v>
      </c>
      <c r="D59" s="61">
        <f t="array" ref="D59">MOD(ROW(), 3) + 1</f>
        <v>3</v>
      </c>
      <c r="E59" s="11"/>
      <c r="F59" s="63">
        <f t="array" ref="F59">IFERROR(INDEX($B$1:$B$247, SMALL(IF($D$1:$D$247=$E$3,ROW($D$1:$D$247)),ROW()-2),1),"")</f>
        <v>2</v>
      </c>
      <c r="G59" s="63">
        <f t="array" ref="G59">IFERROR(INDEX($C$1:$C$247, SMALL(IF($D$1:$D$247=$E$3,ROW($D$1:$D$247)),ROW()-2),1),"")</f>
        <v>44.7</v>
      </c>
      <c r="H59" s="64">
        <f t="array" ref="H59">IFERROR(INDEX($B$1:$B$247, SMALL(IF($D$1:$D$247=$E$4,ROW($D$1:$D$247)),ROW()-2),1),"")</f>
        <v>5.9</v>
      </c>
      <c r="I59" s="64">
        <f t="array" ref="I59">IFERROR(INDEX($C$1:$C$247, SMALL(IF($D$1:$D$247=$E$4,ROW($D$1:$D$247)),ROW()-2),1),"")</f>
        <v>22.925799999999999</v>
      </c>
      <c r="J59" s="65">
        <f t="array" ref="J59">IFERROR(INDEX($B$1:$B$247, SMALL(IF($D$1:$D$247=$E$5,ROW($D$1:$D$247)),ROW()-2),1),"")</f>
        <v>4.4000000000000004</v>
      </c>
      <c r="K59" s="65">
        <f t="array" ref="K59">IFERROR(INDEX($C$1:$C$247, SMALL(IF($D$1:$D$247=$E$5,ROW($D$1:$D$247)),ROW()-2),1),"")</f>
        <v>27.730699999999999</v>
      </c>
      <c r="R59" s="63">
        <v>2</v>
      </c>
      <c r="S59" s="63">
        <v>44.7</v>
      </c>
      <c r="T59" s="64">
        <v>5.9</v>
      </c>
      <c r="U59" s="64">
        <v>22.925799999999999</v>
      </c>
      <c r="V59" s="65">
        <v>4.4000000000000004</v>
      </c>
      <c r="W59" s="65">
        <v>27.730699999999999</v>
      </c>
    </row>
    <row r="60" spans="1:23" ht="15.75">
      <c r="A60" s="11">
        <f t="shared" ca="1" si="0"/>
        <v>0.7170671478542644</v>
      </c>
      <c r="B60" s="60">
        <f>Data!I116</f>
        <v>3</v>
      </c>
      <c r="C60" s="60">
        <f>Data!J116</f>
        <v>35.435400000000001</v>
      </c>
      <c r="D60" s="61">
        <f t="array" ref="D60">MOD(ROW(), 3) + 1</f>
        <v>1</v>
      </c>
      <c r="E60" s="11"/>
      <c r="F60" s="63">
        <f t="array" ref="F60">IFERROR(INDEX($B$1:$B$247, SMALL(IF($D$1:$D$247=$E$3,ROW($D$1:$D$247)),ROW()-2),1),"")</f>
        <v>1.8</v>
      </c>
      <c r="G60" s="63">
        <f t="array" ref="G60">IFERROR(INDEX($C$1:$C$247, SMALL(IF($D$1:$D$247=$E$3,ROW($D$1:$D$247)),ROW()-2),1),"")</f>
        <v>50.8</v>
      </c>
      <c r="H60" s="64">
        <f t="array" ref="H60">IFERROR(INDEX($B$1:$B$247, SMALL(IF($D$1:$D$247=$E$4,ROW($D$1:$D$247)),ROW()-2),1),"")</f>
        <v>3.5</v>
      </c>
      <c r="I60" s="64">
        <f t="array" ref="I60">IFERROR(INDEX($C$1:$C$247, SMALL(IF($D$1:$D$247=$E$4,ROW($D$1:$D$247)),ROW()-2),1),"")</f>
        <v>30.049299999999999</v>
      </c>
      <c r="J60" s="65">
        <f t="array" ref="J60">IFERROR(INDEX($B$1:$B$247, SMALL(IF($D$1:$D$247=$E$5,ROW($D$1:$D$247)),ROW()-2),1),"")</f>
        <v>2</v>
      </c>
      <c r="K60" s="65">
        <f t="array" ref="K60">IFERROR(INDEX($C$1:$C$247, SMALL(IF($D$1:$D$247=$E$5,ROW($D$1:$D$247)),ROW()-2),1),"")</f>
        <v>44.707999999999998</v>
      </c>
      <c r="R60" s="63">
        <v>1.8</v>
      </c>
      <c r="S60" s="63">
        <v>50.8</v>
      </c>
      <c r="T60" s="64">
        <v>3.5</v>
      </c>
      <c r="U60" s="64">
        <v>30.049299999999999</v>
      </c>
      <c r="V60" s="65">
        <v>2</v>
      </c>
      <c r="W60" s="65">
        <v>44.707999999999998</v>
      </c>
    </row>
    <row r="61" spans="1:23" ht="15.75">
      <c r="A61" s="11">
        <f t="shared" ca="1" si="0"/>
        <v>0.39093624506680191</v>
      </c>
      <c r="B61" s="60">
        <f>Data!I239</f>
        <v>2</v>
      </c>
      <c r="C61" s="60">
        <f>Data!J239</f>
        <v>51.787599999999998</v>
      </c>
      <c r="D61" s="61">
        <f t="array" ref="D61">MOD(ROW(), 3) + 1</f>
        <v>2</v>
      </c>
      <c r="E61" s="11"/>
      <c r="F61" s="63">
        <f t="array" ref="F61">IFERROR(INDEX($B$1:$B$247, SMALL(IF($D$1:$D$247=$E$3,ROW($D$1:$D$247)),ROW()-2),1),"")</f>
        <v>5.4</v>
      </c>
      <c r="G61" s="63">
        <f t="array" ref="G61">IFERROR(INDEX($C$1:$C$247, SMALL(IF($D$1:$D$247=$E$3,ROW($D$1:$D$247)),ROW()-2),1),"")</f>
        <v>20.6</v>
      </c>
      <c r="H61" s="64">
        <f t="array" ref="H61">IFERROR(INDEX($B$1:$B$247, SMALL(IF($D$1:$D$247=$E$4,ROW($D$1:$D$247)),ROW()-2),1),"")</f>
        <v>2</v>
      </c>
      <c r="I61" s="64">
        <f t="array" ref="I61">IFERROR(INDEX($C$1:$C$247, SMALL(IF($D$1:$D$247=$E$4,ROW($D$1:$D$247)),ROW()-2),1),"")</f>
        <v>41.5</v>
      </c>
      <c r="J61" s="65">
        <f t="array" ref="J61">IFERROR(INDEX($B$1:$B$247, SMALL(IF($D$1:$D$247=$E$5,ROW($D$1:$D$247)),ROW()-2),1),"")</f>
        <v>5.7</v>
      </c>
      <c r="K61" s="65">
        <f t="array" ref="K61">IFERROR(INDEX($C$1:$C$247, SMALL(IF($D$1:$D$247=$E$5,ROW($D$1:$D$247)),ROW()-2),1),"")</f>
        <v>25.6</v>
      </c>
      <c r="R61" s="63">
        <v>5.4</v>
      </c>
      <c r="S61" s="63">
        <v>20.6</v>
      </c>
      <c r="T61" s="64">
        <v>2</v>
      </c>
      <c r="U61" s="64">
        <v>41.5</v>
      </c>
      <c r="V61" s="65">
        <v>5.7</v>
      </c>
      <c r="W61" s="65">
        <v>25.6</v>
      </c>
    </row>
    <row r="62" spans="1:23" ht="15.75">
      <c r="A62" s="11">
        <f t="shared" ca="1" si="0"/>
        <v>0.2538596331631533</v>
      </c>
      <c r="B62" s="60">
        <f>Data!I36</f>
        <v>1.6</v>
      </c>
      <c r="C62" s="60">
        <f>Data!J36</f>
        <v>47.847799999999999</v>
      </c>
      <c r="D62" s="61">
        <f t="array" ref="D62">MOD(ROW(), 3) + 1</f>
        <v>3</v>
      </c>
      <c r="E62" s="11"/>
      <c r="F62" s="63">
        <f t="array" ref="F62">IFERROR(INDEX($B$1:$B$247, SMALL(IF($D$1:$D$247=$E$3,ROW($D$1:$D$247)),ROW()-2),1),"")</f>
        <v>2</v>
      </c>
      <c r="G62" s="63">
        <f t="array" ref="G62">IFERROR(INDEX($C$1:$C$247, SMALL(IF($D$1:$D$247=$E$3,ROW($D$1:$D$247)),ROW()-2),1),"")</f>
        <v>43.2</v>
      </c>
      <c r="H62" s="64">
        <f t="array" ref="H62">IFERROR(INDEX($B$1:$B$247, SMALL(IF($D$1:$D$247=$E$4,ROW($D$1:$D$247)),ROW()-2),1),"")</f>
        <v>3</v>
      </c>
      <c r="I62" s="64">
        <f t="array" ref="I62">IFERROR(INDEX($C$1:$C$247, SMALL(IF($D$1:$D$247=$E$4,ROW($D$1:$D$247)),ROW()-2),1),"")</f>
        <v>32.857900000000001</v>
      </c>
      <c r="J62" s="65">
        <f t="array" ref="J62">IFERROR(INDEX($B$1:$B$247, SMALL(IF($D$1:$D$247=$E$5,ROW($D$1:$D$247)),ROW()-2),1),"")</f>
        <v>2</v>
      </c>
      <c r="K62" s="65">
        <f t="array" ref="K62">IFERROR(INDEX($C$1:$C$247, SMALL(IF($D$1:$D$247=$E$5,ROW($D$1:$D$247)),ROW()-2),1),"")</f>
        <v>59.438099999999999</v>
      </c>
      <c r="R62" s="63">
        <v>2</v>
      </c>
      <c r="S62" s="63">
        <v>43.2</v>
      </c>
      <c r="T62" s="64">
        <v>3</v>
      </c>
      <c r="U62" s="64">
        <v>32.857900000000001</v>
      </c>
      <c r="V62" s="65">
        <v>2</v>
      </c>
      <c r="W62" s="65">
        <v>59.438099999999999</v>
      </c>
    </row>
    <row r="63" spans="1:23" ht="15.75">
      <c r="A63" s="11">
        <f t="shared" ca="1" si="0"/>
        <v>0.76730539701842937</v>
      </c>
      <c r="B63" s="60">
        <f>Data!I125</f>
        <v>2.5</v>
      </c>
      <c r="C63" s="60">
        <f>Data!J125</f>
        <v>34.434100000000001</v>
      </c>
      <c r="D63" s="61">
        <f t="array" ref="D63">MOD(ROW(), 3) + 1</f>
        <v>1</v>
      </c>
      <c r="E63" s="11"/>
      <c r="F63" s="63">
        <f t="array" ref="F63">IFERROR(INDEX($B$1:$B$247, SMALL(IF($D$1:$D$247=$E$3,ROW($D$1:$D$247)),ROW()-2),1),"")</f>
        <v>6</v>
      </c>
      <c r="G63" s="63">
        <f t="array" ref="G63">IFERROR(INDEX($C$1:$C$247, SMALL(IF($D$1:$D$247=$E$3,ROW($D$1:$D$247)),ROW()-2),1),"")</f>
        <v>21.473400000000002</v>
      </c>
      <c r="H63" s="64">
        <f t="array" ref="H63">IFERROR(INDEX($B$1:$B$247, SMALL(IF($D$1:$D$247=$E$4,ROW($D$1:$D$247)),ROW()-2),1),"")</f>
        <v>2</v>
      </c>
      <c r="I63" s="64">
        <f t="array" ref="I63">IFERROR(INDEX($C$1:$C$247, SMALL(IF($D$1:$D$247=$E$4,ROW($D$1:$D$247)),ROW()-2),1),"")</f>
        <v>40</v>
      </c>
      <c r="J63" s="65">
        <f t="array" ref="J63">IFERROR(INDEX($B$1:$B$247, SMALL(IF($D$1:$D$247=$E$5,ROW($D$1:$D$247)),ROW()-2),1),"")</f>
        <v>3</v>
      </c>
      <c r="K63" s="65">
        <f t="array" ref="K63">IFERROR(INDEX($C$1:$C$247, SMALL(IF($D$1:$D$247=$E$5,ROW($D$1:$D$247)),ROW()-2),1),"")</f>
        <v>47.1</v>
      </c>
      <c r="R63" s="63">
        <v>6</v>
      </c>
      <c r="S63" s="63">
        <v>21.473400000000002</v>
      </c>
      <c r="T63" s="64">
        <v>2</v>
      </c>
      <c r="U63" s="64">
        <v>40</v>
      </c>
      <c r="V63" s="65">
        <v>3</v>
      </c>
      <c r="W63" s="65">
        <v>47.1</v>
      </c>
    </row>
    <row r="64" spans="1:23" ht="15.75">
      <c r="A64" s="11">
        <f t="shared" ca="1" si="0"/>
        <v>0.50051851104806178</v>
      </c>
      <c r="B64" s="60">
        <f>Data!I24</f>
        <v>3</v>
      </c>
      <c r="C64" s="60">
        <f>Data!J24</f>
        <v>32.857900000000001</v>
      </c>
      <c r="D64" s="61">
        <f t="array" ref="D64">MOD(ROW(), 3) + 1</f>
        <v>2</v>
      </c>
      <c r="E64" s="11"/>
      <c r="F64" s="63">
        <f t="array" ref="F64">IFERROR(INDEX($B$1:$B$247, SMALL(IF($D$1:$D$247=$E$3,ROW($D$1:$D$247)),ROW()-2),1),"")</f>
        <v>6</v>
      </c>
      <c r="G64" s="63">
        <f t="array" ref="G64">IFERROR(INDEX($C$1:$C$247, SMALL(IF($D$1:$D$247=$E$3,ROW($D$1:$D$247)),ROW()-2),1),"")</f>
        <v>32.799999999999997</v>
      </c>
      <c r="H64" s="64">
        <f t="array" ref="H64">IFERROR(INDEX($B$1:$B$247, SMALL(IF($D$1:$D$247=$E$4,ROW($D$1:$D$247)),ROW()-2),1),"")</f>
        <v>3.8</v>
      </c>
      <c r="I64" s="64">
        <f t="array" ref="I64">IFERROR(INDEX($C$1:$C$247, SMALL(IF($D$1:$D$247=$E$4,ROW($D$1:$D$247)),ROW()-2),1),"")</f>
        <v>36.7669</v>
      </c>
      <c r="J64" s="65">
        <f t="array" ref="J64">IFERROR(INDEX($B$1:$B$247, SMALL(IF($D$1:$D$247=$E$5,ROW($D$1:$D$247)),ROW()-2),1),"")</f>
        <v>6</v>
      </c>
      <c r="K64" s="65">
        <f t="array" ref="K64">IFERROR(INDEX($C$1:$C$247, SMALL(IF($D$1:$D$247=$E$5,ROW($D$1:$D$247)),ROW()-2),1),"")</f>
        <v>21.473400000000002</v>
      </c>
      <c r="R64" s="63">
        <v>6</v>
      </c>
      <c r="S64" s="63">
        <v>32.799999999999997</v>
      </c>
      <c r="T64" s="64">
        <v>3.8</v>
      </c>
      <c r="U64" s="64">
        <v>36.7669</v>
      </c>
      <c r="V64" s="65">
        <v>6</v>
      </c>
      <c r="W64" s="65">
        <v>21.473400000000002</v>
      </c>
    </row>
    <row r="65" spans="1:23" ht="15.75">
      <c r="A65" s="11">
        <f t="shared" ca="1" si="0"/>
        <v>0.20608757501310504</v>
      </c>
      <c r="B65" s="60">
        <f>Data!I124</f>
        <v>2.5</v>
      </c>
      <c r="C65" s="60">
        <f>Data!J124</f>
        <v>36.655700000000003</v>
      </c>
      <c r="D65" s="61">
        <f t="array" ref="D65">MOD(ROW(), 3) + 1</f>
        <v>3</v>
      </c>
      <c r="E65" s="11"/>
      <c r="F65" s="63">
        <f t="array" ref="F65">IFERROR(INDEX($B$1:$B$247, SMALL(IF($D$1:$D$247=$E$3,ROW($D$1:$D$247)),ROW()-2),1),"")</f>
        <v>4</v>
      </c>
      <c r="G65" s="63">
        <f t="array" ref="G65">IFERROR(INDEX($C$1:$C$247, SMALL(IF($D$1:$D$247=$E$3,ROW($D$1:$D$247)),ROW()-2),1),"")</f>
        <v>29.4</v>
      </c>
      <c r="H65" s="64">
        <f t="array" ref="H65">IFERROR(INDEX($B$1:$B$247, SMALL(IF($D$1:$D$247=$E$4,ROW($D$1:$D$247)),ROW()-2),1),"")</f>
        <v>2</v>
      </c>
      <c r="I65" s="64">
        <f t="array" ref="I65">IFERROR(INDEX($C$1:$C$247, SMALL(IF($D$1:$D$247=$E$4,ROW($D$1:$D$247)),ROW()-2),1),"")</f>
        <v>36.799999999999997</v>
      </c>
      <c r="J65" s="65">
        <f t="array" ref="J65">IFERROR(INDEX($B$1:$B$247, SMALL(IF($D$1:$D$247=$E$5,ROW($D$1:$D$247)),ROW()-2),1),"")</f>
        <v>2.4</v>
      </c>
      <c r="K65" s="65">
        <f t="array" ref="K65">IFERROR(INDEX($C$1:$C$247, SMALL(IF($D$1:$D$247=$E$5,ROW($D$1:$D$247)),ROW()-2),1),"")</f>
        <v>42</v>
      </c>
      <c r="R65" s="63">
        <v>4</v>
      </c>
      <c r="S65" s="63">
        <v>29.4</v>
      </c>
      <c r="T65" s="64">
        <v>2</v>
      </c>
      <c r="U65" s="64">
        <v>36.799999999999997</v>
      </c>
      <c r="V65" s="65">
        <v>2.4</v>
      </c>
      <c r="W65" s="65">
        <v>42</v>
      </c>
    </row>
    <row r="66" spans="1:23" ht="15.75">
      <c r="A66" s="11">
        <f t="shared" ca="1" si="0"/>
        <v>0.26436591641658302</v>
      </c>
      <c r="B66" s="60">
        <f>Data!I221</f>
        <v>3</v>
      </c>
      <c r="C66" s="60">
        <f>Data!J221</f>
        <v>33.128100000000003</v>
      </c>
      <c r="D66" s="61">
        <f t="array" ref="D66">MOD(ROW(), 3) + 1</f>
        <v>1</v>
      </c>
      <c r="E66" s="11"/>
      <c r="F66" s="63">
        <f t="array" ref="F66">IFERROR(INDEX($B$1:$B$247, SMALL(IF($D$1:$D$247=$E$3,ROW($D$1:$D$247)),ROW()-2),1),"")</f>
        <v>1.6</v>
      </c>
      <c r="G66" s="63">
        <f t="array" ref="G66">IFERROR(INDEX($C$1:$C$247, SMALL(IF($D$1:$D$247=$E$3,ROW($D$1:$D$247)),ROW()-2),1),"")</f>
        <v>56.420400000000001</v>
      </c>
      <c r="H66" s="64">
        <f t="array" ref="H66">IFERROR(INDEX($B$1:$B$247, SMALL(IF($D$1:$D$247=$E$4,ROW($D$1:$D$247)),ROW()-2),1),"")</f>
        <v>3.7</v>
      </c>
      <c r="I66" s="64">
        <f t="array" ref="I66">IFERROR(INDEX($C$1:$C$247, SMALL(IF($D$1:$D$247=$E$4,ROW($D$1:$D$247)),ROW()-2),1),"")</f>
        <v>28.1</v>
      </c>
      <c r="J66" s="65">
        <f t="array" ref="J66">IFERROR(INDEX($B$1:$B$247, SMALL(IF($D$1:$D$247=$E$5,ROW($D$1:$D$247)),ROW()-2),1),"")</f>
        <v>4.7</v>
      </c>
      <c r="K66" s="65">
        <f t="array" ref="K66">IFERROR(INDEX($C$1:$C$247, SMALL(IF($D$1:$D$247=$E$5,ROW($D$1:$D$247)),ROW()-2),1),"")</f>
        <v>25.7</v>
      </c>
      <c r="R66" s="63">
        <v>1.6</v>
      </c>
      <c r="S66" s="63">
        <v>56.420400000000001</v>
      </c>
      <c r="T66" s="64">
        <v>3.7</v>
      </c>
      <c r="U66" s="64">
        <v>28.1</v>
      </c>
      <c r="V66" s="65">
        <v>4.7</v>
      </c>
      <c r="W66" s="65">
        <v>25.7</v>
      </c>
    </row>
    <row r="67" spans="1:23" ht="15.75">
      <c r="A67" s="11">
        <f t="shared" ref="A67:A130" ca="1" si="1">RAND()</f>
        <v>0.20560114825871167</v>
      </c>
      <c r="B67" s="60">
        <f>Data!I131</f>
        <v>4.7</v>
      </c>
      <c r="C67" s="60">
        <f>Data!J131</f>
        <v>25.6</v>
      </c>
      <c r="D67" s="61">
        <f t="array" ref="D67">MOD(ROW(), 3) + 1</f>
        <v>2</v>
      </c>
      <c r="E67" s="11"/>
      <c r="F67" s="63">
        <f t="array" ref="F67">IFERROR(INDEX($B$1:$B$247, SMALL(IF($D$1:$D$247=$E$3,ROW($D$1:$D$247)),ROW()-2),1),"")</f>
        <v>3.6</v>
      </c>
      <c r="G67" s="63">
        <f t="array" ref="G67">IFERROR(INDEX($C$1:$C$247, SMALL(IF($D$1:$D$247=$E$3,ROW($D$1:$D$247)),ROW()-2),1),"")</f>
        <v>31.2</v>
      </c>
      <c r="H67" s="64">
        <f t="array" ref="H67">IFERROR(INDEX($B$1:$B$247, SMALL(IF($D$1:$D$247=$E$4,ROW($D$1:$D$247)),ROW()-2),1),"")</f>
        <v>3.6</v>
      </c>
      <c r="I67" s="64">
        <f t="array" ref="I67">IFERROR(INDEX($C$1:$C$247, SMALL(IF($D$1:$D$247=$E$4,ROW($D$1:$D$247)),ROW()-2),1),"")</f>
        <v>40.5</v>
      </c>
      <c r="J67" s="65">
        <f t="array" ref="J67">IFERROR(INDEX($B$1:$B$247, SMALL(IF($D$1:$D$247=$E$5,ROW($D$1:$D$247)),ROW()-2),1),"")</f>
        <v>2.4</v>
      </c>
      <c r="K67" s="65">
        <f t="array" ref="K67">IFERROR(INDEX($C$1:$C$247, SMALL(IF($D$1:$D$247=$E$5,ROW($D$1:$D$247)),ROW()-2),1),"")</f>
        <v>40.299999999999997</v>
      </c>
      <c r="R67" s="63">
        <v>3.6</v>
      </c>
      <c r="S67" s="63">
        <v>31.2</v>
      </c>
      <c r="T67" s="64">
        <v>3.6</v>
      </c>
      <c r="U67" s="64">
        <v>40.5</v>
      </c>
      <c r="V67" s="65">
        <v>2.4</v>
      </c>
      <c r="W67" s="65">
        <v>40.299999999999997</v>
      </c>
    </row>
    <row r="68" spans="1:23" ht="15.75">
      <c r="A68" s="11">
        <f t="shared" ca="1" si="1"/>
        <v>1.9593196716344408E-2</v>
      </c>
      <c r="B68" s="60">
        <f>Data!I12</f>
        <v>6.2</v>
      </c>
      <c r="C68" s="60">
        <f>Data!J12</f>
        <v>26.8</v>
      </c>
      <c r="D68" s="61">
        <f t="array" ref="D68">MOD(ROW(), 3) + 1</f>
        <v>3</v>
      </c>
      <c r="E68" s="11"/>
      <c r="F68" s="63">
        <f t="array" ref="F68">IFERROR(INDEX($B$1:$B$247, SMALL(IF($D$1:$D$247=$E$3,ROW($D$1:$D$247)),ROW()-2),1),"")</f>
        <v>4.4000000000000004</v>
      </c>
      <c r="G68" s="63">
        <f t="array" ref="G68">IFERROR(INDEX($C$1:$C$247, SMALL(IF($D$1:$D$247=$E$3,ROW($D$1:$D$247)),ROW()-2),1),"")</f>
        <v>29.837800000000001</v>
      </c>
      <c r="H68" s="64">
        <f t="array" ref="H68">IFERROR(INDEX($B$1:$B$247, SMALL(IF($D$1:$D$247=$E$4,ROW($D$1:$D$247)),ROW()-2),1),"")</f>
        <v>4.2</v>
      </c>
      <c r="I68" s="64">
        <f t="array" ref="I68">IFERROR(INDEX($C$1:$C$247, SMALL(IF($D$1:$D$247=$E$4,ROW($D$1:$D$247)),ROW()-2),1),"")</f>
        <v>35.722200000000001</v>
      </c>
      <c r="J68" s="65">
        <f t="array" ref="J68">IFERROR(INDEX($B$1:$B$247, SMALL(IF($D$1:$D$247=$E$5,ROW($D$1:$D$247)),ROW()-2),1),"")</f>
        <v>4.5999999999999996</v>
      </c>
      <c r="K68" s="65">
        <f t="array" ref="K68">IFERROR(INDEX($C$1:$C$247, SMALL(IF($D$1:$D$247=$E$5,ROW($D$1:$D$247)),ROW()-2),1),"")</f>
        <v>21.9</v>
      </c>
      <c r="R68" s="63">
        <v>4.4000000000000004</v>
      </c>
      <c r="S68" s="63">
        <v>29.837800000000001</v>
      </c>
      <c r="T68" s="64">
        <v>4.2</v>
      </c>
      <c r="U68" s="64">
        <v>35.722200000000001</v>
      </c>
      <c r="V68" s="65">
        <v>4.5999999999999996</v>
      </c>
      <c r="W68" s="65">
        <v>21.9</v>
      </c>
    </row>
    <row r="69" spans="1:23" ht="15.75">
      <c r="A69" s="11">
        <f t="shared" ca="1" si="1"/>
        <v>0.55162240028665188</v>
      </c>
      <c r="B69" s="60">
        <f>Data!I152</f>
        <v>4.5999999999999996</v>
      </c>
      <c r="C69" s="60">
        <f>Data!J152</f>
        <v>23</v>
      </c>
      <c r="D69" s="61">
        <f t="array" ref="D69">MOD(ROW(), 3) + 1</f>
        <v>1</v>
      </c>
      <c r="E69" s="11"/>
      <c r="F69" s="63">
        <f t="array" ref="F69">IFERROR(INDEX($B$1:$B$247, SMALL(IF($D$1:$D$247=$E$3,ROW($D$1:$D$247)),ROW()-2),1),"")</f>
        <v>6.4</v>
      </c>
      <c r="G69" s="63">
        <f t="array" ref="G69">IFERROR(INDEX($C$1:$C$247, SMALL(IF($D$1:$D$247=$E$3,ROW($D$1:$D$247)),ROW()-2),1),"")</f>
        <v>31.4</v>
      </c>
      <c r="H69" s="64">
        <f t="array" ref="H69">IFERROR(INDEX($B$1:$B$247, SMALL(IF($D$1:$D$247=$E$4,ROW($D$1:$D$247)),ROW()-2),1),"")</f>
        <v>6</v>
      </c>
      <c r="I69" s="64">
        <f t="array" ref="I69">IFERROR(INDEX($C$1:$C$247, SMALL(IF($D$1:$D$247=$E$4,ROW($D$1:$D$247)),ROW()-2),1),"")</f>
        <v>21.7</v>
      </c>
      <c r="J69" s="65">
        <f t="array" ref="J69">IFERROR(INDEX($B$1:$B$247, SMALL(IF($D$1:$D$247=$E$5,ROW($D$1:$D$247)),ROW()-2),1),"")</f>
        <v>4</v>
      </c>
      <c r="K69" s="65">
        <f t="array" ref="K69">IFERROR(INDEX($C$1:$C$247, SMALL(IF($D$1:$D$247=$E$5,ROW($D$1:$D$247)),ROW()-2),1),"")</f>
        <v>28.5</v>
      </c>
      <c r="R69" s="63">
        <v>6.4</v>
      </c>
      <c r="S69" s="63">
        <v>31.4</v>
      </c>
      <c r="T69" s="64">
        <v>6</v>
      </c>
      <c r="U69" s="64">
        <v>21.7</v>
      </c>
      <c r="V69" s="65">
        <v>4</v>
      </c>
      <c r="W69" s="65">
        <v>28.5</v>
      </c>
    </row>
    <row r="70" spans="1:23" ht="15.75">
      <c r="A70" s="11">
        <f t="shared" ca="1" si="1"/>
        <v>0.19953824396850295</v>
      </c>
      <c r="B70" s="60">
        <f>Data!I202</f>
        <v>6</v>
      </c>
      <c r="C70" s="60">
        <f>Data!J202</f>
        <v>21.2</v>
      </c>
      <c r="D70" s="61">
        <f t="array" ref="D70">MOD(ROW(), 3) + 1</f>
        <v>2</v>
      </c>
      <c r="E70" s="11"/>
      <c r="F70" s="63">
        <f t="array" ref="F70">IFERROR(INDEX($B$1:$B$247, SMALL(IF($D$1:$D$247=$E$3,ROW($D$1:$D$247)),ROW()-2),1),"")</f>
        <v>5.7</v>
      </c>
      <c r="G70" s="63">
        <f t="array" ref="G70">IFERROR(INDEX($C$1:$C$247, SMALL(IF($D$1:$D$247=$E$3,ROW($D$1:$D$247)),ROW()-2),1),"")</f>
        <v>27.2</v>
      </c>
      <c r="H70" s="64">
        <f t="array" ref="H70">IFERROR(INDEX($B$1:$B$247, SMALL(IF($D$1:$D$247=$E$4,ROW($D$1:$D$247)),ROW()-2),1),"")</f>
        <v>1.6</v>
      </c>
      <c r="I70" s="64">
        <f t="array" ref="I70">IFERROR(INDEX($C$1:$C$247, SMALL(IF($D$1:$D$247=$E$4,ROW($D$1:$D$247)),ROW()-2),1),"")</f>
        <v>43.7</v>
      </c>
      <c r="J70" s="65">
        <f t="array" ref="J70">IFERROR(INDEX($B$1:$B$247, SMALL(IF($D$1:$D$247=$E$5,ROW($D$1:$D$247)),ROW()-2),1),"")</f>
        <v>1.6</v>
      </c>
      <c r="K70" s="65">
        <f t="array" ref="K70">IFERROR(INDEX($C$1:$C$247, SMALL(IF($D$1:$D$247=$E$5,ROW($D$1:$D$247)),ROW()-2),1),"")</f>
        <v>42.8</v>
      </c>
      <c r="R70" s="63">
        <v>5.7</v>
      </c>
      <c r="S70" s="63">
        <v>27.2</v>
      </c>
      <c r="T70" s="64">
        <v>1.6</v>
      </c>
      <c r="U70" s="64">
        <v>43.7</v>
      </c>
      <c r="V70" s="65">
        <v>1.6</v>
      </c>
      <c r="W70" s="65">
        <v>42.8</v>
      </c>
    </row>
    <row r="71" spans="1:23" ht="15.75">
      <c r="A71" s="11">
        <f t="shared" ca="1" si="1"/>
        <v>0.40099398241096607</v>
      </c>
      <c r="B71" s="60">
        <f>Data!I39</f>
        <v>1.8</v>
      </c>
      <c r="C71" s="60">
        <f>Data!J39</f>
        <v>46.9</v>
      </c>
      <c r="D71" s="61">
        <f t="array" ref="D71">MOD(ROW(), 3) + 1</f>
        <v>3</v>
      </c>
      <c r="E71" s="11"/>
      <c r="F71" s="63">
        <f t="array" ref="F71">IFERROR(INDEX($B$1:$B$247, SMALL(IF($D$1:$D$247=$E$3,ROW($D$1:$D$247)),ROW()-2),1),"")</f>
        <v>1.6</v>
      </c>
      <c r="G71" s="63">
        <f t="array" ref="G71">IFERROR(INDEX($C$1:$C$247, SMALL(IF($D$1:$D$247=$E$3,ROW($D$1:$D$247)),ROW()-2),1),"")</f>
        <v>41.7</v>
      </c>
      <c r="H71" s="64">
        <f t="array" ref="H71">IFERROR(INDEX($B$1:$B$247, SMALL(IF($D$1:$D$247=$E$4,ROW($D$1:$D$247)),ROW()-2),1),"")</f>
        <v>2.5</v>
      </c>
      <c r="I71" s="64">
        <f t="array" ref="I71">IFERROR(INDEX($C$1:$C$247, SMALL(IF($D$1:$D$247=$E$4,ROW($D$1:$D$247)),ROW()-2),1),"")</f>
        <v>36.655700000000003</v>
      </c>
      <c r="J71" s="65">
        <f t="array" ref="J71">IFERROR(INDEX($B$1:$B$247, SMALL(IF($D$1:$D$247=$E$5,ROW($D$1:$D$247)),ROW()-2),1),"")</f>
        <v>6.4</v>
      </c>
      <c r="K71" s="65">
        <f t="array" ref="K71">IFERROR(INDEX($C$1:$C$247, SMALL(IF($D$1:$D$247=$E$5,ROW($D$1:$D$247)),ROW()-2),1),"")</f>
        <v>29.9499</v>
      </c>
      <c r="R71" s="63">
        <v>1.6</v>
      </c>
      <c r="S71" s="63">
        <v>41.7</v>
      </c>
      <c r="T71" s="64">
        <v>2.5</v>
      </c>
      <c r="U71" s="64">
        <v>36.655700000000003</v>
      </c>
      <c r="V71" s="65">
        <v>6.4</v>
      </c>
      <c r="W71" s="65">
        <v>29.9499</v>
      </c>
    </row>
    <row r="72" spans="1:23" ht="15.75">
      <c r="A72" s="11">
        <f t="shared" ca="1" si="1"/>
        <v>0.3877948317906359</v>
      </c>
      <c r="B72" s="60">
        <f>Data!I240</f>
        <v>3.5</v>
      </c>
      <c r="C72" s="60">
        <f>Data!J240</f>
        <v>34.028799999999997</v>
      </c>
      <c r="D72" s="61">
        <f t="array" ref="D72">MOD(ROW(), 3) + 1</f>
        <v>1</v>
      </c>
      <c r="E72" s="11"/>
      <c r="F72" s="63">
        <f t="array" ref="F72">IFERROR(INDEX($B$1:$B$247, SMALL(IF($D$1:$D$247=$E$3,ROW($D$1:$D$247)),ROW()-2),1),"")</f>
        <v>6</v>
      </c>
      <c r="G72" s="63">
        <f t="array" ref="G72">IFERROR(INDEX($C$1:$C$247, SMALL(IF($D$1:$D$247=$E$3,ROW($D$1:$D$247)),ROW()-2),1),"")</f>
        <v>32.4</v>
      </c>
      <c r="H72" s="64">
        <f t="array" ref="H72">IFERROR(INDEX($B$1:$B$247, SMALL(IF($D$1:$D$247=$E$4,ROW($D$1:$D$247)),ROW()-2),1),"")</f>
        <v>2</v>
      </c>
      <c r="I72" s="64">
        <f t="array" ref="I72">IFERROR(INDEX($C$1:$C$247, SMALL(IF($D$1:$D$247=$E$4,ROW($D$1:$D$247)),ROW()-2),1),"")</f>
        <v>59.536099999999998</v>
      </c>
      <c r="J72" s="65">
        <f t="array" ref="J72">IFERROR(INDEX($B$1:$B$247, SMALL(IF($D$1:$D$247=$E$5,ROW($D$1:$D$247)),ROW()-2),1),"")</f>
        <v>6.8</v>
      </c>
      <c r="K72" s="65">
        <f t="array" ref="K72">IFERROR(INDEX($C$1:$C$247, SMALL(IF($D$1:$D$247=$E$5,ROW($D$1:$D$247)),ROW()-2),1),"")</f>
        <v>18.600000000000001</v>
      </c>
      <c r="R72" s="63">
        <v>6</v>
      </c>
      <c r="S72" s="63">
        <v>32.4</v>
      </c>
      <c r="T72" s="64">
        <v>2</v>
      </c>
      <c r="U72" s="64">
        <v>59.536099999999998</v>
      </c>
      <c r="V72" s="65">
        <v>6.8</v>
      </c>
      <c r="W72" s="65">
        <v>18.600000000000001</v>
      </c>
    </row>
    <row r="73" spans="1:23" ht="15.75">
      <c r="A73" s="11">
        <f t="shared" ca="1" si="1"/>
        <v>0.54099229584902986</v>
      </c>
      <c r="B73" s="60">
        <f>Data!I11</f>
        <v>6</v>
      </c>
      <c r="C73" s="60">
        <f>Data!J11</f>
        <v>25</v>
      </c>
      <c r="D73" s="61">
        <f t="array" ref="D73">MOD(ROW(), 3) + 1</f>
        <v>2</v>
      </c>
      <c r="E73" s="11"/>
      <c r="F73" s="63">
        <f t="array" ref="F73">IFERROR(INDEX($B$1:$B$247, SMALL(IF($D$1:$D$247=$E$3,ROW($D$1:$D$247)),ROW()-2),1),"")</f>
        <v>5.7</v>
      </c>
      <c r="G73" s="63">
        <f t="array" ref="G73">IFERROR(INDEX($C$1:$C$247, SMALL(IF($D$1:$D$247=$E$3,ROW($D$1:$D$247)),ROW()-2),1),"")</f>
        <v>27.2</v>
      </c>
      <c r="H73" s="64">
        <f t="array" ref="H73">IFERROR(INDEX($B$1:$B$247, SMALL(IF($D$1:$D$247=$E$4,ROW($D$1:$D$247)),ROW()-2),1),"")</f>
        <v>3.8</v>
      </c>
      <c r="I73" s="64">
        <f t="array" ref="I73">IFERROR(INDEX($C$1:$C$247, SMALL(IF($D$1:$D$247=$E$4,ROW($D$1:$D$247)),ROW()-2),1),"")</f>
        <v>34.861699999999999</v>
      </c>
      <c r="J73" s="65">
        <f t="array" ref="J73">IFERROR(INDEX($B$1:$B$247, SMALL(IF($D$1:$D$247=$E$5,ROW($D$1:$D$247)),ROW()-2),1),"")</f>
        <v>2</v>
      </c>
      <c r="K73" s="65">
        <f t="array" ref="K73">IFERROR(INDEX($C$1:$C$247, SMALL(IF($D$1:$D$247=$E$5,ROW($D$1:$D$247)),ROW()-2),1),"")</f>
        <v>41.399000000000001</v>
      </c>
      <c r="R73" s="63">
        <v>5.7</v>
      </c>
      <c r="S73" s="63">
        <v>27.2</v>
      </c>
      <c r="T73" s="64">
        <v>3.8</v>
      </c>
      <c r="U73" s="64">
        <v>34.861699999999999</v>
      </c>
      <c r="V73" s="65">
        <v>2</v>
      </c>
      <c r="W73" s="65">
        <v>41.399000000000001</v>
      </c>
    </row>
    <row r="74" spans="1:23" ht="15.75">
      <c r="A74" s="11">
        <f t="shared" ca="1" si="1"/>
        <v>0.77961793885772901</v>
      </c>
      <c r="B74" s="60">
        <f>Data!I30</f>
        <v>3.7</v>
      </c>
      <c r="C74" s="60">
        <f>Data!J30</f>
        <v>41.4056</v>
      </c>
      <c r="D74" s="61">
        <f t="array" ref="D74">MOD(ROW(), 3) + 1</f>
        <v>3</v>
      </c>
      <c r="E74" s="11"/>
      <c r="F74" s="63">
        <f t="array" ref="F74">IFERROR(INDEX($B$1:$B$247, SMALL(IF($D$1:$D$247=$E$3,ROW($D$1:$D$247)),ROW()-2),1),"")</f>
        <v>3</v>
      </c>
      <c r="G74" s="63">
        <f t="array" ref="G74">IFERROR(INDEX($C$1:$C$247, SMALL(IF($D$1:$D$247=$E$3,ROW($D$1:$D$247)),ROW()-2),1),"")</f>
        <v>33.200000000000003</v>
      </c>
      <c r="H74" s="64">
        <f t="array" ref="H74">IFERROR(INDEX($B$1:$B$247, SMALL(IF($D$1:$D$247=$E$4,ROW($D$1:$D$247)),ROW()-2),1),"")</f>
        <v>2.4</v>
      </c>
      <c r="I74" s="64">
        <f t="array" ref="I74">IFERROR(INDEX($C$1:$C$247, SMALL(IF($D$1:$D$247=$E$4,ROW($D$1:$D$247)),ROW()-2),1),"")</f>
        <v>38.700000000000003</v>
      </c>
      <c r="J74" s="65">
        <f t="array" ref="J74">IFERROR(INDEX($B$1:$B$247, SMALL(IF($D$1:$D$247=$E$5,ROW($D$1:$D$247)),ROW()-2),1),"")</f>
        <v>1.5</v>
      </c>
      <c r="K74" s="65">
        <f t="array" ref="K74">IFERROR(INDEX($C$1:$C$247, SMALL(IF($D$1:$D$247=$E$5,ROW($D$1:$D$247)),ROW()-2),1),"")</f>
        <v>49.6</v>
      </c>
      <c r="R74" s="63">
        <v>3</v>
      </c>
      <c r="S74" s="63">
        <v>33.200000000000003</v>
      </c>
      <c r="T74" s="64">
        <v>2.4</v>
      </c>
      <c r="U74" s="64">
        <v>38.700000000000003</v>
      </c>
      <c r="V74" s="65">
        <v>1.5</v>
      </c>
      <c r="W74" s="65">
        <v>49.6</v>
      </c>
    </row>
    <row r="75" spans="1:23" ht="15.75">
      <c r="A75" s="11">
        <f t="shared" ca="1" si="1"/>
        <v>0.45845057759633512</v>
      </c>
      <c r="B75" s="60">
        <f>Data!I179</f>
        <v>3.7</v>
      </c>
      <c r="C75" s="60">
        <f>Data!J179</f>
        <v>30.4</v>
      </c>
      <c r="D75" s="61">
        <f t="array" ref="D75">MOD(ROW(), 3) + 1</f>
        <v>1</v>
      </c>
      <c r="E75" s="11"/>
      <c r="F75" s="63">
        <f t="array" ref="F75">IFERROR(INDEX($B$1:$B$247, SMALL(IF($D$1:$D$247=$E$3,ROW($D$1:$D$247)),ROW()-2),1),"")</f>
        <v>2.5</v>
      </c>
      <c r="G75" s="63">
        <f t="array" ref="G75">IFERROR(INDEX($C$1:$C$247, SMALL(IF($D$1:$D$247=$E$3,ROW($D$1:$D$247)),ROW()-2),1),"")</f>
        <v>37.6</v>
      </c>
      <c r="H75" s="64">
        <f t="array" ref="H75">IFERROR(INDEX($B$1:$B$247, SMALL(IF($D$1:$D$247=$E$4,ROW($D$1:$D$247)),ROW()-2),1),"")</f>
        <v>3</v>
      </c>
      <c r="I75" s="64">
        <f t="array" ref="I75">IFERROR(INDEX($C$1:$C$247, SMALL(IF($D$1:$D$247=$E$4,ROW($D$1:$D$247)),ROW()-2),1),"")</f>
        <v>32.857900000000001</v>
      </c>
      <c r="J75" s="65">
        <f t="array" ref="J75">IFERROR(INDEX($B$1:$B$247, SMALL(IF($D$1:$D$247=$E$5,ROW($D$1:$D$247)),ROW()-2),1),"")</f>
        <v>5.5</v>
      </c>
      <c r="K75" s="65">
        <f t="array" ref="K75">IFERROR(INDEX($C$1:$C$247, SMALL(IF($D$1:$D$247=$E$5,ROW($D$1:$D$247)),ROW()-2),1),"")</f>
        <v>30.6</v>
      </c>
      <c r="R75" s="63">
        <v>2.5</v>
      </c>
      <c r="S75" s="63">
        <v>37.6</v>
      </c>
      <c r="T75" s="64">
        <v>3</v>
      </c>
      <c r="U75" s="64">
        <v>32.857900000000001</v>
      </c>
      <c r="V75" s="65">
        <v>5.5</v>
      </c>
      <c r="W75" s="65">
        <v>30.6</v>
      </c>
    </row>
    <row r="76" spans="1:23" ht="15.75">
      <c r="A76" s="11">
        <f t="shared" ca="1" si="1"/>
        <v>0.58852681678937402</v>
      </c>
      <c r="B76" s="60">
        <f>Data!I151</f>
        <v>5.4</v>
      </c>
      <c r="C76" s="60">
        <f>Data!J151</f>
        <v>21.8</v>
      </c>
      <c r="D76" s="61">
        <f t="array" ref="D76">MOD(ROW(), 3) + 1</f>
        <v>2</v>
      </c>
      <c r="E76" s="11"/>
      <c r="F76" s="63">
        <f t="array" ref="F76">IFERROR(INDEX($B$1:$B$247, SMALL(IF($D$1:$D$247=$E$3,ROW($D$1:$D$247)),ROW()-2),1),"")</f>
        <v>2</v>
      </c>
      <c r="G76" s="63">
        <f t="array" ref="G76">IFERROR(INDEX($C$1:$C$247, SMALL(IF($D$1:$D$247=$E$3,ROW($D$1:$D$247)),ROW()-2),1),"")</f>
        <v>46.9</v>
      </c>
      <c r="H76" s="64">
        <f t="array" ref="H76">IFERROR(INDEX($B$1:$B$247, SMALL(IF($D$1:$D$247=$E$4,ROW($D$1:$D$247)),ROW()-2),1),"")</f>
        <v>4.7</v>
      </c>
      <c r="I76" s="64">
        <f t="array" ref="I76">IFERROR(INDEX($C$1:$C$247, SMALL(IF($D$1:$D$247=$E$4,ROW($D$1:$D$247)),ROW()-2),1),"")</f>
        <v>24.6</v>
      </c>
      <c r="J76" s="65">
        <f t="array" ref="J76">IFERROR(INDEX($B$1:$B$247, SMALL(IF($D$1:$D$247=$E$5,ROW($D$1:$D$247)),ROW()-2),1),"")</f>
        <v>2.5</v>
      </c>
      <c r="K76" s="65">
        <f t="array" ref="K76">IFERROR(INDEX($C$1:$C$247, SMALL(IF($D$1:$D$247=$E$5,ROW($D$1:$D$247)),ROW()-2),1),"")</f>
        <v>42.904000000000003</v>
      </c>
      <c r="R76" s="63">
        <v>2</v>
      </c>
      <c r="S76" s="63">
        <v>46.9</v>
      </c>
      <c r="T76" s="64">
        <v>4.7</v>
      </c>
      <c r="U76" s="64">
        <v>24.6</v>
      </c>
      <c r="V76" s="65">
        <v>2.5</v>
      </c>
      <c r="W76" s="65">
        <v>42.904000000000003</v>
      </c>
    </row>
    <row r="77" spans="1:23" ht="15.75">
      <c r="A77" s="11">
        <f t="shared" ca="1" si="1"/>
        <v>0.64214128857316477</v>
      </c>
      <c r="B77" s="60">
        <f>Data!I184</f>
        <v>6</v>
      </c>
      <c r="C77" s="60">
        <f>Data!J184</f>
        <v>21.7</v>
      </c>
      <c r="D77" s="61">
        <f t="array" ref="D77">MOD(ROW(), 3) + 1</f>
        <v>3</v>
      </c>
      <c r="E77" s="11"/>
      <c r="F77" s="63">
        <f t="array" ref="F77">IFERROR(INDEX($B$1:$B$247, SMALL(IF($D$1:$D$247=$E$3,ROW($D$1:$D$247)),ROW()-2),1),"")</f>
        <v>5</v>
      </c>
      <c r="G77" s="63">
        <f t="array" ref="G77">IFERROR(INDEX($C$1:$C$247, SMALL(IF($D$1:$D$247=$E$3,ROW($D$1:$D$247)),ROW()-2),1),"")</f>
        <v>27.4375</v>
      </c>
      <c r="H77" s="64">
        <f t="array" ref="H77">IFERROR(INDEX($B$1:$B$247, SMALL(IF($D$1:$D$247=$E$4,ROW($D$1:$D$247)),ROW()-2),1),"")</f>
        <v>1.6</v>
      </c>
      <c r="I77" s="64">
        <f t="array" ref="I77">IFERROR(INDEX($C$1:$C$247, SMALL(IF($D$1:$D$247=$E$4,ROW($D$1:$D$247)),ROW()-2),1),"")</f>
        <v>43.297899999999998</v>
      </c>
      <c r="J77" s="65">
        <f t="array" ref="J77">IFERROR(INDEX($B$1:$B$247, SMALL(IF($D$1:$D$247=$E$5,ROW($D$1:$D$247)),ROW()-2),1),"")</f>
        <v>3.4</v>
      </c>
      <c r="K77" s="65">
        <f t="array" ref="K77">IFERROR(INDEX($C$1:$C$247, SMALL(IF($D$1:$D$247=$E$5,ROW($D$1:$D$247)),ROW()-2),1),"")</f>
        <v>37.055</v>
      </c>
      <c r="R77" s="63">
        <v>5</v>
      </c>
      <c r="S77" s="63">
        <v>27.4375</v>
      </c>
      <c r="T77" s="64">
        <v>1.6</v>
      </c>
      <c r="U77" s="64">
        <v>43.297899999999998</v>
      </c>
      <c r="V77" s="65">
        <v>3.4</v>
      </c>
      <c r="W77" s="65">
        <v>37.055</v>
      </c>
    </row>
    <row r="78" spans="1:23" ht="15.75">
      <c r="A78" s="11">
        <f t="shared" ca="1" si="1"/>
        <v>0.94026105046149255</v>
      </c>
      <c r="B78" s="60">
        <f>Data!I85</f>
        <v>2</v>
      </c>
      <c r="C78" s="60">
        <f>Data!J85</f>
        <v>43.5</v>
      </c>
      <c r="D78" s="61">
        <f t="array" ref="D78">MOD(ROW(), 3) + 1</f>
        <v>1</v>
      </c>
      <c r="E78" s="11"/>
      <c r="F78" s="63">
        <f t="array" ref="F78">IFERROR(INDEX($B$1:$B$247, SMALL(IF($D$1:$D$247=$E$3,ROW($D$1:$D$247)),ROW()-2),1),"")</f>
        <v>3</v>
      </c>
      <c r="G78" s="63">
        <f t="array" ref="G78">IFERROR(INDEX($C$1:$C$247, SMALL(IF($D$1:$D$247=$E$3,ROW($D$1:$D$247)),ROW()-2),1),"")</f>
        <v>34.4</v>
      </c>
      <c r="H78" s="64">
        <f t="array" ref="H78">IFERROR(INDEX($B$1:$B$247, SMALL(IF($D$1:$D$247=$E$4,ROW($D$1:$D$247)),ROW()-2),1),"")</f>
        <v>1.8</v>
      </c>
      <c r="I78" s="64">
        <f t="array" ref="I78">IFERROR(INDEX($C$1:$C$247, SMALL(IF($D$1:$D$247=$E$4,ROW($D$1:$D$247)),ROW()-2),1),"")</f>
        <v>47.2</v>
      </c>
      <c r="J78" s="65">
        <f t="array" ref="J78">IFERROR(INDEX($B$1:$B$247, SMALL(IF($D$1:$D$247=$E$5,ROW($D$1:$D$247)),ROW()-2),1),"")</f>
        <v>1.6</v>
      </c>
      <c r="K78" s="65">
        <f t="array" ref="K78">IFERROR(INDEX($C$1:$C$247, SMALL(IF($D$1:$D$247=$E$5,ROW($D$1:$D$247)),ROW()-2),1),"")</f>
        <v>50.243600000000001</v>
      </c>
      <c r="R78" s="63">
        <v>3</v>
      </c>
      <c r="S78" s="63">
        <v>34.4</v>
      </c>
      <c r="T78" s="64">
        <v>1.8</v>
      </c>
      <c r="U78" s="64">
        <v>47.2</v>
      </c>
      <c r="V78" s="65">
        <v>1.6</v>
      </c>
      <c r="W78" s="65">
        <v>50.243600000000001</v>
      </c>
    </row>
    <row r="79" spans="1:23" ht="15.75">
      <c r="A79" s="11">
        <f t="shared" ca="1" si="1"/>
        <v>0.36594141919158851</v>
      </c>
      <c r="B79" s="60">
        <f>Data!I73</f>
        <v>2.5</v>
      </c>
      <c r="C79" s="60">
        <f>Data!J73</f>
        <v>42.488799999999998</v>
      </c>
      <c r="D79" s="61">
        <f t="array" ref="D79">MOD(ROW(), 3) + 1</f>
        <v>2</v>
      </c>
      <c r="E79" s="11"/>
      <c r="F79" s="63">
        <f t="array" ref="F79">IFERROR(INDEX($B$1:$B$247, SMALL(IF($D$1:$D$247=$E$3,ROW($D$1:$D$247)),ROW()-2),1),"")</f>
        <v>3.5</v>
      </c>
      <c r="G79" s="63">
        <f t="array" ref="G79">IFERROR(INDEX($C$1:$C$247, SMALL(IF($D$1:$D$247=$E$3,ROW($D$1:$D$247)),ROW()-2),1),"")</f>
        <v>34.762999999999998</v>
      </c>
      <c r="H79" s="64">
        <f t="array" ref="H79">IFERROR(INDEX($B$1:$B$247, SMALL(IF($D$1:$D$247=$E$4,ROW($D$1:$D$247)),ROW()-2),1),"")</f>
        <v>1.6</v>
      </c>
      <c r="I79" s="64">
        <f t="array" ref="I79">IFERROR(INDEX($C$1:$C$247, SMALL(IF($D$1:$D$247=$E$4,ROW($D$1:$D$247)),ROW()-2),1),"")</f>
        <v>42</v>
      </c>
      <c r="J79" s="65">
        <f t="array" ref="J79">IFERROR(INDEX($B$1:$B$247, SMALL(IF($D$1:$D$247=$E$5,ROW($D$1:$D$247)),ROW()-2),1),"")</f>
        <v>5</v>
      </c>
      <c r="K79" s="65">
        <f t="array" ref="K79">IFERROR(INDEX($C$1:$C$247, SMALL(IF($D$1:$D$247=$E$5,ROW($D$1:$D$247)),ROW()-2),1),"")</f>
        <v>25.897500000000001</v>
      </c>
      <c r="R79" s="63">
        <v>3.5</v>
      </c>
      <c r="S79" s="63">
        <v>34.762999999999998</v>
      </c>
      <c r="T79" s="64">
        <v>1.6</v>
      </c>
      <c r="U79" s="64">
        <v>42</v>
      </c>
      <c r="V79" s="65">
        <v>5</v>
      </c>
      <c r="W79" s="65">
        <v>25.897500000000001</v>
      </c>
    </row>
    <row r="80" spans="1:23" ht="15.75">
      <c r="A80" s="11">
        <f t="shared" ca="1" si="1"/>
        <v>0.43400768056894579</v>
      </c>
      <c r="B80" s="60">
        <f>Data!I205</f>
        <v>3.6</v>
      </c>
      <c r="C80" s="60">
        <f>Data!J205</f>
        <v>32.9</v>
      </c>
      <c r="D80" s="61">
        <f t="array" ref="D80">MOD(ROW(), 3) + 1</f>
        <v>3</v>
      </c>
      <c r="E80" s="11"/>
      <c r="F80" s="63">
        <f t="array" ref="F80">IFERROR(INDEX($B$1:$B$247, SMALL(IF($D$1:$D$247=$E$3,ROW($D$1:$D$247)),ROW()-2),1),"")</f>
        <v>6</v>
      </c>
      <c r="G80" s="63">
        <f t="array" ref="G80">IFERROR(INDEX($C$1:$C$247, SMALL(IF($D$1:$D$247=$E$3,ROW($D$1:$D$247)),ROW()-2),1),"")</f>
        <v>21.651499999999999</v>
      </c>
      <c r="H80" s="64">
        <f t="array" ref="H80">IFERROR(INDEX($B$1:$B$247, SMALL(IF($D$1:$D$247=$E$4,ROW($D$1:$D$247)),ROW()-2),1),"")</f>
        <v>6.2</v>
      </c>
      <c r="I80" s="64">
        <f t="array" ref="I80">IFERROR(INDEX($C$1:$C$247, SMALL(IF($D$1:$D$247=$E$4,ROW($D$1:$D$247)),ROW()-2),1),"")</f>
        <v>19.5139</v>
      </c>
      <c r="J80" s="65">
        <f t="array" ref="J80">IFERROR(INDEX($B$1:$B$247, SMALL(IF($D$1:$D$247=$E$5,ROW($D$1:$D$247)),ROW()-2),1),"")</f>
        <v>1.6</v>
      </c>
      <c r="K80" s="65">
        <f t="array" ref="K80">IFERROR(INDEX($C$1:$C$247, SMALL(IF($D$1:$D$247=$E$5,ROW($D$1:$D$247)),ROW()-2),1),"")</f>
        <v>54.250100000000003</v>
      </c>
      <c r="R80" s="63">
        <v>6</v>
      </c>
      <c r="S80" s="63">
        <v>21.651499999999999</v>
      </c>
      <c r="T80" s="64">
        <v>6.2</v>
      </c>
      <c r="U80" s="64">
        <v>19.5139</v>
      </c>
      <c r="V80" s="65">
        <v>1.6</v>
      </c>
      <c r="W80" s="65">
        <v>54.250100000000003</v>
      </c>
    </row>
    <row r="81" spans="1:24" ht="15.75">
      <c r="A81" s="11">
        <f t="shared" ca="1" si="1"/>
        <v>0.70790630827960443</v>
      </c>
      <c r="B81" s="60">
        <f>Data!I149</f>
        <v>6</v>
      </c>
      <c r="C81" s="60">
        <f>Data!J149</f>
        <v>21.473400000000002</v>
      </c>
      <c r="D81" s="61">
        <f t="array" ref="D81">MOD(ROW(), 3) + 1</f>
        <v>1</v>
      </c>
      <c r="E81" s="11"/>
      <c r="F81" s="63">
        <f t="array" ref="F81">IFERROR(INDEX($B$1:$B$247, SMALL(IF($D$1:$D$247=$E$3,ROW($D$1:$D$247)),ROW()-2),1),"")</f>
        <v>1.4</v>
      </c>
      <c r="G81" s="63">
        <f t="array" ref="G81">IFERROR(INDEX($C$1:$C$247, SMALL(IF($D$1:$D$247=$E$3,ROW($D$1:$D$247)),ROW()-2),1),"")</f>
        <v>59.7</v>
      </c>
      <c r="H81" s="64">
        <f t="array" ref="H81">IFERROR(INDEX($B$1:$B$247, SMALL(IF($D$1:$D$247=$E$4,ROW($D$1:$D$247)),ROW()-2),1),"")</f>
        <v>4.4000000000000004</v>
      </c>
      <c r="I81" s="64">
        <f t="array" ref="I81">IFERROR(INDEX($C$1:$C$247, SMALL(IF($D$1:$D$247=$E$4,ROW($D$1:$D$247)),ROW()-2),1),"")</f>
        <v>27.730699999999999</v>
      </c>
      <c r="J81" s="65">
        <f t="array" ref="J81">IFERROR(INDEX($B$1:$B$247, SMALL(IF($D$1:$D$247=$E$5,ROW($D$1:$D$247)),ROW()-2),1),"")</f>
        <v>3.7</v>
      </c>
      <c r="K81" s="65">
        <f t="array" ref="K81">IFERROR(INDEX($C$1:$C$247, SMALL(IF($D$1:$D$247=$E$5,ROW($D$1:$D$247)),ROW()-2),1),"")</f>
        <v>33.4</v>
      </c>
      <c r="R81" s="63">
        <v>1.4</v>
      </c>
      <c r="S81" s="63">
        <v>59.7</v>
      </c>
      <c r="T81" s="64">
        <v>4.4000000000000004</v>
      </c>
      <c r="U81" s="64">
        <v>27.730699999999999</v>
      </c>
      <c r="V81" s="65">
        <v>3.7</v>
      </c>
      <c r="W81" s="65">
        <v>33.4</v>
      </c>
    </row>
    <row r="82" spans="1:24" ht="15.75">
      <c r="A82" s="11">
        <f t="shared" ca="1" si="1"/>
        <v>0.28094628915074593</v>
      </c>
      <c r="B82" s="60">
        <f>Data!I88</f>
        <v>2.5</v>
      </c>
      <c r="C82" s="60">
        <f>Data!J88</f>
        <v>40.807499999999997</v>
      </c>
      <c r="D82" s="61">
        <f t="array" ref="D82">MOD(ROW(), 3) + 1</f>
        <v>2</v>
      </c>
      <c r="E82" s="11"/>
      <c r="F82" s="63">
        <f t="array" ref="F82">IFERROR(INDEX($B$1:$B$247, SMALL(IF($D$1:$D$247=$E$3,ROW($D$1:$D$247)),ROW()-2),1),"")</f>
        <v>3</v>
      </c>
      <c r="G82" s="63">
        <f t="array" ref="G82">IFERROR(INDEX($C$1:$C$247, SMALL(IF($D$1:$D$247=$E$3,ROW($D$1:$D$247)),ROW()-2),1),"")</f>
        <v>33.299999999999997</v>
      </c>
      <c r="H82" s="64">
        <f t="array" ref="H82">IFERROR(INDEX($B$1:$B$247, SMALL(IF($D$1:$D$247=$E$4,ROW($D$1:$D$247)),ROW()-2),1),"")</f>
        <v>3.5</v>
      </c>
      <c r="I82" s="64">
        <f t="array" ref="I82">IFERROR(INDEX($C$1:$C$247, SMALL(IF($D$1:$D$247=$E$4,ROW($D$1:$D$247)),ROW()-2),1),"")</f>
        <v>34</v>
      </c>
      <c r="J82" s="65">
        <f t="array" ref="J82">IFERROR(INDEX($B$1:$B$247, SMALL(IF($D$1:$D$247=$E$5,ROW($D$1:$D$247)),ROW()-2),1),"")</f>
        <v>5</v>
      </c>
      <c r="K82" s="65">
        <f t="array" ref="K82">IFERROR(INDEX($C$1:$C$247, SMALL(IF($D$1:$D$247=$E$5,ROW($D$1:$D$247)),ROW()-2),1),"")</f>
        <v>30.850300000000001</v>
      </c>
      <c r="R82" s="63">
        <v>3</v>
      </c>
      <c r="S82" s="63">
        <v>33.299999999999997</v>
      </c>
      <c r="T82" s="64">
        <v>3.5</v>
      </c>
      <c r="U82" s="64">
        <v>34</v>
      </c>
      <c r="V82" s="65">
        <v>5</v>
      </c>
      <c r="W82" s="65">
        <v>30.850300000000001</v>
      </c>
    </row>
    <row r="83" spans="1:24" ht="15.75">
      <c r="A83" s="11">
        <f t="shared" ca="1" si="1"/>
        <v>0.32000878901818752</v>
      </c>
      <c r="B83" s="60">
        <f>Data!I226</f>
        <v>2.5</v>
      </c>
      <c r="C83" s="60">
        <f>Data!J226</f>
        <v>37.137</v>
      </c>
      <c r="D83" s="61">
        <f t="array" ref="D83">MOD(ROW(), 3) + 1</f>
        <v>3</v>
      </c>
      <c r="E83" s="11"/>
      <c r="F83" s="63">
        <f t="array" ref="F83">IFERROR(INDEX($B$1:$B$247, SMALL(IF($D$1:$D$247=$E$3,ROW($D$1:$D$247)),ROW()-2),1),"")</f>
        <v>3.6</v>
      </c>
      <c r="G83" s="63">
        <f t="array" ref="G83">IFERROR(INDEX($C$1:$C$247, SMALL(IF($D$1:$D$247=$E$3,ROW($D$1:$D$247)),ROW()-2),1),"")</f>
        <v>29.5</v>
      </c>
      <c r="H83" s="64">
        <f t="array" ref="H83">IFERROR(INDEX($B$1:$B$247, SMALL(IF($D$1:$D$247=$E$4,ROW($D$1:$D$247)),ROW()-2),1),"")</f>
        <v>3.5</v>
      </c>
      <c r="I83" s="64">
        <f t="array" ref="I83">IFERROR(INDEX($C$1:$C$247, SMALL(IF($D$1:$D$247=$E$4,ROW($D$1:$D$247)),ROW()-2),1),"")</f>
        <v>34.749400000000001</v>
      </c>
      <c r="J83" s="65">
        <f t="array" ref="J83">IFERROR(INDEX($B$1:$B$247, SMALL(IF($D$1:$D$247=$E$5,ROW($D$1:$D$247)),ROW()-2),1),"")</f>
        <v>3.7</v>
      </c>
      <c r="K83" s="65">
        <f t="array" ref="K83">IFERROR(INDEX($C$1:$C$247, SMALL(IF($D$1:$D$247=$E$5,ROW($D$1:$D$247)),ROW()-2),1),"")</f>
        <v>28.566800000000001</v>
      </c>
      <c r="R83" s="63">
        <v>3.6</v>
      </c>
      <c r="S83" s="63">
        <v>29.5</v>
      </c>
      <c r="T83" s="64">
        <v>3.5</v>
      </c>
      <c r="U83" s="64">
        <v>34.749400000000001</v>
      </c>
      <c r="V83" s="65">
        <v>3.7</v>
      </c>
      <c r="W83" s="65">
        <v>28.566800000000001</v>
      </c>
    </row>
    <row r="84" spans="1:24" ht="15.75">
      <c r="A84" s="11">
        <f t="shared" ca="1" si="1"/>
        <v>0.22034971401346048</v>
      </c>
      <c r="B84" s="60">
        <f>Data!I195</f>
        <v>3</v>
      </c>
      <c r="C84" s="60">
        <f>Data!J195</f>
        <v>32.286000000000001</v>
      </c>
      <c r="D84" s="61">
        <f t="array" ref="D84">MOD(ROW(), 3) + 1</f>
        <v>1</v>
      </c>
      <c r="E84" s="11"/>
      <c r="F84" s="63">
        <f t="array" ref="F84">IFERROR(INDEX($B$1:$B$247, SMALL(IF($D$1:$D$247=$E$3,ROW($D$1:$D$247)),ROW()-2),1),"")</f>
        <v>4.5999999999999996</v>
      </c>
      <c r="G84" s="63">
        <f t="array" ref="G84">IFERROR(INDEX($C$1:$C$247, SMALL(IF($D$1:$D$247=$E$3,ROW($D$1:$D$247)),ROW()-2),1),"")</f>
        <v>24.3</v>
      </c>
      <c r="H84" s="64">
        <f t="array" ref="H84">IFERROR(INDEX($B$1:$B$247, SMALL(IF($D$1:$D$247=$E$4,ROW($D$1:$D$247)),ROW()-2),1),"")</f>
        <v>4.5999999999999996</v>
      </c>
      <c r="I84" s="64">
        <f t="array" ref="I84">IFERROR(INDEX($C$1:$C$247, SMALL(IF($D$1:$D$247=$E$4,ROW($D$1:$D$247)),ROW()-2),1),"")</f>
        <v>23</v>
      </c>
      <c r="J84" s="65" t="str">
        <f t="array" ref="J84">IFERROR(INDEX($B$1:$B$247, SMALL(IF($D$1:$D$247=$E$5,ROW($D$1:$D$247)),ROW()-2),1),"")</f>
        <v/>
      </c>
      <c r="K84" s="65" t="str">
        <f t="array" ref="K84">IFERROR(INDEX($C$1:$C$247, SMALL(IF($D$1:$D$247=$E$5,ROW($D$1:$D$247)),ROW()-2),1),"")</f>
        <v/>
      </c>
      <c r="R84" s="63">
        <v>4.5999999999999996</v>
      </c>
      <c r="S84" s="63">
        <v>24.3</v>
      </c>
      <c r="T84" s="64">
        <v>4.5999999999999996</v>
      </c>
      <c r="U84" s="64">
        <v>23</v>
      </c>
      <c r="V84" s="65" t="s">
        <v>84</v>
      </c>
      <c r="W84" s="65" t="s">
        <v>84</v>
      </c>
    </row>
    <row r="85" spans="1:24" ht="15.75">
      <c r="A85" s="11">
        <f t="shared" ca="1" si="1"/>
        <v>0.44561581111188553</v>
      </c>
      <c r="B85" s="60">
        <f>Data!I104</f>
        <v>4.4000000000000004</v>
      </c>
      <c r="C85" s="60">
        <f>Data!J104</f>
        <v>33.603200000000001</v>
      </c>
      <c r="D85" s="61">
        <f t="array" ref="D85">MOD(ROW(), 3) + 1</f>
        <v>2</v>
      </c>
      <c r="E85" s="11"/>
      <c r="F85" s="63" t="str">
        <f t="array" ref="F85">IFERROR(INDEX($B$1:$B$247, SMALL(IF($D$1:$D$247=$E$3,ROW($D$1:$D$247)),ROW()-2),1),"")</f>
        <v/>
      </c>
      <c r="G85" s="63" t="str">
        <f t="array" ref="G85">IFERROR(INDEX($C$1:$C$247, SMALL(IF($D$1:$D$247=$E$3,ROW($D$1:$D$247)),ROW()-2),1),"")</f>
        <v/>
      </c>
      <c r="H85" s="64" t="str">
        <f t="array" ref="H85">IFERROR(INDEX($B$1:$B$247, SMALL(IF($D$1:$D$247=$E$4,ROW($D$1:$D$247)),ROW()-2),1),"")</f>
        <v/>
      </c>
      <c r="I85" s="64" t="str">
        <f t="array" ref="I85">IFERROR(INDEX($C$1:$C$247, SMALL(IF($D$1:$D$247=$E$4,ROW($D$1:$D$247)),ROW()-2),1),"")</f>
        <v/>
      </c>
      <c r="J85" s="65" t="str">
        <f t="array" ref="J85">IFERROR(INDEX($B$1:$B$247, SMALL(IF($D$1:$D$247=$E$5,ROW($D$1:$D$247)),ROW()-2),1),"")</f>
        <v/>
      </c>
      <c r="K85" s="65" t="str">
        <f t="array" ref="K85">IFERROR(INDEX($C$1:$C$247, SMALL(IF($D$1:$D$247=$E$5,ROW($D$1:$D$247)),ROW()-2),1),"")</f>
        <v/>
      </c>
      <c r="R85" s="67">
        <f>SUM(R3:R84)</f>
        <v>304.3</v>
      </c>
      <c r="S85" s="67">
        <f t="shared" ref="S85:W85" si="2">SUM(S3:S84)</f>
        <v>2773.2873</v>
      </c>
      <c r="T85" s="98">
        <f t="shared" si="2"/>
        <v>281.29999999999995</v>
      </c>
      <c r="U85" s="98">
        <f t="shared" si="2"/>
        <v>2974.1514000000002</v>
      </c>
      <c r="V85" s="74">
        <f t="shared" si="2"/>
        <v>305.09999999999997</v>
      </c>
      <c r="W85" s="74">
        <f t="shared" si="2"/>
        <v>2761.5740000000005</v>
      </c>
    </row>
    <row r="86" spans="1:24" ht="15.75">
      <c r="A86" s="11">
        <f t="shared" ca="1" si="1"/>
        <v>0.52820695503197501</v>
      </c>
      <c r="B86" s="60">
        <f>Data!I93</f>
        <v>5.6</v>
      </c>
      <c r="C86" s="60">
        <f>Data!J93</f>
        <v>32.4</v>
      </c>
      <c r="D86" s="61">
        <f t="array" ref="D86">MOD(ROW(), 3) + 1</f>
        <v>3</v>
      </c>
      <c r="E86" s="11"/>
      <c r="F86" s="63" t="str">
        <f t="array" ref="F86">IFERROR(INDEX($B$1:$B$247, SMALL(IF($D$1:$D$247=$E$3,ROW($D$1:$D$247)),ROW()-2),1),"")</f>
        <v/>
      </c>
      <c r="G86" s="63" t="str">
        <f t="array" ref="G86">IFERROR(INDEX($C$1:$C$247, SMALL(IF($D$1:$D$247=$E$3,ROW($D$1:$D$247)),ROW()-2),1),"")</f>
        <v/>
      </c>
      <c r="H86" s="64" t="str">
        <f t="array" ref="H86">IFERROR(INDEX($B$1:$B$247, SMALL(IF($D$1:$D$247=$E$4,ROW($D$1:$D$247)),ROW()-2),1),"")</f>
        <v/>
      </c>
      <c r="I86" s="64" t="str">
        <f t="array" ref="I86">IFERROR(INDEX($C$1:$C$247, SMALL(IF($D$1:$D$247=$E$4,ROW($D$1:$D$247)),ROW()-2),1),"")</f>
        <v/>
      </c>
      <c r="J86" s="65" t="str">
        <f t="array" ref="J86">IFERROR(INDEX($B$1:$B$247, SMALL(IF($D$1:$D$247=$E$5,ROW($D$1:$D$247)),ROW()-2),1),"")</f>
        <v/>
      </c>
      <c r="K86" s="65" t="str">
        <f t="array" ref="K86">IFERROR(INDEX($C$1:$C$247, SMALL(IF($D$1:$D$247=$E$5,ROW($D$1:$D$247)),ROW()-2),1),"")</f>
        <v/>
      </c>
      <c r="R86" s="77">
        <f>COUNT(R3:R84)</f>
        <v>82</v>
      </c>
      <c r="S86" s="77">
        <f t="shared" ref="S86:W86" si="3">COUNT(S3:S84)</f>
        <v>82</v>
      </c>
      <c r="T86" s="99">
        <f t="shared" si="3"/>
        <v>82</v>
      </c>
      <c r="U86" s="99">
        <f t="shared" si="3"/>
        <v>82</v>
      </c>
      <c r="V86" s="75">
        <f t="shared" si="3"/>
        <v>81</v>
      </c>
      <c r="W86" s="75">
        <f t="shared" si="3"/>
        <v>81</v>
      </c>
    </row>
    <row r="87" spans="1:24" ht="15.75">
      <c r="A87" s="11">
        <f t="shared" ca="1" si="1"/>
        <v>0.74530934718801944</v>
      </c>
      <c r="B87" s="60">
        <f>Data!I23</f>
        <v>3</v>
      </c>
      <c r="C87" s="60">
        <f>Data!J23</f>
        <v>36.473799999999997</v>
      </c>
      <c r="D87" s="61">
        <f t="array" ref="D87">MOD(ROW(), 3) + 1</f>
        <v>1</v>
      </c>
      <c r="E87" s="11"/>
      <c r="F87" s="63" t="str">
        <f t="array" ref="F87">IFERROR(INDEX($B$1:$B$247, SMALL(IF($D$1:$D$247=$E$3,ROW($D$1:$D$247)),ROW()-2),1),"")</f>
        <v/>
      </c>
      <c r="G87" s="63" t="str">
        <f t="array" ref="G87">IFERROR(INDEX($C$1:$C$247, SMALL(IF($D$1:$D$247=$E$3,ROW($D$1:$D$247)),ROW()-2),1),"")</f>
        <v/>
      </c>
      <c r="H87" s="64" t="str">
        <f t="array" ref="H87">IFERROR(INDEX($B$1:$B$247, SMALL(IF($D$1:$D$247=$E$4,ROW($D$1:$D$247)),ROW()-2),1),"")</f>
        <v/>
      </c>
      <c r="I87" s="64" t="str">
        <f t="array" ref="I87">IFERROR(INDEX($C$1:$C$247, SMALL(IF($D$1:$D$247=$E$4,ROW($D$1:$D$247)),ROW()-2),1),"")</f>
        <v/>
      </c>
      <c r="J87" s="65" t="str">
        <f t="array" ref="J87">IFERROR(INDEX($B$1:$B$247, SMALL(IF($D$1:$D$247=$E$5,ROW($D$1:$D$247)),ROW()-2),1),"")</f>
        <v/>
      </c>
      <c r="K87" s="65" t="str">
        <f t="array" ref="K87">IFERROR(INDEX($C$1:$C$247, SMALL(IF($D$1:$D$247=$E$5,ROW($D$1:$D$247)),ROW()-2),1),"")</f>
        <v/>
      </c>
      <c r="R87" s="70">
        <f>R85+T85+V85</f>
        <v>890.69999999999982</v>
      </c>
      <c r="S87" s="70">
        <f>S85+U85+W85</f>
        <v>8509.0127000000011</v>
      </c>
    </row>
    <row r="88" spans="1:24" ht="15.75">
      <c r="A88" s="11">
        <f t="shared" ca="1" si="1"/>
        <v>0.47058940232850566</v>
      </c>
      <c r="B88" s="60">
        <f>Data!I51</f>
        <v>1.8</v>
      </c>
      <c r="C88" s="60">
        <f>Data!J51</f>
        <v>56.991500000000002</v>
      </c>
      <c r="D88" s="61">
        <f t="array" ref="D88">MOD(ROW(), 3) + 1</f>
        <v>2</v>
      </c>
      <c r="E88" s="11"/>
      <c r="F88" s="63" t="str">
        <f t="array" ref="F88">IFERROR(INDEX($B$1:$B$247, SMALL(IF($D$1:$D$247=$E$3,ROW($D$1:$D$247)),ROW()-2),1),"")</f>
        <v/>
      </c>
      <c r="G88" s="63" t="str">
        <f t="array" ref="G88">IFERROR(INDEX($C$1:$C$247, SMALL(IF($D$1:$D$247=$E$3,ROW($D$1:$D$247)),ROW()-2),1),"")</f>
        <v/>
      </c>
      <c r="H88" s="64" t="str">
        <f t="array" ref="H88">IFERROR(INDEX($B$1:$B$247, SMALL(IF($D$1:$D$247=$E$4,ROW($D$1:$D$247)),ROW()-2),1),"")</f>
        <v/>
      </c>
      <c r="I88" s="64" t="str">
        <f t="array" ref="I88">IFERROR(INDEX($C$1:$C$247, SMALL(IF($D$1:$D$247=$E$4,ROW($D$1:$D$247)),ROW()-2),1),"")</f>
        <v/>
      </c>
      <c r="J88" s="65" t="str">
        <f t="array" ref="J88">IFERROR(INDEX($B$1:$B$247, SMALL(IF($D$1:$D$247=$E$5,ROW($D$1:$D$247)),ROW()-2),1),"")</f>
        <v/>
      </c>
      <c r="K88" s="65" t="str">
        <f t="array" ref="K88">IFERROR(INDEX($C$1:$C$247, SMALL(IF($D$1:$D$247=$E$5,ROW($D$1:$D$247)),ROW()-2),1),"")</f>
        <v/>
      </c>
    </row>
    <row r="89" spans="1:24" ht="15.75">
      <c r="A89" s="11">
        <f t="shared" ca="1" si="1"/>
        <v>0.16798783408422346</v>
      </c>
      <c r="B89" s="60">
        <f>Data!I101</f>
        <v>4.4000000000000004</v>
      </c>
      <c r="C89" s="60">
        <f>Data!J101</f>
        <v>30.547999999999998</v>
      </c>
      <c r="D89" s="61">
        <f t="array" ref="D89">MOD(ROW(), 3) + 1</f>
        <v>3</v>
      </c>
      <c r="E89" s="11"/>
      <c r="F89" s="63" t="str">
        <f t="array" ref="F89">IFERROR(INDEX($B$1:$B$247, SMALL(IF($D$1:$D$247=$E$3,ROW($D$1:$D$247)),ROW()-2),1),"")</f>
        <v/>
      </c>
      <c r="G89" s="63" t="str">
        <f t="array" ref="G89">IFERROR(INDEX($C$1:$C$247, SMALL(IF($D$1:$D$247=$E$3,ROW($D$1:$D$247)),ROW()-2),1),"")</f>
        <v/>
      </c>
      <c r="H89" s="64" t="str">
        <f t="array" ref="H89">IFERROR(INDEX($B$1:$B$247, SMALL(IF($D$1:$D$247=$E$4,ROW($D$1:$D$247)),ROW()-2),1),"")</f>
        <v/>
      </c>
      <c r="I89" s="64" t="str">
        <f t="array" ref="I89">IFERROR(INDEX($C$1:$C$247, SMALL(IF($D$1:$D$247=$E$4,ROW($D$1:$D$247)),ROW()-2),1),"")</f>
        <v/>
      </c>
      <c r="J89" s="65" t="str">
        <f t="array" ref="J89">IFERROR(INDEX($B$1:$B$247, SMALL(IF($D$1:$D$247=$E$5,ROW($D$1:$D$247)),ROW()-2),1),"")</f>
        <v/>
      </c>
      <c r="K89" s="65" t="str">
        <f t="array" ref="K89">IFERROR(INDEX($C$1:$C$247, SMALL(IF($D$1:$D$247=$E$5,ROW($D$1:$D$247)),ROW()-2),1),"")</f>
        <v/>
      </c>
      <c r="L89" s="38"/>
      <c r="X89" s="38"/>
    </row>
    <row r="90" spans="1:24" ht="15.75">
      <c r="A90" s="11">
        <f t="shared" ca="1" si="1"/>
        <v>0.98080878103089775</v>
      </c>
      <c r="B90" s="60">
        <f>Data!I190</f>
        <v>2</v>
      </c>
      <c r="C90" s="60">
        <f>Data!J190</f>
        <v>42.973300000000002</v>
      </c>
      <c r="D90" s="61">
        <f t="array" ref="D90">MOD(ROW(), 3) + 1</f>
        <v>1</v>
      </c>
      <c r="E90" s="11"/>
      <c r="F90" s="63" t="str">
        <f t="array" ref="F90">IFERROR(INDEX($B$1:$B$247, SMALL(IF($D$1:$D$247=$E$3,ROW($D$1:$D$247)),ROW()-2),1),"")</f>
        <v/>
      </c>
      <c r="G90" s="63" t="str">
        <f t="array" ref="G90">IFERROR(INDEX($C$1:$C$247, SMALL(IF($D$1:$D$247=$E$3,ROW($D$1:$D$247)),ROW()-2),1),"")</f>
        <v/>
      </c>
      <c r="H90" s="64" t="str">
        <f t="array" ref="H90">IFERROR(INDEX($B$1:$B$247, SMALL(IF($D$1:$D$247=$E$4,ROW($D$1:$D$247)),ROW()-2),1),"")</f>
        <v/>
      </c>
      <c r="I90" s="64" t="str">
        <f t="array" ref="I90">IFERROR(INDEX($C$1:$C$247, SMALL(IF($D$1:$D$247=$E$4,ROW($D$1:$D$247)),ROW()-2),1),"")</f>
        <v/>
      </c>
      <c r="J90" s="65" t="str">
        <f t="array" ref="J90">IFERROR(INDEX($B$1:$B$247, SMALL(IF($D$1:$D$247=$E$5,ROW($D$1:$D$247)),ROW()-2),1),"")</f>
        <v/>
      </c>
      <c r="K90" s="65" t="str">
        <f t="array" ref="K90">IFERROR(INDEX($C$1:$C$247, SMALL(IF($D$1:$D$247=$E$5,ROW($D$1:$D$247)),ROW()-2),1),"")</f>
        <v/>
      </c>
      <c r="L90" s="1"/>
    </row>
    <row r="91" spans="1:24" ht="15.75">
      <c r="A91" s="11">
        <f t="shared" ca="1" si="1"/>
        <v>0.66835511898074496</v>
      </c>
      <c r="B91" s="60">
        <f>Data!I204</f>
        <v>5.7</v>
      </c>
      <c r="C91" s="60">
        <f>Data!J204</f>
        <v>27.2941</v>
      </c>
      <c r="D91" s="61">
        <f t="array" ref="D91">MOD(ROW(), 3) + 1</f>
        <v>2</v>
      </c>
      <c r="E91" s="11"/>
      <c r="F91" s="63" t="str">
        <f t="array" ref="F91">IFERROR(INDEX($B$1:$B$247, SMALL(IF($D$1:$D$247=$E$3,ROW($D$1:$D$247)),ROW()-2),1),"")</f>
        <v/>
      </c>
      <c r="G91" s="63" t="str">
        <f t="array" ref="G91">IFERROR(INDEX($C$1:$C$247, SMALL(IF($D$1:$D$247=$E$3,ROW($D$1:$D$247)),ROW()-2),1),"")</f>
        <v/>
      </c>
      <c r="H91" s="64" t="str">
        <f t="array" ref="H91">IFERROR(INDEX($B$1:$B$247, SMALL(IF($D$1:$D$247=$E$4,ROW($D$1:$D$247)),ROW()-2),1),"")</f>
        <v/>
      </c>
      <c r="I91" s="64" t="str">
        <f t="array" ref="I91">IFERROR(INDEX($C$1:$C$247, SMALL(IF($D$1:$D$247=$E$4,ROW($D$1:$D$247)),ROW()-2),1),"")</f>
        <v/>
      </c>
      <c r="J91" s="65" t="str">
        <f t="array" ref="J91">IFERROR(INDEX($B$1:$B$247, SMALL(IF($D$1:$D$247=$E$5,ROW($D$1:$D$247)),ROW()-2),1),"")</f>
        <v/>
      </c>
      <c r="K91" s="65" t="str">
        <f t="array" ref="K91">IFERROR(INDEX($C$1:$C$247, SMALL(IF($D$1:$D$247=$E$5,ROW($D$1:$D$247)),ROW()-2),1),"")</f>
        <v/>
      </c>
      <c r="L91" s="1"/>
    </row>
    <row r="92" spans="1:24" ht="15.75">
      <c r="A92" s="11">
        <f t="shared" ca="1" si="1"/>
        <v>0.29468421788850818</v>
      </c>
      <c r="B92" s="60">
        <f>Data!I121</f>
        <v>2.4</v>
      </c>
      <c r="C92" s="60">
        <f>Data!J121</f>
        <v>38.700000000000003</v>
      </c>
      <c r="D92" s="61">
        <f t="array" ref="D92">MOD(ROW(), 3) + 1</f>
        <v>3</v>
      </c>
      <c r="E92" s="11"/>
      <c r="F92" s="63" t="str">
        <f t="array" ref="F92">IFERROR(INDEX($B$1:$B$247, SMALL(IF($D$1:$D$247=$E$3,ROW($D$1:$D$247)),ROW()-2),1),"")</f>
        <v/>
      </c>
      <c r="G92" s="63" t="str">
        <f t="array" ref="G92">IFERROR(INDEX($C$1:$C$247, SMALL(IF($D$1:$D$247=$E$3,ROW($D$1:$D$247)),ROW()-2),1),"")</f>
        <v/>
      </c>
      <c r="H92" s="64" t="str">
        <f t="array" ref="H92">IFERROR(INDEX($B$1:$B$247, SMALL(IF($D$1:$D$247=$E$4,ROW($D$1:$D$247)),ROW()-2),1),"")</f>
        <v/>
      </c>
      <c r="I92" s="64" t="str">
        <f t="array" ref="I92">IFERROR(INDEX($C$1:$C$247, SMALL(IF($D$1:$D$247=$E$4,ROW($D$1:$D$247)),ROW()-2),1),"")</f>
        <v/>
      </c>
      <c r="J92" s="65" t="str">
        <f t="array" ref="J92">IFERROR(INDEX($B$1:$B$247, SMALL(IF($D$1:$D$247=$E$5,ROW($D$1:$D$247)),ROW()-2),1),"")</f>
        <v/>
      </c>
      <c r="K92" s="65" t="str">
        <f t="array" ref="K92">IFERROR(INDEX($C$1:$C$247, SMALL(IF($D$1:$D$247=$E$5,ROW($D$1:$D$247)),ROW()-2),1),"")</f>
        <v/>
      </c>
    </row>
    <row r="93" spans="1:24" ht="15.75">
      <c r="A93" s="11">
        <f t="shared" ca="1" si="1"/>
        <v>6.0210804053476674E-2</v>
      </c>
      <c r="B93" s="60">
        <f>Data!I126</f>
        <v>2.5</v>
      </c>
      <c r="C93" s="60">
        <f>Data!J126</f>
        <v>31.366900000000001</v>
      </c>
      <c r="D93" s="61">
        <f t="array" ref="D93">MOD(ROW(), 3) + 1</f>
        <v>1</v>
      </c>
      <c r="E93" s="11"/>
      <c r="F93" s="63" t="str">
        <f t="array" ref="F93">IFERROR(INDEX($B$1:$B$247, SMALL(IF($D$1:$D$247=$E$3,ROW($D$1:$D$247)),ROW()-2),1),"")</f>
        <v/>
      </c>
      <c r="G93" s="63" t="str">
        <f t="array" ref="G93">IFERROR(INDEX($C$1:$C$247, SMALL(IF($D$1:$D$247=$E$3,ROW($D$1:$D$247)),ROW()-2),1),"")</f>
        <v/>
      </c>
      <c r="H93" s="64" t="str">
        <f t="array" ref="H93">IFERROR(INDEX($B$1:$B$247, SMALL(IF($D$1:$D$247=$E$4,ROW($D$1:$D$247)),ROW()-2),1),"")</f>
        <v/>
      </c>
      <c r="I93" s="64" t="str">
        <f t="array" ref="I93">IFERROR(INDEX($C$1:$C$247, SMALL(IF($D$1:$D$247=$E$4,ROW($D$1:$D$247)),ROW()-2),1),"")</f>
        <v/>
      </c>
      <c r="J93" s="65" t="str">
        <f t="array" ref="J93">IFERROR(INDEX($B$1:$B$247, SMALL(IF($D$1:$D$247=$E$5,ROW($D$1:$D$247)),ROW()-2),1),"")</f>
        <v/>
      </c>
      <c r="K93" s="65" t="str">
        <f t="array" ref="K93">IFERROR(INDEX($C$1:$C$247, SMALL(IF($D$1:$D$247=$E$5,ROW($D$1:$D$247)),ROW()-2),1),"")</f>
        <v/>
      </c>
    </row>
    <row r="94" spans="1:24" ht="15.75">
      <c r="A94" s="11">
        <f t="shared" ca="1" si="1"/>
        <v>0.67085645161783347</v>
      </c>
      <c r="B94" s="60">
        <f>Data!I57</f>
        <v>1.6</v>
      </c>
      <c r="C94" s="60">
        <f>Data!J57</f>
        <v>45.5</v>
      </c>
      <c r="D94" s="61">
        <f t="array" ref="D94">MOD(ROW(), 3) + 1</f>
        <v>2</v>
      </c>
      <c r="E94" s="11"/>
      <c r="F94" s="63" t="str">
        <f t="array" ref="F94">IFERROR(INDEX($B$1:$B$247, SMALL(IF($D$1:$D$247=$E$3,ROW($D$1:$D$247)),ROW()-2),1),"")</f>
        <v/>
      </c>
      <c r="G94" s="63" t="str">
        <f t="array" ref="G94">IFERROR(INDEX($C$1:$C$247, SMALL(IF($D$1:$D$247=$E$3,ROW($D$1:$D$247)),ROW()-2),1),"")</f>
        <v/>
      </c>
      <c r="H94" s="64" t="str">
        <f t="array" ref="H94">IFERROR(INDEX($B$1:$B$247, SMALL(IF($D$1:$D$247=$E$4,ROW($D$1:$D$247)),ROW()-2),1),"")</f>
        <v/>
      </c>
      <c r="I94" s="64" t="str">
        <f t="array" ref="I94">IFERROR(INDEX($C$1:$C$247, SMALL(IF($D$1:$D$247=$E$4,ROW($D$1:$D$247)),ROW()-2),1),"")</f>
        <v/>
      </c>
      <c r="J94" s="65" t="str">
        <f t="array" ref="J94">IFERROR(INDEX($B$1:$B$247, SMALL(IF($D$1:$D$247=$E$5,ROW($D$1:$D$247)),ROW()-2),1),"")</f>
        <v/>
      </c>
      <c r="K94" s="65" t="str">
        <f t="array" ref="K94">IFERROR(INDEX($C$1:$C$247, SMALL(IF($D$1:$D$247=$E$5,ROW($D$1:$D$247)),ROW()-2),1),"")</f>
        <v/>
      </c>
    </row>
    <row r="95" spans="1:24" ht="15.75">
      <c r="A95" s="11">
        <f t="shared" ca="1" si="1"/>
        <v>0.93765958317075726</v>
      </c>
      <c r="B95" s="60">
        <f>Data!I216</f>
        <v>5</v>
      </c>
      <c r="C95" s="60">
        <f>Data!J216</f>
        <v>23.602799999999998</v>
      </c>
      <c r="D95" s="61">
        <f t="array" ref="D95">MOD(ROW(), 3) + 1</f>
        <v>3</v>
      </c>
      <c r="E95" s="11"/>
      <c r="F95" s="63" t="str">
        <f t="array" ref="F95">IFERROR(INDEX($B$1:$B$247, SMALL(IF($D$1:$D$247=$E$3,ROW($D$1:$D$247)),ROW()-2),1),"")</f>
        <v/>
      </c>
      <c r="G95" s="63" t="str">
        <f t="array" ref="G95">IFERROR(INDEX($C$1:$C$247, SMALL(IF($D$1:$D$247=$E$3,ROW($D$1:$D$247)),ROW()-2),1),"")</f>
        <v/>
      </c>
      <c r="H95" s="64" t="str">
        <f t="array" ref="H95">IFERROR(INDEX($B$1:$B$247, SMALL(IF($D$1:$D$247=$E$4,ROW($D$1:$D$247)),ROW()-2),1),"")</f>
        <v/>
      </c>
      <c r="I95" s="64" t="str">
        <f t="array" ref="I95">IFERROR(INDEX($C$1:$C$247, SMALL(IF($D$1:$D$247=$E$4,ROW($D$1:$D$247)),ROW()-2),1),"")</f>
        <v/>
      </c>
      <c r="J95" s="65" t="str">
        <f t="array" ref="J95">IFERROR(INDEX($B$1:$B$247, SMALL(IF($D$1:$D$247=$E$5,ROW($D$1:$D$247)),ROW()-2),1),"")</f>
        <v/>
      </c>
      <c r="K95" s="65" t="str">
        <f t="array" ref="K95">IFERROR(INDEX($C$1:$C$247, SMALL(IF($D$1:$D$247=$E$5,ROW($D$1:$D$247)),ROW()-2),1),"")</f>
        <v/>
      </c>
    </row>
    <row r="96" spans="1:24" ht="15.75">
      <c r="A96" s="11">
        <f t="shared" ca="1" si="1"/>
        <v>0.45593534002467861</v>
      </c>
      <c r="B96" s="60">
        <f>Data!I89</f>
        <v>2.5</v>
      </c>
      <c r="C96" s="60">
        <f>Data!J89</f>
        <v>37.979999999999997</v>
      </c>
      <c r="D96" s="61">
        <f t="array" ref="D96">MOD(ROW(), 3) + 1</f>
        <v>1</v>
      </c>
      <c r="E96" s="11"/>
      <c r="F96" s="63" t="str">
        <f t="array" ref="F96">IFERROR(INDEX($B$1:$B$247, SMALL(IF($D$1:$D$247=$E$3,ROW($D$1:$D$247)),ROW()-2),1),"")</f>
        <v/>
      </c>
      <c r="G96" s="63" t="str">
        <f t="array" ref="G96">IFERROR(INDEX($C$1:$C$247, SMALL(IF($D$1:$D$247=$E$3,ROW($D$1:$D$247)),ROW()-2),1),"")</f>
        <v/>
      </c>
      <c r="H96" s="64" t="str">
        <f t="array" ref="H96">IFERROR(INDEX($B$1:$B$247, SMALL(IF($D$1:$D$247=$E$4,ROW($D$1:$D$247)),ROW()-2),1),"")</f>
        <v/>
      </c>
      <c r="I96" s="64" t="str">
        <f t="array" ref="I96">IFERROR(INDEX($C$1:$C$247, SMALL(IF($D$1:$D$247=$E$4,ROW($D$1:$D$247)),ROW()-2),1),"")</f>
        <v/>
      </c>
      <c r="J96" s="65" t="str">
        <f t="array" ref="J96">IFERROR(INDEX($B$1:$B$247, SMALL(IF($D$1:$D$247=$E$5,ROW($D$1:$D$247)),ROW()-2),1),"")</f>
        <v/>
      </c>
      <c r="K96" s="65" t="str">
        <f t="array" ref="K96">IFERROR(INDEX($C$1:$C$247, SMALL(IF($D$1:$D$247=$E$5,ROW($D$1:$D$247)),ROW()-2),1),"")</f>
        <v/>
      </c>
    </row>
    <row r="97" spans="1:11" ht="15.75">
      <c r="A97" s="11">
        <f t="shared" ca="1" si="1"/>
        <v>0.50373441176155742</v>
      </c>
      <c r="B97" s="60">
        <f>Data!I112</f>
        <v>3.6</v>
      </c>
      <c r="C97" s="60">
        <f>Data!J112</f>
        <v>37.299799999999998</v>
      </c>
      <c r="D97" s="61">
        <f t="array" ref="D97">MOD(ROW(), 3) + 1</f>
        <v>2</v>
      </c>
      <c r="E97" s="11"/>
      <c r="F97" s="63" t="str">
        <f t="array" ref="F97">IFERROR(INDEX($B$1:$B$247, SMALL(IF($D$1:$D$247=$E$3,ROW($D$1:$D$247)),ROW()-2),1),"")</f>
        <v/>
      </c>
      <c r="G97" s="63" t="str">
        <f t="array" ref="G97">IFERROR(INDEX($C$1:$C$247, SMALL(IF($D$1:$D$247=$E$3,ROW($D$1:$D$247)),ROW()-2),1),"")</f>
        <v/>
      </c>
      <c r="H97" s="64" t="str">
        <f t="array" ref="H97">IFERROR(INDEX($B$1:$B$247, SMALL(IF($D$1:$D$247=$E$4,ROW($D$1:$D$247)),ROW()-2),1),"")</f>
        <v/>
      </c>
      <c r="I97" s="64" t="str">
        <f t="array" ref="I97">IFERROR(INDEX($C$1:$C$247, SMALL(IF($D$1:$D$247=$E$4,ROW($D$1:$D$247)),ROW()-2),1),"")</f>
        <v/>
      </c>
      <c r="J97" s="65" t="str">
        <f t="array" ref="J97">IFERROR(INDEX($B$1:$B$247, SMALL(IF($D$1:$D$247=$E$5,ROW($D$1:$D$247)),ROW()-2),1),"")</f>
        <v/>
      </c>
      <c r="K97" s="65" t="str">
        <f t="array" ref="K97">IFERROR(INDEX($C$1:$C$247, SMALL(IF($D$1:$D$247=$E$5,ROW($D$1:$D$247)),ROW()-2),1),"")</f>
        <v/>
      </c>
    </row>
    <row r="98" spans="1:11" ht="15.75">
      <c r="A98" s="11">
        <f t="shared" ca="1" si="1"/>
        <v>8.6133564439503818E-2</v>
      </c>
      <c r="B98" s="60">
        <f>Data!I70</f>
        <v>2</v>
      </c>
      <c r="C98" s="60">
        <f>Data!J70</f>
        <v>46.2</v>
      </c>
      <c r="D98" s="61">
        <f t="array" ref="D98">MOD(ROW(), 3) + 1</f>
        <v>3</v>
      </c>
      <c r="E98" s="11"/>
      <c r="F98" s="63" t="str">
        <f t="array" ref="F98">IFERROR(INDEX($B$1:$B$247, SMALL(IF($D$1:$D$247=$E$3,ROW($D$1:$D$247)),ROW()-2),1),"")</f>
        <v/>
      </c>
      <c r="G98" s="63" t="str">
        <f t="array" ref="G98">IFERROR(INDEX($C$1:$C$247, SMALL(IF($D$1:$D$247=$E$3,ROW($D$1:$D$247)),ROW()-2),1),"")</f>
        <v/>
      </c>
      <c r="H98" s="64" t="str">
        <f t="array" ref="H98">IFERROR(INDEX($B$1:$B$247, SMALL(IF($D$1:$D$247=$E$4,ROW($D$1:$D$247)),ROW()-2),1),"")</f>
        <v/>
      </c>
      <c r="I98" s="64" t="str">
        <f t="array" ref="I98">IFERROR(INDEX($C$1:$C$247, SMALL(IF($D$1:$D$247=$E$4,ROW($D$1:$D$247)),ROW()-2),1),"")</f>
        <v/>
      </c>
      <c r="J98" s="65" t="str">
        <f t="array" ref="J98">IFERROR(INDEX($B$1:$B$247, SMALL(IF($D$1:$D$247=$E$5,ROW($D$1:$D$247)),ROW()-2),1),"")</f>
        <v/>
      </c>
      <c r="K98" s="65" t="str">
        <f t="array" ref="K98">IFERROR(INDEX($C$1:$C$247, SMALL(IF($D$1:$D$247=$E$5,ROW($D$1:$D$247)),ROW()-2),1),"")</f>
        <v/>
      </c>
    </row>
    <row r="99" spans="1:11" ht="15.75">
      <c r="A99" s="11">
        <f t="shared" ca="1" si="1"/>
        <v>0.77652889785334733</v>
      </c>
      <c r="B99" s="60">
        <f>Data!I153</f>
        <v>5.4</v>
      </c>
      <c r="C99" s="60">
        <f>Data!J153</f>
        <v>21.641200000000001</v>
      </c>
      <c r="D99" s="61">
        <f t="array" ref="D99">MOD(ROW(), 3) + 1</f>
        <v>1</v>
      </c>
      <c r="E99" s="11"/>
      <c r="F99" s="63" t="str">
        <f t="array" ref="F99">IFERROR(INDEX($B$1:$B$247, SMALL(IF($D$1:$D$247=$E$3,ROW($D$1:$D$247)),ROW()-2),1),"")</f>
        <v/>
      </c>
      <c r="G99" s="63" t="str">
        <f t="array" ref="G99">IFERROR(INDEX($C$1:$C$247, SMALL(IF($D$1:$D$247=$E$3,ROW($D$1:$D$247)),ROW()-2),1),"")</f>
        <v/>
      </c>
      <c r="H99" s="64" t="str">
        <f t="array" ref="H99">IFERROR(INDEX($B$1:$B$247, SMALL(IF($D$1:$D$247=$E$4,ROW($D$1:$D$247)),ROW()-2),1),"")</f>
        <v/>
      </c>
      <c r="I99" s="64" t="str">
        <f t="array" ref="I99">IFERROR(INDEX($C$1:$C$247, SMALL(IF($D$1:$D$247=$E$4,ROW($D$1:$D$247)),ROW()-2),1),"")</f>
        <v/>
      </c>
      <c r="J99" s="65" t="str">
        <f t="array" ref="J99">IFERROR(INDEX($B$1:$B$247, SMALL(IF($D$1:$D$247=$E$5,ROW($D$1:$D$247)),ROW()-2),1),"")</f>
        <v/>
      </c>
      <c r="K99" s="65" t="str">
        <f t="array" ref="K99">IFERROR(INDEX($C$1:$C$247, SMALL(IF($D$1:$D$247=$E$5,ROW($D$1:$D$247)),ROW()-2),1),"")</f>
        <v/>
      </c>
    </row>
    <row r="100" spans="1:11" ht="15.75">
      <c r="A100" s="11">
        <f t="shared" ca="1" si="1"/>
        <v>0.16838146415631772</v>
      </c>
      <c r="B100" s="60">
        <f>Data!I194</f>
        <v>3</v>
      </c>
      <c r="C100" s="60">
        <f>Data!J194</f>
        <v>35.993099999999998</v>
      </c>
      <c r="D100" s="61">
        <f t="array" ref="D100">MOD(ROW(), 3) + 1</f>
        <v>2</v>
      </c>
      <c r="E100" s="11"/>
      <c r="F100" s="63" t="str">
        <f t="array" ref="F100">IFERROR(INDEX($B$1:$B$247, SMALL(IF($D$1:$D$247=$E$3,ROW($D$1:$D$247)),ROW()-2),1),"")</f>
        <v/>
      </c>
      <c r="G100" s="63" t="str">
        <f t="array" ref="G100">IFERROR(INDEX($C$1:$C$247, SMALL(IF($D$1:$D$247=$E$3,ROW($D$1:$D$247)),ROW()-2),1),"")</f>
        <v/>
      </c>
      <c r="H100" s="64" t="str">
        <f t="array" ref="H100">IFERROR(INDEX($B$1:$B$247, SMALL(IF($D$1:$D$247=$E$4,ROW($D$1:$D$247)),ROW()-2),1),"")</f>
        <v/>
      </c>
      <c r="I100" s="64" t="str">
        <f t="array" ref="I100">IFERROR(INDEX($C$1:$C$247, SMALL(IF($D$1:$D$247=$E$4,ROW($D$1:$D$247)),ROW()-2),1),"")</f>
        <v/>
      </c>
      <c r="J100" s="65" t="str">
        <f t="array" ref="J100">IFERROR(INDEX($B$1:$B$247, SMALL(IF($D$1:$D$247=$E$5,ROW($D$1:$D$247)),ROW()-2),1),"")</f>
        <v/>
      </c>
      <c r="K100" s="65" t="str">
        <f t="array" ref="K100">IFERROR(INDEX($C$1:$C$247, SMALL(IF($D$1:$D$247=$E$5,ROW($D$1:$D$247)),ROW()-2),1),"")</f>
        <v/>
      </c>
    </row>
    <row r="101" spans="1:11" ht="15.75">
      <c r="A101" s="11">
        <f t="shared" ca="1" si="1"/>
        <v>0.71831712753153432</v>
      </c>
      <c r="B101" s="60">
        <f>Data!I186</f>
        <v>2.4</v>
      </c>
      <c r="C101" s="60">
        <f>Data!J186</f>
        <v>37.299999999999997</v>
      </c>
      <c r="D101" s="61">
        <f t="array" ref="D101">MOD(ROW(), 3) + 1</f>
        <v>3</v>
      </c>
      <c r="E101" s="11"/>
      <c r="F101" s="63" t="str">
        <f t="array" ref="F101">IFERROR(INDEX($B$1:$B$247, SMALL(IF($D$1:$D$247=$E$3,ROW($D$1:$D$247)),ROW()-2),1),"")</f>
        <v/>
      </c>
      <c r="G101" s="63" t="str">
        <f t="array" ref="G101">IFERROR(INDEX($C$1:$C$247, SMALL(IF($D$1:$D$247=$E$3,ROW($D$1:$D$247)),ROW()-2),1),"")</f>
        <v/>
      </c>
      <c r="H101" s="64" t="str">
        <f t="array" ref="H101">IFERROR(INDEX($B$1:$B$247, SMALL(IF($D$1:$D$247=$E$4,ROW($D$1:$D$247)),ROW()-2),1),"")</f>
        <v/>
      </c>
      <c r="I101" s="64" t="str">
        <f t="array" ref="I101">IFERROR(INDEX($C$1:$C$247, SMALL(IF($D$1:$D$247=$E$4,ROW($D$1:$D$247)),ROW()-2),1),"")</f>
        <v/>
      </c>
      <c r="J101" s="65" t="str">
        <f t="array" ref="J101">IFERROR(INDEX($B$1:$B$247, SMALL(IF($D$1:$D$247=$E$5,ROW($D$1:$D$247)),ROW()-2),1),"")</f>
        <v/>
      </c>
      <c r="K101" s="65" t="str">
        <f t="array" ref="K101">IFERROR(INDEX($C$1:$C$247, SMALL(IF($D$1:$D$247=$E$5,ROW($D$1:$D$247)),ROW()-2),1),"")</f>
        <v/>
      </c>
    </row>
    <row r="102" spans="1:11" ht="15.75">
      <c r="A102" s="11">
        <f t="shared" ca="1" si="1"/>
        <v>0.55368815156439455</v>
      </c>
      <c r="B102" s="60">
        <f>Data!I21</f>
        <v>3.8</v>
      </c>
      <c r="C102" s="60">
        <f>Data!J21</f>
        <v>36.027700000000003</v>
      </c>
      <c r="D102" s="61">
        <f t="array" ref="D102">MOD(ROW(), 3) + 1</f>
        <v>1</v>
      </c>
      <c r="E102" s="11"/>
      <c r="F102" s="63" t="str">
        <f t="array" ref="F102">IFERROR(INDEX($B$1:$B$247, SMALL(IF($D$1:$D$247=$E$3,ROW($D$1:$D$247)),ROW()-2),1),"")</f>
        <v/>
      </c>
      <c r="G102" s="63" t="str">
        <f t="array" ref="G102">IFERROR(INDEX($C$1:$C$247, SMALL(IF($D$1:$D$247=$E$3,ROW($D$1:$D$247)),ROW()-2),1),"")</f>
        <v/>
      </c>
      <c r="H102" s="64" t="str">
        <f t="array" ref="H102">IFERROR(INDEX($B$1:$B$247, SMALL(IF($D$1:$D$247=$E$4,ROW($D$1:$D$247)),ROW()-2),1),"")</f>
        <v/>
      </c>
      <c r="I102" s="64" t="str">
        <f t="array" ref="I102">IFERROR(INDEX($C$1:$C$247, SMALL(IF($D$1:$D$247=$E$4,ROW($D$1:$D$247)),ROW()-2),1),"")</f>
        <v/>
      </c>
      <c r="J102" s="65" t="str">
        <f t="array" ref="J102">IFERROR(INDEX($B$1:$B$247, SMALL(IF($D$1:$D$247=$E$5,ROW($D$1:$D$247)),ROW()-2),1),"")</f>
        <v/>
      </c>
      <c r="K102" s="65" t="str">
        <f t="array" ref="K102">IFERROR(INDEX($C$1:$C$247, SMALL(IF($D$1:$D$247=$E$5,ROW($D$1:$D$247)),ROW()-2),1),"")</f>
        <v/>
      </c>
    </row>
    <row r="103" spans="1:11" ht="15.75">
      <c r="A103" s="11">
        <f t="shared" ca="1" si="1"/>
        <v>0.63543795090483135</v>
      </c>
      <c r="B103" s="60">
        <f>Data!I238</f>
        <v>2.4</v>
      </c>
      <c r="C103" s="60">
        <f>Data!J238</f>
        <v>59.9</v>
      </c>
      <c r="D103" s="61">
        <f t="array" ref="D103">MOD(ROW(), 3) + 1</f>
        <v>2</v>
      </c>
      <c r="E103" s="11"/>
      <c r="F103" s="63" t="str">
        <f t="array" ref="F103">IFERROR(INDEX($B$1:$B$247, SMALL(IF($D$1:$D$247=$E$3,ROW($D$1:$D$247)),ROW()-2),1),"")</f>
        <v/>
      </c>
      <c r="G103" s="63" t="str">
        <f t="array" ref="G103">IFERROR(INDEX($C$1:$C$247, SMALL(IF($D$1:$D$247=$E$3,ROW($D$1:$D$247)),ROW()-2),1),"")</f>
        <v/>
      </c>
      <c r="H103" s="64" t="str">
        <f t="array" ref="H103">IFERROR(INDEX($B$1:$B$247, SMALL(IF($D$1:$D$247=$E$4,ROW($D$1:$D$247)),ROW()-2),1),"")</f>
        <v/>
      </c>
      <c r="I103" s="64" t="str">
        <f t="array" ref="I103">IFERROR(INDEX($C$1:$C$247, SMALL(IF($D$1:$D$247=$E$4,ROW($D$1:$D$247)),ROW()-2),1),"")</f>
        <v/>
      </c>
      <c r="J103" s="65" t="str">
        <f t="array" ref="J103">IFERROR(INDEX($B$1:$B$247, SMALL(IF($D$1:$D$247=$E$5,ROW($D$1:$D$247)),ROW()-2),1),"")</f>
        <v/>
      </c>
      <c r="K103" s="65" t="str">
        <f t="array" ref="K103">IFERROR(INDEX($C$1:$C$247, SMALL(IF($D$1:$D$247=$E$5,ROW($D$1:$D$247)),ROW()-2),1),"")</f>
        <v/>
      </c>
    </row>
    <row r="104" spans="1:11" ht="15.75">
      <c r="A104" s="11">
        <f t="shared" ca="1" si="1"/>
        <v>0.28288259901388013</v>
      </c>
      <c r="B104" s="60">
        <f>Data!I92</f>
        <v>5.6</v>
      </c>
      <c r="C104" s="60">
        <f>Data!J92</f>
        <v>34.5</v>
      </c>
      <c r="D104" s="61">
        <f t="array" ref="D104">MOD(ROW(), 3) + 1</f>
        <v>3</v>
      </c>
      <c r="E104" s="11"/>
      <c r="F104" s="63" t="str">
        <f t="array" ref="F104">IFERROR(INDEX($B$1:$B$247, SMALL(IF($D$1:$D$247=$E$3,ROW($D$1:$D$247)),ROW()-2),1),"")</f>
        <v/>
      </c>
      <c r="G104" s="63" t="str">
        <f t="array" ref="G104">IFERROR(INDEX($C$1:$C$247, SMALL(IF($D$1:$D$247=$E$3,ROW($D$1:$D$247)),ROW()-2),1),"")</f>
        <v/>
      </c>
      <c r="H104" s="64" t="str">
        <f t="array" ref="H104">IFERROR(INDEX($B$1:$B$247, SMALL(IF($D$1:$D$247=$E$4,ROW($D$1:$D$247)),ROW()-2),1),"")</f>
        <v/>
      </c>
      <c r="I104" s="64" t="str">
        <f t="array" ref="I104">IFERROR(INDEX($C$1:$C$247, SMALL(IF($D$1:$D$247=$E$4,ROW($D$1:$D$247)),ROW()-2),1),"")</f>
        <v/>
      </c>
      <c r="J104" s="65" t="str">
        <f t="array" ref="J104">IFERROR(INDEX($B$1:$B$247, SMALL(IF($D$1:$D$247=$E$5,ROW($D$1:$D$247)),ROW()-2),1),"")</f>
        <v/>
      </c>
      <c r="K104" s="65" t="str">
        <f t="array" ref="K104">IFERROR(INDEX($C$1:$C$247, SMALL(IF($D$1:$D$247=$E$5,ROW($D$1:$D$247)),ROW()-2),1),"")</f>
        <v/>
      </c>
    </row>
    <row r="105" spans="1:11" ht="15.75">
      <c r="A105" s="11">
        <f t="shared" ca="1" si="1"/>
        <v>0.10032570436754762</v>
      </c>
      <c r="B105" s="60">
        <f>Data!I31</f>
        <v>3.7</v>
      </c>
      <c r="C105" s="60">
        <f>Data!J31</f>
        <v>35.162799999999997</v>
      </c>
      <c r="D105" s="61">
        <f t="array" ref="D105">MOD(ROW(), 3) + 1</f>
        <v>1</v>
      </c>
      <c r="E105" s="11"/>
      <c r="F105" s="63" t="str">
        <f t="array" ref="F105">IFERROR(INDEX($B$1:$B$247, SMALL(IF($D$1:$D$247=$E$3,ROW($D$1:$D$247)),ROW()-2),1),"")</f>
        <v/>
      </c>
      <c r="G105" s="63" t="str">
        <f t="array" ref="G105">IFERROR(INDEX($C$1:$C$247, SMALL(IF($D$1:$D$247=$E$3,ROW($D$1:$D$247)),ROW()-2),1),"")</f>
        <v/>
      </c>
      <c r="H105" s="64" t="str">
        <f t="array" ref="H105">IFERROR(INDEX($B$1:$B$247, SMALL(IF($D$1:$D$247=$E$4,ROW($D$1:$D$247)),ROW()-2),1),"")</f>
        <v/>
      </c>
      <c r="I105" s="64" t="str">
        <f t="array" ref="I105">IFERROR(INDEX($C$1:$C$247, SMALL(IF($D$1:$D$247=$E$4,ROW($D$1:$D$247)),ROW()-2),1),"")</f>
        <v/>
      </c>
      <c r="J105" s="65" t="str">
        <f t="array" ref="J105">IFERROR(INDEX($B$1:$B$247, SMALL(IF($D$1:$D$247=$E$5,ROW($D$1:$D$247)),ROW()-2),1),"")</f>
        <v/>
      </c>
      <c r="K105" s="65" t="str">
        <f t="array" ref="K105">IFERROR(INDEX($C$1:$C$247, SMALL(IF($D$1:$D$247=$E$5,ROW($D$1:$D$247)),ROW()-2),1),"")</f>
        <v/>
      </c>
    </row>
    <row r="106" spans="1:11" ht="15.75">
      <c r="A106" s="11">
        <f t="shared" ca="1" si="1"/>
        <v>0.23893221800080133</v>
      </c>
      <c r="B106" s="60">
        <f>Data!I66</f>
        <v>2</v>
      </c>
      <c r="C106" s="60">
        <f>Data!J66</f>
        <v>41.566099999999999</v>
      </c>
      <c r="D106" s="61">
        <f t="array" ref="D106">MOD(ROW(), 3) + 1</f>
        <v>2</v>
      </c>
      <c r="E106" s="11"/>
      <c r="F106" s="63" t="str">
        <f t="array" ref="F106">IFERROR(INDEX($B$1:$B$247, SMALL(IF($D$1:$D$247=$E$3,ROW($D$1:$D$247)),ROW()-2),1),"")</f>
        <v/>
      </c>
      <c r="G106" s="63" t="str">
        <f t="array" ref="G106">IFERROR(INDEX($C$1:$C$247, SMALL(IF($D$1:$D$247=$E$3,ROW($D$1:$D$247)),ROW()-2),1),"")</f>
        <v/>
      </c>
      <c r="H106" s="64" t="str">
        <f t="array" ref="H106">IFERROR(INDEX($B$1:$B$247, SMALL(IF($D$1:$D$247=$E$4,ROW($D$1:$D$247)),ROW()-2),1),"")</f>
        <v/>
      </c>
      <c r="I106" s="64" t="str">
        <f t="array" ref="I106">IFERROR(INDEX($C$1:$C$247, SMALL(IF($D$1:$D$247=$E$4,ROW($D$1:$D$247)),ROW()-2),1),"")</f>
        <v/>
      </c>
      <c r="J106" s="65" t="str">
        <f t="array" ref="J106">IFERROR(INDEX($B$1:$B$247, SMALL(IF($D$1:$D$247=$E$5,ROW($D$1:$D$247)),ROW()-2),1),"")</f>
        <v/>
      </c>
      <c r="K106" s="65" t="str">
        <f t="array" ref="K106">IFERROR(INDEX($C$1:$C$247, SMALL(IF($D$1:$D$247=$E$5,ROW($D$1:$D$247)),ROW()-2),1),"")</f>
        <v/>
      </c>
    </row>
    <row r="107" spans="1:11" ht="15.75">
      <c r="A107" s="11">
        <f t="shared" ca="1" si="1"/>
        <v>0.58331424676873256</v>
      </c>
      <c r="B107" s="60">
        <f>Data!I206</f>
        <v>3.7</v>
      </c>
      <c r="C107" s="60">
        <f>Data!J206</f>
        <v>28.5</v>
      </c>
      <c r="D107" s="61">
        <f t="array" ref="D107">MOD(ROW(), 3) + 1</f>
        <v>3</v>
      </c>
      <c r="E107" s="11"/>
      <c r="F107" s="63" t="str">
        <f t="array" ref="F107">IFERROR(INDEX($B$1:$B$247, SMALL(IF($D$1:$D$247=$E$3,ROW($D$1:$D$247)),ROW()-2),1),"")</f>
        <v/>
      </c>
      <c r="G107" s="63" t="str">
        <f t="array" ref="G107">IFERROR(INDEX($C$1:$C$247, SMALL(IF($D$1:$D$247=$E$3,ROW($D$1:$D$247)),ROW()-2),1),"")</f>
        <v/>
      </c>
      <c r="H107" s="64" t="str">
        <f t="array" ref="H107">IFERROR(INDEX($B$1:$B$247, SMALL(IF($D$1:$D$247=$E$4,ROW($D$1:$D$247)),ROW()-2),1),"")</f>
        <v/>
      </c>
      <c r="I107" s="64" t="str">
        <f t="array" ref="I107">IFERROR(INDEX($C$1:$C$247, SMALL(IF($D$1:$D$247=$E$4,ROW($D$1:$D$247)),ROW()-2),1),"")</f>
        <v/>
      </c>
      <c r="J107" s="65" t="str">
        <f t="array" ref="J107">IFERROR(INDEX($B$1:$B$247, SMALL(IF($D$1:$D$247=$E$5,ROW($D$1:$D$247)),ROW()-2),1),"")</f>
        <v/>
      </c>
      <c r="K107" s="65" t="str">
        <f t="array" ref="K107">IFERROR(INDEX($C$1:$C$247, SMALL(IF($D$1:$D$247=$E$5,ROW($D$1:$D$247)),ROW()-2),1),"")</f>
        <v/>
      </c>
    </row>
    <row r="108" spans="1:11" ht="15.75">
      <c r="A108" s="11">
        <f t="shared" ca="1" si="1"/>
        <v>0.16824016773954809</v>
      </c>
      <c r="B108" s="60">
        <f>Data!I22</f>
        <v>6</v>
      </c>
      <c r="C108" s="60">
        <f>Data!J22</f>
        <v>24.7</v>
      </c>
      <c r="D108" s="61">
        <f t="array" ref="D108">MOD(ROW(), 3) + 1</f>
        <v>1</v>
      </c>
      <c r="E108" s="11"/>
      <c r="F108" s="63" t="str">
        <f t="array" ref="F108">IFERROR(INDEX($B$1:$B$247, SMALL(IF($D$1:$D$247=$E$3,ROW($D$1:$D$247)),ROW()-2),1),"")</f>
        <v/>
      </c>
      <c r="G108" s="63" t="str">
        <f t="array" ref="G108">IFERROR(INDEX($C$1:$C$247, SMALL(IF($D$1:$D$247=$E$3,ROW($D$1:$D$247)),ROW()-2),1),"")</f>
        <v/>
      </c>
      <c r="H108" s="64" t="str">
        <f t="array" ref="H108">IFERROR(INDEX($B$1:$B$247, SMALL(IF($D$1:$D$247=$E$4,ROW($D$1:$D$247)),ROW()-2),1),"")</f>
        <v/>
      </c>
      <c r="I108" s="64" t="str">
        <f t="array" ref="I108">IFERROR(INDEX($C$1:$C$247, SMALL(IF($D$1:$D$247=$E$4,ROW($D$1:$D$247)),ROW()-2),1),"")</f>
        <v/>
      </c>
      <c r="J108" s="65" t="str">
        <f t="array" ref="J108">IFERROR(INDEX($B$1:$B$247, SMALL(IF($D$1:$D$247=$E$5,ROW($D$1:$D$247)),ROW()-2),1),"")</f>
        <v/>
      </c>
      <c r="K108" s="65" t="str">
        <f t="array" ref="K108">IFERROR(INDEX($C$1:$C$247, SMALL(IF($D$1:$D$247=$E$5,ROW($D$1:$D$247)),ROW()-2),1),"")</f>
        <v/>
      </c>
    </row>
    <row r="109" spans="1:11" ht="15.75">
      <c r="A109" s="11">
        <f t="shared" ca="1" si="1"/>
        <v>0.85136423373924164</v>
      </c>
      <c r="B109" s="60">
        <f>Data!I213</f>
        <v>2.4</v>
      </c>
      <c r="C109" s="60">
        <f>Data!J213</f>
        <v>37.4</v>
      </c>
      <c r="D109" s="61">
        <f t="array" ref="D109">MOD(ROW(), 3) + 1</f>
        <v>2</v>
      </c>
      <c r="E109" s="11"/>
      <c r="F109" s="63" t="str">
        <f t="array" ref="F109">IFERROR(INDEX($B$1:$B$247, SMALL(IF($D$1:$D$247=$E$3,ROW($D$1:$D$247)),ROW()-2),1),"")</f>
        <v/>
      </c>
      <c r="G109" s="63" t="str">
        <f t="array" ref="G109">IFERROR(INDEX($C$1:$C$247, SMALL(IF($D$1:$D$247=$E$3,ROW($D$1:$D$247)),ROW()-2),1),"")</f>
        <v/>
      </c>
      <c r="H109" s="64" t="str">
        <f t="array" ref="H109">IFERROR(INDEX($B$1:$B$247, SMALL(IF($D$1:$D$247=$E$4,ROW($D$1:$D$247)),ROW()-2),1),"")</f>
        <v/>
      </c>
      <c r="I109" s="64" t="str">
        <f t="array" ref="I109">IFERROR(INDEX($C$1:$C$247, SMALL(IF($D$1:$D$247=$E$4,ROW($D$1:$D$247)),ROW()-2),1),"")</f>
        <v/>
      </c>
      <c r="J109" s="65" t="str">
        <f t="array" ref="J109">IFERROR(INDEX($B$1:$B$247, SMALL(IF($D$1:$D$247=$E$5,ROW($D$1:$D$247)),ROW()-2),1),"")</f>
        <v/>
      </c>
      <c r="K109" s="65" t="str">
        <f t="array" ref="K109">IFERROR(INDEX($C$1:$C$247, SMALL(IF($D$1:$D$247=$E$5,ROW($D$1:$D$247)),ROW()-2),1),"")</f>
        <v/>
      </c>
    </row>
    <row r="110" spans="1:11" ht="15.75">
      <c r="A110" s="11">
        <f t="shared" ca="1" si="1"/>
        <v>0.44417986009594101</v>
      </c>
      <c r="B110" s="60">
        <f>Data!I28</f>
        <v>1.6</v>
      </c>
      <c r="C110" s="60">
        <f>Data!J28</f>
        <v>52.6</v>
      </c>
      <c r="D110" s="61">
        <f t="array" ref="D110">MOD(ROW(), 3) + 1</f>
        <v>3</v>
      </c>
      <c r="E110" s="11"/>
      <c r="F110" s="63" t="str">
        <f t="array" ref="F110">IFERROR(INDEX($B$1:$B$247, SMALL(IF($D$1:$D$247=$E$3,ROW($D$1:$D$247)),ROW()-2),1),"")</f>
        <v/>
      </c>
      <c r="G110" s="63" t="str">
        <f t="array" ref="G110">IFERROR(INDEX($C$1:$C$247, SMALL(IF($D$1:$D$247=$E$3,ROW($D$1:$D$247)),ROW()-2),1),"")</f>
        <v/>
      </c>
      <c r="H110" s="64" t="str">
        <f t="array" ref="H110">IFERROR(INDEX($B$1:$B$247, SMALL(IF($D$1:$D$247=$E$4,ROW($D$1:$D$247)),ROW()-2),1),"")</f>
        <v/>
      </c>
      <c r="I110" s="64" t="str">
        <f t="array" ref="I110">IFERROR(INDEX($C$1:$C$247, SMALL(IF($D$1:$D$247=$E$4,ROW($D$1:$D$247)),ROW()-2),1),"")</f>
        <v/>
      </c>
      <c r="J110" s="65" t="str">
        <f t="array" ref="J110">IFERROR(INDEX($B$1:$B$247, SMALL(IF($D$1:$D$247=$E$5,ROW($D$1:$D$247)),ROW()-2),1),"")</f>
        <v/>
      </c>
      <c r="K110" s="65" t="str">
        <f t="array" ref="K110">IFERROR(INDEX($C$1:$C$247, SMALL(IF($D$1:$D$247=$E$5,ROW($D$1:$D$247)),ROW()-2),1),"")</f>
        <v/>
      </c>
    </row>
    <row r="111" spans="1:11" ht="15.75">
      <c r="A111" s="11">
        <f t="shared" ca="1" si="1"/>
        <v>0.67715968579970698</v>
      </c>
      <c r="B111" s="60">
        <f>Data!I175</f>
        <v>3.6</v>
      </c>
      <c r="C111" s="60">
        <f>Data!J175</f>
        <v>32.299999999999997</v>
      </c>
      <c r="D111" s="61">
        <f t="array" ref="D111">MOD(ROW(), 3) + 1</f>
        <v>1</v>
      </c>
      <c r="E111" s="11"/>
      <c r="F111" s="63" t="str">
        <f t="array" ref="F111">IFERROR(INDEX($B$1:$B$247, SMALL(IF($D$1:$D$247=$E$3,ROW($D$1:$D$247)),ROW()-2),1),"")</f>
        <v/>
      </c>
      <c r="G111" s="63" t="str">
        <f t="array" ref="G111">IFERROR(INDEX($C$1:$C$247, SMALL(IF($D$1:$D$247=$E$3,ROW($D$1:$D$247)),ROW()-2),1),"")</f>
        <v/>
      </c>
      <c r="H111" s="64" t="str">
        <f t="array" ref="H111">IFERROR(INDEX($B$1:$B$247, SMALL(IF($D$1:$D$247=$E$4,ROW($D$1:$D$247)),ROW()-2),1),"")</f>
        <v/>
      </c>
      <c r="I111" s="64" t="str">
        <f t="array" ref="I111">IFERROR(INDEX($C$1:$C$247, SMALL(IF($D$1:$D$247=$E$4,ROW($D$1:$D$247)),ROW()-2),1),"")</f>
        <v/>
      </c>
      <c r="J111" s="65" t="str">
        <f t="array" ref="J111">IFERROR(INDEX($B$1:$B$247, SMALL(IF($D$1:$D$247=$E$5,ROW($D$1:$D$247)),ROW()-2),1),"")</f>
        <v/>
      </c>
      <c r="K111" s="65" t="str">
        <f t="array" ref="K111">IFERROR(INDEX($C$1:$C$247, SMALL(IF($D$1:$D$247=$E$5,ROW($D$1:$D$247)),ROW()-2),1),"")</f>
        <v/>
      </c>
    </row>
    <row r="112" spans="1:11" ht="15.75">
      <c r="A112" s="11">
        <f t="shared" ca="1" si="1"/>
        <v>0.89588481404328357</v>
      </c>
      <c r="B112" s="60">
        <f>Data!I234</f>
        <v>2</v>
      </c>
      <c r="C112" s="60">
        <f>Data!J234</f>
        <v>48.7</v>
      </c>
      <c r="D112" s="61">
        <f t="array" ref="D112">MOD(ROW(), 3) + 1</f>
        <v>2</v>
      </c>
      <c r="E112" s="11"/>
      <c r="F112" s="63" t="str">
        <f t="array" ref="F112">IFERROR(INDEX($B$1:$B$247, SMALL(IF($D$1:$D$247=$E$3,ROW($D$1:$D$247)),ROW()-2),1),"")</f>
        <v/>
      </c>
      <c r="G112" s="63" t="str">
        <f t="array" ref="G112">IFERROR(INDEX($C$1:$C$247, SMALL(IF($D$1:$D$247=$E$3,ROW($D$1:$D$247)),ROW()-2),1),"")</f>
        <v/>
      </c>
      <c r="H112" s="64" t="str">
        <f t="array" ref="H112">IFERROR(INDEX($B$1:$B$247, SMALL(IF($D$1:$D$247=$E$4,ROW($D$1:$D$247)),ROW()-2),1),"")</f>
        <v/>
      </c>
      <c r="I112" s="64" t="str">
        <f t="array" ref="I112">IFERROR(INDEX($C$1:$C$247, SMALL(IF($D$1:$D$247=$E$4,ROW($D$1:$D$247)),ROW()-2),1),"")</f>
        <v/>
      </c>
      <c r="J112" s="65" t="str">
        <f t="array" ref="J112">IFERROR(INDEX($B$1:$B$247, SMALL(IF($D$1:$D$247=$E$5,ROW($D$1:$D$247)),ROW()-2),1),"")</f>
        <v/>
      </c>
      <c r="K112" s="65" t="str">
        <f t="array" ref="K112">IFERROR(INDEX($C$1:$C$247, SMALL(IF($D$1:$D$247=$E$5,ROW($D$1:$D$247)),ROW()-2),1),"")</f>
        <v/>
      </c>
    </row>
    <row r="113" spans="1:11" ht="15.75">
      <c r="A113" s="11">
        <f t="shared" ca="1" si="1"/>
        <v>0.80946550364009739</v>
      </c>
      <c r="B113" s="60">
        <f>Data!I56</f>
        <v>1.6</v>
      </c>
      <c r="C113" s="60">
        <f>Data!J56</f>
        <v>45.3</v>
      </c>
      <c r="D113" s="61">
        <f t="array" ref="D113">MOD(ROW(), 3) + 1</f>
        <v>3</v>
      </c>
      <c r="E113" s="11"/>
      <c r="F113" s="63" t="str">
        <f t="array" ref="F113">IFERROR(INDEX($B$1:$B$247, SMALL(IF($D$1:$D$247=$E$3,ROW($D$1:$D$247)),ROW()-2),1),"")</f>
        <v/>
      </c>
      <c r="G113" s="63" t="str">
        <f t="array" ref="G113">IFERROR(INDEX($C$1:$C$247, SMALL(IF($D$1:$D$247=$E$3,ROW($D$1:$D$247)),ROW()-2),1),"")</f>
        <v/>
      </c>
      <c r="H113" s="64" t="str">
        <f t="array" ref="H113">IFERROR(INDEX($B$1:$B$247, SMALL(IF($D$1:$D$247=$E$4,ROW($D$1:$D$247)),ROW()-2),1),"")</f>
        <v/>
      </c>
      <c r="I113" s="64" t="str">
        <f t="array" ref="I113">IFERROR(INDEX($C$1:$C$247, SMALL(IF($D$1:$D$247=$E$4,ROW($D$1:$D$247)),ROW()-2),1),"")</f>
        <v/>
      </c>
      <c r="J113" s="65" t="str">
        <f t="array" ref="J113">IFERROR(INDEX($B$1:$B$247, SMALL(IF($D$1:$D$247=$E$5,ROW($D$1:$D$247)),ROW()-2),1),"")</f>
        <v/>
      </c>
      <c r="K113" s="65" t="str">
        <f t="array" ref="K113">IFERROR(INDEX($C$1:$C$247, SMALL(IF($D$1:$D$247=$E$5,ROW($D$1:$D$247)),ROW()-2),1),"")</f>
        <v/>
      </c>
    </row>
    <row r="114" spans="1:11" ht="15.75">
      <c r="A114" s="11">
        <f t="shared" ca="1" si="1"/>
        <v>0.8890664457396299</v>
      </c>
      <c r="B114" s="60">
        <f>Data!I90</f>
        <v>3.7</v>
      </c>
      <c r="C114" s="60">
        <f>Data!J90</f>
        <v>36.752800000000001</v>
      </c>
      <c r="D114" s="61">
        <f t="array" ref="D114">MOD(ROW(), 3) + 1</f>
        <v>1</v>
      </c>
      <c r="E114" s="11"/>
      <c r="F114" s="63" t="str">
        <f t="array" ref="F114">IFERROR(INDEX($B$1:$B$247, SMALL(IF($D$1:$D$247=$E$3,ROW($D$1:$D$247)),ROW()-2),1),"")</f>
        <v/>
      </c>
      <c r="G114" s="63" t="str">
        <f t="array" ref="G114">IFERROR(INDEX($C$1:$C$247, SMALL(IF($D$1:$D$247=$E$3,ROW($D$1:$D$247)),ROW()-2),1),"")</f>
        <v/>
      </c>
      <c r="H114" s="64" t="str">
        <f t="array" ref="H114">IFERROR(INDEX($B$1:$B$247, SMALL(IF($D$1:$D$247=$E$4,ROW($D$1:$D$247)),ROW()-2),1),"")</f>
        <v/>
      </c>
      <c r="I114" s="64" t="str">
        <f t="array" ref="I114">IFERROR(INDEX($C$1:$C$247, SMALL(IF($D$1:$D$247=$E$4,ROW($D$1:$D$247)),ROW()-2),1),"")</f>
        <v/>
      </c>
      <c r="J114" s="65" t="str">
        <f t="array" ref="J114">IFERROR(INDEX($B$1:$B$247, SMALL(IF($D$1:$D$247=$E$5,ROW($D$1:$D$247)),ROW()-2),1),"")</f>
        <v/>
      </c>
      <c r="K114" s="65" t="str">
        <f t="array" ref="K114">IFERROR(INDEX($C$1:$C$247, SMALL(IF($D$1:$D$247=$E$5,ROW($D$1:$D$247)),ROW()-2),1),"")</f>
        <v/>
      </c>
    </row>
    <row r="115" spans="1:11" ht="15.75">
      <c r="A115" s="11">
        <f t="shared" ca="1" si="1"/>
        <v>0.41941633428759839</v>
      </c>
      <c r="B115" s="60">
        <f>Data!I18</f>
        <v>3.8</v>
      </c>
      <c r="C115" s="60">
        <f>Data!J18</f>
        <v>36.7669</v>
      </c>
      <c r="D115" s="61">
        <f t="array" ref="D115">MOD(ROW(), 3) + 1</f>
        <v>2</v>
      </c>
      <c r="E115" s="11"/>
      <c r="F115" s="63" t="str">
        <f t="array" ref="F115">IFERROR(INDEX($B$1:$B$247, SMALL(IF($D$1:$D$247=$E$3,ROW($D$1:$D$247)),ROW()-2),1),"")</f>
        <v/>
      </c>
      <c r="G115" s="63" t="str">
        <f t="array" ref="G115">IFERROR(INDEX($C$1:$C$247, SMALL(IF($D$1:$D$247=$E$3,ROW($D$1:$D$247)),ROW()-2),1),"")</f>
        <v/>
      </c>
      <c r="H115" s="64" t="str">
        <f t="array" ref="H115">IFERROR(INDEX($B$1:$B$247, SMALL(IF($D$1:$D$247=$E$4,ROW($D$1:$D$247)),ROW()-2),1),"")</f>
        <v/>
      </c>
      <c r="I115" s="64" t="str">
        <f t="array" ref="I115">IFERROR(INDEX($C$1:$C$247, SMALL(IF($D$1:$D$247=$E$4,ROW($D$1:$D$247)),ROW()-2),1),"")</f>
        <v/>
      </c>
      <c r="J115" s="65" t="str">
        <f t="array" ref="J115">IFERROR(INDEX($B$1:$B$247, SMALL(IF($D$1:$D$247=$E$5,ROW($D$1:$D$247)),ROW()-2),1),"")</f>
        <v/>
      </c>
      <c r="K115" s="65" t="str">
        <f t="array" ref="K115">IFERROR(INDEX($C$1:$C$247, SMALL(IF($D$1:$D$247=$E$5,ROW($D$1:$D$247)),ROW()-2),1),"")</f>
        <v/>
      </c>
    </row>
    <row r="116" spans="1:11" ht="15.75">
      <c r="A116" s="11">
        <f t="shared" ca="1" si="1"/>
        <v>0.59424388905911507</v>
      </c>
      <c r="B116" s="60">
        <f>Data!I99</f>
        <v>3</v>
      </c>
      <c r="C116" s="60">
        <f>Data!J99</f>
        <v>37.999699999999997</v>
      </c>
      <c r="D116" s="61">
        <f t="array" ref="D116">MOD(ROW(), 3) + 1</f>
        <v>3</v>
      </c>
      <c r="E116" s="11"/>
      <c r="F116" s="63" t="str">
        <f t="array" ref="F116">IFERROR(INDEX($B$1:$B$247, SMALL(IF($D$1:$D$247=$E$3,ROW($D$1:$D$247)),ROW()-2),1),"")</f>
        <v/>
      </c>
      <c r="G116" s="63" t="str">
        <f t="array" ref="G116">IFERROR(INDEX($C$1:$C$247, SMALL(IF($D$1:$D$247=$E$3,ROW($D$1:$D$247)),ROW()-2),1),"")</f>
        <v/>
      </c>
      <c r="H116" s="64" t="str">
        <f t="array" ref="H116">IFERROR(INDEX($B$1:$B$247, SMALL(IF($D$1:$D$247=$E$4,ROW($D$1:$D$247)),ROW()-2),1),"")</f>
        <v/>
      </c>
      <c r="I116" s="64" t="str">
        <f t="array" ref="I116">IFERROR(INDEX($C$1:$C$247, SMALL(IF($D$1:$D$247=$E$4,ROW($D$1:$D$247)),ROW()-2),1),"")</f>
        <v/>
      </c>
      <c r="J116" s="65" t="str">
        <f t="array" ref="J116">IFERROR(INDEX($B$1:$B$247, SMALL(IF($D$1:$D$247=$E$5,ROW($D$1:$D$247)),ROW()-2),1),"")</f>
        <v/>
      </c>
      <c r="K116" s="65" t="str">
        <f t="array" ref="K116">IFERROR(INDEX($C$1:$C$247, SMALL(IF($D$1:$D$247=$E$5,ROW($D$1:$D$247)),ROW()-2),1),"")</f>
        <v/>
      </c>
    </row>
    <row r="117" spans="1:11" ht="15.75">
      <c r="A117" s="11">
        <f t="shared" ca="1" si="1"/>
        <v>0.84244938552219539</v>
      </c>
      <c r="B117" s="60">
        <f>Data!I192</f>
        <v>3.2</v>
      </c>
      <c r="C117" s="60">
        <f>Data!J192</f>
        <v>34.542400000000001</v>
      </c>
      <c r="D117" s="61">
        <f t="array" ref="D117">MOD(ROW(), 3) + 1</f>
        <v>1</v>
      </c>
      <c r="E117" s="11"/>
      <c r="F117" s="63" t="str">
        <f t="array" ref="F117">IFERROR(INDEX($B$1:$B$247, SMALL(IF($D$1:$D$247=$E$3,ROW($D$1:$D$247)),ROW()-2),1),"")</f>
        <v/>
      </c>
      <c r="G117" s="63" t="str">
        <f t="array" ref="G117">IFERROR(INDEX($C$1:$C$247, SMALL(IF($D$1:$D$247=$E$3,ROW($D$1:$D$247)),ROW()-2),1),"")</f>
        <v/>
      </c>
      <c r="H117" s="64" t="str">
        <f t="array" ref="H117">IFERROR(INDEX($B$1:$B$247, SMALL(IF($D$1:$D$247=$E$4,ROW($D$1:$D$247)),ROW()-2),1),"")</f>
        <v/>
      </c>
      <c r="I117" s="64" t="str">
        <f t="array" ref="I117">IFERROR(INDEX($C$1:$C$247, SMALL(IF($D$1:$D$247=$E$4,ROW($D$1:$D$247)),ROW()-2),1),"")</f>
        <v/>
      </c>
      <c r="J117" s="65" t="str">
        <f t="array" ref="J117">IFERROR(INDEX($B$1:$B$247, SMALL(IF($D$1:$D$247=$E$5,ROW($D$1:$D$247)),ROW()-2),1),"")</f>
        <v/>
      </c>
      <c r="K117" s="65" t="str">
        <f t="array" ref="K117">IFERROR(INDEX($C$1:$C$247, SMALL(IF($D$1:$D$247=$E$5,ROW($D$1:$D$247)),ROW()-2),1),"")</f>
        <v/>
      </c>
    </row>
    <row r="118" spans="1:11" ht="15.75">
      <c r="A118" s="11">
        <f t="shared" ca="1" si="1"/>
        <v>0.56522556942468971</v>
      </c>
      <c r="B118" s="60">
        <f>Data!I43</f>
        <v>1.4</v>
      </c>
      <c r="C118" s="60">
        <f>Data!J43</f>
        <v>54.05</v>
      </c>
      <c r="D118" s="61">
        <f t="array" ref="D118">MOD(ROW(), 3) + 1</f>
        <v>2</v>
      </c>
      <c r="E118" s="11"/>
      <c r="F118" s="63" t="str">
        <f t="array" ref="F118">IFERROR(INDEX($B$1:$B$247, SMALL(IF($D$1:$D$247=$E$3,ROW($D$1:$D$247)),ROW()-2),1),"")</f>
        <v/>
      </c>
      <c r="G118" s="63" t="str">
        <f t="array" ref="G118">IFERROR(INDEX($C$1:$C$247, SMALL(IF($D$1:$D$247=$E$3,ROW($D$1:$D$247)),ROW()-2),1),"")</f>
        <v/>
      </c>
      <c r="H118" s="64" t="str">
        <f t="array" ref="H118">IFERROR(INDEX($B$1:$B$247, SMALL(IF($D$1:$D$247=$E$4,ROW($D$1:$D$247)),ROW()-2),1),"")</f>
        <v/>
      </c>
      <c r="I118" s="64" t="str">
        <f t="array" ref="I118">IFERROR(INDEX($C$1:$C$247, SMALL(IF($D$1:$D$247=$E$4,ROW($D$1:$D$247)),ROW()-2),1),"")</f>
        <v/>
      </c>
      <c r="J118" s="65" t="str">
        <f t="array" ref="J118">IFERROR(INDEX($B$1:$B$247, SMALL(IF($D$1:$D$247=$E$5,ROW($D$1:$D$247)),ROW()-2),1),"")</f>
        <v/>
      </c>
      <c r="K118" s="65" t="str">
        <f t="array" ref="K118">IFERROR(INDEX($C$1:$C$247, SMALL(IF($D$1:$D$247=$E$5,ROW($D$1:$D$247)),ROW()-2),1),"")</f>
        <v/>
      </c>
    </row>
    <row r="119" spans="1:11" ht="15.75">
      <c r="A119" s="11">
        <f t="shared" ca="1" si="1"/>
        <v>0.32072994985339465</v>
      </c>
      <c r="B119" s="60">
        <f>Data!I146</f>
        <v>2.2000000000000002</v>
      </c>
      <c r="C119" s="60">
        <f>Data!J146</f>
        <v>30.45</v>
      </c>
      <c r="D119" s="61">
        <f t="array" ref="D119">MOD(ROW(), 3) + 1</f>
        <v>3</v>
      </c>
      <c r="E119" s="11"/>
      <c r="F119" s="63" t="str">
        <f t="array" ref="F119">IFERROR(INDEX($B$1:$B$247, SMALL(IF($D$1:$D$247=$E$3,ROW($D$1:$D$247)),ROW()-2),1),"")</f>
        <v/>
      </c>
      <c r="G119" s="63" t="str">
        <f t="array" ref="G119">IFERROR(INDEX($C$1:$C$247, SMALL(IF($D$1:$D$247=$E$3,ROW($D$1:$D$247)),ROW()-2),1),"")</f>
        <v/>
      </c>
      <c r="H119" s="64" t="str">
        <f t="array" ref="H119">IFERROR(INDEX($B$1:$B$247, SMALL(IF($D$1:$D$247=$E$4,ROW($D$1:$D$247)),ROW()-2),1),"")</f>
        <v/>
      </c>
      <c r="I119" s="64" t="str">
        <f t="array" ref="I119">IFERROR(INDEX($C$1:$C$247, SMALL(IF($D$1:$D$247=$E$4,ROW($D$1:$D$247)),ROW()-2),1),"")</f>
        <v/>
      </c>
      <c r="J119" s="65" t="str">
        <f t="array" ref="J119">IFERROR(INDEX($B$1:$B$247, SMALL(IF($D$1:$D$247=$E$5,ROW($D$1:$D$247)),ROW()-2),1),"")</f>
        <v/>
      </c>
      <c r="K119" s="65" t="str">
        <f t="array" ref="K119">IFERROR(INDEX($C$1:$C$247, SMALL(IF($D$1:$D$247=$E$5,ROW($D$1:$D$247)),ROW()-2),1),"")</f>
        <v/>
      </c>
    </row>
    <row r="120" spans="1:11" ht="15.75">
      <c r="A120" s="11">
        <f t="shared" ca="1" si="1"/>
        <v>0.6046162414706534</v>
      </c>
      <c r="B120" s="60">
        <f>Data!I169</f>
        <v>3.6</v>
      </c>
      <c r="C120" s="60">
        <f>Data!J169</f>
        <v>35</v>
      </c>
      <c r="D120" s="61">
        <f t="array" ref="D120">MOD(ROW(), 3) + 1</f>
        <v>1</v>
      </c>
      <c r="E120" s="11"/>
      <c r="F120" s="63" t="str">
        <f t="array" ref="F120">IFERROR(INDEX($B$1:$B$247, SMALL(IF($D$1:$D$247=$E$3,ROW($D$1:$D$247)),ROW()-2),1),"")</f>
        <v/>
      </c>
      <c r="G120" s="63" t="str">
        <f t="array" ref="G120">IFERROR(INDEX($C$1:$C$247, SMALL(IF($D$1:$D$247=$E$3,ROW($D$1:$D$247)),ROW()-2),1),"")</f>
        <v/>
      </c>
      <c r="H120" s="64" t="str">
        <f t="array" ref="H120">IFERROR(INDEX($B$1:$B$247, SMALL(IF($D$1:$D$247=$E$4,ROW($D$1:$D$247)),ROW()-2),1),"")</f>
        <v/>
      </c>
      <c r="I120" s="64" t="str">
        <f t="array" ref="I120">IFERROR(INDEX($C$1:$C$247, SMALL(IF($D$1:$D$247=$E$4,ROW($D$1:$D$247)),ROW()-2),1),"")</f>
        <v/>
      </c>
      <c r="J120" s="65" t="str">
        <f t="array" ref="J120">IFERROR(INDEX($B$1:$B$247, SMALL(IF($D$1:$D$247=$E$5,ROW($D$1:$D$247)),ROW()-2),1),"")</f>
        <v/>
      </c>
      <c r="K120" s="65" t="str">
        <f t="array" ref="K120">IFERROR(INDEX($C$1:$C$247, SMALL(IF($D$1:$D$247=$E$5,ROW($D$1:$D$247)),ROW()-2),1),"")</f>
        <v/>
      </c>
    </row>
    <row r="121" spans="1:11" ht="15.75">
      <c r="A121" s="11">
        <f t="shared" ca="1" si="1"/>
        <v>0.33929277155651094</v>
      </c>
      <c r="B121" s="60">
        <f>Data!I137</f>
        <v>3.7</v>
      </c>
      <c r="C121" s="60">
        <f>Data!J137</f>
        <v>24.4</v>
      </c>
      <c r="D121" s="61">
        <f t="array" ref="D121">MOD(ROW(), 3) + 1</f>
        <v>2</v>
      </c>
      <c r="E121" s="11"/>
      <c r="F121" s="63" t="str">
        <f t="array" ref="F121">IFERROR(INDEX($B$1:$B$247, SMALL(IF($D$1:$D$247=$E$3,ROW($D$1:$D$247)),ROW()-2),1),"")</f>
        <v/>
      </c>
      <c r="G121" s="63" t="str">
        <f t="array" ref="G121">IFERROR(INDEX($C$1:$C$247, SMALL(IF($D$1:$D$247=$E$3,ROW($D$1:$D$247)),ROW()-2),1),"")</f>
        <v/>
      </c>
      <c r="H121" s="64" t="str">
        <f t="array" ref="H121">IFERROR(INDEX($B$1:$B$247, SMALL(IF($D$1:$D$247=$E$4,ROW($D$1:$D$247)),ROW()-2),1),"")</f>
        <v/>
      </c>
      <c r="I121" s="64" t="str">
        <f t="array" ref="I121">IFERROR(INDEX($C$1:$C$247, SMALL(IF($D$1:$D$247=$E$4,ROW($D$1:$D$247)),ROW()-2),1),"")</f>
        <v/>
      </c>
      <c r="J121" s="65" t="str">
        <f t="array" ref="J121">IFERROR(INDEX($B$1:$B$247, SMALL(IF($D$1:$D$247=$E$5,ROW($D$1:$D$247)),ROW()-2),1),"")</f>
        <v/>
      </c>
      <c r="K121" s="65" t="str">
        <f t="array" ref="K121">IFERROR(INDEX($C$1:$C$247, SMALL(IF($D$1:$D$247=$E$5,ROW($D$1:$D$247)),ROW()-2),1),"")</f>
        <v/>
      </c>
    </row>
    <row r="122" spans="1:11" ht="15.75">
      <c r="A122" s="11">
        <f t="shared" ca="1" si="1"/>
        <v>3.3199225717486791E-2</v>
      </c>
      <c r="B122" s="60">
        <f>Data!I191</f>
        <v>3.2</v>
      </c>
      <c r="C122" s="60">
        <f>Data!J191</f>
        <v>34.542400000000001</v>
      </c>
      <c r="D122" s="61">
        <f t="array" ref="D122">MOD(ROW(), 3) + 1</f>
        <v>3</v>
      </c>
      <c r="E122" s="11"/>
      <c r="F122" s="63" t="str">
        <f t="array" ref="F122">IFERROR(INDEX($B$1:$B$247, SMALL(IF($D$1:$D$247=$E$3,ROW($D$1:$D$247)),ROW()-2),1),"")</f>
        <v/>
      </c>
      <c r="G122" s="63" t="str">
        <f t="array" ref="G122">IFERROR(INDEX($C$1:$C$247, SMALL(IF($D$1:$D$247=$E$3,ROW($D$1:$D$247)),ROW()-2),1),"")</f>
        <v/>
      </c>
      <c r="H122" s="64" t="str">
        <f t="array" ref="H122">IFERROR(INDEX($B$1:$B$247, SMALL(IF($D$1:$D$247=$E$4,ROW($D$1:$D$247)),ROW()-2),1),"")</f>
        <v/>
      </c>
      <c r="I122" s="64" t="str">
        <f t="array" ref="I122">IFERROR(INDEX($C$1:$C$247, SMALL(IF($D$1:$D$247=$E$4,ROW($D$1:$D$247)),ROW()-2),1),"")</f>
        <v/>
      </c>
      <c r="J122" s="65" t="str">
        <f t="array" ref="J122">IFERROR(INDEX($B$1:$B$247, SMALL(IF($D$1:$D$247=$E$5,ROW($D$1:$D$247)),ROW()-2),1),"")</f>
        <v/>
      </c>
      <c r="K122" s="65" t="str">
        <f t="array" ref="K122">IFERROR(INDEX($C$1:$C$247, SMALL(IF($D$1:$D$247=$E$5,ROW($D$1:$D$247)),ROW()-2),1),"")</f>
        <v/>
      </c>
    </row>
    <row r="123" spans="1:11" ht="15.75">
      <c r="A123" s="11">
        <f t="shared" ca="1" si="1"/>
        <v>0.11515069483028728</v>
      </c>
      <c r="B123" s="60">
        <f>Data!I64</f>
        <v>2.5</v>
      </c>
      <c r="C123" s="60">
        <f>Data!J64</f>
        <v>34.434100000000001</v>
      </c>
      <c r="D123" s="61">
        <f t="array" ref="D123">MOD(ROW(), 3) + 1</f>
        <v>1</v>
      </c>
      <c r="E123" s="11"/>
      <c r="F123" s="63" t="str">
        <f t="array" ref="F123">IFERROR(INDEX($B$1:$B$247, SMALL(IF($D$1:$D$247=$E$3,ROW($D$1:$D$247)),ROW()-2),1),"")</f>
        <v/>
      </c>
      <c r="G123" s="63" t="str">
        <f t="array" ref="G123">IFERROR(INDEX($C$1:$C$247, SMALL(IF($D$1:$D$247=$E$3,ROW($D$1:$D$247)),ROW()-2),1),"")</f>
        <v/>
      </c>
      <c r="H123" s="64" t="str">
        <f t="array" ref="H123">IFERROR(INDEX($B$1:$B$247, SMALL(IF($D$1:$D$247=$E$4,ROW($D$1:$D$247)),ROW()-2),1),"")</f>
        <v/>
      </c>
      <c r="I123" s="64" t="str">
        <f t="array" ref="I123">IFERROR(INDEX($C$1:$C$247, SMALL(IF($D$1:$D$247=$E$4,ROW($D$1:$D$247)),ROW()-2),1),"")</f>
        <v/>
      </c>
      <c r="J123" s="65" t="str">
        <f t="array" ref="J123">IFERROR(INDEX($B$1:$B$247, SMALL(IF($D$1:$D$247=$E$5,ROW($D$1:$D$247)),ROW()-2),1),"")</f>
        <v/>
      </c>
      <c r="K123" s="65" t="str">
        <f t="array" ref="K123">IFERROR(INDEX($C$1:$C$247, SMALL(IF($D$1:$D$247=$E$5,ROW($D$1:$D$247)),ROW()-2),1),"")</f>
        <v/>
      </c>
    </row>
    <row r="124" spans="1:11" ht="15.75">
      <c r="A124" s="11">
        <f t="shared" ca="1" si="1"/>
        <v>0.86436870014947687</v>
      </c>
      <c r="B124" s="60">
        <f>Data!I158</f>
        <v>6</v>
      </c>
      <c r="C124" s="60">
        <f>Data!J158</f>
        <v>21.473400000000002</v>
      </c>
      <c r="D124" s="61">
        <f t="array" ref="D124">MOD(ROW(), 3) + 1</f>
        <v>2</v>
      </c>
      <c r="E124" s="11"/>
      <c r="F124" s="63" t="str">
        <f t="array" ref="F124">IFERROR(INDEX($B$1:$B$247, SMALL(IF($D$1:$D$247=$E$3,ROW($D$1:$D$247)),ROW()-2),1),"")</f>
        <v/>
      </c>
      <c r="G124" s="63" t="str">
        <f t="array" ref="G124">IFERROR(INDEX($C$1:$C$247, SMALL(IF($D$1:$D$247=$E$3,ROW($D$1:$D$247)),ROW()-2),1),"")</f>
        <v/>
      </c>
      <c r="H124" s="64" t="str">
        <f t="array" ref="H124">IFERROR(INDEX($B$1:$B$247, SMALL(IF($D$1:$D$247=$E$4,ROW($D$1:$D$247)),ROW()-2),1),"")</f>
        <v/>
      </c>
      <c r="I124" s="64" t="str">
        <f t="array" ref="I124">IFERROR(INDEX($C$1:$C$247, SMALL(IF($D$1:$D$247=$E$4,ROW($D$1:$D$247)),ROW()-2),1),"")</f>
        <v/>
      </c>
      <c r="J124" s="65" t="str">
        <f t="array" ref="J124">IFERROR(INDEX($B$1:$B$247, SMALL(IF($D$1:$D$247=$E$5,ROW($D$1:$D$247)),ROW()-2),1),"")</f>
        <v/>
      </c>
      <c r="K124" s="65" t="str">
        <f t="array" ref="K124">IFERROR(INDEX($C$1:$C$247, SMALL(IF($D$1:$D$247=$E$5,ROW($D$1:$D$247)),ROW()-2),1),"")</f>
        <v/>
      </c>
    </row>
    <row r="125" spans="1:11" ht="15.75">
      <c r="A125" s="11">
        <f t="shared" ca="1" si="1"/>
        <v>0.71586808882149899</v>
      </c>
      <c r="B125" s="60">
        <f>Data!I81</f>
        <v>2</v>
      </c>
      <c r="C125" s="60">
        <f>Data!J81</f>
        <v>39.4</v>
      </c>
      <c r="D125" s="61">
        <f t="array" ref="D125">MOD(ROW(), 3) + 1</f>
        <v>3</v>
      </c>
      <c r="E125" s="11"/>
      <c r="F125" s="63" t="str">
        <f t="array" ref="F125">IFERROR(INDEX($B$1:$B$247, SMALL(IF($D$1:$D$247=$E$3,ROW($D$1:$D$247)),ROW()-2),1),"")</f>
        <v/>
      </c>
      <c r="G125" s="63" t="str">
        <f t="array" ref="G125">IFERROR(INDEX($C$1:$C$247, SMALL(IF($D$1:$D$247=$E$3,ROW($D$1:$D$247)),ROW()-2),1),"")</f>
        <v/>
      </c>
      <c r="H125" s="64" t="str">
        <f t="array" ref="H125">IFERROR(INDEX($B$1:$B$247, SMALL(IF($D$1:$D$247=$E$4,ROW($D$1:$D$247)),ROW()-2),1),"")</f>
        <v/>
      </c>
      <c r="I125" s="64" t="str">
        <f t="array" ref="I125">IFERROR(INDEX($C$1:$C$247, SMALL(IF($D$1:$D$247=$E$4,ROW($D$1:$D$247)),ROW()-2),1),"")</f>
        <v/>
      </c>
      <c r="J125" s="65" t="str">
        <f t="array" ref="J125">IFERROR(INDEX($B$1:$B$247, SMALL(IF($D$1:$D$247=$E$5,ROW($D$1:$D$247)),ROW()-2),1),"")</f>
        <v/>
      </c>
      <c r="K125" s="65" t="str">
        <f t="array" ref="K125">IFERROR(INDEX($C$1:$C$247, SMALL(IF($D$1:$D$247=$E$5,ROW($D$1:$D$247)),ROW()-2),1),"")</f>
        <v/>
      </c>
    </row>
    <row r="126" spans="1:11" ht="15.75">
      <c r="A126" s="11">
        <f t="shared" ca="1" si="1"/>
        <v>0.90881185691212052</v>
      </c>
      <c r="B126" s="60">
        <f>Data!I155</f>
        <v>5.4</v>
      </c>
      <c r="C126" s="60">
        <f>Data!J155</f>
        <v>21.2</v>
      </c>
      <c r="D126" s="61">
        <f t="array" ref="D126">MOD(ROW(), 3) + 1</f>
        <v>1</v>
      </c>
      <c r="E126" s="11"/>
      <c r="F126" s="63" t="str">
        <f t="array" ref="F126">IFERROR(INDEX($B$1:$B$247, SMALL(IF($D$1:$D$247=$E$3,ROW($D$1:$D$247)),ROW()-2),1),"")</f>
        <v/>
      </c>
      <c r="G126" s="63" t="str">
        <f t="array" ref="G126">IFERROR(INDEX($C$1:$C$247, SMALL(IF($D$1:$D$247=$E$3,ROW($D$1:$D$247)),ROW()-2),1),"")</f>
        <v/>
      </c>
      <c r="H126" s="64" t="str">
        <f t="array" ref="H126">IFERROR(INDEX($B$1:$B$247, SMALL(IF($D$1:$D$247=$E$4,ROW($D$1:$D$247)),ROW()-2),1),"")</f>
        <v/>
      </c>
      <c r="I126" s="64" t="str">
        <f t="array" ref="I126">IFERROR(INDEX($C$1:$C$247, SMALL(IF($D$1:$D$247=$E$4,ROW($D$1:$D$247)),ROW()-2),1),"")</f>
        <v/>
      </c>
      <c r="J126" s="65" t="str">
        <f t="array" ref="J126">IFERROR(INDEX($B$1:$B$247, SMALL(IF($D$1:$D$247=$E$5,ROW($D$1:$D$247)),ROW()-2),1),"")</f>
        <v/>
      </c>
      <c r="K126" s="65" t="str">
        <f t="array" ref="K126">IFERROR(INDEX($C$1:$C$247, SMALL(IF($D$1:$D$247=$E$5,ROW($D$1:$D$247)),ROW()-2),1),"")</f>
        <v/>
      </c>
    </row>
    <row r="127" spans="1:11" ht="15.75">
      <c r="A127" s="11">
        <f t="shared" ca="1" si="1"/>
        <v>0.27013162237067778</v>
      </c>
      <c r="B127" s="60">
        <f>Data!I235</f>
        <v>2</v>
      </c>
      <c r="C127" s="60">
        <f>Data!J235</f>
        <v>46.2</v>
      </c>
      <c r="D127" s="61">
        <f t="array" ref="D127">MOD(ROW(), 3) + 1</f>
        <v>2</v>
      </c>
      <c r="E127" s="11"/>
      <c r="F127" s="63" t="str">
        <f t="array" ref="F127">IFERROR(INDEX($B$1:$B$247, SMALL(IF($D$1:$D$247=$E$3,ROW($D$1:$D$247)),ROW()-2),1),"")</f>
        <v/>
      </c>
      <c r="G127" s="63" t="str">
        <f t="array" ref="G127">IFERROR(INDEX($C$1:$C$247, SMALL(IF($D$1:$D$247=$E$3,ROW($D$1:$D$247)),ROW()-2),1),"")</f>
        <v/>
      </c>
      <c r="H127" s="64" t="str">
        <f t="array" ref="H127">IFERROR(INDEX($B$1:$B$247, SMALL(IF($D$1:$D$247=$E$4,ROW($D$1:$D$247)),ROW()-2),1),"")</f>
        <v/>
      </c>
      <c r="I127" s="64" t="str">
        <f t="array" ref="I127">IFERROR(INDEX($C$1:$C$247, SMALL(IF($D$1:$D$247=$E$4,ROW($D$1:$D$247)),ROW()-2),1),"")</f>
        <v/>
      </c>
      <c r="J127" s="65" t="str">
        <f t="array" ref="J127">IFERROR(INDEX($B$1:$B$247, SMALL(IF($D$1:$D$247=$E$5,ROW($D$1:$D$247)),ROW()-2),1),"")</f>
        <v/>
      </c>
      <c r="K127" s="65" t="str">
        <f t="array" ref="K127">IFERROR(INDEX($C$1:$C$247, SMALL(IF($D$1:$D$247=$E$5,ROW($D$1:$D$247)),ROW()-2),1),"")</f>
        <v/>
      </c>
    </row>
    <row r="128" spans="1:11" ht="15.75">
      <c r="A128" s="11">
        <f t="shared" ca="1" si="1"/>
        <v>0.32965767677878022</v>
      </c>
      <c r="B128" s="60">
        <f>Data!I33</f>
        <v>3.5</v>
      </c>
      <c r="C128" s="60">
        <f>Data!J33</f>
        <v>34.9</v>
      </c>
      <c r="D128" s="61">
        <f t="array" ref="D128">MOD(ROW(), 3) + 1</f>
        <v>3</v>
      </c>
      <c r="E128" s="11"/>
      <c r="F128" s="63" t="str">
        <f t="array" ref="F128">IFERROR(INDEX($B$1:$B$247, SMALL(IF($D$1:$D$247=$E$3,ROW($D$1:$D$247)),ROW()-2),1),"")</f>
        <v/>
      </c>
      <c r="G128" s="63" t="str">
        <f t="array" ref="G128">IFERROR(INDEX($C$1:$C$247, SMALL(IF($D$1:$D$247=$E$3,ROW($D$1:$D$247)),ROW()-2),1),"")</f>
        <v/>
      </c>
      <c r="H128" s="64" t="str">
        <f t="array" ref="H128">IFERROR(INDEX($B$1:$B$247, SMALL(IF($D$1:$D$247=$E$4,ROW($D$1:$D$247)),ROW()-2),1),"")</f>
        <v/>
      </c>
      <c r="I128" s="64" t="str">
        <f t="array" ref="I128">IFERROR(INDEX($C$1:$C$247, SMALL(IF($D$1:$D$247=$E$4,ROW($D$1:$D$247)),ROW()-2),1),"")</f>
        <v/>
      </c>
      <c r="J128" s="65" t="str">
        <f t="array" ref="J128">IFERROR(INDEX($B$1:$B$247, SMALL(IF($D$1:$D$247=$E$5,ROW($D$1:$D$247)),ROW()-2),1),"")</f>
        <v/>
      </c>
      <c r="K128" s="65" t="str">
        <f t="array" ref="K128">IFERROR(INDEX($C$1:$C$247, SMALL(IF($D$1:$D$247=$E$5,ROW($D$1:$D$247)),ROW()-2),1),"")</f>
        <v/>
      </c>
    </row>
    <row r="129" spans="1:11" ht="15.75">
      <c r="A129" s="11">
        <f t="shared" ca="1" si="1"/>
        <v>0.57921079737837977</v>
      </c>
      <c r="B129" s="60">
        <f>Data!I208</f>
        <v>6</v>
      </c>
      <c r="C129" s="60">
        <f>Data!J208</f>
        <v>32.4</v>
      </c>
      <c r="D129" s="61">
        <f t="array" ref="D129">MOD(ROW(), 3) + 1</f>
        <v>1</v>
      </c>
      <c r="E129" s="11"/>
      <c r="F129" s="63" t="str">
        <f t="array" ref="F129">IFERROR(INDEX($B$1:$B$247, SMALL(IF($D$1:$D$247=$E$3,ROW($D$1:$D$247)),ROW()-2),1),"")</f>
        <v/>
      </c>
      <c r="G129" s="63" t="str">
        <f t="array" ref="G129">IFERROR(INDEX($C$1:$C$247, SMALL(IF($D$1:$D$247=$E$3,ROW($D$1:$D$247)),ROW()-2),1),"")</f>
        <v/>
      </c>
      <c r="H129" s="64" t="str">
        <f t="array" ref="H129">IFERROR(INDEX($B$1:$B$247, SMALL(IF($D$1:$D$247=$E$4,ROW($D$1:$D$247)),ROW()-2),1),"")</f>
        <v/>
      </c>
      <c r="I129" s="64" t="str">
        <f t="array" ref="I129">IFERROR(INDEX($C$1:$C$247, SMALL(IF($D$1:$D$247=$E$4,ROW($D$1:$D$247)),ROW()-2),1),"")</f>
        <v/>
      </c>
      <c r="J129" s="65" t="str">
        <f t="array" ref="J129">IFERROR(INDEX($B$1:$B$247, SMALL(IF($D$1:$D$247=$E$5,ROW($D$1:$D$247)),ROW()-2),1),"")</f>
        <v/>
      </c>
      <c r="K129" s="65" t="str">
        <f t="array" ref="K129">IFERROR(INDEX($C$1:$C$247, SMALL(IF($D$1:$D$247=$E$5,ROW($D$1:$D$247)),ROW()-2),1),"")</f>
        <v/>
      </c>
    </row>
    <row r="130" spans="1:11" ht="15.75">
      <c r="A130" s="11">
        <f t="shared" ca="1" si="1"/>
        <v>0.30275868973510056</v>
      </c>
      <c r="B130" s="60">
        <f>Data!I113</f>
        <v>3.6</v>
      </c>
      <c r="C130" s="60">
        <f>Data!J113</f>
        <v>36.543999999999997</v>
      </c>
      <c r="D130" s="61">
        <f t="array" ref="D130">MOD(ROW(), 3) + 1</f>
        <v>2</v>
      </c>
      <c r="E130" s="11"/>
      <c r="F130" s="63" t="str">
        <f t="array" ref="F130">IFERROR(INDEX($B$1:$B$247, SMALL(IF($D$1:$D$247=$E$3,ROW($D$1:$D$247)),ROW()-2),1),"")</f>
        <v/>
      </c>
      <c r="G130" s="63" t="str">
        <f t="array" ref="G130">IFERROR(INDEX($C$1:$C$247, SMALL(IF($D$1:$D$247=$E$3,ROW($D$1:$D$247)),ROW()-2),1),"")</f>
        <v/>
      </c>
      <c r="H130" s="64" t="str">
        <f t="array" ref="H130">IFERROR(INDEX($B$1:$B$247, SMALL(IF($D$1:$D$247=$E$4,ROW($D$1:$D$247)),ROW()-2),1),"")</f>
        <v/>
      </c>
      <c r="I130" s="64" t="str">
        <f t="array" ref="I130">IFERROR(INDEX($C$1:$C$247, SMALL(IF($D$1:$D$247=$E$4,ROW($D$1:$D$247)),ROW()-2),1),"")</f>
        <v/>
      </c>
      <c r="J130" s="65" t="str">
        <f t="array" ref="J130">IFERROR(INDEX($B$1:$B$247, SMALL(IF($D$1:$D$247=$E$5,ROW($D$1:$D$247)),ROW()-2),1),"")</f>
        <v/>
      </c>
      <c r="K130" s="65" t="str">
        <f t="array" ref="K130">IFERROR(INDEX($C$1:$C$247, SMALL(IF($D$1:$D$247=$E$5,ROW($D$1:$D$247)),ROW()-2),1),"")</f>
        <v/>
      </c>
    </row>
    <row r="131" spans="1:11" ht="15.75">
      <c r="A131" s="11">
        <f t="shared" ref="A131:A194" ca="1" si="4">RAND()</f>
        <v>0.62791013257949702</v>
      </c>
      <c r="B131" s="60">
        <f>Data!I225</f>
        <v>2.5</v>
      </c>
      <c r="C131" s="60">
        <f>Data!J225</f>
        <v>40.107700000000001</v>
      </c>
      <c r="D131" s="61">
        <f t="array" ref="D131">MOD(ROW(), 3) + 1</f>
        <v>3</v>
      </c>
      <c r="E131" s="11"/>
      <c r="F131" s="63" t="str">
        <f t="array" ref="F131">IFERROR(INDEX($B$1:$B$247, SMALL(IF($D$1:$D$247=$E$3,ROW($D$1:$D$247)),ROW()-2),1),"")</f>
        <v/>
      </c>
      <c r="G131" s="63" t="str">
        <f t="array" ref="G131">IFERROR(INDEX($C$1:$C$247, SMALL(IF($D$1:$D$247=$E$3,ROW($D$1:$D$247)),ROW()-2),1),"")</f>
        <v/>
      </c>
      <c r="H131" s="64" t="str">
        <f t="array" ref="H131">IFERROR(INDEX($B$1:$B$247, SMALL(IF($D$1:$D$247=$E$4,ROW($D$1:$D$247)),ROW()-2),1),"")</f>
        <v/>
      </c>
      <c r="I131" s="64" t="str">
        <f t="array" ref="I131">IFERROR(INDEX($C$1:$C$247, SMALL(IF($D$1:$D$247=$E$4,ROW($D$1:$D$247)),ROW()-2),1),"")</f>
        <v/>
      </c>
      <c r="J131" s="65" t="str">
        <f t="array" ref="J131">IFERROR(INDEX($B$1:$B$247, SMALL(IF($D$1:$D$247=$E$5,ROW($D$1:$D$247)),ROW()-2),1),"")</f>
        <v/>
      </c>
      <c r="K131" s="65" t="str">
        <f t="array" ref="K131">IFERROR(INDEX($C$1:$C$247, SMALL(IF($D$1:$D$247=$E$5,ROW($D$1:$D$247)),ROW()-2),1),"")</f>
        <v/>
      </c>
    </row>
    <row r="132" spans="1:11" ht="15.75">
      <c r="A132" s="11">
        <f t="shared" ca="1" si="4"/>
        <v>0.9671101825613273</v>
      </c>
      <c r="B132" s="60">
        <f>Data!I74</f>
        <v>3</v>
      </c>
      <c r="C132" s="60">
        <f>Data!J74</f>
        <v>35.799999999999997</v>
      </c>
      <c r="D132" s="61">
        <f t="array" ref="D132">MOD(ROW(), 3) + 1</f>
        <v>1</v>
      </c>
      <c r="E132" s="11"/>
      <c r="F132" s="63" t="str">
        <f t="array" ref="F132">IFERROR(INDEX($B$1:$B$247, SMALL(IF($D$1:$D$247=$E$3,ROW($D$1:$D$247)),ROW()-2),1),"")</f>
        <v/>
      </c>
      <c r="G132" s="63" t="str">
        <f t="array" ref="G132">IFERROR(INDEX($C$1:$C$247, SMALL(IF($D$1:$D$247=$E$3,ROW($D$1:$D$247)),ROW()-2),1),"")</f>
        <v/>
      </c>
      <c r="H132" s="64" t="str">
        <f t="array" ref="H132">IFERROR(INDEX($B$1:$B$247, SMALL(IF($D$1:$D$247=$E$4,ROW($D$1:$D$247)),ROW()-2),1),"")</f>
        <v/>
      </c>
      <c r="I132" s="64" t="str">
        <f t="array" ref="I132">IFERROR(INDEX($C$1:$C$247, SMALL(IF($D$1:$D$247=$E$4,ROW($D$1:$D$247)),ROW()-2),1),"")</f>
        <v/>
      </c>
      <c r="J132" s="65" t="str">
        <f t="array" ref="J132">IFERROR(INDEX($B$1:$B$247, SMALL(IF($D$1:$D$247=$E$5,ROW($D$1:$D$247)),ROW()-2),1),"")</f>
        <v/>
      </c>
      <c r="K132" s="65" t="str">
        <f t="array" ref="K132">IFERROR(INDEX($C$1:$C$247, SMALL(IF($D$1:$D$247=$E$5,ROW($D$1:$D$247)),ROW()-2),1),"")</f>
        <v/>
      </c>
    </row>
    <row r="133" spans="1:11" ht="15.75">
      <c r="A133" s="11">
        <f t="shared" ca="1" si="4"/>
        <v>0.15886801730867983</v>
      </c>
      <c r="B133" s="60">
        <f>Data!I246</f>
        <v>2.4</v>
      </c>
      <c r="C133" s="60">
        <f>Data!J246</f>
        <v>56.3</v>
      </c>
      <c r="D133" s="61">
        <f t="array" ref="D133">MOD(ROW(), 3) + 1</f>
        <v>2</v>
      </c>
      <c r="E133" s="11"/>
      <c r="F133" s="63" t="str">
        <f t="array" ref="F133">IFERROR(INDEX($B$1:$B$247, SMALL(IF($D$1:$D$247=$E$3,ROW($D$1:$D$247)),ROW()-2),1),"")</f>
        <v/>
      </c>
      <c r="G133" s="63" t="str">
        <f t="array" ref="G133">IFERROR(INDEX($C$1:$C$247, SMALL(IF($D$1:$D$247=$E$3,ROW($D$1:$D$247)),ROW()-2),1),"")</f>
        <v/>
      </c>
      <c r="H133" s="64" t="str">
        <f t="array" ref="H133">IFERROR(INDEX($B$1:$B$247, SMALL(IF($D$1:$D$247=$E$4,ROW($D$1:$D$247)),ROW()-2),1),"")</f>
        <v/>
      </c>
      <c r="I133" s="64" t="str">
        <f t="array" ref="I133">IFERROR(INDEX($C$1:$C$247, SMALL(IF($D$1:$D$247=$E$4,ROW($D$1:$D$247)),ROW()-2),1),"")</f>
        <v/>
      </c>
      <c r="J133" s="65" t="str">
        <f t="array" ref="J133">IFERROR(INDEX($B$1:$B$247, SMALL(IF($D$1:$D$247=$E$5,ROW($D$1:$D$247)),ROW()-2),1),"")</f>
        <v/>
      </c>
      <c r="K133" s="65" t="str">
        <f t="array" ref="K133">IFERROR(INDEX($C$1:$C$247, SMALL(IF($D$1:$D$247=$E$5,ROW($D$1:$D$247)),ROW()-2),1),"")</f>
        <v/>
      </c>
    </row>
    <row r="134" spans="1:11" ht="15.75">
      <c r="A134" s="11">
        <f t="shared" ca="1" si="4"/>
        <v>0.81940396852363562</v>
      </c>
      <c r="B134" s="60">
        <f>Data!I144</f>
        <v>5</v>
      </c>
      <c r="C134" s="60">
        <f>Data!J144</f>
        <v>25.897200000000002</v>
      </c>
      <c r="D134" s="61">
        <f t="array" ref="D134">MOD(ROW(), 3) + 1</f>
        <v>3</v>
      </c>
      <c r="E134" s="11"/>
      <c r="F134" s="63" t="str">
        <f t="array" ref="F134">IFERROR(INDEX($B$1:$B$247, SMALL(IF($D$1:$D$247=$E$3,ROW($D$1:$D$247)),ROW()-2),1),"")</f>
        <v/>
      </c>
      <c r="G134" s="63" t="str">
        <f t="array" ref="G134">IFERROR(INDEX($C$1:$C$247, SMALL(IF($D$1:$D$247=$E$3,ROW($D$1:$D$247)),ROW()-2),1),"")</f>
        <v/>
      </c>
      <c r="H134" s="64" t="str">
        <f t="array" ref="H134">IFERROR(INDEX($B$1:$B$247, SMALL(IF($D$1:$D$247=$E$4,ROW($D$1:$D$247)),ROW()-2),1),"")</f>
        <v/>
      </c>
      <c r="I134" s="64" t="str">
        <f t="array" ref="I134">IFERROR(INDEX($C$1:$C$247, SMALL(IF($D$1:$D$247=$E$4,ROW($D$1:$D$247)),ROW()-2),1),"")</f>
        <v/>
      </c>
      <c r="J134" s="65" t="str">
        <f t="array" ref="J134">IFERROR(INDEX($B$1:$B$247, SMALL(IF($D$1:$D$247=$E$5,ROW($D$1:$D$247)),ROW()-2),1),"")</f>
        <v/>
      </c>
      <c r="K134" s="65" t="str">
        <f t="array" ref="K134">IFERROR(INDEX($C$1:$C$247, SMALL(IF($D$1:$D$247=$E$5,ROW($D$1:$D$247)),ROW()-2),1),"")</f>
        <v/>
      </c>
    </row>
    <row r="135" spans="1:11" ht="15.75">
      <c r="A135" s="11">
        <f t="shared" ca="1" si="4"/>
        <v>0.83906547966648937</v>
      </c>
      <c r="B135" s="60">
        <f>Data!I109</f>
        <v>3.6</v>
      </c>
      <c r="C135" s="60">
        <f>Data!J109</f>
        <v>37.9</v>
      </c>
      <c r="D135" s="61">
        <f t="array" ref="D135">MOD(ROW(), 3) + 1</f>
        <v>1</v>
      </c>
      <c r="E135" s="11"/>
      <c r="F135" s="63" t="str">
        <f t="array" ref="F135">IFERROR(INDEX($B$1:$B$247, SMALL(IF($D$1:$D$247=$E$3,ROW($D$1:$D$247)),ROW()-2),1),"")</f>
        <v/>
      </c>
      <c r="G135" s="63" t="str">
        <f t="array" ref="G135">IFERROR(INDEX($C$1:$C$247, SMALL(IF($D$1:$D$247=$E$3,ROW($D$1:$D$247)),ROW()-2),1),"")</f>
        <v/>
      </c>
      <c r="H135" s="64" t="str">
        <f t="array" ref="H135">IFERROR(INDEX($B$1:$B$247, SMALL(IF($D$1:$D$247=$E$4,ROW($D$1:$D$247)),ROW()-2),1),"")</f>
        <v/>
      </c>
      <c r="I135" s="64" t="str">
        <f t="array" ref="I135">IFERROR(INDEX($C$1:$C$247, SMALL(IF($D$1:$D$247=$E$4,ROW($D$1:$D$247)),ROW()-2),1),"")</f>
        <v/>
      </c>
      <c r="J135" s="65" t="str">
        <f t="array" ref="J135">IFERROR(INDEX($B$1:$B$247, SMALL(IF($D$1:$D$247=$E$5,ROW($D$1:$D$247)),ROW()-2),1),"")</f>
        <v/>
      </c>
      <c r="K135" s="65" t="str">
        <f t="array" ref="K135">IFERROR(INDEX($C$1:$C$247, SMALL(IF($D$1:$D$247=$E$5,ROW($D$1:$D$247)),ROW()-2),1),"")</f>
        <v/>
      </c>
    </row>
    <row r="136" spans="1:11" ht="15.75">
      <c r="A136" s="11">
        <f t="shared" ca="1" si="4"/>
        <v>0.27698515338831731</v>
      </c>
      <c r="B136" s="60">
        <f>Data!I13</f>
        <v>3.6</v>
      </c>
      <c r="C136" s="60">
        <f>Data!J13</f>
        <v>32.299300000000002</v>
      </c>
      <c r="D136" s="61">
        <f t="array" ref="D136">MOD(ROW(), 3) + 1</f>
        <v>2</v>
      </c>
      <c r="E136" s="11"/>
      <c r="F136" s="63" t="str">
        <f t="array" ref="F136">IFERROR(INDEX($B$1:$B$247, SMALL(IF($D$1:$D$247=$E$3,ROW($D$1:$D$247)),ROW()-2),1),"")</f>
        <v/>
      </c>
      <c r="G136" s="63" t="str">
        <f t="array" ref="G136">IFERROR(INDEX($C$1:$C$247, SMALL(IF($D$1:$D$247=$E$3,ROW($D$1:$D$247)),ROW()-2),1),"")</f>
        <v/>
      </c>
      <c r="H136" s="64" t="str">
        <f t="array" ref="H136">IFERROR(INDEX($B$1:$B$247, SMALL(IF($D$1:$D$247=$E$4,ROW($D$1:$D$247)),ROW()-2),1),"")</f>
        <v/>
      </c>
      <c r="I136" s="64" t="str">
        <f t="array" ref="I136">IFERROR(INDEX($C$1:$C$247, SMALL(IF($D$1:$D$247=$E$4,ROW($D$1:$D$247)),ROW()-2),1),"")</f>
        <v/>
      </c>
      <c r="J136" s="65" t="str">
        <f t="array" ref="J136">IFERROR(INDEX($B$1:$B$247, SMALL(IF($D$1:$D$247=$E$5,ROW($D$1:$D$247)),ROW()-2),1),"")</f>
        <v/>
      </c>
      <c r="K136" s="65" t="str">
        <f t="array" ref="K136">IFERROR(INDEX($C$1:$C$247, SMALL(IF($D$1:$D$247=$E$5,ROW($D$1:$D$247)),ROW()-2),1),"")</f>
        <v/>
      </c>
    </row>
    <row r="137" spans="1:11" ht="15.75">
      <c r="A137" s="11">
        <f t="shared" ca="1" si="4"/>
        <v>0.73645442068183198</v>
      </c>
      <c r="B137" s="60">
        <f>Data!I136</f>
        <v>5</v>
      </c>
      <c r="C137" s="60">
        <f>Data!J136</f>
        <v>28.700900000000001</v>
      </c>
      <c r="D137" s="61">
        <f t="array" ref="D137">MOD(ROW(), 3) + 1</f>
        <v>3</v>
      </c>
      <c r="E137" s="11"/>
      <c r="F137" s="63" t="str">
        <f t="array" ref="F137">IFERROR(INDEX($B$1:$B$247, SMALL(IF($D$1:$D$247=$E$3,ROW($D$1:$D$247)),ROW()-2),1),"")</f>
        <v/>
      </c>
      <c r="G137" s="63" t="str">
        <f t="array" ref="G137">IFERROR(INDEX($C$1:$C$247, SMALL(IF($D$1:$D$247=$E$3,ROW($D$1:$D$247)),ROW()-2),1),"")</f>
        <v/>
      </c>
      <c r="H137" s="64" t="str">
        <f t="array" ref="H137">IFERROR(INDEX($B$1:$B$247, SMALL(IF($D$1:$D$247=$E$4,ROW($D$1:$D$247)),ROW()-2),1),"")</f>
        <v/>
      </c>
      <c r="I137" s="64" t="str">
        <f t="array" ref="I137">IFERROR(INDEX($C$1:$C$247, SMALL(IF($D$1:$D$247=$E$4,ROW($D$1:$D$247)),ROW()-2),1),"")</f>
        <v/>
      </c>
      <c r="J137" s="65" t="str">
        <f t="array" ref="J137">IFERROR(INDEX($B$1:$B$247, SMALL(IF($D$1:$D$247=$E$5,ROW($D$1:$D$247)),ROW()-2),1),"")</f>
        <v/>
      </c>
      <c r="K137" s="65" t="str">
        <f t="array" ref="K137">IFERROR(INDEX($C$1:$C$247, SMALL(IF($D$1:$D$247=$E$5,ROW($D$1:$D$247)),ROW()-2),1),"")</f>
        <v/>
      </c>
    </row>
    <row r="138" spans="1:11" ht="15.75">
      <c r="A138" s="11">
        <f t="shared" ca="1" si="4"/>
        <v>5.6466462099925452E-2</v>
      </c>
      <c r="B138" s="60">
        <f>Data!I47</f>
        <v>2</v>
      </c>
      <c r="C138" s="60">
        <f>Data!J47</f>
        <v>40.9</v>
      </c>
      <c r="D138" s="61">
        <f t="array" ref="D138">MOD(ROW(), 3) + 1</f>
        <v>1</v>
      </c>
      <c r="E138" s="11"/>
      <c r="F138" s="63" t="str">
        <f t="array" ref="F138">IFERROR(INDEX($B$1:$B$247, SMALL(IF($D$1:$D$247=$E$3,ROW($D$1:$D$247)),ROW()-2),1),"")</f>
        <v/>
      </c>
      <c r="G138" s="63" t="str">
        <f t="array" ref="G138">IFERROR(INDEX($C$1:$C$247, SMALL(IF($D$1:$D$247=$E$3,ROW($D$1:$D$247)),ROW()-2),1),"")</f>
        <v/>
      </c>
      <c r="H138" s="64" t="str">
        <f t="array" ref="H138">IFERROR(INDEX($B$1:$B$247, SMALL(IF($D$1:$D$247=$E$4,ROW($D$1:$D$247)),ROW()-2),1),"")</f>
        <v/>
      </c>
      <c r="I138" s="64" t="str">
        <f t="array" ref="I138">IFERROR(INDEX($C$1:$C$247, SMALL(IF($D$1:$D$247=$E$4,ROW($D$1:$D$247)),ROW()-2),1),"")</f>
        <v/>
      </c>
      <c r="J138" s="65" t="str">
        <f t="array" ref="J138">IFERROR(INDEX($B$1:$B$247, SMALL(IF($D$1:$D$247=$E$5,ROW($D$1:$D$247)),ROW()-2),1),"")</f>
        <v/>
      </c>
      <c r="K138" s="65" t="str">
        <f t="array" ref="K138">IFERROR(INDEX($C$1:$C$247, SMALL(IF($D$1:$D$247=$E$5,ROW($D$1:$D$247)),ROW()-2),1),"")</f>
        <v/>
      </c>
    </row>
    <row r="139" spans="1:11" ht="15.75">
      <c r="A139" s="11">
        <f t="shared" ca="1" si="4"/>
        <v>0.32417446972299202</v>
      </c>
      <c r="B139" s="60">
        <f>Data!I162</f>
        <v>4.5999999999999996</v>
      </c>
      <c r="C139" s="60">
        <f>Data!J162</f>
        <v>21.9</v>
      </c>
      <c r="D139" s="61">
        <f t="array" ref="D139">MOD(ROW(), 3) + 1</f>
        <v>2</v>
      </c>
      <c r="E139" s="11"/>
      <c r="F139" s="63" t="str">
        <f t="array" ref="F139">IFERROR(INDEX($B$1:$B$247, SMALL(IF($D$1:$D$247=$E$3,ROW($D$1:$D$247)),ROW()-2),1),"")</f>
        <v/>
      </c>
      <c r="G139" s="63" t="str">
        <f t="array" ref="G139">IFERROR(INDEX($C$1:$C$247, SMALL(IF($D$1:$D$247=$E$3,ROW($D$1:$D$247)),ROW()-2),1),"")</f>
        <v/>
      </c>
      <c r="H139" s="64" t="str">
        <f t="array" ref="H139">IFERROR(INDEX($B$1:$B$247, SMALL(IF($D$1:$D$247=$E$4,ROW($D$1:$D$247)),ROW()-2),1),"")</f>
        <v/>
      </c>
      <c r="I139" s="64" t="str">
        <f t="array" ref="I139">IFERROR(INDEX($C$1:$C$247, SMALL(IF($D$1:$D$247=$E$4,ROW($D$1:$D$247)),ROW()-2),1),"")</f>
        <v/>
      </c>
      <c r="J139" s="65" t="str">
        <f t="array" ref="J139">IFERROR(INDEX($B$1:$B$247, SMALL(IF($D$1:$D$247=$E$5,ROW($D$1:$D$247)),ROW()-2),1),"")</f>
        <v/>
      </c>
      <c r="K139" s="65" t="str">
        <f t="array" ref="K139">IFERROR(INDEX($C$1:$C$247, SMALL(IF($D$1:$D$247=$E$5,ROW($D$1:$D$247)),ROW()-2),1),"")</f>
        <v/>
      </c>
    </row>
    <row r="140" spans="1:11" ht="15.75">
      <c r="A140" s="11">
        <f t="shared" ca="1" si="4"/>
        <v>0.95010250128898688</v>
      </c>
      <c r="B140" s="60">
        <f>Data!I163</f>
        <v>5.4</v>
      </c>
      <c r="C140" s="60">
        <f>Data!J163</f>
        <v>21.2</v>
      </c>
      <c r="D140" s="61">
        <f t="array" ref="D140">MOD(ROW(), 3) + 1</f>
        <v>3</v>
      </c>
      <c r="E140" s="11"/>
      <c r="F140" s="63" t="str">
        <f t="array" ref="F140">IFERROR(INDEX($B$1:$B$247, SMALL(IF($D$1:$D$247=$E$3,ROW($D$1:$D$247)),ROW()-2),1),"")</f>
        <v/>
      </c>
      <c r="G140" s="63" t="str">
        <f t="array" ref="G140">IFERROR(INDEX($C$1:$C$247, SMALL(IF($D$1:$D$247=$E$3,ROW($D$1:$D$247)),ROW()-2),1),"")</f>
        <v/>
      </c>
      <c r="H140" s="64" t="str">
        <f t="array" ref="H140">IFERROR(INDEX($B$1:$B$247, SMALL(IF($D$1:$D$247=$E$4,ROW($D$1:$D$247)),ROW()-2),1),"")</f>
        <v/>
      </c>
      <c r="I140" s="64" t="str">
        <f t="array" ref="I140">IFERROR(INDEX($C$1:$C$247, SMALL(IF($D$1:$D$247=$E$4,ROW($D$1:$D$247)),ROW()-2),1),"")</f>
        <v/>
      </c>
      <c r="J140" s="65" t="str">
        <f t="array" ref="J140">IFERROR(INDEX($B$1:$B$247, SMALL(IF($D$1:$D$247=$E$5,ROW($D$1:$D$247)),ROW()-2),1),"")</f>
        <v/>
      </c>
      <c r="K140" s="65" t="str">
        <f t="array" ref="K140">IFERROR(INDEX($C$1:$C$247, SMALL(IF($D$1:$D$247=$E$5,ROW($D$1:$D$247)),ROW()-2),1),"")</f>
        <v/>
      </c>
    </row>
    <row r="141" spans="1:11" ht="15.75">
      <c r="A141" s="11">
        <f t="shared" ca="1" si="4"/>
        <v>0.25050719237633912</v>
      </c>
      <c r="B141" s="60">
        <f>Data!I209</f>
        <v>5.3</v>
      </c>
      <c r="C141" s="60">
        <f>Data!J209</f>
        <v>29</v>
      </c>
      <c r="D141" s="61">
        <f t="array" ref="D141">MOD(ROW(), 3) + 1</f>
        <v>1</v>
      </c>
      <c r="E141" s="11"/>
      <c r="F141" s="63" t="str">
        <f t="array" ref="F141">IFERROR(INDEX($B$1:$B$247, SMALL(IF($D$1:$D$247=$E$3,ROW($D$1:$D$247)),ROW()-2),1),"")</f>
        <v/>
      </c>
      <c r="G141" s="63" t="str">
        <f t="array" ref="G141">IFERROR(INDEX($C$1:$C$247, SMALL(IF($D$1:$D$247=$E$3,ROW($D$1:$D$247)),ROW()-2),1),"")</f>
        <v/>
      </c>
      <c r="H141" s="64" t="str">
        <f t="array" ref="H141">IFERROR(INDEX($B$1:$B$247, SMALL(IF($D$1:$D$247=$E$4,ROW($D$1:$D$247)),ROW()-2),1),"")</f>
        <v/>
      </c>
      <c r="I141" s="64" t="str">
        <f t="array" ref="I141">IFERROR(INDEX($C$1:$C$247, SMALL(IF($D$1:$D$247=$E$4,ROW($D$1:$D$247)),ROW()-2),1),"")</f>
        <v/>
      </c>
      <c r="J141" s="65" t="str">
        <f t="array" ref="J141">IFERROR(INDEX($B$1:$B$247, SMALL(IF($D$1:$D$247=$E$5,ROW($D$1:$D$247)),ROW()-2),1),"")</f>
        <v/>
      </c>
      <c r="K141" s="65" t="str">
        <f t="array" ref="K141">IFERROR(INDEX($C$1:$C$247, SMALL(IF($D$1:$D$247=$E$5,ROW($D$1:$D$247)),ROW()-2),1),"")</f>
        <v/>
      </c>
    </row>
    <row r="142" spans="1:11" ht="15.75">
      <c r="A142" s="11">
        <f t="shared" ca="1" si="4"/>
        <v>0.47043020682536341</v>
      </c>
      <c r="B142" s="60">
        <f>Data!I127</f>
        <v>3.5</v>
      </c>
      <c r="C142" s="60">
        <f>Data!J127</f>
        <v>32.200000000000003</v>
      </c>
      <c r="D142" s="61">
        <f t="array" ref="D142">MOD(ROW(), 3) + 1</f>
        <v>2</v>
      </c>
      <c r="E142" s="11"/>
      <c r="F142" s="63" t="str">
        <f t="array" ref="F142">IFERROR(INDEX($B$1:$B$247, SMALL(IF($D$1:$D$247=$E$3,ROW($D$1:$D$247)),ROW()-2),1),"")</f>
        <v/>
      </c>
      <c r="G142" s="63" t="str">
        <f t="array" ref="G142">IFERROR(INDEX($C$1:$C$247, SMALL(IF($D$1:$D$247=$E$3,ROW($D$1:$D$247)),ROW()-2),1),"")</f>
        <v/>
      </c>
      <c r="H142" s="64" t="str">
        <f t="array" ref="H142">IFERROR(INDEX($B$1:$B$247, SMALL(IF($D$1:$D$247=$E$4,ROW($D$1:$D$247)),ROW()-2),1),"")</f>
        <v/>
      </c>
      <c r="I142" s="64" t="str">
        <f t="array" ref="I142">IFERROR(INDEX($C$1:$C$247, SMALL(IF($D$1:$D$247=$E$4,ROW($D$1:$D$247)),ROW()-2),1),"")</f>
        <v/>
      </c>
      <c r="J142" s="65" t="str">
        <f t="array" ref="J142">IFERROR(INDEX($B$1:$B$247, SMALL(IF($D$1:$D$247=$E$5,ROW($D$1:$D$247)),ROW()-2),1),"")</f>
        <v/>
      </c>
      <c r="K142" s="65" t="str">
        <f t="array" ref="K142">IFERROR(INDEX($C$1:$C$247, SMALL(IF($D$1:$D$247=$E$5,ROW($D$1:$D$247)),ROW()-2),1),"")</f>
        <v/>
      </c>
    </row>
    <row r="143" spans="1:11" ht="15.75">
      <c r="A143" s="11">
        <f t="shared" ca="1" si="4"/>
        <v>0.81827384835349759</v>
      </c>
      <c r="B143" s="60">
        <f>Data!I61</f>
        <v>2.5</v>
      </c>
      <c r="C143" s="60">
        <f>Data!J61</f>
        <v>43.261699999999998</v>
      </c>
      <c r="D143" s="61">
        <f t="array" ref="D143">MOD(ROW(), 3) + 1</f>
        <v>3</v>
      </c>
      <c r="E143" s="11"/>
      <c r="F143" s="63" t="str">
        <f t="array" ref="F143">IFERROR(INDEX($B$1:$B$247, SMALL(IF($D$1:$D$247=$E$3,ROW($D$1:$D$247)),ROW()-2),1),"")</f>
        <v/>
      </c>
      <c r="G143" s="63" t="str">
        <f t="array" ref="G143">IFERROR(INDEX($C$1:$C$247, SMALL(IF($D$1:$D$247=$E$3,ROW($D$1:$D$247)),ROW()-2),1),"")</f>
        <v/>
      </c>
      <c r="H143" s="64" t="str">
        <f t="array" ref="H143">IFERROR(INDEX($B$1:$B$247, SMALL(IF($D$1:$D$247=$E$4,ROW($D$1:$D$247)),ROW()-2),1),"")</f>
        <v/>
      </c>
      <c r="I143" s="64" t="str">
        <f t="array" ref="I143">IFERROR(INDEX($C$1:$C$247, SMALL(IF($D$1:$D$247=$E$4,ROW($D$1:$D$247)),ROW()-2),1),"")</f>
        <v/>
      </c>
      <c r="J143" s="65" t="str">
        <f t="array" ref="J143">IFERROR(INDEX($B$1:$B$247, SMALL(IF($D$1:$D$247=$E$5,ROW($D$1:$D$247)),ROW()-2),1),"")</f>
        <v/>
      </c>
      <c r="K143" s="65" t="str">
        <f t="array" ref="K143">IFERROR(INDEX($C$1:$C$247, SMALL(IF($D$1:$D$247=$E$5,ROW($D$1:$D$247)),ROW()-2),1),"")</f>
        <v/>
      </c>
    </row>
    <row r="144" spans="1:11" ht="15.75">
      <c r="A144" s="11">
        <f t="shared" ca="1" si="4"/>
        <v>0.29260427941522005</v>
      </c>
      <c r="B144" s="60">
        <f>Data!I115</f>
        <v>3</v>
      </c>
      <c r="C144" s="60">
        <f>Data!J115</f>
        <v>37.425899999999999</v>
      </c>
      <c r="D144" s="61">
        <f t="array" ref="D144">MOD(ROW(), 3) + 1</f>
        <v>1</v>
      </c>
      <c r="E144" s="11"/>
      <c r="F144" s="63" t="str">
        <f t="array" ref="F144">IFERROR(INDEX($B$1:$B$247, SMALL(IF($D$1:$D$247=$E$3,ROW($D$1:$D$247)),ROW()-2),1),"")</f>
        <v/>
      </c>
      <c r="G144" s="63" t="str">
        <f t="array" ref="G144">IFERROR(INDEX($C$1:$C$247, SMALL(IF($D$1:$D$247=$E$3,ROW($D$1:$D$247)),ROW()-2),1),"")</f>
        <v/>
      </c>
      <c r="H144" s="64" t="str">
        <f t="array" ref="H144">IFERROR(INDEX($B$1:$B$247, SMALL(IF($D$1:$D$247=$E$4,ROW($D$1:$D$247)),ROW()-2),1),"")</f>
        <v/>
      </c>
      <c r="I144" s="64" t="str">
        <f t="array" ref="I144">IFERROR(INDEX($C$1:$C$247, SMALL(IF($D$1:$D$247=$E$4,ROW($D$1:$D$247)),ROW()-2),1),"")</f>
        <v/>
      </c>
      <c r="J144" s="65" t="str">
        <f t="array" ref="J144">IFERROR(INDEX($B$1:$B$247, SMALL(IF($D$1:$D$247=$E$5,ROW($D$1:$D$247)),ROW()-2),1),"")</f>
        <v/>
      </c>
      <c r="K144" s="65" t="str">
        <f t="array" ref="K144">IFERROR(INDEX($C$1:$C$247, SMALL(IF($D$1:$D$247=$E$5,ROW($D$1:$D$247)),ROW()-2),1),"")</f>
        <v/>
      </c>
    </row>
    <row r="145" spans="1:11" ht="15.75">
      <c r="A145" s="11">
        <f t="shared" ca="1" si="4"/>
        <v>0.72542779869096141</v>
      </c>
      <c r="B145" s="60">
        <f>Data!I8</f>
        <v>1.5</v>
      </c>
      <c r="C145" s="60">
        <f>Data!J8</f>
        <v>52.2</v>
      </c>
      <c r="D145" s="61">
        <f t="array" ref="D145">MOD(ROW(), 3) + 1</f>
        <v>2</v>
      </c>
      <c r="E145" s="11"/>
      <c r="F145" s="63" t="str">
        <f t="array" ref="F145">IFERROR(INDEX($B$1:$B$247, SMALL(IF($D$1:$D$247=$E$3,ROW($D$1:$D$247)),ROW()-2),1),"")</f>
        <v/>
      </c>
      <c r="G145" s="63" t="str">
        <f t="array" ref="G145">IFERROR(INDEX($C$1:$C$247, SMALL(IF($D$1:$D$247=$E$3,ROW($D$1:$D$247)),ROW()-2),1),"")</f>
        <v/>
      </c>
      <c r="H145" s="64" t="str">
        <f t="array" ref="H145">IFERROR(INDEX($B$1:$B$247, SMALL(IF($D$1:$D$247=$E$4,ROW($D$1:$D$247)),ROW()-2),1),"")</f>
        <v/>
      </c>
      <c r="I145" s="64" t="str">
        <f t="array" ref="I145">IFERROR(INDEX($C$1:$C$247, SMALL(IF($D$1:$D$247=$E$4,ROW($D$1:$D$247)),ROW()-2),1),"")</f>
        <v/>
      </c>
      <c r="J145" s="65" t="str">
        <f t="array" ref="J145">IFERROR(INDEX($B$1:$B$247, SMALL(IF($D$1:$D$247=$E$5,ROW($D$1:$D$247)),ROW()-2),1),"")</f>
        <v/>
      </c>
      <c r="K145" s="65" t="str">
        <f t="array" ref="K145">IFERROR(INDEX($C$1:$C$247, SMALL(IF($D$1:$D$247=$E$5,ROW($D$1:$D$247)),ROW()-2),1),"")</f>
        <v/>
      </c>
    </row>
    <row r="146" spans="1:11" ht="15.75">
      <c r="A146" s="11">
        <f t="shared" ca="1" si="4"/>
        <v>0.2788764375449363</v>
      </c>
      <c r="B146" s="60">
        <f>Data!I133</f>
        <v>3.7</v>
      </c>
      <c r="C146" s="60">
        <f>Data!J133</f>
        <v>31.364100000000001</v>
      </c>
      <c r="D146" s="61">
        <f t="array" ref="D146">MOD(ROW(), 3) + 1</f>
        <v>3</v>
      </c>
      <c r="E146" s="11"/>
      <c r="F146" s="63" t="str">
        <f t="array" ref="F146">IFERROR(INDEX($B$1:$B$247, SMALL(IF($D$1:$D$247=$E$3,ROW($D$1:$D$247)),ROW()-2),1),"")</f>
        <v/>
      </c>
      <c r="G146" s="63" t="str">
        <f t="array" ref="G146">IFERROR(INDEX($C$1:$C$247, SMALL(IF($D$1:$D$247=$E$3,ROW($D$1:$D$247)),ROW()-2),1),"")</f>
        <v/>
      </c>
      <c r="H146" s="64" t="str">
        <f t="array" ref="H146">IFERROR(INDEX($B$1:$B$247, SMALL(IF($D$1:$D$247=$E$4,ROW($D$1:$D$247)),ROW()-2),1),"")</f>
        <v/>
      </c>
      <c r="I146" s="64" t="str">
        <f t="array" ref="I146">IFERROR(INDEX($C$1:$C$247, SMALL(IF($D$1:$D$247=$E$4,ROW($D$1:$D$247)),ROW()-2),1),"")</f>
        <v/>
      </c>
      <c r="J146" s="65" t="str">
        <f t="array" ref="J146">IFERROR(INDEX($B$1:$B$247, SMALL(IF($D$1:$D$247=$E$5,ROW($D$1:$D$247)),ROW()-2),1),"")</f>
        <v/>
      </c>
      <c r="K146" s="65" t="str">
        <f t="array" ref="K146">IFERROR(INDEX($C$1:$C$247, SMALL(IF($D$1:$D$247=$E$5,ROW($D$1:$D$247)),ROW()-2),1),"")</f>
        <v/>
      </c>
    </row>
    <row r="147" spans="1:11" ht="15.75">
      <c r="A147" s="11">
        <f t="shared" ca="1" si="4"/>
        <v>0.61121623495269328</v>
      </c>
      <c r="B147" s="60">
        <f>Data!I222</f>
        <v>2.5</v>
      </c>
      <c r="C147" s="60">
        <f>Data!J222</f>
        <v>32.799999999999997</v>
      </c>
      <c r="D147" s="61">
        <f t="array" ref="D147">MOD(ROW(), 3) + 1</f>
        <v>1</v>
      </c>
      <c r="E147" s="11"/>
      <c r="F147" s="63" t="str">
        <f t="array" ref="F147">IFERROR(INDEX($B$1:$B$247, SMALL(IF($D$1:$D$247=$E$3,ROW($D$1:$D$247)),ROW()-2),1),"")</f>
        <v/>
      </c>
      <c r="G147" s="63" t="str">
        <f t="array" ref="G147">IFERROR(INDEX($C$1:$C$247, SMALL(IF($D$1:$D$247=$E$3,ROW($D$1:$D$247)),ROW()-2),1),"")</f>
        <v/>
      </c>
      <c r="H147" s="64" t="str">
        <f t="array" ref="H147">IFERROR(INDEX($B$1:$B$247, SMALL(IF($D$1:$D$247=$E$4,ROW($D$1:$D$247)),ROW()-2),1),"")</f>
        <v/>
      </c>
      <c r="I147" s="64" t="str">
        <f t="array" ref="I147">IFERROR(INDEX($C$1:$C$247, SMALL(IF($D$1:$D$247=$E$4,ROW($D$1:$D$247)),ROW()-2),1),"")</f>
        <v/>
      </c>
      <c r="J147" s="65" t="str">
        <f t="array" ref="J147">IFERROR(INDEX($B$1:$B$247, SMALL(IF($D$1:$D$247=$E$5,ROW($D$1:$D$247)),ROW()-2),1),"")</f>
        <v/>
      </c>
      <c r="K147" s="65" t="str">
        <f t="array" ref="K147">IFERROR(INDEX($C$1:$C$247, SMALL(IF($D$1:$D$247=$E$5,ROW($D$1:$D$247)),ROW()-2),1),"")</f>
        <v/>
      </c>
    </row>
    <row r="148" spans="1:11" ht="15.75">
      <c r="A148" s="11">
        <f t="shared" ca="1" si="4"/>
        <v>0.68903166306595998</v>
      </c>
      <c r="B148" s="60">
        <f>Data!I6</f>
        <v>5.2</v>
      </c>
      <c r="C148" s="60">
        <f>Data!J6</f>
        <v>23.066700000000001</v>
      </c>
      <c r="D148" s="61">
        <f t="array" ref="D148">MOD(ROW(), 3) + 1</f>
        <v>2</v>
      </c>
      <c r="E148" s="11"/>
      <c r="F148" s="63" t="str">
        <f t="array" ref="F148">IFERROR(INDEX($B$1:$B$247, SMALL(IF($D$1:$D$247=$E$3,ROW($D$1:$D$247)),ROW()-2),1),"")</f>
        <v/>
      </c>
      <c r="G148" s="63" t="str">
        <f t="array" ref="G148">IFERROR(INDEX($C$1:$C$247, SMALL(IF($D$1:$D$247=$E$3,ROW($D$1:$D$247)),ROW()-2),1),"")</f>
        <v/>
      </c>
      <c r="H148" s="64" t="str">
        <f t="array" ref="H148">IFERROR(INDEX($B$1:$B$247, SMALL(IF($D$1:$D$247=$E$4,ROW($D$1:$D$247)),ROW()-2),1),"")</f>
        <v/>
      </c>
      <c r="I148" s="64" t="str">
        <f t="array" ref="I148">IFERROR(INDEX($C$1:$C$247, SMALL(IF($D$1:$D$247=$E$4,ROW($D$1:$D$247)),ROW()-2),1),"")</f>
        <v/>
      </c>
      <c r="J148" s="65" t="str">
        <f t="array" ref="J148">IFERROR(INDEX($B$1:$B$247, SMALL(IF($D$1:$D$247=$E$5,ROW($D$1:$D$247)),ROW()-2),1),"")</f>
        <v/>
      </c>
      <c r="K148" s="65" t="str">
        <f t="array" ref="K148">IFERROR(INDEX($C$1:$C$247, SMALL(IF($D$1:$D$247=$E$5,ROW($D$1:$D$247)),ROW()-2),1),"")</f>
        <v/>
      </c>
    </row>
    <row r="149" spans="1:11" ht="15.75">
      <c r="A149" s="11">
        <f t="shared" ca="1" si="4"/>
        <v>0.51870115061251221</v>
      </c>
      <c r="B149" s="60">
        <f>Data!I224</f>
        <v>2.5</v>
      </c>
      <c r="C149" s="60">
        <f>Data!J224</f>
        <v>37.037799999999997</v>
      </c>
      <c r="D149" s="61">
        <f t="array" ref="D149">MOD(ROW(), 3) + 1</f>
        <v>3</v>
      </c>
      <c r="E149" s="11"/>
      <c r="F149" s="63" t="str">
        <f t="array" ref="F149">IFERROR(INDEX($B$1:$B$247, SMALL(IF($D$1:$D$247=$E$3,ROW($D$1:$D$247)),ROW()-2),1),"")</f>
        <v/>
      </c>
      <c r="G149" s="63" t="str">
        <f t="array" ref="G149">IFERROR(INDEX($C$1:$C$247, SMALL(IF($D$1:$D$247=$E$3,ROW($D$1:$D$247)),ROW()-2),1),"")</f>
        <v/>
      </c>
      <c r="H149" s="64" t="str">
        <f t="array" ref="H149">IFERROR(INDEX($B$1:$B$247, SMALL(IF($D$1:$D$247=$E$4,ROW($D$1:$D$247)),ROW()-2),1),"")</f>
        <v/>
      </c>
      <c r="I149" s="64" t="str">
        <f t="array" ref="I149">IFERROR(INDEX($C$1:$C$247, SMALL(IF($D$1:$D$247=$E$4,ROW($D$1:$D$247)),ROW()-2),1),"")</f>
        <v/>
      </c>
      <c r="J149" s="65" t="str">
        <f t="array" ref="J149">IFERROR(INDEX($B$1:$B$247, SMALL(IF($D$1:$D$247=$E$5,ROW($D$1:$D$247)),ROW()-2),1),"")</f>
        <v/>
      </c>
      <c r="K149" s="65" t="str">
        <f t="array" ref="K149">IFERROR(INDEX($C$1:$C$247, SMALL(IF($D$1:$D$247=$E$5,ROW($D$1:$D$247)),ROW()-2),1),"")</f>
        <v/>
      </c>
    </row>
    <row r="150" spans="1:11" ht="15.75">
      <c r="A150" s="11">
        <f t="shared" ca="1" si="4"/>
        <v>0.51023782221723923</v>
      </c>
      <c r="B150" s="60">
        <f>Data!I20</f>
        <v>3.8</v>
      </c>
      <c r="C150" s="60">
        <f>Data!J20</f>
        <v>37.066600000000001</v>
      </c>
      <c r="D150" s="61">
        <f t="array" ref="D150">MOD(ROW(), 3) + 1</f>
        <v>1</v>
      </c>
      <c r="E150" s="11"/>
      <c r="F150" s="63" t="str">
        <f t="array" ref="F150">IFERROR(INDEX($B$1:$B$247, SMALL(IF($D$1:$D$247=$E$3,ROW($D$1:$D$247)),ROW()-2),1),"")</f>
        <v/>
      </c>
      <c r="G150" s="63" t="str">
        <f t="array" ref="G150">IFERROR(INDEX($C$1:$C$247, SMALL(IF($D$1:$D$247=$E$3,ROW($D$1:$D$247)),ROW()-2),1),"")</f>
        <v/>
      </c>
      <c r="H150" s="64" t="str">
        <f t="array" ref="H150">IFERROR(INDEX($B$1:$B$247, SMALL(IF($D$1:$D$247=$E$4,ROW($D$1:$D$247)),ROW()-2),1),"")</f>
        <v/>
      </c>
      <c r="I150" s="64" t="str">
        <f t="array" ref="I150">IFERROR(INDEX($C$1:$C$247, SMALL(IF($D$1:$D$247=$E$4,ROW($D$1:$D$247)),ROW()-2),1),"")</f>
        <v/>
      </c>
      <c r="J150" s="65" t="str">
        <f t="array" ref="J150">IFERROR(INDEX($B$1:$B$247, SMALL(IF($D$1:$D$247=$E$5,ROW($D$1:$D$247)),ROW()-2),1),"")</f>
        <v/>
      </c>
      <c r="K150" s="65" t="str">
        <f t="array" ref="K150">IFERROR(INDEX($C$1:$C$247, SMALL(IF($D$1:$D$247=$E$5,ROW($D$1:$D$247)),ROW()-2),1),"")</f>
        <v/>
      </c>
    </row>
    <row r="151" spans="1:11" ht="15.75">
      <c r="A151" s="11">
        <f t="shared" ca="1" si="4"/>
        <v>0.89285415981603311</v>
      </c>
      <c r="B151" s="60">
        <f>Data!I134</f>
        <v>3.7</v>
      </c>
      <c r="C151" s="60">
        <f>Data!J134</f>
        <v>31.363900000000001</v>
      </c>
      <c r="D151" s="61">
        <f t="array" ref="D151">MOD(ROW(), 3) + 1</f>
        <v>2</v>
      </c>
      <c r="E151" s="11"/>
      <c r="F151" s="63" t="str">
        <f t="array" ref="F151">IFERROR(INDEX($B$1:$B$247, SMALL(IF($D$1:$D$247=$E$3,ROW($D$1:$D$247)),ROW()-2),1),"")</f>
        <v/>
      </c>
      <c r="G151" s="63" t="str">
        <f t="array" ref="G151">IFERROR(INDEX($C$1:$C$247, SMALL(IF($D$1:$D$247=$E$3,ROW($D$1:$D$247)),ROW()-2),1),"")</f>
        <v/>
      </c>
      <c r="H151" s="64" t="str">
        <f t="array" ref="H151">IFERROR(INDEX($B$1:$B$247, SMALL(IF($D$1:$D$247=$E$4,ROW($D$1:$D$247)),ROW()-2),1),"")</f>
        <v/>
      </c>
      <c r="I151" s="64" t="str">
        <f t="array" ref="I151">IFERROR(INDEX($C$1:$C$247, SMALL(IF($D$1:$D$247=$E$4,ROW($D$1:$D$247)),ROW()-2),1),"")</f>
        <v/>
      </c>
      <c r="J151" s="65" t="str">
        <f t="array" ref="J151">IFERROR(INDEX($B$1:$B$247, SMALL(IF($D$1:$D$247=$E$5,ROW($D$1:$D$247)),ROW()-2),1),"")</f>
        <v/>
      </c>
      <c r="K151" s="65" t="str">
        <f t="array" ref="K151">IFERROR(INDEX($C$1:$C$247, SMALL(IF($D$1:$D$247=$E$5,ROW($D$1:$D$247)),ROW()-2),1),"")</f>
        <v/>
      </c>
    </row>
    <row r="152" spans="1:11" ht="15.75">
      <c r="A152" s="11">
        <f t="shared" ca="1" si="4"/>
        <v>0.11338887584787649</v>
      </c>
      <c r="B152" s="60">
        <f>Data!I96</f>
        <v>2.2999999999999998</v>
      </c>
      <c r="C152" s="60">
        <f>Data!J96</f>
        <v>34.700000000000003</v>
      </c>
      <c r="D152" s="61">
        <f t="array" ref="D152">MOD(ROW(), 3) + 1</f>
        <v>3</v>
      </c>
      <c r="E152" s="11"/>
      <c r="F152" s="63" t="str">
        <f t="array" ref="F152">IFERROR(INDEX($B$1:$B$247, SMALL(IF($D$1:$D$247=$E$3,ROW($D$1:$D$247)),ROW()-2),1),"")</f>
        <v/>
      </c>
      <c r="G152" s="63" t="str">
        <f t="array" ref="G152">IFERROR(INDEX($C$1:$C$247, SMALL(IF($D$1:$D$247=$E$3,ROW($D$1:$D$247)),ROW()-2),1),"")</f>
        <v/>
      </c>
      <c r="H152" s="64" t="str">
        <f t="array" ref="H152">IFERROR(INDEX($B$1:$B$247, SMALL(IF($D$1:$D$247=$E$4,ROW($D$1:$D$247)),ROW()-2),1),"")</f>
        <v/>
      </c>
      <c r="I152" s="64" t="str">
        <f t="array" ref="I152">IFERROR(INDEX($C$1:$C$247, SMALL(IF($D$1:$D$247=$E$4,ROW($D$1:$D$247)),ROW()-2),1),"")</f>
        <v/>
      </c>
      <c r="J152" s="65" t="str">
        <f t="array" ref="J152">IFERROR(INDEX($B$1:$B$247, SMALL(IF($D$1:$D$247=$E$5,ROW($D$1:$D$247)),ROW()-2),1),"")</f>
        <v/>
      </c>
      <c r="K152" s="65" t="str">
        <f t="array" ref="K152">IFERROR(INDEX($C$1:$C$247, SMALL(IF($D$1:$D$247=$E$5,ROW($D$1:$D$247)),ROW()-2),1),"")</f>
        <v/>
      </c>
    </row>
    <row r="153" spans="1:11" ht="15.75">
      <c r="A153" s="11">
        <f t="shared" ca="1" si="4"/>
        <v>0.33496091418209317</v>
      </c>
      <c r="B153" s="60">
        <f>Data!I244</f>
        <v>3</v>
      </c>
      <c r="C153" s="60">
        <f>Data!J244</f>
        <v>31.302499999999998</v>
      </c>
      <c r="D153" s="61">
        <f t="array" ref="D153">MOD(ROW(), 3) + 1</f>
        <v>1</v>
      </c>
      <c r="E153" s="11"/>
      <c r="F153" s="63" t="str">
        <f t="array" ref="F153">IFERROR(INDEX($B$1:$B$247, SMALL(IF($D$1:$D$247=$E$3,ROW($D$1:$D$247)),ROW()-2),1),"")</f>
        <v/>
      </c>
      <c r="G153" s="63" t="str">
        <f t="array" ref="G153">IFERROR(INDEX($C$1:$C$247, SMALL(IF($D$1:$D$247=$E$3,ROW($D$1:$D$247)),ROW()-2),1),"")</f>
        <v/>
      </c>
      <c r="H153" s="64" t="str">
        <f t="array" ref="H153">IFERROR(INDEX($B$1:$B$247, SMALL(IF($D$1:$D$247=$E$4,ROW($D$1:$D$247)),ROW()-2),1),"")</f>
        <v/>
      </c>
      <c r="I153" s="64" t="str">
        <f t="array" ref="I153">IFERROR(INDEX($C$1:$C$247, SMALL(IF($D$1:$D$247=$E$4,ROW($D$1:$D$247)),ROW()-2),1),"")</f>
        <v/>
      </c>
      <c r="J153" s="65" t="str">
        <f t="array" ref="J153">IFERROR(INDEX($B$1:$B$247, SMALL(IF($D$1:$D$247=$E$5,ROW($D$1:$D$247)),ROW()-2),1),"")</f>
        <v/>
      </c>
      <c r="K153" s="65" t="str">
        <f t="array" ref="K153">IFERROR(INDEX($C$1:$C$247, SMALL(IF($D$1:$D$247=$E$5,ROW($D$1:$D$247)),ROW()-2),1),"")</f>
        <v/>
      </c>
    </row>
    <row r="154" spans="1:11" ht="15.75">
      <c r="A154" s="11">
        <f t="shared" ca="1" si="4"/>
        <v>0.75770698180450324</v>
      </c>
      <c r="B154" s="60">
        <f>Data!I157</f>
        <v>6</v>
      </c>
      <c r="C154" s="60">
        <f>Data!J157</f>
        <v>21.473400000000002</v>
      </c>
      <c r="D154" s="61">
        <f t="array" ref="D154">MOD(ROW(), 3) + 1</f>
        <v>2</v>
      </c>
      <c r="E154" s="11"/>
      <c r="F154" s="63" t="str">
        <f t="array" ref="F154">IFERROR(INDEX($B$1:$B$247, SMALL(IF($D$1:$D$247=$E$3,ROW($D$1:$D$247)),ROW()-2),1),"")</f>
        <v/>
      </c>
      <c r="G154" s="63" t="str">
        <f t="array" ref="G154">IFERROR(INDEX($C$1:$C$247, SMALL(IF($D$1:$D$247=$E$3,ROW($D$1:$D$247)),ROW()-2),1),"")</f>
        <v/>
      </c>
      <c r="H154" s="64" t="str">
        <f t="array" ref="H154">IFERROR(INDEX($B$1:$B$247, SMALL(IF($D$1:$D$247=$E$4,ROW($D$1:$D$247)),ROW()-2),1),"")</f>
        <v/>
      </c>
      <c r="I154" s="64" t="str">
        <f t="array" ref="I154">IFERROR(INDEX($C$1:$C$247, SMALL(IF($D$1:$D$247=$E$4,ROW($D$1:$D$247)),ROW()-2),1),"")</f>
        <v/>
      </c>
      <c r="J154" s="65" t="str">
        <f t="array" ref="J154">IFERROR(INDEX($B$1:$B$247, SMALL(IF($D$1:$D$247=$E$5,ROW($D$1:$D$247)),ROW()-2),1),"")</f>
        <v/>
      </c>
      <c r="K154" s="65" t="str">
        <f t="array" ref="K154">IFERROR(INDEX($C$1:$C$247, SMALL(IF($D$1:$D$247=$E$5,ROW($D$1:$D$247)),ROW()-2),1),"")</f>
        <v/>
      </c>
    </row>
    <row r="155" spans="1:11" ht="15.75">
      <c r="A155" s="11">
        <f t="shared" ca="1" si="4"/>
        <v>0.99432620983075681</v>
      </c>
      <c r="B155" s="60">
        <f>Data!I80</f>
        <v>3.6</v>
      </c>
      <c r="C155" s="60">
        <f>Data!J80</f>
        <v>36.1</v>
      </c>
      <c r="D155" s="61">
        <f t="array" ref="D155">MOD(ROW(), 3) + 1</f>
        <v>3</v>
      </c>
      <c r="E155" s="11"/>
      <c r="F155" s="63" t="str">
        <f t="array" ref="F155">IFERROR(INDEX($B$1:$B$247, SMALL(IF($D$1:$D$247=$E$3,ROW($D$1:$D$247)),ROW()-2),1),"")</f>
        <v/>
      </c>
      <c r="G155" s="63" t="str">
        <f t="array" ref="G155">IFERROR(INDEX($C$1:$C$247, SMALL(IF($D$1:$D$247=$E$3,ROW($D$1:$D$247)),ROW()-2),1),"")</f>
        <v/>
      </c>
      <c r="H155" s="64" t="str">
        <f t="array" ref="H155">IFERROR(INDEX($B$1:$B$247, SMALL(IF($D$1:$D$247=$E$4,ROW($D$1:$D$247)),ROW()-2),1),"")</f>
        <v/>
      </c>
      <c r="I155" s="64" t="str">
        <f t="array" ref="I155">IFERROR(INDEX($C$1:$C$247, SMALL(IF($D$1:$D$247=$E$4,ROW($D$1:$D$247)),ROW()-2),1),"")</f>
        <v/>
      </c>
      <c r="J155" s="65" t="str">
        <f t="array" ref="J155">IFERROR(INDEX($B$1:$B$247, SMALL(IF($D$1:$D$247=$E$5,ROW($D$1:$D$247)),ROW()-2),1),"")</f>
        <v/>
      </c>
      <c r="K155" s="65" t="str">
        <f t="array" ref="K155">IFERROR(INDEX($C$1:$C$247, SMALL(IF($D$1:$D$247=$E$5,ROW($D$1:$D$247)),ROW()-2),1),"")</f>
        <v/>
      </c>
    </row>
    <row r="156" spans="1:11" ht="15.75">
      <c r="A156" s="11">
        <f t="shared" ca="1" si="4"/>
        <v>0.60118919941480886</v>
      </c>
      <c r="B156" s="60">
        <f>Data!I15</f>
        <v>3.4</v>
      </c>
      <c r="C156" s="60">
        <f>Data!J15</f>
        <v>41.347000000000001</v>
      </c>
      <c r="D156" s="61">
        <f t="array" ref="D156">MOD(ROW(), 3) + 1</f>
        <v>1</v>
      </c>
      <c r="E156" s="11"/>
      <c r="F156" s="63" t="str">
        <f t="array" ref="F156">IFERROR(INDEX($B$1:$B$247, SMALL(IF($D$1:$D$247=$E$3,ROW($D$1:$D$247)),ROW()-2),1),"")</f>
        <v/>
      </c>
      <c r="G156" s="63" t="str">
        <f t="array" ref="G156">IFERROR(INDEX($C$1:$C$247, SMALL(IF($D$1:$D$247=$E$3,ROW($D$1:$D$247)),ROW()-2),1),"")</f>
        <v/>
      </c>
      <c r="H156" s="64" t="str">
        <f t="array" ref="H156">IFERROR(INDEX($B$1:$B$247, SMALL(IF($D$1:$D$247=$E$4,ROW($D$1:$D$247)),ROW()-2),1),"")</f>
        <v/>
      </c>
      <c r="I156" s="64" t="str">
        <f t="array" ref="I156">IFERROR(INDEX($C$1:$C$247, SMALL(IF($D$1:$D$247=$E$4,ROW($D$1:$D$247)),ROW()-2),1),"")</f>
        <v/>
      </c>
      <c r="J156" s="65" t="str">
        <f t="array" ref="J156">IFERROR(INDEX($B$1:$B$247, SMALL(IF($D$1:$D$247=$E$5,ROW($D$1:$D$247)),ROW()-2),1),"")</f>
        <v/>
      </c>
      <c r="K156" s="65" t="str">
        <f t="array" ref="K156">IFERROR(INDEX($C$1:$C$247, SMALL(IF($D$1:$D$247=$E$5,ROW($D$1:$D$247)),ROW()-2),1),"")</f>
        <v/>
      </c>
    </row>
    <row r="157" spans="1:11" ht="15.75">
      <c r="A157" s="11">
        <f t="shared" ca="1" si="4"/>
        <v>0.47590652272598366</v>
      </c>
      <c r="B157" s="60">
        <f>Data!I230</f>
        <v>1.8</v>
      </c>
      <c r="C157" s="60">
        <f>Data!J230</f>
        <v>49.1</v>
      </c>
      <c r="D157" s="61">
        <f t="array" ref="D157">MOD(ROW(), 3) + 1</f>
        <v>2</v>
      </c>
      <c r="E157" s="11"/>
      <c r="F157" s="63" t="str">
        <f t="array" ref="F157">IFERROR(INDEX($B$1:$B$247, SMALL(IF($D$1:$D$247=$E$3,ROW($D$1:$D$247)),ROW()-2),1),"")</f>
        <v/>
      </c>
      <c r="G157" s="63" t="str">
        <f t="array" ref="G157">IFERROR(INDEX($C$1:$C$247, SMALL(IF($D$1:$D$247=$E$3,ROW($D$1:$D$247)),ROW()-2),1),"")</f>
        <v/>
      </c>
      <c r="H157" s="64" t="str">
        <f t="array" ref="H157">IFERROR(INDEX($B$1:$B$247, SMALL(IF($D$1:$D$247=$E$4,ROW($D$1:$D$247)),ROW()-2),1),"")</f>
        <v/>
      </c>
      <c r="I157" s="64" t="str">
        <f t="array" ref="I157">IFERROR(INDEX($C$1:$C$247, SMALL(IF($D$1:$D$247=$E$4,ROW($D$1:$D$247)),ROW()-2),1),"")</f>
        <v/>
      </c>
      <c r="J157" s="65" t="str">
        <f t="array" ref="J157">IFERROR(INDEX($B$1:$B$247, SMALL(IF($D$1:$D$247=$E$5,ROW($D$1:$D$247)),ROW()-2),1),"")</f>
        <v/>
      </c>
      <c r="K157" s="65" t="str">
        <f t="array" ref="K157">IFERROR(INDEX($C$1:$C$247, SMALL(IF($D$1:$D$247=$E$5,ROW($D$1:$D$247)),ROW()-2),1),"")</f>
        <v/>
      </c>
    </row>
    <row r="158" spans="1:11" ht="15.75">
      <c r="A158" s="11">
        <f t="shared" ca="1" si="4"/>
        <v>0.94252608047135089</v>
      </c>
      <c r="B158" s="60">
        <f>Data!I148</f>
        <v>6</v>
      </c>
      <c r="C158" s="60">
        <f>Data!J148</f>
        <v>21.473400000000002</v>
      </c>
      <c r="D158" s="61">
        <f t="array" ref="D158">MOD(ROW(), 3) + 1</f>
        <v>3</v>
      </c>
      <c r="E158" s="11"/>
      <c r="F158" s="63" t="str">
        <f t="array" ref="F158">IFERROR(INDEX($B$1:$B$247, SMALL(IF($D$1:$D$247=$E$3,ROW($D$1:$D$247)),ROW()-2),1),"")</f>
        <v/>
      </c>
      <c r="G158" s="63" t="str">
        <f t="array" ref="G158">IFERROR(INDEX($C$1:$C$247, SMALL(IF($D$1:$D$247=$E$3,ROW($D$1:$D$247)),ROW()-2),1),"")</f>
        <v/>
      </c>
      <c r="H158" s="64" t="str">
        <f t="array" ref="H158">IFERROR(INDEX($B$1:$B$247, SMALL(IF($D$1:$D$247=$E$4,ROW($D$1:$D$247)),ROW()-2),1),"")</f>
        <v/>
      </c>
      <c r="I158" s="64" t="str">
        <f t="array" ref="I158">IFERROR(INDEX($C$1:$C$247, SMALL(IF($D$1:$D$247=$E$4,ROW($D$1:$D$247)),ROW()-2),1),"")</f>
        <v/>
      </c>
      <c r="J158" s="65" t="str">
        <f t="array" ref="J158">IFERROR(INDEX($B$1:$B$247, SMALL(IF($D$1:$D$247=$E$5,ROW($D$1:$D$247)),ROW()-2),1),"")</f>
        <v/>
      </c>
      <c r="K158" s="65" t="str">
        <f t="array" ref="K158">IFERROR(INDEX($C$1:$C$247, SMALL(IF($D$1:$D$247=$E$5,ROW($D$1:$D$247)),ROW()-2),1),"")</f>
        <v/>
      </c>
    </row>
    <row r="159" spans="1:11" ht="15.75">
      <c r="A159" s="11">
        <f t="shared" ca="1" si="4"/>
        <v>0.19230329928560319</v>
      </c>
      <c r="B159" s="60">
        <f>Data!I102</f>
        <v>3</v>
      </c>
      <c r="C159" s="60">
        <f>Data!J102</f>
        <v>35.496600000000001</v>
      </c>
      <c r="D159" s="61">
        <f t="array" ref="D159">MOD(ROW(), 3) + 1</f>
        <v>1</v>
      </c>
      <c r="E159" s="11"/>
      <c r="F159" s="63" t="str">
        <f t="array" ref="F159">IFERROR(INDEX($B$1:$B$247, SMALL(IF($D$1:$D$247=$E$3,ROW($D$1:$D$247)),ROW()-2),1),"")</f>
        <v/>
      </c>
      <c r="G159" s="63" t="str">
        <f t="array" ref="G159">IFERROR(INDEX($C$1:$C$247, SMALL(IF($D$1:$D$247=$E$3,ROW($D$1:$D$247)),ROW()-2),1),"")</f>
        <v/>
      </c>
      <c r="H159" s="64" t="str">
        <f t="array" ref="H159">IFERROR(INDEX($B$1:$B$247, SMALL(IF($D$1:$D$247=$E$4,ROW($D$1:$D$247)),ROW()-2),1),"")</f>
        <v/>
      </c>
      <c r="I159" s="64" t="str">
        <f t="array" ref="I159">IFERROR(INDEX($C$1:$C$247, SMALL(IF($D$1:$D$247=$E$4,ROW($D$1:$D$247)),ROW()-2),1),"")</f>
        <v/>
      </c>
      <c r="J159" s="65" t="str">
        <f t="array" ref="J159">IFERROR(INDEX($B$1:$B$247, SMALL(IF($D$1:$D$247=$E$5,ROW($D$1:$D$247)),ROW()-2),1),"")</f>
        <v/>
      </c>
      <c r="K159" s="65" t="str">
        <f t="array" ref="K159">IFERROR(INDEX($C$1:$C$247, SMALL(IF($D$1:$D$247=$E$5,ROW($D$1:$D$247)),ROW()-2),1),"")</f>
        <v/>
      </c>
    </row>
    <row r="160" spans="1:11" ht="15.75">
      <c r="A160" s="11">
        <f t="shared" ca="1" si="4"/>
        <v>0.27950236664455974</v>
      </c>
      <c r="B160" s="60">
        <f>Data!I3</f>
        <v>4.2</v>
      </c>
      <c r="C160" s="60">
        <f>Data!J3</f>
        <v>26.767800000000001</v>
      </c>
      <c r="D160" s="61">
        <f t="array" ref="D160">MOD(ROW(), 3) + 1</f>
        <v>2</v>
      </c>
      <c r="E160" s="11"/>
      <c r="F160" s="63" t="str">
        <f t="array" ref="F160">IFERROR(INDEX($B$1:$B$247, SMALL(IF($D$1:$D$247=$E$3,ROW($D$1:$D$247)),ROW()-2),1),"")</f>
        <v/>
      </c>
      <c r="G160" s="63" t="str">
        <f t="array" ref="G160">IFERROR(INDEX($C$1:$C$247, SMALL(IF($D$1:$D$247=$E$3,ROW($D$1:$D$247)),ROW()-2),1),"")</f>
        <v/>
      </c>
      <c r="H160" s="64" t="str">
        <f t="array" ref="H160">IFERROR(INDEX($B$1:$B$247, SMALL(IF($D$1:$D$247=$E$4,ROW($D$1:$D$247)),ROW()-2),1),"")</f>
        <v/>
      </c>
      <c r="I160" s="64" t="str">
        <f t="array" ref="I160">IFERROR(INDEX($C$1:$C$247, SMALL(IF($D$1:$D$247=$E$4,ROW($D$1:$D$247)),ROW()-2),1),"")</f>
        <v/>
      </c>
      <c r="J160" s="65" t="str">
        <f t="array" ref="J160">IFERROR(INDEX($B$1:$B$247, SMALL(IF($D$1:$D$247=$E$5,ROW($D$1:$D$247)),ROW()-2),1),"")</f>
        <v/>
      </c>
      <c r="K160" s="65" t="str">
        <f t="array" ref="K160">IFERROR(INDEX($C$1:$C$247, SMALL(IF($D$1:$D$247=$E$5,ROW($D$1:$D$247)),ROW()-2),1),"")</f>
        <v/>
      </c>
    </row>
    <row r="161" spans="1:11" ht="15.75">
      <c r="A161" s="11">
        <f t="shared" ca="1" si="4"/>
        <v>0.33005124301222044</v>
      </c>
      <c r="B161" s="60">
        <f>Data!I167</f>
        <v>6</v>
      </c>
      <c r="C161" s="60">
        <f>Data!J167</f>
        <v>21.8</v>
      </c>
      <c r="D161" s="61">
        <f t="array" ref="D161">MOD(ROW(), 3) + 1</f>
        <v>3</v>
      </c>
      <c r="E161" s="11"/>
      <c r="F161" s="63" t="str">
        <f t="array" ref="F161">IFERROR(INDEX($B$1:$B$247, SMALL(IF($D$1:$D$247=$E$3,ROW($D$1:$D$247)),ROW()-2),1),"")</f>
        <v/>
      </c>
      <c r="G161" s="63" t="str">
        <f t="array" ref="G161">IFERROR(INDEX($C$1:$C$247, SMALL(IF($D$1:$D$247=$E$3,ROW($D$1:$D$247)),ROW()-2),1),"")</f>
        <v/>
      </c>
      <c r="H161" s="64" t="str">
        <f t="array" ref="H161">IFERROR(INDEX($B$1:$B$247, SMALL(IF($D$1:$D$247=$E$4,ROW($D$1:$D$247)),ROW()-2),1),"")</f>
        <v/>
      </c>
      <c r="I161" s="64" t="str">
        <f t="array" ref="I161">IFERROR(INDEX($C$1:$C$247, SMALL(IF($D$1:$D$247=$E$4,ROW($D$1:$D$247)),ROW()-2),1),"")</f>
        <v/>
      </c>
      <c r="J161" s="65" t="str">
        <f t="array" ref="J161">IFERROR(INDEX($B$1:$B$247, SMALL(IF($D$1:$D$247=$E$5,ROW($D$1:$D$247)),ROW()-2),1),"")</f>
        <v/>
      </c>
      <c r="K161" s="65" t="str">
        <f t="array" ref="K161">IFERROR(INDEX($C$1:$C$247, SMALL(IF($D$1:$D$247=$E$5,ROW($D$1:$D$247)),ROW()-2),1),"")</f>
        <v/>
      </c>
    </row>
    <row r="162" spans="1:11" ht="15.75">
      <c r="A162" s="11">
        <f t="shared" ca="1" si="4"/>
        <v>0.5343031109651093</v>
      </c>
      <c r="B162" s="60">
        <f>Data!I217</f>
        <v>3</v>
      </c>
      <c r="C162" s="60">
        <f>Data!J217</f>
        <v>31.5</v>
      </c>
      <c r="D162" s="61">
        <f t="array" ref="D162">MOD(ROW(), 3) + 1</f>
        <v>1</v>
      </c>
      <c r="E162" s="11"/>
      <c r="F162" s="63" t="str">
        <f t="array" ref="F162">IFERROR(INDEX($B$1:$B$247, SMALL(IF($D$1:$D$247=$E$3,ROW($D$1:$D$247)),ROW()-2),1),"")</f>
        <v/>
      </c>
      <c r="G162" s="63" t="str">
        <f t="array" ref="G162">IFERROR(INDEX($C$1:$C$247, SMALL(IF($D$1:$D$247=$E$3,ROW($D$1:$D$247)),ROW()-2),1),"")</f>
        <v/>
      </c>
      <c r="H162" s="64" t="str">
        <f t="array" ref="H162">IFERROR(INDEX($B$1:$B$247, SMALL(IF($D$1:$D$247=$E$4,ROW($D$1:$D$247)),ROW()-2),1),"")</f>
        <v/>
      </c>
      <c r="I162" s="64" t="str">
        <f t="array" ref="I162">IFERROR(INDEX($C$1:$C$247, SMALL(IF($D$1:$D$247=$E$4,ROW($D$1:$D$247)),ROW()-2),1),"")</f>
        <v/>
      </c>
      <c r="J162" s="65" t="str">
        <f t="array" ref="J162">IFERROR(INDEX($B$1:$B$247, SMALL(IF($D$1:$D$247=$E$5,ROW($D$1:$D$247)),ROW()-2),1),"")</f>
        <v/>
      </c>
      <c r="K162" s="65" t="str">
        <f t="array" ref="K162">IFERROR(INDEX($C$1:$C$247, SMALL(IF($D$1:$D$247=$E$5,ROW($D$1:$D$247)),ROW()-2),1),"")</f>
        <v/>
      </c>
    </row>
    <row r="163" spans="1:11" ht="15.75">
      <c r="A163" s="11">
        <f t="shared" ca="1" si="4"/>
        <v>0.41329971081065309</v>
      </c>
      <c r="B163" s="60">
        <f>Data!I86</f>
        <v>3.6</v>
      </c>
      <c r="C163" s="60">
        <f>Data!J86</f>
        <v>40.5</v>
      </c>
      <c r="D163" s="61">
        <f t="array" ref="D163">MOD(ROW(), 3) + 1</f>
        <v>2</v>
      </c>
      <c r="E163" s="11"/>
      <c r="F163" s="63" t="str">
        <f t="array" ref="F163">IFERROR(INDEX($B$1:$B$247, SMALL(IF($D$1:$D$247=$E$3,ROW($D$1:$D$247)),ROW()-2),1),"")</f>
        <v/>
      </c>
      <c r="G163" s="63" t="str">
        <f t="array" ref="G163">IFERROR(INDEX($C$1:$C$247, SMALL(IF($D$1:$D$247=$E$3,ROW($D$1:$D$247)),ROW()-2),1),"")</f>
        <v/>
      </c>
      <c r="H163" s="64" t="str">
        <f t="array" ref="H163">IFERROR(INDEX($B$1:$B$247, SMALL(IF($D$1:$D$247=$E$4,ROW($D$1:$D$247)),ROW()-2),1),"")</f>
        <v/>
      </c>
      <c r="I163" s="64" t="str">
        <f t="array" ref="I163">IFERROR(INDEX($C$1:$C$247, SMALL(IF($D$1:$D$247=$E$4,ROW($D$1:$D$247)),ROW()-2),1),"")</f>
        <v/>
      </c>
      <c r="J163" s="65" t="str">
        <f t="array" ref="J163">IFERROR(INDEX($B$1:$B$247, SMALL(IF($D$1:$D$247=$E$5,ROW($D$1:$D$247)),ROW()-2),1),"")</f>
        <v/>
      </c>
      <c r="K163" s="65" t="str">
        <f t="array" ref="K163">IFERROR(INDEX($C$1:$C$247, SMALL(IF($D$1:$D$247=$E$5,ROW($D$1:$D$247)),ROW()-2),1),"")</f>
        <v/>
      </c>
    </row>
    <row r="164" spans="1:11" ht="15.75">
      <c r="A164" s="11">
        <f t="shared" ca="1" si="4"/>
        <v>7.3140770736522698E-2</v>
      </c>
      <c r="B164" s="60">
        <f>Data!I200</f>
        <v>5.3</v>
      </c>
      <c r="C164" s="60">
        <f>Data!J200</f>
        <v>29</v>
      </c>
      <c r="D164" s="61">
        <f t="array" ref="D164">MOD(ROW(), 3) + 1</f>
        <v>3</v>
      </c>
      <c r="E164" s="11"/>
      <c r="F164" s="63" t="str">
        <f t="array" ref="F164">IFERROR(INDEX($B$1:$B$247, SMALL(IF($D$1:$D$247=$E$3,ROW($D$1:$D$247)),ROW()-2),1),"")</f>
        <v/>
      </c>
      <c r="G164" s="63" t="str">
        <f t="array" ref="G164">IFERROR(INDEX($C$1:$C$247, SMALL(IF($D$1:$D$247=$E$3,ROW($D$1:$D$247)),ROW()-2),1),"")</f>
        <v/>
      </c>
      <c r="H164" s="64" t="str">
        <f t="array" ref="H164">IFERROR(INDEX($B$1:$B$247, SMALL(IF($D$1:$D$247=$E$4,ROW($D$1:$D$247)),ROW()-2),1),"")</f>
        <v/>
      </c>
      <c r="I164" s="64" t="str">
        <f t="array" ref="I164">IFERROR(INDEX($C$1:$C$247, SMALL(IF($D$1:$D$247=$E$4,ROW($D$1:$D$247)),ROW()-2),1),"")</f>
        <v/>
      </c>
      <c r="J164" s="65" t="str">
        <f t="array" ref="J164">IFERROR(INDEX($B$1:$B$247, SMALL(IF($D$1:$D$247=$E$5,ROW($D$1:$D$247)),ROW()-2),1),"")</f>
        <v/>
      </c>
      <c r="K164" s="65" t="str">
        <f t="array" ref="K164">IFERROR(INDEX($C$1:$C$247, SMALL(IF($D$1:$D$247=$E$5,ROW($D$1:$D$247)),ROW()-2),1),"")</f>
        <v/>
      </c>
    </row>
    <row r="165" spans="1:11" ht="15.75">
      <c r="A165" s="11">
        <f t="shared" ca="1" si="4"/>
        <v>0.91770513940425813</v>
      </c>
      <c r="B165" s="60">
        <f>Data!I164</f>
        <v>6.8</v>
      </c>
      <c r="C165" s="60">
        <f>Data!J164</f>
        <v>17.7</v>
      </c>
      <c r="D165" s="61">
        <f t="array" ref="D165">MOD(ROW(), 3) + 1</f>
        <v>1</v>
      </c>
      <c r="E165" s="11"/>
      <c r="F165" s="63" t="str">
        <f t="array" ref="F165">IFERROR(INDEX($B$1:$B$247, SMALL(IF($D$1:$D$247=$E$3,ROW($D$1:$D$247)),ROW()-2),1),"")</f>
        <v/>
      </c>
      <c r="G165" s="63" t="str">
        <f t="array" ref="G165">IFERROR(INDEX($C$1:$C$247, SMALL(IF($D$1:$D$247=$E$3,ROW($D$1:$D$247)),ROW()-2),1),"")</f>
        <v/>
      </c>
      <c r="H165" s="64" t="str">
        <f t="array" ref="H165">IFERROR(INDEX($B$1:$B$247, SMALL(IF($D$1:$D$247=$E$4,ROW($D$1:$D$247)),ROW()-2),1),"")</f>
        <v/>
      </c>
      <c r="I165" s="64" t="str">
        <f t="array" ref="I165">IFERROR(INDEX($C$1:$C$247, SMALL(IF($D$1:$D$247=$E$4,ROW($D$1:$D$247)),ROW()-2),1),"")</f>
        <v/>
      </c>
      <c r="J165" s="65" t="str">
        <f t="array" ref="J165">IFERROR(INDEX($B$1:$B$247, SMALL(IF($D$1:$D$247=$E$5,ROW($D$1:$D$247)),ROW()-2),1),"")</f>
        <v/>
      </c>
      <c r="K165" s="65" t="str">
        <f t="array" ref="K165">IFERROR(INDEX($C$1:$C$247, SMALL(IF($D$1:$D$247=$E$5,ROW($D$1:$D$247)),ROW()-2),1),"")</f>
        <v/>
      </c>
    </row>
    <row r="166" spans="1:11" ht="15.75">
      <c r="A166" s="11">
        <f t="shared" ca="1" si="4"/>
        <v>0.58738099571037661</v>
      </c>
      <c r="B166" s="60">
        <f>Data!I72</f>
        <v>2.5</v>
      </c>
      <c r="C166" s="60">
        <f>Data!J72</f>
        <v>44.515900000000002</v>
      </c>
      <c r="D166" s="61">
        <f t="array" ref="D166">MOD(ROW(), 3) + 1</f>
        <v>2</v>
      </c>
      <c r="E166" s="11"/>
      <c r="F166" s="63" t="str">
        <f t="array" ref="F166">IFERROR(INDEX($B$1:$B$247, SMALL(IF($D$1:$D$247=$E$3,ROW($D$1:$D$247)),ROW()-2),1),"")</f>
        <v/>
      </c>
      <c r="G166" s="63" t="str">
        <f t="array" ref="G166">IFERROR(INDEX($C$1:$C$247, SMALL(IF($D$1:$D$247=$E$3,ROW($D$1:$D$247)),ROW()-2),1),"")</f>
        <v/>
      </c>
      <c r="H166" s="64" t="str">
        <f t="array" ref="H166">IFERROR(INDEX($B$1:$B$247, SMALL(IF($D$1:$D$247=$E$4,ROW($D$1:$D$247)),ROW()-2),1),"")</f>
        <v/>
      </c>
      <c r="I166" s="64" t="str">
        <f t="array" ref="I166">IFERROR(INDEX($C$1:$C$247, SMALL(IF($D$1:$D$247=$E$4,ROW($D$1:$D$247)),ROW()-2),1),"")</f>
        <v/>
      </c>
      <c r="J166" s="65" t="str">
        <f t="array" ref="J166">IFERROR(INDEX($B$1:$B$247, SMALL(IF($D$1:$D$247=$E$5,ROW($D$1:$D$247)),ROW()-2),1),"")</f>
        <v/>
      </c>
      <c r="K166" s="65" t="str">
        <f t="array" ref="K166">IFERROR(INDEX($C$1:$C$247, SMALL(IF($D$1:$D$247=$E$5,ROW($D$1:$D$247)),ROW()-2),1),"")</f>
        <v/>
      </c>
    </row>
    <row r="167" spans="1:11" ht="15.75">
      <c r="A167" s="11">
        <f t="shared" ca="1" si="4"/>
        <v>0.2856593743462903</v>
      </c>
      <c r="B167" s="60">
        <f>Data!I35</f>
        <v>5.5</v>
      </c>
      <c r="C167" s="60">
        <f>Data!J35</f>
        <v>31.7</v>
      </c>
      <c r="D167" s="61">
        <f t="array" ref="D167">MOD(ROW(), 3) + 1</f>
        <v>3</v>
      </c>
      <c r="E167" s="11"/>
      <c r="F167" s="63" t="str">
        <f t="array" ref="F167">IFERROR(INDEX($B$1:$B$247, SMALL(IF($D$1:$D$247=$E$3,ROW($D$1:$D$247)),ROW()-2),1),"")</f>
        <v/>
      </c>
      <c r="G167" s="63" t="str">
        <f t="array" ref="G167">IFERROR(INDEX($C$1:$C$247, SMALL(IF($D$1:$D$247=$E$3,ROW($D$1:$D$247)),ROW()-2),1),"")</f>
        <v/>
      </c>
      <c r="H167" s="64" t="str">
        <f t="array" ref="H167">IFERROR(INDEX($B$1:$B$247, SMALL(IF($D$1:$D$247=$E$4,ROW($D$1:$D$247)),ROW()-2),1),"")</f>
        <v/>
      </c>
      <c r="I167" s="64" t="str">
        <f t="array" ref="I167">IFERROR(INDEX($C$1:$C$247, SMALL(IF($D$1:$D$247=$E$4,ROW($D$1:$D$247)),ROW()-2),1),"")</f>
        <v/>
      </c>
      <c r="J167" s="65" t="str">
        <f t="array" ref="J167">IFERROR(INDEX($B$1:$B$247, SMALL(IF($D$1:$D$247=$E$5,ROW($D$1:$D$247)),ROW()-2),1),"")</f>
        <v/>
      </c>
      <c r="K167" s="65" t="str">
        <f t="array" ref="K167">IFERROR(INDEX($C$1:$C$247, SMALL(IF($D$1:$D$247=$E$5,ROW($D$1:$D$247)),ROW()-2),1),"")</f>
        <v/>
      </c>
    </row>
    <row r="168" spans="1:11" ht="15.75">
      <c r="A168" s="11">
        <f t="shared" ca="1" si="4"/>
        <v>4.3541615328280492E-2</v>
      </c>
      <c r="B168" s="60">
        <f>Data!I210</f>
        <v>6.2</v>
      </c>
      <c r="C168" s="60">
        <f>Data!J210</f>
        <v>24.2</v>
      </c>
      <c r="D168" s="61">
        <f t="array" ref="D168">MOD(ROW(), 3) + 1</f>
        <v>1</v>
      </c>
      <c r="E168" s="11"/>
      <c r="F168" s="63" t="str">
        <f t="array" ref="F168">IFERROR(INDEX($B$1:$B$247, SMALL(IF($D$1:$D$247=$E$3,ROW($D$1:$D$247)),ROW()-2),1),"")</f>
        <v/>
      </c>
      <c r="G168" s="63" t="str">
        <f t="array" ref="G168">IFERROR(INDEX($C$1:$C$247, SMALL(IF($D$1:$D$247=$E$3,ROW($D$1:$D$247)),ROW()-2),1),"")</f>
        <v/>
      </c>
      <c r="H168" s="64" t="str">
        <f t="array" ref="H168">IFERROR(INDEX($B$1:$B$247, SMALL(IF($D$1:$D$247=$E$4,ROW($D$1:$D$247)),ROW()-2),1),"")</f>
        <v/>
      </c>
      <c r="I168" s="64" t="str">
        <f t="array" ref="I168">IFERROR(INDEX($C$1:$C$247, SMALL(IF($D$1:$D$247=$E$4,ROW($D$1:$D$247)),ROW()-2),1),"")</f>
        <v/>
      </c>
      <c r="J168" s="65" t="str">
        <f t="array" ref="J168">IFERROR(INDEX($B$1:$B$247, SMALL(IF($D$1:$D$247=$E$5,ROW($D$1:$D$247)),ROW()-2),1),"")</f>
        <v/>
      </c>
      <c r="K168" s="65" t="str">
        <f t="array" ref="K168">IFERROR(INDEX($C$1:$C$247, SMALL(IF($D$1:$D$247=$E$5,ROW($D$1:$D$247)),ROW()-2),1),"")</f>
        <v/>
      </c>
    </row>
    <row r="169" spans="1:11" ht="15.75">
      <c r="A169" s="11">
        <f t="shared" ca="1" si="4"/>
        <v>0.48177367634257318</v>
      </c>
      <c r="B169" s="60">
        <f>Data!I135</f>
        <v>5</v>
      </c>
      <c r="C169" s="60">
        <f>Data!J135</f>
        <v>28.716000000000001</v>
      </c>
      <c r="D169" s="61">
        <f t="array" ref="D169">MOD(ROW(), 3) + 1</f>
        <v>2</v>
      </c>
      <c r="E169" s="11"/>
      <c r="F169" s="63" t="str">
        <f t="array" ref="F169">IFERROR(INDEX($B$1:$B$247, SMALL(IF($D$1:$D$247=$E$3,ROW($D$1:$D$247)),ROW()-2),1),"")</f>
        <v/>
      </c>
      <c r="G169" s="63" t="str">
        <f t="array" ref="G169">IFERROR(INDEX($C$1:$C$247, SMALL(IF($D$1:$D$247=$E$3,ROW($D$1:$D$247)),ROW()-2),1),"")</f>
        <v/>
      </c>
      <c r="H169" s="64" t="str">
        <f t="array" ref="H169">IFERROR(INDEX($B$1:$B$247, SMALL(IF($D$1:$D$247=$E$4,ROW($D$1:$D$247)),ROW()-2),1),"")</f>
        <v/>
      </c>
      <c r="I169" s="64" t="str">
        <f t="array" ref="I169">IFERROR(INDEX($C$1:$C$247, SMALL(IF($D$1:$D$247=$E$4,ROW($D$1:$D$247)),ROW()-2),1),"")</f>
        <v/>
      </c>
      <c r="J169" s="65" t="str">
        <f t="array" ref="J169">IFERROR(INDEX($B$1:$B$247, SMALL(IF($D$1:$D$247=$E$5,ROW($D$1:$D$247)),ROW()-2),1),"")</f>
        <v/>
      </c>
      <c r="K169" s="65" t="str">
        <f t="array" ref="K169">IFERROR(INDEX($C$1:$C$247, SMALL(IF($D$1:$D$247=$E$5,ROW($D$1:$D$247)),ROW()-2),1),"")</f>
        <v/>
      </c>
    </row>
    <row r="170" spans="1:11" ht="15.75">
      <c r="A170" s="11">
        <f t="shared" ca="1" si="4"/>
        <v>0.58435032679531307</v>
      </c>
      <c r="B170" s="60">
        <f>Data!I159</f>
        <v>4.8</v>
      </c>
      <c r="C170" s="60">
        <f>Data!J159</f>
        <v>22.8</v>
      </c>
      <c r="D170" s="61">
        <f t="array" ref="D170">MOD(ROW(), 3) + 1</f>
        <v>3</v>
      </c>
      <c r="E170" s="11"/>
      <c r="F170" s="63" t="str">
        <f t="array" ref="F170">IFERROR(INDEX($B$1:$B$247, SMALL(IF($D$1:$D$247=$E$3,ROW($D$1:$D$247)),ROW()-2),1),"")</f>
        <v/>
      </c>
      <c r="G170" s="63" t="str">
        <f t="array" ref="G170">IFERROR(INDEX($C$1:$C$247, SMALL(IF($D$1:$D$247=$E$3,ROW($D$1:$D$247)),ROW()-2),1),"")</f>
        <v/>
      </c>
      <c r="H170" s="64" t="str">
        <f t="array" ref="H170">IFERROR(INDEX($B$1:$B$247, SMALL(IF($D$1:$D$247=$E$4,ROW($D$1:$D$247)),ROW()-2),1),"")</f>
        <v/>
      </c>
      <c r="I170" s="64" t="str">
        <f t="array" ref="I170">IFERROR(INDEX($C$1:$C$247, SMALL(IF($D$1:$D$247=$E$4,ROW($D$1:$D$247)),ROW()-2),1),"")</f>
        <v/>
      </c>
      <c r="J170" s="65" t="str">
        <f t="array" ref="J170">IFERROR(INDEX($B$1:$B$247, SMALL(IF($D$1:$D$247=$E$5,ROW($D$1:$D$247)),ROW()-2),1),"")</f>
        <v/>
      </c>
      <c r="K170" s="65" t="str">
        <f t="array" ref="K170">IFERROR(INDEX($C$1:$C$247, SMALL(IF($D$1:$D$247=$E$5,ROW($D$1:$D$247)),ROW()-2),1),"")</f>
        <v/>
      </c>
    </row>
    <row r="171" spans="1:11" ht="15.75">
      <c r="A171" s="11">
        <f t="shared" ca="1" si="4"/>
        <v>0.10257338937284266</v>
      </c>
      <c r="B171" s="60">
        <f>Data!I82</f>
        <v>2</v>
      </c>
      <c r="C171" s="60">
        <f>Data!J82</f>
        <v>44.7</v>
      </c>
      <c r="D171" s="61">
        <f t="array" ref="D171">MOD(ROW(), 3) + 1</f>
        <v>1</v>
      </c>
      <c r="E171" s="11"/>
      <c r="F171" s="63" t="str">
        <f t="array" ref="F171">IFERROR(INDEX($B$1:$B$247, SMALL(IF($D$1:$D$247=$E$3,ROW($D$1:$D$247)),ROW()-2),1),"")</f>
        <v/>
      </c>
      <c r="G171" s="63" t="str">
        <f t="array" ref="G171">IFERROR(INDEX($C$1:$C$247, SMALL(IF($D$1:$D$247=$E$3,ROW($D$1:$D$247)),ROW()-2),1),"")</f>
        <v/>
      </c>
      <c r="H171" s="64" t="str">
        <f t="array" ref="H171">IFERROR(INDEX($B$1:$B$247, SMALL(IF($D$1:$D$247=$E$4,ROW($D$1:$D$247)),ROW()-2),1),"")</f>
        <v/>
      </c>
      <c r="I171" s="64" t="str">
        <f t="array" ref="I171">IFERROR(INDEX($C$1:$C$247, SMALL(IF($D$1:$D$247=$E$4,ROW($D$1:$D$247)),ROW()-2),1),"")</f>
        <v/>
      </c>
      <c r="J171" s="65" t="str">
        <f t="array" ref="J171">IFERROR(INDEX($B$1:$B$247, SMALL(IF($D$1:$D$247=$E$5,ROW($D$1:$D$247)),ROW()-2),1),"")</f>
        <v/>
      </c>
      <c r="K171" s="65" t="str">
        <f t="array" ref="K171">IFERROR(INDEX($C$1:$C$247, SMALL(IF($D$1:$D$247=$E$5,ROW($D$1:$D$247)),ROW()-2),1),"")</f>
        <v/>
      </c>
    </row>
    <row r="172" spans="1:11" ht="15.75">
      <c r="A172" s="11">
        <f t="shared" ca="1" si="4"/>
        <v>0.20964531514910434</v>
      </c>
      <c r="B172" s="60">
        <f>Data!I2</f>
        <v>5.9</v>
      </c>
      <c r="C172" s="60">
        <f>Data!J2</f>
        <v>22.925799999999999</v>
      </c>
      <c r="D172" s="61">
        <f t="array" ref="D172">MOD(ROW(), 3) + 1</f>
        <v>2</v>
      </c>
      <c r="E172" s="11"/>
      <c r="F172" s="63" t="str">
        <f t="array" ref="F172">IFERROR(INDEX($B$1:$B$247, SMALL(IF($D$1:$D$247=$E$3,ROW($D$1:$D$247)),ROW()-2),1),"")</f>
        <v/>
      </c>
      <c r="G172" s="63" t="str">
        <f t="array" ref="G172">IFERROR(INDEX($C$1:$C$247, SMALL(IF($D$1:$D$247=$E$3,ROW($D$1:$D$247)),ROW()-2),1),"")</f>
        <v/>
      </c>
      <c r="H172" s="64" t="str">
        <f t="array" ref="H172">IFERROR(INDEX($B$1:$B$247, SMALL(IF($D$1:$D$247=$E$4,ROW($D$1:$D$247)),ROW()-2),1),"")</f>
        <v/>
      </c>
      <c r="I172" s="64" t="str">
        <f t="array" ref="I172">IFERROR(INDEX($C$1:$C$247, SMALL(IF($D$1:$D$247=$E$4,ROW($D$1:$D$247)),ROW()-2),1),"")</f>
        <v/>
      </c>
      <c r="J172" s="65" t="str">
        <f t="array" ref="J172">IFERROR(INDEX($B$1:$B$247, SMALL(IF($D$1:$D$247=$E$5,ROW($D$1:$D$247)),ROW()-2),1),"")</f>
        <v/>
      </c>
      <c r="K172" s="65" t="str">
        <f t="array" ref="K172">IFERROR(INDEX($C$1:$C$247, SMALL(IF($D$1:$D$247=$E$5,ROW($D$1:$D$247)),ROW()-2),1),"")</f>
        <v/>
      </c>
    </row>
    <row r="173" spans="1:11" ht="15.75">
      <c r="A173" s="11">
        <f t="shared" ca="1" si="4"/>
        <v>0.19787147426302809</v>
      </c>
      <c r="B173" s="60">
        <f>Data!I106</f>
        <v>4.4000000000000004</v>
      </c>
      <c r="C173" s="60">
        <f>Data!J106</f>
        <v>27.730699999999999</v>
      </c>
      <c r="D173" s="61">
        <f t="array" ref="D173">MOD(ROW(), 3) + 1</f>
        <v>3</v>
      </c>
      <c r="E173" s="11"/>
      <c r="F173" s="63" t="str">
        <f t="array" ref="F173">IFERROR(INDEX($B$1:$B$247, SMALL(IF($D$1:$D$247=$E$3,ROW($D$1:$D$247)),ROW()-2),1),"")</f>
        <v/>
      </c>
      <c r="G173" s="63" t="str">
        <f t="array" ref="G173">IFERROR(INDEX($C$1:$C$247, SMALL(IF($D$1:$D$247=$E$3,ROW($D$1:$D$247)),ROW()-2),1),"")</f>
        <v/>
      </c>
      <c r="H173" s="64" t="str">
        <f t="array" ref="H173">IFERROR(INDEX($B$1:$B$247, SMALL(IF($D$1:$D$247=$E$4,ROW($D$1:$D$247)),ROW()-2),1),"")</f>
        <v/>
      </c>
      <c r="I173" s="64" t="str">
        <f t="array" ref="I173">IFERROR(INDEX($C$1:$C$247, SMALL(IF($D$1:$D$247=$E$4,ROW($D$1:$D$247)),ROW()-2),1),"")</f>
        <v/>
      </c>
      <c r="J173" s="65" t="str">
        <f t="array" ref="J173">IFERROR(INDEX($B$1:$B$247, SMALL(IF($D$1:$D$247=$E$5,ROW($D$1:$D$247)),ROW()-2),1),"")</f>
        <v/>
      </c>
      <c r="K173" s="65" t="str">
        <f t="array" ref="K173">IFERROR(INDEX($C$1:$C$247, SMALL(IF($D$1:$D$247=$E$5,ROW($D$1:$D$247)),ROW()-2),1),"")</f>
        <v/>
      </c>
    </row>
    <row r="174" spans="1:11" ht="15.75">
      <c r="A174" s="11">
        <f t="shared" ca="1" si="4"/>
        <v>9.4308435894978615E-2</v>
      </c>
      <c r="B174" s="60">
        <f>Data!I231</f>
        <v>1.8</v>
      </c>
      <c r="C174" s="60">
        <f>Data!J231</f>
        <v>50.8</v>
      </c>
      <c r="D174" s="61">
        <f t="array" ref="D174">MOD(ROW(), 3) + 1</f>
        <v>1</v>
      </c>
      <c r="E174" s="11"/>
      <c r="F174" s="63" t="str">
        <f t="array" ref="F174">IFERROR(INDEX($B$1:$B$247, SMALL(IF($D$1:$D$247=$E$3,ROW($D$1:$D$247)),ROW()-2),1),"")</f>
        <v/>
      </c>
      <c r="G174" s="63" t="str">
        <f t="array" ref="G174">IFERROR(INDEX($C$1:$C$247, SMALL(IF($D$1:$D$247=$E$3,ROW($D$1:$D$247)),ROW()-2),1),"")</f>
        <v/>
      </c>
      <c r="H174" s="64" t="str">
        <f t="array" ref="H174">IFERROR(INDEX($B$1:$B$247, SMALL(IF($D$1:$D$247=$E$4,ROW($D$1:$D$247)),ROW()-2),1),"")</f>
        <v/>
      </c>
      <c r="I174" s="64" t="str">
        <f t="array" ref="I174">IFERROR(INDEX($C$1:$C$247, SMALL(IF($D$1:$D$247=$E$4,ROW($D$1:$D$247)),ROW()-2),1),"")</f>
        <v/>
      </c>
      <c r="J174" s="65" t="str">
        <f t="array" ref="J174">IFERROR(INDEX($B$1:$B$247, SMALL(IF($D$1:$D$247=$E$5,ROW($D$1:$D$247)),ROW()-2),1),"")</f>
        <v/>
      </c>
      <c r="K174" s="65" t="str">
        <f t="array" ref="K174">IFERROR(INDEX($C$1:$C$247, SMALL(IF($D$1:$D$247=$E$5,ROW($D$1:$D$247)),ROW()-2),1),"")</f>
        <v/>
      </c>
    </row>
    <row r="175" spans="1:11" ht="15.75">
      <c r="A175" s="11">
        <f t="shared" ca="1" si="4"/>
        <v>0.87312538753743985</v>
      </c>
      <c r="B175" s="60">
        <f>Data!I173</f>
        <v>3.5</v>
      </c>
      <c r="C175" s="60">
        <f>Data!J173</f>
        <v>30.049299999999999</v>
      </c>
      <c r="D175" s="61">
        <f t="array" ref="D175">MOD(ROW(), 3) + 1</f>
        <v>2</v>
      </c>
      <c r="E175" s="11"/>
      <c r="F175" s="63" t="str">
        <f t="array" ref="F175">IFERROR(INDEX($B$1:$B$247, SMALL(IF($D$1:$D$247=$E$3,ROW($D$1:$D$247)),ROW()-2),1),"")</f>
        <v/>
      </c>
      <c r="G175" s="63" t="str">
        <f t="array" ref="G175">IFERROR(INDEX($C$1:$C$247, SMALL(IF($D$1:$D$247=$E$3,ROW($D$1:$D$247)),ROW()-2),1),"")</f>
        <v/>
      </c>
      <c r="H175" s="64" t="str">
        <f t="array" ref="H175">IFERROR(INDEX($B$1:$B$247, SMALL(IF($D$1:$D$247=$E$4,ROW($D$1:$D$247)),ROW()-2),1),"")</f>
        <v/>
      </c>
      <c r="I175" s="64" t="str">
        <f t="array" ref="I175">IFERROR(INDEX($C$1:$C$247, SMALL(IF($D$1:$D$247=$E$4,ROW($D$1:$D$247)),ROW()-2),1),"")</f>
        <v/>
      </c>
      <c r="J175" s="65" t="str">
        <f t="array" ref="J175">IFERROR(INDEX($B$1:$B$247, SMALL(IF($D$1:$D$247=$E$5,ROW($D$1:$D$247)),ROW()-2),1),"")</f>
        <v/>
      </c>
      <c r="K175" s="65" t="str">
        <f t="array" ref="K175">IFERROR(INDEX($C$1:$C$247, SMALL(IF($D$1:$D$247=$E$5,ROW($D$1:$D$247)),ROW()-2),1),"")</f>
        <v/>
      </c>
    </row>
    <row r="176" spans="1:11" ht="15.75">
      <c r="A176" s="11">
        <f t="shared" ca="1" si="4"/>
        <v>0.49928653619871488</v>
      </c>
      <c r="B176" s="60">
        <f>Data!I67</f>
        <v>2</v>
      </c>
      <c r="C176" s="60">
        <f>Data!J67</f>
        <v>44.707999999999998</v>
      </c>
      <c r="D176" s="61">
        <f t="array" ref="D176">MOD(ROW(), 3) + 1</f>
        <v>3</v>
      </c>
      <c r="E176" s="11"/>
      <c r="F176" s="63" t="str">
        <f t="array" ref="F176">IFERROR(INDEX($B$1:$B$247, SMALL(IF($D$1:$D$247=$E$3,ROW($D$1:$D$247)),ROW()-2),1),"")</f>
        <v/>
      </c>
      <c r="G176" s="63" t="str">
        <f t="array" ref="G176">IFERROR(INDEX($C$1:$C$247, SMALL(IF($D$1:$D$247=$E$3,ROW($D$1:$D$247)),ROW()-2),1),"")</f>
        <v/>
      </c>
      <c r="H176" s="64" t="str">
        <f t="array" ref="H176">IFERROR(INDEX($B$1:$B$247, SMALL(IF($D$1:$D$247=$E$4,ROW($D$1:$D$247)),ROW()-2),1),"")</f>
        <v/>
      </c>
      <c r="I176" s="64" t="str">
        <f t="array" ref="I176">IFERROR(INDEX($C$1:$C$247, SMALL(IF($D$1:$D$247=$E$4,ROW($D$1:$D$247)),ROW()-2),1),"")</f>
        <v/>
      </c>
      <c r="J176" s="65" t="str">
        <f t="array" ref="J176">IFERROR(INDEX($B$1:$B$247, SMALL(IF($D$1:$D$247=$E$5,ROW($D$1:$D$247)),ROW()-2),1),"")</f>
        <v/>
      </c>
      <c r="K176" s="65" t="str">
        <f t="array" ref="K176">IFERROR(INDEX($C$1:$C$247, SMALL(IF($D$1:$D$247=$E$5,ROW($D$1:$D$247)),ROW()-2),1),"")</f>
        <v/>
      </c>
    </row>
    <row r="177" spans="1:11" ht="15.75">
      <c r="A177" s="11">
        <f t="shared" ca="1" si="4"/>
        <v>0.37558462380717528</v>
      </c>
      <c r="B177" s="60">
        <f>Data!I165</f>
        <v>5.4</v>
      </c>
      <c r="C177" s="60">
        <f>Data!J165</f>
        <v>20.6</v>
      </c>
      <c r="D177" s="61">
        <f t="array" ref="D177">MOD(ROW(), 3) + 1</f>
        <v>1</v>
      </c>
      <c r="E177" s="11"/>
      <c r="F177" s="63" t="str">
        <f t="array" ref="F177">IFERROR(INDEX($B$1:$B$247, SMALL(IF($D$1:$D$247=$E$3,ROW($D$1:$D$247)),ROW()-2),1),"")</f>
        <v/>
      </c>
      <c r="G177" s="63" t="str">
        <f t="array" ref="G177">IFERROR(INDEX($C$1:$C$247, SMALL(IF($D$1:$D$247=$E$3,ROW($D$1:$D$247)),ROW()-2),1),"")</f>
        <v/>
      </c>
      <c r="H177" s="64" t="str">
        <f t="array" ref="H177">IFERROR(INDEX($B$1:$B$247, SMALL(IF($D$1:$D$247=$E$4,ROW($D$1:$D$247)),ROW()-2),1),"")</f>
        <v/>
      </c>
      <c r="I177" s="64" t="str">
        <f t="array" ref="I177">IFERROR(INDEX($C$1:$C$247, SMALL(IF($D$1:$D$247=$E$4,ROW($D$1:$D$247)),ROW()-2),1),"")</f>
        <v/>
      </c>
      <c r="J177" s="65" t="str">
        <f t="array" ref="J177">IFERROR(INDEX($B$1:$B$247, SMALL(IF($D$1:$D$247=$E$5,ROW($D$1:$D$247)),ROW()-2),1),"")</f>
        <v/>
      </c>
      <c r="K177" s="65" t="str">
        <f t="array" ref="K177">IFERROR(INDEX($C$1:$C$247, SMALL(IF($D$1:$D$247=$E$5,ROW($D$1:$D$247)),ROW()-2),1),"")</f>
        <v/>
      </c>
    </row>
    <row r="178" spans="1:11" ht="15.75">
      <c r="A178" s="11">
        <f t="shared" ca="1" si="4"/>
        <v>0.85336322748913995</v>
      </c>
      <c r="B178" s="60">
        <f>Data!I84</f>
        <v>2</v>
      </c>
      <c r="C178" s="60">
        <f>Data!J84</f>
        <v>41.5</v>
      </c>
      <c r="D178" s="61">
        <f t="array" ref="D178">MOD(ROW(), 3) + 1</f>
        <v>2</v>
      </c>
      <c r="E178" s="11"/>
      <c r="F178" s="63" t="str">
        <f t="array" ref="F178">IFERROR(INDEX($B$1:$B$247, SMALL(IF($D$1:$D$247=$E$3,ROW($D$1:$D$247)),ROW()-2),1),"")</f>
        <v/>
      </c>
      <c r="G178" s="63" t="str">
        <f t="array" ref="G178">IFERROR(INDEX($C$1:$C$247, SMALL(IF($D$1:$D$247=$E$3,ROW($D$1:$D$247)),ROW()-2),1),"")</f>
        <v/>
      </c>
      <c r="H178" s="64" t="str">
        <f t="array" ref="H178">IFERROR(INDEX($B$1:$B$247, SMALL(IF($D$1:$D$247=$E$4,ROW($D$1:$D$247)),ROW()-2),1),"")</f>
        <v/>
      </c>
      <c r="I178" s="64" t="str">
        <f t="array" ref="I178">IFERROR(INDEX($C$1:$C$247, SMALL(IF($D$1:$D$247=$E$4,ROW($D$1:$D$247)),ROW()-2),1),"")</f>
        <v/>
      </c>
      <c r="J178" s="65" t="str">
        <f t="array" ref="J178">IFERROR(INDEX($B$1:$B$247, SMALL(IF($D$1:$D$247=$E$5,ROW($D$1:$D$247)),ROW()-2),1),"")</f>
        <v/>
      </c>
      <c r="K178" s="65" t="str">
        <f t="array" ref="K178">IFERROR(INDEX($C$1:$C$247, SMALL(IF($D$1:$D$247=$E$5,ROW($D$1:$D$247)),ROW()-2),1),"")</f>
        <v/>
      </c>
    </row>
    <row r="179" spans="1:11" ht="15.75">
      <c r="A179" s="11">
        <f t="shared" ca="1" si="4"/>
        <v>0.90316020888489768</v>
      </c>
      <c r="B179" s="60">
        <f>Data!I140</f>
        <v>5.7</v>
      </c>
      <c r="C179" s="60">
        <f>Data!J140</f>
        <v>25.6</v>
      </c>
      <c r="D179" s="61">
        <f t="array" ref="D179">MOD(ROW(), 3) + 1</f>
        <v>3</v>
      </c>
      <c r="E179" s="11"/>
      <c r="F179" s="63" t="str">
        <f t="array" ref="F179">IFERROR(INDEX($B$1:$B$247, SMALL(IF($D$1:$D$247=$E$3,ROW($D$1:$D$247)),ROW()-2),1),"")</f>
        <v/>
      </c>
      <c r="G179" s="63" t="str">
        <f t="array" ref="G179">IFERROR(INDEX($C$1:$C$247, SMALL(IF($D$1:$D$247=$E$3,ROW($D$1:$D$247)),ROW()-2),1),"")</f>
        <v/>
      </c>
      <c r="H179" s="64" t="str">
        <f t="array" ref="H179">IFERROR(INDEX($B$1:$B$247, SMALL(IF($D$1:$D$247=$E$4,ROW($D$1:$D$247)),ROW()-2),1),"")</f>
        <v/>
      </c>
      <c r="I179" s="64" t="str">
        <f t="array" ref="I179">IFERROR(INDEX($C$1:$C$247, SMALL(IF($D$1:$D$247=$E$4,ROW($D$1:$D$247)),ROW()-2),1),"")</f>
        <v/>
      </c>
      <c r="J179" s="65" t="str">
        <f t="array" ref="J179">IFERROR(INDEX($B$1:$B$247, SMALL(IF($D$1:$D$247=$E$5,ROW($D$1:$D$247)),ROW()-2),1),"")</f>
        <v/>
      </c>
      <c r="K179" s="65" t="str">
        <f t="array" ref="K179">IFERROR(INDEX($C$1:$C$247, SMALL(IF($D$1:$D$247=$E$5,ROW($D$1:$D$247)),ROW()-2),1),"")</f>
        <v/>
      </c>
    </row>
    <row r="180" spans="1:11" ht="15.75">
      <c r="A180" s="11">
        <f t="shared" ca="1" si="4"/>
        <v>0.57778844893853576</v>
      </c>
      <c r="B180" s="60">
        <f>Data!I189</f>
        <v>2</v>
      </c>
      <c r="C180" s="60">
        <f>Data!J189</f>
        <v>43.2</v>
      </c>
      <c r="D180" s="61">
        <f t="array" ref="D180">MOD(ROW(), 3) + 1</f>
        <v>1</v>
      </c>
      <c r="E180" s="11"/>
      <c r="F180" s="63" t="str">
        <f t="array" ref="F180">IFERROR(INDEX($B$1:$B$247, SMALL(IF($D$1:$D$247=$E$3,ROW($D$1:$D$247)),ROW()-2),1),"")</f>
        <v/>
      </c>
      <c r="G180" s="63" t="str">
        <f t="array" ref="G180">IFERROR(INDEX($C$1:$C$247, SMALL(IF($D$1:$D$247=$E$3,ROW($D$1:$D$247)),ROW()-2),1),"")</f>
        <v/>
      </c>
      <c r="H180" s="64" t="str">
        <f t="array" ref="H180">IFERROR(INDEX($B$1:$B$247, SMALL(IF($D$1:$D$247=$E$4,ROW($D$1:$D$247)),ROW()-2),1),"")</f>
        <v/>
      </c>
      <c r="I180" s="64" t="str">
        <f t="array" ref="I180">IFERROR(INDEX($C$1:$C$247, SMALL(IF($D$1:$D$247=$E$4,ROW($D$1:$D$247)),ROW()-2),1),"")</f>
        <v/>
      </c>
      <c r="J180" s="65" t="str">
        <f t="array" ref="J180">IFERROR(INDEX($B$1:$B$247, SMALL(IF($D$1:$D$247=$E$5,ROW($D$1:$D$247)),ROW()-2),1),"")</f>
        <v/>
      </c>
      <c r="K180" s="65" t="str">
        <f t="array" ref="K180">IFERROR(INDEX($C$1:$C$247, SMALL(IF($D$1:$D$247=$E$5,ROW($D$1:$D$247)),ROW()-2),1),"")</f>
        <v/>
      </c>
    </row>
    <row r="181" spans="1:11" ht="15.75">
      <c r="A181" s="11">
        <f t="shared" ca="1" si="4"/>
        <v>0.49773180309199128</v>
      </c>
      <c r="B181" s="60">
        <f>Data!I7</f>
        <v>3</v>
      </c>
      <c r="C181" s="60">
        <f>Data!J7</f>
        <v>32.857900000000001</v>
      </c>
      <c r="D181" s="61">
        <f t="array" ref="D181">MOD(ROW(), 3) + 1</f>
        <v>2</v>
      </c>
      <c r="E181" s="11"/>
      <c r="F181" s="63" t="str">
        <f t="array" ref="F181">IFERROR(INDEX($B$1:$B$247, SMALL(IF($D$1:$D$247=$E$3,ROW($D$1:$D$247)),ROW()-2),1),"")</f>
        <v/>
      </c>
      <c r="G181" s="63" t="str">
        <f t="array" ref="G181">IFERROR(INDEX($C$1:$C$247, SMALL(IF($D$1:$D$247=$E$3,ROW($D$1:$D$247)),ROW()-2),1),"")</f>
        <v/>
      </c>
      <c r="H181" s="64" t="str">
        <f t="array" ref="H181">IFERROR(INDEX($B$1:$B$247, SMALL(IF($D$1:$D$247=$E$4,ROW($D$1:$D$247)),ROW()-2),1),"")</f>
        <v/>
      </c>
      <c r="I181" s="64" t="str">
        <f t="array" ref="I181">IFERROR(INDEX($C$1:$C$247, SMALL(IF($D$1:$D$247=$E$4,ROW($D$1:$D$247)),ROW()-2),1),"")</f>
        <v/>
      </c>
      <c r="J181" s="65" t="str">
        <f t="array" ref="J181">IFERROR(INDEX($B$1:$B$247, SMALL(IF($D$1:$D$247=$E$5,ROW($D$1:$D$247)),ROW()-2),1),"")</f>
        <v/>
      </c>
      <c r="K181" s="65" t="str">
        <f t="array" ref="K181">IFERROR(INDEX($C$1:$C$247, SMALL(IF($D$1:$D$247=$E$5,ROW($D$1:$D$247)),ROW()-2),1),"")</f>
        <v/>
      </c>
    </row>
    <row r="182" spans="1:11" ht="15.75">
      <c r="A182" s="11">
        <f t="shared" ca="1" si="4"/>
        <v>0.42392833910150407</v>
      </c>
      <c r="B182" s="60">
        <f>Data!I69</f>
        <v>2</v>
      </c>
      <c r="C182" s="60">
        <f>Data!J69</f>
        <v>59.438099999999999</v>
      </c>
      <c r="D182" s="61">
        <f t="array" ref="D182">MOD(ROW(), 3) + 1</f>
        <v>3</v>
      </c>
      <c r="E182" s="11"/>
      <c r="F182" s="63" t="str">
        <f t="array" ref="F182">IFERROR(INDEX($B$1:$B$247, SMALL(IF($D$1:$D$247=$E$3,ROW($D$1:$D$247)),ROW()-2),1),"")</f>
        <v/>
      </c>
      <c r="G182" s="63" t="str">
        <f t="array" ref="G182">IFERROR(INDEX($C$1:$C$247, SMALL(IF($D$1:$D$247=$E$3,ROW($D$1:$D$247)),ROW()-2),1),"")</f>
        <v/>
      </c>
      <c r="H182" s="64" t="str">
        <f t="array" ref="H182">IFERROR(INDEX($B$1:$B$247, SMALL(IF($D$1:$D$247=$E$4,ROW($D$1:$D$247)),ROW()-2),1),"")</f>
        <v/>
      </c>
      <c r="I182" s="64" t="str">
        <f t="array" ref="I182">IFERROR(INDEX($C$1:$C$247, SMALL(IF($D$1:$D$247=$E$4,ROW($D$1:$D$247)),ROW()-2),1),"")</f>
        <v/>
      </c>
      <c r="J182" s="65" t="str">
        <f t="array" ref="J182">IFERROR(INDEX($B$1:$B$247, SMALL(IF($D$1:$D$247=$E$5,ROW($D$1:$D$247)),ROW()-2),1),"")</f>
        <v/>
      </c>
      <c r="K182" s="65" t="str">
        <f t="array" ref="K182">IFERROR(INDEX($C$1:$C$247, SMALL(IF($D$1:$D$247=$E$5,ROW($D$1:$D$247)),ROW()-2),1),"")</f>
        <v/>
      </c>
    </row>
    <row r="183" spans="1:11" ht="15.75">
      <c r="A183" s="11">
        <f t="shared" ca="1" si="4"/>
        <v>0.8497839046552591</v>
      </c>
      <c r="B183" s="60">
        <f>Data!I147</f>
        <v>6</v>
      </c>
      <c r="C183" s="60">
        <f>Data!J147</f>
        <v>21.473400000000002</v>
      </c>
      <c r="D183" s="61">
        <f t="array" ref="D183">MOD(ROW(), 3) + 1</f>
        <v>1</v>
      </c>
      <c r="E183" s="11"/>
      <c r="F183" s="63" t="str">
        <f t="array" ref="F183">IFERROR(INDEX($B$1:$B$247, SMALL(IF($D$1:$D$247=$E$3,ROW($D$1:$D$247)),ROW()-2),1),"")</f>
        <v/>
      </c>
      <c r="G183" s="63" t="str">
        <f t="array" ref="G183">IFERROR(INDEX($C$1:$C$247, SMALL(IF($D$1:$D$247=$E$3,ROW($D$1:$D$247)),ROW()-2),1),"")</f>
        <v/>
      </c>
      <c r="H183" s="64" t="str">
        <f t="array" ref="H183">IFERROR(INDEX($B$1:$B$247, SMALL(IF($D$1:$D$247=$E$4,ROW($D$1:$D$247)),ROW()-2),1),"")</f>
        <v/>
      </c>
      <c r="I183" s="64" t="str">
        <f t="array" ref="I183">IFERROR(INDEX($C$1:$C$247, SMALL(IF($D$1:$D$247=$E$4,ROW($D$1:$D$247)),ROW()-2),1),"")</f>
        <v/>
      </c>
      <c r="J183" s="65" t="str">
        <f t="array" ref="J183">IFERROR(INDEX($B$1:$B$247, SMALL(IF($D$1:$D$247=$E$5,ROW($D$1:$D$247)),ROW()-2),1),"")</f>
        <v/>
      </c>
      <c r="K183" s="65" t="str">
        <f t="array" ref="K183">IFERROR(INDEX($C$1:$C$247, SMALL(IF($D$1:$D$247=$E$5,ROW($D$1:$D$247)),ROW()-2),1),"")</f>
        <v/>
      </c>
    </row>
    <row r="184" spans="1:11" ht="15.75">
      <c r="A184" s="11">
        <f t="shared" ca="1" si="4"/>
        <v>0.18419091074136917</v>
      </c>
      <c r="B184" s="60">
        <f>Data!I46</f>
        <v>2</v>
      </c>
      <c r="C184" s="60">
        <f>Data!J46</f>
        <v>40</v>
      </c>
      <c r="D184" s="61">
        <f t="array" ref="D184">MOD(ROW(), 3) + 1</f>
        <v>2</v>
      </c>
      <c r="E184" s="11"/>
      <c r="F184" s="63" t="str">
        <f t="array" ref="F184">IFERROR(INDEX($B$1:$B$247, SMALL(IF($D$1:$D$247=$E$3,ROW($D$1:$D$247)),ROW()-2),1),"")</f>
        <v/>
      </c>
      <c r="G184" s="63" t="str">
        <f t="array" ref="G184">IFERROR(INDEX($C$1:$C$247, SMALL(IF($D$1:$D$247=$E$3,ROW($D$1:$D$247)),ROW()-2),1),"")</f>
        <v/>
      </c>
      <c r="H184" s="64" t="str">
        <f t="array" ref="H184">IFERROR(INDEX($B$1:$B$247, SMALL(IF($D$1:$D$247=$E$4,ROW($D$1:$D$247)),ROW()-2),1),"")</f>
        <v/>
      </c>
      <c r="I184" s="64" t="str">
        <f t="array" ref="I184">IFERROR(INDEX($C$1:$C$247, SMALL(IF($D$1:$D$247=$E$4,ROW($D$1:$D$247)),ROW()-2),1),"")</f>
        <v/>
      </c>
      <c r="J184" s="65" t="str">
        <f t="array" ref="J184">IFERROR(INDEX($B$1:$B$247, SMALL(IF($D$1:$D$247=$E$5,ROW($D$1:$D$247)),ROW()-2),1),"")</f>
        <v/>
      </c>
      <c r="K184" s="65" t="str">
        <f t="array" ref="K184">IFERROR(INDEX($C$1:$C$247, SMALL(IF($D$1:$D$247=$E$5,ROW($D$1:$D$247)),ROW()-2),1),"")</f>
        <v/>
      </c>
    </row>
    <row r="185" spans="1:11" ht="15.75">
      <c r="A185" s="11">
        <f t="shared" ca="1" si="4"/>
        <v>0.69896990141099014</v>
      </c>
      <c r="B185" s="60">
        <f>Data!I97</f>
        <v>3</v>
      </c>
      <c r="C185" s="60">
        <f>Data!J97</f>
        <v>47.1</v>
      </c>
      <c r="D185" s="61">
        <f t="array" ref="D185">MOD(ROW(), 3) + 1</f>
        <v>3</v>
      </c>
      <c r="E185" s="11"/>
      <c r="F185" s="63" t="str">
        <f t="array" ref="F185">IFERROR(INDEX($B$1:$B$247, SMALL(IF($D$1:$D$247=$E$3,ROW($D$1:$D$247)),ROW()-2),1),"")</f>
        <v/>
      </c>
      <c r="G185" s="63" t="str">
        <f t="array" ref="G185">IFERROR(INDEX($C$1:$C$247, SMALL(IF($D$1:$D$247=$E$3,ROW($D$1:$D$247)),ROW()-2),1),"")</f>
        <v/>
      </c>
      <c r="H185" s="64" t="str">
        <f t="array" ref="H185">IFERROR(INDEX($B$1:$B$247, SMALL(IF($D$1:$D$247=$E$4,ROW($D$1:$D$247)),ROW()-2),1),"")</f>
        <v/>
      </c>
      <c r="I185" s="64" t="str">
        <f t="array" ref="I185">IFERROR(INDEX($C$1:$C$247, SMALL(IF($D$1:$D$247=$E$4,ROW($D$1:$D$247)),ROW()-2),1),"")</f>
        <v/>
      </c>
      <c r="J185" s="65" t="str">
        <f t="array" ref="J185">IFERROR(INDEX($B$1:$B$247, SMALL(IF($D$1:$D$247=$E$5,ROW($D$1:$D$247)),ROW()-2),1),"")</f>
        <v/>
      </c>
      <c r="K185" s="65" t="str">
        <f t="array" ref="K185">IFERROR(INDEX($C$1:$C$247, SMALL(IF($D$1:$D$247=$E$5,ROW($D$1:$D$247)),ROW()-2),1),"")</f>
        <v/>
      </c>
    </row>
    <row r="186" spans="1:11" ht="15.75">
      <c r="A186" s="11">
        <f t="shared" ca="1" si="4"/>
        <v>4.6829422170005075E-2</v>
      </c>
      <c r="B186" s="60">
        <f>Data!I183</f>
        <v>6</v>
      </c>
      <c r="C186" s="60">
        <f>Data!J183</f>
        <v>32.799999999999997</v>
      </c>
      <c r="D186" s="61">
        <f t="array" ref="D186">MOD(ROW(), 3) + 1</f>
        <v>1</v>
      </c>
      <c r="E186" s="11"/>
      <c r="F186" s="63" t="str">
        <f t="array" ref="F186">IFERROR(INDEX($B$1:$B$247, SMALL(IF($D$1:$D$247=$E$3,ROW($D$1:$D$247)),ROW()-2),1),"")</f>
        <v/>
      </c>
      <c r="G186" s="63" t="str">
        <f t="array" ref="G186">IFERROR(INDEX($C$1:$C$247, SMALL(IF($D$1:$D$247=$E$3,ROW($D$1:$D$247)),ROW()-2),1),"")</f>
        <v/>
      </c>
      <c r="H186" s="64" t="str">
        <f t="array" ref="H186">IFERROR(INDEX($B$1:$B$247, SMALL(IF($D$1:$D$247=$E$4,ROW($D$1:$D$247)),ROW()-2),1),"")</f>
        <v/>
      </c>
      <c r="I186" s="64" t="str">
        <f t="array" ref="I186">IFERROR(INDEX($C$1:$C$247, SMALL(IF($D$1:$D$247=$E$4,ROW($D$1:$D$247)),ROW()-2),1),"")</f>
        <v/>
      </c>
      <c r="J186" s="65" t="str">
        <f t="array" ref="J186">IFERROR(INDEX($B$1:$B$247, SMALL(IF($D$1:$D$247=$E$5,ROW($D$1:$D$247)),ROW()-2),1),"")</f>
        <v/>
      </c>
      <c r="K186" s="65" t="str">
        <f t="array" ref="K186">IFERROR(INDEX($C$1:$C$247, SMALL(IF($D$1:$D$247=$E$5,ROW($D$1:$D$247)),ROW()-2),1),"")</f>
        <v/>
      </c>
    </row>
    <row r="187" spans="1:11" ht="15.75">
      <c r="A187" s="11">
        <f t="shared" ca="1" si="4"/>
        <v>0.93646103608555009</v>
      </c>
      <c r="B187" s="60">
        <f>Data!I14</f>
        <v>3.8</v>
      </c>
      <c r="C187" s="60">
        <f>Data!J14</f>
        <v>36.7669</v>
      </c>
      <c r="D187" s="61">
        <f t="array" ref="D187">MOD(ROW(), 3) + 1</f>
        <v>2</v>
      </c>
      <c r="E187" s="11"/>
      <c r="F187" s="63" t="str">
        <f t="array" ref="F187">IFERROR(INDEX($B$1:$B$247, SMALL(IF($D$1:$D$247=$E$3,ROW($D$1:$D$247)),ROW()-2),1),"")</f>
        <v/>
      </c>
      <c r="G187" s="63" t="str">
        <f t="array" ref="G187">IFERROR(INDEX($C$1:$C$247, SMALL(IF($D$1:$D$247=$E$3,ROW($D$1:$D$247)),ROW()-2),1),"")</f>
        <v/>
      </c>
      <c r="H187" s="64" t="str">
        <f t="array" ref="H187">IFERROR(INDEX($B$1:$B$247, SMALL(IF($D$1:$D$247=$E$4,ROW($D$1:$D$247)),ROW()-2),1),"")</f>
        <v/>
      </c>
      <c r="I187" s="64" t="str">
        <f t="array" ref="I187">IFERROR(INDEX($C$1:$C$247, SMALL(IF($D$1:$D$247=$E$4,ROW($D$1:$D$247)),ROW()-2),1),"")</f>
        <v/>
      </c>
      <c r="J187" s="65" t="str">
        <f t="array" ref="J187">IFERROR(INDEX($B$1:$B$247, SMALL(IF($D$1:$D$247=$E$5,ROW($D$1:$D$247)),ROW()-2),1),"")</f>
        <v/>
      </c>
      <c r="K187" s="65" t="str">
        <f t="array" ref="K187">IFERROR(INDEX($C$1:$C$247, SMALL(IF($D$1:$D$247=$E$5,ROW($D$1:$D$247)),ROW()-2),1),"")</f>
        <v/>
      </c>
    </row>
    <row r="188" spans="1:11" ht="15.75">
      <c r="A188" s="11">
        <f t="shared" ca="1" si="4"/>
        <v>0.56260699798660319</v>
      </c>
      <c r="B188" s="60">
        <f>Data!I156</f>
        <v>6</v>
      </c>
      <c r="C188" s="60">
        <f>Data!J156</f>
        <v>21.473400000000002</v>
      </c>
      <c r="D188" s="61">
        <f t="array" ref="D188">MOD(ROW(), 3) + 1</f>
        <v>3</v>
      </c>
      <c r="E188" s="11"/>
      <c r="F188" s="63" t="str">
        <f t="array" ref="F188">IFERROR(INDEX($B$1:$B$247, SMALL(IF($D$1:$D$247=$E$3,ROW($D$1:$D$247)),ROW()-2),1),"")</f>
        <v/>
      </c>
      <c r="G188" s="63" t="str">
        <f t="array" ref="G188">IFERROR(INDEX($C$1:$C$247, SMALL(IF($D$1:$D$247=$E$3,ROW($D$1:$D$247)),ROW()-2),1),"")</f>
        <v/>
      </c>
      <c r="H188" s="64" t="str">
        <f t="array" ref="H188">IFERROR(INDEX($B$1:$B$247, SMALL(IF($D$1:$D$247=$E$4,ROW($D$1:$D$247)),ROW()-2),1),"")</f>
        <v/>
      </c>
      <c r="I188" s="64" t="str">
        <f t="array" ref="I188">IFERROR(INDEX($C$1:$C$247, SMALL(IF($D$1:$D$247=$E$4,ROW($D$1:$D$247)),ROW()-2),1),"")</f>
        <v/>
      </c>
      <c r="J188" s="65" t="str">
        <f t="array" ref="J188">IFERROR(INDEX($B$1:$B$247, SMALL(IF($D$1:$D$247=$E$5,ROW($D$1:$D$247)),ROW()-2),1),"")</f>
        <v/>
      </c>
      <c r="K188" s="65" t="str">
        <f t="array" ref="K188">IFERROR(INDEX($C$1:$C$247, SMALL(IF($D$1:$D$247=$E$5,ROW($D$1:$D$247)),ROW()-2),1),"")</f>
        <v/>
      </c>
    </row>
    <row r="189" spans="1:11" ht="15.75">
      <c r="A189" s="11">
        <f t="shared" ca="1" si="4"/>
        <v>0.33608155426674025</v>
      </c>
      <c r="B189" s="60">
        <f>Data!I180</f>
        <v>4</v>
      </c>
      <c r="C189" s="60">
        <f>Data!J180</f>
        <v>29.4</v>
      </c>
      <c r="D189" s="61">
        <f t="array" ref="D189">MOD(ROW(), 3) + 1</f>
        <v>1</v>
      </c>
      <c r="E189" s="11"/>
      <c r="F189" s="63" t="str">
        <f t="array" ref="F189">IFERROR(INDEX($B$1:$B$247, SMALL(IF($D$1:$D$247=$E$3,ROW($D$1:$D$247)),ROW()-2),1),"")</f>
        <v/>
      </c>
      <c r="G189" s="63" t="str">
        <f t="array" ref="G189">IFERROR(INDEX($C$1:$C$247, SMALL(IF($D$1:$D$247=$E$3,ROW($D$1:$D$247)),ROW()-2),1),"")</f>
        <v/>
      </c>
      <c r="H189" s="64" t="str">
        <f t="array" ref="H189">IFERROR(INDEX($B$1:$B$247, SMALL(IF($D$1:$D$247=$E$4,ROW($D$1:$D$247)),ROW()-2),1),"")</f>
        <v/>
      </c>
      <c r="I189" s="64" t="str">
        <f t="array" ref="I189">IFERROR(INDEX($C$1:$C$247, SMALL(IF($D$1:$D$247=$E$4,ROW($D$1:$D$247)),ROW()-2),1),"")</f>
        <v/>
      </c>
      <c r="J189" s="65" t="str">
        <f t="array" ref="J189">IFERROR(INDEX($B$1:$B$247, SMALL(IF($D$1:$D$247=$E$5,ROW($D$1:$D$247)),ROW()-2),1),"")</f>
        <v/>
      </c>
      <c r="K189" s="65" t="str">
        <f t="array" ref="K189">IFERROR(INDEX($C$1:$C$247, SMALL(IF($D$1:$D$247=$E$5,ROW($D$1:$D$247)),ROW()-2),1),"")</f>
        <v/>
      </c>
    </row>
    <row r="190" spans="1:11" ht="15.75">
      <c r="A190" s="11">
        <f t="shared" ca="1" si="4"/>
        <v>0.79777822298506107</v>
      </c>
      <c r="B190" s="60">
        <f>Data!I177</f>
        <v>2</v>
      </c>
      <c r="C190" s="60">
        <f>Data!J177</f>
        <v>36.799999999999997</v>
      </c>
      <c r="D190" s="61">
        <f t="array" ref="D190">MOD(ROW(), 3) + 1</f>
        <v>2</v>
      </c>
      <c r="E190" s="11"/>
      <c r="F190" s="63" t="str">
        <f t="array" ref="F190">IFERROR(INDEX($B$1:$B$247, SMALL(IF($D$1:$D$247=$E$3,ROW($D$1:$D$247)),ROW()-2),1),"")</f>
        <v/>
      </c>
      <c r="G190" s="63" t="str">
        <f t="array" ref="G190">IFERROR(INDEX($C$1:$C$247, SMALL(IF($D$1:$D$247=$E$3,ROW($D$1:$D$247)),ROW()-2),1),"")</f>
        <v/>
      </c>
      <c r="H190" s="64" t="str">
        <f t="array" ref="H190">IFERROR(INDEX($B$1:$B$247, SMALL(IF($D$1:$D$247=$E$4,ROW($D$1:$D$247)),ROW()-2),1),"")</f>
        <v/>
      </c>
      <c r="I190" s="64" t="str">
        <f t="array" ref="I190">IFERROR(INDEX($C$1:$C$247, SMALL(IF($D$1:$D$247=$E$4,ROW($D$1:$D$247)),ROW()-2),1),"")</f>
        <v/>
      </c>
      <c r="J190" s="65" t="str">
        <f t="array" ref="J190">IFERROR(INDEX($B$1:$B$247, SMALL(IF($D$1:$D$247=$E$5,ROW($D$1:$D$247)),ROW()-2),1),"")</f>
        <v/>
      </c>
      <c r="K190" s="65" t="str">
        <f t="array" ref="K190">IFERROR(INDEX($C$1:$C$247, SMALL(IF($D$1:$D$247=$E$5,ROW($D$1:$D$247)),ROW()-2),1),"")</f>
        <v/>
      </c>
    </row>
    <row r="191" spans="1:11" ht="15.75">
      <c r="A191" s="11">
        <f t="shared" ca="1" si="4"/>
        <v>9.0861406302645387E-2</v>
      </c>
      <c r="B191" s="60">
        <f>Data!I78</f>
        <v>2.4</v>
      </c>
      <c r="C191" s="60">
        <f>Data!J78</f>
        <v>42</v>
      </c>
      <c r="D191" s="61">
        <f t="array" ref="D191">MOD(ROW(), 3) + 1</f>
        <v>3</v>
      </c>
      <c r="E191" s="11"/>
      <c r="F191" s="63" t="str">
        <f t="array" ref="F191">IFERROR(INDEX($B$1:$B$247, SMALL(IF($D$1:$D$247=$E$3,ROW($D$1:$D$247)),ROW()-2),1),"")</f>
        <v/>
      </c>
      <c r="G191" s="63" t="str">
        <f t="array" ref="G191">IFERROR(INDEX($C$1:$C$247, SMALL(IF($D$1:$D$247=$E$3,ROW($D$1:$D$247)),ROW()-2),1),"")</f>
        <v/>
      </c>
      <c r="H191" s="64" t="str">
        <f t="array" ref="H191">IFERROR(INDEX($B$1:$B$247, SMALL(IF($D$1:$D$247=$E$4,ROW($D$1:$D$247)),ROW()-2),1),"")</f>
        <v/>
      </c>
      <c r="I191" s="64" t="str">
        <f t="array" ref="I191">IFERROR(INDEX($C$1:$C$247, SMALL(IF($D$1:$D$247=$E$4,ROW($D$1:$D$247)),ROW()-2),1),"")</f>
        <v/>
      </c>
      <c r="J191" s="65" t="str">
        <f t="array" ref="J191">IFERROR(INDEX($B$1:$B$247, SMALL(IF($D$1:$D$247=$E$5,ROW($D$1:$D$247)),ROW()-2),1),"")</f>
        <v/>
      </c>
      <c r="K191" s="65" t="str">
        <f t="array" ref="K191">IFERROR(INDEX($C$1:$C$247, SMALL(IF($D$1:$D$247=$E$5,ROW($D$1:$D$247)),ROW()-2),1),"")</f>
        <v/>
      </c>
    </row>
    <row r="192" spans="1:11" ht="15.75">
      <c r="A192" s="11">
        <f t="shared" ca="1" si="4"/>
        <v>0.48943395216043328</v>
      </c>
      <c r="B192" s="60">
        <f>Data!I29</f>
        <v>1.6</v>
      </c>
      <c r="C192" s="60">
        <f>Data!J29</f>
        <v>56.420400000000001</v>
      </c>
      <c r="D192" s="61">
        <f t="array" ref="D192">MOD(ROW(), 3) + 1</f>
        <v>1</v>
      </c>
      <c r="E192" s="11"/>
      <c r="F192" s="63" t="str">
        <f t="array" ref="F192">IFERROR(INDEX($B$1:$B$247, SMALL(IF($D$1:$D$247=$E$3,ROW($D$1:$D$247)),ROW()-2),1),"")</f>
        <v/>
      </c>
      <c r="G192" s="63" t="str">
        <f t="array" ref="G192">IFERROR(INDEX($C$1:$C$247, SMALL(IF($D$1:$D$247=$E$3,ROW($D$1:$D$247)),ROW()-2),1),"")</f>
        <v/>
      </c>
      <c r="H192" s="64" t="str">
        <f t="array" ref="H192">IFERROR(INDEX($B$1:$B$247, SMALL(IF($D$1:$D$247=$E$4,ROW($D$1:$D$247)),ROW()-2),1),"")</f>
        <v/>
      </c>
      <c r="I192" s="64" t="str">
        <f t="array" ref="I192">IFERROR(INDEX($C$1:$C$247, SMALL(IF($D$1:$D$247=$E$4,ROW($D$1:$D$247)),ROW()-2),1),"")</f>
        <v/>
      </c>
      <c r="J192" s="65" t="str">
        <f t="array" ref="J192">IFERROR(INDEX($B$1:$B$247, SMALL(IF($D$1:$D$247=$E$5,ROW($D$1:$D$247)),ROW()-2),1),"")</f>
        <v/>
      </c>
      <c r="K192" s="65" t="str">
        <f t="array" ref="K192">IFERROR(INDEX($C$1:$C$247, SMALL(IF($D$1:$D$247=$E$5,ROW($D$1:$D$247)),ROW()-2),1),"")</f>
        <v/>
      </c>
    </row>
    <row r="193" spans="1:11" ht="15.75">
      <c r="A193" s="11">
        <f t="shared" ca="1" si="4"/>
        <v>0.58893760399654682</v>
      </c>
      <c r="B193" s="60">
        <f>Data!I128</f>
        <v>3.7</v>
      </c>
      <c r="C193" s="60">
        <f>Data!J128</f>
        <v>28.1</v>
      </c>
      <c r="D193" s="61">
        <f t="array" ref="D193">MOD(ROW(), 3) + 1</f>
        <v>2</v>
      </c>
      <c r="E193" s="11"/>
      <c r="F193" s="63" t="str">
        <f t="array" ref="F193">IFERROR(INDEX($B$1:$B$247, SMALL(IF($D$1:$D$247=$E$3,ROW($D$1:$D$247)),ROW()-2),1),"")</f>
        <v/>
      </c>
      <c r="G193" s="63" t="str">
        <f t="array" ref="G193">IFERROR(INDEX($C$1:$C$247, SMALL(IF($D$1:$D$247=$E$3,ROW($D$1:$D$247)),ROW()-2),1),"")</f>
        <v/>
      </c>
      <c r="H193" s="64" t="str">
        <f t="array" ref="H193">IFERROR(INDEX($B$1:$B$247, SMALL(IF($D$1:$D$247=$E$4,ROW($D$1:$D$247)),ROW()-2),1),"")</f>
        <v/>
      </c>
      <c r="I193" s="64" t="str">
        <f t="array" ref="I193">IFERROR(INDEX($C$1:$C$247, SMALL(IF($D$1:$D$247=$E$4,ROW($D$1:$D$247)),ROW()-2),1),"")</f>
        <v/>
      </c>
      <c r="J193" s="65" t="str">
        <f t="array" ref="J193">IFERROR(INDEX($B$1:$B$247, SMALL(IF($D$1:$D$247=$E$5,ROW($D$1:$D$247)),ROW()-2),1),"")</f>
        <v/>
      </c>
      <c r="K193" s="65" t="str">
        <f t="array" ref="K193">IFERROR(INDEX($C$1:$C$247, SMALL(IF($D$1:$D$247=$E$5,ROW($D$1:$D$247)),ROW()-2),1),"")</f>
        <v/>
      </c>
    </row>
    <row r="194" spans="1:11" ht="15.75">
      <c r="A194" s="11">
        <f t="shared" ca="1" si="4"/>
        <v>6.9712072861804031E-2</v>
      </c>
      <c r="B194" s="60">
        <f>Data!I129</f>
        <v>4.7</v>
      </c>
      <c r="C194" s="60">
        <f>Data!J129</f>
        <v>25.7</v>
      </c>
      <c r="D194" s="61">
        <f t="array" ref="D194">MOD(ROW(), 3) + 1</f>
        <v>3</v>
      </c>
      <c r="E194" s="11"/>
      <c r="F194" s="63" t="str">
        <f t="array" ref="F194">IFERROR(INDEX($B$1:$B$247, SMALL(IF($D$1:$D$247=$E$3,ROW($D$1:$D$247)),ROW()-2),1),"")</f>
        <v/>
      </c>
      <c r="G194" s="63" t="str">
        <f t="array" ref="G194">IFERROR(INDEX($C$1:$C$247, SMALL(IF($D$1:$D$247=$E$3,ROW($D$1:$D$247)),ROW()-2),1),"")</f>
        <v/>
      </c>
      <c r="H194" s="64" t="str">
        <f t="array" ref="H194">IFERROR(INDEX($B$1:$B$247, SMALL(IF($D$1:$D$247=$E$4,ROW($D$1:$D$247)),ROW()-2),1),"")</f>
        <v/>
      </c>
      <c r="I194" s="64" t="str">
        <f t="array" ref="I194">IFERROR(INDEX($C$1:$C$247, SMALL(IF($D$1:$D$247=$E$4,ROW($D$1:$D$247)),ROW()-2),1),"")</f>
        <v/>
      </c>
      <c r="J194" s="65" t="str">
        <f t="array" ref="J194">IFERROR(INDEX($B$1:$B$247, SMALL(IF($D$1:$D$247=$E$5,ROW($D$1:$D$247)),ROW()-2),1),"")</f>
        <v/>
      </c>
      <c r="K194" s="65" t="str">
        <f t="array" ref="K194">IFERROR(INDEX($C$1:$C$247, SMALL(IF($D$1:$D$247=$E$5,ROW($D$1:$D$247)),ROW()-2),1),"")</f>
        <v/>
      </c>
    </row>
    <row r="195" spans="1:11" ht="15.75">
      <c r="A195" s="11">
        <f t="shared" ref="A195:A247" ca="1" si="5">RAND()</f>
        <v>0.4153274956296894</v>
      </c>
      <c r="B195" s="60">
        <f>Data!I203</f>
        <v>3.6</v>
      </c>
      <c r="C195" s="60">
        <f>Data!J203</f>
        <v>31.2</v>
      </c>
      <c r="D195" s="61">
        <f t="array" ref="D195">MOD(ROW(), 3) + 1</f>
        <v>1</v>
      </c>
      <c r="E195" s="11"/>
      <c r="F195" s="63" t="str">
        <f t="array" ref="F195">IFERROR(INDEX($B$1:$B$247, SMALL(IF($D$1:$D$247=$E$3,ROW($D$1:$D$247)),ROW()-2),1),"")</f>
        <v/>
      </c>
      <c r="G195" s="63" t="str">
        <f t="array" ref="G195">IFERROR(INDEX($C$1:$C$247, SMALL(IF($D$1:$D$247=$E$3,ROW($D$1:$D$247)),ROW()-2),1),"")</f>
        <v/>
      </c>
      <c r="H195" s="64" t="str">
        <f t="array" ref="H195">IFERROR(INDEX($B$1:$B$247, SMALL(IF($D$1:$D$247=$E$4,ROW($D$1:$D$247)),ROW()-2),1),"")</f>
        <v/>
      </c>
      <c r="I195" s="64" t="str">
        <f t="array" ref="I195">IFERROR(INDEX($C$1:$C$247, SMALL(IF($D$1:$D$247=$E$4,ROW($D$1:$D$247)),ROW()-2),1),"")</f>
        <v/>
      </c>
      <c r="J195" s="65" t="str">
        <f t="array" ref="J195">IFERROR(INDEX($B$1:$B$247, SMALL(IF($D$1:$D$247=$E$5,ROW($D$1:$D$247)),ROW()-2),1),"")</f>
        <v/>
      </c>
      <c r="K195" s="65" t="str">
        <f t="array" ref="K195">IFERROR(INDEX($C$1:$C$247, SMALL(IF($D$1:$D$247=$E$5,ROW($D$1:$D$247)),ROW()-2),1),"")</f>
        <v/>
      </c>
    </row>
    <row r="196" spans="1:11" ht="15.75">
      <c r="A196" s="11">
        <f t="shared" ca="1" si="5"/>
        <v>0.77889538832634686</v>
      </c>
      <c r="B196" s="60">
        <f>Data!I48</f>
        <v>3.6</v>
      </c>
      <c r="C196" s="60">
        <f>Data!J48</f>
        <v>40.5</v>
      </c>
      <c r="D196" s="61">
        <f t="array" ref="D196">MOD(ROW(), 3) + 1</f>
        <v>2</v>
      </c>
      <c r="E196" s="11"/>
      <c r="F196" s="63" t="str">
        <f t="array" ref="F196">IFERROR(INDEX($B$1:$B$247, SMALL(IF($D$1:$D$247=$E$3,ROW($D$1:$D$247)),ROW()-2),1),"")</f>
        <v/>
      </c>
      <c r="G196" s="63" t="str">
        <f t="array" ref="G196">IFERROR(INDEX($C$1:$C$247, SMALL(IF($D$1:$D$247=$E$3,ROW($D$1:$D$247)),ROW()-2),1),"")</f>
        <v/>
      </c>
      <c r="H196" s="64" t="str">
        <f t="array" ref="H196">IFERROR(INDEX($B$1:$B$247, SMALL(IF($D$1:$D$247=$E$4,ROW($D$1:$D$247)),ROW()-2),1),"")</f>
        <v/>
      </c>
      <c r="I196" s="64" t="str">
        <f t="array" ref="I196">IFERROR(INDEX($C$1:$C$247, SMALL(IF($D$1:$D$247=$E$4,ROW($D$1:$D$247)),ROW()-2),1),"")</f>
        <v/>
      </c>
      <c r="J196" s="65" t="str">
        <f t="array" ref="J196">IFERROR(INDEX($B$1:$B$247, SMALL(IF($D$1:$D$247=$E$5,ROW($D$1:$D$247)),ROW()-2),1),"")</f>
        <v/>
      </c>
      <c r="K196" s="65" t="str">
        <f t="array" ref="K196">IFERROR(INDEX($C$1:$C$247, SMALL(IF($D$1:$D$247=$E$5,ROW($D$1:$D$247)),ROW()-2),1),"")</f>
        <v/>
      </c>
    </row>
    <row r="197" spans="1:11" ht="15.75">
      <c r="A197" s="11">
        <f t="shared" ca="1" si="5"/>
        <v>0.59055493699212736</v>
      </c>
      <c r="B197" s="60">
        <f>Data!I185</f>
        <v>2.4</v>
      </c>
      <c r="C197" s="60">
        <f>Data!J185</f>
        <v>40.299999999999997</v>
      </c>
      <c r="D197" s="61">
        <f t="array" ref="D197">MOD(ROW(), 3) + 1</f>
        <v>3</v>
      </c>
      <c r="E197" s="11"/>
      <c r="F197" s="63" t="str">
        <f t="array" ref="F197">IFERROR(INDEX($B$1:$B$247, SMALL(IF($D$1:$D$247=$E$3,ROW($D$1:$D$247)),ROW()-2),1),"")</f>
        <v/>
      </c>
      <c r="G197" s="63" t="str">
        <f t="array" ref="G197">IFERROR(INDEX($C$1:$C$247, SMALL(IF($D$1:$D$247=$E$3,ROW($D$1:$D$247)),ROW()-2),1),"")</f>
        <v/>
      </c>
      <c r="H197" s="64" t="str">
        <f t="array" ref="H197">IFERROR(INDEX($B$1:$B$247, SMALL(IF($D$1:$D$247=$E$4,ROW($D$1:$D$247)),ROW()-2),1),"")</f>
        <v/>
      </c>
      <c r="I197" s="64" t="str">
        <f t="array" ref="I197">IFERROR(INDEX($C$1:$C$247, SMALL(IF($D$1:$D$247=$E$4,ROW($D$1:$D$247)),ROW()-2),1),"")</f>
        <v/>
      </c>
      <c r="J197" s="65" t="str">
        <f t="array" ref="J197">IFERROR(INDEX($B$1:$B$247, SMALL(IF($D$1:$D$247=$E$5,ROW($D$1:$D$247)),ROW()-2),1),"")</f>
        <v/>
      </c>
      <c r="K197" s="65" t="str">
        <f t="array" ref="K197">IFERROR(INDEX($C$1:$C$247, SMALL(IF($D$1:$D$247=$E$5,ROW($D$1:$D$247)),ROW()-2),1),"")</f>
        <v/>
      </c>
    </row>
    <row r="198" spans="1:11" ht="15.75">
      <c r="A198" s="11">
        <f t="shared" ca="1" si="5"/>
        <v>0.10603381416027291</v>
      </c>
      <c r="B198" s="60">
        <f>Data!I107</f>
        <v>4.4000000000000004</v>
      </c>
      <c r="C198" s="60">
        <f>Data!J107</f>
        <v>29.837800000000001</v>
      </c>
      <c r="D198" s="61">
        <f t="array" ref="D198">MOD(ROW(), 3) + 1</f>
        <v>1</v>
      </c>
      <c r="E198" s="11"/>
      <c r="F198" s="63" t="str">
        <f t="array" ref="F198">IFERROR(INDEX($B$1:$B$247, SMALL(IF($D$1:$D$247=$E$3,ROW($D$1:$D$247)),ROW()-2),1),"")</f>
        <v/>
      </c>
      <c r="G198" s="63" t="str">
        <f t="array" ref="G198">IFERROR(INDEX($C$1:$C$247, SMALL(IF($D$1:$D$247=$E$3,ROW($D$1:$D$247)),ROW()-2),1),"")</f>
        <v/>
      </c>
      <c r="H198" s="64" t="str">
        <f t="array" ref="H198">IFERROR(INDEX($B$1:$B$247, SMALL(IF($D$1:$D$247=$E$4,ROW($D$1:$D$247)),ROW()-2),1),"")</f>
        <v/>
      </c>
      <c r="I198" s="64" t="str">
        <f t="array" ref="I198">IFERROR(INDEX($C$1:$C$247, SMALL(IF($D$1:$D$247=$E$4,ROW($D$1:$D$247)),ROW()-2),1),"")</f>
        <v/>
      </c>
      <c r="J198" s="65" t="str">
        <f t="array" ref="J198">IFERROR(INDEX($B$1:$B$247, SMALL(IF($D$1:$D$247=$E$5,ROW($D$1:$D$247)),ROW()-2),1),"")</f>
        <v/>
      </c>
      <c r="K198" s="65" t="str">
        <f t="array" ref="K198">IFERROR(INDEX($C$1:$C$247, SMALL(IF($D$1:$D$247=$E$5,ROW($D$1:$D$247)),ROW()-2),1),"")</f>
        <v/>
      </c>
    </row>
    <row r="199" spans="1:11" ht="15.75">
      <c r="A199" s="11">
        <f t="shared" ca="1" si="5"/>
        <v>0.83088069373573037</v>
      </c>
      <c r="B199" s="60">
        <f>Data!I98</f>
        <v>4.2</v>
      </c>
      <c r="C199" s="60">
        <f>Data!J98</f>
        <v>35.722200000000001</v>
      </c>
      <c r="D199" s="61">
        <f t="array" ref="D199">MOD(ROW(), 3) + 1</f>
        <v>2</v>
      </c>
      <c r="E199" s="11"/>
      <c r="F199" s="63" t="str">
        <f t="array" ref="F199">IFERROR(INDEX($B$1:$B$247, SMALL(IF($D$1:$D$247=$E$3,ROW($D$1:$D$247)),ROW()-2),1),"")</f>
        <v/>
      </c>
      <c r="G199" s="63" t="str">
        <f t="array" ref="G199">IFERROR(INDEX($C$1:$C$247, SMALL(IF($D$1:$D$247=$E$3,ROW($D$1:$D$247)),ROW()-2),1),"")</f>
        <v/>
      </c>
      <c r="H199" s="64" t="str">
        <f t="array" ref="H199">IFERROR(INDEX($B$1:$B$247, SMALL(IF($D$1:$D$247=$E$4,ROW($D$1:$D$247)),ROW()-2),1),"")</f>
        <v/>
      </c>
      <c r="I199" s="64" t="str">
        <f t="array" ref="I199">IFERROR(INDEX($C$1:$C$247, SMALL(IF($D$1:$D$247=$E$4,ROW($D$1:$D$247)),ROW()-2),1),"")</f>
        <v/>
      </c>
      <c r="J199" s="65" t="str">
        <f t="array" ref="J199">IFERROR(INDEX($B$1:$B$247, SMALL(IF($D$1:$D$247=$E$5,ROW($D$1:$D$247)),ROW()-2),1),"")</f>
        <v/>
      </c>
      <c r="K199" s="65" t="str">
        <f t="array" ref="K199">IFERROR(INDEX($C$1:$C$247, SMALL(IF($D$1:$D$247=$E$5,ROW($D$1:$D$247)),ROW()-2),1),"")</f>
        <v/>
      </c>
    </row>
    <row r="200" spans="1:11" ht="15.75">
      <c r="A200" s="11">
        <f t="shared" ca="1" si="5"/>
        <v>8.2964415256471802E-2</v>
      </c>
      <c r="B200" s="60">
        <f>Data!I232</f>
        <v>4.5999999999999996</v>
      </c>
      <c r="C200" s="60">
        <f>Data!J232</f>
        <v>21.9</v>
      </c>
      <c r="D200" s="61">
        <f t="array" ref="D200">MOD(ROW(), 3) + 1</f>
        <v>3</v>
      </c>
      <c r="E200" s="11"/>
      <c r="F200" s="63" t="str">
        <f t="array" ref="F200">IFERROR(INDEX($B$1:$B$247, SMALL(IF($D$1:$D$247=$E$3,ROW($D$1:$D$247)),ROW()-2),1),"")</f>
        <v/>
      </c>
      <c r="G200" s="63" t="str">
        <f t="array" ref="G200">IFERROR(INDEX($C$1:$C$247, SMALL(IF($D$1:$D$247=$E$3,ROW($D$1:$D$247)),ROW()-2),1),"")</f>
        <v/>
      </c>
      <c r="H200" s="64" t="str">
        <f t="array" ref="H200">IFERROR(INDEX($B$1:$B$247, SMALL(IF($D$1:$D$247=$E$4,ROW($D$1:$D$247)),ROW()-2),1),"")</f>
        <v/>
      </c>
      <c r="I200" s="64" t="str">
        <f t="array" ref="I200">IFERROR(INDEX($C$1:$C$247, SMALL(IF($D$1:$D$247=$E$4,ROW($D$1:$D$247)),ROW()-2),1),"")</f>
        <v/>
      </c>
      <c r="J200" s="65" t="str">
        <f t="array" ref="J200">IFERROR(INDEX($B$1:$B$247, SMALL(IF($D$1:$D$247=$E$5,ROW($D$1:$D$247)),ROW()-2),1),"")</f>
        <v/>
      </c>
      <c r="K200" s="65" t="str">
        <f t="array" ref="K200">IFERROR(INDEX($C$1:$C$247, SMALL(IF($D$1:$D$247=$E$5,ROW($D$1:$D$247)),ROW()-2),1),"")</f>
        <v/>
      </c>
    </row>
    <row r="201" spans="1:11" ht="15.75">
      <c r="A201" s="11">
        <f t="shared" ca="1" si="5"/>
        <v>0.58557524621495538</v>
      </c>
      <c r="B201" s="60">
        <f>Data!I50</f>
        <v>6.4</v>
      </c>
      <c r="C201" s="60">
        <f>Data!J50</f>
        <v>31.4</v>
      </c>
      <c r="D201" s="61">
        <f t="array" ref="D201">MOD(ROW(), 3) + 1</f>
        <v>1</v>
      </c>
      <c r="E201" s="11"/>
      <c r="F201" s="63" t="str">
        <f t="array" ref="F201">IFERROR(INDEX($B$1:$B$247, SMALL(IF($D$1:$D$247=$E$3,ROW($D$1:$D$247)),ROW()-2),1),"")</f>
        <v/>
      </c>
      <c r="G201" s="63" t="str">
        <f t="array" ref="G201">IFERROR(INDEX($C$1:$C$247, SMALL(IF($D$1:$D$247=$E$3,ROW($D$1:$D$247)),ROW()-2),1),"")</f>
        <v/>
      </c>
      <c r="H201" s="64" t="str">
        <f t="array" ref="H201">IFERROR(INDEX($B$1:$B$247, SMALL(IF($D$1:$D$247=$E$4,ROW($D$1:$D$247)),ROW()-2),1),"")</f>
        <v/>
      </c>
      <c r="I201" s="64" t="str">
        <f t="array" ref="I201">IFERROR(INDEX($C$1:$C$247, SMALL(IF($D$1:$D$247=$E$4,ROW($D$1:$D$247)),ROW()-2),1),"")</f>
        <v/>
      </c>
      <c r="J201" s="65" t="str">
        <f t="array" ref="J201">IFERROR(INDEX($B$1:$B$247, SMALL(IF($D$1:$D$247=$E$5,ROW($D$1:$D$247)),ROW()-2),1),"")</f>
        <v/>
      </c>
      <c r="K201" s="65" t="str">
        <f t="array" ref="K201">IFERROR(INDEX($C$1:$C$247, SMALL(IF($D$1:$D$247=$E$5,ROW($D$1:$D$247)),ROW()-2),1),"")</f>
        <v/>
      </c>
    </row>
    <row r="202" spans="1:11" ht="15.75">
      <c r="A202" s="11">
        <f t="shared" ca="1" si="5"/>
        <v>0.63128379421590608</v>
      </c>
      <c r="B202" s="60">
        <f>Data!I174</f>
        <v>6</v>
      </c>
      <c r="C202" s="60">
        <f>Data!J174</f>
        <v>21.7</v>
      </c>
      <c r="D202" s="61">
        <f t="array" ref="D202">MOD(ROW(), 3) + 1</f>
        <v>2</v>
      </c>
      <c r="E202" s="11"/>
      <c r="F202" s="63" t="str">
        <f t="array" ref="F202">IFERROR(INDEX($B$1:$B$247, SMALL(IF($D$1:$D$247=$E$3,ROW($D$1:$D$247)),ROW()-2),1),"")</f>
        <v/>
      </c>
      <c r="G202" s="63" t="str">
        <f t="array" ref="G202">IFERROR(INDEX($C$1:$C$247, SMALL(IF($D$1:$D$247=$E$3,ROW($D$1:$D$247)),ROW()-2),1),"")</f>
        <v/>
      </c>
      <c r="H202" s="64" t="str">
        <f t="array" ref="H202">IFERROR(INDEX($B$1:$B$247, SMALL(IF($D$1:$D$247=$E$4,ROW($D$1:$D$247)),ROW()-2),1),"")</f>
        <v/>
      </c>
      <c r="I202" s="64" t="str">
        <f t="array" ref="I202">IFERROR(INDEX($C$1:$C$247, SMALL(IF($D$1:$D$247=$E$4,ROW($D$1:$D$247)),ROW()-2),1),"")</f>
        <v/>
      </c>
      <c r="J202" s="65" t="str">
        <f t="array" ref="J202">IFERROR(INDEX($B$1:$B$247, SMALL(IF($D$1:$D$247=$E$5,ROW($D$1:$D$247)),ROW()-2),1),"")</f>
        <v/>
      </c>
      <c r="K202" s="65" t="str">
        <f t="array" ref="K202">IFERROR(INDEX($C$1:$C$247, SMALL(IF($D$1:$D$247=$E$5,ROW($D$1:$D$247)),ROW()-2),1),"")</f>
        <v/>
      </c>
    </row>
    <row r="203" spans="1:11" ht="15.75">
      <c r="A203" s="11">
        <f t="shared" ca="1" si="5"/>
        <v>0.9558138729082204</v>
      </c>
      <c r="B203" s="60">
        <f>Data!I207</f>
        <v>4</v>
      </c>
      <c r="C203" s="60">
        <f>Data!J207</f>
        <v>28.5</v>
      </c>
      <c r="D203" s="61">
        <f t="array" ref="D203">MOD(ROW(), 3) + 1</f>
        <v>3</v>
      </c>
      <c r="E203" s="11"/>
      <c r="F203" s="63" t="str">
        <f t="array" ref="F203">IFERROR(INDEX($B$1:$B$247, SMALL(IF($D$1:$D$247=$E$3,ROW($D$1:$D$247)),ROW()-2),1),"")</f>
        <v/>
      </c>
      <c r="G203" s="63" t="str">
        <f t="array" ref="G203">IFERROR(INDEX($C$1:$C$247, SMALL(IF($D$1:$D$247=$E$3,ROW($D$1:$D$247)),ROW()-2),1),"")</f>
        <v/>
      </c>
      <c r="H203" s="64" t="str">
        <f t="array" ref="H203">IFERROR(INDEX($B$1:$B$247, SMALL(IF($D$1:$D$247=$E$4,ROW($D$1:$D$247)),ROW()-2),1),"")</f>
        <v/>
      </c>
      <c r="I203" s="64" t="str">
        <f t="array" ref="I203">IFERROR(INDEX($C$1:$C$247, SMALL(IF($D$1:$D$247=$E$4,ROW($D$1:$D$247)),ROW()-2),1),"")</f>
        <v/>
      </c>
      <c r="J203" s="65" t="str">
        <f t="array" ref="J203">IFERROR(INDEX($B$1:$B$247, SMALL(IF($D$1:$D$247=$E$5,ROW($D$1:$D$247)),ROW()-2),1),"")</f>
        <v/>
      </c>
      <c r="K203" s="65" t="str">
        <f t="array" ref="K203">IFERROR(INDEX($C$1:$C$247, SMALL(IF($D$1:$D$247=$E$5,ROW($D$1:$D$247)),ROW()-2),1),"")</f>
        <v/>
      </c>
    </row>
    <row r="204" spans="1:11" ht="15.75">
      <c r="A204" s="11">
        <f t="shared" ca="1" si="5"/>
        <v>0.71628372494430159</v>
      </c>
      <c r="B204" s="60">
        <f>Data!I132</f>
        <v>5.7</v>
      </c>
      <c r="C204" s="60">
        <f>Data!J132</f>
        <v>27.2</v>
      </c>
      <c r="D204" s="61">
        <f t="array" ref="D204">MOD(ROW(), 3) + 1</f>
        <v>1</v>
      </c>
      <c r="E204" s="11"/>
      <c r="F204" s="63" t="str">
        <f t="array" ref="F204">IFERROR(INDEX($B$1:$B$247, SMALL(IF($D$1:$D$247=$E$3,ROW($D$1:$D$247)),ROW()-2),1),"")</f>
        <v/>
      </c>
      <c r="G204" s="63" t="str">
        <f t="array" ref="G204">IFERROR(INDEX($C$1:$C$247, SMALL(IF($D$1:$D$247=$E$3,ROW($D$1:$D$247)),ROW()-2),1),"")</f>
        <v/>
      </c>
      <c r="H204" s="64" t="str">
        <f t="array" ref="H204">IFERROR(INDEX($B$1:$B$247, SMALL(IF($D$1:$D$247=$E$4,ROW($D$1:$D$247)),ROW()-2),1),"")</f>
        <v/>
      </c>
      <c r="I204" s="64" t="str">
        <f t="array" ref="I204">IFERROR(INDEX($C$1:$C$247, SMALL(IF($D$1:$D$247=$E$4,ROW($D$1:$D$247)),ROW()-2),1),"")</f>
        <v/>
      </c>
      <c r="J204" s="65" t="str">
        <f t="array" ref="J204">IFERROR(INDEX($B$1:$B$247, SMALL(IF($D$1:$D$247=$E$5,ROW($D$1:$D$247)),ROW()-2),1),"")</f>
        <v/>
      </c>
      <c r="K204" s="65" t="str">
        <f t="array" ref="K204">IFERROR(INDEX($C$1:$C$247, SMALL(IF($D$1:$D$247=$E$5,ROW($D$1:$D$247)),ROW()-2),1),"")</f>
        <v/>
      </c>
    </row>
    <row r="205" spans="1:11" ht="15.75">
      <c r="A205" s="11">
        <f t="shared" ca="1" si="5"/>
        <v>0.28888954624951446</v>
      </c>
      <c r="B205" s="60">
        <f>Data!I59</f>
        <v>1.6</v>
      </c>
      <c r="C205" s="60">
        <f>Data!J59</f>
        <v>43.7</v>
      </c>
      <c r="D205" s="61">
        <f t="array" ref="D205">MOD(ROW(), 3) + 1</f>
        <v>2</v>
      </c>
      <c r="E205" s="11"/>
      <c r="F205" s="63" t="str">
        <f t="array" ref="F205">IFERROR(INDEX($B$1:$B$247, SMALL(IF($D$1:$D$247=$E$3,ROW($D$1:$D$247)),ROW()-2),1),"")</f>
        <v/>
      </c>
      <c r="G205" s="63" t="str">
        <f t="array" ref="G205">IFERROR(INDEX($C$1:$C$247, SMALL(IF($D$1:$D$247=$E$3,ROW($D$1:$D$247)),ROW()-2),1),"")</f>
        <v/>
      </c>
      <c r="H205" s="64" t="str">
        <f t="array" ref="H205">IFERROR(INDEX($B$1:$B$247, SMALL(IF($D$1:$D$247=$E$4,ROW($D$1:$D$247)),ROW()-2),1),"")</f>
        <v/>
      </c>
      <c r="I205" s="64" t="str">
        <f t="array" ref="I205">IFERROR(INDEX($C$1:$C$247, SMALL(IF($D$1:$D$247=$E$4,ROW($D$1:$D$247)),ROW()-2),1),"")</f>
        <v/>
      </c>
      <c r="J205" s="65" t="str">
        <f t="array" ref="J205">IFERROR(INDEX($B$1:$B$247, SMALL(IF($D$1:$D$247=$E$5,ROW($D$1:$D$247)),ROW()-2),1),"")</f>
        <v/>
      </c>
      <c r="K205" s="65" t="str">
        <f t="array" ref="K205">IFERROR(INDEX($C$1:$C$247, SMALL(IF($D$1:$D$247=$E$5,ROW($D$1:$D$247)),ROW()-2),1),"")</f>
        <v/>
      </c>
    </row>
    <row r="206" spans="1:11" ht="15.75">
      <c r="A206" s="11">
        <f t="shared" ca="1" si="5"/>
        <v>0.5075640390738454</v>
      </c>
      <c r="B206" s="60">
        <f>Data!I58</f>
        <v>1.6</v>
      </c>
      <c r="C206" s="60">
        <f>Data!J58</f>
        <v>42.8</v>
      </c>
      <c r="D206" s="61">
        <f t="array" ref="D206">MOD(ROW(), 3) + 1</f>
        <v>3</v>
      </c>
      <c r="E206" s="11"/>
      <c r="F206" s="63" t="str">
        <f t="array" ref="F206">IFERROR(INDEX($B$1:$B$247, SMALL(IF($D$1:$D$247=$E$3,ROW($D$1:$D$247)),ROW()-2),1),"")</f>
        <v/>
      </c>
      <c r="G206" s="63" t="str">
        <f t="array" ref="G206">IFERROR(INDEX($C$1:$C$247, SMALL(IF($D$1:$D$247=$E$3,ROW($D$1:$D$247)),ROW()-2),1),"")</f>
        <v/>
      </c>
      <c r="H206" s="64" t="str">
        <f t="array" ref="H206">IFERROR(INDEX($B$1:$B$247, SMALL(IF($D$1:$D$247=$E$4,ROW($D$1:$D$247)),ROW()-2),1),"")</f>
        <v/>
      </c>
      <c r="I206" s="64" t="str">
        <f t="array" ref="I206">IFERROR(INDEX($C$1:$C$247, SMALL(IF($D$1:$D$247=$E$4,ROW($D$1:$D$247)),ROW()-2),1),"")</f>
        <v/>
      </c>
      <c r="J206" s="65" t="str">
        <f t="array" ref="J206">IFERROR(INDEX($B$1:$B$247, SMALL(IF($D$1:$D$247=$E$5,ROW($D$1:$D$247)),ROW()-2),1),"")</f>
        <v/>
      </c>
      <c r="K206" s="65" t="str">
        <f t="array" ref="K206">IFERROR(INDEX($C$1:$C$247, SMALL(IF($D$1:$D$247=$E$5,ROW($D$1:$D$247)),ROW()-2),1),"")</f>
        <v/>
      </c>
    </row>
    <row r="207" spans="1:11" ht="15.75">
      <c r="A207" s="11">
        <f t="shared" ca="1" si="5"/>
        <v>0.60950557993349264</v>
      </c>
      <c r="B207" s="60">
        <f>Data!I120</f>
        <v>1.6</v>
      </c>
      <c r="C207" s="60">
        <f>Data!J120</f>
        <v>41.7</v>
      </c>
      <c r="D207" s="61">
        <f t="array" ref="D207">MOD(ROW(), 3) + 1</f>
        <v>1</v>
      </c>
      <c r="E207" s="11"/>
      <c r="F207" s="63" t="str">
        <f t="array" ref="F207">IFERROR(INDEX($B$1:$B$247, SMALL(IF($D$1:$D$247=$E$3,ROW($D$1:$D$247)),ROW()-2),1),"")</f>
        <v/>
      </c>
      <c r="G207" s="63" t="str">
        <f t="array" ref="G207">IFERROR(INDEX($C$1:$C$247, SMALL(IF($D$1:$D$247=$E$3,ROW($D$1:$D$247)),ROW()-2),1),"")</f>
        <v/>
      </c>
      <c r="H207" s="64" t="str">
        <f t="array" ref="H207">IFERROR(INDEX($B$1:$B$247, SMALL(IF($D$1:$D$247=$E$4,ROW($D$1:$D$247)),ROW()-2),1),"")</f>
        <v/>
      </c>
      <c r="I207" s="64" t="str">
        <f t="array" ref="I207">IFERROR(INDEX($C$1:$C$247, SMALL(IF($D$1:$D$247=$E$4,ROW($D$1:$D$247)),ROW()-2),1),"")</f>
        <v/>
      </c>
      <c r="J207" s="65" t="str">
        <f t="array" ref="J207">IFERROR(INDEX($B$1:$B$247, SMALL(IF($D$1:$D$247=$E$5,ROW($D$1:$D$247)),ROW()-2),1),"")</f>
        <v/>
      </c>
      <c r="K207" s="65" t="str">
        <f t="array" ref="K207">IFERROR(INDEX($C$1:$C$247, SMALL(IF($D$1:$D$247=$E$5,ROW($D$1:$D$247)),ROW()-2),1),"")</f>
        <v/>
      </c>
    </row>
    <row r="208" spans="1:11" ht="15.75">
      <c r="A208" s="11">
        <f t="shared" ca="1" si="5"/>
        <v>0.38610674604441197</v>
      </c>
      <c r="B208" s="60">
        <f>Data!I63</f>
        <v>2.5</v>
      </c>
      <c r="C208" s="60">
        <f>Data!J63</f>
        <v>36.655700000000003</v>
      </c>
      <c r="D208" s="61">
        <f t="array" ref="D208">MOD(ROW(), 3) + 1</f>
        <v>2</v>
      </c>
      <c r="E208" s="11"/>
      <c r="F208" s="63" t="str">
        <f t="array" ref="F208">IFERROR(INDEX($B$1:$B$247, SMALL(IF($D$1:$D$247=$E$3,ROW($D$1:$D$247)),ROW()-2),1),"")</f>
        <v/>
      </c>
      <c r="G208" s="63" t="str">
        <f t="array" ref="G208">IFERROR(INDEX($C$1:$C$247, SMALL(IF($D$1:$D$247=$E$3,ROW($D$1:$D$247)),ROW()-2),1),"")</f>
        <v/>
      </c>
      <c r="H208" s="64" t="str">
        <f t="array" ref="H208">IFERROR(INDEX($B$1:$B$247, SMALL(IF($D$1:$D$247=$E$4,ROW($D$1:$D$247)),ROW()-2),1),"")</f>
        <v/>
      </c>
      <c r="I208" s="64" t="str">
        <f t="array" ref="I208">IFERROR(INDEX($C$1:$C$247, SMALL(IF($D$1:$D$247=$E$4,ROW($D$1:$D$247)),ROW()-2),1),"")</f>
        <v/>
      </c>
      <c r="J208" s="65" t="str">
        <f t="array" ref="J208">IFERROR(INDEX($B$1:$B$247, SMALL(IF($D$1:$D$247=$E$5,ROW($D$1:$D$247)),ROW()-2),1),"")</f>
        <v/>
      </c>
      <c r="K208" s="65" t="str">
        <f t="array" ref="K208">IFERROR(INDEX($C$1:$C$247, SMALL(IF($D$1:$D$247=$E$5,ROW($D$1:$D$247)),ROW()-2),1),"")</f>
        <v/>
      </c>
    </row>
    <row r="209" spans="1:11" ht="15.75">
      <c r="A209" s="11">
        <f t="shared" ca="1" si="5"/>
        <v>0.94988001426087521</v>
      </c>
      <c r="B209" s="60">
        <f>Data!I49</f>
        <v>6.4</v>
      </c>
      <c r="C209" s="60">
        <f>Data!J49</f>
        <v>29.9499</v>
      </c>
      <c r="D209" s="61">
        <f t="array" ref="D209">MOD(ROW(), 3) + 1</f>
        <v>3</v>
      </c>
      <c r="E209" s="11"/>
      <c r="F209" s="63" t="str">
        <f t="array" ref="F209">IFERROR(INDEX($B$1:$B$247, SMALL(IF($D$1:$D$247=$E$3,ROW($D$1:$D$247)),ROW()-2),1),"")</f>
        <v/>
      </c>
      <c r="G209" s="63" t="str">
        <f t="array" ref="G209">IFERROR(INDEX($C$1:$C$247, SMALL(IF($D$1:$D$247=$E$3,ROW($D$1:$D$247)),ROW()-2),1),"")</f>
        <v/>
      </c>
      <c r="H209" s="64" t="str">
        <f t="array" ref="H209">IFERROR(INDEX($B$1:$B$247, SMALL(IF($D$1:$D$247=$E$4,ROW($D$1:$D$247)),ROW()-2),1),"")</f>
        <v/>
      </c>
      <c r="I209" s="64" t="str">
        <f t="array" ref="I209">IFERROR(INDEX($C$1:$C$247, SMALL(IF($D$1:$D$247=$E$4,ROW($D$1:$D$247)),ROW()-2),1),"")</f>
        <v/>
      </c>
      <c r="J209" s="65" t="str">
        <f t="array" ref="J209">IFERROR(INDEX($B$1:$B$247, SMALL(IF($D$1:$D$247=$E$5,ROW($D$1:$D$247)),ROW()-2),1),"")</f>
        <v/>
      </c>
      <c r="K209" s="65" t="str">
        <f t="array" ref="K209">IFERROR(INDEX($C$1:$C$247, SMALL(IF($D$1:$D$247=$E$5,ROW($D$1:$D$247)),ROW()-2),1),"")</f>
        <v/>
      </c>
    </row>
    <row r="210" spans="1:11" ht="15.75">
      <c r="A210" s="11">
        <f t="shared" ca="1" si="5"/>
        <v>0.39600769018225124</v>
      </c>
      <c r="B210" s="60">
        <f>Data!I197</f>
        <v>6</v>
      </c>
      <c r="C210" s="60">
        <f>Data!J197</f>
        <v>32.4</v>
      </c>
      <c r="D210" s="61">
        <f t="array" ref="D210">MOD(ROW(), 3) + 1</f>
        <v>1</v>
      </c>
      <c r="E210" s="11"/>
      <c r="F210" s="63" t="str">
        <f t="array" ref="F210">IFERROR(INDEX($B$1:$B$247, SMALL(IF($D$1:$D$247=$E$3,ROW($D$1:$D$247)),ROW()-2),1),"")</f>
        <v/>
      </c>
      <c r="G210" s="63" t="str">
        <f t="array" ref="G210">IFERROR(INDEX($C$1:$C$247, SMALL(IF($D$1:$D$247=$E$3,ROW($D$1:$D$247)),ROW()-2),1),"")</f>
        <v/>
      </c>
      <c r="H210" s="64" t="str">
        <f t="array" ref="H210">IFERROR(INDEX($B$1:$B$247, SMALL(IF($D$1:$D$247=$E$4,ROW($D$1:$D$247)),ROW()-2),1),"")</f>
        <v/>
      </c>
      <c r="I210" s="64" t="str">
        <f t="array" ref="I210">IFERROR(INDEX($C$1:$C$247, SMALL(IF($D$1:$D$247=$E$4,ROW($D$1:$D$247)),ROW()-2),1),"")</f>
        <v/>
      </c>
      <c r="J210" s="65" t="str">
        <f t="array" ref="J210">IFERROR(INDEX($B$1:$B$247, SMALL(IF($D$1:$D$247=$E$5,ROW($D$1:$D$247)),ROW()-2),1),"")</f>
        <v/>
      </c>
      <c r="K210" s="65" t="str">
        <f t="array" ref="K210">IFERROR(INDEX($C$1:$C$247, SMALL(IF($D$1:$D$247=$E$5,ROW($D$1:$D$247)),ROW()-2),1),"")</f>
        <v/>
      </c>
    </row>
    <row r="211" spans="1:11" ht="15.75">
      <c r="A211" s="11">
        <f t="shared" ca="1" si="5"/>
        <v>0.15693280149933975</v>
      </c>
      <c r="B211" s="60">
        <f>Data!I68</f>
        <v>2</v>
      </c>
      <c r="C211" s="60">
        <f>Data!J68</f>
        <v>59.536099999999998</v>
      </c>
      <c r="D211" s="61">
        <f t="array" ref="D211">MOD(ROW(), 3) + 1</f>
        <v>2</v>
      </c>
      <c r="E211" s="11"/>
      <c r="F211" s="63" t="str">
        <f t="array" ref="F211">IFERROR(INDEX($B$1:$B$247, SMALL(IF($D$1:$D$247=$E$3,ROW($D$1:$D$247)),ROW()-2),1),"")</f>
        <v/>
      </c>
      <c r="G211" s="63" t="str">
        <f t="array" ref="G211">IFERROR(INDEX($C$1:$C$247, SMALL(IF($D$1:$D$247=$E$3,ROW($D$1:$D$247)),ROW()-2),1),"")</f>
        <v/>
      </c>
      <c r="H211" s="64" t="str">
        <f t="array" ref="H211">IFERROR(INDEX($B$1:$B$247, SMALL(IF($D$1:$D$247=$E$4,ROW($D$1:$D$247)),ROW()-2),1),"")</f>
        <v/>
      </c>
      <c r="I211" s="64" t="str">
        <f t="array" ref="I211">IFERROR(INDEX($C$1:$C$247, SMALL(IF($D$1:$D$247=$E$4,ROW($D$1:$D$247)),ROW()-2),1),"")</f>
        <v/>
      </c>
      <c r="J211" s="65" t="str">
        <f t="array" ref="J211">IFERROR(INDEX($B$1:$B$247, SMALL(IF($D$1:$D$247=$E$5,ROW($D$1:$D$247)),ROW()-2),1),"")</f>
        <v/>
      </c>
      <c r="K211" s="65" t="str">
        <f t="array" ref="K211">IFERROR(INDEX($C$1:$C$247, SMALL(IF($D$1:$D$247=$E$5,ROW($D$1:$D$247)),ROW()-2),1),"")</f>
        <v/>
      </c>
    </row>
    <row r="212" spans="1:11" ht="15.75">
      <c r="A212" s="11">
        <f t="shared" ca="1" si="5"/>
        <v>0.36482849569404574</v>
      </c>
      <c r="B212" s="60">
        <f>Data!I154</f>
        <v>6.8</v>
      </c>
      <c r="C212" s="60">
        <f>Data!J154</f>
        <v>18.600000000000001</v>
      </c>
      <c r="D212" s="61">
        <f t="array" ref="D212">MOD(ROW(), 3) + 1</f>
        <v>3</v>
      </c>
      <c r="E212" s="11"/>
      <c r="F212" s="63" t="str">
        <f t="array" ref="F212">IFERROR(INDEX($B$1:$B$247, SMALL(IF($D$1:$D$247=$E$3,ROW($D$1:$D$247)),ROW()-2),1),"")</f>
        <v/>
      </c>
      <c r="G212" s="63" t="str">
        <f t="array" ref="G212">IFERROR(INDEX($C$1:$C$247, SMALL(IF($D$1:$D$247=$E$3,ROW($D$1:$D$247)),ROW()-2),1),"")</f>
        <v/>
      </c>
      <c r="H212" s="64" t="str">
        <f t="array" ref="H212">IFERROR(INDEX($B$1:$B$247, SMALL(IF($D$1:$D$247=$E$4,ROW($D$1:$D$247)),ROW()-2),1),"")</f>
        <v/>
      </c>
      <c r="I212" s="64" t="str">
        <f t="array" ref="I212">IFERROR(INDEX($C$1:$C$247, SMALL(IF($D$1:$D$247=$E$4,ROW($D$1:$D$247)),ROW()-2),1),"")</f>
        <v/>
      </c>
      <c r="J212" s="65" t="str">
        <f t="array" ref="J212">IFERROR(INDEX($B$1:$B$247, SMALL(IF($D$1:$D$247=$E$5,ROW($D$1:$D$247)),ROW()-2),1),"")</f>
        <v/>
      </c>
      <c r="K212" s="65" t="str">
        <f t="array" ref="K212">IFERROR(INDEX($C$1:$C$247, SMALL(IF($D$1:$D$247=$E$5,ROW($D$1:$D$247)),ROW()-2),1),"")</f>
        <v/>
      </c>
    </row>
    <row r="213" spans="1:11" ht="15.75">
      <c r="A213" s="11">
        <f t="shared" ca="1" si="5"/>
        <v>7.6184100131576948E-2</v>
      </c>
      <c r="B213" s="60">
        <f>Data!I176</f>
        <v>5.7</v>
      </c>
      <c r="C213" s="60">
        <f>Data!J176</f>
        <v>27.2</v>
      </c>
      <c r="D213" s="61">
        <f t="array" ref="D213">MOD(ROW(), 3) + 1</f>
        <v>1</v>
      </c>
      <c r="E213" s="11"/>
      <c r="F213" s="63" t="str">
        <f t="array" ref="F213">IFERROR(INDEX($B$1:$B$247, SMALL(IF($D$1:$D$247=$E$3,ROW($D$1:$D$247)),ROW()-2),1),"")</f>
        <v/>
      </c>
      <c r="G213" s="63" t="str">
        <f t="array" ref="G213">IFERROR(INDEX($C$1:$C$247, SMALL(IF($D$1:$D$247=$E$3,ROW($D$1:$D$247)),ROW()-2),1),"")</f>
        <v/>
      </c>
      <c r="H213" s="64" t="str">
        <f t="array" ref="H213">IFERROR(INDEX($B$1:$B$247, SMALL(IF($D$1:$D$247=$E$4,ROW($D$1:$D$247)),ROW()-2),1),"")</f>
        <v/>
      </c>
      <c r="I213" s="64" t="str">
        <f t="array" ref="I213">IFERROR(INDEX($C$1:$C$247, SMALL(IF($D$1:$D$247=$E$4,ROW($D$1:$D$247)),ROW()-2),1),"")</f>
        <v/>
      </c>
      <c r="J213" s="65" t="str">
        <f t="array" ref="J213">IFERROR(INDEX($B$1:$B$247, SMALL(IF($D$1:$D$247=$E$5,ROW($D$1:$D$247)),ROW()-2),1),"")</f>
        <v/>
      </c>
      <c r="K213" s="65" t="str">
        <f t="array" ref="K213">IFERROR(INDEX($C$1:$C$247, SMALL(IF($D$1:$D$247=$E$5,ROW($D$1:$D$247)),ROW()-2),1),"")</f>
        <v/>
      </c>
    </row>
    <row r="214" spans="1:11" ht="15.75">
      <c r="A214" s="11">
        <f t="shared" ca="1" si="5"/>
        <v>0.17154668350272728</v>
      </c>
      <c r="B214" s="60">
        <f>Data!I19</f>
        <v>3.8</v>
      </c>
      <c r="C214" s="60">
        <f>Data!J19</f>
        <v>34.861699999999999</v>
      </c>
      <c r="D214" s="61">
        <f t="array" ref="D214">MOD(ROW(), 3) + 1</f>
        <v>2</v>
      </c>
      <c r="E214" s="11"/>
      <c r="F214" s="63" t="str">
        <f t="array" ref="F214">IFERROR(INDEX($B$1:$B$247, SMALL(IF($D$1:$D$247=$E$3,ROW($D$1:$D$247)),ROW()-2),1),"")</f>
        <v/>
      </c>
      <c r="G214" s="63" t="str">
        <f t="array" ref="G214">IFERROR(INDEX($C$1:$C$247, SMALL(IF($D$1:$D$247=$E$3,ROW($D$1:$D$247)),ROW()-2),1),"")</f>
        <v/>
      </c>
      <c r="H214" s="64" t="str">
        <f t="array" ref="H214">IFERROR(INDEX($B$1:$B$247, SMALL(IF($D$1:$D$247=$E$4,ROW($D$1:$D$247)),ROW()-2),1),"")</f>
        <v/>
      </c>
      <c r="I214" s="64" t="str">
        <f t="array" ref="I214">IFERROR(INDEX($C$1:$C$247, SMALL(IF($D$1:$D$247=$E$4,ROW($D$1:$D$247)),ROW()-2),1),"")</f>
        <v/>
      </c>
      <c r="J214" s="65" t="str">
        <f t="array" ref="J214">IFERROR(INDEX($B$1:$B$247, SMALL(IF($D$1:$D$247=$E$5,ROW($D$1:$D$247)),ROW()-2),1),"")</f>
        <v/>
      </c>
      <c r="K214" s="65" t="str">
        <f t="array" ref="K214">IFERROR(INDEX($C$1:$C$247, SMALL(IF($D$1:$D$247=$E$5,ROW($D$1:$D$247)),ROW()-2),1),"")</f>
        <v/>
      </c>
    </row>
    <row r="215" spans="1:11" ht="15.75">
      <c r="A215" s="11">
        <f t="shared" ca="1" si="5"/>
        <v>0.66951648113107043</v>
      </c>
      <c r="B215" s="60">
        <f>Data!I71</f>
        <v>2</v>
      </c>
      <c r="C215" s="60">
        <f>Data!J71</f>
        <v>41.399000000000001</v>
      </c>
      <c r="D215" s="61">
        <f t="array" ref="D215">MOD(ROW(), 3) + 1</f>
        <v>3</v>
      </c>
      <c r="E215" s="11"/>
      <c r="F215" s="63" t="str">
        <f t="array" ref="F215">IFERROR(INDEX($B$1:$B$247, SMALL(IF($D$1:$D$247=$E$3,ROW($D$1:$D$247)),ROW()-2),1),"")</f>
        <v/>
      </c>
      <c r="G215" s="63" t="str">
        <f t="array" ref="G215">IFERROR(INDEX($C$1:$C$247, SMALL(IF($D$1:$D$247=$E$3,ROW($D$1:$D$247)),ROW()-2),1),"")</f>
        <v/>
      </c>
      <c r="H215" s="64" t="str">
        <f t="array" ref="H215">IFERROR(INDEX($B$1:$B$247, SMALL(IF($D$1:$D$247=$E$4,ROW($D$1:$D$247)),ROW()-2),1),"")</f>
        <v/>
      </c>
      <c r="I215" s="64" t="str">
        <f t="array" ref="I215">IFERROR(INDEX($C$1:$C$247, SMALL(IF($D$1:$D$247=$E$4,ROW($D$1:$D$247)),ROW()-2),1),"")</f>
        <v/>
      </c>
      <c r="J215" s="65" t="str">
        <f t="array" ref="J215">IFERROR(INDEX($B$1:$B$247, SMALL(IF($D$1:$D$247=$E$5,ROW($D$1:$D$247)),ROW()-2),1),"")</f>
        <v/>
      </c>
      <c r="K215" s="65" t="str">
        <f t="array" ref="K215">IFERROR(INDEX($C$1:$C$247, SMALL(IF($D$1:$D$247=$E$5,ROW($D$1:$D$247)),ROW()-2),1),"")</f>
        <v/>
      </c>
    </row>
    <row r="216" spans="1:11" ht="15.75">
      <c r="A216" s="11">
        <f t="shared" ca="1" si="5"/>
        <v>0.12241124738440556</v>
      </c>
      <c r="B216" s="60">
        <f>Data!I229</f>
        <v>3</v>
      </c>
      <c r="C216" s="60">
        <f>Data!J229</f>
        <v>33.200000000000003</v>
      </c>
      <c r="D216" s="61">
        <f t="array" ref="D216">MOD(ROW(), 3) + 1</f>
        <v>1</v>
      </c>
      <c r="E216" s="11"/>
      <c r="F216" s="63" t="str">
        <f t="array" ref="F216">IFERROR(INDEX($B$1:$B$247, SMALL(IF($D$1:$D$247=$E$3,ROW($D$1:$D$247)),ROW()-2),1),"")</f>
        <v/>
      </c>
      <c r="G216" s="63" t="str">
        <f t="array" ref="G216">IFERROR(INDEX($C$1:$C$247, SMALL(IF($D$1:$D$247=$E$3,ROW($D$1:$D$247)),ROW()-2),1),"")</f>
        <v/>
      </c>
      <c r="H216" s="64" t="str">
        <f t="array" ref="H216">IFERROR(INDEX($B$1:$B$247, SMALL(IF($D$1:$D$247=$E$4,ROW($D$1:$D$247)),ROW()-2),1),"")</f>
        <v/>
      </c>
      <c r="I216" s="64" t="str">
        <f t="array" ref="I216">IFERROR(INDEX($C$1:$C$247, SMALL(IF($D$1:$D$247=$E$4,ROW($D$1:$D$247)),ROW()-2),1),"")</f>
        <v/>
      </c>
      <c r="J216" s="65" t="str">
        <f t="array" ref="J216">IFERROR(INDEX($B$1:$B$247, SMALL(IF($D$1:$D$247=$E$5,ROW($D$1:$D$247)),ROW()-2),1),"")</f>
        <v/>
      </c>
      <c r="K216" s="65" t="str">
        <f t="array" ref="K216">IFERROR(INDEX($C$1:$C$247, SMALL(IF($D$1:$D$247=$E$5,ROW($D$1:$D$247)),ROW()-2),1),"")</f>
        <v/>
      </c>
    </row>
    <row r="217" spans="1:11" ht="15.75">
      <c r="A217" s="11">
        <f t="shared" ca="1" si="5"/>
        <v>0.11783696846536151</v>
      </c>
      <c r="B217" s="60">
        <f>Data!I122</f>
        <v>2.4</v>
      </c>
      <c r="C217" s="60">
        <f>Data!J122</f>
        <v>38.700000000000003</v>
      </c>
      <c r="D217" s="61">
        <f t="array" ref="D217">MOD(ROW(), 3) + 1</f>
        <v>2</v>
      </c>
      <c r="E217" s="11"/>
      <c r="F217" s="63" t="str">
        <f t="array" ref="F217">IFERROR(INDEX($B$1:$B$247, SMALL(IF($D$1:$D$247=$E$3,ROW($D$1:$D$247)),ROW()-2),1),"")</f>
        <v/>
      </c>
      <c r="G217" s="63" t="str">
        <f t="array" ref="G217">IFERROR(INDEX($C$1:$C$247, SMALL(IF($D$1:$D$247=$E$3,ROW($D$1:$D$247)),ROW()-2),1),"")</f>
        <v/>
      </c>
      <c r="H217" s="64" t="str">
        <f t="array" ref="H217">IFERROR(INDEX($B$1:$B$247, SMALL(IF($D$1:$D$247=$E$4,ROW($D$1:$D$247)),ROW()-2),1),"")</f>
        <v/>
      </c>
      <c r="I217" s="64" t="str">
        <f t="array" ref="I217">IFERROR(INDEX($C$1:$C$247, SMALL(IF($D$1:$D$247=$E$4,ROW($D$1:$D$247)),ROW()-2),1),"")</f>
        <v/>
      </c>
      <c r="J217" s="65" t="str">
        <f t="array" ref="J217">IFERROR(INDEX($B$1:$B$247, SMALL(IF($D$1:$D$247=$E$5,ROW($D$1:$D$247)),ROW()-2),1),"")</f>
        <v/>
      </c>
      <c r="K217" s="65" t="str">
        <f t="array" ref="K217">IFERROR(INDEX($C$1:$C$247, SMALL(IF($D$1:$D$247=$E$5,ROW($D$1:$D$247)),ROW()-2),1),"")</f>
        <v/>
      </c>
    </row>
    <row r="218" spans="1:11" ht="15.75">
      <c r="A218" s="11">
        <f t="shared" ca="1" si="5"/>
        <v>0.47765649180003211</v>
      </c>
      <c r="B218" s="60">
        <f>Data!I53</f>
        <v>1.5</v>
      </c>
      <c r="C218" s="60">
        <f>Data!J53</f>
        <v>49.6</v>
      </c>
      <c r="D218" s="61">
        <f t="array" ref="D218">MOD(ROW(), 3) + 1</f>
        <v>3</v>
      </c>
      <c r="E218" s="11"/>
      <c r="F218" s="63" t="str">
        <f t="array" ref="F218">IFERROR(INDEX($B$1:$B$247, SMALL(IF($D$1:$D$247=$E$3,ROW($D$1:$D$247)),ROW()-2),1),"")</f>
        <v/>
      </c>
      <c r="G218" s="63" t="str">
        <f t="array" ref="G218">IFERROR(INDEX($C$1:$C$247, SMALL(IF($D$1:$D$247=$E$3,ROW($D$1:$D$247)),ROW()-2),1),"")</f>
        <v/>
      </c>
      <c r="H218" s="64" t="str">
        <f t="array" ref="H218">IFERROR(INDEX($B$1:$B$247, SMALL(IF($D$1:$D$247=$E$4,ROW($D$1:$D$247)),ROW()-2),1),"")</f>
        <v/>
      </c>
      <c r="I218" s="64" t="str">
        <f t="array" ref="I218">IFERROR(INDEX($C$1:$C$247, SMALL(IF($D$1:$D$247=$E$4,ROW($D$1:$D$247)),ROW()-2),1),"")</f>
        <v/>
      </c>
      <c r="J218" s="65" t="str">
        <f t="array" ref="J218">IFERROR(INDEX($B$1:$B$247, SMALL(IF($D$1:$D$247=$E$5,ROW($D$1:$D$247)),ROW()-2),1),"")</f>
        <v/>
      </c>
      <c r="K218" s="65" t="str">
        <f t="array" ref="K218">IFERROR(INDEX($C$1:$C$247, SMALL(IF($D$1:$D$247=$E$5,ROW($D$1:$D$247)),ROW()-2),1),"")</f>
        <v/>
      </c>
    </row>
    <row r="219" spans="1:11" ht="15.75">
      <c r="A219" s="11">
        <f t="shared" ca="1" si="5"/>
        <v>0.56773731635069302</v>
      </c>
      <c r="B219" s="60">
        <f>Data!I223</f>
        <v>2.5</v>
      </c>
      <c r="C219" s="60">
        <f>Data!J223</f>
        <v>37.6</v>
      </c>
      <c r="D219" s="61">
        <f t="array" ref="D219">MOD(ROW(), 3) + 1</f>
        <v>1</v>
      </c>
      <c r="E219" s="11"/>
      <c r="F219" s="63" t="str">
        <f t="array" ref="F219">IFERROR(INDEX($B$1:$B$247, SMALL(IF($D$1:$D$247=$E$3,ROW($D$1:$D$247)),ROW()-2),1),"")</f>
        <v/>
      </c>
      <c r="G219" s="63" t="str">
        <f t="array" ref="G219">IFERROR(INDEX($C$1:$C$247, SMALL(IF($D$1:$D$247=$E$3,ROW($D$1:$D$247)),ROW()-2),1),"")</f>
        <v/>
      </c>
      <c r="H219" s="64" t="str">
        <f t="array" ref="H219">IFERROR(INDEX($B$1:$B$247, SMALL(IF($D$1:$D$247=$E$4,ROW($D$1:$D$247)),ROW()-2),1),"")</f>
        <v/>
      </c>
      <c r="I219" s="64" t="str">
        <f t="array" ref="I219">IFERROR(INDEX($C$1:$C$247, SMALL(IF($D$1:$D$247=$E$4,ROW($D$1:$D$247)),ROW()-2),1),"")</f>
        <v/>
      </c>
      <c r="J219" s="65" t="str">
        <f t="array" ref="J219">IFERROR(INDEX($B$1:$B$247, SMALL(IF($D$1:$D$247=$E$5,ROW($D$1:$D$247)),ROW()-2),1),"")</f>
        <v/>
      </c>
      <c r="K219" s="65" t="str">
        <f t="array" ref="K219">IFERROR(INDEX($C$1:$C$247, SMALL(IF($D$1:$D$247=$E$5,ROW($D$1:$D$247)),ROW()-2),1),"")</f>
        <v/>
      </c>
    </row>
    <row r="220" spans="1:11" ht="15.75">
      <c r="A220" s="11">
        <f t="shared" ca="1" si="5"/>
        <v>0.50670121226306597</v>
      </c>
      <c r="B220" s="60">
        <f>Data!I26</f>
        <v>3</v>
      </c>
      <c r="C220" s="60">
        <f>Data!J26</f>
        <v>32.857900000000001</v>
      </c>
      <c r="D220" s="61">
        <f t="array" ref="D220">MOD(ROW(), 3) + 1</f>
        <v>2</v>
      </c>
      <c r="E220" s="11"/>
      <c r="F220" s="63" t="str">
        <f t="array" ref="F220">IFERROR(INDEX($B$1:$B$247, SMALL(IF($D$1:$D$247=$E$3,ROW($D$1:$D$247)),ROW()-2),1),"")</f>
        <v/>
      </c>
      <c r="G220" s="63" t="str">
        <f t="array" ref="G220">IFERROR(INDEX($C$1:$C$247, SMALL(IF($D$1:$D$247=$E$3,ROW($D$1:$D$247)),ROW()-2),1),"")</f>
        <v/>
      </c>
      <c r="H220" s="64" t="str">
        <f t="array" ref="H220">IFERROR(INDEX($B$1:$B$247, SMALL(IF($D$1:$D$247=$E$4,ROW($D$1:$D$247)),ROW()-2),1),"")</f>
        <v/>
      </c>
      <c r="I220" s="64" t="str">
        <f t="array" ref="I220">IFERROR(INDEX($C$1:$C$247, SMALL(IF($D$1:$D$247=$E$4,ROW($D$1:$D$247)),ROW()-2),1),"")</f>
        <v/>
      </c>
      <c r="J220" s="65" t="str">
        <f t="array" ref="J220">IFERROR(INDEX($B$1:$B$247, SMALL(IF($D$1:$D$247=$E$5,ROW($D$1:$D$247)),ROW()-2),1),"")</f>
        <v/>
      </c>
      <c r="K220" s="65" t="str">
        <f t="array" ref="K220">IFERROR(INDEX($C$1:$C$247, SMALL(IF($D$1:$D$247=$E$5,ROW($D$1:$D$247)),ROW()-2),1),"")</f>
        <v/>
      </c>
    </row>
    <row r="221" spans="1:11" ht="15.75">
      <c r="A221" s="11">
        <f t="shared" ca="1" si="5"/>
        <v>0.16922047188592482</v>
      </c>
      <c r="B221" s="60">
        <f>Data!I34</f>
        <v>5.5</v>
      </c>
      <c r="C221" s="60">
        <f>Data!J34</f>
        <v>30.6</v>
      </c>
      <c r="D221" s="61">
        <f t="array" ref="D221">MOD(ROW(), 3) + 1</f>
        <v>3</v>
      </c>
      <c r="E221" s="11"/>
      <c r="F221" s="63" t="str">
        <f t="array" ref="F221">IFERROR(INDEX($B$1:$B$247, SMALL(IF($D$1:$D$247=$E$3,ROW($D$1:$D$247)),ROW()-2),1),"")</f>
        <v/>
      </c>
      <c r="G221" s="63" t="str">
        <f t="array" ref="G221">IFERROR(INDEX($C$1:$C$247, SMALL(IF($D$1:$D$247=$E$3,ROW($D$1:$D$247)),ROW()-2),1),"")</f>
        <v/>
      </c>
      <c r="H221" s="64" t="str">
        <f t="array" ref="H221">IFERROR(INDEX($B$1:$B$247, SMALL(IF($D$1:$D$247=$E$4,ROW($D$1:$D$247)),ROW()-2),1),"")</f>
        <v/>
      </c>
      <c r="I221" s="64" t="str">
        <f t="array" ref="I221">IFERROR(INDEX($C$1:$C$247, SMALL(IF($D$1:$D$247=$E$4,ROW($D$1:$D$247)),ROW()-2),1),"")</f>
        <v/>
      </c>
      <c r="J221" s="65" t="str">
        <f t="array" ref="J221">IFERROR(INDEX($B$1:$B$247, SMALL(IF($D$1:$D$247=$E$5,ROW($D$1:$D$247)),ROW()-2),1),"")</f>
        <v/>
      </c>
      <c r="K221" s="65" t="str">
        <f t="array" ref="K221">IFERROR(INDEX($C$1:$C$247, SMALL(IF($D$1:$D$247=$E$5,ROW($D$1:$D$247)),ROW()-2),1),"")</f>
        <v/>
      </c>
    </row>
    <row r="222" spans="1:11" ht="15.75">
      <c r="A222" s="11">
        <f t="shared" ca="1" si="5"/>
        <v>0.56241383019819724</v>
      </c>
      <c r="B222" s="60">
        <f>Data!I242</f>
        <v>2</v>
      </c>
      <c r="C222" s="60">
        <f>Data!J242</f>
        <v>46.9</v>
      </c>
      <c r="D222" s="61">
        <f t="array" ref="D222">MOD(ROW(), 3) + 1</f>
        <v>1</v>
      </c>
      <c r="E222" s="11"/>
      <c r="F222" s="63" t="str">
        <f t="array" ref="F222">IFERROR(INDEX($B$1:$B$247, SMALL(IF($D$1:$D$247=$E$3,ROW($D$1:$D$247)),ROW()-2),1),"")</f>
        <v/>
      </c>
      <c r="G222" s="63" t="str">
        <f t="array" ref="G222">IFERROR(INDEX($C$1:$C$247, SMALL(IF($D$1:$D$247=$E$3,ROW($D$1:$D$247)),ROW()-2),1),"")</f>
        <v/>
      </c>
      <c r="H222" s="64" t="str">
        <f t="array" ref="H222">IFERROR(INDEX($B$1:$B$247, SMALL(IF($D$1:$D$247=$E$4,ROW($D$1:$D$247)),ROW()-2),1),"")</f>
        <v/>
      </c>
      <c r="I222" s="64" t="str">
        <f t="array" ref="I222">IFERROR(INDEX($C$1:$C$247, SMALL(IF($D$1:$D$247=$E$4,ROW($D$1:$D$247)),ROW()-2),1),"")</f>
        <v/>
      </c>
      <c r="J222" s="65" t="str">
        <f t="array" ref="J222">IFERROR(INDEX($B$1:$B$247, SMALL(IF($D$1:$D$247=$E$5,ROW($D$1:$D$247)),ROW()-2),1),"")</f>
        <v/>
      </c>
      <c r="K222" s="65" t="str">
        <f t="array" ref="K222">IFERROR(INDEX($C$1:$C$247, SMALL(IF($D$1:$D$247=$E$5,ROW($D$1:$D$247)),ROW()-2),1),"")</f>
        <v/>
      </c>
    </row>
    <row r="223" spans="1:11" ht="15.75">
      <c r="A223" s="11">
        <f t="shared" ca="1" si="5"/>
        <v>2.4434807307902928E-2</v>
      </c>
      <c r="B223" s="60">
        <f>Data!I139</f>
        <v>4.7</v>
      </c>
      <c r="C223" s="60">
        <f>Data!J139</f>
        <v>24.6</v>
      </c>
      <c r="D223" s="61">
        <f t="array" ref="D223">MOD(ROW(), 3) + 1</f>
        <v>2</v>
      </c>
      <c r="E223" s="11"/>
      <c r="F223" s="63" t="str">
        <f t="array" ref="F223">IFERROR(INDEX($B$1:$B$247, SMALL(IF($D$1:$D$247=$E$3,ROW($D$1:$D$247)),ROW()-2),1),"")</f>
        <v/>
      </c>
      <c r="G223" s="63" t="str">
        <f t="array" ref="G223">IFERROR(INDEX($C$1:$C$247, SMALL(IF($D$1:$D$247=$E$3,ROW($D$1:$D$247)),ROW()-2),1),"")</f>
        <v/>
      </c>
      <c r="H223" s="64" t="str">
        <f t="array" ref="H223">IFERROR(INDEX($B$1:$B$247, SMALL(IF($D$1:$D$247=$E$4,ROW($D$1:$D$247)),ROW()-2),1),"")</f>
        <v/>
      </c>
      <c r="I223" s="64" t="str">
        <f t="array" ref="I223">IFERROR(INDEX($C$1:$C$247, SMALL(IF($D$1:$D$247=$E$4,ROW($D$1:$D$247)),ROW()-2),1),"")</f>
        <v/>
      </c>
      <c r="J223" s="65" t="str">
        <f t="array" ref="J223">IFERROR(INDEX($B$1:$B$247, SMALL(IF($D$1:$D$247=$E$5,ROW($D$1:$D$247)),ROW()-2),1),"")</f>
        <v/>
      </c>
      <c r="K223" s="65" t="str">
        <f t="array" ref="K223">IFERROR(INDEX($C$1:$C$247, SMALL(IF($D$1:$D$247=$E$5,ROW($D$1:$D$247)),ROW()-2),1),"")</f>
        <v/>
      </c>
    </row>
    <row r="224" spans="1:11" ht="15.75">
      <c r="A224" s="11">
        <f t="shared" ca="1" si="5"/>
        <v>0.25238605729751096</v>
      </c>
      <c r="B224" s="60">
        <f>Data!I60</f>
        <v>2.5</v>
      </c>
      <c r="C224" s="60">
        <f>Data!J60</f>
        <v>42.904000000000003</v>
      </c>
      <c r="D224" s="61">
        <f t="array" ref="D224">MOD(ROW(), 3) + 1</f>
        <v>3</v>
      </c>
      <c r="E224" s="11"/>
      <c r="F224" s="63" t="str">
        <f t="array" ref="F224">IFERROR(INDEX($B$1:$B$247, SMALL(IF($D$1:$D$247=$E$3,ROW($D$1:$D$247)),ROW()-2),1),"")</f>
        <v/>
      </c>
      <c r="G224" s="63" t="str">
        <f t="array" ref="G224">IFERROR(INDEX($C$1:$C$247, SMALL(IF($D$1:$D$247=$E$3,ROW($D$1:$D$247)),ROW()-2),1),"")</f>
        <v/>
      </c>
      <c r="H224" s="64" t="str">
        <f t="array" ref="H224">IFERROR(INDEX($B$1:$B$247, SMALL(IF($D$1:$D$247=$E$4,ROW($D$1:$D$247)),ROW()-2),1),"")</f>
        <v/>
      </c>
      <c r="I224" s="64" t="str">
        <f t="array" ref="I224">IFERROR(INDEX($C$1:$C$247, SMALL(IF($D$1:$D$247=$E$4,ROW($D$1:$D$247)),ROW()-2),1),"")</f>
        <v/>
      </c>
      <c r="J224" s="65" t="str">
        <f t="array" ref="J224">IFERROR(INDEX($B$1:$B$247, SMALL(IF($D$1:$D$247=$E$5,ROW($D$1:$D$247)),ROW()-2),1),"")</f>
        <v/>
      </c>
      <c r="K224" s="65" t="str">
        <f t="array" ref="K224">IFERROR(INDEX($C$1:$C$247, SMALL(IF($D$1:$D$247=$E$5,ROW($D$1:$D$247)),ROW()-2),1),"")</f>
        <v/>
      </c>
    </row>
    <row r="225" spans="1:11" ht="15.75">
      <c r="A225" s="11">
        <f t="shared" ca="1" si="5"/>
        <v>0.56610266833596701</v>
      </c>
      <c r="B225" s="60">
        <f>Data!I212</f>
        <v>5</v>
      </c>
      <c r="C225" s="60">
        <f>Data!J212</f>
        <v>27.4375</v>
      </c>
      <c r="D225" s="61">
        <f t="array" ref="D225">MOD(ROW(), 3) + 1</f>
        <v>1</v>
      </c>
      <c r="E225" s="11"/>
      <c r="F225" s="63" t="str">
        <f t="array" ref="F225">IFERROR(INDEX($B$1:$B$247, SMALL(IF($D$1:$D$247=$E$3,ROW($D$1:$D$247)),ROW()-2),1),"")</f>
        <v/>
      </c>
      <c r="G225" s="63" t="str">
        <f t="array" ref="G225">IFERROR(INDEX($C$1:$C$247, SMALL(IF($D$1:$D$247=$E$3,ROW($D$1:$D$247)),ROW()-2),1),"")</f>
        <v/>
      </c>
      <c r="H225" s="64" t="str">
        <f t="array" ref="H225">IFERROR(INDEX($B$1:$B$247, SMALL(IF($D$1:$D$247=$E$4,ROW($D$1:$D$247)),ROW()-2),1),"")</f>
        <v/>
      </c>
      <c r="I225" s="64" t="str">
        <f t="array" ref="I225">IFERROR(INDEX($C$1:$C$247, SMALL(IF($D$1:$D$247=$E$4,ROW($D$1:$D$247)),ROW()-2),1),"")</f>
        <v/>
      </c>
      <c r="J225" s="65" t="str">
        <f t="array" ref="J225">IFERROR(INDEX($B$1:$B$247, SMALL(IF($D$1:$D$247=$E$5,ROW($D$1:$D$247)),ROW()-2),1),"")</f>
        <v/>
      </c>
      <c r="K225" s="65" t="str">
        <f t="array" ref="K225">IFERROR(INDEX($C$1:$C$247, SMALL(IF($D$1:$D$247=$E$5,ROW($D$1:$D$247)),ROW()-2),1),"")</f>
        <v/>
      </c>
    </row>
    <row r="226" spans="1:11" ht="15.75">
      <c r="A226" s="11">
        <f t="shared" ca="1" si="5"/>
        <v>0.33944076640563736</v>
      </c>
      <c r="B226" s="60">
        <f>Data!I118</f>
        <v>1.6</v>
      </c>
      <c r="C226" s="60">
        <f>Data!J118</f>
        <v>43.297899999999998</v>
      </c>
      <c r="D226" s="61">
        <f t="array" ref="D226">MOD(ROW(), 3) + 1</f>
        <v>2</v>
      </c>
      <c r="E226" s="11"/>
      <c r="F226" s="63" t="str">
        <f t="array" ref="F226">IFERROR(INDEX($B$1:$B$247, SMALL(IF($D$1:$D$247=$E$3,ROW($D$1:$D$247)),ROW()-2),1),"")</f>
        <v/>
      </c>
      <c r="G226" s="63" t="str">
        <f t="array" ref="G226">IFERROR(INDEX($C$1:$C$247, SMALL(IF($D$1:$D$247=$E$3,ROW($D$1:$D$247)),ROW()-2),1),"")</f>
        <v/>
      </c>
      <c r="H226" s="64" t="str">
        <f t="array" ref="H226">IFERROR(INDEX($B$1:$B$247, SMALL(IF($D$1:$D$247=$E$4,ROW($D$1:$D$247)),ROW()-2),1),"")</f>
        <v/>
      </c>
      <c r="I226" s="64" t="str">
        <f t="array" ref="I226">IFERROR(INDEX($C$1:$C$247, SMALL(IF($D$1:$D$247=$E$4,ROW($D$1:$D$247)),ROW()-2),1),"")</f>
        <v/>
      </c>
      <c r="J226" s="65" t="str">
        <f t="array" ref="J226">IFERROR(INDEX($B$1:$B$247, SMALL(IF($D$1:$D$247=$E$5,ROW($D$1:$D$247)),ROW()-2),1),"")</f>
        <v/>
      </c>
      <c r="K226" s="65" t="str">
        <f t="array" ref="K226">IFERROR(INDEX($C$1:$C$247, SMALL(IF($D$1:$D$247=$E$5,ROW($D$1:$D$247)),ROW()-2),1),"")</f>
        <v/>
      </c>
    </row>
    <row r="227" spans="1:11" ht="15.75">
      <c r="A227" s="11">
        <f t="shared" ca="1" si="5"/>
        <v>0.81350868113629882</v>
      </c>
      <c r="B227" s="60">
        <f>Data!I16</f>
        <v>3.4</v>
      </c>
      <c r="C227" s="60">
        <f>Data!J16</f>
        <v>37.055</v>
      </c>
      <c r="D227" s="61">
        <f t="array" ref="D227">MOD(ROW(), 3) + 1</f>
        <v>3</v>
      </c>
      <c r="E227" s="11"/>
      <c r="F227" s="63" t="str">
        <f t="array" ref="F227">IFERROR(INDEX($B$1:$B$247, SMALL(IF($D$1:$D$247=$E$3,ROW($D$1:$D$247)),ROW()-2),1),"")</f>
        <v/>
      </c>
      <c r="G227" s="63" t="str">
        <f t="array" ref="G227">IFERROR(INDEX($C$1:$C$247, SMALL(IF($D$1:$D$247=$E$3,ROW($D$1:$D$247)),ROW()-2),1),"")</f>
        <v/>
      </c>
      <c r="H227" s="64" t="str">
        <f t="array" ref="H227">IFERROR(INDEX($B$1:$B$247, SMALL(IF($D$1:$D$247=$E$4,ROW($D$1:$D$247)),ROW()-2),1),"")</f>
        <v/>
      </c>
      <c r="I227" s="64" t="str">
        <f t="array" ref="I227">IFERROR(INDEX($C$1:$C$247, SMALL(IF($D$1:$D$247=$E$4,ROW($D$1:$D$247)),ROW()-2),1),"")</f>
        <v/>
      </c>
      <c r="J227" s="65" t="str">
        <f t="array" ref="J227">IFERROR(INDEX($B$1:$B$247, SMALL(IF($D$1:$D$247=$E$5,ROW($D$1:$D$247)),ROW()-2),1),"")</f>
        <v/>
      </c>
      <c r="K227" s="65" t="str">
        <f t="array" ref="K227">IFERROR(INDEX($C$1:$C$247, SMALL(IF($D$1:$D$247=$E$5,ROW($D$1:$D$247)),ROW()-2),1),"")</f>
        <v/>
      </c>
    </row>
    <row r="228" spans="1:11" ht="15.75">
      <c r="A228" s="11">
        <f t="shared" ca="1" si="5"/>
        <v>0.34939658021124209</v>
      </c>
      <c r="B228" s="60">
        <f>Data!I245</f>
        <v>3</v>
      </c>
      <c r="C228" s="60">
        <f>Data!J245</f>
        <v>34.4</v>
      </c>
      <c r="D228" s="61">
        <f t="array" ref="D228">MOD(ROW(), 3) + 1</f>
        <v>1</v>
      </c>
      <c r="E228" s="11"/>
      <c r="F228" s="63" t="str">
        <f t="array" ref="F228">IFERROR(INDEX($B$1:$B$247, SMALL(IF($D$1:$D$247=$E$3,ROW($D$1:$D$247)),ROW()-2),1),"")</f>
        <v/>
      </c>
      <c r="G228" s="63" t="str">
        <f t="array" ref="G228">IFERROR(INDEX($C$1:$C$247, SMALL(IF($D$1:$D$247=$E$3,ROW($D$1:$D$247)),ROW()-2),1),"")</f>
        <v/>
      </c>
      <c r="H228" s="64" t="str">
        <f t="array" ref="H228">IFERROR(INDEX($B$1:$B$247, SMALL(IF($D$1:$D$247=$E$4,ROW($D$1:$D$247)),ROW()-2),1),"")</f>
        <v/>
      </c>
      <c r="I228" s="64" t="str">
        <f t="array" ref="I228">IFERROR(INDEX($C$1:$C$247, SMALL(IF($D$1:$D$247=$E$4,ROW($D$1:$D$247)),ROW()-2),1),"")</f>
        <v/>
      </c>
      <c r="J228" s="65" t="str">
        <f t="array" ref="J228">IFERROR(INDEX($B$1:$B$247, SMALL(IF($D$1:$D$247=$E$5,ROW($D$1:$D$247)),ROW()-2),1),"")</f>
        <v/>
      </c>
      <c r="K228" s="65" t="str">
        <f t="array" ref="K228">IFERROR(INDEX($C$1:$C$247, SMALL(IF($D$1:$D$247=$E$5,ROW($D$1:$D$247)),ROW()-2),1),"")</f>
        <v/>
      </c>
    </row>
    <row r="229" spans="1:11" ht="15.75">
      <c r="A229" s="11">
        <f t="shared" ca="1" si="5"/>
        <v>0.88989122569775736</v>
      </c>
      <c r="B229" s="60">
        <f>Data!I38</f>
        <v>1.8</v>
      </c>
      <c r="C229" s="60">
        <f>Data!J38</f>
        <v>47.2</v>
      </c>
      <c r="D229" s="61">
        <f t="array" ref="D229">MOD(ROW(), 3) + 1</f>
        <v>2</v>
      </c>
      <c r="E229" s="11"/>
      <c r="F229" s="63" t="str">
        <f t="array" ref="F229">IFERROR(INDEX($B$1:$B$247, SMALL(IF($D$1:$D$247=$E$3,ROW($D$1:$D$247)),ROW()-2),1),"")</f>
        <v/>
      </c>
      <c r="G229" s="63" t="str">
        <f t="array" ref="G229">IFERROR(INDEX($C$1:$C$247, SMALL(IF($D$1:$D$247=$E$3,ROW($D$1:$D$247)),ROW()-2),1),"")</f>
        <v/>
      </c>
      <c r="H229" s="64" t="str">
        <f t="array" ref="H229">IFERROR(INDEX($B$1:$B$247, SMALL(IF($D$1:$D$247=$E$4,ROW($D$1:$D$247)),ROW()-2),1),"")</f>
        <v/>
      </c>
      <c r="I229" s="64" t="str">
        <f t="array" ref="I229">IFERROR(INDEX($C$1:$C$247, SMALL(IF($D$1:$D$247=$E$4,ROW($D$1:$D$247)),ROW()-2),1),"")</f>
        <v/>
      </c>
      <c r="J229" s="65" t="str">
        <f t="array" ref="J229">IFERROR(INDEX($B$1:$B$247, SMALL(IF($D$1:$D$247=$E$5,ROW($D$1:$D$247)),ROW()-2),1),"")</f>
        <v/>
      </c>
      <c r="K229" s="65" t="str">
        <f t="array" ref="K229">IFERROR(INDEX($C$1:$C$247, SMALL(IF($D$1:$D$247=$E$5,ROW($D$1:$D$247)),ROW()-2),1),"")</f>
        <v/>
      </c>
    </row>
    <row r="230" spans="1:11" ht="15.75">
      <c r="A230" s="11">
        <f t="shared" ca="1" si="5"/>
        <v>0.61453759923819096</v>
      </c>
      <c r="B230" s="60">
        <f>Data!I37</f>
        <v>1.6</v>
      </c>
      <c r="C230" s="60">
        <f>Data!J37</f>
        <v>50.243600000000001</v>
      </c>
      <c r="D230" s="61">
        <f t="array" ref="D230">MOD(ROW(), 3) + 1</f>
        <v>3</v>
      </c>
      <c r="E230" s="11"/>
      <c r="F230" s="63" t="str">
        <f t="array" ref="F230">IFERROR(INDEX($B$1:$B$247, SMALL(IF($D$1:$D$247=$E$3,ROW($D$1:$D$247)),ROW()-2),1),"")</f>
        <v/>
      </c>
      <c r="G230" s="63" t="str">
        <f t="array" ref="G230">IFERROR(INDEX($C$1:$C$247, SMALL(IF($D$1:$D$247=$E$3,ROW($D$1:$D$247)),ROW()-2),1),"")</f>
        <v/>
      </c>
      <c r="H230" s="64" t="str">
        <f t="array" ref="H230">IFERROR(INDEX($B$1:$B$247, SMALL(IF($D$1:$D$247=$E$4,ROW($D$1:$D$247)),ROW()-2),1),"")</f>
        <v/>
      </c>
      <c r="I230" s="64" t="str">
        <f t="array" ref="I230">IFERROR(INDEX($C$1:$C$247, SMALL(IF($D$1:$D$247=$E$4,ROW($D$1:$D$247)),ROW()-2),1),"")</f>
        <v/>
      </c>
      <c r="J230" s="65" t="str">
        <f t="array" ref="J230">IFERROR(INDEX($B$1:$B$247, SMALL(IF($D$1:$D$247=$E$5,ROW($D$1:$D$247)),ROW()-2),1),"")</f>
        <v/>
      </c>
      <c r="K230" s="65" t="str">
        <f t="array" ref="K230">IFERROR(INDEX($C$1:$C$247, SMALL(IF($D$1:$D$247=$E$5,ROW($D$1:$D$247)),ROW()-2),1),"")</f>
        <v/>
      </c>
    </row>
    <row r="231" spans="1:11" ht="15.75">
      <c r="A231" s="11">
        <f t="shared" ca="1" si="5"/>
        <v>7.5205925221897951E-2</v>
      </c>
      <c r="B231" s="60">
        <f>Data!I181</f>
        <v>3.5</v>
      </c>
      <c r="C231" s="60">
        <f>Data!J181</f>
        <v>34.762999999999998</v>
      </c>
      <c r="D231" s="61">
        <f t="array" ref="D231">MOD(ROW(), 3) + 1</f>
        <v>1</v>
      </c>
      <c r="E231" s="11"/>
      <c r="F231" s="63" t="str">
        <f t="array" ref="F231">IFERROR(INDEX($B$1:$B$247, SMALL(IF($D$1:$D$247=$E$3,ROW($D$1:$D$247)),ROW()-2),1),"")</f>
        <v/>
      </c>
      <c r="G231" s="63" t="str">
        <f t="array" ref="G231">IFERROR(INDEX($C$1:$C$247, SMALL(IF($D$1:$D$247=$E$3,ROW($D$1:$D$247)),ROW()-2),1),"")</f>
        <v/>
      </c>
      <c r="H231" s="64" t="str">
        <f t="array" ref="H231">IFERROR(INDEX($B$1:$B$247, SMALL(IF($D$1:$D$247=$E$4,ROW($D$1:$D$247)),ROW()-2),1),"")</f>
        <v/>
      </c>
      <c r="I231" s="64" t="str">
        <f t="array" ref="I231">IFERROR(INDEX($C$1:$C$247, SMALL(IF($D$1:$D$247=$E$4,ROW($D$1:$D$247)),ROW()-2),1),"")</f>
        <v/>
      </c>
      <c r="J231" s="65" t="str">
        <f t="array" ref="J231">IFERROR(INDEX($B$1:$B$247, SMALL(IF($D$1:$D$247=$E$5,ROW($D$1:$D$247)),ROW()-2),1),"")</f>
        <v/>
      </c>
      <c r="K231" s="65" t="str">
        <f t="array" ref="K231">IFERROR(INDEX($C$1:$C$247, SMALL(IF($D$1:$D$247=$E$5,ROW($D$1:$D$247)),ROW()-2),1),"")</f>
        <v/>
      </c>
    </row>
    <row r="232" spans="1:11" ht="15.75">
      <c r="A232" s="11">
        <f t="shared" ca="1" si="5"/>
        <v>0.49623711533944703</v>
      </c>
      <c r="B232" s="60">
        <f>Data!I54</f>
        <v>1.6</v>
      </c>
      <c r="C232" s="60">
        <f>Data!J54</f>
        <v>42</v>
      </c>
      <c r="D232" s="61">
        <f t="array" ref="D232">MOD(ROW(), 3) + 1</f>
        <v>2</v>
      </c>
      <c r="E232" s="11"/>
      <c r="F232" s="63" t="str">
        <f t="array" ref="F232">IFERROR(INDEX($B$1:$B$247, SMALL(IF($D$1:$D$247=$E$3,ROW($D$1:$D$247)),ROW()-2),1),"")</f>
        <v/>
      </c>
      <c r="G232" s="63" t="str">
        <f t="array" ref="G232">IFERROR(INDEX($C$1:$C$247, SMALL(IF($D$1:$D$247=$E$3,ROW($D$1:$D$247)),ROW()-2),1),"")</f>
        <v/>
      </c>
      <c r="H232" s="64" t="str">
        <f t="array" ref="H232">IFERROR(INDEX($B$1:$B$247, SMALL(IF($D$1:$D$247=$E$4,ROW($D$1:$D$247)),ROW()-2),1),"")</f>
        <v/>
      </c>
      <c r="I232" s="64" t="str">
        <f t="array" ref="I232">IFERROR(INDEX($C$1:$C$247, SMALL(IF($D$1:$D$247=$E$4,ROW($D$1:$D$247)),ROW()-2),1),"")</f>
        <v/>
      </c>
      <c r="J232" s="65" t="str">
        <f t="array" ref="J232">IFERROR(INDEX($B$1:$B$247, SMALL(IF($D$1:$D$247=$E$5,ROW($D$1:$D$247)),ROW()-2),1),"")</f>
        <v/>
      </c>
      <c r="K232" s="65" t="str">
        <f t="array" ref="K232">IFERROR(INDEX($C$1:$C$247, SMALL(IF($D$1:$D$247=$E$5,ROW($D$1:$D$247)),ROW()-2),1),"")</f>
        <v/>
      </c>
    </row>
    <row r="233" spans="1:11" ht="15.75">
      <c r="A233" s="11">
        <f t="shared" ca="1" si="5"/>
        <v>0.95246381562742</v>
      </c>
      <c r="B233" s="60">
        <f>Data!I143</f>
        <v>5</v>
      </c>
      <c r="C233" s="60">
        <f>Data!J143</f>
        <v>25.897500000000001</v>
      </c>
      <c r="D233" s="61">
        <f t="array" ref="D233">MOD(ROW(), 3) + 1</f>
        <v>3</v>
      </c>
      <c r="E233" s="11"/>
      <c r="F233" s="63" t="str">
        <f t="array" ref="F233">IFERROR(INDEX($B$1:$B$247, SMALL(IF($D$1:$D$247=$E$3,ROW($D$1:$D$247)),ROW()-2),1),"")</f>
        <v/>
      </c>
      <c r="G233" s="63" t="str">
        <f t="array" ref="G233">IFERROR(INDEX($C$1:$C$247, SMALL(IF($D$1:$D$247=$E$3,ROW($D$1:$D$247)),ROW()-2),1),"")</f>
        <v/>
      </c>
      <c r="H233" s="64" t="str">
        <f t="array" ref="H233">IFERROR(INDEX($B$1:$B$247, SMALL(IF($D$1:$D$247=$E$4,ROW($D$1:$D$247)),ROW()-2),1),"")</f>
        <v/>
      </c>
      <c r="I233" s="64" t="str">
        <f t="array" ref="I233">IFERROR(INDEX($C$1:$C$247, SMALL(IF($D$1:$D$247=$E$4,ROW($D$1:$D$247)),ROW()-2),1),"")</f>
        <v/>
      </c>
      <c r="J233" s="65" t="str">
        <f t="array" ref="J233">IFERROR(INDEX($B$1:$B$247, SMALL(IF($D$1:$D$247=$E$5,ROW($D$1:$D$247)),ROW()-2),1),"")</f>
        <v/>
      </c>
      <c r="K233" s="65" t="str">
        <f t="array" ref="K233">IFERROR(INDEX($C$1:$C$247, SMALL(IF($D$1:$D$247=$E$5,ROW($D$1:$D$247)),ROW()-2),1),"")</f>
        <v/>
      </c>
    </row>
    <row r="234" spans="1:11" ht="15.75">
      <c r="A234" s="11">
        <f t="shared" ca="1" si="5"/>
        <v>0.55552775655681508</v>
      </c>
      <c r="B234" s="60">
        <f>Data!I168</f>
        <v>6</v>
      </c>
      <c r="C234" s="60">
        <f>Data!J168</f>
        <v>21.651499999999999</v>
      </c>
      <c r="D234" s="61">
        <f t="array" ref="D234">MOD(ROW(), 3) + 1</f>
        <v>1</v>
      </c>
      <c r="E234" s="11"/>
      <c r="F234" s="63" t="str">
        <f t="array" ref="F234">IFERROR(INDEX($B$1:$B$247, SMALL(IF($D$1:$D$247=$E$3,ROW($D$1:$D$247)),ROW()-2),1),"")</f>
        <v/>
      </c>
      <c r="G234" s="63" t="str">
        <f t="array" ref="G234">IFERROR(INDEX($C$1:$C$247, SMALL(IF($D$1:$D$247=$E$3,ROW($D$1:$D$247)),ROW()-2),1),"")</f>
        <v/>
      </c>
      <c r="H234" s="64" t="str">
        <f t="array" ref="H234">IFERROR(INDEX($B$1:$B$247, SMALL(IF($D$1:$D$247=$E$4,ROW($D$1:$D$247)),ROW()-2),1),"")</f>
        <v/>
      </c>
      <c r="I234" s="64" t="str">
        <f t="array" ref="I234">IFERROR(INDEX($C$1:$C$247, SMALL(IF($D$1:$D$247=$E$4,ROW($D$1:$D$247)),ROW()-2),1),"")</f>
        <v/>
      </c>
      <c r="J234" s="65" t="str">
        <f t="array" ref="J234">IFERROR(INDEX($B$1:$B$247, SMALL(IF($D$1:$D$247=$E$5,ROW($D$1:$D$247)),ROW()-2),1),"")</f>
        <v/>
      </c>
      <c r="K234" s="65" t="str">
        <f t="array" ref="K234">IFERROR(INDEX($C$1:$C$247, SMALL(IF($D$1:$D$247=$E$5,ROW($D$1:$D$247)),ROW()-2),1),"")</f>
        <v/>
      </c>
    </row>
    <row r="235" spans="1:11" ht="15.75">
      <c r="A235" s="11">
        <f t="shared" ca="1" si="5"/>
        <v>0.68712869640008056</v>
      </c>
      <c r="B235" s="60">
        <f>Data!I145</f>
        <v>6.2</v>
      </c>
      <c r="C235" s="60">
        <f>Data!J145</f>
        <v>19.5139</v>
      </c>
      <c r="D235" s="61">
        <f t="array" ref="D235">MOD(ROW(), 3) + 1</f>
        <v>2</v>
      </c>
      <c r="E235" s="11"/>
      <c r="F235" s="63" t="str">
        <f t="array" ref="F235">IFERROR(INDEX($B$1:$B$247, SMALL(IF($D$1:$D$247=$E$3,ROW($D$1:$D$247)),ROW()-2),1),"")</f>
        <v/>
      </c>
      <c r="G235" s="63" t="str">
        <f t="array" ref="G235">IFERROR(INDEX($C$1:$C$247, SMALL(IF($D$1:$D$247=$E$3,ROW($D$1:$D$247)),ROW()-2),1),"")</f>
        <v/>
      </c>
      <c r="H235" s="64" t="str">
        <f t="array" ref="H235">IFERROR(INDEX($B$1:$B$247, SMALL(IF($D$1:$D$247=$E$4,ROW($D$1:$D$247)),ROW()-2),1),"")</f>
        <v/>
      </c>
      <c r="I235" s="64" t="str">
        <f t="array" ref="I235">IFERROR(INDEX($C$1:$C$247, SMALL(IF($D$1:$D$247=$E$4,ROW($D$1:$D$247)),ROW()-2),1),"")</f>
        <v/>
      </c>
      <c r="J235" s="65" t="str">
        <f t="array" ref="J235">IFERROR(INDEX($B$1:$B$247, SMALL(IF($D$1:$D$247=$E$5,ROW($D$1:$D$247)),ROW()-2),1),"")</f>
        <v/>
      </c>
      <c r="K235" s="65" t="str">
        <f t="array" ref="K235">IFERROR(INDEX($C$1:$C$247, SMALL(IF($D$1:$D$247=$E$5,ROW($D$1:$D$247)),ROW()-2),1),"")</f>
        <v/>
      </c>
    </row>
    <row r="236" spans="1:11" ht="15.75">
      <c r="A236" s="11">
        <f t="shared" ca="1" si="5"/>
        <v>0.19099728768976731</v>
      </c>
      <c r="B236" s="60">
        <f>Data!I27</f>
        <v>1.6</v>
      </c>
      <c r="C236" s="60">
        <f>Data!J27</f>
        <v>54.250100000000003</v>
      </c>
      <c r="D236" s="61">
        <f t="array" ref="D236">MOD(ROW(), 3) + 1</f>
        <v>3</v>
      </c>
      <c r="E236" s="11"/>
      <c r="F236" s="63" t="str">
        <f t="array" ref="F236">IFERROR(INDEX($B$1:$B$247, SMALL(IF($D$1:$D$247=$E$3,ROW($D$1:$D$247)),ROW()-2),1),"")</f>
        <v/>
      </c>
      <c r="G236" s="63" t="str">
        <f t="array" ref="G236">IFERROR(INDEX($C$1:$C$247, SMALL(IF($D$1:$D$247=$E$3,ROW($D$1:$D$247)),ROW()-2),1),"")</f>
        <v/>
      </c>
      <c r="H236" s="64" t="str">
        <f t="array" ref="H236">IFERROR(INDEX($B$1:$B$247, SMALL(IF($D$1:$D$247=$E$4,ROW($D$1:$D$247)),ROW()-2),1),"")</f>
        <v/>
      </c>
      <c r="I236" s="64" t="str">
        <f t="array" ref="I236">IFERROR(INDEX($C$1:$C$247, SMALL(IF($D$1:$D$247=$E$4,ROW($D$1:$D$247)),ROW()-2),1),"")</f>
        <v/>
      </c>
      <c r="J236" s="65" t="str">
        <f t="array" ref="J236">IFERROR(INDEX($B$1:$B$247, SMALL(IF($D$1:$D$247=$E$5,ROW($D$1:$D$247)),ROW()-2),1),"")</f>
        <v/>
      </c>
      <c r="K236" s="65" t="str">
        <f t="array" ref="K236">IFERROR(INDEX($C$1:$C$247, SMALL(IF($D$1:$D$247=$E$5,ROW($D$1:$D$247)),ROW()-2),1),"")</f>
        <v/>
      </c>
    </row>
    <row r="237" spans="1:11" ht="15.75">
      <c r="A237" s="11">
        <f t="shared" ca="1" si="5"/>
        <v>0.15842063087072566</v>
      </c>
      <c r="B237" s="60">
        <f>Data!I44</f>
        <v>1.4</v>
      </c>
      <c r="C237" s="60">
        <f>Data!J44</f>
        <v>59.7</v>
      </c>
      <c r="D237" s="61">
        <f t="array" ref="D237">MOD(ROW(), 3) + 1</f>
        <v>1</v>
      </c>
      <c r="E237" s="11"/>
      <c r="F237" s="63" t="str">
        <f t="array" ref="F237">IFERROR(INDEX($B$1:$B$247, SMALL(IF($D$1:$D$247=$E$3,ROW($D$1:$D$247)),ROW()-2),1),"")</f>
        <v/>
      </c>
      <c r="G237" s="63" t="str">
        <f t="array" ref="G237">IFERROR(INDEX($C$1:$C$247, SMALL(IF($D$1:$D$247=$E$3,ROW($D$1:$D$247)),ROW()-2),1),"")</f>
        <v/>
      </c>
      <c r="H237" s="64" t="str">
        <f t="array" ref="H237">IFERROR(INDEX($B$1:$B$247, SMALL(IF($D$1:$D$247=$E$4,ROW($D$1:$D$247)),ROW()-2),1),"")</f>
        <v/>
      </c>
      <c r="I237" s="64" t="str">
        <f t="array" ref="I237">IFERROR(INDEX($C$1:$C$247, SMALL(IF($D$1:$D$247=$E$4,ROW($D$1:$D$247)),ROW()-2),1),"")</f>
        <v/>
      </c>
      <c r="J237" s="65" t="str">
        <f t="array" ref="J237">IFERROR(INDEX($B$1:$B$247, SMALL(IF($D$1:$D$247=$E$5,ROW($D$1:$D$247)),ROW()-2),1),"")</f>
        <v/>
      </c>
      <c r="K237" s="65" t="str">
        <f t="array" ref="K237">IFERROR(INDEX($C$1:$C$247, SMALL(IF($D$1:$D$247=$E$5,ROW($D$1:$D$247)),ROW()-2),1),"")</f>
        <v/>
      </c>
    </row>
    <row r="238" spans="1:11" ht="15.75">
      <c r="A238" s="11">
        <f t="shared" ca="1" si="5"/>
        <v>0.16720103998008107</v>
      </c>
      <c r="B238" s="60">
        <f>Data!I108</f>
        <v>4.4000000000000004</v>
      </c>
      <c r="C238" s="60">
        <f>Data!J108</f>
        <v>27.730699999999999</v>
      </c>
      <c r="D238" s="61">
        <f t="array" ref="D238">MOD(ROW(), 3) + 1</f>
        <v>2</v>
      </c>
      <c r="E238" s="11"/>
      <c r="F238" s="63" t="str">
        <f t="array" ref="F238">IFERROR(INDEX($B$1:$B$247, SMALL(IF($D$1:$D$247=$E$3,ROW($D$1:$D$247)),ROW()-2),1),"")</f>
        <v/>
      </c>
      <c r="G238" s="63" t="str">
        <f t="array" ref="G238">IFERROR(INDEX($C$1:$C$247, SMALL(IF($D$1:$D$247=$E$3,ROW($D$1:$D$247)),ROW()-2),1),"")</f>
        <v/>
      </c>
      <c r="H238" s="64" t="str">
        <f t="array" ref="H238">IFERROR(INDEX($B$1:$B$247, SMALL(IF($D$1:$D$247=$E$4,ROW($D$1:$D$247)),ROW()-2),1),"")</f>
        <v/>
      </c>
      <c r="I238" s="64" t="str">
        <f t="array" ref="I238">IFERROR(INDEX($C$1:$C$247, SMALL(IF($D$1:$D$247=$E$4,ROW($D$1:$D$247)),ROW()-2),1),"")</f>
        <v/>
      </c>
      <c r="J238" s="65" t="str">
        <f t="array" ref="J238">IFERROR(INDEX($B$1:$B$247, SMALL(IF($D$1:$D$247=$E$5,ROW($D$1:$D$247)),ROW()-2),1),"")</f>
        <v/>
      </c>
      <c r="K238" s="65" t="str">
        <f t="array" ref="K238">IFERROR(INDEX($C$1:$C$247, SMALL(IF($D$1:$D$247=$E$5,ROW($D$1:$D$247)),ROW()-2),1),"")</f>
        <v/>
      </c>
    </row>
    <row r="239" spans="1:11" ht="15.75">
      <c r="A239" s="11">
        <f t="shared" ca="1" si="5"/>
        <v>0.81115906597750376</v>
      </c>
      <c r="B239" s="60">
        <f>Data!I91</f>
        <v>3.7</v>
      </c>
      <c r="C239" s="60">
        <f>Data!J91</f>
        <v>33.4</v>
      </c>
      <c r="D239" s="61">
        <f t="array" ref="D239">MOD(ROW(), 3) + 1</f>
        <v>3</v>
      </c>
      <c r="E239" s="11"/>
      <c r="F239" s="63" t="str">
        <f t="array" ref="F239">IFERROR(INDEX($B$1:$B$247, SMALL(IF($D$1:$D$247=$E$3,ROW($D$1:$D$247)),ROW()-2),1),"")</f>
        <v/>
      </c>
      <c r="G239" s="63" t="str">
        <f t="array" ref="G239">IFERROR(INDEX($C$1:$C$247, SMALL(IF($D$1:$D$247=$E$3,ROW($D$1:$D$247)),ROW()-2),1),"")</f>
        <v/>
      </c>
      <c r="H239" s="64" t="str">
        <f t="array" ref="H239">IFERROR(INDEX($B$1:$B$247, SMALL(IF($D$1:$D$247=$E$4,ROW($D$1:$D$247)),ROW()-2),1),"")</f>
        <v/>
      </c>
      <c r="I239" s="64" t="str">
        <f t="array" ref="I239">IFERROR(INDEX($C$1:$C$247, SMALL(IF($D$1:$D$247=$E$4,ROW($D$1:$D$247)),ROW()-2),1),"")</f>
        <v/>
      </c>
      <c r="J239" s="65" t="str">
        <f t="array" ref="J239">IFERROR(INDEX($B$1:$B$247, SMALL(IF($D$1:$D$247=$E$5,ROW($D$1:$D$247)),ROW()-2),1),"")</f>
        <v/>
      </c>
      <c r="K239" s="65" t="str">
        <f t="array" ref="K239">IFERROR(INDEX($C$1:$C$247, SMALL(IF($D$1:$D$247=$E$5,ROW($D$1:$D$247)),ROW()-2),1),"")</f>
        <v/>
      </c>
    </row>
    <row r="240" spans="1:11" ht="15.75">
      <c r="A240" s="11">
        <f t="shared" ca="1" si="5"/>
        <v>0.6806017246363264</v>
      </c>
      <c r="B240" s="60">
        <f>Data!I219</f>
        <v>3</v>
      </c>
      <c r="C240" s="60">
        <f>Data!J219</f>
        <v>33.299999999999997</v>
      </c>
      <c r="D240" s="61">
        <f t="array" ref="D240">MOD(ROW(), 3) + 1</f>
        <v>1</v>
      </c>
      <c r="E240" s="11"/>
      <c r="F240" s="63" t="str">
        <f t="array" ref="F240">IFERROR(INDEX($B$1:$B$247, SMALL(IF($D$1:$D$247=$E$3,ROW($D$1:$D$247)),ROW()-2),1),"")</f>
        <v/>
      </c>
      <c r="G240" s="63" t="str">
        <f t="array" ref="G240">IFERROR(INDEX($C$1:$C$247, SMALL(IF($D$1:$D$247=$E$3,ROW($D$1:$D$247)),ROW()-2),1),"")</f>
        <v/>
      </c>
      <c r="H240" s="64" t="str">
        <f t="array" ref="H240">IFERROR(INDEX($B$1:$B$247, SMALL(IF($D$1:$D$247=$E$4,ROW($D$1:$D$247)),ROW()-2),1),"")</f>
        <v/>
      </c>
      <c r="I240" s="64" t="str">
        <f t="array" ref="I240">IFERROR(INDEX($C$1:$C$247, SMALL(IF($D$1:$D$247=$E$4,ROW($D$1:$D$247)),ROW()-2),1),"")</f>
        <v/>
      </c>
      <c r="J240" s="65" t="str">
        <f t="array" ref="J240">IFERROR(INDEX($B$1:$B$247, SMALL(IF($D$1:$D$247=$E$5,ROW($D$1:$D$247)),ROW()-2),1),"")</f>
        <v/>
      </c>
      <c r="K240" s="65" t="str">
        <f t="array" ref="K240">IFERROR(INDEX($C$1:$C$247, SMALL(IF($D$1:$D$247=$E$5,ROW($D$1:$D$247)),ROW()-2),1),"")</f>
        <v/>
      </c>
    </row>
    <row r="241" spans="1:11" ht="15.75">
      <c r="A241" s="11">
        <f t="shared" ca="1" si="5"/>
        <v>0.26587485662895849</v>
      </c>
      <c r="B241" s="60">
        <f>Data!I172</f>
        <v>3.5</v>
      </c>
      <c r="C241" s="60">
        <f>Data!J172</f>
        <v>34</v>
      </c>
      <c r="D241" s="61">
        <f t="array" ref="D241">MOD(ROW(), 3) + 1</f>
        <v>2</v>
      </c>
      <c r="E241" s="11"/>
      <c r="F241" s="63" t="str">
        <f t="array" ref="F241">IFERROR(INDEX($B$1:$B$247, SMALL(IF($D$1:$D$247=$E$3,ROW($D$1:$D$247)),ROW()-2),1),"")</f>
        <v/>
      </c>
      <c r="G241" s="63" t="str">
        <f t="array" ref="G241">IFERROR(INDEX($C$1:$C$247, SMALL(IF($D$1:$D$247=$E$3,ROW($D$1:$D$247)),ROW()-2),1),"")</f>
        <v/>
      </c>
      <c r="H241" s="64" t="str">
        <f t="array" ref="H241">IFERROR(INDEX($B$1:$B$247, SMALL(IF($D$1:$D$247=$E$4,ROW($D$1:$D$247)),ROW()-2),1),"")</f>
        <v/>
      </c>
      <c r="I241" s="64" t="str">
        <f t="array" ref="I241">IFERROR(INDEX($C$1:$C$247, SMALL(IF($D$1:$D$247=$E$4,ROW($D$1:$D$247)),ROW()-2),1),"")</f>
        <v/>
      </c>
      <c r="J241" s="65" t="str">
        <f t="array" ref="J241">IFERROR(INDEX($B$1:$B$247, SMALL(IF($D$1:$D$247=$E$5,ROW($D$1:$D$247)),ROW()-2),1),"")</f>
        <v/>
      </c>
      <c r="K241" s="65" t="str">
        <f t="array" ref="K241">IFERROR(INDEX($C$1:$C$247, SMALL(IF($D$1:$D$247=$E$5,ROW($D$1:$D$247)),ROW()-2),1),"")</f>
        <v/>
      </c>
    </row>
    <row r="242" spans="1:11" ht="15.75">
      <c r="A242" s="11">
        <f t="shared" ca="1" si="5"/>
        <v>0.66762233223077716</v>
      </c>
      <c r="B242" s="60">
        <f>Data!I17</f>
        <v>5</v>
      </c>
      <c r="C242" s="60">
        <f>Data!J17</f>
        <v>30.850300000000001</v>
      </c>
      <c r="D242" s="61">
        <f t="array" ref="D242">MOD(ROW(), 3) + 1</f>
        <v>3</v>
      </c>
      <c r="E242" s="11"/>
      <c r="F242" s="63" t="str">
        <f t="array" ref="F242">IFERROR(INDEX($B$1:$B$247, SMALL(IF($D$1:$D$247=$E$3,ROW($D$1:$D$247)),ROW()-2),1),"")</f>
        <v/>
      </c>
      <c r="G242" s="63" t="str">
        <f t="array" ref="G242">IFERROR(INDEX($C$1:$C$247, SMALL(IF($D$1:$D$247=$E$3,ROW($D$1:$D$247)),ROW()-2),1),"")</f>
        <v/>
      </c>
      <c r="H242" s="64" t="str">
        <f t="array" ref="H242">IFERROR(INDEX($B$1:$B$247, SMALL(IF($D$1:$D$247=$E$4,ROW($D$1:$D$247)),ROW()-2),1),"")</f>
        <v/>
      </c>
      <c r="I242" s="64" t="str">
        <f t="array" ref="I242">IFERROR(INDEX($C$1:$C$247, SMALL(IF($D$1:$D$247=$E$4,ROW($D$1:$D$247)),ROW()-2),1),"")</f>
        <v/>
      </c>
      <c r="J242" s="65" t="str">
        <f t="array" ref="J242">IFERROR(INDEX($B$1:$B$247, SMALL(IF($D$1:$D$247=$E$5,ROW($D$1:$D$247)),ROW()-2),1),"")</f>
        <v/>
      </c>
      <c r="K242" s="65" t="str">
        <f t="array" ref="K242">IFERROR(INDEX($C$1:$C$247, SMALL(IF($D$1:$D$247=$E$5,ROW($D$1:$D$247)),ROW()-2),1),"")</f>
        <v/>
      </c>
    </row>
    <row r="243" spans="1:11" ht="15.75">
      <c r="A243" s="11">
        <f t="shared" ca="1" si="5"/>
        <v>0.72442261191571622</v>
      </c>
      <c r="B243" s="60">
        <f>Data!I228</f>
        <v>3.6</v>
      </c>
      <c r="C243" s="60">
        <f>Data!J228</f>
        <v>29.5</v>
      </c>
      <c r="D243" s="61">
        <f t="array" ref="D243">MOD(ROW(), 3) + 1</f>
        <v>1</v>
      </c>
      <c r="E243" s="11"/>
      <c r="F243" s="63" t="str">
        <f t="array" ref="F243">IFERROR(INDEX($B$1:$B$247, SMALL(IF($D$1:$D$247=$E$3,ROW($D$1:$D$247)),ROW()-2),1),"")</f>
        <v/>
      </c>
      <c r="G243" s="63" t="str">
        <f t="array" ref="G243">IFERROR(INDEX($C$1:$C$247, SMALL(IF($D$1:$D$247=$E$3,ROW($D$1:$D$247)),ROW()-2),1),"")</f>
        <v/>
      </c>
      <c r="H243" s="64" t="str">
        <f t="array" ref="H243">IFERROR(INDEX($B$1:$B$247, SMALL(IF($D$1:$D$247=$E$4,ROW($D$1:$D$247)),ROW()-2),1),"")</f>
        <v/>
      </c>
      <c r="I243" s="64" t="str">
        <f t="array" ref="I243">IFERROR(INDEX($C$1:$C$247, SMALL(IF($D$1:$D$247=$E$4,ROW($D$1:$D$247)),ROW()-2),1),"")</f>
        <v/>
      </c>
      <c r="J243" s="65" t="str">
        <f t="array" ref="J243">IFERROR(INDEX($B$1:$B$247, SMALL(IF($D$1:$D$247=$E$5,ROW($D$1:$D$247)),ROW()-2),1),"")</f>
        <v/>
      </c>
      <c r="K243" s="65" t="str">
        <f t="array" ref="K243">IFERROR(INDEX($C$1:$C$247, SMALL(IF($D$1:$D$247=$E$5,ROW($D$1:$D$247)),ROW()-2),1),"")</f>
        <v/>
      </c>
    </row>
    <row r="244" spans="1:11" ht="15.75">
      <c r="A244" s="11">
        <f t="shared" ca="1" si="5"/>
        <v>0.77751860677390239</v>
      </c>
      <c r="B244" s="60">
        <f>Data!I32</f>
        <v>3.5</v>
      </c>
      <c r="C244" s="60">
        <f>Data!J32</f>
        <v>34.749400000000001</v>
      </c>
      <c r="D244" s="61">
        <f t="array" ref="D244">MOD(ROW(), 3) + 1</f>
        <v>2</v>
      </c>
      <c r="E244" s="11"/>
      <c r="F244" s="63" t="str">
        <f t="array" ref="F244">IFERROR(INDEX($B$1:$B$247, SMALL(IF($D$1:$D$247=$E$3,ROW($D$1:$D$247)),ROW()-2),1),"")</f>
        <v/>
      </c>
      <c r="G244" s="63" t="str">
        <f t="array" ref="G244">IFERROR(INDEX($C$1:$C$247, SMALL(IF($D$1:$D$247=$E$3,ROW($D$1:$D$247)),ROW()-2),1),"")</f>
        <v/>
      </c>
      <c r="H244" s="64" t="str">
        <f t="array" ref="H244">IFERROR(INDEX($B$1:$B$247, SMALL(IF($D$1:$D$247=$E$4,ROW($D$1:$D$247)),ROW()-2),1),"")</f>
        <v/>
      </c>
      <c r="I244" s="64" t="str">
        <f t="array" ref="I244">IFERROR(INDEX($C$1:$C$247, SMALL(IF($D$1:$D$247=$E$4,ROW($D$1:$D$247)),ROW()-2),1),"")</f>
        <v/>
      </c>
      <c r="J244" s="65" t="str">
        <f t="array" ref="J244">IFERROR(INDEX($B$1:$B$247, SMALL(IF($D$1:$D$247=$E$5,ROW($D$1:$D$247)),ROW()-2),1),"")</f>
        <v/>
      </c>
      <c r="K244" s="65" t="str">
        <f t="array" ref="K244">IFERROR(INDEX($C$1:$C$247, SMALL(IF($D$1:$D$247=$E$5,ROW($D$1:$D$247)),ROW()-2),1),"")</f>
        <v/>
      </c>
    </row>
    <row r="245" spans="1:11" ht="15.75">
      <c r="A245" s="11">
        <f t="shared" ca="1" si="5"/>
        <v>0.126731382962043</v>
      </c>
      <c r="B245" s="60">
        <f>Data!I141</f>
        <v>3.7</v>
      </c>
      <c r="C245" s="60">
        <f>Data!J141</f>
        <v>28.566800000000001</v>
      </c>
      <c r="D245" s="61">
        <f t="array" ref="D245">MOD(ROW(), 3) + 1</f>
        <v>3</v>
      </c>
      <c r="E245" s="11"/>
      <c r="F245" s="63" t="str">
        <f t="array" ref="F245">IFERROR(INDEX($B$1:$B$247, SMALL(IF($D$1:$D$247=$E$3,ROW($D$1:$D$247)),ROW()-2),1),"")</f>
        <v/>
      </c>
      <c r="G245" s="63" t="str">
        <f t="array" ref="G245">IFERROR(INDEX($C$1:$C$247, SMALL(IF($D$1:$D$247=$E$3,ROW($D$1:$D$247)),ROW()-2),1),"")</f>
        <v/>
      </c>
      <c r="H245" s="64" t="str">
        <f t="array" ref="H245">IFERROR(INDEX($B$1:$B$247, SMALL(IF($D$1:$D$247=$E$4,ROW($D$1:$D$247)),ROW()-2),1),"")</f>
        <v/>
      </c>
      <c r="I245" s="64" t="str">
        <f t="array" ref="I245">IFERROR(INDEX($C$1:$C$247, SMALL(IF($D$1:$D$247=$E$4,ROW($D$1:$D$247)),ROW()-2),1),"")</f>
        <v/>
      </c>
      <c r="J245" s="65" t="str">
        <f t="array" ref="J245">IFERROR(INDEX($B$1:$B$247, SMALL(IF($D$1:$D$247=$E$5,ROW($D$1:$D$247)),ROW()-2),1),"")</f>
        <v/>
      </c>
      <c r="K245" s="65" t="str">
        <f t="array" ref="K245">IFERROR(INDEX($C$1:$C$247, SMALL(IF($D$1:$D$247=$E$5,ROW($D$1:$D$247)),ROW()-2),1),"")</f>
        <v/>
      </c>
    </row>
    <row r="246" spans="1:11" ht="15.75">
      <c r="A246" s="11">
        <f t="shared" ca="1" si="5"/>
        <v>0.62699991388743415</v>
      </c>
      <c r="B246" s="60">
        <f>Data!I233</f>
        <v>4.5999999999999996</v>
      </c>
      <c r="C246" s="60">
        <f>Data!J233</f>
        <v>24.3</v>
      </c>
      <c r="D246" s="61">
        <f t="array" ref="D246">MOD(ROW(), 3) + 1</f>
        <v>1</v>
      </c>
      <c r="E246" s="11"/>
      <c r="F246" s="63" t="str">
        <f t="array" ref="F246">IFERROR(INDEX($B$1:$B$247, SMALL(IF($D$1:$D$247=$E$3,ROW($D$1:$D$247)),ROW()-2),1),"")</f>
        <v/>
      </c>
      <c r="G246" s="63" t="str">
        <f t="array" ref="G246">IFERROR(INDEX($C$1:$C$247, SMALL(IF($D$1:$D$247=$E$3,ROW($D$1:$D$247)),ROW()-2),1),"")</f>
        <v/>
      </c>
      <c r="H246" s="64" t="str">
        <f t="array" ref="H246">IFERROR(INDEX($B$1:$B$247, SMALL(IF($D$1:$D$247=$E$4,ROW($D$1:$D$247)),ROW()-2),1),"")</f>
        <v/>
      </c>
      <c r="I246" s="64" t="str">
        <f t="array" ref="I246">IFERROR(INDEX($C$1:$C$247, SMALL(IF($D$1:$D$247=$E$4,ROW($D$1:$D$247)),ROW()-2),1),"")</f>
        <v/>
      </c>
      <c r="J246" s="65" t="str">
        <f t="array" ref="J246">IFERROR(INDEX($B$1:$B$247, SMALL(IF($D$1:$D$247=$E$5,ROW($D$1:$D$247)),ROW()-2),1),"")</f>
        <v/>
      </c>
      <c r="K246" s="65" t="str">
        <f t="array" ref="K246">IFERROR(INDEX($C$1:$C$247, SMALL(IF($D$1:$D$247=$E$5,ROW($D$1:$D$247)),ROW()-2),1),"")</f>
        <v/>
      </c>
    </row>
    <row r="247" spans="1:11" ht="15.75">
      <c r="A247" s="11">
        <f t="shared" ca="1" si="5"/>
        <v>0.92102728085674435</v>
      </c>
      <c r="B247" s="60">
        <f>Data!I150</f>
        <v>4.5999999999999996</v>
      </c>
      <c r="C247" s="60">
        <f>Data!J150</f>
        <v>23</v>
      </c>
      <c r="D247" s="61">
        <f t="array" ref="D247">MOD(ROW(), 3) + 1</f>
        <v>2</v>
      </c>
      <c r="E247" s="11"/>
      <c r="F247" s="63" t="str">
        <f t="array" ref="F247">IFERROR(INDEX($B$1:$B$247, SMALL(IF($D$1:$D$247=$E$3,ROW($D$1:$D$247)),ROW()-2),1),"")</f>
        <v/>
      </c>
      <c r="G247" s="63" t="str">
        <f t="array" ref="G247">IFERROR(INDEX($C$1:$C$247, SMALL(IF($D$1:$D$247=$E$3,ROW($D$1:$D$247)),ROW()-2),1),"")</f>
        <v/>
      </c>
      <c r="H247" s="64" t="str">
        <f t="array" ref="H247">IFERROR(INDEX($B$1:$B$247, SMALL(IF($D$1:$D$247=$E$4,ROW($D$1:$D$247)),ROW()-2),1),"")</f>
        <v/>
      </c>
      <c r="I247" s="64" t="str">
        <f t="array" ref="I247">IFERROR(INDEX($C$1:$C$247, SMALL(IF($D$1:$D$247=$E$4,ROW($D$1:$D$247)),ROW()-2),1),"")</f>
        <v/>
      </c>
      <c r="J247" s="65" t="str">
        <f t="array" ref="J247">IFERROR(INDEX($B$1:$B$247, SMALL(IF($D$1:$D$247=$E$5,ROW($D$1:$D$247)),ROW()-2),1),"")</f>
        <v/>
      </c>
      <c r="K247" s="65" t="str">
        <f t="array" ref="K247">IFERROR(INDEX($C$1:$C$247, SMALL(IF($D$1:$D$247=$E$5,ROW($D$1:$D$247)),ROW()-2),1),"")</f>
        <v/>
      </c>
    </row>
    <row r="248" spans="1:11" ht="15.75">
      <c r="A248" s="71">
        <f ca="1">COUNT(A3:A247)</f>
        <v>245</v>
      </c>
      <c r="B248" s="97">
        <f>SUM(B3:B247)</f>
        <v>890.70000000000016</v>
      </c>
      <c r="C248" s="97">
        <f>SUM(C3:C247)</f>
        <v>8509.0126999999993</v>
      </c>
      <c r="D248" s="61"/>
      <c r="F248" s="67">
        <f t="shared" ref="F248:K248" si="6">SUM(F3:F247)</f>
        <v>304.3</v>
      </c>
      <c r="G248" s="67">
        <f t="shared" si="6"/>
        <v>2773.2873</v>
      </c>
      <c r="H248" s="67">
        <f t="shared" si="6"/>
        <v>281.29999999999995</v>
      </c>
      <c r="I248" s="67">
        <f t="shared" si="6"/>
        <v>2974.1514000000002</v>
      </c>
      <c r="J248" s="67">
        <f t="shared" si="6"/>
        <v>305.09999999999997</v>
      </c>
      <c r="K248" s="67">
        <f t="shared" si="6"/>
        <v>2761.5740000000005</v>
      </c>
    </row>
    <row r="249" spans="1:11">
      <c r="F249" s="69">
        <f t="shared" ref="F249:K249" si="7">COUNT(F3:F247)</f>
        <v>82</v>
      </c>
      <c r="G249" s="69">
        <f t="shared" si="7"/>
        <v>82</v>
      </c>
      <c r="H249" s="69">
        <f t="shared" si="7"/>
        <v>82</v>
      </c>
      <c r="I249" s="69">
        <f t="shared" si="7"/>
        <v>82</v>
      </c>
      <c r="J249" s="69">
        <f t="shared" si="7"/>
        <v>81</v>
      </c>
      <c r="K249" s="69">
        <f t="shared" si="7"/>
        <v>81</v>
      </c>
    </row>
    <row r="250" spans="1:11">
      <c r="F250" s="70">
        <f>F248+H248+J248</f>
        <v>890.69999999999982</v>
      </c>
      <c r="G250" s="70">
        <f>G248+I248+K248</f>
        <v>8509.0127000000011</v>
      </c>
    </row>
  </sheetData>
  <sortState ref="A3:D247">
    <sortCondition ref="A3:A247"/>
  </sortState>
  <mergeCells count="3">
    <mergeCell ref="L5:Q19"/>
    <mergeCell ref="L21:Q25"/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ndSort2">
                <anchor moveWithCells="1">
                  <from>
                    <xdr:col>11</xdr:col>
                    <xdr:colOff>504825</xdr:colOff>
                    <xdr:row>1</xdr:row>
                    <xdr:rowOff>47625</xdr:rowOff>
                  </from>
                  <to>
                    <xdr:col>13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uesOnly2">
                <anchor moveWithCells="1">
                  <from>
                    <xdr:col>15</xdr:col>
                    <xdr:colOff>76200</xdr:colOff>
                    <xdr:row>1</xdr:row>
                    <xdr:rowOff>38100</xdr:rowOff>
                  </from>
                  <to>
                    <xdr:col>16</xdr:col>
                    <xdr:colOff>371475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9"/>
  <sheetViews>
    <sheetView workbookViewId="0">
      <selection activeCell="R4" sqref="R4"/>
    </sheetView>
  </sheetViews>
  <sheetFormatPr defaultRowHeight="15"/>
  <cols>
    <col min="1" max="1" width="7.5703125" style="1" bestFit="1" customWidth="1"/>
    <col min="2" max="2" width="8.5703125" style="1" bestFit="1" customWidth="1"/>
    <col min="3" max="3" width="5.5703125" style="1" bestFit="1" customWidth="1"/>
    <col min="4" max="4" width="14.42578125" bestFit="1" customWidth="1"/>
    <col min="5" max="5" width="8.5703125" bestFit="1" customWidth="1"/>
    <col min="6" max="6" width="8.42578125" bestFit="1" customWidth="1"/>
    <col min="7" max="7" width="17.7109375" bestFit="1" customWidth="1"/>
    <col min="8" max="8" width="8.5703125" customWidth="1"/>
    <col min="9" max="9" width="25.5703125" bestFit="1" customWidth="1"/>
    <col min="10" max="10" width="8.5703125" customWidth="1"/>
    <col min="11" max="11" width="7.5703125" bestFit="1" customWidth="1"/>
    <col min="12" max="12" width="12.5703125" bestFit="1" customWidth="1"/>
    <col min="13" max="16" width="12.5703125" customWidth="1"/>
    <col min="17" max="17" width="18" bestFit="1" customWidth="1"/>
    <col min="18" max="18" width="15.42578125" bestFit="1" customWidth="1"/>
    <col min="19" max="19" width="14.5703125" bestFit="1" customWidth="1"/>
    <col min="20" max="20" width="9" bestFit="1" customWidth="1"/>
    <col min="21" max="21" width="9.28515625" bestFit="1" customWidth="1"/>
    <col min="22" max="22" width="13.42578125" bestFit="1" customWidth="1"/>
    <col min="23" max="23" width="11" bestFit="1" customWidth="1"/>
    <col min="24" max="24" width="12.42578125" bestFit="1" customWidth="1"/>
    <col min="25" max="25" width="12.5703125" bestFit="1" customWidth="1"/>
    <col min="26" max="26" width="13.42578125" bestFit="1" customWidth="1"/>
    <col min="27" max="27" width="12.7109375" bestFit="1" customWidth="1"/>
    <col min="28" max="28" width="12.42578125" bestFit="1" customWidth="1"/>
    <col min="29" max="29" width="12.7109375" bestFit="1" customWidth="1"/>
  </cols>
  <sheetData>
    <row r="1" spans="1:25">
      <c r="A1" s="155" t="s">
        <v>64</v>
      </c>
      <c r="B1" s="155"/>
      <c r="C1" s="155"/>
      <c r="D1" s="155"/>
      <c r="E1" s="155"/>
      <c r="F1" s="155"/>
      <c r="G1" s="155"/>
      <c r="H1" s="155"/>
      <c r="I1" s="155"/>
      <c r="J1" s="138"/>
      <c r="K1" s="138"/>
    </row>
    <row r="2" spans="1:25" ht="19.5" thickBot="1">
      <c r="A2" s="90"/>
      <c r="B2" s="90"/>
      <c r="C2" s="90"/>
      <c r="D2" s="90"/>
      <c r="E2" s="90"/>
      <c r="F2" s="90"/>
      <c r="G2" s="78" t="s">
        <v>78</v>
      </c>
      <c r="H2" s="90"/>
      <c r="I2" s="78" t="s">
        <v>79</v>
      </c>
      <c r="J2" s="90"/>
      <c r="K2" s="90"/>
      <c r="M2" s="1" t="s">
        <v>92</v>
      </c>
      <c r="N2" s="1" t="s">
        <v>92</v>
      </c>
      <c r="O2" s="55" t="s">
        <v>48</v>
      </c>
      <c r="P2" s="55" t="s">
        <v>86</v>
      </c>
    </row>
    <row r="3" spans="1:25" ht="19.5" thickBot="1">
      <c r="A3" s="67" t="str">
        <f>'Q.6 Rand()'!R2</f>
        <v>S1_X</v>
      </c>
      <c r="B3" s="67" t="str">
        <f>'Q.6 Rand()'!S2</f>
        <v>S1_Y</v>
      </c>
      <c r="C3" s="85" t="s">
        <v>15</v>
      </c>
      <c r="D3" s="86" t="s">
        <v>65</v>
      </c>
      <c r="E3" s="75" t="s">
        <v>10</v>
      </c>
      <c r="F3" s="89" t="s">
        <v>2</v>
      </c>
      <c r="G3" s="59" t="s">
        <v>8</v>
      </c>
      <c r="H3" s="58" t="s">
        <v>17</v>
      </c>
      <c r="I3" s="59" t="s">
        <v>7</v>
      </c>
      <c r="J3" s="88" t="s">
        <v>16</v>
      </c>
      <c r="K3" s="88" t="s">
        <v>18</v>
      </c>
      <c r="L3" s="114" t="s">
        <v>6</v>
      </c>
      <c r="M3" s="56" t="s">
        <v>14</v>
      </c>
      <c r="N3" s="55" t="s">
        <v>87</v>
      </c>
      <c r="O3" s="119">
        <f>INTERCEPT(B4:B85,A4:A85)</f>
        <v>51.031506362025155</v>
      </c>
      <c r="P3" s="120">
        <f>SLOPE(B4:B85,A4:A85)</f>
        <v>-4.6378449611766763</v>
      </c>
      <c r="Q3" s="121" t="s">
        <v>38</v>
      </c>
      <c r="R3" s="93" t="s">
        <v>92</v>
      </c>
      <c r="S3" s="93"/>
      <c r="T3" s="93"/>
      <c r="U3" s="93"/>
      <c r="V3" s="93"/>
      <c r="W3" s="93"/>
      <c r="X3" s="93"/>
      <c r="Y3" s="94"/>
    </row>
    <row r="4" spans="1:25" ht="15.75" thickBot="1">
      <c r="A4" s="63">
        <f>'Q.6 Rand()'!R3</f>
        <v>3.7</v>
      </c>
      <c r="B4" s="63">
        <f>'Q.6 Rand()'!S3</f>
        <v>28.567399999999999</v>
      </c>
      <c r="C4" s="63">
        <f>AVERAGE(B4:B85)</f>
        <v>33.82057682926829</v>
      </c>
      <c r="D4" s="82">
        <f>ABS(N4)</f>
        <v>5.3040800056714517</v>
      </c>
      <c r="E4" s="82">
        <f t="shared" ref="E4:E63" si="0">D4/B4</f>
        <v>0.18566897952461378</v>
      </c>
      <c r="F4" s="76">
        <f>AVERAGE(E4:E85) * 100</f>
        <v>10.74036980777934</v>
      </c>
      <c r="G4" s="65">
        <f t="shared" ref="G4:G67" si="1">(B4-$C$4)^2</f>
        <v>27.595866799561257</v>
      </c>
      <c r="H4" s="64">
        <f>G86</f>
        <v>5236.664019685978</v>
      </c>
      <c r="I4" s="118">
        <f>(M4-$C$4)^2</f>
        <v>2.5911333679312703E-3</v>
      </c>
      <c r="J4" s="64">
        <f>I86</f>
        <v>3515.1024166715488</v>
      </c>
      <c r="K4" s="64">
        <f>H4-J4</f>
        <v>1721.5616030144292</v>
      </c>
      <c r="L4" s="83">
        <f>I86/G86</f>
        <v>0.67124841377208222</v>
      </c>
      <c r="M4" s="117">
        <f>$O$3+($P$3*A4)</f>
        <v>33.871480005671451</v>
      </c>
      <c r="N4" s="117">
        <f>B4-M4</f>
        <v>-5.3040800056714517</v>
      </c>
      <c r="O4" s="38"/>
      <c r="P4" s="38"/>
      <c r="Q4" s="95"/>
      <c r="R4" s="84"/>
      <c r="S4" s="84"/>
      <c r="T4" s="84"/>
      <c r="U4" s="84"/>
      <c r="V4" s="156" t="s">
        <v>88</v>
      </c>
      <c r="W4" s="157"/>
      <c r="X4" s="158"/>
      <c r="Y4" s="96"/>
    </row>
    <row r="5" spans="1:25">
      <c r="A5" s="63">
        <f>'Q.6 Rand()'!R4</f>
        <v>2.7</v>
      </c>
      <c r="B5" s="63">
        <f>'Q.6 Rand()'!S4</f>
        <v>37</v>
      </c>
      <c r="C5"/>
      <c r="D5" s="82">
        <f t="shared" ref="D5:D68" si="2">ABS(N5)</f>
        <v>1.5093249668481263</v>
      </c>
      <c r="E5" s="82">
        <f t="shared" si="0"/>
        <v>4.0792566671570982E-2</v>
      </c>
      <c r="G5" s="65">
        <f t="shared" si="1"/>
        <v>10.108731698585677</v>
      </c>
      <c r="H5" s="65"/>
      <c r="I5" s="118">
        <f t="shared" ref="I5:I68" si="3">(M5-$C$4)^2</f>
        <v>21.98435909765838</v>
      </c>
      <c r="J5" s="65"/>
      <c r="K5" s="65"/>
      <c r="M5" s="117">
        <f t="shared" ref="M5:M68" si="4">$O$3+($P$3*A5)</f>
        <v>38.509324966848126</v>
      </c>
      <c r="N5" s="117">
        <f t="shared" ref="N5:N68" si="5">B5-M5</f>
        <v>-1.5093249668481263</v>
      </c>
      <c r="Q5" s="105" t="s">
        <v>39</v>
      </c>
      <c r="R5" s="80"/>
      <c r="S5" s="84"/>
      <c r="T5" s="84"/>
      <c r="U5" s="84"/>
      <c r="V5" s="108"/>
      <c r="W5" s="129" t="s">
        <v>76</v>
      </c>
      <c r="X5" s="109" t="s">
        <v>77</v>
      </c>
      <c r="Y5" s="96"/>
    </row>
    <row r="6" spans="1:25">
      <c r="A6" s="63">
        <f>'Q.6 Rand()'!R5</f>
        <v>2.4</v>
      </c>
      <c r="B6" s="63">
        <f>'Q.6 Rand()'!S5</f>
        <v>42.5</v>
      </c>
      <c r="C6"/>
      <c r="D6" s="82">
        <f t="shared" si="2"/>
        <v>2.5993215447988689</v>
      </c>
      <c r="E6" s="82">
        <f t="shared" si="0"/>
        <v>6.1160506936443974E-2</v>
      </c>
      <c r="G6" s="65">
        <f t="shared" si="1"/>
        <v>75.332386576634477</v>
      </c>
      <c r="H6" s="65"/>
      <c r="I6" s="118">
        <f t="shared" si="3"/>
        <v>36.96763578167117</v>
      </c>
      <c r="J6" s="65"/>
      <c r="K6" s="65"/>
      <c r="M6" s="117">
        <f t="shared" si="4"/>
        <v>39.900678455201131</v>
      </c>
      <c r="N6" s="117">
        <f t="shared" si="5"/>
        <v>2.5993215447988689</v>
      </c>
      <c r="Q6" s="106" t="s">
        <v>40</v>
      </c>
      <c r="R6" s="100">
        <v>0.81929751236781079</v>
      </c>
      <c r="S6" s="84"/>
      <c r="T6" s="84"/>
      <c r="U6" s="84"/>
      <c r="V6" s="125" t="s">
        <v>76</v>
      </c>
      <c r="W6" s="81">
        <v>1</v>
      </c>
      <c r="X6" s="126"/>
      <c r="Y6" s="96"/>
    </row>
    <row r="7" spans="1:25" ht="15.75" thickBot="1">
      <c r="A7" s="63">
        <f>'Q.6 Rand()'!R6</f>
        <v>1.4</v>
      </c>
      <c r="B7" s="63">
        <f>'Q.6 Rand()'!S6</f>
        <v>52.749600000000001</v>
      </c>
      <c r="C7"/>
      <c r="D7" s="82">
        <f t="shared" si="2"/>
        <v>8.2110765836221944</v>
      </c>
      <c r="E7" s="82">
        <f t="shared" si="0"/>
        <v>0.15566139996553896</v>
      </c>
      <c r="G7" s="65">
        <f t="shared" si="1"/>
        <v>358.30791819809798</v>
      </c>
      <c r="H7" s="65"/>
      <c r="I7" s="118">
        <f t="shared" si="3"/>
        <v>114.87437904413252</v>
      </c>
      <c r="J7" s="65"/>
      <c r="K7" s="65"/>
      <c r="M7" s="117">
        <f t="shared" si="4"/>
        <v>44.538523416377807</v>
      </c>
      <c r="N7" s="117">
        <f t="shared" si="5"/>
        <v>8.2110765836221944</v>
      </c>
      <c r="Q7" s="106" t="s">
        <v>41</v>
      </c>
      <c r="R7" s="102">
        <v>0.671248413772083</v>
      </c>
      <c r="S7" s="84"/>
      <c r="T7" s="84"/>
      <c r="U7" s="84"/>
      <c r="V7" s="130" t="s">
        <v>77</v>
      </c>
      <c r="W7" s="128">
        <v>-0.81929751236781034</v>
      </c>
      <c r="X7" s="127">
        <v>1</v>
      </c>
      <c r="Y7" s="96"/>
    </row>
    <row r="8" spans="1:25">
      <c r="A8" s="63">
        <f>'Q.6 Rand()'!R7</f>
        <v>5.4</v>
      </c>
      <c r="B8" s="63">
        <f>'Q.6 Rand()'!S7</f>
        <v>24.1556</v>
      </c>
      <c r="C8"/>
      <c r="D8" s="82">
        <f t="shared" si="2"/>
        <v>1.8315435716711015</v>
      </c>
      <c r="E8" s="82">
        <f t="shared" si="0"/>
        <v>7.5822731444099983E-2</v>
      </c>
      <c r="G8" s="65">
        <f t="shared" si="1"/>
        <v>93.411777110292945</v>
      </c>
      <c r="H8" s="65"/>
      <c r="I8" s="118">
        <f t="shared" si="3"/>
        <v>61.362676601229715</v>
      </c>
      <c r="J8" s="65"/>
      <c r="K8" s="65"/>
      <c r="M8" s="117">
        <f t="shared" si="4"/>
        <v>25.987143571671101</v>
      </c>
      <c r="N8" s="117">
        <f t="shared" si="5"/>
        <v>-1.8315435716711015</v>
      </c>
      <c r="Q8" s="106" t="s">
        <v>42</v>
      </c>
      <c r="R8" s="100">
        <v>0.66713901894423411</v>
      </c>
      <c r="S8" s="84"/>
      <c r="T8" s="84"/>
      <c r="U8" s="84"/>
      <c r="V8" s="84"/>
      <c r="W8" s="84"/>
      <c r="X8" s="84"/>
      <c r="Y8" s="96"/>
    </row>
    <row r="9" spans="1:25">
      <c r="A9" s="63">
        <f>'Q.6 Rand()'!R8</f>
        <v>4.7</v>
      </c>
      <c r="B9" s="63">
        <f>'Q.6 Rand()'!S8</f>
        <v>25.6</v>
      </c>
      <c r="C9"/>
      <c r="D9" s="82">
        <f t="shared" si="2"/>
        <v>3.633635044494774</v>
      </c>
      <c r="E9" s="82">
        <f t="shared" si="0"/>
        <v>0.14193886892557711</v>
      </c>
      <c r="G9" s="65">
        <f t="shared" si="1"/>
        <v>67.577883405902682</v>
      </c>
      <c r="H9" s="65"/>
      <c r="I9" s="118">
        <f t="shared" si="3"/>
        <v>21.04003493690124</v>
      </c>
      <c r="J9" s="65"/>
      <c r="K9" s="65"/>
      <c r="M9" s="117">
        <f t="shared" si="4"/>
        <v>29.233635044494775</v>
      </c>
      <c r="N9" s="117">
        <f t="shared" si="5"/>
        <v>-3.633635044494774</v>
      </c>
      <c r="Q9" s="106" t="s">
        <v>43</v>
      </c>
      <c r="R9" s="100">
        <v>4.6389136699964917</v>
      </c>
      <c r="S9" s="84"/>
      <c r="T9" s="84"/>
      <c r="U9" s="84"/>
      <c r="V9" s="84"/>
      <c r="W9" s="84"/>
      <c r="X9" s="84"/>
      <c r="Y9" s="96"/>
    </row>
    <row r="10" spans="1:25" ht="15.75" thickBot="1">
      <c r="A10" s="63">
        <f>'Q.6 Rand()'!R9</f>
        <v>3</v>
      </c>
      <c r="B10" s="63">
        <f>'Q.6 Rand()'!S9</f>
        <v>35.496600000000001</v>
      </c>
      <c r="C10"/>
      <c r="D10" s="82">
        <f t="shared" si="2"/>
        <v>1.6213714784951208</v>
      </c>
      <c r="E10" s="82">
        <f t="shared" si="0"/>
        <v>4.5676810694407932E-2</v>
      </c>
      <c r="G10" s="65">
        <f t="shared" si="1"/>
        <v>2.8090536688295757</v>
      </c>
      <c r="H10" s="65"/>
      <c r="I10" s="118">
        <f t="shared" si="3"/>
        <v>10.872811472749737</v>
      </c>
      <c r="J10" s="65"/>
      <c r="K10" s="65"/>
      <c r="M10" s="117">
        <f t="shared" si="4"/>
        <v>37.117971478495122</v>
      </c>
      <c r="N10" s="117">
        <f t="shared" si="5"/>
        <v>-1.6213714784951208</v>
      </c>
      <c r="Q10" s="107" t="s">
        <v>44</v>
      </c>
      <c r="R10" s="101">
        <v>82</v>
      </c>
      <c r="S10" s="84"/>
      <c r="T10" s="84"/>
      <c r="U10" s="84"/>
      <c r="V10" s="84"/>
      <c r="W10" s="84"/>
      <c r="X10" s="84"/>
      <c r="Y10" s="96"/>
    </row>
    <row r="11" spans="1:25">
      <c r="A11" s="63">
        <f>'Q.6 Rand()'!R10</f>
        <v>3</v>
      </c>
      <c r="B11" s="63">
        <f>'Q.6 Rand()'!S10</f>
        <v>36.920200000000001</v>
      </c>
      <c r="C11"/>
      <c r="D11" s="82">
        <f t="shared" si="2"/>
        <v>0.19777147849512033</v>
      </c>
      <c r="E11" s="82">
        <f t="shared" si="0"/>
        <v>5.356728254319325E-3</v>
      </c>
      <c r="G11" s="65">
        <f t="shared" si="1"/>
        <v>9.6076638005369048</v>
      </c>
      <c r="H11" s="65"/>
      <c r="I11" s="118">
        <f t="shared" si="3"/>
        <v>10.872811472749737</v>
      </c>
      <c r="J11" s="65"/>
      <c r="K11" s="65"/>
      <c r="M11" s="117">
        <f t="shared" si="4"/>
        <v>37.117971478495122</v>
      </c>
      <c r="N11" s="117">
        <f t="shared" si="5"/>
        <v>-0.19777147849512033</v>
      </c>
      <c r="Q11" s="95"/>
      <c r="R11" s="84"/>
      <c r="S11" s="84"/>
      <c r="T11" s="84"/>
      <c r="U11" s="84"/>
      <c r="V11" s="84"/>
      <c r="W11" s="84"/>
      <c r="X11" s="84"/>
      <c r="Y11" s="96"/>
    </row>
    <row r="12" spans="1:25" ht="15.75" thickBot="1">
      <c r="A12" s="63">
        <f>'Q.6 Rand()'!R11</f>
        <v>6.3</v>
      </c>
      <c r="B12" s="63">
        <f>'Q.6 Rand()'!S11</f>
        <v>26</v>
      </c>
      <c r="C12"/>
      <c r="D12" s="82">
        <f t="shared" si="2"/>
        <v>4.186916893387906</v>
      </c>
      <c r="E12" s="82">
        <f t="shared" si="0"/>
        <v>0.16103526513030408</v>
      </c>
      <c r="G12" s="65">
        <f t="shared" si="1"/>
        <v>61.161421942488069</v>
      </c>
      <c r="H12" s="65"/>
      <c r="I12" s="118">
        <f t="shared" si="3"/>
        <v>144.17990549962795</v>
      </c>
      <c r="J12" s="65"/>
      <c r="K12" s="65"/>
      <c r="M12" s="117">
        <f t="shared" si="4"/>
        <v>21.813083106612094</v>
      </c>
      <c r="N12" s="117">
        <f t="shared" si="5"/>
        <v>4.186916893387906</v>
      </c>
      <c r="Q12" s="95" t="s">
        <v>45</v>
      </c>
      <c r="R12" s="84"/>
      <c r="S12" s="84"/>
      <c r="T12" s="84"/>
      <c r="U12" s="84"/>
      <c r="V12" s="84"/>
      <c r="W12" s="84"/>
      <c r="X12" s="84"/>
      <c r="Y12" s="96"/>
    </row>
    <row r="13" spans="1:25">
      <c r="A13" s="63">
        <f>'Q.6 Rand()'!R12</f>
        <v>4.4000000000000004</v>
      </c>
      <c r="B13" s="63">
        <f>'Q.6 Rand()'!S12</f>
        <v>33.603200000000001</v>
      </c>
      <c r="C13"/>
      <c r="D13" s="82">
        <f t="shared" si="2"/>
        <v>2.9782114671522244</v>
      </c>
      <c r="E13" s="82">
        <f t="shared" si="0"/>
        <v>8.8628805207605951E-2</v>
      </c>
      <c r="G13" s="65">
        <f t="shared" si="1"/>
        <v>4.7252685902735035E-2</v>
      </c>
      <c r="H13" s="65"/>
      <c r="I13" s="118">
        <f t="shared" si="3"/>
        <v>10.211784560219762</v>
      </c>
      <c r="J13" s="65"/>
      <c r="K13" s="65"/>
      <c r="M13" s="117">
        <f t="shared" si="4"/>
        <v>30.624988532847777</v>
      </c>
      <c r="N13" s="117">
        <f t="shared" si="5"/>
        <v>2.9782114671522244</v>
      </c>
      <c r="Q13" s="108"/>
      <c r="R13" s="79" t="s">
        <v>49</v>
      </c>
      <c r="S13" s="79" t="s">
        <v>50</v>
      </c>
      <c r="T13" s="79" t="s">
        <v>51</v>
      </c>
      <c r="U13" s="79" t="s">
        <v>52</v>
      </c>
      <c r="V13" s="79" t="s">
        <v>53</v>
      </c>
      <c r="W13" s="84"/>
      <c r="X13" s="84"/>
      <c r="Y13" s="96"/>
    </row>
    <row r="14" spans="1:25">
      <c r="A14" s="63">
        <f>'Q.6 Rand()'!R13</f>
        <v>3</v>
      </c>
      <c r="B14" s="63">
        <f>'Q.6 Rand()'!S13</f>
        <v>35.505200000000002</v>
      </c>
      <c r="C14"/>
      <c r="D14" s="82">
        <f t="shared" si="2"/>
        <v>1.6127714784951195</v>
      </c>
      <c r="E14" s="82">
        <f t="shared" si="0"/>
        <v>4.5423528905487627E-2</v>
      </c>
      <c r="G14" s="65">
        <f t="shared" si="1"/>
        <v>2.8379552273661655</v>
      </c>
      <c r="H14" s="65"/>
      <c r="I14" s="118">
        <f t="shared" si="3"/>
        <v>10.872811472749737</v>
      </c>
      <c r="J14" s="65"/>
      <c r="K14" s="65"/>
      <c r="M14" s="117">
        <f t="shared" si="4"/>
        <v>37.117971478495122</v>
      </c>
      <c r="N14" s="117">
        <f t="shared" si="5"/>
        <v>-1.6127714784951195</v>
      </c>
      <c r="Q14" s="106" t="s">
        <v>46</v>
      </c>
      <c r="R14" s="100">
        <v>1</v>
      </c>
      <c r="S14" s="103">
        <v>3515.1024166715529</v>
      </c>
      <c r="T14" s="100">
        <v>3515.1024166715529</v>
      </c>
      <c r="U14" s="100">
        <v>163.34483345895578</v>
      </c>
      <c r="V14" s="100">
        <v>5.1021506529960483E-21</v>
      </c>
      <c r="W14" s="84"/>
      <c r="X14" s="84"/>
      <c r="Y14" s="96"/>
    </row>
    <row r="15" spans="1:25">
      <c r="A15" s="63">
        <f>'Q.6 Rand()'!R14</f>
        <v>2.4</v>
      </c>
      <c r="B15" s="63">
        <f>'Q.6 Rand()'!S14</f>
        <v>44.8</v>
      </c>
      <c r="C15"/>
      <c r="D15" s="82">
        <f t="shared" si="2"/>
        <v>4.8993215447988661</v>
      </c>
      <c r="E15" s="82">
        <f t="shared" si="0"/>
        <v>0.10935985591068897</v>
      </c>
      <c r="G15" s="65">
        <f t="shared" si="1"/>
        <v>120.54773316200028</v>
      </c>
      <c r="H15" s="65"/>
      <c r="I15" s="118">
        <f t="shared" si="3"/>
        <v>36.96763578167117</v>
      </c>
      <c r="J15" s="65"/>
      <c r="K15" s="65"/>
      <c r="M15" s="117">
        <f t="shared" si="4"/>
        <v>39.900678455201131</v>
      </c>
      <c r="N15" s="117">
        <f t="shared" si="5"/>
        <v>4.8993215447988661</v>
      </c>
      <c r="Q15" s="106" t="s">
        <v>19</v>
      </c>
      <c r="R15" s="100">
        <v>80</v>
      </c>
      <c r="S15" s="103">
        <v>1721.5616030144251</v>
      </c>
      <c r="T15" s="100">
        <v>21.519520037680316</v>
      </c>
      <c r="U15" s="100"/>
      <c r="V15" s="100"/>
      <c r="W15" s="84"/>
      <c r="X15" s="84"/>
      <c r="Y15" s="96"/>
    </row>
    <row r="16" spans="1:25" ht="15.75" thickBot="1">
      <c r="A16" s="63">
        <f>'Q.6 Rand()'!R15</f>
        <v>1.6</v>
      </c>
      <c r="B16" s="63">
        <f>'Q.6 Rand()'!S15</f>
        <v>45.5991</v>
      </c>
      <c r="C16"/>
      <c r="D16" s="82">
        <f t="shared" si="2"/>
        <v>1.9881455758575299</v>
      </c>
      <c r="E16" s="82">
        <f t="shared" si="0"/>
        <v>4.360054421814312E-2</v>
      </c>
      <c r="G16" s="65">
        <f t="shared" si="1"/>
        <v>138.73360808346376</v>
      </c>
      <c r="H16" s="65"/>
      <c r="I16" s="118">
        <f t="shared" si="3"/>
        <v>95.851493450214321</v>
      </c>
      <c r="J16" s="65"/>
      <c r="K16" s="65"/>
      <c r="M16" s="117">
        <f t="shared" si="4"/>
        <v>43.61095442414247</v>
      </c>
      <c r="N16" s="117">
        <f t="shared" si="5"/>
        <v>1.9881455758575299</v>
      </c>
      <c r="Q16" s="107" t="s">
        <v>47</v>
      </c>
      <c r="R16" s="101">
        <v>81</v>
      </c>
      <c r="S16" s="104">
        <v>5236.664019685978</v>
      </c>
      <c r="T16" s="101"/>
      <c r="U16" s="101"/>
      <c r="V16" s="101"/>
      <c r="W16" s="84"/>
      <c r="X16" s="84"/>
      <c r="Y16" s="96"/>
    </row>
    <row r="17" spans="1:25" ht="15.75" thickBot="1">
      <c r="A17" s="63">
        <f>'Q.6 Rand()'!R16</f>
        <v>4.4000000000000004</v>
      </c>
      <c r="B17" s="63">
        <f>'Q.6 Rand()'!S16</f>
        <v>31.227399999999999</v>
      </c>
      <c r="C17"/>
      <c r="D17" s="82">
        <f t="shared" si="2"/>
        <v>0.60241146715222271</v>
      </c>
      <c r="E17" s="82">
        <f t="shared" si="0"/>
        <v>1.9291118285615284E-2</v>
      </c>
      <c r="G17" s="65">
        <f t="shared" si="1"/>
        <v>6.7245660678539476</v>
      </c>
      <c r="H17" s="65"/>
      <c r="I17" s="118">
        <f t="shared" si="3"/>
        <v>10.211784560219762</v>
      </c>
      <c r="J17" s="65"/>
      <c r="K17" s="65"/>
      <c r="M17" s="117">
        <f t="shared" si="4"/>
        <v>30.624988532847777</v>
      </c>
      <c r="N17" s="117">
        <f t="shared" si="5"/>
        <v>0.60241146715222271</v>
      </c>
      <c r="Q17" s="95"/>
      <c r="R17" s="84"/>
      <c r="S17" s="84"/>
      <c r="T17" s="84"/>
      <c r="U17" s="84"/>
      <c r="V17" s="84"/>
      <c r="W17" s="84"/>
      <c r="X17" s="84"/>
      <c r="Y17" s="96"/>
    </row>
    <row r="18" spans="1:25">
      <c r="A18" s="63">
        <f>'Q.6 Rand()'!R17</f>
        <v>3.5</v>
      </c>
      <c r="B18" s="63">
        <f>'Q.6 Rand()'!S17</f>
        <v>34.767499999999998</v>
      </c>
      <c r="C18"/>
      <c r="D18" s="82">
        <f t="shared" si="2"/>
        <v>3.1548997906789111E-2</v>
      </c>
      <c r="E18" s="82">
        <f t="shared" si="0"/>
        <v>9.0742785379417884E-4</v>
      </c>
      <c r="G18" s="65">
        <f t="shared" si="1"/>
        <v>0.89666349126859113</v>
      </c>
      <c r="H18" s="65"/>
      <c r="I18" s="118">
        <f t="shared" si="3"/>
        <v>0.95740778480012323</v>
      </c>
      <c r="J18" s="65"/>
      <c r="K18" s="65"/>
      <c r="M18" s="117">
        <f t="shared" si="4"/>
        <v>34.799048997906787</v>
      </c>
      <c r="N18" s="117">
        <f t="shared" si="5"/>
        <v>-3.1548997906789111E-2</v>
      </c>
      <c r="Q18" s="108"/>
      <c r="R18" s="79" t="s">
        <v>54</v>
      </c>
      <c r="S18" s="79" t="s">
        <v>43</v>
      </c>
      <c r="T18" s="79" t="s">
        <v>55</v>
      </c>
      <c r="U18" s="79" t="s">
        <v>56</v>
      </c>
      <c r="V18" s="79" t="s">
        <v>57</v>
      </c>
      <c r="W18" s="79" t="s">
        <v>58</v>
      </c>
      <c r="X18" s="79" t="s">
        <v>59</v>
      </c>
      <c r="Y18" s="109" t="s">
        <v>60</v>
      </c>
    </row>
    <row r="19" spans="1:25">
      <c r="A19" s="63">
        <f>'Q.6 Rand()'!R18</f>
        <v>5.2</v>
      </c>
      <c r="B19" s="63">
        <f>'Q.6 Rand()'!S18</f>
        <v>24.3325</v>
      </c>
      <c r="C19"/>
      <c r="D19" s="82">
        <f t="shared" si="2"/>
        <v>2.5822125639064382</v>
      </c>
      <c r="E19" s="82">
        <f t="shared" si="0"/>
        <v>0.10612195885775971</v>
      </c>
      <c r="G19" s="65">
        <f t="shared" si="1"/>
        <v>90.023601918097825</v>
      </c>
      <c r="H19" s="65"/>
      <c r="I19" s="118">
        <f t="shared" si="3"/>
        <v>47.690961251601799</v>
      </c>
      <c r="J19" s="65"/>
      <c r="K19" s="65"/>
      <c r="M19" s="117">
        <f t="shared" si="4"/>
        <v>26.914712563906438</v>
      </c>
      <c r="N19" s="117">
        <f t="shared" si="5"/>
        <v>-2.5822125639064382</v>
      </c>
      <c r="Q19" s="106" t="s">
        <v>48</v>
      </c>
      <c r="R19" s="100">
        <v>51.031506362025169</v>
      </c>
      <c r="S19" s="100">
        <v>1.4407891655987242</v>
      </c>
      <c r="T19" s="100">
        <v>35.41913527703332</v>
      </c>
      <c r="U19" s="100">
        <v>1.1824528946772606E-50</v>
      </c>
      <c r="V19" s="100">
        <v>48.16424454582743</v>
      </c>
      <c r="W19" s="100">
        <v>53.898768178222909</v>
      </c>
      <c r="X19" s="100">
        <v>48.16424454582743</v>
      </c>
      <c r="Y19" s="110">
        <v>53.898768178222909</v>
      </c>
    </row>
    <row r="20" spans="1:25" ht="15.75" thickBot="1">
      <c r="A20" s="63">
        <f>'Q.6 Rand()'!R19</f>
        <v>3</v>
      </c>
      <c r="B20" s="63">
        <f>'Q.6 Rand()'!S19</f>
        <v>34.4</v>
      </c>
      <c r="C20"/>
      <c r="D20" s="82">
        <f t="shared" si="2"/>
        <v>2.717971478495123</v>
      </c>
      <c r="E20" s="82">
        <f t="shared" si="0"/>
        <v>7.9010798793462886E-2</v>
      </c>
      <c r="G20" s="65">
        <f t="shared" si="1"/>
        <v>0.33573121078078616</v>
      </c>
      <c r="H20" s="65"/>
      <c r="I20" s="118">
        <f t="shared" si="3"/>
        <v>10.872811472749737</v>
      </c>
      <c r="J20" s="65"/>
      <c r="K20" s="65"/>
      <c r="M20" s="117">
        <f t="shared" si="4"/>
        <v>37.117971478495122</v>
      </c>
      <c r="N20" s="117">
        <f t="shared" si="5"/>
        <v>-2.717971478495123</v>
      </c>
      <c r="Q20" s="107" t="s">
        <v>76</v>
      </c>
      <c r="R20" s="101">
        <v>-4.6378449611766799</v>
      </c>
      <c r="S20" s="101">
        <v>0.36288041142056249</v>
      </c>
      <c r="T20" s="101">
        <v>-12.780642920407244</v>
      </c>
      <c r="U20" s="101">
        <v>5.1021506529960121E-21</v>
      </c>
      <c r="V20" s="101">
        <v>-5.3599999942345056</v>
      </c>
      <c r="W20" s="101">
        <v>-3.9156899281188537</v>
      </c>
      <c r="X20" s="101">
        <v>-5.3599999942345056</v>
      </c>
      <c r="Y20" s="111">
        <v>-3.9156899281188537</v>
      </c>
    </row>
    <row r="21" spans="1:25">
      <c r="A21" s="63">
        <f>'Q.6 Rand()'!R20</f>
        <v>3.6</v>
      </c>
      <c r="B21" s="63">
        <f>'Q.6 Rand()'!S20</f>
        <v>35.5</v>
      </c>
      <c r="C21"/>
      <c r="D21" s="82">
        <f t="shared" si="2"/>
        <v>1.1647354982108808</v>
      </c>
      <c r="E21" s="82">
        <f t="shared" si="0"/>
        <v>3.2809450653827628E-2</v>
      </c>
      <c r="G21" s="65">
        <f t="shared" si="1"/>
        <v>2.8204621863905488</v>
      </c>
      <c r="H21" s="65"/>
      <c r="I21" s="118">
        <f t="shared" si="3"/>
        <v>0.26490340024490783</v>
      </c>
      <c r="J21" s="65"/>
      <c r="K21" s="65"/>
      <c r="M21" s="117">
        <f t="shared" si="4"/>
        <v>34.335264501789119</v>
      </c>
      <c r="N21" s="117">
        <f t="shared" si="5"/>
        <v>1.1647354982108808</v>
      </c>
      <c r="Q21" s="95"/>
      <c r="R21" s="84"/>
      <c r="S21" s="84"/>
      <c r="T21" s="84"/>
      <c r="U21" s="84"/>
      <c r="V21" s="84"/>
      <c r="W21" s="84"/>
      <c r="X21" s="84"/>
      <c r="Y21" s="96"/>
    </row>
    <row r="22" spans="1:25">
      <c r="A22" s="63">
        <f>'Q.6 Rand()'!R21</f>
        <v>4</v>
      </c>
      <c r="B22" s="63">
        <f>'Q.6 Rand()'!S21</f>
        <v>28.4</v>
      </c>
      <c r="C22"/>
      <c r="D22" s="82">
        <f t="shared" si="2"/>
        <v>4.0801265173184547</v>
      </c>
      <c r="E22" s="82">
        <f t="shared" si="0"/>
        <v>0.14366642666614277</v>
      </c>
      <c r="G22" s="65">
        <f t="shared" si="1"/>
        <v>29.382653162000288</v>
      </c>
      <c r="H22" s="65"/>
      <c r="I22" s="118">
        <f t="shared" si="3"/>
        <v>1.7968070388064159</v>
      </c>
      <c r="J22" s="65"/>
      <c r="K22" s="65"/>
      <c r="M22" s="117">
        <f t="shared" si="4"/>
        <v>32.480126517318453</v>
      </c>
      <c r="N22" s="117">
        <f t="shared" si="5"/>
        <v>-4.0801265173184547</v>
      </c>
      <c r="Q22" s="95"/>
      <c r="R22" s="84"/>
      <c r="S22" s="84"/>
      <c r="T22" s="84"/>
      <c r="U22" s="84"/>
      <c r="V22" s="84"/>
      <c r="W22" s="84"/>
      <c r="X22" s="84"/>
      <c r="Y22" s="96"/>
    </row>
    <row r="23" spans="1:25">
      <c r="A23" s="63">
        <f>'Q.6 Rand()'!R22</f>
        <v>3</v>
      </c>
      <c r="B23" s="63">
        <f>'Q.6 Rand()'!S22</f>
        <v>35.435400000000001</v>
      </c>
      <c r="C23"/>
      <c r="D23" s="82">
        <f t="shared" si="2"/>
        <v>1.6825714784951202</v>
      </c>
      <c r="E23" s="82">
        <f t="shared" si="0"/>
        <v>4.7482784969130311E-2</v>
      </c>
      <c r="G23" s="65">
        <f t="shared" si="1"/>
        <v>2.6076538727320164</v>
      </c>
      <c r="H23" s="65"/>
      <c r="I23" s="118">
        <f t="shared" si="3"/>
        <v>10.872811472749737</v>
      </c>
      <c r="J23" s="65"/>
      <c r="K23" s="65"/>
      <c r="M23" s="117">
        <f t="shared" si="4"/>
        <v>37.117971478495122</v>
      </c>
      <c r="N23" s="117">
        <f t="shared" si="5"/>
        <v>-1.6825714784951202</v>
      </c>
      <c r="Q23" s="95"/>
      <c r="R23" s="84"/>
      <c r="S23" s="84"/>
      <c r="T23" s="84"/>
      <c r="U23" s="84"/>
      <c r="V23" s="84"/>
      <c r="W23" s="84"/>
      <c r="X23" s="84"/>
      <c r="Y23" s="96"/>
    </row>
    <row r="24" spans="1:25">
      <c r="A24" s="63">
        <f>'Q.6 Rand()'!R23</f>
        <v>2.5</v>
      </c>
      <c r="B24" s="63">
        <f>'Q.6 Rand()'!S23</f>
        <v>34.434100000000001</v>
      </c>
      <c r="C24"/>
      <c r="D24" s="82">
        <f t="shared" si="2"/>
        <v>5.002793959083462</v>
      </c>
      <c r="E24" s="82">
        <f t="shared" si="0"/>
        <v>0.14528603794155973</v>
      </c>
      <c r="G24" s="65">
        <f t="shared" si="1"/>
        <v>0.37641068102469144</v>
      </c>
      <c r="H24" s="65"/>
      <c r="I24" s="118">
        <f t="shared" si="3"/>
        <v>31.543018102655335</v>
      </c>
      <c r="J24" s="65"/>
      <c r="K24" s="65"/>
      <c r="M24" s="117">
        <f t="shared" si="4"/>
        <v>39.436893959083463</v>
      </c>
      <c r="N24" s="117">
        <f t="shared" si="5"/>
        <v>-5.002793959083462</v>
      </c>
      <c r="Q24" s="95" t="s">
        <v>61</v>
      </c>
      <c r="R24" s="84"/>
      <c r="S24" s="84"/>
      <c r="T24" s="84"/>
      <c r="U24" s="84"/>
      <c r="V24" s="84"/>
      <c r="W24" s="84"/>
      <c r="X24" s="84"/>
      <c r="Y24" s="96"/>
    </row>
    <row r="25" spans="1:25" ht="15.75" thickBot="1">
      <c r="A25" s="63">
        <f>'Q.6 Rand()'!R24</f>
        <v>3</v>
      </c>
      <c r="B25" s="63">
        <f>'Q.6 Rand()'!S24</f>
        <v>33.128100000000003</v>
      </c>
      <c r="C25"/>
      <c r="D25" s="82">
        <f t="shared" si="2"/>
        <v>3.9898714784951181</v>
      </c>
      <c r="E25" s="82">
        <f t="shared" si="0"/>
        <v>0.12043767914535146</v>
      </c>
      <c r="G25" s="65">
        <f t="shared" si="1"/>
        <v>0.47952415907346035</v>
      </c>
      <c r="H25" s="65"/>
      <c r="I25" s="118">
        <f t="shared" si="3"/>
        <v>10.872811472749737</v>
      </c>
      <c r="J25" s="65"/>
      <c r="K25" s="65"/>
      <c r="M25" s="117">
        <f t="shared" si="4"/>
        <v>37.117971478495122</v>
      </c>
      <c r="N25" s="117">
        <f t="shared" si="5"/>
        <v>-3.9898714784951181</v>
      </c>
      <c r="Q25" s="95"/>
      <c r="R25" s="84"/>
      <c r="S25" s="84"/>
      <c r="T25" s="84"/>
      <c r="U25" s="84"/>
      <c r="V25" s="84"/>
      <c r="W25" s="84"/>
      <c r="X25" s="84"/>
      <c r="Y25" s="96"/>
    </row>
    <row r="26" spans="1:25">
      <c r="A26" s="63">
        <f>'Q.6 Rand()'!R25</f>
        <v>4.5999999999999996</v>
      </c>
      <c r="B26" s="63">
        <f>'Q.6 Rand()'!S25</f>
        <v>23</v>
      </c>
      <c r="C26"/>
      <c r="D26" s="82">
        <f t="shared" si="2"/>
        <v>6.6974195406124473</v>
      </c>
      <c r="E26" s="82">
        <f t="shared" si="0"/>
        <v>0.29119215393967163</v>
      </c>
      <c r="G26" s="65">
        <f t="shared" si="1"/>
        <v>117.0848829180978</v>
      </c>
      <c r="H26" s="65"/>
      <c r="I26" s="118">
        <f t="shared" si="3"/>
        <v>17.000426026995804</v>
      </c>
      <c r="J26" s="65"/>
      <c r="K26" s="65"/>
      <c r="M26" s="117">
        <f t="shared" si="4"/>
        <v>29.697419540612447</v>
      </c>
      <c r="N26" s="117">
        <f t="shared" si="5"/>
        <v>-6.6974195406124473</v>
      </c>
      <c r="Q26" s="108" t="s">
        <v>62</v>
      </c>
      <c r="R26" s="79" t="s">
        <v>85</v>
      </c>
      <c r="S26" s="79" t="s">
        <v>63</v>
      </c>
      <c r="T26" s="84"/>
      <c r="U26" s="84"/>
      <c r="V26" s="84"/>
      <c r="W26" s="84"/>
      <c r="X26" s="84"/>
      <c r="Y26" s="96"/>
    </row>
    <row r="27" spans="1:25">
      <c r="A27" s="63">
        <f>'Q.6 Rand()'!R26</f>
        <v>3.5</v>
      </c>
      <c r="B27" s="63">
        <f>'Q.6 Rand()'!S26</f>
        <v>34.028799999999997</v>
      </c>
      <c r="C27"/>
      <c r="D27" s="82">
        <f t="shared" si="2"/>
        <v>0.77024899790679058</v>
      </c>
      <c r="E27" s="82">
        <f t="shared" si="0"/>
        <v>2.2635208937922896E-2</v>
      </c>
      <c r="G27" s="65">
        <f t="shared" si="1"/>
        <v>4.3356888829565343E-2</v>
      </c>
      <c r="H27" s="65"/>
      <c r="I27" s="118">
        <f t="shared" si="3"/>
        <v>0.95740778480012323</v>
      </c>
      <c r="J27" s="65"/>
      <c r="K27" s="65"/>
      <c r="M27" s="117">
        <f t="shared" si="4"/>
        <v>34.799048997906787</v>
      </c>
      <c r="N27" s="117">
        <f t="shared" si="5"/>
        <v>-0.77024899790679058</v>
      </c>
      <c r="Q27" s="106">
        <v>1</v>
      </c>
      <c r="R27" s="100">
        <v>33.871480005671458</v>
      </c>
      <c r="S27" s="100">
        <v>-5.3040800056714588</v>
      </c>
      <c r="T27" s="122"/>
      <c r="U27" s="84"/>
      <c r="V27" s="84"/>
      <c r="W27" s="84"/>
      <c r="X27" s="84"/>
      <c r="Y27" s="96"/>
    </row>
    <row r="28" spans="1:25">
      <c r="A28" s="63">
        <f>'Q.6 Rand()'!R27</f>
        <v>3.7</v>
      </c>
      <c r="B28" s="63">
        <f>'Q.6 Rand()'!S27</f>
        <v>30.4</v>
      </c>
      <c r="C28"/>
      <c r="D28" s="82">
        <f t="shared" si="2"/>
        <v>3.4714800056714523</v>
      </c>
      <c r="E28" s="82">
        <f t="shared" si="0"/>
        <v>0.11419342123919252</v>
      </c>
      <c r="G28" s="65">
        <f t="shared" si="1"/>
        <v>11.700345844927121</v>
      </c>
      <c r="H28" s="65"/>
      <c r="I28" s="118">
        <f t="shared" si="3"/>
        <v>2.5911333679312703E-3</v>
      </c>
      <c r="J28" s="65"/>
      <c r="K28" s="65"/>
      <c r="M28" s="117">
        <f t="shared" si="4"/>
        <v>33.871480005671451</v>
      </c>
      <c r="N28" s="117">
        <f t="shared" si="5"/>
        <v>-3.4714800056714523</v>
      </c>
      <c r="Q28" s="106">
        <v>2</v>
      </c>
      <c r="R28" s="100">
        <v>38.509324966848133</v>
      </c>
      <c r="S28" s="100">
        <v>-1.5093249668481334</v>
      </c>
      <c r="T28" s="122"/>
      <c r="U28" s="84"/>
      <c r="V28" s="84"/>
      <c r="W28" s="84"/>
      <c r="X28" s="84"/>
      <c r="Y28" s="96"/>
    </row>
    <row r="29" spans="1:25">
      <c r="A29" s="63">
        <f>'Q.6 Rand()'!R28</f>
        <v>2</v>
      </c>
      <c r="B29" s="63">
        <f>'Q.6 Rand()'!S28</f>
        <v>43.5</v>
      </c>
      <c r="C29"/>
      <c r="D29" s="82">
        <f t="shared" si="2"/>
        <v>1.7441835603281959</v>
      </c>
      <c r="E29" s="82">
        <f t="shared" si="0"/>
        <v>4.0096173800648179E-2</v>
      </c>
      <c r="G29" s="65">
        <f t="shared" si="1"/>
        <v>93.691232918097896</v>
      </c>
      <c r="H29" s="65"/>
      <c r="I29" s="118">
        <f t="shared" si="3"/>
        <v>62.968027674516904</v>
      </c>
      <c r="J29" s="65"/>
      <c r="K29" s="65"/>
      <c r="M29" s="117">
        <f t="shared" si="4"/>
        <v>41.755816439671804</v>
      </c>
      <c r="N29" s="117">
        <f t="shared" si="5"/>
        <v>1.7441835603281959</v>
      </c>
      <c r="Q29" s="106">
        <v>3</v>
      </c>
      <c r="R29" s="100">
        <v>39.900678455201138</v>
      </c>
      <c r="S29" s="100">
        <v>2.5993215447988618</v>
      </c>
      <c r="T29" s="122"/>
      <c r="U29" s="84"/>
      <c r="V29" s="84"/>
      <c r="W29" s="84"/>
      <c r="X29" s="84"/>
      <c r="Y29" s="96"/>
    </row>
    <row r="30" spans="1:25">
      <c r="A30" s="63">
        <f>'Q.6 Rand()'!R29</f>
        <v>6</v>
      </c>
      <c r="B30" s="63">
        <f>'Q.6 Rand()'!S29</f>
        <v>21.473400000000002</v>
      </c>
      <c r="C30"/>
      <c r="D30" s="82">
        <f t="shared" si="2"/>
        <v>1.7310365949650937</v>
      </c>
      <c r="E30" s="82">
        <f t="shared" si="0"/>
        <v>8.0613065232571154E-2</v>
      </c>
      <c r="G30" s="65">
        <f t="shared" si="1"/>
        <v>152.4527756532197</v>
      </c>
      <c r="H30" s="65"/>
      <c r="I30" s="118">
        <f t="shared" si="3"/>
        <v>112.7024334743911</v>
      </c>
      <c r="J30" s="65"/>
      <c r="K30" s="65"/>
      <c r="M30" s="117">
        <f t="shared" si="4"/>
        <v>23.204436594965095</v>
      </c>
      <c r="N30" s="117">
        <f t="shared" si="5"/>
        <v>-1.7310365949650937</v>
      </c>
      <c r="Q30" s="106">
        <v>4</v>
      </c>
      <c r="R30" s="100">
        <v>44.538523416377821</v>
      </c>
      <c r="S30" s="100">
        <v>8.2110765836221802</v>
      </c>
      <c r="T30" s="122"/>
      <c r="U30" s="84"/>
      <c r="V30" s="84"/>
      <c r="W30" s="84"/>
      <c r="X30" s="84"/>
      <c r="Y30" s="96"/>
    </row>
    <row r="31" spans="1:25">
      <c r="A31" s="63">
        <f>'Q.6 Rand()'!R30</f>
        <v>3</v>
      </c>
      <c r="B31" s="63">
        <f>'Q.6 Rand()'!S30</f>
        <v>32.286000000000001</v>
      </c>
      <c r="C31"/>
      <c r="D31" s="82">
        <f t="shared" si="2"/>
        <v>4.8319714784951202</v>
      </c>
      <c r="E31" s="82">
        <f t="shared" si="0"/>
        <v>0.14966150896658365</v>
      </c>
      <c r="G31" s="65">
        <f t="shared" si="1"/>
        <v>2.3549260449271157</v>
      </c>
      <c r="H31" s="65"/>
      <c r="I31" s="118">
        <f t="shared" si="3"/>
        <v>10.872811472749737</v>
      </c>
      <c r="J31" s="65"/>
      <c r="K31" s="65"/>
      <c r="M31" s="117">
        <f t="shared" si="4"/>
        <v>37.117971478495122</v>
      </c>
      <c r="N31" s="117">
        <f t="shared" si="5"/>
        <v>-4.8319714784951202</v>
      </c>
      <c r="Q31" s="106">
        <v>5</v>
      </c>
      <c r="R31" s="100">
        <v>25.987143571671098</v>
      </c>
      <c r="S31" s="100">
        <v>-1.8315435716710979</v>
      </c>
      <c r="T31" s="122"/>
      <c r="U31" s="84"/>
      <c r="V31" s="84"/>
      <c r="W31" s="84"/>
      <c r="X31" s="84"/>
      <c r="Y31" s="96"/>
    </row>
    <row r="32" spans="1:25">
      <c r="A32" s="63">
        <f>'Q.6 Rand()'!R31</f>
        <v>3</v>
      </c>
      <c r="B32" s="63">
        <f>'Q.6 Rand()'!S31</f>
        <v>36.473799999999997</v>
      </c>
      <c r="C32"/>
      <c r="D32" s="82">
        <f t="shared" si="2"/>
        <v>0.64417147849512446</v>
      </c>
      <c r="E32" s="82">
        <f t="shared" si="0"/>
        <v>1.7661211019831344E-2</v>
      </c>
      <c r="G32" s="65">
        <f t="shared" si="1"/>
        <v>7.0395931937076108</v>
      </c>
      <c r="H32" s="65"/>
      <c r="I32" s="118">
        <f t="shared" si="3"/>
        <v>10.872811472749737</v>
      </c>
      <c r="J32" s="65"/>
      <c r="K32" s="65"/>
      <c r="M32" s="117">
        <f t="shared" si="4"/>
        <v>37.117971478495122</v>
      </c>
      <c r="N32" s="117">
        <f t="shared" si="5"/>
        <v>-0.64417147849512446</v>
      </c>
      <c r="Q32" s="106">
        <v>6</v>
      </c>
      <c r="R32" s="100">
        <v>29.233635044494772</v>
      </c>
      <c r="S32" s="100">
        <v>-3.6336350444947705</v>
      </c>
      <c r="T32" s="122"/>
      <c r="U32" s="84"/>
      <c r="V32" s="84"/>
      <c r="W32" s="84"/>
      <c r="X32" s="84"/>
      <c r="Y32" s="96"/>
    </row>
    <row r="33" spans="1:25">
      <c r="A33" s="63">
        <f>'Q.6 Rand()'!R32</f>
        <v>2</v>
      </c>
      <c r="B33" s="63">
        <f>'Q.6 Rand()'!S32</f>
        <v>42.973300000000002</v>
      </c>
      <c r="C33"/>
      <c r="D33" s="82">
        <f t="shared" si="2"/>
        <v>1.2174835603281977</v>
      </c>
      <c r="E33" s="82">
        <f t="shared" si="0"/>
        <v>2.8331162845957783E-2</v>
      </c>
      <c r="G33" s="65">
        <f t="shared" si="1"/>
        <v>83.772341440049146</v>
      </c>
      <c r="H33" s="65"/>
      <c r="I33" s="118">
        <f t="shared" si="3"/>
        <v>62.968027674516904</v>
      </c>
      <c r="J33" s="65"/>
      <c r="K33" s="65"/>
      <c r="M33" s="117">
        <f t="shared" si="4"/>
        <v>41.755816439671804</v>
      </c>
      <c r="N33" s="117">
        <f t="shared" si="5"/>
        <v>1.2174835603281977</v>
      </c>
      <c r="Q33" s="106">
        <v>7</v>
      </c>
      <c r="R33" s="100">
        <v>37.117971478495129</v>
      </c>
      <c r="S33" s="100">
        <v>-1.6213714784951279</v>
      </c>
      <c r="T33" s="122"/>
      <c r="U33" s="84"/>
      <c r="V33" s="84"/>
      <c r="W33" s="84"/>
      <c r="X33" s="84"/>
      <c r="Y33" s="96"/>
    </row>
    <row r="34" spans="1:25">
      <c r="A34" s="63">
        <f>'Q.6 Rand()'!R33</f>
        <v>2.5</v>
      </c>
      <c r="B34" s="63">
        <f>'Q.6 Rand()'!S33</f>
        <v>31.366900000000001</v>
      </c>
      <c r="C34"/>
      <c r="D34" s="82">
        <f t="shared" si="2"/>
        <v>8.0699939590834617</v>
      </c>
      <c r="E34" s="82">
        <f t="shared" si="0"/>
        <v>0.25727738345464363</v>
      </c>
      <c r="G34" s="65">
        <f t="shared" si="1"/>
        <v>6.0205299824880862</v>
      </c>
      <c r="H34" s="65"/>
      <c r="I34" s="118">
        <f t="shared" si="3"/>
        <v>31.543018102655335</v>
      </c>
      <c r="J34" s="65"/>
      <c r="K34" s="65"/>
      <c r="M34" s="117">
        <f t="shared" si="4"/>
        <v>39.436893959083463</v>
      </c>
      <c r="N34" s="117">
        <f t="shared" si="5"/>
        <v>-8.0699939590834617</v>
      </c>
      <c r="Q34" s="106">
        <v>8</v>
      </c>
      <c r="R34" s="100">
        <v>37.117971478495129</v>
      </c>
      <c r="S34" s="100">
        <v>-0.19777147849512744</v>
      </c>
      <c r="T34" s="122"/>
      <c r="U34" s="84"/>
      <c r="V34" s="84"/>
      <c r="W34" s="84"/>
      <c r="X34" s="84"/>
      <c r="Y34" s="96"/>
    </row>
    <row r="35" spans="1:25">
      <c r="A35" s="63">
        <f>'Q.6 Rand()'!R34</f>
        <v>2.5</v>
      </c>
      <c r="B35" s="63">
        <f>'Q.6 Rand()'!S34</f>
        <v>37.979999999999997</v>
      </c>
      <c r="C35"/>
      <c r="D35" s="82">
        <f t="shared" si="2"/>
        <v>1.456893959083466</v>
      </c>
      <c r="E35" s="82">
        <f t="shared" si="0"/>
        <v>3.8359503925315064E-2</v>
      </c>
      <c r="G35" s="65">
        <f t="shared" si="1"/>
        <v>17.300801113219801</v>
      </c>
      <c r="H35" s="65"/>
      <c r="I35" s="118">
        <f t="shared" si="3"/>
        <v>31.543018102655335</v>
      </c>
      <c r="J35" s="65"/>
      <c r="K35" s="65"/>
      <c r="M35" s="117">
        <f t="shared" si="4"/>
        <v>39.436893959083463</v>
      </c>
      <c r="N35" s="117">
        <f t="shared" si="5"/>
        <v>-1.456893959083466</v>
      </c>
      <c r="Q35" s="106">
        <v>9</v>
      </c>
      <c r="R35" s="100">
        <v>21.813083106612087</v>
      </c>
      <c r="S35" s="100">
        <v>4.1869168933879131</v>
      </c>
      <c r="T35" s="122"/>
      <c r="U35" s="84"/>
      <c r="V35" s="84"/>
      <c r="W35" s="84"/>
      <c r="X35" s="84"/>
      <c r="Y35" s="96"/>
    </row>
    <row r="36" spans="1:25">
      <c r="A36" s="63">
        <f>'Q.6 Rand()'!R35</f>
        <v>5.4</v>
      </c>
      <c r="B36" s="63">
        <f>'Q.6 Rand()'!S35</f>
        <v>21.641200000000001</v>
      </c>
      <c r="C36"/>
      <c r="D36" s="82">
        <f t="shared" si="2"/>
        <v>4.3459435716710999</v>
      </c>
      <c r="E36" s="82">
        <f t="shared" si="0"/>
        <v>0.200818049446015</v>
      </c>
      <c r="G36" s="65">
        <f t="shared" si="1"/>
        <v>148.33721994931727</v>
      </c>
      <c r="H36" s="65"/>
      <c r="I36" s="118">
        <f t="shared" si="3"/>
        <v>61.362676601229715</v>
      </c>
      <c r="J36" s="65"/>
      <c r="K36" s="65"/>
      <c r="M36" s="117">
        <f t="shared" si="4"/>
        <v>25.987143571671101</v>
      </c>
      <c r="N36" s="117">
        <f t="shared" si="5"/>
        <v>-4.3459435716710999</v>
      </c>
      <c r="Q36" s="106">
        <v>10</v>
      </c>
      <c r="R36" s="100">
        <v>30.624988532847777</v>
      </c>
      <c r="S36" s="100">
        <v>2.9782114671522244</v>
      </c>
      <c r="T36" s="122"/>
      <c r="U36" s="84"/>
      <c r="V36" s="84"/>
      <c r="W36" s="84"/>
      <c r="X36" s="84"/>
      <c r="Y36" s="96"/>
    </row>
    <row r="37" spans="1:25">
      <c r="A37" s="63">
        <f>'Q.6 Rand()'!R36</f>
        <v>3.8</v>
      </c>
      <c r="B37" s="63">
        <f>'Q.6 Rand()'!S36</f>
        <v>36.027700000000003</v>
      </c>
      <c r="C37"/>
      <c r="D37" s="82">
        <f t="shared" si="2"/>
        <v>2.6200044904462132</v>
      </c>
      <c r="E37" s="82">
        <f t="shared" si="0"/>
        <v>7.2721947014275493E-2</v>
      </c>
      <c r="G37" s="65">
        <f t="shared" si="1"/>
        <v>4.8713926907808078</v>
      </c>
      <c r="H37" s="65"/>
      <c r="I37" s="118">
        <f t="shared" si="3"/>
        <v>0.17047098416918774</v>
      </c>
      <c r="J37" s="65"/>
      <c r="K37" s="65"/>
      <c r="M37" s="117">
        <f t="shared" si="4"/>
        <v>33.40769550955379</v>
      </c>
      <c r="N37" s="117">
        <f t="shared" si="5"/>
        <v>2.6200044904462132</v>
      </c>
      <c r="Q37" s="106">
        <v>11</v>
      </c>
      <c r="R37" s="100">
        <v>37.117971478495129</v>
      </c>
      <c r="S37" s="100">
        <v>-1.6127714784951266</v>
      </c>
      <c r="T37" s="122"/>
      <c r="U37" s="84"/>
      <c r="V37" s="84"/>
      <c r="W37" s="84"/>
      <c r="X37" s="84"/>
      <c r="Y37" s="96"/>
    </row>
    <row r="38" spans="1:25">
      <c r="A38" s="63">
        <f>'Q.6 Rand()'!R37</f>
        <v>3.7</v>
      </c>
      <c r="B38" s="63">
        <f>'Q.6 Rand()'!S37</f>
        <v>35.162799999999997</v>
      </c>
      <c r="C38"/>
      <c r="D38" s="82">
        <f t="shared" si="2"/>
        <v>1.2913199943285463</v>
      </c>
      <c r="E38" s="82">
        <f t="shared" si="0"/>
        <v>3.6724037742402377E-2</v>
      </c>
      <c r="G38" s="65">
        <f t="shared" si="1"/>
        <v>1.8015630400490763</v>
      </c>
      <c r="H38" s="65"/>
      <c r="I38" s="118">
        <f t="shared" si="3"/>
        <v>2.5911333679312703E-3</v>
      </c>
      <c r="J38" s="65"/>
      <c r="K38" s="65"/>
      <c r="M38" s="117">
        <f t="shared" si="4"/>
        <v>33.871480005671451</v>
      </c>
      <c r="N38" s="117">
        <f t="shared" si="5"/>
        <v>1.2913199943285463</v>
      </c>
      <c r="Q38" s="106">
        <v>12</v>
      </c>
      <c r="R38" s="100">
        <v>39.900678455201138</v>
      </c>
      <c r="S38" s="100">
        <v>4.899321544798859</v>
      </c>
      <c r="T38" s="122"/>
      <c r="U38" s="84"/>
      <c r="V38" s="84"/>
      <c r="W38" s="84"/>
      <c r="X38" s="84"/>
      <c r="Y38" s="96"/>
    </row>
    <row r="39" spans="1:25">
      <c r="A39" s="63">
        <f>'Q.6 Rand()'!R38</f>
        <v>6</v>
      </c>
      <c r="B39" s="63">
        <f>'Q.6 Rand()'!S38</f>
        <v>24.7</v>
      </c>
      <c r="C39"/>
      <c r="D39" s="82">
        <f t="shared" si="2"/>
        <v>1.495563405034904</v>
      </c>
      <c r="E39" s="82">
        <f t="shared" si="0"/>
        <v>6.0549125709915143E-2</v>
      </c>
      <c r="G39" s="65">
        <f t="shared" si="1"/>
        <v>83.18492169858564</v>
      </c>
      <c r="H39" s="65"/>
      <c r="I39" s="118">
        <f t="shared" si="3"/>
        <v>112.7024334743911</v>
      </c>
      <c r="J39" s="65"/>
      <c r="K39" s="65"/>
      <c r="M39" s="117">
        <f t="shared" si="4"/>
        <v>23.204436594965095</v>
      </c>
      <c r="N39" s="117">
        <f t="shared" si="5"/>
        <v>1.495563405034904</v>
      </c>
      <c r="Q39" s="106">
        <v>13</v>
      </c>
      <c r="R39" s="100">
        <v>43.610954424142477</v>
      </c>
      <c r="S39" s="100">
        <v>1.9881455758575228</v>
      </c>
      <c r="T39" s="122"/>
      <c r="U39" s="84"/>
      <c r="V39" s="84"/>
      <c r="W39" s="84"/>
      <c r="X39" s="84"/>
      <c r="Y39" s="96"/>
    </row>
    <row r="40" spans="1:25">
      <c r="A40" s="63">
        <f>'Q.6 Rand()'!R39</f>
        <v>3.6</v>
      </c>
      <c r="B40" s="63">
        <f>'Q.6 Rand()'!S39</f>
        <v>32.299999999999997</v>
      </c>
      <c r="C40"/>
      <c r="D40" s="82">
        <f t="shared" si="2"/>
        <v>2.035264501789122</v>
      </c>
      <c r="E40" s="82">
        <f t="shared" si="0"/>
        <v>6.3011284885112137E-2</v>
      </c>
      <c r="G40" s="65">
        <f t="shared" si="1"/>
        <v>2.3121538937076163</v>
      </c>
      <c r="H40" s="65"/>
      <c r="I40" s="118">
        <f t="shared" si="3"/>
        <v>0.26490340024490783</v>
      </c>
      <c r="J40" s="65"/>
      <c r="K40" s="65"/>
      <c r="M40" s="117">
        <f t="shared" si="4"/>
        <v>34.335264501789119</v>
      </c>
      <c r="N40" s="117">
        <f t="shared" si="5"/>
        <v>-2.035264501789122</v>
      </c>
      <c r="Q40" s="106">
        <v>14</v>
      </c>
      <c r="R40" s="100">
        <v>30.624988532847777</v>
      </c>
      <c r="S40" s="100">
        <v>0.60241146715222271</v>
      </c>
      <c r="T40" s="122"/>
      <c r="U40" s="84"/>
      <c r="V40" s="84"/>
      <c r="W40" s="84"/>
      <c r="X40" s="84"/>
      <c r="Y40" s="96"/>
    </row>
    <row r="41" spans="1:25">
      <c r="A41" s="63">
        <f>'Q.6 Rand()'!R40</f>
        <v>3.7</v>
      </c>
      <c r="B41" s="63">
        <f>'Q.6 Rand()'!S40</f>
        <v>36.752800000000001</v>
      </c>
      <c r="C41"/>
      <c r="D41" s="82">
        <f t="shared" si="2"/>
        <v>2.8813199943285497</v>
      </c>
      <c r="E41" s="82">
        <f t="shared" si="0"/>
        <v>7.8397292024785861E-2</v>
      </c>
      <c r="G41" s="65">
        <f t="shared" si="1"/>
        <v>8.5979327229759228</v>
      </c>
      <c r="H41" s="65"/>
      <c r="I41" s="118">
        <f t="shared" si="3"/>
        <v>2.5911333679312703E-3</v>
      </c>
      <c r="J41" s="65"/>
      <c r="K41" s="65"/>
      <c r="M41" s="117">
        <f t="shared" si="4"/>
        <v>33.871480005671451</v>
      </c>
      <c r="N41" s="117">
        <f t="shared" si="5"/>
        <v>2.8813199943285497</v>
      </c>
      <c r="Q41" s="106">
        <v>15</v>
      </c>
      <c r="R41" s="100">
        <v>34.799048997906795</v>
      </c>
      <c r="S41" s="100">
        <v>-3.1548997906796217E-2</v>
      </c>
      <c r="T41" s="122"/>
      <c r="U41" s="84"/>
      <c r="V41" s="84"/>
      <c r="W41" s="84"/>
      <c r="X41" s="84"/>
      <c r="Y41" s="96"/>
    </row>
    <row r="42" spans="1:25">
      <c r="A42" s="63">
        <f>'Q.6 Rand()'!R41</f>
        <v>3.2</v>
      </c>
      <c r="B42" s="63">
        <f>'Q.6 Rand()'!S41</f>
        <v>34.542400000000001</v>
      </c>
      <c r="C42"/>
      <c r="D42" s="82">
        <f t="shared" si="2"/>
        <v>1.6480024862597915</v>
      </c>
      <c r="E42" s="82">
        <f t="shared" si="0"/>
        <v>4.7709553657527895E-2</v>
      </c>
      <c r="G42" s="65">
        <f t="shared" si="1"/>
        <v>0.52102868980517969</v>
      </c>
      <c r="H42" s="65"/>
      <c r="I42" s="118">
        <f t="shared" si="3"/>
        <v>5.6160736445352031</v>
      </c>
      <c r="J42" s="65"/>
      <c r="K42" s="65"/>
      <c r="M42" s="117">
        <f t="shared" si="4"/>
        <v>36.190402486259792</v>
      </c>
      <c r="N42" s="117">
        <f t="shared" si="5"/>
        <v>-1.6480024862597915</v>
      </c>
      <c r="Q42" s="106">
        <v>16</v>
      </c>
      <c r="R42" s="100">
        <v>26.914712563906434</v>
      </c>
      <c r="S42" s="100">
        <v>-2.5822125639064346</v>
      </c>
      <c r="T42" s="122"/>
      <c r="U42" s="84"/>
      <c r="V42" s="84"/>
      <c r="W42" s="84"/>
      <c r="X42" s="84"/>
      <c r="Y42" s="96"/>
    </row>
    <row r="43" spans="1:25">
      <c r="A43" s="63">
        <f>'Q.6 Rand()'!R42</f>
        <v>3.6</v>
      </c>
      <c r="B43" s="63">
        <f>'Q.6 Rand()'!S42</f>
        <v>35</v>
      </c>
      <c r="C43"/>
      <c r="D43" s="82">
        <f t="shared" si="2"/>
        <v>0.66473549821088085</v>
      </c>
      <c r="E43" s="82">
        <f t="shared" si="0"/>
        <v>1.8992442806025168E-2</v>
      </c>
      <c r="G43" s="65">
        <f t="shared" si="1"/>
        <v>1.3910390156588393</v>
      </c>
      <c r="H43" s="65"/>
      <c r="I43" s="118">
        <f t="shared" si="3"/>
        <v>0.26490340024490783</v>
      </c>
      <c r="J43" s="65"/>
      <c r="K43" s="65"/>
      <c r="M43" s="117">
        <f t="shared" si="4"/>
        <v>34.335264501789119</v>
      </c>
      <c r="N43" s="117">
        <f t="shared" si="5"/>
        <v>0.66473549821088085</v>
      </c>
      <c r="Q43" s="106">
        <v>17</v>
      </c>
      <c r="R43" s="100">
        <v>37.117971478495129</v>
      </c>
      <c r="S43" s="100">
        <v>-2.7179714784951301</v>
      </c>
      <c r="T43" s="122"/>
      <c r="U43" s="84"/>
      <c r="V43" s="84"/>
      <c r="W43" s="84"/>
      <c r="X43" s="84"/>
      <c r="Y43" s="96"/>
    </row>
    <row r="44" spans="1:25">
      <c r="A44" s="63">
        <f>'Q.6 Rand()'!R43</f>
        <v>2.5</v>
      </c>
      <c r="B44" s="63">
        <f>'Q.6 Rand()'!S43</f>
        <v>34.434100000000001</v>
      </c>
      <c r="C44"/>
      <c r="D44" s="82">
        <f t="shared" si="2"/>
        <v>5.002793959083462</v>
      </c>
      <c r="E44" s="82">
        <f t="shared" si="0"/>
        <v>0.14528603794155973</v>
      </c>
      <c r="G44" s="65">
        <f t="shared" si="1"/>
        <v>0.37641068102469144</v>
      </c>
      <c r="H44" s="65"/>
      <c r="I44" s="118">
        <f t="shared" si="3"/>
        <v>31.543018102655335</v>
      </c>
      <c r="J44" s="65"/>
      <c r="K44" s="65"/>
      <c r="M44" s="117">
        <f t="shared" si="4"/>
        <v>39.436893959083463</v>
      </c>
      <c r="N44" s="117">
        <f t="shared" si="5"/>
        <v>-5.002793959083462</v>
      </c>
      <c r="Q44" s="106">
        <v>18</v>
      </c>
      <c r="R44" s="100">
        <v>34.335264501789126</v>
      </c>
      <c r="S44" s="100">
        <v>1.1647354982108737</v>
      </c>
      <c r="T44" s="122"/>
      <c r="U44" s="84"/>
      <c r="V44" s="84"/>
      <c r="W44" s="84"/>
      <c r="X44" s="84"/>
      <c r="Y44" s="96"/>
    </row>
    <row r="45" spans="1:25">
      <c r="A45" s="63">
        <f>'Q.6 Rand()'!R44</f>
        <v>5.4</v>
      </c>
      <c r="B45" s="63">
        <f>'Q.6 Rand()'!S44</f>
        <v>21.2</v>
      </c>
      <c r="C45"/>
      <c r="D45" s="82">
        <f t="shared" si="2"/>
        <v>4.7871435716711019</v>
      </c>
      <c r="E45" s="82">
        <f t="shared" si="0"/>
        <v>0.22580865904108971</v>
      </c>
      <c r="G45" s="65">
        <f t="shared" si="1"/>
        <v>159.27895950346368</v>
      </c>
      <c r="H45" s="65"/>
      <c r="I45" s="118">
        <f t="shared" si="3"/>
        <v>61.362676601229715</v>
      </c>
      <c r="J45" s="65"/>
      <c r="K45" s="65"/>
      <c r="M45" s="117">
        <f t="shared" si="4"/>
        <v>25.987143571671101</v>
      </c>
      <c r="N45" s="117">
        <f t="shared" si="5"/>
        <v>-4.7871435716711019</v>
      </c>
      <c r="Q45" s="106">
        <v>19</v>
      </c>
      <c r="R45" s="100">
        <v>32.480126517318453</v>
      </c>
      <c r="S45" s="100">
        <v>-4.0801265173184547</v>
      </c>
      <c r="T45" s="122"/>
      <c r="U45" s="84"/>
      <c r="V45" s="84"/>
      <c r="W45" s="84"/>
      <c r="X45" s="84"/>
      <c r="Y45" s="96"/>
    </row>
    <row r="46" spans="1:25">
      <c r="A46" s="63">
        <f>'Q.6 Rand()'!R45</f>
        <v>6</v>
      </c>
      <c r="B46" s="63">
        <f>'Q.6 Rand()'!S45</f>
        <v>32.4</v>
      </c>
      <c r="C46"/>
      <c r="D46" s="82">
        <f t="shared" si="2"/>
        <v>9.1955634050349033</v>
      </c>
      <c r="E46" s="82">
        <f t="shared" si="0"/>
        <v>0.28381368534058343</v>
      </c>
      <c r="G46" s="65">
        <f t="shared" si="1"/>
        <v>2.0180385278539537</v>
      </c>
      <c r="H46" s="65"/>
      <c r="I46" s="118">
        <f t="shared" si="3"/>
        <v>112.7024334743911</v>
      </c>
      <c r="J46" s="65"/>
      <c r="K46" s="65"/>
      <c r="M46" s="117">
        <f t="shared" si="4"/>
        <v>23.204436594965095</v>
      </c>
      <c r="N46" s="117">
        <f t="shared" si="5"/>
        <v>9.1955634050349033</v>
      </c>
      <c r="Q46" s="106">
        <v>20</v>
      </c>
      <c r="R46" s="100">
        <v>37.117971478495129</v>
      </c>
      <c r="S46" s="100">
        <v>-1.6825714784951273</v>
      </c>
      <c r="T46" s="122"/>
      <c r="U46" s="84"/>
      <c r="V46" s="84"/>
      <c r="W46" s="84"/>
      <c r="X46" s="84"/>
      <c r="Y46" s="96"/>
    </row>
    <row r="47" spans="1:25">
      <c r="A47" s="63">
        <f>'Q.6 Rand()'!R46</f>
        <v>3</v>
      </c>
      <c r="B47" s="63">
        <f>'Q.6 Rand()'!S46</f>
        <v>35.799999999999997</v>
      </c>
      <c r="C47"/>
      <c r="D47" s="82">
        <f t="shared" si="2"/>
        <v>1.3179714784951244</v>
      </c>
      <c r="E47" s="82">
        <f t="shared" si="0"/>
        <v>3.6814845768020237E-2</v>
      </c>
      <c r="G47" s="65">
        <f t="shared" si="1"/>
        <v>3.9181160888295632</v>
      </c>
      <c r="H47" s="65"/>
      <c r="I47" s="118">
        <f t="shared" si="3"/>
        <v>10.872811472749737</v>
      </c>
      <c r="J47" s="65"/>
      <c r="K47" s="65"/>
      <c r="M47" s="117">
        <f t="shared" si="4"/>
        <v>37.117971478495122</v>
      </c>
      <c r="N47" s="117">
        <f t="shared" si="5"/>
        <v>-1.3179714784951244</v>
      </c>
      <c r="Q47" s="106">
        <v>21</v>
      </c>
      <c r="R47" s="100">
        <v>39.43689395908347</v>
      </c>
      <c r="S47" s="100">
        <v>-5.0027939590834691</v>
      </c>
      <c r="T47" s="122"/>
      <c r="U47" s="84"/>
      <c r="V47" s="84"/>
      <c r="W47" s="84"/>
      <c r="X47" s="84"/>
      <c r="Y47" s="96"/>
    </row>
    <row r="48" spans="1:25">
      <c r="A48" s="63">
        <f>'Q.6 Rand()'!R47</f>
        <v>3.6</v>
      </c>
      <c r="B48" s="63">
        <f>'Q.6 Rand()'!S47</f>
        <v>37.9</v>
      </c>
      <c r="C48"/>
      <c r="D48" s="82">
        <f t="shared" si="2"/>
        <v>3.5647354982108794</v>
      </c>
      <c r="E48" s="82">
        <f t="shared" si="0"/>
        <v>9.405634559923165E-2</v>
      </c>
      <c r="G48" s="65">
        <f t="shared" si="1"/>
        <v>16.641693405902743</v>
      </c>
      <c r="H48" s="65"/>
      <c r="I48" s="118">
        <f t="shared" si="3"/>
        <v>0.26490340024490783</v>
      </c>
      <c r="J48" s="65"/>
      <c r="K48" s="65"/>
      <c r="M48" s="117">
        <f t="shared" si="4"/>
        <v>34.335264501789119</v>
      </c>
      <c r="N48" s="117">
        <f t="shared" si="5"/>
        <v>3.5647354982108794</v>
      </c>
      <c r="Q48" s="106">
        <v>22</v>
      </c>
      <c r="R48" s="100">
        <v>37.117971478495129</v>
      </c>
      <c r="S48" s="100">
        <v>-3.9898714784951252</v>
      </c>
      <c r="T48" s="122"/>
      <c r="U48" s="84"/>
      <c r="V48" s="84"/>
      <c r="W48" s="84"/>
      <c r="X48" s="84"/>
      <c r="Y48" s="96"/>
    </row>
    <row r="49" spans="1:25">
      <c r="A49" s="63">
        <f>'Q.6 Rand()'!R48</f>
        <v>2</v>
      </c>
      <c r="B49" s="63">
        <f>'Q.6 Rand()'!S48</f>
        <v>40.9</v>
      </c>
      <c r="C49"/>
      <c r="D49" s="82">
        <f t="shared" si="2"/>
        <v>0.85581643967180554</v>
      </c>
      <c r="E49" s="82">
        <f t="shared" si="0"/>
        <v>2.0924607326939012E-2</v>
      </c>
      <c r="G49" s="65">
        <f t="shared" si="1"/>
        <v>50.118232430292991</v>
      </c>
      <c r="H49" s="65"/>
      <c r="I49" s="118">
        <f t="shared" si="3"/>
        <v>62.968027674516904</v>
      </c>
      <c r="J49" s="65"/>
      <c r="K49" s="65"/>
      <c r="M49" s="117">
        <f t="shared" si="4"/>
        <v>41.755816439671804</v>
      </c>
      <c r="N49" s="117">
        <f t="shared" si="5"/>
        <v>-0.85581643967180554</v>
      </c>
      <c r="Q49" s="106">
        <v>23</v>
      </c>
      <c r="R49" s="100">
        <v>29.697419540612444</v>
      </c>
      <c r="S49" s="100">
        <v>-6.6974195406124437</v>
      </c>
      <c r="T49" s="122"/>
      <c r="U49" s="84"/>
      <c r="V49" s="84"/>
      <c r="W49" s="84"/>
      <c r="X49" s="84"/>
      <c r="Y49" s="96"/>
    </row>
    <row r="50" spans="1:25">
      <c r="A50" s="63">
        <f>'Q.6 Rand()'!R49</f>
        <v>5.3</v>
      </c>
      <c r="B50" s="63">
        <f>'Q.6 Rand()'!S49</f>
        <v>29</v>
      </c>
      <c r="C50"/>
      <c r="D50" s="82">
        <f t="shared" si="2"/>
        <v>2.549071932211227</v>
      </c>
      <c r="E50" s="82">
        <f t="shared" si="0"/>
        <v>8.7899032145214717E-2</v>
      </c>
      <c r="G50" s="65">
        <f t="shared" si="1"/>
        <v>23.237960966878326</v>
      </c>
      <c r="H50" s="65"/>
      <c r="I50" s="118">
        <f t="shared" si="3"/>
        <v>54.311722867576584</v>
      </c>
      <c r="J50" s="65"/>
      <c r="K50" s="65"/>
      <c r="M50" s="117">
        <f t="shared" si="4"/>
        <v>26.450928067788773</v>
      </c>
      <c r="N50" s="117">
        <f t="shared" si="5"/>
        <v>2.549071932211227</v>
      </c>
      <c r="Q50" s="106">
        <v>24</v>
      </c>
      <c r="R50" s="100">
        <v>34.799048997906795</v>
      </c>
      <c r="S50" s="100">
        <v>-0.77024899790679768</v>
      </c>
      <c r="T50" s="122"/>
      <c r="U50" s="84"/>
      <c r="V50" s="84"/>
      <c r="W50" s="84"/>
      <c r="X50" s="84"/>
      <c r="Y50" s="96"/>
    </row>
    <row r="51" spans="1:25">
      <c r="A51" s="63">
        <f>'Q.6 Rand()'!R50</f>
        <v>3</v>
      </c>
      <c r="B51" s="63">
        <f>'Q.6 Rand()'!S50</f>
        <v>37.425899999999999</v>
      </c>
      <c r="C51"/>
      <c r="D51" s="82">
        <f t="shared" si="2"/>
        <v>0.30792852150487704</v>
      </c>
      <c r="E51" s="82">
        <f t="shared" si="0"/>
        <v>8.227685145978509E-3</v>
      </c>
      <c r="G51" s="65">
        <f t="shared" si="1"/>
        <v>12.998355165414937</v>
      </c>
      <c r="H51" s="65"/>
      <c r="I51" s="118">
        <f t="shared" si="3"/>
        <v>10.872811472749737</v>
      </c>
      <c r="J51" s="65"/>
      <c r="K51" s="65"/>
      <c r="M51" s="117">
        <f t="shared" si="4"/>
        <v>37.117971478495122</v>
      </c>
      <c r="N51" s="117">
        <f t="shared" si="5"/>
        <v>0.30792852150487704</v>
      </c>
      <c r="Q51" s="106">
        <v>25</v>
      </c>
      <c r="R51" s="100">
        <v>33.871480005671458</v>
      </c>
      <c r="S51" s="100">
        <v>-3.4714800056714594</v>
      </c>
      <c r="T51" s="122"/>
      <c r="U51" s="84"/>
      <c r="V51" s="84"/>
      <c r="W51" s="84"/>
      <c r="X51" s="84"/>
      <c r="Y51" s="96"/>
    </row>
    <row r="52" spans="1:25">
      <c r="A52" s="63">
        <f>'Q.6 Rand()'!R51</f>
        <v>2.5</v>
      </c>
      <c r="B52" s="63">
        <f>'Q.6 Rand()'!S51</f>
        <v>32.799999999999997</v>
      </c>
      <c r="C52"/>
      <c r="D52" s="82">
        <f t="shared" si="2"/>
        <v>6.6368939590834657</v>
      </c>
      <c r="E52" s="82">
        <f t="shared" si="0"/>
        <v>0.20234432802083738</v>
      </c>
      <c r="G52" s="65">
        <f t="shared" si="1"/>
        <v>1.0415770644393232</v>
      </c>
      <c r="H52" s="65"/>
      <c r="I52" s="118">
        <f t="shared" si="3"/>
        <v>31.543018102655335</v>
      </c>
      <c r="J52" s="65"/>
      <c r="K52" s="65"/>
      <c r="M52" s="117">
        <f t="shared" si="4"/>
        <v>39.436893959083463</v>
      </c>
      <c r="N52" s="117">
        <f t="shared" si="5"/>
        <v>-6.6368939590834657</v>
      </c>
      <c r="Q52" s="106">
        <v>26</v>
      </c>
      <c r="R52" s="100">
        <v>41.755816439671811</v>
      </c>
      <c r="S52" s="100">
        <v>1.7441835603281888</v>
      </c>
      <c r="T52" s="122"/>
      <c r="U52" s="84"/>
      <c r="V52" s="84"/>
      <c r="W52" s="84"/>
      <c r="X52" s="84"/>
      <c r="Y52" s="96"/>
    </row>
    <row r="53" spans="1:25">
      <c r="A53" s="63">
        <f>'Q.6 Rand()'!R52</f>
        <v>3.8</v>
      </c>
      <c r="B53" s="63">
        <f>'Q.6 Rand()'!S52</f>
        <v>37.066600000000001</v>
      </c>
      <c r="C53"/>
      <c r="D53" s="82">
        <f t="shared" si="2"/>
        <v>3.6589044904462114</v>
      </c>
      <c r="E53" s="82">
        <f t="shared" si="0"/>
        <v>9.871162961928559E-2</v>
      </c>
      <c r="G53" s="65">
        <f t="shared" si="1"/>
        <v>10.536666424927148</v>
      </c>
      <c r="H53" s="65"/>
      <c r="I53" s="118">
        <f t="shared" si="3"/>
        <v>0.17047098416918774</v>
      </c>
      <c r="J53" s="65"/>
      <c r="K53" s="65"/>
      <c r="M53" s="117">
        <f t="shared" si="4"/>
        <v>33.40769550955379</v>
      </c>
      <c r="N53" s="117">
        <f t="shared" si="5"/>
        <v>3.6589044904462114</v>
      </c>
      <c r="Q53" s="106">
        <v>27</v>
      </c>
      <c r="R53" s="100">
        <v>23.204436594965088</v>
      </c>
      <c r="S53" s="100">
        <v>-1.7310365949650866</v>
      </c>
      <c r="T53" s="122"/>
      <c r="U53" s="84"/>
      <c r="V53" s="84"/>
      <c r="W53" s="84"/>
      <c r="X53" s="84"/>
      <c r="Y53" s="96"/>
    </row>
    <row r="54" spans="1:25">
      <c r="A54" s="63">
        <f>'Q.6 Rand()'!R53</f>
        <v>3</v>
      </c>
      <c r="B54" s="63">
        <f>'Q.6 Rand()'!S53</f>
        <v>31.302499999999998</v>
      </c>
      <c r="C54"/>
      <c r="D54" s="82">
        <f t="shared" si="2"/>
        <v>5.8154714784951231</v>
      </c>
      <c r="E54" s="82">
        <f t="shared" si="0"/>
        <v>0.18578297191901999</v>
      </c>
      <c r="G54" s="65">
        <f t="shared" si="1"/>
        <v>6.3407109180978551</v>
      </c>
      <c r="H54" s="65"/>
      <c r="I54" s="118">
        <f t="shared" si="3"/>
        <v>10.872811472749737</v>
      </c>
      <c r="J54" s="65"/>
      <c r="K54" s="65"/>
      <c r="M54" s="117">
        <f t="shared" si="4"/>
        <v>37.117971478495122</v>
      </c>
      <c r="N54" s="117">
        <f t="shared" si="5"/>
        <v>-5.8154714784951231</v>
      </c>
      <c r="Q54" s="106">
        <v>28</v>
      </c>
      <c r="R54" s="100">
        <v>37.117971478495129</v>
      </c>
      <c r="S54" s="100">
        <v>-4.8319714784951273</v>
      </c>
      <c r="T54" s="122"/>
      <c r="U54" s="84"/>
      <c r="V54" s="84"/>
      <c r="W54" s="84"/>
      <c r="X54" s="84"/>
      <c r="Y54" s="96"/>
    </row>
    <row r="55" spans="1:25">
      <c r="A55" s="63">
        <f>'Q.6 Rand()'!R54</f>
        <v>3.4</v>
      </c>
      <c r="B55" s="63">
        <f>'Q.6 Rand()'!S54</f>
        <v>41.347000000000001</v>
      </c>
      <c r="C55"/>
      <c r="D55" s="82">
        <f t="shared" si="2"/>
        <v>6.0841665059755456</v>
      </c>
      <c r="E55" s="82">
        <f t="shared" si="0"/>
        <v>0.14714892267820023</v>
      </c>
      <c r="G55" s="65">
        <f t="shared" si="1"/>
        <v>56.647045744927183</v>
      </c>
      <c r="H55" s="65"/>
      <c r="I55" s="118">
        <f t="shared" si="3"/>
        <v>2.0801042870335773</v>
      </c>
      <c r="J55" s="65"/>
      <c r="K55" s="65"/>
      <c r="M55" s="117">
        <f t="shared" si="4"/>
        <v>35.262833494024456</v>
      </c>
      <c r="N55" s="117">
        <f t="shared" si="5"/>
        <v>6.0841665059755456</v>
      </c>
      <c r="Q55" s="106">
        <v>29</v>
      </c>
      <c r="R55" s="100">
        <v>37.117971478495129</v>
      </c>
      <c r="S55" s="100">
        <v>-0.64417147849513157</v>
      </c>
      <c r="T55" s="122"/>
      <c r="U55" s="84"/>
      <c r="V55" s="84"/>
      <c r="W55" s="84"/>
      <c r="X55" s="84"/>
      <c r="Y55" s="96"/>
    </row>
    <row r="56" spans="1:25">
      <c r="A56" s="63">
        <f>'Q.6 Rand()'!R55</f>
        <v>3</v>
      </c>
      <c r="B56" s="63">
        <f>'Q.6 Rand()'!S55</f>
        <v>35.496600000000001</v>
      </c>
      <c r="C56"/>
      <c r="D56" s="82">
        <f t="shared" si="2"/>
        <v>1.6213714784951208</v>
      </c>
      <c r="E56" s="82">
        <f t="shared" si="0"/>
        <v>4.5676810694407932E-2</v>
      </c>
      <c r="G56" s="65">
        <f t="shared" si="1"/>
        <v>2.8090536688295757</v>
      </c>
      <c r="H56" s="65"/>
      <c r="I56" s="118">
        <f t="shared" si="3"/>
        <v>10.872811472749737</v>
      </c>
      <c r="J56" s="65"/>
      <c r="K56" s="65"/>
      <c r="M56" s="117">
        <f t="shared" si="4"/>
        <v>37.117971478495122</v>
      </c>
      <c r="N56" s="117">
        <f t="shared" si="5"/>
        <v>-1.6213714784951208</v>
      </c>
      <c r="Q56" s="106">
        <v>30</v>
      </c>
      <c r="R56" s="100">
        <v>41.755816439671811</v>
      </c>
      <c r="S56" s="100">
        <v>1.2174835603281906</v>
      </c>
      <c r="T56" s="122"/>
      <c r="U56" s="84"/>
      <c r="V56" s="84"/>
      <c r="W56" s="84"/>
      <c r="X56" s="84"/>
      <c r="Y56" s="96"/>
    </row>
    <row r="57" spans="1:25">
      <c r="A57" s="63">
        <f>'Q.6 Rand()'!R56</f>
        <v>3</v>
      </c>
      <c r="B57" s="63">
        <f>'Q.6 Rand()'!S56</f>
        <v>31.5</v>
      </c>
      <c r="C57"/>
      <c r="D57" s="82">
        <f t="shared" si="2"/>
        <v>5.6179714784951216</v>
      </c>
      <c r="E57" s="82">
        <f t="shared" si="0"/>
        <v>0.17834830090460704</v>
      </c>
      <c r="G57" s="65">
        <f t="shared" si="1"/>
        <v>5.3850768205368729</v>
      </c>
      <c r="H57" s="65"/>
      <c r="I57" s="118">
        <f t="shared" si="3"/>
        <v>10.872811472749737</v>
      </c>
      <c r="J57" s="65"/>
      <c r="K57" s="65"/>
      <c r="M57" s="117">
        <f t="shared" si="4"/>
        <v>37.117971478495122</v>
      </c>
      <c r="N57" s="117">
        <f t="shared" si="5"/>
        <v>-5.6179714784951216</v>
      </c>
      <c r="Q57" s="106">
        <v>31</v>
      </c>
      <c r="R57" s="100">
        <v>39.43689395908347</v>
      </c>
      <c r="S57" s="100">
        <v>-8.0699939590834688</v>
      </c>
      <c r="T57" s="122"/>
      <c r="U57" s="84"/>
      <c r="V57" s="84"/>
      <c r="W57" s="84"/>
      <c r="X57" s="84"/>
      <c r="Y57" s="96"/>
    </row>
    <row r="58" spans="1:25">
      <c r="A58" s="63">
        <f>'Q.6 Rand()'!R57</f>
        <v>6.8</v>
      </c>
      <c r="B58" s="63">
        <f>'Q.6 Rand()'!S57</f>
        <v>17.7</v>
      </c>
      <c r="C58"/>
      <c r="D58" s="82">
        <f t="shared" si="2"/>
        <v>1.794160626023757</v>
      </c>
      <c r="E58" s="82">
        <f t="shared" si="0"/>
        <v>0.10136500711998628</v>
      </c>
      <c r="G58" s="65">
        <f t="shared" si="1"/>
        <v>259.87299730834172</v>
      </c>
      <c r="H58" s="65"/>
      <c r="I58" s="118">
        <f t="shared" si="3"/>
        <v>205.24620122858752</v>
      </c>
      <c r="J58" s="65"/>
      <c r="K58" s="65"/>
      <c r="M58" s="117">
        <f t="shared" si="4"/>
        <v>19.494160626023756</v>
      </c>
      <c r="N58" s="117">
        <f t="shared" si="5"/>
        <v>-1.794160626023757</v>
      </c>
      <c r="Q58" s="106">
        <v>32</v>
      </c>
      <c r="R58" s="100">
        <v>39.43689395908347</v>
      </c>
      <c r="S58" s="100">
        <v>-1.4568939590834731</v>
      </c>
      <c r="T58" s="122"/>
      <c r="U58" s="84"/>
      <c r="V58" s="84"/>
      <c r="W58" s="84"/>
      <c r="X58" s="84"/>
      <c r="Y58" s="96"/>
    </row>
    <row r="59" spans="1:25">
      <c r="A59" s="63">
        <f>'Q.6 Rand()'!R58</f>
        <v>6.2</v>
      </c>
      <c r="B59" s="63">
        <f>'Q.6 Rand()'!S58</f>
        <v>24.2</v>
      </c>
      <c r="C59"/>
      <c r="D59" s="82">
        <f t="shared" si="2"/>
        <v>1.923132397270237</v>
      </c>
      <c r="E59" s="82">
        <f t="shared" si="0"/>
        <v>7.9468280878935413E-2</v>
      </c>
      <c r="G59" s="65">
        <f t="shared" si="1"/>
        <v>92.555498527853928</v>
      </c>
      <c r="H59" s="65"/>
      <c r="I59" s="118">
        <f t="shared" si="3"/>
        <v>133.25722270687075</v>
      </c>
      <c r="J59" s="65"/>
      <c r="K59" s="65"/>
      <c r="M59" s="117">
        <f t="shared" si="4"/>
        <v>22.276867602729762</v>
      </c>
      <c r="N59" s="117">
        <f t="shared" si="5"/>
        <v>1.923132397270237</v>
      </c>
      <c r="Q59" s="106">
        <v>33</v>
      </c>
      <c r="R59" s="100">
        <v>25.987143571671098</v>
      </c>
      <c r="S59" s="100">
        <v>-4.3459435716710964</v>
      </c>
      <c r="T59" s="122"/>
      <c r="U59" s="84"/>
      <c r="V59" s="84"/>
      <c r="W59" s="84"/>
      <c r="X59" s="84"/>
      <c r="Y59" s="96"/>
    </row>
    <row r="60" spans="1:25">
      <c r="A60" s="63">
        <f>'Q.6 Rand()'!R59</f>
        <v>2</v>
      </c>
      <c r="B60" s="63">
        <f>'Q.6 Rand()'!S59</f>
        <v>44.7</v>
      </c>
      <c r="C60"/>
      <c r="D60" s="82">
        <f t="shared" si="2"/>
        <v>2.9441835603281987</v>
      </c>
      <c r="E60" s="82">
        <f t="shared" si="0"/>
        <v>6.5865404034187891E-2</v>
      </c>
      <c r="G60" s="65">
        <f t="shared" si="1"/>
        <v>118.36184852785406</v>
      </c>
      <c r="H60" s="65"/>
      <c r="I60" s="118">
        <f t="shared" si="3"/>
        <v>62.968027674516904</v>
      </c>
      <c r="J60" s="65"/>
      <c r="K60" s="65"/>
      <c r="M60" s="117">
        <f t="shared" si="4"/>
        <v>41.755816439671804</v>
      </c>
      <c r="N60" s="117">
        <f t="shared" si="5"/>
        <v>2.9441835603281987</v>
      </c>
      <c r="Q60" s="106">
        <v>34</v>
      </c>
      <c r="R60" s="100">
        <v>33.40769550955379</v>
      </c>
      <c r="S60" s="100">
        <v>2.6200044904462132</v>
      </c>
      <c r="T60" s="122"/>
      <c r="U60" s="84"/>
      <c r="V60" s="84"/>
      <c r="W60" s="84"/>
      <c r="X60" s="84"/>
      <c r="Y60" s="96"/>
    </row>
    <row r="61" spans="1:25">
      <c r="A61" s="63">
        <f>'Q.6 Rand()'!R60</f>
        <v>1.8</v>
      </c>
      <c r="B61" s="63">
        <f>'Q.6 Rand()'!S60</f>
        <v>50.8</v>
      </c>
      <c r="C61"/>
      <c r="D61" s="82">
        <f t="shared" si="2"/>
        <v>8.1166145680928565</v>
      </c>
      <c r="E61" s="82">
        <f t="shared" si="0"/>
        <v>0.15977587732466253</v>
      </c>
      <c r="G61" s="65">
        <f t="shared" si="1"/>
        <v>288.30081121078075</v>
      </c>
      <c r="H61" s="65"/>
      <c r="I61" s="118">
        <f t="shared" si="3"/>
        <v>78.549376327009213</v>
      </c>
      <c r="J61" s="65"/>
      <c r="K61" s="65"/>
      <c r="M61" s="117">
        <f t="shared" si="4"/>
        <v>42.683385431907141</v>
      </c>
      <c r="N61" s="117">
        <f t="shared" si="5"/>
        <v>8.1166145680928565</v>
      </c>
      <c r="Q61" s="106">
        <v>35</v>
      </c>
      <c r="R61" s="100">
        <v>33.871480005671458</v>
      </c>
      <c r="S61" s="100">
        <v>1.2913199943285392</v>
      </c>
      <c r="T61" s="122"/>
      <c r="U61" s="84"/>
      <c r="V61" s="84"/>
      <c r="W61" s="84"/>
      <c r="X61" s="84"/>
      <c r="Y61" s="96"/>
    </row>
    <row r="62" spans="1:25">
      <c r="A62" s="63">
        <f>'Q.6 Rand()'!R61</f>
        <v>5.4</v>
      </c>
      <c r="B62" s="63">
        <f>'Q.6 Rand()'!S61</f>
        <v>20.6</v>
      </c>
      <c r="C62"/>
      <c r="D62" s="82">
        <f t="shared" si="2"/>
        <v>5.3871435716710998</v>
      </c>
      <c r="E62" s="82">
        <f t="shared" si="0"/>
        <v>0.26151182386752908</v>
      </c>
      <c r="G62" s="65">
        <f t="shared" si="1"/>
        <v>174.78365169858557</v>
      </c>
      <c r="H62" s="65"/>
      <c r="I62" s="118">
        <f t="shared" si="3"/>
        <v>61.362676601229715</v>
      </c>
      <c r="J62" s="65"/>
      <c r="K62" s="65"/>
      <c r="M62" s="117">
        <f t="shared" si="4"/>
        <v>25.987143571671101</v>
      </c>
      <c r="N62" s="117">
        <f t="shared" si="5"/>
        <v>-5.3871435716710998</v>
      </c>
      <c r="Q62" s="106">
        <v>36</v>
      </c>
      <c r="R62" s="100">
        <v>23.204436594965088</v>
      </c>
      <c r="S62" s="100">
        <v>1.4955634050349111</v>
      </c>
      <c r="T62" s="122"/>
      <c r="U62" s="84"/>
      <c r="V62" s="84"/>
      <c r="W62" s="84"/>
      <c r="X62" s="84"/>
      <c r="Y62" s="96"/>
    </row>
    <row r="63" spans="1:25">
      <c r="A63" s="63">
        <f>'Q.6 Rand()'!R62</f>
        <v>2</v>
      </c>
      <c r="B63" s="63">
        <f>'Q.6 Rand()'!S62</f>
        <v>43.2</v>
      </c>
      <c r="C63"/>
      <c r="D63" s="82">
        <f t="shared" si="2"/>
        <v>1.4441835603281987</v>
      </c>
      <c r="E63" s="82">
        <f t="shared" si="0"/>
        <v>3.3430175007597193E-2</v>
      </c>
      <c r="G63" s="65">
        <f t="shared" si="1"/>
        <v>87.973579015658927</v>
      </c>
      <c r="H63" s="65"/>
      <c r="I63" s="118">
        <f t="shared" si="3"/>
        <v>62.968027674516904</v>
      </c>
      <c r="J63" s="65"/>
      <c r="K63" s="65"/>
      <c r="M63" s="117">
        <f t="shared" si="4"/>
        <v>41.755816439671804</v>
      </c>
      <c r="N63" s="117">
        <f t="shared" si="5"/>
        <v>1.4441835603281987</v>
      </c>
      <c r="Q63" s="106">
        <v>37</v>
      </c>
      <c r="R63" s="100">
        <v>34.335264501789126</v>
      </c>
      <c r="S63" s="100">
        <v>-2.0352645017891291</v>
      </c>
      <c r="T63" s="122"/>
      <c r="U63" s="84"/>
      <c r="V63" s="84"/>
      <c r="W63" s="84"/>
      <c r="X63" s="84"/>
      <c r="Y63" s="96"/>
    </row>
    <row r="64" spans="1:25">
      <c r="A64" s="63">
        <f>'Q.6 Rand()'!R63</f>
        <v>6</v>
      </c>
      <c r="B64" s="63">
        <f>'Q.6 Rand()'!S63</f>
        <v>21.473400000000002</v>
      </c>
      <c r="C64"/>
      <c r="D64" s="82">
        <f t="shared" si="2"/>
        <v>1.7310365949650937</v>
      </c>
      <c r="E64" s="82">
        <f t="shared" ref="E64:E85" si="6">D64/B64</f>
        <v>8.0613065232571154E-2</v>
      </c>
      <c r="G64" s="65">
        <f t="shared" si="1"/>
        <v>152.4527756532197</v>
      </c>
      <c r="H64" s="65"/>
      <c r="I64" s="118">
        <f t="shared" si="3"/>
        <v>112.7024334743911</v>
      </c>
      <c r="J64" s="65"/>
      <c r="K64" s="65"/>
      <c r="M64" s="117">
        <f t="shared" si="4"/>
        <v>23.204436594965095</v>
      </c>
      <c r="N64" s="117">
        <f t="shared" si="5"/>
        <v>-1.7310365949650937</v>
      </c>
      <c r="Q64" s="106">
        <v>38</v>
      </c>
      <c r="R64" s="100">
        <v>33.871480005671458</v>
      </c>
      <c r="S64" s="100">
        <v>2.8813199943285426</v>
      </c>
      <c r="T64" s="122"/>
      <c r="U64" s="84"/>
      <c r="V64" s="84"/>
      <c r="W64" s="84"/>
      <c r="X64" s="84"/>
      <c r="Y64" s="96"/>
    </row>
    <row r="65" spans="1:25">
      <c r="A65" s="63">
        <f>'Q.6 Rand()'!R64</f>
        <v>6</v>
      </c>
      <c r="B65" s="63">
        <f>'Q.6 Rand()'!S64</f>
        <v>32.799999999999997</v>
      </c>
      <c r="C65"/>
      <c r="D65" s="82">
        <f t="shared" si="2"/>
        <v>9.5955634050349019</v>
      </c>
      <c r="E65" s="82">
        <f t="shared" si="6"/>
        <v>0.29254766478764949</v>
      </c>
      <c r="G65" s="65">
        <f t="shared" si="1"/>
        <v>1.0415770644393232</v>
      </c>
      <c r="H65" s="65"/>
      <c r="I65" s="118">
        <f t="shared" si="3"/>
        <v>112.7024334743911</v>
      </c>
      <c r="J65" s="65"/>
      <c r="K65" s="65"/>
      <c r="M65" s="117">
        <f t="shared" si="4"/>
        <v>23.204436594965095</v>
      </c>
      <c r="N65" s="117">
        <f t="shared" si="5"/>
        <v>9.5955634050349019</v>
      </c>
      <c r="Q65" s="106">
        <v>39</v>
      </c>
      <c r="R65" s="100">
        <v>36.190402486259792</v>
      </c>
      <c r="S65" s="100">
        <v>-1.6480024862597915</v>
      </c>
      <c r="T65" s="122"/>
      <c r="U65" s="84"/>
      <c r="V65" s="84"/>
      <c r="W65" s="84"/>
      <c r="X65" s="84"/>
      <c r="Y65" s="96"/>
    </row>
    <row r="66" spans="1:25">
      <c r="A66" s="63">
        <f>'Q.6 Rand()'!R65</f>
        <v>4</v>
      </c>
      <c r="B66" s="63">
        <f>'Q.6 Rand()'!S65</f>
        <v>29.4</v>
      </c>
      <c r="C66"/>
      <c r="D66" s="82">
        <f t="shared" si="2"/>
        <v>3.0801265173184547</v>
      </c>
      <c r="E66" s="82">
        <f t="shared" si="6"/>
        <v>0.10476620807205629</v>
      </c>
      <c r="G66" s="65">
        <f t="shared" si="1"/>
        <v>19.541499503463704</v>
      </c>
      <c r="H66" s="65"/>
      <c r="I66" s="118">
        <f t="shared" si="3"/>
        <v>1.7968070388064159</v>
      </c>
      <c r="J66" s="65"/>
      <c r="K66" s="65"/>
      <c r="M66" s="117">
        <f t="shared" si="4"/>
        <v>32.480126517318453</v>
      </c>
      <c r="N66" s="117">
        <f t="shared" si="5"/>
        <v>-3.0801265173184547</v>
      </c>
      <c r="Q66" s="106">
        <v>40</v>
      </c>
      <c r="R66" s="100">
        <v>34.335264501789126</v>
      </c>
      <c r="S66" s="100">
        <v>0.66473549821087374</v>
      </c>
      <c r="T66" s="122"/>
      <c r="U66" s="84"/>
      <c r="V66" s="84"/>
      <c r="W66" s="84"/>
      <c r="X66" s="84"/>
      <c r="Y66" s="96"/>
    </row>
    <row r="67" spans="1:25">
      <c r="A67" s="63">
        <f>'Q.6 Rand()'!R66</f>
        <v>1.6</v>
      </c>
      <c r="B67" s="63">
        <f>'Q.6 Rand()'!S66</f>
        <v>56.420400000000001</v>
      </c>
      <c r="C67"/>
      <c r="D67" s="82">
        <f t="shared" si="2"/>
        <v>12.809445575857531</v>
      </c>
      <c r="E67" s="82">
        <f t="shared" si="6"/>
        <v>0.22703571005979276</v>
      </c>
      <c r="G67" s="65">
        <f t="shared" si="1"/>
        <v>510.75200734834192</v>
      </c>
      <c r="H67" s="65"/>
      <c r="I67" s="118">
        <f t="shared" si="3"/>
        <v>95.851493450214321</v>
      </c>
      <c r="J67" s="65"/>
      <c r="K67" s="65"/>
      <c r="M67" s="117">
        <f t="shared" si="4"/>
        <v>43.61095442414247</v>
      </c>
      <c r="N67" s="117">
        <f t="shared" si="5"/>
        <v>12.809445575857531</v>
      </c>
      <c r="Q67" s="106">
        <v>41</v>
      </c>
      <c r="R67" s="100">
        <v>39.43689395908347</v>
      </c>
      <c r="S67" s="100">
        <v>-5.0027939590834691</v>
      </c>
      <c r="T67" s="122"/>
      <c r="U67" s="84"/>
      <c r="V67" s="84"/>
      <c r="W67" s="84"/>
      <c r="X67" s="84"/>
      <c r="Y67" s="96"/>
    </row>
    <row r="68" spans="1:25">
      <c r="A68" s="63">
        <f>'Q.6 Rand()'!R67</f>
        <v>3.6</v>
      </c>
      <c r="B68" s="63">
        <f>'Q.6 Rand()'!S67</f>
        <v>31.2</v>
      </c>
      <c r="C68"/>
      <c r="D68" s="82">
        <f t="shared" si="2"/>
        <v>3.1352645017891199</v>
      </c>
      <c r="E68" s="82">
        <f t="shared" si="6"/>
        <v>0.10048924685221539</v>
      </c>
      <c r="G68" s="65">
        <f t="shared" ref="G68:G85" si="7">(B68-$C$4)^2</f>
        <v>6.8674229180978505</v>
      </c>
      <c r="H68" s="65"/>
      <c r="I68" s="118">
        <f t="shared" si="3"/>
        <v>0.26490340024490783</v>
      </c>
      <c r="J68" s="65"/>
      <c r="K68" s="65"/>
      <c r="M68" s="117">
        <f t="shared" si="4"/>
        <v>34.335264501789119</v>
      </c>
      <c r="N68" s="117">
        <f t="shared" si="5"/>
        <v>-3.1352645017891199</v>
      </c>
      <c r="Q68" s="106">
        <v>42</v>
      </c>
      <c r="R68" s="100">
        <v>25.987143571671098</v>
      </c>
      <c r="S68" s="100">
        <v>-4.7871435716710984</v>
      </c>
      <c r="T68" s="122"/>
      <c r="U68" s="84"/>
      <c r="V68" s="84"/>
      <c r="W68" s="84"/>
      <c r="X68" s="84"/>
      <c r="Y68" s="96"/>
    </row>
    <row r="69" spans="1:25">
      <c r="A69" s="63">
        <f>'Q.6 Rand()'!R68</f>
        <v>4.4000000000000004</v>
      </c>
      <c r="B69" s="63">
        <f>'Q.6 Rand()'!S68</f>
        <v>29.837800000000001</v>
      </c>
      <c r="C69"/>
      <c r="D69" s="82">
        <f t="shared" ref="D69:D85" si="8">ABS(N69)</f>
        <v>0.78718853284777524</v>
      </c>
      <c r="E69" s="82">
        <f t="shared" si="6"/>
        <v>2.6382257835623778E-2</v>
      </c>
      <c r="G69" s="65">
        <f t="shared" si="7"/>
        <v>15.862511271756366</v>
      </c>
      <c r="H69" s="65"/>
      <c r="I69" s="118">
        <f t="shared" ref="I69:I85" si="9">(M69-$C$4)^2</f>
        <v>10.211784560219762</v>
      </c>
      <c r="J69" s="65"/>
      <c r="K69" s="65"/>
      <c r="M69" s="117">
        <f t="shared" ref="M69:M85" si="10">$O$3+($P$3*A69)</f>
        <v>30.624988532847777</v>
      </c>
      <c r="N69" s="117">
        <f t="shared" ref="N69:N85" si="11">B69-M69</f>
        <v>-0.78718853284777524</v>
      </c>
      <c r="Q69" s="106">
        <v>43</v>
      </c>
      <c r="R69" s="100">
        <v>23.204436594965088</v>
      </c>
      <c r="S69" s="100">
        <v>9.1955634050349104</v>
      </c>
      <c r="T69" s="122"/>
      <c r="U69" s="84"/>
      <c r="V69" s="84"/>
      <c r="W69" s="84"/>
      <c r="X69" s="84"/>
      <c r="Y69" s="96"/>
    </row>
    <row r="70" spans="1:25">
      <c r="A70" s="63">
        <f>'Q.6 Rand()'!R69</f>
        <v>6.4</v>
      </c>
      <c r="B70" s="63">
        <f>'Q.6 Rand()'!S69</f>
        <v>31.4</v>
      </c>
      <c r="C70"/>
      <c r="D70" s="82">
        <f t="shared" si="8"/>
        <v>10.050701389505573</v>
      </c>
      <c r="E70" s="82">
        <f t="shared" si="6"/>
        <v>0.32008603151291637</v>
      </c>
      <c r="G70" s="65">
        <f t="shared" si="7"/>
        <v>5.8591921863905378</v>
      </c>
      <c r="H70" s="65"/>
      <c r="I70" s="118">
        <f t="shared" si="9"/>
        <v>155.53278041006342</v>
      </c>
      <c r="J70" s="65"/>
      <c r="K70" s="65"/>
      <c r="M70" s="117">
        <f t="shared" si="10"/>
        <v>21.349298610494426</v>
      </c>
      <c r="N70" s="117">
        <f t="shared" si="11"/>
        <v>10.050701389505573</v>
      </c>
      <c r="Q70" s="106">
        <v>44</v>
      </c>
      <c r="R70" s="100">
        <v>37.117971478495129</v>
      </c>
      <c r="S70" s="100">
        <v>-1.3179714784951315</v>
      </c>
      <c r="T70" s="122"/>
      <c r="U70" s="84"/>
      <c r="V70" s="84"/>
      <c r="W70" s="84"/>
      <c r="X70" s="84"/>
      <c r="Y70" s="96"/>
    </row>
    <row r="71" spans="1:25">
      <c r="A71" s="63">
        <f>'Q.6 Rand()'!R70</f>
        <v>5.7</v>
      </c>
      <c r="B71" s="63">
        <f>'Q.6 Rand()'!S70</f>
        <v>27.2</v>
      </c>
      <c r="C71"/>
      <c r="D71" s="82">
        <f t="shared" si="8"/>
        <v>2.6042099166818993</v>
      </c>
      <c r="E71" s="82">
        <f t="shared" si="6"/>
        <v>9.5743011642716883E-2</v>
      </c>
      <c r="G71" s="65">
        <f t="shared" si="7"/>
        <v>43.832037552244181</v>
      </c>
      <c r="H71" s="65"/>
      <c r="I71" s="118">
        <f t="shared" si="9"/>
        <v>85.096690508258305</v>
      </c>
      <c r="J71" s="65"/>
      <c r="K71" s="65"/>
      <c r="M71" s="117">
        <f t="shared" si="10"/>
        <v>24.5957900833181</v>
      </c>
      <c r="N71" s="117">
        <f t="shared" si="11"/>
        <v>2.6042099166818993</v>
      </c>
      <c r="Q71" s="106">
        <v>45</v>
      </c>
      <c r="R71" s="100">
        <v>34.335264501789126</v>
      </c>
      <c r="S71" s="100">
        <v>3.5647354982108723</v>
      </c>
      <c r="T71" s="122"/>
      <c r="U71" s="84"/>
      <c r="V71" s="84"/>
      <c r="W71" s="84"/>
      <c r="X71" s="84"/>
      <c r="Y71" s="96"/>
    </row>
    <row r="72" spans="1:25">
      <c r="A72" s="63">
        <f>'Q.6 Rand()'!R71</f>
        <v>1.6</v>
      </c>
      <c r="B72" s="63">
        <f>'Q.6 Rand()'!S71</f>
        <v>41.7</v>
      </c>
      <c r="C72"/>
      <c r="D72" s="82">
        <f t="shared" si="8"/>
        <v>1.9109544241424672</v>
      </c>
      <c r="E72" s="82">
        <f t="shared" si="6"/>
        <v>4.5826245183272593E-2</v>
      </c>
      <c r="G72" s="65">
        <f t="shared" si="7"/>
        <v>62.08530950346379</v>
      </c>
      <c r="H72" s="65"/>
      <c r="I72" s="118">
        <f t="shared" si="9"/>
        <v>95.851493450214321</v>
      </c>
      <c r="J72" s="65"/>
      <c r="K72" s="65"/>
      <c r="M72" s="117">
        <f t="shared" si="10"/>
        <v>43.61095442414247</v>
      </c>
      <c r="N72" s="117">
        <f t="shared" si="11"/>
        <v>-1.9109544241424672</v>
      </c>
      <c r="Q72" s="106">
        <v>46</v>
      </c>
      <c r="R72" s="100">
        <v>41.755816439671811</v>
      </c>
      <c r="S72" s="100">
        <v>-0.85581643967181265</v>
      </c>
      <c r="T72" s="122"/>
      <c r="U72" s="84"/>
      <c r="V72" s="84"/>
      <c r="W72" s="84"/>
      <c r="X72" s="84"/>
      <c r="Y72" s="96"/>
    </row>
    <row r="73" spans="1:25">
      <c r="A73" s="63">
        <f>'Q.6 Rand()'!R72</f>
        <v>6</v>
      </c>
      <c r="B73" s="63">
        <f>'Q.6 Rand()'!S72</f>
        <v>32.4</v>
      </c>
      <c r="C73"/>
      <c r="D73" s="82">
        <f t="shared" si="8"/>
        <v>9.1955634050349033</v>
      </c>
      <c r="E73" s="82">
        <f t="shared" si="6"/>
        <v>0.28381368534058343</v>
      </c>
      <c r="G73" s="65">
        <f t="shared" si="7"/>
        <v>2.0180385278539537</v>
      </c>
      <c r="H73" s="65"/>
      <c r="I73" s="118">
        <f t="shared" si="9"/>
        <v>112.7024334743911</v>
      </c>
      <c r="J73" s="65"/>
      <c r="K73" s="65"/>
      <c r="M73" s="117">
        <f t="shared" si="10"/>
        <v>23.204436594965095</v>
      </c>
      <c r="N73" s="117">
        <f t="shared" si="11"/>
        <v>9.1955634050349033</v>
      </c>
      <c r="Q73" s="106">
        <v>47</v>
      </c>
      <c r="R73" s="100">
        <v>26.450928067788766</v>
      </c>
      <c r="S73" s="100">
        <v>2.5490719322112341</v>
      </c>
      <c r="T73" s="122"/>
      <c r="U73" s="84"/>
      <c r="V73" s="84"/>
      <c r="W73" s="84"/>
      <c r="X73" s="84"/>
      <c r="Y73" s="96"/>
    </row>
    <row r="74" spans="1:25">
      <c r="A74" s="63">
        <f>'Q.6 Rand()'!R73</f>
        <v>5.7</v>
      </c>
      <c r="B74" s="63">
        <f>'Q.6 Rand()'!S73</f>
        <v>27.2</v>
      </c>
      <c r="C74"/>
      <c r="D74" s="82">
        <f t="shared" si="8"/>
        <v>2.6042099166818993</v>
      </c>
      <c r="E74" s="82">
        <f t="shared" si="6"/>
        <v>9.5743011642716883E-2</v>
      </c>
      <c r="G74" s="65">
        <f t="shared" si="7"/>
        <v>43.832037552244181</v>
      </c>
      <c r="H74" s="65"/>
      <c r="I74" s="118">
        <f t="shared" si="9"/>
        <v>85.096690508258305</v>
      </c>
      <c r="J74" s="65"/>
      <c r="K74" s="65"/>
      <c r="M74" s="117">
        <f t="shared" si="10"/>
        <v>24.5957900833181</v>
      </c>
      <c r="N74" s="117">
        <f t="shared" si="11"/>
        <v>2.6042099166818993</v>
      </c>
      <c r="Q74" s="106">
        <v>48</v>
      </c>
      <c r="R74" s="100">
        <v>37.117971478495129</v>
      </c>
      <c r="S74" s="100">
        <v>0.30792852150486993</v>
      </c>
      <c r="T74" s="122"/>
      <c r="U74" s="84"/>
      <c r="V74" s="84"/>
      <c r="W74" s="84"/>
      <c r="X74" s="84"/>
      <c r="Y74" s="96"/>
    </row>
    <row r="75" spans="1:25">
      <c r="A75" s="63">
        <f>'Q.6 Rand()'!R74</f>
        <v>3</v>
      </c>
      <c r="B75" s="63">
        <f>'Q.6 Rand()'!S74</f>
        <v>33.200000000000003</v>
      </c>
      <c r="C75"/>
      <c r="D75" s="82">
        <f t="shared" si="8"/>
        <v>3.9179714784951187</v>
      </c>
      <c r="E75" s="82">
        <f t="shared" si="6"/>
        <v>0.11801118911129875</v>
      </c>
      <c r="G75" s="65">
        <f t="shared" si="7"/>
        <v>0.3851156010246814</v>
      </c>
      <c r="H75" s="65"/>
      <c r="I75" s="118">
        <f t="shared" si="9"/>
        <v>10.872811472749737</v>
      </c>
      <c r="J75" s="65"/>
      <c r="K75" s="65"/>
      <c r="M75" s="117">
        <f t="shared" si="10"/>
        <v>37.117971478495122</v>
      </c>
      <c r="N75" s="117">
        <f t="shared" si="11"/>
        <v>-3.9179714784951187</v>
      </c>
      <c r="Q75" s="106">
        <v>49</v>
      </c>
      <c r="R75" s="100">
        <v>39.43689395908347</v>
      </c>
      <c r="S75" s="100">
        <v>-6.6368939590834728</v>
      </c>
      <c r="T75" s="122"/>
      <c r="U75" s="84"/>
      <c r="V75" s="84"/>
      <c r="W75" s="84"/>
      <c r="X75" s="84"/>
      <c r="Y75" s="96"/>
    </row>
    <row r="76" spans="1:25">
      <c r="A76" s="63">
        <f>'Q.6 Rand()'!R75</f>
        <v>2.5</v>
      </c>
      <c r="B76" s="63">
        <f>'Q.6 Rand()'!S75</f>
        <v>37.6</v>
      </c>
      <c r="C76"/>
      <c r="D76" s="82">
        <f t="shared" si="8"/>
        <v>1.8368939590834614</v>
      </c>
      <c r="E76" s="82">
        <f t="shared" si="6"/>
        <v>4.8853562741581417E-2</v>
      </c>
      <c r="G76" s="65">
        <f t="shared" si="7"/>
        <v>14.28403950346374</v>
      </c>
      <c r="H76" s="65"/>
      <c r="I76" s="118">
        <f t="shared" si="9"/>
        <v>31.543018102655335</v>
      </c>
      <c r="J76" s="65"/>
      <c r="K76" s="65"/>
      <c r="M76" s="117">
        <f t="shared" si="10"/>
        <v>39.436893959083463</v>
      </c>
      <c r="N76" s="117">
        <f t="shared" si="11"/>
        <v>-1.8368939590834614</v>
      </c>
      <c r="Q76" s="106">
        <v>50</v>
      </c>
      <c r="R76" s="100">
        <v>33.40769550955379</v>
      </c>
      <c r="S76" s="100">
        <v>3.6589044904462114</v>
      </c>
      <c r="T76" s="122"/>
      <c r="U76" s="84"/>
      <c r="V76" s="84"/>
      <c r="W76" s="84"/>
      <c r="X76" s="84"/>
      <c r="Y76" s="96"/>
    </row>
    <row r="77" spans="1:25">
      <c r="A77" s="63">
        <f>'Q.6 Rand()'!R76</f>
        <v>2</v>
      </c>
      <c r="B77" s="63">
        <f>'Q.6 Rand()'!S76</f>
        <v>46.9</v>
      </c>
      <c r="C77"/>
      <c r="D77" s="82">
        <f t="shared" si="8"/>
        <v>5.1441835603281945</v>
      </c>
      <c r="E77" s="82">
        <f t="shared" si="6"/>
        <v>0.10968408444196577</v>
      </c>
      <c r="G77" s="65">
        <f t="shared" si="7"/>
        <v>171.0713104790735</v>
      </c>
      <c r="H77" s="65"/>
      <c r="I77" s="118">
        <f t="shared" si="9"/>
        <v>62.968027674516904</v>
      </c>
      <c r="J77" s="65"/>
      <c r="K77" s="65"/>
      <c r="M77" s="117">
        <f t="shared" si="10"/>
        <v>41.755816439671804</v>
      </c>
      <c r="N77" s="117">
        <f t="shared" si="11"/>
        <v>5.1441835603281945</v>
      </c>
      <c r="Q77" s="106">
        <v>51</v>
      </c>
      <c r="R77" s="100">
        <v>37.117971478495129</v>
      </c>
      <c r="S77" s="100">
        <v>-5.8154714784951302</v>
      </c>
      <c r="T77" s="122"/>
      <c r="U77" s="84"/>
      <c r="V77" s="84"/>
      <c r="W77" s="84"/>
      <c r="X77" s="84"/>
      <c r="Y77" s="96"/>
    </row>
    <row r="78" spans="1:25">
      <c r="A78" s="63">
        <f>'Q.6 Rand()'!R77</f>
        <v>5</v>
      </c>
      <c r="B78" s="63">
        <f>'Q.6 Rand()'!S77</f>
        <v>27.4375</v>
      </c>
      <c r="C78"/>
      <c r="D78" s="82">
        <f t="shared" si="8"/>
        <v>0.40478155614177425</v>
      </c>
      <c r="E78" s="82">
        <f t="shared" si="6"/>
        <v>1.4752858538196783E-2</v>
      </c>
      <c r="G78" s="65">
        <f t="shared" si="7"/>
        <v>40.743669808341735</v>
      </c>
      <c r="H78" s="65"/>
      <c r="I78" s="118">
        <f t="shared" si="9"/>
        <v>35.740014372686844</v>
      </c>
      <c r="J78" s="65"/>
      <c r="K78" s="65"/>
      <c r="M78" s="117">
        <f t="shared" si="10"/>
        <v>27.842281556141774</v>
      </c>
      <c r="N78" s="117">
        <f t="shared" si="11"/>
        <v>-0.40478155614177425</v>
      </c>
      <c r="Q78" s="106">
        <v>52</v>
      </c>
      <c r="R78" s="100">
        <v>35.262833494024456</v>
      </c>
      <c r="S78" s="100">
        <v>6.0841665059755456</v>
      </c>
      <c r="T78" s="122"/>
      <c r="U78" s="84"/>
      <c r="V78" s="84"/>
      <c r="W78" s="84"/>
      <c r="X78" s="84"/>
      <c r="Y78" s="96"/>
    </row>
    <row r="79" spans="1:25">
      <c r="A79" s="63">
        <f>'Q.6 Rand()'!R78</f>
        <v>3</v>
      </c>
      <c r="B79" s="63">
        <f>'Q.6 Rand()'!S78</f>
        <v>34.4</v>
      </c>
      <c r="C79"/>
      <c r="D79" s="82">
        <f t="shared" si="8"/>
        <v>2.717971478495123</v>
      </c>
      <c r="E79" s="82">
        <f t="shared" si="6"/>
        <v>7.9010798793462886E-2</v>
      </c>
      <c r="G79" s="65">
        <f t="shared" si="7"/>
        <v>0.33573121078078616</v>
      </c>
      <c r="H79" s="65"/>
      <c r="I79" s="118">
        <f t="shared" si="9"/>
        <v>10.872811472749737</v>
      </c>
      <c r="J79" s="65"/>
      <c r="K79" s="65"/>
      <c r="M79" s="117">
        <f t="shared" si="10"/>
        <v>37.117971478495122</v>
      </c>
      <c r="N79" s="117">
        <f t="shared" si="11"/>
        <v>-2.717971478495123</v>
      </c>
      <c r="Q79" s="106">
        <v>53</v>
      </c>
      <c r="R79" s="100">
        <v>37.117971478495129</v>
      </c>
      <c r="S79" s="100">
        <v>-1.6213714784951279</v>
      </c>
      <c r="T79" s="122"/>
      <c r="U79" s="84"/>
      <c r="V79" s="84"/>
      <c r="W79" s="84"/>
      <c r="X79" s="84"/>
      <c r="Y79" s="96"/>
    </row>
    <row r="80" spans="1:25">
      <c r="A80" s="63">
        <f>'Q.6 Rand()'!R79</f>
        <v>3.5</v>
      </c>
      <c r="B80" s="63">
        <f>'Q.6 Rand()'!S79</f>
        <v>34.762999999999998</v>
      </c>
      <c r="C80"/>
      <c r="D80" s="82">
        <f t="shared" si="8"/>
        <v>3.6048997906789282E-2</v>
      </c>
      <c r="E80" s="82">
        <f t="shared" si="6"/>
        <v>1.0369932947901297E-3</v>
      </c>
      <c r="G80" s="65">
        <f t="shared" si="7"/>
        <v>0.88816143273200543</v>
      </c>
      <c r="H80" s="65"/>
      <c r="I80" s="118">
        <f t="shared" si="9"/>
        <v>0.95740778480012323</v>
      </c>
      <c r="J80" s="65"/>
      <c r="K80" s="65"/>
      <c r="M80" s="117">
        <f t="shared" si="10"/>
        <v>34.799048997906787</v>
      </c>
      <c r="N80" s="117">
        <f t="shared" si="11"/>
        <v>-3.6048997906789282E-2</v>
      </c>
      <c r="Q80" s="106">
        <v>54</v>
      </c>
      <c r="R80" s="100">
        <v>37.117971478495129</v>
      </c>
      <c r="S80" s="100">
        <v>-5.6179714784951287</v>
      </c>
      <c r="T80" s="122"/>
      <c r="U80" s="84"/>
      <c r="V80" s="84"/>
      <c r="W80" s="84"/>
      <c r="X80" s="84"/>
      <c r="Y80" s="96"/>
    </row>
    <row r="81" spans="1:25">
      <c r="A81" s="63">
        <f>'Q.6 Rand()'!R80</f>
        <v>6</v>
      </c>
      <c r="B81" s="63">
        <f>'Q.6 Rand()'!S80</f>
        <v>21.651499999999999</v>
      </c>
      <c r="C81"/>
      <c r="D81" s="82">
        <f t="shared" si="8"/>
        <v>1.5529365949650966</v>
      </c>
      <c r="E81" s="82">
        <f t="shared" si="6"/>
        <v>7.1724203633240044E-2</v>
      </c>
      <c r="G81" s="65">
        <f t="shared" si="7"/>
        <v>148.08643087663441</v>
      </c>
      <c r="H81" s="65"/>
      <c r="I81" s="118">
        <f t="shared" si="9"/>
        <v>112.7024334743911</v>
      </c>
      <c r="J81" s="65"/>
      <c r="K81" s="65"/>
      <c r="M81" s="117">
        <f t="shared" si="10"/>
        <v>23.204436594965095</v>
      </c>
      <c r="N81" s="117">
        <f t="shared" si="11"/>
        <v>-1.5529365949650966</v>
      </c>
      <c r="Q81" s="106">
        <v>55</v>
      </c>
      <c r="R81" s="100">
        <v>19.494160626023746</v>
      </c>
      <c r="S81" s="100">
        <v>-1.7941606260237464</v>
      </c>
      <c r="T81" s="122"/>
      <c r="U81" s="84"/>
      <c r="V81" s="84"/>
      <c r="W81" s="84"/>
      <c r="X81" s="84"/>
      <c r="Y81" s="96"/>
    </row>
    <row r="82" spans="1:25">
      <c r="A82" s="63">
        <f>'Q.6 Rand()'!R81</f>
        <v>1.4</v>
      </c>
      <c r="B82" s="63">
        <f>'Q.6 Rand()'!S81</f>
        <v>59.7</v>
      </c>
      <c r="C82"/>
      <c r="D82" s="82">
        <f t="shared" si="8"/>
        <v>15.161476583622196</v>
      </c>
      <c r="E82" s="82">
        <f t="shared" si="6"/>
        <v>0.25396108180271687</v>
      </c>
      <c r="G82" s="65">
        <f t="shared" si="7"/>
        <v>669.74454364980545</v>
      </c>
      <c r="H82" s="65"/>
      <c r="I82" s="118">
        <f t="shared" si="9"/>
        <v>114.87437904413252</v>
      </c>
      <c r="J82" s="65"/>
      <c r="K82" s="65"/>
      <c r="M82" s="117">
        <f t="shared" si="10"/>
        <v>44.538523416377807</v>
      </c>
      <c r="N82" s="117">
        <f t="shared" si="11"/>
        <v>15.161476583622196</v>
      </c>
      <c r="Q82" s="106">
        <v>56</v>
      </c>
      <c r="R82" s="100">
        <v>22.276867602729752</v>
      </c>
      <c r="S82" s="100">
        <v>1.9231323972702477</v>
      </c>
      <c r="T82" s="122"/>
      <c r="U82" s="84"/>
      <c r="V82" s="84"/>
      <c r="W82" s="84"/>
      <c r="X82" s="84"/>
      <c r="Y82" s="96"/>
    </row>
    <row r="83" spans="1:25">
      <c r="A83" s="63">
        <f>'Q.6 Rand()'!R82</f>
        <v>3</v>
      </c>
      <c r="B83" s="63">
        <f>'Q.6 Rand()'!S82</f>
        <v>33.299999999999997</v>
      </c>
      <c r="C83"/>
      <c r="D83" s="82">
        <f t="shared" si="8"/>
        <v>3.8179714784951244</v>
      </c>
      <c r="E83" s="82">
        <f t="shared" si="6"/>
        <v>0.11465379815300675</v>
      </c>
      <c r="G83" s="65">
        <f t="shared" si="7"/>
        <v>0.27100023517102978</v>
      </c>
      <c r="H83" s="65"/>
      <c r="I83" s="118">
        <f t="shared" si="9"/>
        <v>10.872811472749737</v>
      </c>
      <c r="J83" s="65"/>
      <c r="K83" s="65"/>
      <c r="M83" s="117">
        <f t="shared" si="10"/>
        <v>37.117971478495122</v>
      </c>
      <c r="N83" s="117">
        <f t="shared" si="11"/>
        <v>-3.8179714784951244</v>
      </c>
      <c r="Q83" s="106">
        <v>57</v>
      </c>
      <c r="R83" s="100">
        <v>41.755816439671811</v>
      </c>
      <c r="S83" s="100">
        <v>2.9441835603281916</v>
      </c>
      <c r="T83" s="122"/>
      <c r="U83" s="84"/>
      <c r="V83" s="84"/>
      <c r="W83" s="84"/>
      <c r="X83" s="84"/>
      <c r="Y83" s="96"/>
    </row>
    <row r="84" spans="1:25">
      <c r="A84" s="63">
        <f>'Q.6 Rand()'!R83</f>
        <v>3.6</v>
      </c>
      <c r="B84" s="63">
        <f>'Q.6 Rand()'!S83</f>
        <v>29.5</v>
      </c>
      <c r="C84"/>
      <c r="D84" s="82">
        <f t="shared" si="8"/>
        <v>4.8352645017891192</v>
      </c>
      <c r="E84" s="82">
        <f t="shared" si="6"/>
        <v>0.16390727124708879</v>
      </c>
      <c r="G84" s="65">
        <f t="shared" si="7"/>
        <v>18.667384137610036</v>
      </c>
      <c r="H84" s="65"/>
      <c r="I84" s="118">
        <f t="shared" si="9"/>
        <v>0.26490340024490783</v>
      </c>
      <c r="J84" s="65"/>
      <c r="K84" s="65"/>
      <c r="M84" s="117">
        <f t="shared" si="10"/>
        <v>34.335264501789119</v>
      </c>
      <c r="N84" s="117">
        <f t="shared" si="11"/>
        <v>-4.8352645017891192</v>
      </c>
      <c r="Q84" s="106">
        <v>58</v>
      </c>
      <c r="R84" s="100">
        <v>42.683385431907148</v>
      </c>
      <c r="S84" s="100">
        <v>8.1166145680928494</v>
      </c>
      <c r="T84" s="122"/>
      <c r="U84" s="84"/>
      <c r="V84" s="84"/>
      <c r="W84" s="84"/>
      <c r="X84" s="84"/>
      <c r="Y84" s="96"/>
    </row>
    <row r="85" spans="1:25">
      <c r="A85" s="63">
        <f>'Q.6 Rand()'!R84</f>
        <v>4.5999999999999996</v>
      </c>
      <c r="B85" s="63">
        <f>'Q.6 Rand()'!S84</f>
        <v>24.3</v>
      </c>
      <c r="C85"/>
      <c r="D85" s="82">
        <f t="shared" si="8"/>
        <v>5.3974195406124466</v>
      </c>
      <c r="E85" s="82">
        <f t="shared" si="6"/>
        <v>0.22211603047787845</v>
      </c>
      <c r="G85" s="65">
        <f t="shared" si="7"/>
        <v>90.641383162000238</v>
      </c>
      <c r="H85" s="65"/>
      <c r="I85" s="118">
        <f t="shared" si="9"/>
        <v>17.000426026995804</v>
      </c>
      <c r="J85" s="65"/>
      <c r="K85" s="65"/>
      <c r="M85" s="117">
        <f t="shared" si="10"/>
        <v>29.697419540612447</v>
      </c>
      <c r="N85" s="117">
        <f t="shared" si="11"/>
        <v>-5.3974195406124466</v>
      </c>
      <c r="Q85" s="106">
        <v>59</v>
      </c>
      <c r="R85" s="100">
        <v>25.987143571671098</v>
      </c>
      <c r="S85" s="100">
        <v>-5.3871435716710963</v>
      </c>
      <c r="T85" s="122"/>
      <c r="U85" s="84"/>
      <c r="V85" s="84"/>
      <c r="W85" s="84"/>
      <c r="X85" s="84"/>
      <c r="Y85" s="96"/>
    </row>
    <row r="86" spans="1:25">
      <c r="A86" s="67">
        <f>SUM(A4:A85)</f>
        <v>304.3</v>
      </c>
      <c r="B86" s="67">
        <f>SUM(B4:B85)</f>
        <v>2773.2873</v>
      </c>
      <c r="C86"/>
      <c r="D86" s="74">
        <f>SUM(D4:D85)</f>
        <v>290.9971785402729</v>
      </c>
      <c r="E86" s="74">
        <f>SUM(E4:E85)</f>
        <v>8.8071032423790587</v>
      </c>
      <c r="G86" s="74">
        <f>SUM(G4:G85)</f>
        <v>5236.664019685978</v>
      </c>
      <c r="H86" s="74"/>
      <c r="I86" s="74">
        <f>SUM(I4:I85)</f>
        <v>3515.1024166715488</v>
      </c>
      <c r="J86" s="87"/>
      <c r="K86" s="87"/>
      <c r="M86" s="72">
        <f>SUM(M4:M85)</f>
        <v>2773.2873</v>
      </c>
      <c r="N86" s="72">
        <f>SUM(N4:N85)</f>
        <v>-2.1316282072803006E-14</v>
      </c>
      <c r="Q86" s="106">
        <v>60</v>
      </c>
      <c r="R86" s="100">
        <v>41.755816439671811</v>
      </c>
      <c r="S86" s="100">
        <v>1.4441835603281916</v>
      </c>
      <c r="T86" s="122"/>
      <c r="U86" s="84"/>
      <c r="V86" s="84"/>
      <c r="W86" s="84"/>
      <c r="X86" s="84"/>
      <c r="Y86" s="96"/>
    </row>
    <row r="87" spans="1:25">
      <c r="A87" s="77">
        <f>COUNT(A4:A85)</f>
        <v>82</v>
      </c>
      <c r="B87" s="77">
        <f>COUNT(B4:B85)</f>
        <v>82</v>
      </c>
      <c r="C87"/>
      <c r="M87" s="69">
        <f>COUNT(M4:M85)</f>
        <v>82</v>
      </c>
      <c r="N87" s="69">
        <f>COUNT(N4:N85)</f>
        <v>82</v>
      </c>
      <c r="Q87" s="106">
        <v>61</v>
      </c>
      <c r="R87" s="100">
        <v>23.204436594965088</v>
      </c>
      <c r="S87" s="100">
        <v>-1.7310365949650866</v>
      </c>
      <c r="T87" s="122"/>
      <c r="U87" s="84"/>
      <c r="V87" s="84"/>
      <c r="W87" s="84"/>
      <c r="X87" s="84"/>
      <c r="Y87" s="96"/>
    </row>
    <row r="88" spans="1:25">
      <c r="A88"/>
      <c r="B88"/>
      <c r="C88"/>
      <c r="N88" s="117"/>
      <c r="Q88" s="106">
        <v>62</v>
      </c>
      <c r="R88" s="100">
        <v>23.204436594965088</v>
      </c>
      <c r="S88" s="100">
        <v>9.595563405034909</v>
      </c>
      <c r="T88" s="122"/>
      <c r="U88" s="84"/>
      <c r="V88" s="84"/>
      <c r="W88" s="84"/>
      <c r="X88" s="84"/>
      <c r="Y88" s="96"/>
    </row>
    <row r="89" spans="1:25">
      <c r="N89" s="117"/>
      <c r="Q89" s="106">
        <v>63</v>
      </c>
      <c r="R89" s="100">
        <v>32.480126517318453</v>
      </c>
      <c r="S89" s="100">
        <v>-3.0801265173184547</v>
      </c>
      <c r="T89" s="122"/>
      <c r="U89" s="84"/>
      <c r="V89" s="84"/>
      <c r="W89" s="84"/>
      <c r="X89" s="84"/>
      <c r="Y89" s="96"/>
    </row>
    <row r="90" spans="1:25">
      <c r="N90" s="117"/>
      <c r="Q90" s="106">
        <v>64</v>
      </c>
      <c r="R90" s="100">
        <v>43.610954424142477</v>
      </c>
      <c r="S90" s="100">
        <v>12.809445575857524</v>
      </c>
      <c r="T90" s="122"/>
      <c r="U90" s="84"/>
      <c r="V90" s="84"/>
      <c r="W90" s="84"/>
      <c r="X90" s="84"/>
      <c r="Y90" s="96"/>
    </row>
    <row r="91" spans="1:25">
      <c r="N91" s="117"/>
      <c r="Q91" s="106">
        <v>65</v>
      </c>
      <c r="R91" s="100">
        <v>34.335264501789126</v>
      </c>
      <c r="S91" s="100">
        <v>-3.135264501789127</v>
      </c>
      <c r="T91" s="122"/>
      <c r="U91" s="84"/>
      <c r="V91" s="84"/>
      <c r="W91" s="84"/>
      <c r="X91" s="84"/>
      <c r="Y91" s="96"/>
    </row>
    <row r="92" spans="1:25">
      <c r="N92" s="117"/>
      <c r="Q92" s="106">
        <v>66</v>
      </c>
      <c r="R92" s="100">
        <v>30.624988532847777</v>
      </c>
      <c r="S92" s="100">
        <v>-0.78718853284777524</v>
      </c>
      <c r="T92" s="122"/>
      <c r="U92" s="84"/>
      <c r="V92" s="84"/>
      <c r="W92" s="84"/>
      <c r="X92" s="84"/>
      <c r="Y92" s="96"/>
    </row>
    <row r="93" spans="1:25">
      <c r="N93" s="117"/>
      <c r="Q93" s="106">
        <v>67</v>
      </c>
      <c r="R93" s="100">
        <v>21.349298610494415</v>
      </c>
      <c r="S93" s="100">
        <v>10.050701389505583</v>
      </c>
      <c r="T93" s="122"/>
      <c r="U93" s="84"/>
      <c r="V93" s="84"/>
      <c r="W93" s="84"/>
      <c r="X93" s="84"/>
      <c r="Y93" s="96"/>
    </row>
    <row r="94" spans="1:25">
      <c r="N94" s="117"/>
      <c r="Q94" s="106">
        <v>68</v>
      </c>
      <c r="R94" s="100">
        <v>24.595790083318093</v>
      </c>
      <c r="S94" s="100">
        <v>2.6042099166819064</v>
      </c>
      <c r="T94" s="122"/>
      <c r="U94" s="84"/>
      <c r="V94" s="84"/>
      <c r="W94" s="84"/>
      <c r="X94" s="84"/>
      <c r="Y94" s="96"/>
    </row>
    <row r="95" spans="1:25">
      <c r="N95" s="117"/>
      <c r="Q95" s="106">
        <v>69</v>
      </c>
      <c r="R95" s="100">
        <v>43.610954424142477</v>
      </c>
      <c r="S95" s="100">
        <v>-1.9109544241424743</v>
      </c>
      <c r="T95" s="122"/>
      <c r="U95" s="84"/>
      <c r="V95" s="84"/>
      <c r="W95" s="84"/>
      <c r="X95" s="84"/>
      <c r="Y95" s="96"/>
    </row>
    <row r="96" spans="1:25">
      <c r="N96" s="117"/>
      <c r="Q96" s="106">
        <v>70</v>
      </c>
      <c r="R96" s="100">
        <v>23.204436594965088</v>
      </c>
      <c r="S96" s="100">
        <v>9.1955634050349104</v>
      </c>
      <c r="T96" s="122"/>
      <c r="U96" s="84"/>
      <c r="V96" s="84"/>
      <c r="W96" s="84"/>
      <c r="X96" s="84"/>
      <c r="Y96" s="96"/>
    </row>
    <row r="97" spans="14:25">
      <c r="N97" s="117"/>
      <c r="Q97" s="106">
        <v>71</v>
      </c>
      <c r="R97" s="100">
        <v>24.595790083318093</v>
      </c>
      <c r="S97" s="100">
        <v>2.6042099166819064</v>
      </c>
      <c r="T97" s="122"/>
      <c r="U97" s="84"/>
      <c r="V97" s="84"/>
      <c r="W97" s="84"/>
      <c r="X97" s="84"/>
      <c r="Y97" s="96"/>
    </row>
    <row r="98" spans="14:25">
      <c r="N98" s="117"/>
      <c r="Q98" s="106">
        <v>72</v>
      </c>
      <c r="R98" s="100">
        <v>37.117971478495129</v>
      </c>
      <c r="S98" s="100">
        <v>-3.9179714784951258</v>
      </c>
      <c r="T98" s="122"/>
      <c r="U98" s="84"/>
      <c r="V98" s="84"/>
      <c r="W98" s="84"/>
      <c r="X98" s="84"/>
      <c r="Y98" s="96"/>
    </row>
    <row r="99" spans="14:25">
      <c r="N99" s="117"/>
      <c r="Q99" s="106">
        <v>73</v>
      </c>
      <c r="R99" s="100">
        <v>39.43689395908347</v>
      </c>
      <c r="S99" s="100">
        <v>-1.8368939590834685</v>
      </c>
      <c r="T99" s="122"/>
      <c r="U99" s="84"/>
      <c r="V99" s="84"/>
      <c r="W99" s="84"/>
      <c r="X99" s="84"/>
      <c r="Y99" s="96"/>
    </row>
    <row r="100" spans="14:25">
      <c r="N100" s="117"/>
      <c r="Q100" s="106">
        <v>74</v>
      </c>
      <c r="R100" s="100">
        <v>41.755816439671811</v>
      </c>
      <c r="S100" s="100">
        <v>5.1441835603281874</v>
      </c>
      <c r="T100" s="122"/>
      <c r="U100" s="84"/>
      <c r="V100" s="84"/>
      <c r="W100" s="84"/>
      <c r="X100" s="84"/>
      <c r="Y100" s="96"/>
    </row>
    <row r="101" spans="14:25">
      <c r="N101" s="117"/>
      <c r="Q101" s="106">
        <v>75</v>
      </c>
      <c r="R101" s="100">
        <v>27.842281556141771</v>
      </c>
      <c r="S101" s="100">
        <v>-0.40478155614177069</v>
      </c>
      <c r="T101" s="122"/>
      <c r="U101" s="84"/>
      <c r="V101" s="84"/>
      <c r="W101" s="84"/>
      <c r="X101" s="84"/>
      <c r="Y101" s="96"/>
    </row>
    <row r="102" spans="14:25">
      <c r="N102" s="117"/>
      <c r="Q102" s="106">
        <v>76</v>
      </c>
      <c r="R102" s="100">
        <v>37.117971478495129</v>
      </c>
      <c r="S102" s="100">
        <v>-2.7179714784951301</v>
      </c>
      <c r="T102" s="122"/>
      <c r="U102" s="84"/>
      <c r="V102" s="84"/>
      <c r="W102" s="84"/>
      <c r="X102" s="84"/>
      <c r="Y102" s="96"/>
    </row>
    <row r="103" spans="14:25">
      <c r="N103" s="117"/>
      <c r="Q103" s="106">
        <v>77</v>
      </c>
      <c r="R103" s="100">
        <v>34.799048997906795</v>
      </c>
      <c r="S103" s="100">
        <v>-3.6048997906796387E-2</v>
      </c>
      <c r="T103" s="122"/>
      <c r="U103" s="84"/>
      <c r="V103" s="84"/>
      <c r="W103" s="84"/>
      <c r="X103" s="84"/>
      <c r="Y103" s="96"/>
    </row>
    <row r="104" spans="14:25">
      <c r="N104" s="117"/>
      <c r="Q104" s="106">
        <v>78</v>
      </c>
      <c r="R104" s="100">
        <v>23.204436594965088</v>
      </c>
      <c r="S104" s="100">
        <v>-1.5529365949650895</v>
      </c>
      <c r="T104" s="122"/>
      <c r="U104" s="84"/>
      <c r="V104" s="84"/>
      <c r="W104" s="84"/>
      <c r="X104" s="84"/>
      <c r="Y104" s="96"/>
    </row>
    <row r="105" spans="14:25">
      <c r="N105" s="117"/>
      <c r="Q105" s="106">
        <v>79</v>
      </c>
      <c r="R105" s="100">
        <v>44.538523416377821</v>
      </c>
      <c r="S105" s="100">
        <v>15.161476583622182</v>
      </c>
      <c r="T105" s="122"/>
      <c r="U105" s="84"/>
      <c r="V105" s="84"/>
      <c r="W105" s="84"/>
      <c r="X105" s="84"/>
      <c r="Y105" s="96"/>
    </row>
    <row r="106" spans="14:25">
      <c r="N106" s="117"/>
      <c r="Q106" s="106">
        <v>80</v>
      </c>
      <c r="R106" s="100">
        <v>37.117971478495129</v>
      </c>
      <c r="S106" s="100">
        <v>-3.8179714784951315</v>
      </c>
      <c r="T106" s="122"/>
      <c r="U106" s="84"/>
      <c r="V106" s="84"/>
      <c r="W106" s="84"/>
      <c r="X106" s="84"/>
      <c r="Y106" s="96"/>
    </row>
    <row r="107" spans="14:25">
      <c r="N107" s="117"/>
      <c r="Q107" s="106">
        <v>81</v>
      </c>
      <c r="R107" s="100">
        <v>34.335264501789126</v>
      </c>
      <c r="S107" s="100">
        <v>-4.8352645017891263</v>
      </c>
      <c r="T107" s="122"/>
      <c r="U107" s="84"/>
      <c r="V107" s="84"/>
      <c r="W107" s="84"/>
      <c r="X107" s="84"/>
      <c r="Y107" s="96"/>
    </row>
    <row r="108" spans="14:25" ht="15.75" thickBot="1">
      <c r="N108" s="117"/>
      <c r="Q108" s="107">
        <v>82</v>
      </c>
      <c r="R108" s="101">
        <v>29.697419540612444</v>
      </c>
      <c r="S108" s="101">
        <v>-5.397419540612443</v>
      </c>
      <c r="T108" s="122"/>
      <c r="U108" s="84"/>
      <c r="V108" s="84"/>
      <c r="W108" s="84"/>
      <c r="X108" s="84"/>
      <c r="Y108" s="96"/>
    </row>
    <row r="109" spans="14:25" ht="15.75" thickBot="1">
      <c r="Q109" s="115"/>
      <c r="R109" s="116">
        <f>SUM(R27:R108)</f>
        <v>2773.2873000000004</v>
      </c>
      <c r="S109" s="124">
        <f>SUM(S27:S108)</f>
        <v>-2.5224267119483557E-13</v>
      </c>
      <c r="T109" s="123"/>
      <c r="U109" s="112"/>
      <c r="V109" s="112"/>
      <c r="W109" s="112"/>
      <c r="X109" s="112"/>
      <c r="Y109" s="113"/>
    </row>
  </sheetData>
  <mergeCells count="2">
    <mergeCell ref="A1:K1"/>
    <mergeCell ref="V4:X4"/>
  </mergeCells>
  <pageMargins left="0.7" right="0.7" top="0.75" bottom="0.75" header="0.3" footer="0.3"/>
  <ignoredErrors>
    <ignoredError sqref="I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6"/>
  <sheetViews>
    <sheetView workbookViewId="0">
      <selection activeCell="L23" sqref="L23"/>
    </sheetView>
  </sheetViews>
  <sheetFormatPr defaultRowHeight="15"/>
  <cols>
    <col min="4" max="4" width="18" bestFit="1" customWidth="1"/>
    <col min="5" max="5" width="14.28515625" bestFit="1" customWidth="1"/>
    <col min="6" max="6" width="14.5703125" bestFit="1" customWidth="1"/>
    <col min="7" max="7" width="12.7109375" bestFit="1" customWidth="1"/>
    <col min="8" max="8" width="20.140625" bestFit="1" customWidth="1"/>
    <col min="9" max="9" width="13.42578125" bestFit="1" customWidth="1"/>
    <col min="10" max="12" width="12.7109375" bestFit="1" customWidth="1"/>
  </cols>
  <sheetData>
    <row r="1" spans="1:12">
      <c r="A1" s="57" t="str">
        <f>'Q.6 Rand()'!R2</f>
        <v>S1_X</v>
      </c>
      <c r="B1" s="57" t="str">
        <f>'Q.6 Rand()'!S2</f>
        <v>S1_Y</v>
      </c>
      <c r="D1" t="s">
        <v>38</v>
      </c>
    </row>
    <row r="2" spans="1:12" ht="15.75" thickBot="1">
      <c r="A2" s="132">
        <f>'Q.6 Rand()'!R3</f>
        <v>3.7</v>
      </c>
      <c r="B2" s="132">
        <f>'Q.6 Rand()'!S3</f>
        <v>28.567399999999999</v>
      </c>
    </row>
    <row r="3" spans="1:12">
      <c r="A3" s="132">
        <f>'Q.6 Rand()'!R4</f>
        <v>2.7</v>
      </c>
      <c r="B3" s="132">
        <f>'Q.6 Rand()'!S4</f>
        <v>37</v>
      </c>
      <c r="D3" s="80" t="s">
        <v>39</v>
      </c>
      <c r="E3" s="80"/>
    </row>
    <row r="4" spans="1:12">
      <c r="A4" s="132">
        <f>'Q.6 Rand()'!R5</f>
        <v>2.4</v>
      </c>
      <c r="B4" s="132">
        <f>'Q.6 Rand()'!S5</f>
        <v>42.5</v>
      </c>
      <c r="D4" s="100" t="s">
        <v>40</v>
      </c>
      <c r="E4" s="100">
        <v>0.81929751236781079</v>
      </c>
    </row>
    <row r="5" spans="1:12">
      <c r="A5" s="132">
        <f>'Q.6 Rand()'!R6</f>
        <v>1.4</v>
      </c>
      <c r="B5" s="132">
        <f>'Q.6 Rand()'!S6</f>
        <v>52.749600000000001</v>
      </c>
      <c r="D5" s="100" t="s">
        <v>41</v>
      </c>
      <c r="E5" s="100">
        <v>0.671248413772083</v>
      </c>
    </row>
    <row r="6" spans="1:12">
      <c r="A6" s="132">
        <f>'Q.6 Rand()'!R7</f>
        <v>5.4</v>
      </c>
      <c r="B6" s="132">
        <f>'Q.6 Rand()'!S7</f>
        <v>24.1556</v>
      </c>
      <c r="D6" s="100" t="s">
        <v>42</v>
      </c>
      <c r="E6" s="100">
        <v>0.66713901894423411</v>
      </c>
    </row>
    <row r="7" spans="1:12">
      <c r="A7" s="132">
        <f>'Q.6 Rand()'!R8</f>
        <v>4.7</v>
      </c>
      <c r="B7" s="132">
        <f>'Q.6 Rand()'!S8</f>
        <v>25.6</v>
      </c>
      <c r="D7" s="100" t="s">
        <v>43</v>
      </c>
      <c r="E7" s="100">
        <v>4.6389136699964917</v>
      </c>
    </row>
    <row r="8" spans="1:12" ht="15.75" thickBot="1">
      <c r="A8" s="132">
        <f>'Q.6 Rand()'!R9</f>
        <v>3</v>
      </c>
      <c r="B8" s="132">
        <f>'Q.6 Rand()'!S9</f>
        <v>35.496600000000001</v>
      </c>
      <c r="D8" s="101" t="s">
        <v>44</v>
      </c>
      <c r="E8" s="101">
        <v>82</v>
      </c>
    </row>
    <row r="9" spans="1:12">
      <c r="A9" s="132">
        <f>'Q.6 Rand()'!R10</f>
        <v>3</v>
      </c>
      <c r="B9" s="132">
        <f>'Q.6 Rand()'!S10</f>
        <v>36.920200000000001</v>
      </c>
    </row>
    <row r="10" spans="1:12" ht="15.75" thickBot="1">
      <c r="A10" s="132">
        <f>'Q.6 Rand()'!R11</f>
        <v>6.3</v>
      </c>
      <c r="B10" s="132">
        <f>'Q.6 Rand()'!S11</f>
        <v>26</v>
      </c>
      <c r="D10" t="s">
        <v>45</v>
      </c>
    </row>
    <row r="11" spans="1:12">
      <c r="A11" s="132">
        <f>'Q.6 Rand()'!R12</f>
        <v>4.4000000000000004</v>
      </c>
      <c r="B11" s="132">
        <f>'Q.6 Rand()'!S12</f>
        <v>33.603200000000001</v>
      </c>
      <c r="D11" s="79"/>
      <c r="E11" s="79" t="s">
        <v>49</v>
      </c>
      <c r="F11" s="79" t="s">
        <v>50</v>
      </c>
      <c r="G11" s="79" t="s">
        <v>51</v>
      </c>
      <c r="H11" s="79" t="s">
        <v>52</v>
      </c>
      <c r="I11" s="79" t="s">
        <v>53</v>
      </c>
    </row>
    <row r="12" spans="1:12">
      <c r="A12" s="132">
        <f>'Q.6 Rand()'!R13</f>
        <v>3</v>
      </c>
      <c r="B12" s="132">
        <f>'Q.6 Rand()'!S13</f>
        <v>35.505200000000002</v>
      </c>
      <c r="D12" s="100" t="s">
        <v>46</v>
      </c>
      <c r="E12" s="100">
        <v>1</v>
      </c>
      <c r="F12" s="100">
        <v>3515.1024166715529</v>
      </c>
      <c r="G12" s="100">
        <v>3515.1024166715529</v>
      </c>
      <c r="H12" s="100">
        <v>163.34483345895578</v>
      </c>
      <c r="I12" s="100">
        <v>5.1021506529960483E-21</v>
      </c>
    </row>
    <row r="13" spans="1:12">
      <c r="A13" s="132">
        <f>'Q.6 Rand()'!R14</f>
        <v>2.4</v>
      </c>
      <c r="B13" s="132">
        <f>'Q.6 Rand()'!S14</f>
        <v>44.8</v>
      </c>
      <c r="D13" s="100" t="s">
        <v>19</v>
      </c>
      <c r="E13" s="100">
        <v>80</v>
      </c>
      <c r="F13" s="100">
        <v>1721.5616030144251</v>
      </c>
      <c r="G13" s="100">
        <v>21.519520037680316</v>
      </c>
      <c r="H13" s="100"/>
      <c r="I13" s="100"/>
    </row>
    <row r="14" spans="1:12" ht="15.75" thickBot="1">
      <c r="A14" s="132">
        <f>'Q.6 Rand()'!R15</f>
        <v>1.6</v>
      </c>
      <c r="B14" s="132">
        <f>'Q.6 Rand()'!S15</f>
        <v>45.5991</v>
      </c>
      <c r="D14" s="101" t="s">
        <v>47</v>
      </c>
      <c r="E14" s="101">
        <v>81</v>
      </c>
      <c r="F14" s="101">
        <v>5236.664019685978</v>
      </c>
      <c r="G14" s="101"/>
      <c r="H14" s="101"/>
      <c r="I14" s="101"/>
    </row>
    <row r="15" spans="1:12" ht="15.75" thickBot="1">
      <c r="A15" s="132">
        <f>'Q.6 Rand()'!R16</f>
        <v>4.4000000000000004</v>
      </c>
      <c r="B15" s="132">
        <f>'Q.6 Rand()'!S16</f>
        <v>31.227399999999999</v>
      </c>
    </row>
    <row r="16" spans="1:12">
      <c r="A16" s="132">
        <f>'Q.6 Rand()'!R17</f>
        <v>3.5</v>
      </c>
      <c r="B16" s="132">
        <f>'Q.6 Rand()'!S17</f>
        <v>34.767499999999998</v>
      </c>
      <c r="D16" s="79"/>
      <c r="E16" s="79" t="s">
        <v>54</v>
      </c>
      <c r="F16" s="79" t="s">
        <v>43</v>
      </c>
      <c r="G16" s="79" t="s">
        <v>55</v>
      </c>
      <c r="H16" s="79" t="s">
        <v>56</v>
      </c>
      <c r="I16" s="79" t="s">
        <v>57</v>
      </c>
      <c r="J16" s="79" t="s">
        <v>58</v>
      </c>
      <c r="K16" s="79" t="s">
        <v>59</v>
      </c>
      <c r="L16" s="79" t="s">
        <v>60</v>
      </c>
    </row>
    <row r="17" spans="1:12">
      <c r="A17" s="132">
        <f>'Q.6 Rand()'!R18</f>
        <v>5.2</v>
      </c>
      <c r="B17" s="132">
        <f>'Q.6 Rand()'!S18</f>
        <v>24.3325</v>
      </c>
      <c r="D17" s="100" t="s">
        <v>48</v>
      </c>
      <c r="E17" s="100">
        <v>51.031506362025169</v>
      </c>
      <c r="F17" s="100">
        <v>1.4407891655987242</v>
      </c>
      <c r="G17" s="100">
        <v>35.41913527703332</v>
      </c>
      <c r="H17" s="100">
        <v>1.1824528946772606E-50</v>
      </c>
      <c r="I17" s="100">
        <v>48.16424454582743</v>
      </c>
      <c r="J17" s="100">
        <v>53.898768178222909</v>
      </c>
      <c r="K17" s="100">
        <v>48.16424454582743</v>
      </c>
      <c r="L17" s="100">
        <v>53.898768178222909</v>
      </c>
    </row>
    <row r="18" spans="1:12" ht="15.75" thickBot="1">
      <c r="A18" s="132">
        <f>'Q.6 Rand()'!R19</f>
        <v>3</v>
      </c>
      <c r="B18" s="132">
        <f>'Q.6 Rand()'!S19</f>
        <v>34.4</v>
      </c>
      <c r="D18" s="101" t="s">
        <v>76</v>
      </c>
      <c r="E18" s="101">
        <v>-4.6378449611766799</v>
      </c>
      <c r="F18" s="101">
        <v>0.36288041142056249</v>
      </c>
      <c r="G18" s="101">
        <v>-12.780642920407244</v>
      </c>
      <c r="H18" s="101">
        <v>5.1021506529960121E-21</v>
      </c>
      <c r="I18" s="101">
        <v>-5.3599999942345056</v>
      </c>
      <c r="J18" s="101">
        <v>-3.9156899281188537</v>
      </c>
      <c r="K18" s="101">
        <v>-5.3599999942345056</v>
      </c>
      <c r="L18" s="101">
        <v>-3.9156899281188537</v>
      </c>
    </row>
    <row r="19" spans="1:12">
      <c r="A19" s="132">
        <f>'Q.6 Rand()'!R20</f>
        <v>3.6</v>
      </c>
      <c r="B19" s="132">
        <f>'Q.6 Rand()'!S20</f>
        <v>35.5</v>
      </c>
    </row>
    <row r="20" spans="1:12">
      <c r="A20" s="132">
        <f>'Q.6 Rand()'!R21</f>
        <v>4</v>
      </c>
      <c r="B20" s="132">
        <f>'Q.6 Rand()'!S21</f>
        <v>28.4</v>
      </c>
    </row>
    <row r="21" spans="1:12">
      <c r="A21" s="132">
        <f>'Q.6 Rand()'!R22</f>
        <v>3</v>
      </c>
      <c r="B21" s="132">
        <f>'Q.6 Rand()'!S22</f>
        <v>35.435400000000001</v>
      </c>
    </row>
    <row r="22" spans="1:12">
      <c r="A22" s="132">
        <f>'Q.6 Rand()'!R23</f>
        <v>2.5</v>
      </c>
      <c r="B22" s="132">
        <f>'Q.6 Rand()'!S23</f>
        <v>34.434100000000001</v>
      </c>
      <c r="D22" t="s">
        <v>61</v>
      </c>
      <c r="H22" t="s">
        <v>93</v>
      </c>
    </row>
    <row r="23" spans="1:12" ht="15.75" thickBot="1">
      <c r="A23" s="132">
        <f>'Q.6 Rand()'!R24</f>
        <v>3</v>
      </c>
      <c r="B23" s="132">
        <f>'Q.6 Rand()'!S24</f>
        <v>33.128100000000003</v>
      </c>
    </row>
    <row r="24" spans="1:12">
      <c r="A24" s="132">
        <f>'Q.6 Rand()'!R25</f>
        <v>4.5999999999999996</v>
      </c>
      <c r="B24" s="132">
        <f>'Q.6 Rand()'!S25</f>
        <v>23</v>
      </c>
      <c r="D24" s="79" t="s">
        <v>62</v>
      </c>
      <c r="E24" s="79" t="s">
        <v>85</v>
      </c>
      <c r="F24" s="79" t="s">
        <v>63</v>
      </c>
      <c r="H24" s="79" t="s">
        <v>94</v>
      </c>
      <c r="I24" s="79" t="s">
        <v>77</v>
      </c>
    </row>
    <row r="25" spans="1:12">
      <c r="A25" s="132">
        <f>'Q.6 Rand()'!R26</f>
        <v>3.5</v>
      </c>
      <c r="B25" s="132">
        <f>'Q.6 Rand()'!S26</f>
        <v>34.028799999999997</v>
      </c>
      <c r="D25" s="100">
        <v>1</v>
      </c>
      <c r="E25" s="100">
        <v>33.871480005671458</v>
      </c>
      <c r="F25" s="100">
        <v>-5.3040800056714588</v>
      </c>
      <c r="H25" s="100">
        <v>0.6097560975609756</v>
      </c>
      <c r="I25" s="100">
        <v>17.7</v>
      </c>
    </row>
    <row r="26" spans="1:12">
      <c r="A26" s="132">
        <f>'Q.6 Rand()'!R27</f>
        <v>3.7</v>
      </c>
      <c r="B26" s="132">
        <f>'Q.6 Rand()'!S27</f>
        <v>30.4</v>
      </c>
      <c r="D26" s="100">
        <v>2</v>
      </c>
      <c r="E26" s="100">
        <v>38.509324966848133</v>
      </c>
      <c r="F26" s="100">
        <v>-1.5093249668481334</v>
      </c>
      <c r="H26" s="100">
        <v>1.8292682926829267</v>
      </c>
      <c r="I26" s="100">
        <v>20.6</v>
      </c>
    </row>
    <row r="27" spans="1:12">
      <c r="A27" s="132">
        <f>'Q.6 Rand()'!R28</f>
        <v>2</v>
      </c>
      <c r="B27" s="132">
        <f>'Q.6 Rand()'!S28</f>
        <v>43.5</v>
      </c>
      <c r="D27" s="100">
        <v>3</v>
      </c>
      <c r="E27" s="100">
        <v>39.900678455201138</v>
      </c>
      <c r="F27" s="100">
        <v>2.5993215447988618</v>
      </c>
      <c r="H27" s="100">
        <v>3.0487804878048781</v>
      </c>
      <c r="I27" s="100">
        <v>21.2</v>
      </c>
    </row>
    <row r="28" spans="1:12">
      <c r="A28" s="132">
        <f>'Q.6 Rand()'!R29</f>
        <v>6</v>
      </c>
      <c r="B28" s="132">
        <f>'Q.6 Rand()'!S29</f>
        <v>21.473400000000002</v>
      </c>
      <c r="D28" s="100">
        <v>4</v>
      </c>
      <c r="E28" s="100">
        <v>44.538523416377821</v>
      </c>
      <c r="F28" s="100">
        <v>8.2110765836221802</v>
      </c>
      <c r="H28" s="100">
        <v>4.2682926829268286</v>
      </c>
      <c r="I28" s="100">
        <v>21.473400000000002</v>
      </c>
    </row>
    <row r="29" spans="1:12">
      <c r="A29" s="132">
        <f>'Q.6 Rand()'!R30</f>
        <v>3</v>
      </c>
      <c r="B29" s="132">
        <f>'Q.6 Rand()'!S30</f>
        <v>32.286000000000001</v>
      </c>
      <c r="D29" s="100">
        <v>5</v>
      </c>
      <c r="E29" s="100">
        <v>25.987143571671098</v>
      </c>
      <c r="F29" s="100">
        <v>-1.8315435716710979</v>
      </c>
      <c r="H29" s="100">
        <v>5.48780487804878</v>
      </c>
      <c r="I29" s="100">
        <v>21.473400000000002</v>
      </c>
    </row>
    <row r="30" spans="1:12">
      <c r="A30" s="132">
        <f>'Q.6 Rand()'!R31</f>
        <v>3</v>
      </c>
      <c r="B30" s="132">
        <f>'Q.6 Rand()'!S31</f>
        <v>36.473799999999997</v>
      </c>
      <c r="D30" s="100">
        <v>6</v>
      </c>
      <c r="E30" s="100">
        <v>29.233635044494772</v>
      </c>
      <c r="F30" s="100">
        <v>-3.6336350444947705</v>
      </c>
      <c r="H30" s="100">
        <v>6.7073170731707314</v>
      </c>
      <c r="I30" s="100">
        <v>21.641200000000001</v>
      </c>
    </row>
    <row r="31" spans="1:12">
      <c r="A31" s="132">
        <f>'Q.6 Rand()'!R32</f>
        <v>2</v>
      </c>
      <c r="B31" s="132">
        <f>'Q.6 Rand()'!S32</f>
        <v>42.973300000000002</v>
      </c>
      <c r="D31" s="100">
        <v>7</v>
      </c>
      <c r="E31" s="100">
        <v>37.117971478495129</v>
      </c>
      <c r="F31" s="100">
        <v>-1.6213714784951279</v>
      </c>
      <c r="H31" s="100">
        <v>7.926829268292682</v>
      </c>
      <c r="I31" s="100">
        <v>21.651499999999999</v>
      </c>
    </row>
    <row r="32" spans="1:12">
      <c r="A32" s="132">
        <f>'Q.6 Rand()'!R33</f>
        <v>2.5</v>
      </c>
      <c r="B32" s="132">
        <f>'Q.6 Rand()'!S33</f>
        <v>31.366900000000001</v>
      </c>
      <c r="D32" s="100">
        <v>8</v>
      </c>
      <c r="E32" s="100">
        <v>37.117971478495129</v>
      </c>
      <c r="F32" s="100">
        <v>-0.19777147849512744</v>
      </c>
      <c r="H32" s="100">
        <v>9.1463414634146343</v>
      </c>
      <c r="I32" s="100">
        <v>23</v>
      </c>
    </row>
    <row r="33" spans="1:9">
      <c r="A33" s="132">
        <f>'Q.6 Rand()'!R34</f>
        <v>2.5</v>
      </c>
      <c r="B33" s="132">
        <f>'Q.6 Rand()'!S34</f>
        <v>37.979999999999997</v>
      </c>
      <c r="D33" s="100">
        <v>9</v>
      </c>
      <c r="E33" s="100">
        <v>21.813083106612087</v>
      </c>
      <c r="F33" s="100">
        <v>4.1869168933879131</v>
      </c>
      <c r="H33" s="100">
        <v>10.365853658536585</v>
      </c>
      <c r="I33" s="100">
        <v>24.1556</v>
      </c>
    </row>
    <row r="34" spans="1:9">
      <c r="A34" s="132">
        <f>'Q.6 Rand()'!R35</f>
        <v>5.4</v>
      </c>
      <c r="B34" s="132">
        <f>'Q.6 Rand()'!S35</f>
        <v>21.641200000000001</v>
      </c>
      <c r="D34" s="100">
        <v>10</v>
      </c>
      <c r="E34" s="100">
        <v>30.624988532847777</v>
      </c>
      <c r="F34" s="100">
        <v>2.9782114671522244</v>
      </c>
      <c r="H34" s="100">
        <v>11.585365853658535</v>
      </c>
      <c r="I34" s="100">
        <v>24.2</v>
      </c>
    </row>
    <row r="35" spans="1:9">
      <c r="A35" s="132">
        <f>'Q.6 Rand()'!R36</f>
        <v>3.8</v>
      </c>
      <c r="B35" s="132">
        <f>'Q.6 Rand()'!S36</f>
        <v>36.027700000000003</v>
      </c>
      <c r="D35" s="100">
        <v>11</v>
      </c>
      <c r="E35" s="100">
        <v>37.117971478495129</v>
      </c>
      <c r="F35" s="100">
        <v>-1.6127714784951266</v>
      </c>
      <c r="H35" s="100">
        <v>12.804878048780488</v>
      </c>
      <c r="I35" s="100">
        <v>24.3</v>
      </c>
    </row>
    <row r="36" spans="1:9">
      <c r="A36" s="132">
        <f>'Q.6 Rand()'!R37</f>
        <v>3.7</v>
      </c>
      <c r="B36" s="132">
        <f>'Q.6 Rand()'!S37</f>
        <v>35.162799999999997</v>
      </c>
      <c r="D36" s="100">
        <v>12</v>
      </c>
      <c r="E36" s="100">
        <v>39.900678455201138</v>
      </c>
      <c r="F36" s="100">
        <v>4.899321544798859</v>
      </c>
      <c r="H36" s="100">
        <v>14.024390243902438</v>
      </c>
      <c r="I36" s="100">
        <v>24.3325</v>
      </c>
    </row>
    <row r="37" spans="1:9">
      <c r="A37" s="132">
        <f>'Q.6 Rand()'!R38</f>
        <v>6</v>
      </c>
      <c r="B37" s="132">
        <f>'Q.6 Rand()'!S38</f>
        <v>24.7</v>
      </c>
      <c r="D37" s="100">
        <v>13</v>
      </c>
      <c r="E37" s="100">
        <v>43.610954424142477</v>
      </c>
      <c r="F37" s="100">
        <v>1.9881455758575228</v>
      </c>
      <c r="H37" s="100">
        <v>15.243902439024389</v>
      </c>
      <c r="I37" s="100">
        <v>24.7</v>
      </c>
    </row>
    <row r="38" spans="1:9">
      <c r="A38" s="132">
        <f>'Q.6 Rand()'!R39</f>
        <v>3.6</v>
      </c>
      <c r="B38" s="132">
        <f>'Q.6 Rand()'!S39</f>
        <v>32.299999999999997</v>
      </c>
      <c r="D38" s="100">
        <v>14</v>
      </c>
      <c r="E38" s="100">
        <v>30.624988532847777</v>
      </c>
      <c r="F38" s="100">
        <v>0.60241146715222271</v>
      </c>
      <c r="H38" s="100">
        <v>16.463414634146343</v>
      </c>
      <c r="I38" s="100">
        <v>25.6</v>
      </c>
    </row>
    <row r="39" spans="1:9">
      <c r="A39" s="132">
        <f>'Q.6 Rand()'!R40</f>
        <v>3.7</v>
      </c>
      <c r="B39" s="132">
        <f>'Q.6 Rand()'!S40</f>
        <v>36.752800000000001</v>
      </c>
      <c r="D39" s="100">
        <v>15</v>
      </c>
      <c r="E39" s="100">
        <v>34.799048997906795</v>
      </c>
      <c r="F39" s="100">
        <v>-3.1548997906796217E-2</v>
      </c>
      <c r="H39" s="100">
        <v>17.682926829268293</v>
      </c>
      <c r="I39" s="100">
        <v>26</v>
      </c>
    </row>
    <row r="40" spans="1:9">
      <c r="A40" s="132">
        <f>'Q.6 Rand()'!R41</f>
        <v>3.2</v>
      </c>
      <c r="B40" s="132">
        <f>'Q.6 Rand()'!S41</f>
        <v>34.542400000000001</v>
      </c>
      <c r="D40" s="100">
        <v>16</v>
      </c>
      <c r="E40" s="100">
        <v>26.914712563906434</v>
      </c>
      <c r="F40" s="100">
        <v>-2.5822125639064346</v>
      </c>
      <c r="H40" s="100">
        <v>18.902439024390244</v>
      </c>
      <c r="I40" s="100">
        <v>27.2</v>
      </c>
    </row>
    <row r="41" spans="1:9">
      <c r="A41" s="132">
        <f>'Q.6 Rand()'!R42</f>
        <v>3.6</v>
      </c>
      <c r="B41" s="132">
        <f>'Q.6 Rand()'!S42</f>
        <v>35</v>
      </c>
      <c r="D41" s="100">
        <v>17</v>
      </c>
      <c r="E41" s="100">
        <v>37.117971478495129</v>
      </c>
      <c r="F41" s="100">
        <v>-2.7179714784951301</v>
      </c>
      <c r="H41" s="100">
        <v>20.121951219512194</v>
      </c>
      <c r="I41" s="100">
        <v>27.2</v>
      </c>
    </row>
    <row r="42" spans="1:9">
      <c r="A42" s="132">
        <f>'Q.6 Rand()'!R43</f>
        <v>2.5</v>
      </c>
      <c r="B42" s="132">
        <f>'Q.6 Rand()'!S43</f>
        <v>34.434100000000001</v>
      </c>
      <c r="D42" s="100">
        <v>18</v>
      </c>
      <c r="E42" s="100">
        <v>34.335264501789126</v>
      </c>
      <c r="F42" s="100">
        <v>1.1647354982108737</v>
      </c>
      <c r="H42" s="100">
        <v>21.341463414634145</v>
      </c>
      <c r="I42" s="100">
        <v>27.4375</v>
      </c>
    </row>
    <row r="43" spans="1:9">
      <c r="A43" s="132">
        <f>'Q.6 Rand()'!R44</f>
        <v>5.4</v>
      </c>
      <c r="B43" s="132">
        <f>'Q.6 Rand()'!S44</f>
        <v>21.2</v>
      </c>
      <c r="D43" s="100">
        <v>19</v>
      </c>
      <c r="E43" s="100">
        <v>32.480126517318453</v>
      </c>
      <c r="F43" s="100">
        <v>-4.0801265173184547</v>
      </c>
      <c r="H43" s="100">
        <v>22.560975609756095</v>
      </c>
      <c r="I43" s="100">
        <v>28.4</v>
      </c>
    </row>
    <row r="44" spans="1:9">
      <c r="A44" s="132">
        <f>'Q.6 Rand()'!R45</f>
        <v>6</v>
      </c>
      <c r="B44" s="132">
        <f>'Q.6 Rand()'!S45</f>
        <v>32.4</v>
      </c>
      <c r="D44" s="100">
        <v>20</v>
      </c>
      <c r="E44" s="100">
        <v>37.117971478495129</v>
      </c>
      <c r="F44" s="100">
        <v>-1.6825714784951273</v>
      </c>
      <c r="H44" s="100">
        <v>23.780487804878049</v>
      </c>
      <c r="I44" s="100">
        <v>28.567399999999999</v>
      </c>
    </row>
    <row r="45" spans="1:9">
      <c r="A45" s="132">
        <f>'Q.6 Rand()'!R46</f>
        <v>3</v>
      </c>
      <c r="B45" s="132">
        <f>'Q.6 Rand()'!S46</f>
        <v>35.799999999999997</v>
      </c>
      <c r="D45" s="100">
        <v>21</v>
      </c>
      <c r="E45" s="100">
        <v>39.43689395908347</v>
      </c>
      <c r="F45" s="100">
        <v>-5.0027939590834691</v>
      </c>
      <c r="H45" s="100">
        <v>25</v>
      </c>
      <c r="I45" s="100">
        <v>29</v>
      </c>
    </row>
    <row r="46" spans="1:9">
      <c r="A46" s="132">
        <f>'Q.6 Rand()'!R47</f>
        <v>3.6</v>
      </c>
      <c r="B46" s="132">
        <f>'Q.6 Rand()'!S47</f>
        <v>37.9</v>
      </c>
      <c r="D46" s="100">
        <v>22</v>
      </c>
      <c r="E46" s="100">
        <v>37.117971478495129</v>
      </c>
      <c r="F46" s="100">
        <v>-3.9898714784951252</v>
      </c>
      <c r="H46" s="100">
        <v>26.219512195121951</v>
      </c>
      <c r="I46" s="100">
        <v>29.4</v>
      </c>
    </row>
    <row r="47" spans="1:9">
      <c r="A47" s="132">
        <f>'Q.6 Rand()'!R48</f>
        <v>2</v>
      </c>
      <c r="B47" s="132">
        <f>'Q.6 Rand()'!S48</f>
        <v>40.9</v>
      </c>
      <c r="D47" s="100">
        <v>23</v>
      </c>
      <c r="E47" s="100">
        <v>29.697419540612444</v>
      </c>
      <c r="F47" s="100">
        <v>-6.6974195406124437</v>
      </c>
      <c r="H47" s="100">
        <v>27.439024390243901</v>
      </c>
      <c r="I47" s="100">
        <v>29.5</v>
      </c>
    </row>
    <row r="48" spans="1:9">
      <c r="A48" s="132">
        <f>'Q.6 Rand()'!R49</f>
        <v>5.3</v>
      </c>
      <c r="B48" s="132">
        <f>'Q.6 Rand()'!S49</f>
        <v>29</v>
      </c>
      <c r="D48" s="100">
        <v>24</v>
      </c>
      <c r="E48" s="100">
        <v>34.799048997906795</v>
      </c>
      <c r="F48" s="100">
        <v>-0.77024899790679768</v>
      </c>
      <c r="H48" s="100">
        <v>28.658536585365852</v>
      </c>
      <c r="I48" s="100">
        <v>29.837800000000001</v>
      </c>
    </row>
    <row r="49" spans="1:9">
      <c r="A49" s="132">
        <f>'Q.6 Rand()'!R50</f>
        <v>3</v>
      </c>
      <c r="B49" s="132">
        <f>'Q.6 Rand()'!S50</f>
        <v>37.425899999999999</v>
      </c>
      <c r="D49" s="100">
        <v>25</v>
      </c>
      <c r="E49" s="100">
        <v>33.871480005671458</v>
      </c>
      <c r="F49" s="100">
        <v>-3.4714800056714594</v>
      </c>
      <c r="H49" s="100">
        <v>29.878048780487802</v>
      </c>
      <c r="I49" s="100">
        <v>30.4</v>
      </c>
    </row>
    <row r="50" spans="1:9">
      <c r="A50" s="132">
        <f>'Q.6 Rand()'!R51</f>
        <v>2.5</v>
      </c>
      <c r="B50" s="132">
        <f>'Q.6 Rand()'!S51</f>
        <v>32.799999999999997</v>
      </c>
      <c r="D50" s="100">
        <v>26</v>
      </c>
      <c r="E50" s="100">
        <v>41.755816439671811</v>
      </c>
      <c r="F50" s="100">
        <v>1.7441835603281888</v>
      </c>
      <c r="H50" s="100">
        <v>31.097560975609756</v>
      </c>
      <c r="I50" s="100">
        <v>31.2</v>
      </c>
    </row>
    <row r="51" spans="1:9">
      <c r="A51" s="132">
        <f>'Q.6 Rand()'!R52</f>
        <v>3.8</v>
      </c>
      <c r="B51" s="132">
        <f>'Q.6 Rand()'!S52</f>
        <v>37.066600000000001</v>
      </c>
      <c r="D51" s="100">
        <v>27</v>
      </c>
      <c r="E51" s="100">
        <v>23.204436594965088</v>
      </c>
      <c r="F51" s="100">
        <v>-1.7310365949650866</v>
      </c>
      <c r="H51" s="100">
        <v>32.31707317073171</v>
      </c>
      <c r="I51" s="100">
        <v>31.227399999999999</v>
      </c>
    </row>
    <row r="52" spans="1:9">
      <c r="A52" s="132">
        <f>'Q.6 Rand()'!R53</f>
        <v>3</v>
      </c>
      <c r="B52" s="132">
        <f>'Q.6 Rand()'!S53</f>
        <v>31.302499999999998</v>
      </c>
      <c r="D52" s="100">
        <v>28</v>
      </c>
      <c r="E52" s="100">
        <v>37.117971478495129</v>
      </c>
      <c r="F52" s="100">
        <v>-4.8319714784951273</v>
      </c>
      <c r="H52" s="100">
        <v>33.536585365853661</v>
      </c>
      <c r="I52" s="100">
        <v>31.302499999999998</v>
      </c>
    </row>
    <row r="53" spans="1:9">
      <c r="A53" s="132">
        <f>'Q.6 Rand()'!R54</f>
        <v>3.4</v>
      </c>
      <c r="B53" s="132">
        <f>'Q.6 Rand()'!S54</f>
        <v>41.347000000000001</v>
      </c>
      <c r="D53" s="100">
        <v>29</v>
      </c>
      <c r="E53" s="100">
        <v>37.117971478495129</v>
      </c>
      <c r="F53" s="100">
        <v>-0.64417147849513157</v>
      </c>
      <c r="H53" s="100">
        <v>34.756097560975611</v>
      </c>
      <c r="I53" s="100">
        <v>31.366900000000001</v>
      </c>
    </row>
    <row r="54" spans="1:9">
      <c r="A54" s="132">
        <f>'Q.6 Rand()'!R55</f>
        <v>3</v>
      </c>
      <c r="B54" s="132">
        <f>'Q.6 Rand()'!S55</f>
        <v>35.496600000000001</v>
      </c>
      <c r="D54" s="100">
        <v>30</v>
      </c>
      <c r="E54" s="100">
        <v>41.755816439671811</v>
      </c>
      <c r="F54" s="100">
        <v>1.2174835603281906</v>
      </c>
      <c r="H54" s="100">
        <v>35.975609756097562</v>
      </c>
      <c r="I54" s="100">
        <v>31.4</v>
      </c>
    </row>
    <row r="55" spans="1:9">
      <c r="A55" s="132">
        <f>'Q.6 Rand()'!R56</f>
        <v>3</v>
      </c>
      <c r="B55" s="132">
        <f>'Q.6 Rand()'!S56</f>
        <v>31.5</v>
      </c>
      <c r="D55" s="100">
        <v>31</v>
      </c>
      <c r="E55" s="100">
        <v>39.43689395908347</v>
      </c>
      <c r="F55" s="100">
        <v>-8.0699939590834688</v>
      </c>
      <c r="H55" s="100">
        <v>37.195121951219512</v>
      </c>
      <c r="I55" s="100">
        <v>31.5</v>
      </c>
    </row>
    <row r="56" spans="1:9">
      <c r="A56" s="132">
        <f>'Q.6 Rand()'!R57</f>
        <v>6.8</v>
      </c>
      <c r="B56" s="132">
        <f>'Q.6 Rand()'!S57</f>
        <v>17.7</v>
      </c>
      <c r="D56" s="100">
        <v>32</v>
      </c>
      <c r="E56" s="100">
        <v>39.43689395908347</v>
      </c>
      <c r="F56" s="100">
        <v>-1.4568939590834731</v>
      </c>
      <c r="H56" s="100">
        <v>38.414634146341463</v>
      </c>
      <c r="I56" s="100">
        <v>32.286000000000001</v>
      </c>
    </row>
    <row r="57" spans="1:9">
      <c r="A57" s="132">
        <f>'Q.6 Rand()'!R58</f>
        <v>6.2</v>
      </c>
      <c r="B57" s="132">
        <f>'Q.6 Rand()'!S58</f>
        <v>24.2</v>
      </c>
      <c r="D57" s="100">
        <v>33</v>
      </c>
      <c r="E57" s="100">
        <v>25.987143571671098</v>
      </c>
      <c r="F57" s="100">
        <v>-4.3459435716710964</v>
      </c>
      <c r="H57" s="100">
        <v>39.634146341463413</v>
      </c>
      <c r="I57" s="100">
        <v>32.299999999999997</v>
      </c>
    </row>
    <row r="58" spans="1:9">
      <c r="A58" s="132">
        <f>'Q.6 Rand()'!R59</f>
        <v>2</v>
      </c>
      <c r="B58" s="132">
        <f>'Q.6 Rand()'!S59</f>
        <v>44.7</v>
      </c>
      <c r="D58" s="100">
        <v>34</v>
      </c>
      <c r="E58" s="100">
        <v>33.40769550955379</v>
      </c>
      <c r="F58" s="100">
        <v>2.6200044904462132</v>
      </c>
      <c r="H58" s="100">
        <v>40.853658536585364</v>
      </c>
      <c r="I58" s="100">
        <v>32.4</v>
      </c>
    </row>
    <row r="59" spans="1:9">
      <c r="A59" s="132">
        <f>'Q.6 Rand()'!R60</f>
        <v>1.8</v>
      </c>
      <c r="B59" s="132">
        <f>'Q.6 Rand()'!S60</f>
        <v>50.8</v>
      </c>
      <c r="D59" s="100">
        <v>35</v>
      </c>
      <c r="E59" s="100">
        <v>33.871480005671458</v>
      </c>
      <c r="F59" s="100">
        <v>1.2913199943285392</v>
      </c>
      <c r="H59" s="100">
        <v>42.073170731707314</v>
      </c>
      <c r="I59" s="100">
        <v>32.4</v>
      </c>
    </row>
    <row r="60" spans="1:9">
      <c r="A60" s="132">
        <f>'Q.6 Rand()'!R61</f>
        <v>5.4</v>
      </c>
      <c r="B60" s="132">
        <f>'Q.6 Rand()'!S61</f>
        <v>20.6</v>
      </c>
      <c r="D60" s="100">
        <v>36</v>
      </c>
      <c r="E60" s="100">
        <v>23.204436594965088</v>
      </c>
      <c r="F60" s="100">
        <v>1.4955634050349111</v>
      </c>
      <c r="H60" s="100">
        <v>43.292682926829265</v>
      </c>
      <c r="I60" s="100">
        <v>32.799999999999997</v>
      </c>
    </row>
    <row r="61" spans="1:9">
      <c r="A61" s="132">
        <f>'Q.6 Rand()'!R62</f>
        <v>2</v>
      </c>
      <c r="B61" s="132">
        <f>'Q.6 Rand()'!S62</f>
        <v>43.2</v>
      </c>
      <c r="D61" s="100">
        <v>37</v>
      </c>
      <c r="E61" s="100">
        <v>34.335264501789126</v>
      </c>
      <c r="F61" s="100">
        <v>-2.0352645017891291</v>
      </c>
      <c r="H61" s="100">
        <v>44.512195121951216</v>
      </c>
      <c r="I61" s="100">
        <v>32.799999999999997</v>
      </c>
    </row>
    <row r="62" spans="1:9">
      <c r="A62" s="132">
        <f>'Q.6 Rand()'!R63</f>
        <v>6</v>
      </c>
      <c r="B62" s="132">
        <f>'Q.6 Rand()'!S63</f>
        <v>21.473400000000002</v>
      </c>
      <c r="D62" s="100">
        <v>38</v>
      </c>
      <c r="E62" s="100">
        <v>33.871480005671458</v>
      </c>
      <c r="F62" s="100">
        <v>2.8813199943285426</v>
      </c>
      <c r="H62" s="100">
        <v>45.731707317073166</v>
      </c>
      <c r="I62" s="100">
        <v>33.128100000000003</v>
      </c>
    </row>
    <row r="63" spans="1:9">
      <c r="A63" s="132">
        <f>'Q.6 Rand()'!R64</f>
        <v>6</v>
      </c>
      <c r="B63" s="132">
        <f>'Q.6 Rand()'!S64</f>
        <v>32.799999999999997</v>
      </c>
      <c r="D63" s="100">
        <v>39</v>
      </c>
      <c r="E63" s="100">
        <v>36.190402486259792</v>
      </c>
      <c r="F63" s="100">
        <v>-1.6480024862597915</v>
      </c>
      <c r="H63" s="100">
        <v>46.951219512195124</v>
      </c>
      <c r="I63" s="100">
        <v>33.200000000000003</v>
      </c>
    </row>
    <row r="64" spans="1:9">
      <c r="A64" s="132">
        <f>'Q.6 Rand()'!R65</f>
        <v>4</v>
      </c>
      <c r="B64" s="132">
        <f>'Q.6 Rand()'!S65</f>
        <v>29.4</v>
      </c>
      <c r="D64" s="100">
        <v>40</v>
      </c>
      <c r="E64" s="100">
        <v>34.335264501789126</v>
      </c>
      <c r="F64" s="100">
        <v>0.66473549821087374</v>
      </c>
      <c r="H64" s="100">
        <v>48.170731707317074</v>
      </c>
      <c r="I64" s="100">
        <v>33.299999999999997</v>
      </c>
    </row>
    <row r="65" spans="1:9">
      <c r="A65" s="132">
        <f>'Q.6 Rand()'!R66</f>
        <v>1.6</v>
      </c>
      <c r="B65" s="132">
        <f>'Q.6 Rand()'!S66</f>
        <v>56.420400000000001</v>
      </c>
      <c r="D65" s="100">
        <v>41</v>
      </c>
      <c r="E65" s="100">
        <v>39.43689395908347</v>
      </c>
      <c r="F65" s="100">
        <v>-5.0027939590834691</v>
      </c>
      <c r="H65" s="100">
        <v>49.390243902439025</v>
      </c>
      <c r="I65" s="100">
        <v>33.603200000000001</v>
      </c>
    </row>
    <row r="66" spans="1:9">
      <c r="A66" s="132">
        <f>'Q.6 Rand()'!R67</f>
        <v>3.6</v>
      </c>
      <c r="B66" s="132">
        <f>'Q.6 Rand()'!S67</f>
        <v>31.2</v>
      </c>
      <c r="D66" s="100">
        <v>42</v>
      </c>
      <c r="E66" s="100">
        <v>25.987143571671098</v>
      </c>
      <c r="F66" s="100">
        <v>-4.7871435716710984</v>
      </c>
      <c r="H66" s="100">
        <v>50.609756097560975</v>
      </c>
      <c r="I66" s="100">
        <v>34.028799999999997</v>
      </c>
    </row>
    <row r="67" spans="1:9">
      <c r="A67" s="132">
        <f>'Q.6 Rand()'!R68</f>
        <v>4.4000000000000004</v>
      </c>
      <c r="B67" s="132">
        <f>'Q.6 Rand()'!S68</f>
        <v>29.837800000000001</v>
      </c>
      <c r="D67" s="100">
        <v>43</v>
      </c>
      <c r="E67" s="100">
        <v>23.204436594965088</v>
      </c>
      <c r="F67" s="100">
        <v>9.1955634050349104</v>
      </c>
      <c r="H67" s="100">
        <v>51.829268292682926</v>
      </c>
      <c r="I67" s="100">
        <v>34.4</v>
      </c>
    </row>
    <row r="68" spans="1:9">
      <c r="A68" s="132">
        <f>'Q.6 Rand()'!R69</f>
        <v>6.4</v>
      </c>
      <c r="B68" s="132">
        <f>'Q.6 Rand()'!S69</f>
        <v>31.4</v>
      </c>
      <c r="D68" s="100">
        <v>44</v>
      </c>
      <c r="E68" s="100">
        <v>37.117971478495129</v>
      </c>
      <c r="F68" s="100">
        <v>-1.3179714784951315</v>
      </c>
      <c r="H68" s="100">
        <v>53.048780487804876</v>
      </c>
      <c r="I68" s="100">
        <v>34.4</v>
      </c>
    </row>
    <row r="69" spans="1:9">
      <c r="A69" s="132">
        <f>'Q.6 Rand()'!R70</f>
        <v>5.7</v>
      </c>
      <c r="B69" s="132">
        <f>'Q.6 Rand()'!S70</f>
        <v>27.2</v>
      </c>
      <c r="D69" s="100">
        <v>45</v>
      </c>
      <c r="E69" s="100">
        <v>34.335264501789126</v>
      </c>
      <c r="F69" s="100">
        <v>3.5647354982108723</v>
      </c>
      <c r="H69" s="100">
        <v>54.268292682926827</v>
      </c>
      <c r="I69" s="100">
        <v>34.434100000000001</v>
      </c>
    </row>
    <row r="70" spans="1:9">
      <c r="A70" s="132">
        <f>'Q.6 Rand()'!R71</f>
        <v>1.6</v>
      </c>
      <c r="B70" s="132">
        <f>'Q.6 Rand()'!S71</f>
        <v>41.7</v>
      </c>
      <c r="D70" s="100">
        <v>46</v>
      </c>
      <c r="E70" s="100">
        <v>41.755816439671811</v>
      </c>
      <c r="F70" s="100">
        <v>-0.85581643967181265</v>
      </c>
      <c r="H70" s="100">
        <v>55.487804878048777</v>
      </c>
      <c r="I70" s="100">
        <v>34.434100000000001</v>
      </c>
    </row>
    <row r="71" spans="1:9">
      <c r="A71" s="132">
        <f>'Q.6 Rand()'!R72</f>
        <v>6</v>
      </c>
      <c r="B71" s="132">
        <f>'Q.6 Rand()'!S72</f>
        <v>32.4</v>
      </c>
      <c r="D71" s="100">
        <v>47</v>
      </c>
      <c r="E71" s="100">
        <v>26.450928067788766</v>
      </c>
      <c r="F71" s="100">
        <v>2.5490719322112341</v>
      </c>
      <c r="H71" s="100">
        <v>56.707317073170728</v>
      </c>
      <c r="I71" s="100">
        <v>34.542400000000001</v>
      </c>
    </row>
    <row r="72" spans="1:9">
      <c r="A72" s="132">
        <f>'Q.6 Rand()'!R73</f>
        <v>5.7</v>
      </c>
      <c r="B72" s="132">
        <f>'Q.6 Rand()'!S73</f>
        <v>27.2</v>
      </c>
      <c r="D72" s="100">
        <v>48</v>
      </c>
      <c r="E72" s="100">
        <v>37.117971478495129</v>
      </c>
      <c r="F72" s="100">
        <v>0.30792852150486993</v>
      </c>
      <c r="H72" s="100">
        <v>57.926829268292678</v>
      </c>
      <c r="I72" s="100">
        <v>34.762999999999998</v>
      </c>
    </row>
    <row r="73" spans="1:9">
      <c r="A73" s="132">
        <f>'Q.6 Rand()'!R74</f>
        <v>3</v>
      </c>
      <c r="B73" s="132">
        <f>'Q.6 Rand()'!S74</f>
        <v>33.200000000000003</v>
      </c>
      <c r="D73" s="100">
        <v>49</v>
      </c>
      <c r="E73" s="100">
        <v>39.43689395908347</v>
      </c>
      <c r="F73" s="100">
        <v>-6.6368939590834728</v>
      </c>
      <c r="H73" s="100">
        <v>59.146341463414629</v>
      </c>
      <c r="I73" s="100">
        <v>34.767499999999998</v>
      </c>
    </row>
    <row r="74" spans="1:9">
      <c r="A74" s="132">
        <f>'Q.6 Rand()'!R75</f>
        <v>2.5</v>
      </c>
      <c r="B74" s="132">
        <f>'Q.6 Rand()'!S75</f>
        <v>37.6</v>
      </c>
      <c r="D74" s="100">
        <v>50</v>
      </c>
      <c r="E74" s="100">
        <v>33.40769550955379</v>
      </c>
      <c r="F74" s="100">
        <v>3.6589044904462114</v>
      </c>
      <c r="H74" s="100">
        <v>60.365853658536587</v>
      </c>
      <c r="I74" s="100">
        <v>35</v>
      </c>
    </row>
    <row r="75" spans="1:9">
      <c r="A75" s="132">
        <f>'Q.6 Rand()'!R76</f>
        <v>2</v>
      </c>
      <c r="B75" s="132">
        <f>'Q.6 Rand()'!S76</f>
        <v>46.9</v>
      </c>
      <c r="D75" s="100">
        <v>51</v>
      </c>
      <c r="E75" s="100">
        <v>37.117971478495129</v>
      </c>
      <c r="F75" s="100">
        <v>-5.8154714784951302</v>
      </c>
      <c r="H75" s="100">
        <v>61.585365853658537</v>
      </c>
      <c r="I75" s="100">
        <v>35.162799999999997</v>
      </c>
    </row>
    <row r="76" spans="1:9">
      <c r="A76" s="132">
        <f>'Q.6 Rand()'!R77</f>
        <v>5</v>
      </c>
      <c r="B76" s="132">
        <f>'Q.6 Rand()'!S77</f>
        <v>27.4375</v>
      </c>
      <c r="D76" s="100">
        <v>52</v>
      </c>
      <c r="E76" s="100">
        <v>35.262833494024456</v>
      </c>
      <c r="F76" s="100">
        <v>6.0841665059755456</v>
      </c>
      <c r="H76" s="100">
        <v>62.804878048780488</v>
      </c>
      <c r="I76" s="100">
        <v>35.435400000000001</v>
      </c>
    </row>
    <row r="77" spans="1:9">
      <c r="A77" s="132">
        <f>'Q.6 Rand()'!R78</f>
        <v>3</v>
      </c>
      <c r="B77" s="132">
        <f>'Q.6 Rand()'!S78</f>
        <v>34.4</v>
      </c>
      <c r="D77" s="100">
        <v>53</v>
      </c>
      <c r="E77" s="100">
        <v>37.117971478495129</v>
      </c>
      <c r="F77" s="100">
        <v>-1.6213714784951279</v>
      </c>
      <c r="H77" s="100">
        <v>64.024390243902445</v>
      </c>
      <c r="I77" s="100">
        <v>35.496600000000001</v>
      </c>
    </row>
    <row r="78" spans="1:9">
      <c r="A78" s="132">
        <f>'Q.6 Rand()'!R79</f>
        <v>3.5</v>
      </c>
      <c r="B78" s="132">
        <f>'Q.6 Rand()'!S79</f>
        <v>34.762999999999998</v>
      </c>
      <c r="D78" s="100">
        <v>54</v>
      </c>
      <c r="E78" s="100">
        <v>37.117971478495129</v>
      </c>
      <c r="F78" s="100">
        <v>-5.6179714784951287</v>
      </c>
      <c r="H78" s="100">
        <v>65.243902439024382</v>
      </c>
      <c r="I78" s="100">
        <v>35.496600000000001</v>
      </c>
    </row>
    <row r="79" spans="1:9">
      <c r="A79" s="132">
        <f>'Q.6 Rand()'!R80</f>
        <v>6</v>
      </c>
      <c r="B79" s="132">
        <f>'Q.6 Rand()'!S80</f>
        <v>21.651499999999999</v>
      </c>
      <c r="D79" s="100">
        <v>55</v>
      </c>
      <c r="E79" s="100">
        <v>19.494160626023746</v>
      </c>
      <c r="F79" s="100">
        <v>-1.7941606260237464</v>
      </c>
      <c r="H79" s="100">
        <v>66.463414634146346</v>
      </c>
      <c r="I79" s="100">
        <v>35.5</v>
      </c>
    </row>
    <row r="80" spans="1:9">
      <c r="A80" s="132">
        <f>'Q.6 Rand()'!R81</f>
        <v>1.4</v>
      </c>
      <c r="B80" s="132">
        <f>'Q.6 Rand()'!S81</f>
        <v>59.7</v>
      </c>
      <c r="D80" s="100">
        <v>56</v>
      </c>
      <c r="E80" s="100">
        <v>22.276867602729752</v>
      </c>
      <c r="F80" s="100">
        <v>1.9231323972702477</v>
      </c>
      <c r="H80" s="100">
        <v>67.682926829268297</v>
      </c>
      <c r="I80" s="100">
        <v>35.505200000000002</v>
      </c>
    </row>
    <row r="81" spans="1:9">
      <c r="A81" s="132">
        <f>'Q.6 Rand()'!R82</f>
        <v>3</v>
      </c>
      <c r="B81" s="132">
        <f>'Q.6 Rand()'!S82</f>
        <v>33.299999999999997</v>
      </c>
      <c r="D81" s="100">
        <v>57</v>
      </c>
      <c r="E81" s="100">
        <v>41.755816439671811</v>
      </c>
      <c r="F81" s="100">
        <v>2.9441835603281916</v>
      </c>
      <c r="H81" s="100">
        <v>68.902439024390247</v>
      </c>
      <c r="I81" s="100">
        <v>35.799999999999997</v>
      </c>
    </row>
    <row r="82" spans="1:9">
      <c r="A82" s="132">
        <f>'Q.6 Rand()'!R83</f>
        <v>3.6</v>
      </c>
      <c r="B82" s="132">
        <f>'Q.6 Rand()'!S83</f>
        <v>29.5</v>
      </c>
      <c r="D82" s="100">
        <v>58</v>
      </c>
      <c r="E82" s="100">
        <v>42.683385431907148</v>
      </c>
      <c r="F82" s="100">
        <v>8.1166145680928494</v>
      </c>
      <c r="H82" s="100">
        <v>70.121951219512198</v>
      </c>
      <c r="I82" s="100">
        <v>36.027700000000003</v>
      </c>
    </row>
    <row r="83" spans="1:9">
      <c r="A83" s="132">
        <f>'Q.6 Rand()'!R84</f>
        <v>4.5999999999999996</v>
      </c>
      <c r="B83" s="132">
        <f>'Q.6 Rand()'!S84</f>
        <v>24.3</v>
      </c>
      <c r="D83" s="100">
        <v>59</v>
      </c>
      <c r="E83" s="100">
        <v>25.987143571671098</v>
      </c>
      <c r="F83" s="100">
        <v>-5.3871435716710963</v>
      </c>
      <c r="H83" s="100">
        <v>71.341463414634148</v>
      </c>
      <c r="I83" s="100">
        <v>36.473799999999997</v>
      </c>
    </row>
    <row r="84" spans="1:9">
      <c r="A84" s="133">
        <f>SUM(A2:A83)</f>
        <v>304.3</v>
      </c>
      <c r="B84" s="133">
        <f t="shared" ref="B84" si="0">SUM(B2:B83)</f>
        <v>2773.2873</v>
      </c>
      <c r="D84" s="100">
        <v>60</v>
      </c>
      <c r="E84" s="100">
        <v>41.755816439671811</v>
      </c>
      <c r="F84" s="100">
        <v>1.4441835603281916</v>
      </c>
      <c r="H84" s="100">
        <v>72.560975609756099</v>
      </c>
      <c r="I84" s="100">
        <v>36.752800000000001</v>
      </c>
    </row>
    <row r="85" spans="1:9">
      <c r="A85" s="132">
        <f>COUNT(A2:A83)</f>
        <v>82</v>
      </c>
      <c r="B85" s="132">
        <f t="shared" ref="B85" si="1">COUNT(B2:B83)</f>
        <v>82</v>
      </c>
      <c r="D85" s="100">
        <v>61</v>
      </c>
      <c r="E85" s="100">
        <v>23.204436594965088</v>
      </c>
      <c r="F85" s="100">
        <v>-1.7310365949650866</v>
      </c>
      <c r="H85" s="100">
        <v>73.780487804878049</v>
      </c>
      <c r="I85" s="100">
        <v>36.920200000000001</v>
      </c>
    </row>
    <row r="86" spans="1:9">
      <c r="A86" s="131"/>
      <c r="B86" s="131"/>
      <c r="D86" s="100">
        <v>62</v>
      </c>
      <c r="E86" s="100">
        <v>23.204436594965088</v>
      </c>
      <c r="F86" s="100">
        <v>9.595563405034909</v>
      </c>
      <c r="H86" s="100">
        <v>75</v>
      </c>
      <c r="I86" s="100">
        <v>37</v>
      </c>
    </row>
    <row r="87" spans="1:9">
      <c r="D87" s="100">
        <v>63</v>
      </c>
      <c r="E87" s="100">
        <v>32.480126517318453</v>
      </c>
      <c r="F87" s="100">
        <v>-3.0801265173184547</v>
      </c>
      <c r="H87" s="100">
        <v>76.219512195121951</v>
      </c>
      <c r="I87" s="100">
        <v>37.066600000000001</v>
      </c>
    </row>
    <row r="88" spans="1:9">
      <c r="D88" s="100">
        <v>64</v>
      </c>
      <c r="E88" s="100">
        <v>43.610954424142477</v>
      </c>
      <c r="F88" s="100">
        <v>12.809445575857524</v>
      </c>
      <c r="H88" s="100">
        <v>77.439024390243901</v>
      </c>
      <c r="I88" s="100">
        <v>37.425899999999999</v>
      </c>
    </row>
    <row r="89" spans="1:9">
      <c r="D89" s="100">
        <v>65</v>
      </c>
      <c r="E89" s="100">
        <v>34.335264501789126</v>
      </c>
      <c r="F89" s="100">
        <v>-3.135264501789127</v>
      </c>
      <c r="H89" s="100">
        <v>78.658536585365852</v>
      </c>
      <c r="I89" s="100">
        <v>37.6</v>
      </c>
    </row>
    <row r="90" spans="1:9">
      <c r="D90" s="100">
        <v>66</v>
      </c>
      <c r="E90" s="100">
        <v>30.624988532847777</v>
      </c>
      <c r="F90" s="100">
        <v>-0.78718853284777524</v>
      </c>
      <c r="H90" s="100">
        <v>79.878048780487802</v>
      </c>
      <c r="I90" s="100">
        <v>37.9</v>
      </c>
    </row>
    <row r="91" spans="1:9">
      <c r="D91" s="100">
        <v>67</v>
      </c>
      <c r="E91" s="100">
        <v>21.349298610494415</v>
      </c>
      <c r="F91" s="100">
        <v>10.050701389505583</v>
      </c>
      <c r="H91" s="100">
        <v>81.097560975609753</v>
      </c>
      <c r="I91" s="100">
        <v>37.979999999999997</v>
      </c>
    </row>
    <row r="92" spans="1:9">
      <c r="D92" s="100">
        <v>68</v>
      </c>
      <c r="E92" s="100">
        <v>24.595790083318093</v>
      </c>
      <c r="F92" s="100">
        <v>2.6042099166819064</v>
      </c>
      <c r="H92" s="100">
        <v>82.317073170731703</v>
      </c>
      <c r="I92" s="100">
        <v>40.9</v>
      </c>
    </row>
    <row r="93" spans="1:9">
      <c r="D93" s="100">
        <v>69</v>
      </c>
      <c r="E93" s="100">
        <v>43.610954424142477</v>
      </c>
      <c r="F93" s="100">
        <v>-1.9109544241424743</v>
      </c>
      <c r="H93" s="100">
        <v>83.536585365853654</v>
      </c>
      <c r="I93" s="100">
        <v>41.347000000000001</v>
      </c>
    </row>
    <row r="94" spans="1:9">
      <c r="D94" s="100">
        <v>70</v>
      </c>
      <c r="E94" s="100">
        <v>23.204436594965088</v>
      </c>
      <c r="F94" s="100">
        <v>9.1955634050349104</v>
      </c>
      <c r="H94" s="100">
        <v>84.756097560975604</v>
      </c>
      <c r="I94" s="100">
        <v>41.7</v>
      </c>
    </row>
    <row r="95" spans="1:9">
      <c r="D95" s="100">
        <v>71</v>
      </c>
      <c r="E95" s="100">
        <v>24.595790083318093</v>
      </c>
      <c r="F95" s="100">
        <v>2.6042099166819064</v>
      </c>
      <c r="H95" s="100">
        <v>85.975609756097555</v>
      </c>
      <c r="I95" s="100">
        <v>42.5</v>
      </c>
    </row>
    <row r="96" spans="1:9">
      <c r="D96" s="100">
        <v>72</v>
      </c>
      <c r="E96" s="100">
        <v>37.117971478495129</v>
      </c>
      <c r="F96" s="100">
        <v>-3.9179714784951258</v>
      </c>
      <c r="H96" s="100">
        <v>87.195121951219505</v>
      </c>
      <c r="I96" s="100">
        <v>42.973300000000002</v>
      </c>
    </row>
    <row r="97" spans="4:9">
      <c r="D97" s="100">
        <v>73</v>
      </c>
      <c r="E97" s="100">
        <v>39.43689395908347</v>
      </c>
      <c r="F97" s="100">
        <v>-1.8368939590834685</v>
      </c>
      <c r="H97" s="100">
        <v>88.414634146341456</v>
      </c>
      <c r="I97" s="100">
        <v>43.2</v>
      </c>
    </row>
    <row r="98" spans="4:9">
      <c r="D98" s="100">
        <v>74</v>
      </c>
      <c r="E98" s="100">
        <v>41.755816439671811</v>
      </c>
      <c r="F98" s="100">
        <v>5.1441835603281874</v>
      </c>
      <c r="H98" s="100">
        <v>89.634146341463406</v>
      </c>
      <c r="I98" s="100">
        <v>43.5</v>
      </c>
    </row>
    <row r="99" spans="4:9">
      <c r="D99" s="100">
        <v>75</v>
      </c>
      <c r="E99" s="100">
        <v>27.842281556141771</v>
      </c>
      <c r="F99" s="100">
        <v>-0.40478155614177069</v>
      </c>
      <c r="H99" s="100">
        <v>90.853658536585357</v>
      </c>
      <c r="I99" s="100">
        <v>44.7</v>
      </c>
    </row>
    <row r="100" spans="4:9">
      <c r="D100" s="100">
        <v>76</v>
      </c>
      <c r="E100" s="100">
        <v>37.117971478495129</v>
      </c>
      <c r="F100" s="100">
        <v>-2.7179714784951301</v>
      </c>
      <c r="H100" s="100">
        <v>92.073170731707322</v>
      </c>
      <c r="I100" s="100">
        <v>44.8</v>
      </c>
    </row>
    <row r="101" spans="4:9">
      <c r="D101" s="100">
        <v>77</v>
      </c>
      <c r="E101" s="100">
        <v>34.799048997906795</v>
      </c>
      <c r="F101" s="100">
        <v>-3.6048997906796387E-2</v>
      </c>
      <c r="H101" s="100">
        <v>93.292682926829272</v>
      </c>
      <c r="I101" s="100">
        <v>45.5991</v>
      </c>
    </row>
    <row r="102" spans="4:9">
      <c r="D102" s="100">
        <v>78</v>
      </c>
      <c r="E102" s="100">
        <v>23.204436594965088</v>
      </c>
      <c r="F102" s="100">
        <v>-1.5529365949650895</v>
      </c>
      <c r="H102" s="100">
        <v>94.512195121951223</v>
      </c>
      <c r="I102" s="100">
        <v>46.9</v>
      </c>
    </row>
    <row r="103" spans="4:9">
      <c r="D103" s="100">
        <v>79</v>
      </c>
      <c r="E103" s="100">
        <v>44.538523416377821</v>
      </c>
      <c r="F103" s="100">
        <v>15.161476583622182</v>
      </c>
      <c r="H103" s="100">
        <v>95.731707317073173</v>
      </c>
      <c r="I103" s="100">
        <v>50.8</v>
      </c>
    </row>
    <row r="104" spans="4:9">
      <c r="D104" s="100">
        <v>80</v>
      </c>
      <c r="E104" s="100">
        <v>37.117971478495129</v>
      </c>
      <c r="F104" s="100">
        <v>-3.8179714784951315</v>
      </c>
      <c r="H104" s="100">
        <v>96.951219512195124</v>
      </c>
      <c r="I104" s="100">
        <v>52.749600000000001</v>
      </c>
    </row>
    <row r="105" spans="4:9">
      <c r="D105" s="100">
        <v>81</v>
      </c>
      <c r="E105" s="100">
        <v>34.335264501789126</v>
      </c>
      <c r="F105" s="100">
        <v>-4.8352645017891263</v>
      </c>
      <c r="H105" s="100">
        <v>98.170731707317074</v>
      </c>
      <c r="I105" s="100">
        <v>56.420400000000001</v>
      </c>
    </row>
    <row r="106" spans="4:9" ht="15.75" thickBot="1">
      <c r="D106" s="101">
        <v>82</v>
      </c>
      <c r="E106" s="101">
        <v>29.697419540612444</v>
      </c>
      <c r="F106" s="101">
        <v>-5.397419540612443</v>
      </c>
      <c r="H106" s="101">
        <v>99.390243902439025</v>
      </c>
      <c r="I106" s="101">
        <v>59.7</v>
      </c>
    </row>
  </sheetData>
  <sortState ref="I25:I106">
    <sortCondition ref="I2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6"/>
  <sheetViews>
    <sheetView workbookViewId="0">
      <selection activeCell="H8" sqref="H8"/>
    </sheetView>
  </sheetViews>
  <sheetFormatPr defaultRowHeight="15"/>
  <cols>
    <col min="4" max="4" width="18" bestFit="1" customWidth="1"/>
    <col min="5" max="5" width="14.28515625" bestFit="1" customWidth="1"/>
    <col min="6" max="6" width="14.5703125" bestFit="1" customWidth="1"/>
    <col min="7" max="7" width="12.7109375" bestFit="1" customWidth="1"/>
    <col min="8" max="8" width="20.140625" bestFit="1" customWidth="1"/>
    <col min="9" max="9" width="13.42578125" bestFit="1" customWidth="1"/>
    <col min="10" max="10" width="12" bestFit="1" customWidth="1"/>
    <col min="11" max="11" width="12.7109375" bestFit="1" customWidth="1"/>
    <col min="12" max="12" width="12.5703125" bestFit="1" customWidth="1"/>
  </cols>
  <sheetData>
    <row r="1" spans="1:12">
      <c r="A1" s="58" t="s">
        <v>80</v>
      </c>
      <c r="B1" s="58" t="s">
        <v>81</v>
      </c>
      <c r="D1" t="s">
        <v>38</v>
      </c>
    </row>
    <row r="2" spans="1:12" ht="15.75" thickBot="1">
      <c r="A2" s="134">
        <v>3.5</v>
      </c>
      <c r="B2" s="134">
        <v>34.9</v>
      </c>
    </row>
    <row r="3" spans="1:12">
      <c r="A3" s="134">
        <v>2.5</v>
      </c>
      <c r="B3" s="134">
        <v>37.5899</v>
      </c>
      <c r="D3" s="80" t="s">
        <v>39</v>
      </c>
      <c r="E3" s="80"/>
    </row>
    <row r="4" spans="1:12">
      <c r="A4" s="134">
        <v>1.4</v>
      </c>
      <c r="B4" s="134">
        <v>50.4</v>
      </c>
      <c r="D4" s="100" t="s">
        <v>40</v>
      </c>
      <c r="E4" s="100">
        <v>0.86047442558904064</v>
      </c>
    </row>
    <row r="5" spans="1:12">
      <c r="A5" s="134">
        <v>3.5</v>
      </c>
      <c r="B5" s="134">
        <v>35.799999999999997</v>
      </c>
      <c r="D5" s="100" t="s">
        <v>41</v>
      </c>
      <c r="E5" s="100">
        <v>0.74041623709278936</v>
      </c>
    </row>
    <row r="6" spans="1:12">
      <c r="A6" s="134">
        <v>3</v>
      </c>
      <c r="B6" s="134">
        <v>36.473799999999997</v>
      </c>
      <c r="D6" s="100" t="s">
        <v>42</v>
      </c>
      <c r="E6" s="100">
        <v>0.7371714400564493</v>
      </c>
    </row>
    <row r="7" spans="1:12">
      <c r="A7" s="134">
        <v>2.5</v>
      </c>
      <c r="B7" s="134">
        <v>37.5899</v>
      </c>
      <c r="D7" s="100" t="s">
        <v>43</v>
      </c>
      <c r="E7" s="100">
        <v>5.2341046885381761</v>
      </c>
    </row>
    <row r="8" spans="1:12" ht="15.75" thickBot="1">
      <c r="A8" s="134">
        <v>1.5</v>
      </c>
      <c r="B8" s="134">
        <v>46.5</v>
      </c>
      <c r="D8" s="101" t="s">
        <v>44</v>
      </c>
      <c r="E8" s="101">
        <v>82</v>
      </c>
    </row>
    <row r="9" spans="1:12">
      <c r="A9" s="134">
        <v>3</v>
      </c>
      <c r="B9" s="134">
        <v>35.890999999999998</v>
      </c>
    </row>
    <row r="10" spans="1:12" ht="15.75" thickBot="1">
      <c r="A10" s="134">
        <v>1.6</v>
      </c>
      <c r="B10" s="134">
        <v>49.949399999999997</v>
      </c>
      <c r="D10" t="s">
        <v>45</v>
      </c>
    </row>
    <row r="11" spans="1:12">
      <c r="A11" s="134">
        <v>4.4000000000000004</v>
      </c>
      <c r="B11" s="134">
        <v>28.1647</v>
      </c>
      <c r="D11" s="79"/>
      <c r="E11" s="79" t="s">
        <v>49</v>
      </c>
      <c r="F11" s="79" t="s">
        <v>50</v>
      </c>
      <c r="G11" s="79" t="s">
        <v>51</v>
      </c>
      <c r="H11" s="79" t="s">
        <v>52</v>
      </c>
      <c r="I11" s="79" t="s">
        <v>53</v>
      </c>
    </row>
    <row r="12" spans="1:12">
      <c r="A12" s="134">
        <v>5</v>
      </c>
      <c r="B12" s="134">
        <v>24.7928</v>
      </c>
      <c r="D12" s="100" t="s">
        <v>46</v>
      </c>
      <c r="E12" s="100">
        <v>1</v>
      </c>
      <c r="F12" s="100">
        <v>6251.3412523489333</v>
      </c>
      <c r="G12" s="100">
        <v>6251.3412523489333</v>
      </c>
      <c r="H12" s="100">
        <v>228.1856858227159</v>
      </c>
      <c r="I12" s="100">
        <v>3.8332133064693934E-25</v>
      </c>
    </row>
    <row r="13" spans="1:12">
      <c r="A13" s="134">
        <v>6.2</v>
      </c>
      <c r="B13" s="134">
        <v>24.2</v>
      </c>
      <c r="D13" s="100" t="s">
        <v>19</v>
      </c>
      <c r="E13" s="100">
        <v>80</v>
      </c>
      <c r="F13" s="100">
        <v>2191.6681512461855</v>
      </c>
      <c r="G13" s="100">
        <v>27.395851890577319</v>
      </c>
      <c r="H13" s="100"/>
      <c r="I13" s="100"/>
    </row>
    <row r="14" spans="1:12" ht="15.75" thickBot="1">
      <c r="A14" s="134">
        <v>3</v>
      </c>
      <c r="B14" s="134">
        <v>39.700000000000003</v>
      </c>
      <c r="D14" s="101" t="s">
        <v>47</v>
      </c>
      <c r="E14" s="101">
        <v>81</v>
      </c>
      <c r="F14" s="101">
        <v>8443.0094035951188</v>
      </c>
      <c r="G14" s="101"/>
      <c r="H14" s="101"/>
      <c r="I14" s="101"/>
    </row>
    <row r="15" spans="1:12" ht="15.75" thickBot="1">
      <c r="A15" s="134">
        <v>4.5999999999999996</v>
      </c>
      <c r="B15" s="134">
        <v>33.9</v>
      </c>
    </row>
    <row r="16" spans="1:12">
      <c r="A16" s="134">
        <v>4</v>
      </c>
      <c r="B16" s="134">
        <v>27.9711</v>
      </c>
      <c r="D16" s="79"/>
      <c r="E16" s="79" t="s">
        <v>54</v>
      </c>
      <c r="F16" s="79" t="s">
        <v>43</v>
      </c>
      <c r="G16" s="79" t="s">
        <v>55</v>
      </c>
      <c r="H16" s="79" t="s">
        <v>56</v>
      </c>
      <c r="I16" s="79" t="s">
        <v>57</v>
      </c>
      <c r="J16" s="79" t="s">
        <v>58</v>
      </c>
      <c r="K16" s="79" t="s">
        <v>59</v>
      </c>
      <c r="L16" s="79" t="s">
        <v>60</v>
      </c>
    </row>
    <row r="17" spans="1:12">
      <c r="A17" s="134">
        <v>6</v>
      </c>
      <c r="B17" s="134">
        <v>21.8</v>
      </c>
      <c r="D17" s="100" t="s">
        <v>48</v>
      </c>
      <c r="E17" s="100">
        <v>57.191623618692404</v>
      </c>
      <c r="F17" s="100">
        <v>1.5007690498494508</v>
      </c>
      <c r="G17" s="100">
        <v>38.108211003171718</v>
      </c>
      <c r="H17" s="100">
        <v>4.6877750983250196E-53</v>
      </c>
      <c r="I17" s="100">
        <v>54.204998028836222</v>
      </c>
      <c r="J17" s="100">
        <v>60.178249208548586</v>
      </c>
      <c r="K17" s="100">
        <v>54.204998028836222</v>
      </c>
      <c r="L17" s="100">
        <v>60.178249208548586</v>
      </c>
    </row>
    <row r="18" spans="1:12" ht="15.75" thickBot="1">
      <c r="A18" s="134">
        <v>2.4</v>
      </c>
      <c r="B18" s="134">
        <v>43.431899999999999</v>
      </c>
      <c r="D18" s="101" t="s">
        <v>80</v>
      </c>
      <c r="E18" s="101">
        <v>-6.0986908522317016</v>
      </c>
      <c r="F18" s="101">
        <v>0.40373130022736964</v>
      </c>
      <c r="G18" s="101">
        <v>-15.105816291174595</v>
      </c>
      <c r="H18" s="101">
        <v>3.8332133064694756E-25</v>
      </c>
      <c r="I18" s="101">
        <v>-6.9021417448296871</v>
      </c>
      <c r="J18" s="101">
        <v>-5.2952399596337161</v>
      </c>
      <c r="K18" s="101">
        <v>-6.9021417448296871</v>
      </c>
      <c r="L18" s="101">
        <v>-5.2952399596337161</v>
      </c>
    </row>
    <row r="19" spans="1:12">
      <c r="A19" s="134">
        <v>5.7</v>
      </c>
      <c r="B19" s="134">
        <v>34.5</v>
      </c>
    </row>
    <row r="20" spans="1:12">
      <c r="A20" s="134">
        <v>1.5</v>
      </c>
      <c r="B20" s="134">
        <v>55.644599999999997</v>
      </c>
    </row>
    <row r="21" spans="1:12">
      <c r="A21" s="134">
        <v>2</v>
      </c>
      <c r="B21" s="134">
        <v>51.787599999999998</v>
      </c>
    </row>
    <row r="22" spans="1:12">
      <c r="A22" s="134">
        <v>3</v>
      </c>
      <c r="B22" s="134">
        <v>32.857900000000001</v>
      </c>
      <c r="D22" t="s">
        <v>61</v>
      </c>
      <c r="H22" t="s">
        <v>93</v>
      </c>
    </row>
    <row r="23" spans="1:12" ht="15.75" thickBot="1">
      <c r="A23" s="134">
        <v>4.7</v>
      </c>
      <c r="B23" s="134">
        <v>25.6</v>
      </c>
    </row>
    <row r="24" spans="1:12">
      <c r="A24" s="134">
        <v>6</v>
      </c>
      <c r="B24" s="134">
        <v>21.2</v>
      </c>
      <c r="D24" s="79" t="s">
        <v>62</v>
      </c>
      <c r="E24" s="79" t="s">
        <v>95</v>
      </c>
      <c r="F24" s="79" t="s">
        <v>63</v>
      </c>
      <c r="H24" s="79" t="s">
        <v>94</v>
      </c>
      <c r="I24" s="79" t="s">
        <v>81</v>
      </c>
    </row>
    <row r="25" spans="1:12">
      <c r="A25" s="134">
        <v>6</v>
      </c>
      <c r="B25" s="134">
        <v>25</v>
      </c>
      <c r="D25" s="100">
        <v>1</v>
      </c>
      <c r="E25" s="100">
        <v>35.846205635881446</v>
      </c>
      <c r="F25" s="100">
        <v>-0.9462056358814479</v>
      </c>
      <c r="H25" s="100">
        <v>0.6097560975609756</v>
      </c>
      <c r="I25" s="100">
        <v>19.5139</v>
      </c>
    </row>
    <row r="26" spans="1:12">
      <c r="A26" s="134">
        <v>5.4</v>
      </c>
      <c r="B26" s="134">
        <v>21.8</v>
      </c>
      <c r="D26" s="100">
        <v>2</v>
      </c>
      <c r="E26" s="100">
        <v>41.944896488113152</v>
      </c>
      <c r="F26" s="100">
        <v>-4.3549964881131515</v>
      </c>
      <c r="H26" s="100">
        <v>1.8292682926829267</v>
      </c>
      <c r="I26" s="100">
        <v>21.2</v>
      </c>
    </row>
    <row r="27" spans="1:12">
      <c r="A27" s="134">
        <v>2.5</v>
      </c>
      <c r="B27" s="134">
        <v>42.488799999999998</v>
      </c>
      <c r="D27" s="100">
        <v>3</v>
      </c>
      <c r="E27" s="100">
        <v>48.653456425568024</v>
      </c>
      <c r="F27" s="100">
        <v>1.7465435744319748</v>
      </c>
      <c r="H27" s="100">
        <v>3.0487804878048781</v>
      </c>
      <c r="I27" s="100">
        <v>21.473400000000002</v>
      </c>
    </row>
    <row r="28" spans="1:12">
      <c r="A28" s="134">
        <v>2.5</v>
      </c>
      <c r="B28" s="134">
        <v>40.807499999999997</v>
      </c>
      <c r="D28" s="100">
        <v>4</v>
      </c>
      <c r="E28" s="100">
        <v>35.846205635881446</v>
      </c>
      <c r="F28" s="100">
        <v>-4.6205635881449325E-2</v>
      </c>
      <c r="H28" s="100">
        <v>4.2682926829268286</v>
      </c>
      <c r="I28" s="100">
        <v>21.473400000000002</v>
      </c>
    </row>
    <row r="29" spans="1:12">
      <c r="A29" s="134">
        <v>4.4000000000000004</v>
      </c>
      <c r="B29" s="134">
        <v>33.603200000000001</v>
      </c>
      <c r="D29" s="100">
        <v>5</v>
      </c>
      <c r="E29" s="100">
        <v>38.895551061997296</v>
      </c>
      <c r="F29" s="100">
        <v>-2.4217510619972984</v>
      </c>
      <c r="H29" s="100">
        <v>5.48780487804878</v>
      </c>
      <c r="I29" s="100">
        <v>21.7</v>
      </c>
    </row>
    <row r="30" spans="1:12">
      <c r="A30" s="134">
        <v>1.8</v>
      </c>
      <c r="B30" s="134">
        <v>56.991500000000002</v>
      </c>
      <c r="D30" s="100">
        <v>6</v>
      </c>
      <c r="E30" s="100">
        <v>41.944896488113152</v>
      </c>
      <c r="F30" s="100">
        <v>-4.3549964881131515</v>
      </c>
      <c r="H30" s="100">
        <v>6.7073170731707314</v>
      </c>
      <c r="I30" s="100">
        <v>21.8</v>
      </c>
    </row>
    <row r="31" spans="1:12">
      <c r="A31" s="134">
        <v>5.7</v>
      </c>
      <c r="B31" s="134">
        <v>27.2941</v>
      </c>
      <c r="D31" s="100">
        <v>7</v>
      </c>
      <c r="E31" s="100">
        <v>48.04358734034485</v>
      </c>
      <c r="F31" s="100">
        <v>-1.5435873403448497</v>
      </c>
      <c r="H31" s="100">
        <v>7.926829268292682</v>
      </c>
      <c r="I31" s="100">
        <v>21.8</v>
      </c>
    </row>
    <row r="32" spans="1:12">
      <c r="A32" s="134">
        <v>1.6</v>
      </c>
      <c r="B32" s="134">
        <v>45.5</v>
      </c>
      <c r="D32" s="100">
        <v>8</v>
      </c>
      <c r="E32" s="100">
        <v>38.895551061997296</v>
      </c>
      <c r="F32" s="100">
        <v>-3.0045510619972973</v>
      </c>
      <c r="H32" s="100">
        <v>9.1463414634146343</v>
      </c>
      <c r="I32" s="100">
        <v>21.9</v>
      </c>
    </row>
    <row r="33" spans="1:9">
      <c r="A33" s="134">
        <v>3.6</v>
      </c>
      <c r="B33" s="134">
        <v>37.299799999999998</v>
      </c>
      <c r="D33" s="100">
        <v>9</v>
      </c>
      <c r="E33" s="100">
        <v>47.433718255121683</v>
      </c>
      <c r="F33" s="100">
        <v>2.5156817448783144</v>
      </c>
      <c r="H33" s="100">
        <v>10.365853658536585</v>
      </c>
      <c r="I33" s="100">
        <v>22.925799999999999</v>
      </c>
    </row>
    <row r="34" spans="1:9">
      <c r="A34" s="134">
        <v>3</v>
      </c>
      <c r="B34" s="134">
        <v>35.993099999999998</v>
      </c>
      <c r="D34" s="100">
        <v>10</v>
      </c>
      <c r="E34" s="100">
        <v>30.357383868872915</v>
      </c>
      <c r="F34" s="100">
        <v>-2.1926838688729156</v>
      </c>
      <c r="H34" s="100">
        <v>11.585365853658535</v>
      </c>
      <c r="I34" s="100">
        <v>23</v>
      </c>
    </row>
    <row r="35" spans="1:9">
      <c r="A35" s="134">
        <v>2.4</v>
      </c>
      <c r="B35" s="134">
        <v>59.9</v>
      </c>
      <c r="D35" s="100">
        <v>11</v>
      </c>
      <c r="E35" s="100">
        <v>26.698169357533896</v>
      </c>
      <c r="F35" s="100">
        <v>-1.9053693575338961</v>
      </c>
      <c r="H35" s="100">
        <v>12.804878048780488</v>
      </c>
      <c r="I35" s="100">
        <v>23.066700000000001</v>
      </c>
    </row>
    <row r="36" spans="1:9">
      <c r="A36" s="134">
        <v>2</v>
      </c>
      <c r="B36" s="134">
        <v>41.566099999999999</v>
      </c>
      <c r="D36" s="100">
        <v>12</v>
      </c>
      <c r="E36" s="100">
        <v>19.379740334855853</v>
      </c>
      <c r="F36" s="100">
        <v>4.8202596651441461</v>
      </c>
      <c r="H36" s="100">
        <v>14.024390243902438</v>
      </c>
      <c r="I36" s="100">
        <v>24.2</v>
      </c>
    </row>
    <row r="37" spans="1:9">
      <c r="A37" s="134">
        <v>2.4</v>
      </c>
      <c r="B37" s="134">
        <v>37.4</v>
      </c>
      <c r="D37" s="100">
        <v>13</v>
      </c>
      <c r="E37" s="100">
        <v>38.895551061997296</v>
      </c>
      <c r="F37" s="100">
        <v>0.80444893800270734</v>
      </c>
      <c r="H37" s="100">
        <v>15.243902439024389</v>
      </c>
      <c r="I37" s="100">
        <v>24.4</v>
      </c>
    </row>
    <row r="38" spans="1:9">
      <c r="A38" s="134">
        <v>2</v>
      </c>
      <c r="B38" s="134">
        <v>48.7</v>
      </c>
      <c r="D38" s="100">
        <v>14</v>
      </c>
      <c r="E38" s="100">
        <v>29.137645698426578</v>
      </c>
      <c r="F38" s="100">
        <v>4.7623543015734207</v>
      </c>
      <c r="H38" s="100">
        <v>16.463414634146343</v>
      </c>
      <c r="I38" s="100">
        <v>24.6</v>
      </c>
    </row>
    <row r="39" spans="1:9">
      <c r="A39" s="134">
        <v>3.8</v>
      </c>
      <c r="B39" s="134">
        <v>36.7669</v>
      </c>
      <c r="D39" s="100">
        <v>15</v>
      </c>
      <c r="E39" s="100">
        <v>32.796860209765597</v>
      </c>
      <c r="F39" s="100">
        <v>-4.8257602097655976</v>
      </c>
      <c r="H39" s="100">
        <v>17.682926829268293</v>
      </c>
      <c r="I39" s="100">
        <v>24.7928</v>
      </c>
    </row>
    <row r="40" spans="1:9">
      <c r="A40" s="134">
        <v>1.4</v>
      </c>
      <c r="B40" s="134">
        <v>54.05</v>
      </c>
      <c r="D40" s="100">
        <v>16</v>
      </c>
      <c r="E40" s="100">
        <v>20.599478505302194</v>
      </c>
      <c r="F40" s="100">
        <v>1.2005214946978064</v>
      </c>
      <c r="H40" s="100">
        <v>18.902439024390244</v>
      </c>
      <c r="I40" s="100">
        <v>25</v>
      </c>
    </row>
    <row r="41" spans="1:9">
      <c r="A41" s="134">
        <v>3.7</v>
      </c>
      <c r="B41" s="134">
        <v>24.4</v>
      </c>
      <c r="D41" s="100">
        <v>17</v>
      </c>
      <c r="E41" s="100">
        <v>42.554765573336319</v>
      </c>
      <c r="F41" s="100">
        <v>0.87713442666368024</v>
      </c>
      <c r="H41" s="100">
        <v>20.121951219512194</v>
      </c>
      <c r="I41" s="100">
        <v>25.6</v>
      </c>
    </row>
    <row r="42" spans="1:9">
      <c r="A42" s="134">
        <v>6</v>
      </c>
      <c r="B42" s="134">
        <v>21.473400000000002</v>
      </c>
      <c r="D42" s="100">
        <v>18</v>
      </c>
      <c r="E42" s="100">
        <v>22.429085760971702</v>
      </c>
      <c r="F42" s="100">
        <v>12.070914239028298</v>
      </c>
      <c r="H42" s="100">
        <v>21.341463414634145</v>
      </c>
      <c r="I42" s="100">
        <v>26.767800000000001</v>
      </c>
    </row>
    <row r="43" spans="1:9">
      <c r="A43" s="134">
        <v>2</v>
      </c>
      <c r="B43" s="134">
        <v>46.2</v>
      </c>
      <c r="D43" s="100">
        <v>19</v>
      </c>
      <c r="E43" s="100">
        <v>48.04358734034485</v>
      </c>
      <c r="F43" s="100">
        <v>7.6010126596551473</v>
      </c>
      <c r="H43" s="100">
        <v>22.560975609756095</v>
      </c>
      <c r="I43" s="100">
        <v>27.2941</v>
      </c>
    </row>
    <row r="44" spans="1:9">
      <c r="A44" s="134">
        <v>3.6</v>
      </c>
      <c r="B44" s="134">
        <v>36.543999999999997</v>
      </c>
      <c r="D44" s="100">
        <v>20</v>
      </c>
      <c r="E44" s="100">
        <v>44.994241914229001</v>
      </c>
      <c r="F44" s="100">
        <v>6.793358085770997</v>
      </c>
      <c r="H44" s="100">
        <v>23.780487804878049</v>
      </c>
      <c r="I44" s="100">
        <v>27.730699999999999</v>
      </c>
    </row>
    <row r="45" spans="1:9">
      <c r="A45" s="134">
        <v>2.4</v>
      </c>
      <c r="B45" s="134">
        <v>56.3</v>
      </c>
      <c r="D45" s="100">
        <v>21</v>
      </c>
      <c r="E45" s="100">
        <v>38.895551061997296</v>
      </c>
      <c r="F45" s="100">
        <v>-6.0376510619972947</v>
      </c>
      <c r="H45" s="100">
        <v>25</v>
      </c>
      <c r="I45" s="100">
        <v>27.9711</v>
      </c>
    </row>
    <row r="46" spans="1:9">
      <c r="A46" s="134">
        <v>3.6</v>
      </c>
      <c r="B46" s="134">
        <v>32.299300000000002</v>
      </c>
      <c r="D46" s="100">
        <v>22</v>
      </c>
      <c r="E46" s="100">
        <v>28.527776613203404</v>
      </c>
      <c r="F46" s="100">
        <v>-2.9277766132034024</v>
      </c>
      <c r="H46" s="100">
        <v>26.219512195121951</v>
      </c>
      <c r="I46" s="100">
        <v>28.1</v>
      </c>
    </row>
    <row r="47" spans="1:9">
      <c r="A47" s="134">
        <v>4.5999999999999996</v>
      </c>
      <c r="B47" s="134">
        <v>21.9</v>
      </c>
      <c r="D47" s="100">
        <v>23</v>
      </c>
      <c r="E47" s="100">
        <v>20.599478505302194</v>
      </c>
      <c r="F47" s="100">
        <v>0.60052149469780502</v>
      </c>
      <c r="H47" s="100">
        <v>27.439024390243901</v>
      </c>
      <c r="I47" s="100">
        <v>28.1647</v>
      </c>
    </row>
    <row r="48" spans="1:9">
      <c r="A48" s="134">
        <v>3.5</v>
      </c>
      <c r="B48" s="134">
        <v>32.200000000000003</v>
      </c>
      <c r="D48" s="100">
        <v>24</v>
      </c>
      <c r="E48" s="100">
        <v>20.599478505302194</v>
      </c>
      <c r="F48" s="100">
        <v>4.4005214946978057</v>
      </c>
      <c r="H48" s="100">
        <v>28.658536585365852</v>
      </c>
      <c r="I48" s="100">
        <v>28.716000000000001</v>
      </c>
    </row>
    <row r="49" spans="1:9">
      <c r="A49" s="134">
        <v>1.5</v>
      </c>
      <c r="B49" s="134">
        <v>52.2</v>
      </c>
      <c r="D49" s="100">
        <v>25</v>
      </c>
      <c r="E49" s="100">
        <v>24.25869301664121</v>
      </c>
      <c r="F49" s="100">
        <v>-2.4586930166412095</v>
      </c>
      <c r="H49" s="100">
        <v>29.878048780487802</v>
      </c>
      <c r="I49" s="100">
        <v>30.049299999999999</v>
      </c>
    </row>
    <row r="50" spans="1:9">
      <c r="A50" s="134">
        <v>5.2</v>
      </c>
      <c r="B50" s="134">
        <v>23.066700000000001</v>
      </c>
      <c r="D50" s="100">
        <v>26</v>
      </c>
      <c r="E50" s="100">
        <v>41.944896488113152</v>
      </c>
      <c r="F50" s="100">
        <v>0.54390351188684605</v>
      </c>
      <c r="H50" s="100">
        <v>31.097560975609756</v>
      </c>
      <c r="I50" s="100">
        <v>31.363900000000001</v>
      </c>
    </row>
    <row r="51" spans="1:9">
      <c r="A51" s="134">
        <v>3.7</v>
      </c>
      <c r="B51" s="134">
        <v>31.363900000000001</v>
      </c>
      <c r="D51" s="100">
        <v>27</v>
      </c>
      <c r="E51" s="100">
        <v>41.944896488113152</v>
      </c>
      <c r="F51" s="100">
        <v>-1.1373964881131542</v>
      </c>
      <c r="H51" s="100">
        <v>32.31707317073171</v>
      </c>
      <c r="I51" s="100">
        <v>32.200000000000003</v>
      </c>
    </row>
    <row r="52" spans="1:9">
      <c r="A52" s="134">
        <v>6</v>
      </c>
      <c r="B52" s="134">
        <v>21.473400000000002</v>
      </c>
      <c r="D52" s="100">
        <v>28</v>
      </c>
      <c r="E52" s="100">
        <v>30.357383868872915</v>
      </c>
      <c r="F52" s="100">
        <v>3.2458161311270857</v>
      </c>
      <c r="H52" s="100">
        <v>33.536585365853661</v>
      </c>
      <c r="I52" s="100">
        <v>32.299300000000002</v>
      </c>
    </row>
    <row r="53" spans="1:9">
      <c r="A53" s="134">
        <v>1.8</v>
      </c>
      <c r="B53" s="134">
        <v>49.1</v>
      </c>
      <c r="D53" s="100">
        <v>29</v>
      </c>
      <c r="E53" s="100">
        <v>46.213980084675342</v>
      </c>
      <c r="F53" s="100">
        <v>10.77751991532466</v>
      </c>
      <c r="H53" s="100">
        <v>34.756097560975611</v>
      </c>
      <c r="I53" s="100">
        <v>32.857900000000001</v>
      </c>
    </row>
    <row r="54" spans="1:9">
      <c r="A54" s="134">
        <v>4.2</v>
      </c>
      <c r="B54" s="134">
        <v>26.767800000000001</v>
      </c>
      <c r="D54" s="100">
        <v>30</v>
      </c>
      <c r="E54" s="100">
        <v>22.429085760971702</v>
      </c>
      <c r="F54" s="100">
        <v>4.865014239028298</v>
      </c>
      <c r="H54" s="100">
        <v>35.975609756097562</v>
      </c>
      <c r="I54" s="100">
        <v>32.857900000000001</v>
      </c>
    </row>
    <row r="55" spans="1:9">
      <c r="A55" s="134">
        <v>3.6</v>
      </c>
      <c r="B55" s="134">
        <v>40.5</v>
      </c>
      <c r="D55" s="100">
        <v>31</v>
      </c>
      <c r="E55" s="100">
        <v>47.433718255121683</v>
      </c>
      <c r="F55" s="100">
        <v>-1.9337182551216827</v>
      </c>
      <c r="H55" s="100">
        <v>37.195121951219512</v>
      </c>
      <c r="I55" s="100">
        <v>32.857900000000001</v>
      </c>
    </row>
    <row r="56" spans="1:9">
      <c r="A56" s="134">
        <v>2.5</v>
      </c>
      <c r="B56" s="134">
        <v>44.515900000000002</v>
      </c>
      <c r="D56" s="100">
        <v>32</v>
      </c>
      <c r="E56" s="100">
        <v>35.23633655065828</v>
      </c>
      <c r="F56" s="100">
        <v>2.0634634493417181</v>
      </c>
      <c r="H56" s="100">
        <v>38.414634146341463</v>
      </c>
      <c r="I56" s="100">
        <v>33.603200000000001</v>
      </c>
    </row>
    <row r="57" spans="1:9">
      <c r="A57" s="134">
        <v>5</v>
      </c>
      <c r="B57" s="134">
        <v>28.716000000000001</v>
      </c>
      <c r="D57" s="100">
        <v>33</v>
      </c>
      <c r="E57" s="100">
        <v>38.895551061997296</v>
      </c>
      <c r="F57" s="100">
        <v>-2.9024510619972972</v>
      </c>
      <c r="H57" s="100">
        <v>39.634146341463413</v>
      </c>
      <c r="I57" s="100">
        <v>33.9</v>
      </c>
    </row>
    <row r="58" spans="1:9">
      <c r="A58" s="134">
        <v>5.9</v>
      </c>
      <c r="B58" s="134">
        <v>22.925799999999999</v>
      </c>
      <c r="D58" s="100">
        <v>34</v>
      </c>
      <c r="E58" s="100">
        <v>42.554765573336319</v>
      </c>
      <c r="F58" s="100">
        <v>17.34523442666368</v>
      </c>
      <c r="H58" s="100">
        <v>40.853658536585364</v>
      </c>
      <c r="I58" s="100">
        <v>34</v>
      </c>
    </row>
    <row r="59" spans="1:9">
      <c r="A59" s="134">
        <v>3.5</v>
      </c>
      <c r="B59" s="134">
        <v>30.049299999999999</v>
      </c>
      <c r="D59" s="100">
        <v>35</v>
      </c>
      <c r="E59" s="100">
        <v>44.994241914229001</v>
      </c>
      <c r="F59" s="100">
        <v>-3.4281419142290019</v>
      </c>
      <c r="H59" s="100">
        <v>42.073170731707314</v>
      </c>
      <c r="I59" s="100">
        <v>34.5</v>
      </c>
    </row>
    <row r="60" spans="1:9">
      <c r="A60" s="134">
        <v>2</v>
      </c>
      <c r="B60" s="134">
        <v>41.5</v>
      </c>
      <c r="D60" s="100">
        <v>36</v>
      </c>
      <c r="E60" s="100">
        <v>42.554765573336319</v>
      </c>
      <c r="F60" s="100">
        <v>-5.15476557333632</v>
      </c>
      <c r="H60" s="100">
        <v>43.292682926829265</v>
      </c>
      <c r="I60" s="100">
        <v>34.749400000000001</v>
      </c>
    </row>
    <row r="61" spans="1:9">
      <c r="A61" s="134">
        <v>3</v>
      </c>
      <c r="B61" s="134">
        <v>32.857900000000001</v>
      </c>
      <c r="D61" s="100">
        <v>37</v>
      </c>
      <c r="E61" s="100">
        <v>44.994241914229001</v>
      </c>
      <c r="F61" s="100">
        <v>3.7057580857710022</v>
      </c>
      <c r="H61" s="100">
        <v>44.512195121951216</v>
      </c>
      <c r="I61" s="100">
        <v>34.861699999999999</v>
      </c>
    </row>
    <row r="62" spans="1:9">
      <c r="A62" s="134">
        <v>2</v>
      </c>
      <c r="B62" s="134">
        <v>40</v>
      </c>
      <c r="D62" s="100">
        <v>38</v>
      </c>
      <c r="E62" s="100">
        <v>34.016598380211938</v>
      </c>
      <c r="F62" s="100">
        <v>2.7503016197880612</v>
      </c>
      <c r="H62" s="100">
        <v>45.731707317073166</v>
      </c>
      <c r="I62" s="100">
        <v>34.9</v>
      </c>
    </row>
    <row r="63" spans="1:9">
      <c r="A63" s="134">
        <v>3.8</v>
      </c>
      <c r="B63" s="134">
        <v>36.7669</v>
      </c>
      <c r="D63" s="100">
        <v>39</v>
      </c>
      <c r="E63" s="100">
        <v>48.653456425568024</v>
      </c>
      <c r="F63" s="100">
        <v>5.3965435744319734</v>
      </c>
      <c r="H63" s="100">
        <v>46.951219512195124</v>
      </c>
      <c r="I63" s="100">
        <v>35.722200000000001</v>
      </c>
    </row>
    <row r="64" spans="1:9">
      <c r="A64" s="134">
        <v>2</v>
      </c>
      <c r="B64" s="134">
        <v>36.799999999999997</v>
      </c>
      <c r="D64" s="100">
        <v>40</v>
      </c>
      <c r="E64" s="100">
        <v>34.626467465435105</v>
      </c>
      <c r="F64" s="100">
        <v>-10.226467465435107</v>
      </c>
      <c r="H64" s="100">
        <v>48.170731707317074</v>
      </c>
      <c r="I64" s="100">
        <v>35.799999999999997</v>
      </c>
    </row>
    <row r="65" spans="1:9">
      <c r="A65" s="134">
        <v>3.7</v>
      </c>
      <c r="B65" s="134">
        <v>28.1</v>
      </c>
      <c r="D65" s="100">
        <v>41</v>
      </c>
      <c r="E65" s="100">
        <v>20.599478505302194</v>
      </c>
      <c r="F65" s="100">
        <v>0.87392149469780733</v>
      </c>
      <c r="H65" s="100">
        <v>49.390243902439025</v>
      </c>
      <c r="I65" s="100">
        <v>35.890999999999998</v>
      </c>
    </row>
    <row r="66" spans="1:9">
      <c r="A66" s="134">
        <v>3.6</v>
      </c>
      <c r="B66" s="134">
        <v>40.5</v>
      </c>
      <c r="D66" s="100">
        <v>42</v>
      </c>
      <c r="E66" s="100">
        <v>44.994241914229001</v>
      </c>
      <c r="F66" s="100">
        <v>1.2057580857710022</v>
      </c>
      <c r="H66" s="100">
        <v>50.609756097560975</v>
      </c>
      <c r="I66" s="100">
        <v>35.993099999999998</v>
      </c>
    </row>
    <row r="67" spans="1:9">
      <c r="A67" s="134">
        <v>4.2</v>
      </c>
      <c r="B67" s="134">
        <v>35.722200000000001</v>
      </c>
      <c r="D67" s="100">
        <v>43</v>
      </c>
      <c r="E67" s="100">
        <v>35.23633655065828</v>
      </c>
      <c r="F67" s="100">
        <v>1.3076634493417174</v>
      </c>
      <c r="H67" s="100">
        <v>51.829268292682926</v>
      </c>
      <c r="I67" s="100">
        <v>36.473799999999997</v>
      </c>
    </row>
    <row r="68" spans="1:9">
      <c r="A68" s="134">
        <v>6</v>
      </c>
      <c r="B68" s="134">
        <v>21.7</v>
      </c>
      <c r="D68" s="100">
        <v>44</v>
      </c>
      <c r="E68" s="100">
        <v>42.554765573336319</v>
      </c>
      <c r="F68" s="100">
        <v>13.745234426663679</v>
      </c>
      <c r="H68" s="100">
        <v>53.048780487804876</v>
      </c>
      <c r="I68" s="100">
        <v>36.543999999999997</v>
      </c>
    </row>
    <row r="69" spans="1:9">
      <c r="A69" s="134">
        <v>1.6</v>
      </c>
      <c r="B69" s="134">
        <v>43.7</v>
      </c>
      <c r="D69" s="100">
        <v>45</v>
      </c>
      <c r="E69" s="100">
        <v>35.23633655065828</v>
      </c>
      <c r="F69" s="100">
        <v>-2.9370365506582772</v>
      </c>
      <c r="H69" s="100">
        <v>54.268292682926827</v>
      </c>
      <c r="I69" s="100">
        <v>36.655700000000003</v>
      </c>
    </row>
    <row r="70" spans="1:9">
      <c r="A70" s="134">
        <v>2.5</v>
      </c>
      <c r="B70" s="134">
        <v>36.655700000000003</v>
      </c>
      <c r="D70" s="100">
        <v>46</v>
      </c>
      <c r="E70" s="100">
        <v>29.137645698426578</v>
      </c>
      <c r="F70" s="100">
        <v>-7.2376456984265793</v>
      </c>
      <c r="H70" s="100">
        <v>55.487804878048777</v>
      </c>
      <c r="I70" s="100">
        <v>36.7669</v>
      </c>
    </row>
    <row r="71" spans="1:9">
      <c r="A71" s="134">
        <v>2</v>
      </c>
      <c r="B71" s="134">
        <v>59.536099999999998</v>
      </c>
      <c r="D71" s="100">
        <v>47</v>
      </c>
      <c r="E71" s="100">
        <v>35.846205635881446</v>
      </c>
      <c r="F71" s="100">
        <v>-3.6462056358814436</v>
      </c>
      <c r="H71" s="100">
        <v>56.707317073170728</v>
      </c>
      <c r="I71" s="100">
        <v>36.7669</v>
      </c>
    </row>
    <row r="72" spans="1:9">
      <c r="A72" s="134">
        <v>3.8</v>
      </c>
      <c r="B72" s="134">
        <v>34.861699999999999</v>
      </c>
      <c r="D72" s="100">
        <v>48</v>
      </c>
      <c r="E72" s="100">
        <v>48.04358734034485</v>
      </c>
      <c r="F72" s="100">
        <v>4.1564126596551532</v>
      </c>
      <c r="H72" s="100">
        <v>57.926829268292678</v>
      </c>
      <c r="I72" s="100">
        <v>36.799999999999997</v>
      </c>
    </row>
    <row r="73" spans="1:9">
      <c r="A73" s="134">
        <v>2.4</v>
      </c>
      <c r="B73" s="134">
        <v>38.700000000000003</v>
      </c>
      <c r="D73" s="100">
        <v>49</v>
      </c>
      <c r="E73" s="100">
        <v>25.478431187087555</v>
      </c>
      <c r="F73" s="100">
        <v>-2.411731187087554</v>
      </c>
      <c r="H73" s="100">
        <v>59.146341463414629</v>
      </c>
      <c r="I73" s="100">
        <v>37.299799999999998</v>
      </c>
    </row>
    <row r="74" spans="1:9">
      <c r="A74" s="134">
        <v>3</v>
      </c>
      <c r="B74" s="134">
        <v>32.857900000000001</v>
      </c>
      <c r="D74" s="100">
        <v>50</v>
      </c>
      <c r="E74" s="100">
        <v>34.626467465435105</v>
      </c>
      <c r="F74" s="100">
        <v>-3.2625674654351045</v>
      </c>
      <c r="H74" s="100">
        <v>60.365853658536587</v>
      </c>
      <c r="I74" s="100">
        <v>37.4</v>
      </c>
    </row>
    <row r="75" spans="1:9">
      <c r="A75" s="134">
        <v>4.7</v>
      </c>
      <c r="B75" s="134">
        <v>24.6</v>
      </c>
      <c r="D75" s="100">
        <v>51</v>
      </c>
      <c r="E75" s="100">
        <v>20.599478505302194</v>
      </c>
      <c r="F75" s="100">
        <v>0.87392149469780733</v>
      </c>
      <c r="H75" s="100">
        <v>61.585365853658537</v>
      </c>
      <c r="I75" s="100">
        <v>37.5899</v>
      </c>
    </row>
    <row r="76" spans="1:9">
      <c r="A76" s="134">
        <v>1.6</v>
      </c>
      <c r="B76" s="134">
        <v>43.297899999999998</v>
      </c>
      <c r="D76" s="100">
        <v>52</v>
      </c>
      <c r="E76" s="100">
        <v>46.213980084675342</v>
      </c>
      <c r="F76" s="100">
        <v>2.8860199153246597</v>
      </c>
      <c r="H76" s="100">
        <v>62.804878048780488</v>
      </c>
      <c r="I76" s="100">
        <v>37.5899</v>
      </c>
    </row>
    <row r="77" spans="1:9">
      <c r="A77" s="134">
        <v>1.8</v>
      </c>
      <c r="B77" s="134">
        <v>47.2</v>
      </c>
      <c r="D77" s="100">
        <v>53</v>
      </c>
      <c r="E77" s="100">
        <v>31.577122039319256</v>
      </c>
      <c r="F77" s="100">
        <v>-4.8093220393192553</v>
      </c>
      <c r="H77" s="100">
        <v>64.024390243902445</v>
      </c>
      <c r="I77" s="100">
        <v>38.700000000000003</v>
      </c>
    </row>
    <row r="78" spans="1:9">
      <c r="A78" s="134">
        <v>1.6</v>
      </c>
      <c r="B78" s="134">
        <v>42</v>
      </c>
      <c r="D78" s="100">
        <v>54</v>
      </c>
      <c r="E78" s="100">
        <v>35.23633655065828</v>
      </c>
      <c r="F78" s="100">
        <v>5.2636634493417205</v>
      </c>
      <c r="H78" s="100">
        <v>65.243902439024382</v>
      </c>
      <c r="I78" s="100">
        <v>39.700000000000003</v>
      </c>
    </row>
    <row r="79" spans="1:9">
      <c r="A79" s="134">
        <v>6.2</v>
      </c>
      <c r="B79" s="134">
        <v>19.5139</v>
      </c>
      <c r="D79" s="100">
        <v>55</v>
      </c>
      <c r="E79" s="100">
        <v>41.944896488113152</v>
      </c>
      <c r="F79" s="100">
        <v>2.5710035118868504</v>
      </c>
      <c r="H79" s="100">
        <v>66.463414634146346</v>
      </c>
      <c r="I79" s="100">
        <v>40</v>
      </c>
    </row>
    <row r="80" spans="1:9">
      <c r="A80" s="134">
        <v>4.4000000000000004</v>
      </c>
      <c r="B80" s="134">
        <v>27.730699999999999</v>
      </c>
      <c r="D80" s="100">
        <v>56</v>
      </c>
      <c r="E80" s="100">
        <v>26.698169357533896</v>
      </c>
      <c r="F80" s="100">
        <v>2.0178306424661052</v>
      </c>
      <c r="H80" s="100">
        <v>67.682926829268297</v>
      </c>
      <c r="I80" s="100">
        <v>40.5</v>
      </c>
    </row>
    <row r="81" spans="1:9">
      <c r="A81" s="134">
        <v>3.5</v>
      </c>
      <c r="B81" s="134">
        <v>34</v>
      </c>
      <c r="D81" s="100">
        <v>57</v>
      </c>
      <c r="E81" s="100">
        <v>21.209347590525361</v>
      </c>
      <c r="F81" s="100">
        <v>1.7164524094746376</v>
      </c>
      <c r="H81" s="100">
        <v>68.902439024390247</v>
      </c>
      <c r="I81" s="100">
        <v>40.5</v>
      </c>
    </row>
    <row r="82" spans="1:9">
      <c r="A82" s="134">
        <v>3.5</v>
      </c>
      <c r="B82" s="134">
        <v>34.749400000000001</v>
      </c>
      <c r="D82" s="100">
        <v>58</v>
      </c>
      <c r="E82" s="100">
        <v>35.846205635881446</v>
      </c>
      <c r="F82" s="100">
        <v>-5.7969056358814477</v>
      </c>
      <c r="H82" s="100">
        <v>70.121951219512198</v>
      </c>
      <c r="I82" s="100">
        <v>40.807499999999997</v>
      </c>
    </row>
    <row r="83" spans="1:9">
      <c r="A83" s="134">
        <v>4.5999999999999996</v>
      </c>
      <c r="B83" s="134">
        <v>23</v>
      </c>
      <c r="D83" s="100">
        <v>59</v>
      </c>
      <c r="E83" s="100">
        <v>44.994241914229001</v>
      </c>
      <c r="F83" s="100">
        <v>-3.4942419142290007</v>
      </c>
      <c r="H83" s="100">
        <v>71.341463414634148</v>
      </c>
      <c r="I83" s="100">
        <v>41.5</v>
      </c>
    </row>
    <row r="84" spans="1:9">
      <c r="A84" s="135">
        <v>281.29999999999995</v>
      </c>
      <c r="B84" s="135">
        <v>2974.1514000000002</v>
      </c>
      <c r="D84" s="100">
        <v>60</v>
      </c>
      <c r="E84" s="100">
        <v>38.895551061997296</v>
      </c>
      <c r="F84" s="100">
        <v>-6.0376510619972947</v>
      </c>
      <c r="H84" s="100">
        <v>72.560975609756099</v>
      </c>
      <c r="I84" s="100">
        <v>41.566099999999999</v>
      </c>
    </row>
    <row r="85" spans="1:9">
      <c r="A85" s="134">
        <v>82</v>
      </c>
      <c r="B85" s="134">
        <v>82</v>
      </c>
      <c r="D85" s="100">
        <v>61</v>
      </c>
      <c r="E85" s="100">
        <v>44.994241914229001</v>
      </c>
      <c r="F85" s="100">
        <v>-4.9942419142290007</v>
      </c>
      <c r="H85" s="100">
        <v>73.780487804878049</v>
      </c>
      <c r="I85" s="100">
        <v>42</v>
      </c>
    </row>
    <row r="86" spans="1:9">
      <c r="D86" s="100">
        <v>62</v>
      </c>
      <c r="E86" s="100">
        <v>34.016598380211938</v>
      </c>
      <c r="F86" s="100">
        <v>2.7503016197880612</v>
      </c>
      <c r="H86" s="100">
        <v>75</v>
      </c>
      <c r="I86" s="100">
        <v>42.488799999999998</v>
      </c>
    </row>
    <row r="87" spans="1:9">
      <c r="D87" s="100">
        <v>63</v>
      </c>
      <c r="E87" s="100">
        <v>44.994241914229001</v>
      </c>
      <c r="F87" s="100">
        <v>-8.1942419142290035</v>
      </c>
      <c r="H87" s="100">
        <v>76.219512195121951</v>
      </c>
      <c r="I87" s="100">
        <v>43.297899999999998</v>
      </c>
    </row>
    <row r="88" spans="1:9">
      <c r="D88" s="100">
        <v>64</v>
      </c>
      <c r="E88" s="100">
        <v>34.626467465435105</v>
      </c>
      <c r="F88" s="100">
        <v>-6.526467465435104</v>
      </c>
      <c r="H88" s="100">
        <v>77.439024390243901</v>
      </c>
      <c r="I88" s="100">
        <v>43.431899999999999</v>
      </c>
    </row>
    <row r="89" spans="1:9">
      <c r="D89" s="100">
        <v>65</v>
      </c>
      <c r="E89" s="100">
        <v>35.23633655065828</v>
      </c>
      <c r="F89" s="100">
        <v>5.2636634493417205</v>
      </c>
      <c r="H89" s="100">
        <v>78.658536585365852</v>
      </c>
      <c r="I89" s="100">
        <v>43.7</v>
      </c>
    </row>
    <row r="90" spans="1:9">
      <c r="D90" s="100">
        <v>66</v>
      </c>
      <c r="E90" s="100">
        <v>31.577122039319256</v>
      </c>
      <c r="F90" s="100">
        <v>4.1450779606807444</v>
      </c>
      <c r="H90" s="100">
        <v>79.878048780487802</v>
      </c>
      <c r="I90" s="100">
        <v>44.515900000000002</v>
      </c>
    </row>
    <row r="91" spans="1:9">
      <c r="D91" s="100">
        <v>67</v>
      </c>
      <c r="E91" s="100">
        <v>20.599478505302194</v>
      </c>
      <c r="F91" s="100">
        <v>1.100521494697805</v>
      </c>
      <c r="H91" s="100">
        <v>81.097560975609753</v>
      </c>
      <c r="I91" s="100">
        <v>45.5</v>
      </c>
    </row>
    <row r="92" spans="1:9">
      <c r="D92" s="100">
        <v>68</v>
      </c>
      <c r="E92" s="100">
        <v>47.433718255121683</v>
      </c>
      <c r="F92" s="100">
        <v>-3.7337182551216799</v>
      </c>
      <c r="H92" s="100">
        <v>82.317073170731703</v>
      </c>
      <c r="I92" s="100">
        <v>46.2</v>
      </c>
    </row>
    <row r="93" spans="1:9">
      <c r="D93" s="100">
        <v>69</v>
      </c>
      <c r="E93" s="100">
        <v>41.944896488113152</v>
      </c>
      <c r="F93" s="100">
        <v>-5.2891964881131486</v>
      </c>
      <c r="H93" s="100">
        <v>83.536585365853654</v>
      </c>
      <c r="I93" s="100">
        <v>46.5</v>
      </c>
    </row>
    <row r="94" spans="1:9">
      <c r="D94" s="100">
        <v>70</v>
      </c>
      <c r="E94" s="100">
        <v>44.994241914229001</v>
      </c>
      <c r="F94" s="100">
        <v>14.541858085770997</v>
      </c>
      <c r="H94" s="100">
        <v>84.756097560975604</v>
      </c>
      <c r="I94" s="100">
        <v>47.2</v>
      </c>
    </row>
    <row r="95" spans="1:9">
      <c r="D95" s="100">
        <v>71</v>
      </c>
      <c r="E95" s="100">
        <v>34.016598380211938</v>
      </c>
      <c r="F95" s="100">
        <v>0.84510161978806053</v>
      </c>
      <c r="H95" s="100">
        <v>85.975609756097555</v>
      </c>
      <c r="I95" s="100">
        <v>48.7</v>
      </c>
    </row>
    <row r="96" spans="1:9">
      <c r="D96" s="100">
        <v>72</v>
      </c>
      <c r="E96" s="100">
        <v>42.554765573336319</v>
      </c>
      <c r="F96" s="100">
        <v>-3.8547655733363158</v>
      </c>
      <c r="H96" s="100">
        <v>87.195121951219505</v>
      </c>
      <c r="I96" s="100">
        <v>49.1</v>
      </c>
    </row>
    <row r="97" spans="4:9">
      <c r="D97" s="100">
        <v>73</v>
      </c>
      <c r="E97" s="100">
        <v>38.895551061997296</v>
      </c>
      <c r="F97" s="100">
        <v>-6.0376510619972947</v>
      </c>
      <c r="H97" s="100">
        <v>88.414634146341456</v>
      </c>
      <c r="I97" s="100">
        <v>49.949399999999997</v>
      </c>
    </row>
    <row r="98" spans="4:9">
      <c r="D98" s="100">
        <v>74</v>
      </c>
      <c r="E98" s="100">
        <v>28.527776613203404</v>
      </c>
      <c r="F98" s="100">
        <v>-3.9277766132034024</v>
      </c>
      <c r="H98" s="100">
        <v>89.634146341463406</v>
      </c>
      <c r="I98" s="100">
        <v>50.4</v>
      </c>
    </row>
    <row r="99" spans="4:9">
      <c r="D99" s="100">
        <v>75</v>
      </c>
      <c r="E99" s="100">
        <v>47.433718255121683</v>
      </c>
      <c r="F99" s="100">
        <v>-4.1358182551216842</v>
      </c>
      <c r="H99" s="100">
        <v>90.853658536585357</v>
      </c>
      <c r="I99" s="100">
        <v>51.787599999999998</v>
      </c>
    </row>
    <row r="100" spans="4:9">
      <c r="D100" s="100">
        <v>76</v>
      </c>
      <c r="E100" s="100">
        <v>46.213980084675342</v>
      </c>
      <c r="F100" s="100">
        <v>0.98601991532466116</v>
      </c>
      <c r="H100" s="100">
        <v>92.073170731707322</v>
      </c>
      <c r="I100" s="100">
        <v>52.2</v>
      </c>
    </row>
    <row r="101" spans="4:9">
      <c r="D101" s="100">
        <v>77</v>
      </c>
      <c r="E101" s="100">
        <v>47.433718255121683</v>
      </c>
      <c r="F101" s="100">
        <v>-5.4337182551216827</v>
      </c>
      <c r="H101" s="100">
        <v>93.292682926829272</v>
      </c>
      <c r="I101" s="100">
        <v>54.05</v>
      </c>
    </row>
    <row r="102" spans="4:9">
      <c r="D102" s="100">
        <v>78</v>
      </c>
      <c r="E102" s="100">
        <v>19.379740334855853</v>
      </c>
      <c r="F102" s="100">
        <v>0.13415966514414635</v>
      </c>
      <c r="H102" s="100">
        <v>94.512195121951223</v>
      </c>
      <c r="I102" s="100">
        <v>55.644599999999997</v>
      </c>
    </row>
    <row r="103" spans="4:9">
      <c r="D103" s="100">
        <v>79</v>
      </c>
      <c r="E103" s="100">
        <v>30.357383868872915</v>
      </c>
      <c r="F103" s="100">
        <v>-2.6266838688729166</v>
      </c>
      <c r="H103" s="100">
        <v>95.731707317073173</v>
      </c>
      <c r="I103" s="100">
        <v>56.3</v>
      </c>
    </row>
    <row r="104" spans="4:9">
      <c r="D104" s="100">
        <v>80</v>
      </c>
      <c r="E104" s="100">
        <v>35.846205635881446</v>
      </c>
      <c r="F104" s="100">
        <v>-1.8462056358814465</v>
      </c>
      <c r="H104" s="100">
        <v>96.951219512195124</v>
      </c>
      <c r="I104" s="100">
        <v>56.991500000000002</v>
      </c>
    </row>
    <row r="105" spans="4:9">
      <c r="D105" s="100">
        <v>81</v>
      </c>
      <c r="E105" s="100">
        <v>35.846205635881446</v>
      </c>
      <c r="F105" s="100">
        <v>-1.0968056358814451</v>
      </c>
      <c r="H105" s="100">
        <v>98.170731707317074</v>
      </c>
      <c r="I105" s="100">
        <v>59.536099999999998</v>
      </c>
    </row>
    <row r="106" spans="4:9" ht="15.75" thickBot="1">
      <c r="D106" s="101">
        <v>82</v>
      </c>
      <c r="E106" s="101">
        <v>29.137645698426578</v>
      </c>
      <c r="F106" s="101">
        <v>-6.1376456984265779</v>
      </c>
      <c r="H106" s="101">
        <v>99.390243902439025</v>
      </c>
      <c r="I106" s="101">
        <v>59.9</v>
      </c>
    </row>
  </sheetData>
  <sortState ref="I25:I106">
    <sortCondition ref="I25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5"/>
  <sheetViews>
    <sheetView workbookViewId="0">
      <selection activeCell="K42" sqref="K42"/>
    </sheetView>
  </sheetViews>
  <sheetFormatPr defaultRowHeight="15"/>
  <cols>
    <col min="4" max="4" width="18" bestFit="1" customWidth="1"/>
    <col min="5" max="5" width="14.28515625" bestFit="1" customWidth="1"/>
    <col min="6" max="6" width="14.5703125" bestFit="1" customWidth="1"/>
    <col min="7" max="7" width="12.7109375" bestFit="1" customWidth="1"/>
    <col min="8" max="8" width="20.140625" bestFit="1" customWidth="1"/>
    <col min="9" max="9" width="13.42578125" bestFit="1" customWidth="1"/>
    <col min="10" max="12" width="12.7109375" bestFit="1" customWidth="1"/>
  </cols>
  <sheetData>
    <row r="1" spans="1:12">
      <c r="A1" s="59" t="s">
        <v>82</v>
      </c>
      <c r="B1" s="59" t="s">
        <v>83</v>
      </c>
      <c r="D1" t="s">
        <v>38</v>
      </c>
    </row>
    <row r="2" spans="1:12" ht="15.75" thickBot="1">
      <c r="A2" s="136">
        <v>2.5</v>
      </c>
      <c r="B2" s="136">
        <v>51.6</v>
      </c>
    </row>
    <row r="3" spans="1:12">
      <c r="A3" s="136">
        <v>2.8</v>
      </c>
      <c r="B3" s="136">
        <v>30.3</v>
      </c>
      <c r="D3" s="80" t="s">
        <v>39</v>
      </c>
      <c r="E3" s="80"/>
    </row>
    <row r="4" spans="1:12">
      <c r="A4" s="136">
        <v>3</v>
      </c>
      <c r="B4" s="136">
        <v>39.700000000000003</v>
      </c>
      <c r="D4" s="100" t="s">
        <v>40</v>
      </c>
      <c r="E4" s="100">
        <v>0.83649522205815952</v>
      </c>
    </row>
    <row r="5" spans="1:12">
      <c r="A5" s="136">
        <v>2</v>
      </c>
      <c r="B5" s="136">
        <v>41.2</v>
      </c>
      <c r="D5" s="100" t="s">
        <v>41</v>
      </c>
      <c r="E5" s="100">
        <v>0.69972425652612968</v>
      </c>
    </row>
    <row r="6" spans="1:12">
      <c r="A6" s="136">
        <v>4.8</v>
      </c>
      <c r="B6" s="136">
        <v>22.8</v>
      </c>
      <c r="D6" s="100" t="s">
        <v>42</v>
      </c>
      <c r="E6" s="100">
        <v>0.69592329774797945</v>
      </c>
    </row>
    <row r="7" spans="1:12">
      <c r="A7" s="136">
        <v>4.2</v>
      </c>
      <c r="B7" s="136">
        <v>24.300999999999998</v>
      </c>
      <c r="D7" s="100" t="s">
        <v>43</v>
      </c>
      <c r="E7" s="100">
        <v>5.0487891204155799</v>
      </c>
    </row>
    <row r="8" spans="1:12" ht="15.75" thickBot="1">
      <c r="A8" s="136">
        <v>4.4000000000000004</v>
      </c>
      <c r="B8" s="136">
        <v>29.837800000000001</v>
      </c>
      <c r="D8" s="101" t="s">
        <v>44</v>
      </c>
      <c r="E8" s="101">
        <v>81</v>
      </c>
    </row>
    <row r="9" spans="1:12">
      <c r="A9" s="136">
        <v>3.6</v>
      </c>
      <c r="B9" s="136">
        <v>34.259599999999999</v>
      </c>
    </row>
    <row r="10" spans="1:12" ht="15.75" thickBot="1">
      <c r="A10" s="136">
        <v>2.5</v>
      </c>
      <c r="B10" s="136">
        <v>31.366900000000001</v>
      </c>
      <c r="D10" t="s">
        <v>45</v>
      </c>
    </row>
    <row r="11" spans="1:12">
      <c r="A11" s="136">
        <v>3.6</v>
      </c>
      <c r="B11" s="136">
        <v>37.487400000000001</v>
      </c>
      <c r="D11" s="79"/>
      <c r="E11" s="79" t="s">
        <v>49</v>
      </c>
      <c r="F11" s="79" t="s">
        <v>50</v>
      </c>
      <c r="G11" s="79" t="s">
        <v>51</v>
      </c>
      <c r="H11" s="79" t="s">
        <v>52</v>
      </c>
      <c r="I11" s="79" t="s">
        <v>53</v>
      </c>
    </row>
    <row r="12" spans="1:12">
      <c r="A12" s="136">
        <v>4.4000000000000004</v>
      </c>
      <c r="B12" s="136">
        <v>33.049900000000001</v>
      </c>
      <c r="D12" s="100" t="s">
        <v>46</v>
      </c>
      <c r="E12" s="100">
        <v>1</v>
      </c>
      <c r="F12" s="100">
        <v>4692.5426905952045</v>
      </c>
      <c r="G12" s="100">
        <v>4692.5426905952045</v>
      </c>
      <c r="H12" s="100">
        <v>184.09151410651486</v>
      </c>
      <c r="I12" s="100">
        <v>2.4494391931206096E-22</v>
      </c>
    </row>
    <row r="13" spans="1:12">
      <c r="A13" s="136">
        <v>6</v>
      </c>
      <c r="B13" s="136">
        <v>21.628499999999999</v>
      </c>
      <c r="D13" s="100" t="s">
        <v>19</v>
      </c>
      <c r="E13" s="100">
        <v>79</v>
      </c>
      <c r="F13" s="100">
        <v>2013.7314550117112</v>
      </c>
      <c r="G13" s="100">
        <v>25.490271582426725</v>
      </c>
      <c r="H13" s="100"/>
      <c r="I13" s="100"/>
    </row>
    <row r="14" spans="1:12" ht="15.75" thickBot="1">
      <c r="A14" s="136">
        <v>6.8</v>
      </c>
      <c r="B14" s="136">
        <v>23.4</v>
      </c>
      <c r="D14" s="101" t="s">
        <v>47</v>
      </c>
      <c r="E14" s="101">
        <v>80</v>
      </c>
      <c r="F14" s="101">
        <v>6706.2741456069161</v>
      </c>
      <c r="G14" s="101"/>
      <c r="H14" s="101"/>
      <c r="I14" s="101"/>
    </row>
    <row r="15" spans="1:12" ht="15.75" thickBot="1">
      <c r="A15" s="136">
        <v>6.2</v>
      </c>
      <c r="B15" s="136">
        <v>24.2</v>
      </c>
    </row>
    <row r="16" spans="1:12">
      <c r="A16" s="136">
        <v>5.3</v>
      </c>
      <c r="B16" s="136">
        <v>29</v>
      </c>
      <c r="D16" s="79"/>
      <c r="E16" s="79" t="s">
        <v>54</v>
      </c>
      <c r="F16" s="79" t="s">
        <v>43</v>
      </c>
      <c r="G16" s="79" t="s">
        <v>55</v>
      </c>
      <c r="H16" s="79" t="s">
        <v>56</v>
      </c>
      <c r="I16" s="79" t="s">
        <v>57</v>
      </c>
      <c r="J16" s="79" t="s">
        <v>58</v>
      </c>
      <c r="K16" s="79" t="s">
        <v>59</v>
      </c>
      <c r="L16" s="79" t="s">
        <v>60</v>
      </c>
    </row>
    <row r="17" spans="1:12">
      <c r="A17" s="136">
        <v>2</v>
      </c>
      <c r="B17" s="136">
        <v>39.444699999999997</v>
      </c>
      <c r="D17" s="100" t="s">
        <v>48</v>
      </c>
      <c r="E17" s="100">
        <v>52.743025766171215</v>
      </c>
      <c r="F17" s="100">
        <v>1.4845865879400195</v>
      </c>
      <c r="G17" s="100">
        <v>35.527079521414983</v>
      </c>
      <c r="H17" s="100">
        <v>2.4278160558377187E-50</v>
      </c>
      <c r="I17" s="100">
        <v>49.788030080101173</v>
      </c>
      <c r="J17" s="100">
        <v>55.698021452241257</v>
      </c>
      <c r="K17" s="100">
        <v>49.788030080101173</v>
      </c>
      <c r="L17" s="100">
        <v>55.698021452241257</v>
      </c>
    </row>
    <row r="18" spans="1:12" ht="15.75" thickBot="1">
      <c r="A18" s="136">
        <v>6</v>
      </c>
      <c r="B18" s="136">
        <v>21.2</v>
      </c>
      <c r="D18" s="101" t="s">
        <v>82</v>
      </c>
      <c r="E18" s="101">
        <v>-4.9511998920349658</v>
      </c>
      <c r="F18" s="101">
        <v>0.36491656266003997</v>
      </c>
      <c r="G18" s="101">
        <v>-13.568032801645002</v>
      </c>
      <c r="H18" s="101">
        <v>2.449439193120627E-22</v>
      </c>
      <c r="I18" s="101">
        <v>-5.6775481408980983</v>
      </c>
      <c r="J18" s="101">
        <v>-4.2248516431718333</v>
      </c>
      <c r="K18" s="101">
        <v>-5.6775481408980983</v>
      </c>
      <c r="L18" s="101">
        <v>-4.2248516431718333</v>
      </c>
    </row>
    <row r="19" spans="1:12">
      <c r="A19" s="136">
        <v>3.6</v>
      </c>
      <c r="B19" s="136">
        <v>35</v>
      </c>
    </row>
    <row r="20" spans="1:12">
      <c r="A20" s="136">
        <v>3.7</v>
      </c>
      <c r="B20" s="136">
        <v>27.8</v>
      </c>
    </row>
    <row r="21" spans="1:12">
      <c r="A21" s="136">
        <v>1.6</v>
      </c>
      <c r="B21" s="136">
        <v>47.847799999999999</v>
      </c>
    </row>
    <row r="22" spans="1:12">
      <c r="A22" s="136">
        <v>2.5</v>
      </c>
      <c r="B22" s="136">
        <v>36.655700000000003</v>
      </c>
      <c r="D22" t="s">
        <v>61</v>
      </c>
      <c r="H22" t="s">
        <v>93</v>
      </c>
    </row>
    <row r="23" spans="1:12" ht="15.75" thickBot="1">
      <c r="A23" s="136">
        <v>6.2</v>
      </c>
      <c r="B23" s="136">
        <v>26.8</v>
      </c>
    </row>
    <row r="24" spans="1:12">
      <c r="A24" s="136">
        <v>1.8</v>
      </c>
      <c r="B24" s="136">
        <v>46.9</v>
      </c>
      <c r="D24" s="79" t="s">
        <v>62</v>
      </c>
      <c r="E24" s="79" t="s">
        <v>96</v>
      </c>
      <c r="F24" s="79" t="s">
        <v>63</v>
      </c>
      <c r="H24" s="79" t="s">
        <v>94</v>
      </c>
      <c r="I24" s="79" t="s">
        <v>83</v>
      </c>
    </row>
    <row r="25" spans="1:12">
      <c r="A25" s="136">
        <v>3.7</v>
      </c>
      <c r="B25" s="136">
        <v>41.4056</v>
      </c>
      <c r="D25" s="100">
        <v>1</v>
      </c>
      <c r="E25" s="100">
        <v>40.365026036083805</v>
      </c>
      <c r="F25" s="100">
        <v>11.234973963916197</v>
      </c>
      <c r="H25" s="100">
        <v>0.61728395061728392</v>
      </c>
      <c r="I25" s="100">
        <v>18.600000000000001</v>
      </c>
    </row>
    <row r="26" spans="1:12">
      <c r="A26" s="136">
        <v>6</v>
      </c>
      <c r="B26" s="136">
        <v>21.7</v>
      </c>
      <c r="D26" s="100">
        <v>2</v>
      </c>
      <c r="E26" s="100">
        <v>38.879666068473313</v>
      </c>
      <c r="F26" s="100">
        <v>-8.5796660684733119</v>
      </c>
      <c r="H26" s="100">
        <v>1.8518518518518516</v>
      </c>
      <c r="I26" s="100">
        <v>21.2</v>
      </c>
    </row>
    <row r="27" spans="1:12">
      <c r="A27" s="136">
        <v>3.6</v>
      </c>
      <c r="B27" s="136">
        <v>32.9</v>
      </c>
      <c r="D27" s="100">
        <v>3</v>
      </c>
      <c r="E27" s="100">
        <v>37.889426090066316</v>
      </c>
      <c r="F27" s="100">
        <v>1.8105739099336873</v>
      </c>
      <c r="H27" s="100">
        <v>3.0864197530864197</v>
      </c>
      <c r="I27" s="100">
        <v>21.2</v>
      </c>
    </row>
    <row r="28" spans="1:12">
      <c r="A28" s="136">
        <v>2.5</v>
      </c>
      <c r="B28" s="136">
        <v>37.137</v>
      </c>
      <c r="D28" s="100">
        <v>4</v>
      </c>
      <c r="E28" s="100">
        <v>42.840625982101287</v>
      </c>
      <c r="F28" s="100">
        <v>-1.6406259821012839</v>
      </c>
      <c r="H28" s="100">
        <v>4.3209876543209873</v>
      </c>
      <c r="I28" s="100">
        <v>21.473400000000002</v>
      </c>
    </row>
    <row r="29" spans="1:12">
      <c r="A29" s="136">
        <v>5.6</v>
      </c>
      <c r="B29" s="136">
        <v>32.4</v>
      </c>
      <c r="D29" s="100">
        <v>5</v>
      </c>
      <c r="E29" s="100">
        <v>28.977266284403381</v>
      </c>
      <c r="F29" s="100">
        <v>-6.1772662844033803</v>
      </c>
      <c r="H29" s="100">
        <v>5.5555555555555554</v>
      </c>
      <c r="I29" s="100">
        <v>21.473400000000002</v>
      </c>
    </row>
    <row r="30" spans="1:12">
      <c r="A30" s="136">
        <v>4.4000000000000004</v>
      </c>
      <c r="B30" s="136">
        <v>30.547999999999998</v>
      </c>
      <c r="D30" s="100">
        <v>6</v>
      </c>
      <c r="E30" s="100">
        <v>31.947986219624358</v>
      </c>
      <c r="F30" s="100">
        <v>-7.6469862196243596</v>
      </c>
      <c r="H30" s="100">
        <v>6.7901234567901234</v>
      </c>
      <c r="I30" s="100">
        <v>21.628499999999999</v>
      </c>
    </row>
    <row r="31" spans="1:12">
      <c r="A31" s="136">
        <v>2.4</v>
      </c>
      <c r="B31" s="136">
        <v>38.700000000000003</v>
      </c>
      <c r="D31" s="100">
        <v>7</v>
      </c>
      <c r="E31" s="100">
        <v>30.957746241217365</v>
      </c>
      <c r="F31" s="100">
        <v>-1.1199462412173631</v>
      </c>
      <c r="H31" s="100">
        <v>8.0246913580246897</v>
      </c>
      <c r="I31" s="100">
        <v>21.7</v>
      </c>
    </row>
    <row r="32" spans="1:12">
      <c r="A32" s="136">
        <v>5</v>
      </c>
      <c r="B32" s="136">
        <v>23.602799999999998</v>
      </c>
      <c r="D32" s="100">
        <v>8</v>
      </c>
      <c r="E32" s="100">
        <v>34.918706154845339</v>
      </c>
      <c r="F32" s="100">
        <v>-0.65910615484533963</v>
      </c>
      <c r="H32" s="100">
        <v>9.2592592592592577</v>
      </c>
      <c r="I32" s="100">
        <v>21.8</v>
      </c>
    </row>
    <row r="33" spans="1:9">
      <c r="A33" s="136">
        <v>2</v>
      </c>
      <c r="B33" s="136">
        <v>46.2</v>
      </c>
      <c r="D33" s="100">
        <v>9</v>
      </c>
      <c r="E33" s="100">
        <v>40.365026036083805</v>
      </c>
      <c r="F33" s="100">
        <v>-8.9981260360838036</v>
      </c>
      <c r="H33" s="100">
        <v>10.493827160493826</v>
      </c>
      <c r="I33" s="100">
        <v>21.9</v>
      </c>
    </row>
    <row r="34" spans="1:9">
      <c r="A34" s="136">
        <v>2.4</v>
      </c>
      <c r="B34" s="136">
        <v>37.299999999999997</v>
      </c>
      <c r="D34" s="100">
        <v>10</v>
      </c>
      <c r="E34" s="100">
        <v>34.918706154845339</v>
      </c>
      <c r="F34" s="100">
        <v>2.5686938451546624</v>
      </c>
      <c r="H34" s="100">
        <v>11.728395061728394</v>
      </c>
      <c r="I34" s="100">
        <v>22.8</v>
      </c>
    </row>
    <row r="35" spans="1:9">
      <c r="A35" s="136">
        <v>5.6</v>
      </c>
      <c r="B35" s="136">
        <v>34.5</v>
      </c>
      <c r="D35" s="100">
        <v>11</v>
      </c>
      <c r="E35" s="100">
        <v>30.957746241217365</v>
      </c>
      <c r="F35" s="100">
        <v>2.0921537587826364</v>
      </c>
      <c r="H35" s="100">
        <v>12.962962962962962</v>
      </c>
      <c r="I35" s="100">
        <v>22.8</v>
      </c>
    </row>
    <row r="36" spans="1:9">
      <c r="A36" s="136">
        <v>3.7</v>
      </c>
      <c r="B36" s="136">
        <v>28.5</v>
      </c>
      <c r="D36" s="100">
        <v>12</v>
      </c>
      <c r="E36" s="100">
        <v>23.03582641396142</v>
      </c>
      <c r="F36" s="100">
        <v>-1.407326413961421</v>
      </c>
      <c r="H36" s="100">
        <v>14.19753086419753</v>
      </c>
      <c r="I36" s="100">
        <v>23.4</v>
      </c>
    </row>
    <row r="37" spans="1:9">
      <c r="A37" s="136">
        <v>1.6</v>
      </c>
      <c r="B37" s="136">
        <v>52.6</v>
      </c>
      <c r="D37" s="100">
        <v>13</v>
      </c>
      <c r="E37" s="100">
        <v>19.074866500333449</v>
      </c>
      <c r="F37" s="100">
        <v>4.3251334996665491</v>
      </c>
      <c r="H37" s="100">
        <v>15.432098765432096</v>
      </c>
      <c r="I37" s="100">
        <v>23.602799999999998</v>
      </c>
    </row>
    <row r="38" spans="1:9">
      <c r="A38" s="136">
        <v>1.6</v>
      </c>
      <c r="B38" s="136">
        <v>45.3</v>
      </c>
      <c r="D38" s="100">
        <v>14</v>
      </c>
      <c r="E38" s="100">
        <v>22.045586435554426</v>
      </c>
      <c r="F38" s="100">
        <v>2.1544135644455729</v>
      </c>
      <c r="H38" s="100">
        <v>16.666666666666668</v>
      </c>
      <c r="I38" s="100">
        <v>24.2</v>
      </c>
    </row>
    <row r="39" spans="1:9">
      <c r="A39" s="136">
        <v>3</v>
      </c>
      <c r="B39" s="136">
        <v>37.999699999999997</v>
      </c>
      <c r="D39" s="100">
        <v>15</v>
      </c>
      <c r="E39" s="100">
        <v>26.501666338385895</v>
      </c>
      <c r="F39" s="100">
        <v>2.4983336616141045</v>
      </c>
      <c r="H39" s="100">
        <v>17.901234567901234</v>
      </c>
      <c r="I39" s="100">
        <v>24.300999999999998</v>
      </c>
    </row>
    <row r="40" spans="1:9">
      <c r="A40" s="136">
        <v>2.2000000000000002</v>
      </c>
      <c r="B40" s="136">
        <v>30.45</v>
      </c>
      <c r="D40" s="100">
        <v>16</v>
      </c>
      <c r="E40" s="100">
        <v>42.840625982101287</v>
      </c>
      <c r="F40" s="100">
        <v>-3.3959259821012893</v>
      </c>
      <c r="H40" s="100">
        <v>19.135802469135804</v>
      </c>
      <c r="I40" s="100">
        <v>25.6</v>
      </c>
    </row>
    <row r="41" spans="1:9">
      <c r="A41" s="136">
        <v>3.2</v>
      </c>
      <c r="B41" s="136">
        <v>34.542400000000001</v>
      </c>
      <c r="D41" s="100">
        <v>17</v>
      </c>
      <c r="E41" s="100">
        <v>23.03582641396142</v>
      </c>
      <c r="F41" s="100">
        <v>-1.8358264139614207</v>
      </c>
      <c r="H41" s="100">
        <v>20.37037037037037</v>
      </c>
      <c r="I41" s="100">
        <v>25.7</v>
      </c>
    </row>
    <row r="42" spans="1:9">
      <c r="A42" s="136">
        <v>2</v>
      </c>
      <c r="B42" s="136">
        <v>39.4</v>
      </c>
      <c r="D42" s="100">
        <v>18</v>
      </c>
      <c r="E42" s="100">
        <v>34.918706154845339</v>
      </c>
      <c r="F42" s="100">
        <v>8.1293845154661426E-2</v>
      </c>
      <c r="H42" s="100">
        <v>21.604938271604937</v>
      </c>
      <c r="I42" s="100">
        <v>25.897200000000002</v>
      </c>
    </row>
    <row r="43" spans="1:9">
      <c r="A43" s="136">
        <v>3.5</v>
      </c>
      <c r="B43" s="136">
        <v>34.9</v>
      </c>
      <c r="D43" s="100">
        <v>19</v>
      </c>
      <c r="E43" s="100">
        <v>34.423586165641836</v>
      </c>
      <c r="F43" s="100">
        <v>-6.6235861656418358</v>
      </c>
      <c r="H43" s="100">
        <v>22.839506172839506</v>
      </c>
      <c r="I43" s="100">
        <v>25.897500000000001</v>
      </c>
    </row>
    <row r="44" spans="1:9">
      <c r="A44" s="136">
        <v>2.5</v>
      </c>
      <c r="B44" s="136">
        <v>40.107700000000001</v>
      </c>
      <c r="D44" s="100">
        <v>20</v>
      </c>
      <c r="E44" s="100">
        <v>44.821105938915267</v>
      </c>
      <c r="F44" s="100">
        <v>3.0266940610847328</v>
      </c>
      <c r="H44" s="100">
        <v>24.074074074074073</v>
      </c>
      <c r="I44" s="100">
        <v>26.8</v>
      </c>
    </row>
    <row r="45" spans="1:9">
      <c r="A45" s="136">
        <v>5</v>
      </c>
      <c r="B45" s="136">
        <v>25.897200000000002</v>
      </c>
      <c r="D45" s="100">
        <v>21</v>
      </c>
      <c r="E45" s="100">
        <v>40.365026036083805</v>
      </c>
      <c r="F45" s="100">
        <v>-3.7093260360838016</v>
      </c>
      <c r="H45" s="100">
        <v>25.308641975308642</v>
      </c>
      <c r="I45" s="100">
        <v>27.730699999999999</v>
      </c>
    </row>
    <row r="46" spans="1:9">
      <c r="A46" s="136">
        <v>5</v>
      </c>
      <c r="B46" s="136">
        <v>28.700900000000001</v>
      </c>
      <c r="D46" s="100">
        <v>22</v>
      </c>
      <c r="E46" s="100">
        <v>22.045586435554426</v>
      </c>
      <c r="F46" s="100">
        <v>4.7544135644455743</v>
      </c>
      <c r="H46" s="100">
        <v>26.543209876543209</v>
      </c>
      <c r="I46" s="100">
        <v>27.8</v>
      </c>
    </row>
    <row r="47" spans="1:9">
      <c r="A47" s="136">
        <v>5.4</v>
      </c>
      <c r="B47" s="136">
        <v>21.2</v>
      </c>
      <c r="D47" s="100">
        <v>23</v>
      </c>
      <c r="E47" s="100">
        <v>43.830865960508277</v>
      </c>
      <c r="F47" s="100">
        <v>3.0691340394917219</v>
      </c>
      <c r="H47" s="100">
        <v>27.777777777777779</v>
      </c>
      <c r="I47" s="100">
        <v>28.5</v>
      </c>
    </row>
    <row r="48" spans="1:9">
      <c r="A48" s="136">
        <v>2.5</v>
      </c>
      <c r="B48" s="136">
        <v>43.261699999999998</v>
      </c>
      <c r="D48" s="100">
        <v>24</v>
      </c>
      <c r="E48" s="100">
        <v>34.423586165641836</v>
      </c>
      <c r="F48" s="100">
        <v>6.9820138343581633</v>
      </c>
      <c r="H48" s="100">
        <v>29.012345679012345</v>
      </c>
      <c r="I48" s="100">
        <v>28.5</v>
      </c>
    </row>
    <row r="49" spans="1:9">
      <c r="A49" s="136">
        <v>3.7</v>
      </c>
      <c r="B49" s="136">
        <v>31.364100000000001</v>
      </c>
      <c r="D49" s="100">
        <v>25</v>
      </c>
      <c r="E49" s="100">
        <v>23.03582641396142</v>
      </c>
      <c r="F49" s="100">
        <v>-1.3358264139614207</v>
      </c>
      <c r="H49" s="100">
        <v>30.246913580246911</v>
      </c>
      <c r="I49" s="100">
        <v>28.566800000000001</v>
      </c>
    </row>
    <row r="50" spans="1:9">
      <c r="A50" s="136">
        <v>2.5</v>
      </c>
      <c r="B50" s="136">
        <v>37.037799999999997</v>
      </c>
      <c r="D50" s="100">
        <v>26</v>
      </c>
      <c r="E50" s="100">
        <v>34.918706154845339</v>
      </c>
      <c r="F50" s="100">
        <v>-2.01870615484534</v>
      </c>
      <c r="H50" s="100">
        <v>31.481481481481481</v>
      </c>
      <c r="I50" s="100">
        <v>28.700900000000001</v>
      </c>
    </row>
    <row r="51" spans="1:9">
      <c r="A51" s="136">
        <v>2.2999999999999998</v>
      </c>
      <c r="B51" s="136">
        <v>34.700000000000003</v>
      </c>
      <c r="D51" s="100">
        <v>27</v>
      </c>
      <c r="E51" s="100">
        <v>40.365026036083805</v>
      </c>
      <c r="F51" s="100">
        <v>-3.2280260360838042</v>
      </c>
      <c r="H51" s="100">
        <v>32.716049382716051</v>
      </c>
      <c r="I51" s="100">
        <v>29</v>
      </c>
    </row>
    <row r="52" spans="1:9">
      <c r="A52" s="136">
        <v>3.6</v>
      </c>
      <c r="B52" s="136">
        <v>36.1</v>
      </c>
      <c r="D52" s="100">
        <v>28</v>
      </c>
      <c r="E52" s="100">
        <v>25.016306370775407</v>
      </c>
      <c r="F52" s="100">
        <v>7.3836936292245916</v>
      </c>
      <c r="H52" s="100">
        <v>33.950617283950614</v>
      </c>
      <c r="I52" s="100">
        <v>29</v>
      </c>
    </row>
    <row r="53" spans="1:9">
      <c r="A53" s="136">
        <v>6</v>
      </c>
      <c r="B53" s="136">
        <v>21.473400000000002</v>
      </c>
      <c r="D53" s="100">
        <v>29</v>
      </c>
      <c r="E53" s="100">
        <v>30.957746241217365</v>
      </c>
      <c r="F53" s="100">
        <v>-0.40974624121736625</v>
      </c>
      <c r="H53" s="100">
        <v>35.185185185185183</v>
      </c>
      <c r="I53" s="100">
        <v>29.837800000000001</v>
      </c>
    </row>
    <row r="54" spans="1:9">
      <c r="A54" s="136">
        <v>6</v>
      </c>
      <c r="B54" s="136">
        <v>21.8</v>
      </c>
      <c r="D54" s="100">
        <v>30</v>
      </c>
      <c r="E54" s="100">
        <v>40.8601460252873</v>
      </c>
      <c r="F54" s="100">
        <v>-2.1601460252872968</v>
      </c>
      <c r="H54" s="100">
        <v>36.419753086419753</v>
      </c>
      <c r="I54" s="100">
        <v>29.9499</v>
      </c>
    </row>
    <row r="55" spans="1:9">
      <c r="A55" s="136">
        <v>5.3</v>
      </c>
      <c r="B55" s="136">
        <v>29</v>
      </c>
      <c r="D55" s="100">
        <v>31</v>
      </c>
      <c r="E55" s="100">
        <v>27.987026305996388</v>
      </c>
      <c r="F55" s="100">
        <v>-4.3842263059963891</v>
      </c>
      <c r="H55" s="100">
        <v>37.654320987654323</v>
      </c>
      <c r="I55" s="100">
        <v>30.3</v>
      </c>
    </row>
    <row r="56" spans="1:9">
      <c r="A56" s="136">
        <v>5.5</v>
      </c>
      <c r="B56" s="136">
        <v>31.7</v>
      </c>
      <c r="D56" s="100">
        <v>32</v>
      </c>
      <c r="E56" s="100">
        <v>42.840625982101287</v>
      </c>
      <c r="F56" s="100">
        <v>3.3593740178987161</v>
      </c>
      <c r="H56" s="100">
        <v>38.888888888888886</v>
      </c>
      <c r="I56" s="100">
        <v>30.45</v>
      </c>
    </row>
    <row r="57" spans="1:9">
      <c r="A57" s="136">
        <v>4.8</v>
      </c>
      <c r="B57" s="136">
        <v>22.8</v>
      </c>
      <c r="D57" s="100">
        <v>33</v>
      </c>
      <c r="E57" s="100">
        <v>40.8601460252873</v>
      </c>
      <c r="F57" s="100">
        <v>-3.5601460252873025</v>
      </c>
      <c r="H57" s="100">
        <v>40.123456790123456</v>
      </c>
      <c r="I57" s="100">
        <v>30.547999999999998</v>
      </c>
    </row>
    <row r="58" spans="1:9">
      <c r="A58" s="136">
        <v>4.4000000000000004</v>
      </c>
      <c r="B58" s="136">
        <v>27.730699999999999</v>
      </c>
      <c r="D58" s="100">
        <v>34</v>
      </c>
      <c r="E58" s="100">
        <v>25.016306370775407</v>
      </c>
      <c r="F58" s="100">
        <v>9.483693629224593</v>
      </c>
      <c r="H58" s="100">
        <v>41.358024691358025</v>
      </c>
      <c r="I58" s="100">
        <v>30.6</v>
      </c>
    </row>
    <row r="59" spans="1:9">
      <c r="A59" s="136">
        <v>2</v>
      </c>
      <c r="B59" s="136">
        <v>44.707999999999998</v>
      </c>
      <c r="D59" s="100">
        <v>35</v>
      </c>
      <c r="E59" s="100">
        <v>34.423586165641836</v>
      </c>
      <c r="F59" s="100">
        <v>-5.9235861656418365</v>
      </c>
      <c r="H59" s="100">
        <v>42.592592592592588</v>
      </c>
      <c r="I59" s="100">
        <v>30.850300000000001</v>
      </c>
    </row>
    <row r="60" spans="1:9">
      <c r="A60" s="136">
        <v>5.7</v>
      </c>
      <c r="B60" s="136">
        <v>25.6</v>
      </c>
      <c r="D60" s="100">
        <v>36</v>
      </c>
      <c r="E60" s="100">
        <v>44.821105938915267</v>
      </c>
      <c r="F60" s="100">
        <v>7.7788940610847348</v>
      </c>
      <c r="H60" s="100">
        <v>43.827160493827158</v>
      </c>
      <c r="I60" s="100">
        <v>31.364100000000001</v>
      </c>
    </row>
    <row r="61" spans="1:9">
      <c r="A61" s="136">
        <v>2</v>
      </c>
      <c r="B61" s="136">
        <v>59.438099999999999</v>
      </c>
      <c r="D61" s="100">
        <v>37</v>
      </c>
      <c r="E61" s="100">
        <v>44.821105938915267</v>
      </c>
      <c r="F61" s="100">
        <v>0.47889406108473054</v>
      </c>
      <c r="H61" s="100">
        <v>45.061728395061728</v>
      </c>
      <c r="I61" s="100">
        <v>31.366900000000001</v>
      </c>
    </row>
    <row r="62" spans="1:9">
      <c r="A62" s="136">
        <v>3</v>
      </c>
      <c r="B62" s="136">
        <v>47.1</v>
      </c>
      <c r="D62" s="100">
        <v>38</v>
      </c>
      <c r="E62" s="100">
        <v>37.889426090066316</v>
      </c>
      <c r="F62" s="100">
        <v>0.11027390993368158</v>
      </c>
      <c r="H62" s="100">
        <v>46.296296296296298</v>
      </c>
      <c r="I62" s="100">
        <v>31.7</v>
      </c>
    </row>
    <row r="63" spans="1:9">
      <c r="A63" s="136">
        <v>6</v>
      </c>
      <c r="B63" s="136">
        <v>21.473400000000002</v>
      </c>
      <c r="D63" s="100">
        <v>39</v>
      </c>
      <c r="E63" s="100">
        <v>41.85038600369429</v>
      </c>
      <c r="F63" s="100">
        <v>-11.40038600369429</v>
      </c>
      <c r="H63" s="100">
        <v>47.53086419753086</v>
      </c>
      <c r="I63" s="100">
        <v>32.4</v>
      </c>
    </row>
    <row r="64" spans="1:9">
      <c r="A64" s="136">
        <v>2.4</v>
      </c>
      <c r="B64" s="136">
        <v>42</v>
      </c>
      <c r="D64" s="100">
        <v>40</v>
      </c>
      <c r="E64" s="100">
        <v>36.899186111659326</v>
      </c>
      <c r="F64" s="100">
        <v>-2.3567861116593249</v>
      </c>
      <c r="H64" s="100">
        <v>48.76543209876543</v>
      </c>
      <c r="I64" s="100">
        <v>32.9</v>
      </c>
    </row>
    <row r="65" spans="1:9">
      <c r="A65" s="136">
        <v>4.7</v>
      </c>
      <c r="B65" s="136">
        <v>25.7</v>
      </c>
      <c r="D65" s="100">
        <v>41</v>
      </c>
      <c r="E65" s="100">
        <v>42.840625982101287</v>
      </c>
      <c r="F65" s="100">
        <v>-3.4406259821012881</v>
      </c>
      <c r="H65" s="100">
        <v>50</v>
      </c>
      <c r="I65" s="100">
        <v>33.049900000000001</v>
      </c>
    </row>
    <row r="66" spans="1:9">
      <c r="A66" s="136">
        <v>2.4</v>
      </c>
      <c r="B66" s="136">
        <v>40.299999999999997</v>
      </c>
      <c r="D66" s="100">
        <v>42</v>
      </c>
      <c r="E66" s="100">
        <v>35.413826144048834</v>
      </c>
      <c r="F66" s="100">
        <v>-0.51382614404883498</v>
      </c>
      <c r="H66" s="100">
        <v>51.234567901234563</v>
      </c>
      <c r="I66" s="100">
        <v>33.4</v>
      </c>
    </row>
    <row r="67" spans="1:9">
      <c r="A67" s="136">
        <v>4.5999999999999996</v>
      </c>
      <c r="B67" s="136">
        <v>21.9</v>
      </c>
      <c r="D67" s="100">
        <v>43</v>
      </c>
      <c r="E67" s="100">
        <v>40.365026036083805</v>
      </c>
      <c r="F67" s="100">
        <v>-0.25732603608380344</v>
      </c>
      <c r="H67" s="100">
        <v>52.469135802469133</v>
      </c>
      <c r="I67" s="100">
        <v>34.259599999999999</v>
      </c>
    </row>
    <row r="68" spans="1:9">
      <c r="A68" s="136">
        <v>4</v>
      </c>
      <c r="B68" s="136">
        <v>28.5</v>
      </c>
      <c r="D68" s="100">
        <v>44</v>
      </c>
      <c r="E68" s="100">
        <v>27.987026305996388</v>
      </c>
      <c r="F68" s="100">
        <v>-2.089826305996386</v>
      </c>
      <c r="H68" s="100">
        <v>53.703703703703702</v>
      </c>
      <c r="I68" s="100">
        <v>34.5</v>
      </c>
    </row>
    <row r="69" spans="1:9">
      <c r="A69" s="136">
        <v>1.6</v>
      </c>
      <c r="B69" s="136">
        <v>42.8</v>
      </c>
      <c r="D69" s="100">
        <v>45</v>
      </c>
      <c r="E69" s="100">
        <v>27.987026305996388</v>
      </c>
      <c r="F69" s="100">
        <v>0.71387369400361322</v>
      </c>
      <c r="H69" s="100">
        <v>54.938271604938272</v>
      </c>
      <c r="I69" s="100">
        <v>34.542400000000001</v>
      </c>
    </row>
    <row r="70" spans="1:9">
      <c r="A70" s="136">
        <v>6.4</v>
      </c>
      <c r="B70" s="136">
        <v>29.9499</v>
      </c>
      <c r="D70" s="100">
        <v>46</v>
      </c>
      <c r="E70" s="100">
        <v>26.006546349182397</v>
      </c>
      <c r="F70" s="100">
        <v>-4.8065463491823976</v>
      </c>
      <c r="H70" s="100">
        <v>56.172839506172835</v>
      </c>
      <c r="I70" s="100">
        <v>34.700000000000003</v>
      </c>
    </row>
    <row r="71" spans="1:9">
      <c r="A71" s="136">
        <v>6.8</v>
      </c>
      <c r="B71" s="136">
        <v>18.600000000000001</v>
      </c>
      <c r="D71" s="100">
        <v>47</v>
      </c>
      <c r="E71" s="100">
        <v>40.365026036083805</v>
      </c>
      <c r="F71" s="100">
        <v>2.8966739639161929</v>
      </c>
      <c r="H71" s="100">
        <v>57.407407407407405</v>
      </c>
      <c r="I71" s="100">
        <v>34.9</v>
      </c>
    </row>
    <row r="72" spans="1:9">
      <c r="A72" s="136">
        <v>2</v>
      </c>
      <c r="B72" s="136">
        <v>41.399000000000001</v>
      </c>
      <c r="D72" s="100">
        <v>48</v>
      </c>
      <c r="E72" s="100">
        <v>34.423586165641836</v>
      </c>
      <c r="F72" s="100">
        <v>-3.059486165641836</v>
      </c>
      <c r="H72" s="100">
        <v>58.641975308641975</v>
      </c>
      <c r="I72" s="100">
        <v>35</v>
      </c>
    </row>
    <row r="73" spans="1:9">
      <c r="A73" s="136">
        <v>1.5</v>
      </c>
      <c r="B73" s="136">
        <v>49.6</v>
      </c>
      <c r="D73" s="100">
        <v>49</v>
      </c>
      <c r="E73" s="100">
        <v>40.365026036083805</v>
      </c>
      <c r="F73" s="100">
        <v>-3.3272260360838075</v>
      </c>
      <c r="H73" s="100">
        <v>59.876543209876537</v>
      </c>
      <c r="I73" s="100">
        <v>36.1</v>
      </c>
    </row>
    <row r="74" spans="1:9">
      <c r="A74" s="136">
        <v>5.5</v>
      </c>
      <c r="B74" s="136">
        <v>30.6</v>
      </c>
      <c r="D74" s="100">
        <v>50</v>
      </c>
      <c r="E74" s="100">
        <v>41.355266014490795</v>
      </c>
      <c r="F74" s="100">
        <v>-6.6552660144907918</v>
      </c>
      <c r="H74" s="100">
        <v>61.111111111111107</v>
      </c>
      <c r="I74" s="100">
        <v>36.655700000000003</v>
      </c>
    </row>
    <row r="75" spans="1:9">
      <c r="A75" s="136">
        <v>2.5</v>
      </c>
      <c r="B75" s="136">
        <v>42.904000000000003</v>
      </c>
      <c r="D75" s="100">
        <v>51</v>
      </c>
      <c r="E75" s="100">
        <v>34.918706154845339</v>
      </c>
      <c r="F75" s="100">
        <v>1.1812938451546628</v>
      </c>
      <c r="H75" s="100">
        <v>62.345679012345677</v>
      </c>
      <c r="I75" s="100">
        <v>37.037799999999997</v>
      </c>
    </row>
    <row r="76" spans="1:9">
      <c r="A76" s="136">
        <v>3.4</v>
      </c>
      <c r="B76" s="136">
        <v>37.055</v>
      </c>
      <c r="D76" s="100">
        <v>52</v>
      </c>
      <c r="E76" s="100">
        <v>23.03582641396142</v>
      </c>
      <c r="F76" s="100">
        <v>-1.5624264139614183</v>
      </c>
      <c r="H76" s="100">
        <v>63.580246913580247</v>
      </c>
      <c r="I76" s="100">
        <v>37.055</v>
      </c>
    </row>
    <row r="77" spans="1:9">
      <c r="A77" s="136">
        <v>1.6</v>
      </c>
      <c r="B77" s="136">
        <v>50.243600000000001</v>
      </c>
      <c r="D77" s="100">
        <v>53</v>
      </c>
      <c r="E77" s="100">
        <v>23.03582641396142</v>
      </c>
      <c r="F77" s="100">
        <v>-1.2358264139614192</v>
      </c>
      <c r="H77" s="100">
        <v>64.81481481481481</v>
      </c>
      <c r="I77" s="100">
        <v>37.137</v>
      </c>
    </row>
    <row r="78" spans="1:9">
      <c r="A78" s="136">
        <v>5</v>
      </c>
      <c r="B78" s="136">
        <v>25.897500000000001</v>
      </c>
      <c r="D78" s="100">
        <v>54</v>
      </c>
      <c r="E78" s="100">
        <v>26.501666338385895</v>
      </c>
      <c r="F78" s="100">
        <v>2.4983336616141045</v>
      </c>
      <c r="H78" s="100">
        <v>66.049382716049379</v>
      </c>
      <c r="I78" s="100">
        <v>37.299999999999997</v>
      </c>
    </row>
    <row r="79" spans="1:9">
      <c r="A79" s="136">
        <v>1.6</v>
      </c>
      <c r="B79" s="136">
        <v>54.250100000000003</v>
      </c>
      <c r="D79" s="100">
        <v>55</v>
      </c>
      <c r="E79" s="100">
        <v>25.511426359978902</v>
      </c>
      <c r="F79" s="100">
        <v>6.1885736400210973</v>
      </c>
      <c r="H79" s="100">
        <v>67.283950617283935</v>
      </c>
      <c r="I79" s="100">
        <v>37.487400000000001</v>
      </c>
    </row>
    <row r="80" spans="1:9">
      <c r="A80" s="136">
        <v>3.7</v>
      </c>
      <c r="B80" s="136">
        <v>33.4</v>
      </c>
      <c r="D80" s="100">
        <v>56</v>
      </c>
      <c r="E80" s="100">
        <v>28.977266284403381</v>
      </c>
      <c r="F80" s="100">
        <v>-6.1772662844033803</v>
      </c>
      <c r="H80" s="100">
        <v>68.518518518518505</v>
      </c>
      <c r="I80" s="100">
        <v>37.999699999999997</v>
      </c>
    </row>
    <row r="81" spans="1:9">
      <c r="A81" s="136">
        <v>5</v>
      </c>
      <c r="B81" s="136">
        <v>30.850300000000001</v>
      </c>
      <c r="D81" s="100">
        <v>57</v>
      </c>
      <c r="E81" s="100">
        <v>30.957746241217365</v>
      </c>
      <c r="F81" s="100">
        <v>-3.2270462412173657</v>
      </c>
      <c r="H81" s="100">
        <v>69.753086419753075</v>
      </c>
      <c r="I81" s="100">
        <v>38.700000000000003</v>
      </c>
    </row>
    <row r="82" spans="1:9">
      <c r="A82" s="136">
        <v>3.7</v>
      </c>
      <c r="B82" s="136">
        <v>28.566800000000001</v>
      </c>
      <c r="D82" s="100">
        <v>58</v>
      </c>
      <c r="E82" s="100">
        <v>42.840625982101287</v>
      </c>
      <c r="F82" s="100">
        <v>1.8673740178987117</v>
      </c>
      <c r="H82" s="100">
        <v>70.987654320987644</v>
      </c>
      <c r="I82" s="100">
        <v>39.4</v>
      </c>
    </row>
    <row r="83" spans="1:9">
      <c r="A83" s="137">
        <f>SUM(A2:A82)</f>
        <v>305.09999999999997</v>
      </c>
      <c r="B83" s="137">
        <f>SUM(B2:B82)</f>
        <v>2761.5740000000005</v>
      </c>
      <c r="D83" s="100">
        <v>59</v>
      </c>
      <c r="E83" s="100">
        <v>24.521186381571908</v>
      </c>
      <c r="F83" s="100">
        <v>1.078813618428093</v>
      </c>
      <c r="H83" s="100">
        <v>72.222222222222214</v>
      </c>
      <c r="I83" s="100">
        <v>39.444699999999997</v>
      </c>
    </row>
    <row r="84" spans="1:9">
      <c r="A84" s="136">
        <f>COUNT(A2:A82)</f>
        <v>81</v>
      </c>
      <c r="B84" s="136">
        <f>COUNT(B2:B82)</f>
        <v>81</v>
      </c>
      <c r="D84" s="100">
        <v>60</v>
      </c>
      <c r="E84" s="100">
        <v>42.840625982101287</v>
      </c>
      <c r="F84" s="100">
        <v>16.597474017898712</v>
      </c>
      <c r="H84" s="100">
        <v>73.456790123456784</v>
      </c>
      <c r="I84" s="100">
        <v>39.700000000000003</v>
      </c>
    </row>
    <row r="85" spans="1:9">
      <c r="D85" s="100">
        <v>61</v>
      </c>
      <c r="E85" s="100">
        <v>37.889426090066316</v>
      </c>
      <c r="F85" s="100">
        <v>9.2105739099336859</v>
      </c>
      <c r="H85" s="100">
        <v>74.691358024691354</v>
      </c>
      <c r="I85" s="100">
        <v>40.107700000000001</v>
      </c>
    </row>
    <row r="86" spans="1:9">
      <c r="D86" s="100">
        <v>62</v>
      </c>
      <c r="E86" s="100">
        <v>23.03582641396142</v>
      </c>
      <c r="F86" s="100">
        <v>-1.5624264139614183</v>
      </c>
      <c r="H86" s="100">
        <v>75.92592592592591</v>
      </c>
      <c r="I86" s="100">
        <v>40.299999999999997</v>
      </c>
    </row>
    <row r="87" spans="1:9">
      <c r="D87" s="100">
        <v>63</v>
      </c>
      <c r="E87" s="100">
        <v>40.8601460252873</v>
      </c>
      <c r="F87" s="100">
        <v>1.1398539747127003</v>
      </c>
      <c r="H87" s="100">
        <v>77.160493827160479</v>
      </c>
      <c r="I87" s="100">
        <v>41.2</v>
      </c>
    </row>
    <row r="88" spans="1:9">
      <c r="D88" s="100">
        <v>64</v>
      </c>
      <c r="E88" s="100">
        <v>29.472386273606876</v>
      </c>
      <c r="F88" s="100">
        <v>-3.7723862736068767</v>
      </c>
      <c r="H88" s="100">
        <v>78.395061728395049</v>
      </c>
      <c r="I88" s="100">
        <v>41.399000000000001</v>
      </c>
    </row>
    <row r="89" spans="1:9">
      <c r="D89" s="100">
        <v>65</v>
      </c>
      <c r="E89" s="100">
        <v>40.8601460252873</v>
      </c>
      <c r="F89" s="100">
        <v>-0.56014602528730251</v>
      </c>
      <c r="H89" s="100">
        <v>79.629629629629619</v>
      </c>
      <c r="I89" s="100">
        <v>41.4056</v>
      </c>
    </row>
    <row r="90" spans="1:9">
      <c r="D90" s="100">
        <v>66</v>
      </c>
      <c r="E90" s="100">
        <v>29.967506262810375</v>
      </c>
      <c r="F90" s="100">
        <v>-8.067506262810376</v>
      </c>
      <c r="H90" s="100">
        <v>80.864197530864189</v>
      </c>
      <c r="I90" s="100">
        <v>42</v>
      </c>
    </row>
    <row r="91" spans="1:9">
      <c r="D91" s="100">
        <v>67</v>
      </c>
      <c r="E91" s="100">
        <v>32.938226198031352</v>
      </c>
      <c r="F91" s="100">
        <v>-4.4382261980313515</v>
      </c>
      <c r="H91" s="100">
        <v>82.098765432098759</v>
      </c>
      <c r="I91" s="100">
        <v>42.8</v>
      </c>
    </row>
    <row r="92" spans="1:9">
      <c r="D92" s="100">
        <v>68</v>
      </c>
      <c r="E92" s="100">
        <v>44.821105938915267</v>
      </c>
      <c r="F92" s="100">
        <v>-2.0211059389152695</v>
      </c>
      <c r="H92" s="100">
        <v>83.333333333333329</v>
      </c>
      <c r="I92" s="100">
        <v>42.904000000000003</v>
      </c>
    </row>
    <row r="93" spans="1:9">
      <c r="D93" s="100">
        <v>69</v>
      </c>
      <c r="E93" s="100">
        <v>21.055346457147433</v>
      </c>
      <c r="F93" s="100">
        <v>8.8945535428525666</v>
      </c>
      <c r="H93" s="100">
        <v>84.567901234567884</v>
      </c>
      <c r="I93" s="100">
        <v>43.261699999999998</v>
      </c>
    </row>
    <row r="94" spans="1:9">
      <c r="D94" s="100">
        <v>70</v>
      </c>
      <c r="E94" s="100">
        <v>19.074866500333449</v>
      </c>
      <c r="F94" s="100">
        <v>-0.47486650033344802</v>
      </c>
      <c r="H94" s="100">
        <v>85.802469135802454</v>
      </c>
      <c r="I94" s="100">
        <v>44.707999999999998</v>
      </c>
    </row>
    <row r="95" spans="1:9">
      <c r="D95" s="100">
        <v>71</v>
      </c>
      <c r="E95" s="100">
        <v>42.840625982101287</v>
      </c>
      <c r="F95" s="100">
        <v>-1.4416259821012858</v>
      </c>
      <c r="H95" s="100">
        <v>87.037037037037024</v>
      </c>
      <c r="I95" s="100">
        <v>45.3</v>
      </c>
    </row>
    <row r="96" spans="1:9">
      <c r="D96" s="100">
        <v>72</v>
      </c>
      <c r="E96" s="100">
        <v>45.316225928118769</v>
      </c>
      <c r="F96" s="100">
        <v>4.2837740718812327</v>
      </c>
      <c r="H96" s="100">
        <v>88.271604938271594</v>
      </c>
      <c r="I96" s="100">
        <v>46.2</v>
      </c>
    </row>
    <row r="97" spans="4:9">
      <c r="D97" s="100">
        <v>73</v>
      </c>
      <c r="E97" s="100">
        <v>25.511426359978902</v>
      </c>
      <c r="F97" s="100">
        <v>5.0885736400210995</v>
      </c>
      <c r="H97" s="100">
        <v>89.506172839506164</v>
      </c>
      <c r="I97" s="100">
        <v>46.9</v>
      </c>
    </row>
    <row r="98" spans="4:9">
      <c r="D98" s="100">
        <v>74</v>
      </c>
      <c r="E98" s="100">
        <v>40.365026036083805</v>
      </c>
      <c r="F98" s="100">
        <v>2.5389739639161988</v>
      </c>
      <c r="H98" s="100">
        <v>90.740740740740733</v>
      </c>
      <c r="I98" s="100">
        <v>47.1</v>
      </c>
    </row>
    <row r="99" spans="4:9">
      <c r="D99" s="100">
        <v>75</v>
      </c>
      <c r="E99" s="100">
        <v>35.908946133252329</v>
      </c>
      <c r="F99" s="100">
        <v>1.1460538667476712</v>
      </c>
      <c r="H99" s="100">
        <v>91.975308641975303</v>
      </c>
      <c r="I99" s="100">
        <v>47.847799999999999</v>
      </c>
    </row>
    <row r="100" spans="4:9">
      <c r="D100" s="100">
        <v>76</v>
      </c>
      <c r="E100" s="100">
        <v>44.821105938915267</v>
      </c>
      <c r="F100" s="100">
        <v>5.4224940610847341</v>
      </c>
      <c r="H100" s="100">
        <v>93.209876543209859</v>
      </c>
      <c r="I100" s="100">
        <v>49.6</v>
      </c>
    </row>
    <row r="101" spans="4:9">
      <c r="D101" s="100">
        <v>77</v>
      </c>
      <c r="E101" s="100">
        <v>27.987026305996388</v>
      </c>
      <c r="F101" s="100">
        <v>-2.0895263059963867</v>
      </c>
      <c r="H101" s="100">
        <v>94.444444444444429</v>
      </c>
      <c r="I101" s="100">
        <v>50.243600000000001</v>
      </c>
    </row>
    <row r="102" spans="4:9">
      <c r="D102" s="100">
        <v>78</v>
      </c>
      <c r="E102" s="100">
        <v>44.821105938915267</v>
      </c>
      <c r="F102" s="100">
        <v>9.4289940610847367</v>
      </c>
      <c r="H102" s="100">
        <v>95.679012345678998</v>
      </c>
      <c r="I102" s="100">
        <v>51.6</v>
      </c>
    </row>
    <row r="103" spans="4:9">
      <c r="D103" s="100">
        <v>79</v>
      </c>
      <c r="E103" s="100">
        <v>34.423586165641836</v>
      </c>
      <c r="F103" s="100">
        <v>-1.0235861656418379</v>
      </c>
      <c r="H103" s="100">
        <v>96.913580246913568</v>
      </c>
      <c r="I103" s="100">
        <v>52.6</v>
      </c>
    </row>
    <row r="104" spans="4:9">
      <c r="D104" s="100">
        <v>80</v>
      </c>
      <c r="E104" s="100">
        <v>27.987026305996388</v>
      </c>
      <c r="F104" s="100">
        <v>2.8632736940036132</v>
      </c>
      <c r="H104" s="100">
        <v>98.148148148148138</v>
      </c>
      <c r="I104" s="100">
        <v>54.250100000000003</v>
      </c>
    </row>
    <row r="105" spans="4:9" ht="15.75" thickBot="1">
      <c r="D105" s="101">
        <v>81</v>
      </c>
      <c r="E105" s="101">
        <v>34.423586165641836</v>
      </c>
      <c r="F105" s="101">
        <v>-5.8567861656418359</v>
      </c>
      <c r="H105" s="101">
        <v>99.382716049382708</v>
      </c>
      <c r="I105" s="101">
        <v>59.438099999999999</v>
      </c>
    </row>
  </sheetData>
  <sortState ref="I25:I105">
    <sortCondition ref="I25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86"/>
  <sheetViews>
    <sheetView tabSelected="1" workbookViewId="0">
      <selection activeCell="I26" sqref="I26"/>
    </sheetView>
  </sheetViews>
  <sheetFormatPr defaultRowHeight="15"/>
  <cols>
    <col min="1" max="1" width="6.5703125" bestFit="1" customWidth="1"/>
    <col min="2" max="2" width="7.5703125" bestFit="1" customWidth="1"/>
    <col min="3" max="3" width="6.5703125" bestFit="1" customWidth="1"/>
    <col min="4" max="4" width="7.5703125" bestFit="1" customWidth="1"/>
    <col min="5" max="5" width="6.5703125" bestFit="1" customWidth="1"/>
    <col min="6" max="6" width="7.5703125" bestFit="1" customWidth="1"/>
    <col min="24" max="26" width="6" bestFit="1" customWidth="1"/>
  </cols>
  <sheetData>
    <row r="1" spans="1:18">
      <c r="A1" s="57" t="str">
        <f>'Q.6 Rand()'!R2</f>
        <v>S1_X</v>
      </c>
      <c r="B1" s="57" t="str">
        <f>'Q.6 Rand()'!S2</f>
        <v>S1_Y</v>
      </c>
      <c r="C1" s="58" t="str">
        <f>'Q.6 Rand()'!T2</f>
        <v>S2_X</v>
      </c>
      <c r="D1" s="58" t="str">
        <f>'Q.6 Rand()'!U2</f>
        <v>S2_Y</v>
      </c>
      <c r="E1" s="59" t="str">
        <f>'Q.6 Rand()'!V2</f>
        <v>S3_X</v>
      </c>
      <c r="F1" s="59" t="str">
        <f>'Q.6 Rand()'!W2</f>
        <v>S3_Y</v>
      </c>
      <c r="H1" s="57" t="s">
        <v>48</v>
      </c>
      <c r="I1" s="58" t="s">
        <v>48</v>
      </c>
      <c r="J1" s="59" t="s">
        <v>48</v>
      </c>
      <c r="K1" s="1"/>
      <c r="L1" s="57" t="s">
        <v>86</v>
      </c>
      <c r="M1" s="58" t="s">
        <v>86</v>
      </c>
      <c r="N1" s="59" t="s">
        <v>86</v>
      </c>
      <c r="P1" s="57" t="s">
        <v>89</v>
      </c>
      <c r="Q1" s="58" t="s">
        <v>90</v>
      </c>
      <c r="R1" s="59" t="s">
        <v>91</v>
      </c>
    </row>
    <row r="2" spans="1:18">
      <c r="A2" s="132">
        <f>'Q.6 Rand()'!R3</f>
        <v>3.7</v>
      </c>
      <c r="B2" s="132">
        <f>'Q.6 Rand()'!S3</f>
        <v>28.567399999999999</v>
      </c>
      <c r="C2" s="134">
        <f>'Q.6 Rand()'!T3</f>
        <v>3.5</v>
      </c>
      <c r="D2" s="134">
        <f>'Q.6 Rand()'!U3</f>
        <v>34.9</v>
      </c>
      <c r="E2" s="136">
        <f>'Q.6 Rand()'!V3</f>
        <v>2.5</v>
      </c>
      <c r="F2" s="136">
        <f>'Q.6 Rand()'!W3</f>
        <v>51.6</v>
      </c>
      <c r="H2" s="63">
        <f>INTERCEPT(B2:B83,A2:A83)</f>
        <v>51.031506362025155</v>
      </c>
      <c r="I2" s="64">
        <f>INTERCEPT(D2:D83,C2:C83)</f>
        <v>57.191623618692432</v>
      </c>
      <c r="J2" s="65">
        <f>INTERCEPT(F2:F83,E2:E83)</f>
        <v>52.743025766171229</v>
      </c>
      <c r="K2" s="1"/>
      <c r="L2" s="63">
        <f>SLOPE(B2:B83,A2:A83)</f>
        <v>-4.6378449611766763</v>
      </c>
      <c r="M2" s="64">
        <f>SLOPE(D2:D83,C2:C83)</f>
        <v>-6.0986908522317087</v>
      </c>
      <c r="N2" s="65">
        <f>SLOPE(F2:F83,E2:E83)</f>
        <v>-4.9511998920349694</v>
      </c>
      <c r="P2" s="63">
        <f t="shared" ref="P2:P33" si="0">$H$2 + ($L$2 * A2)</f>
        <v>33.871480005671451</v>
      </c>
      <c r="Q2" s="64">
        <f t="shared" ref="Q2:Q33" si="1">$I$2 + ($M$2 * C2)</f>
        <v>35.846205635881454</v>
      </c>
      <c r="R2" s="65">
        <f t="shared" ref="R2:R33" si="2">$J$2 + ($N$2 * E2)</f>
        <v>40.365026036083805</v>
      </c>
    </row>
    <row r="3" spans="1:18">
      <c r="A3" s="132">
        <f>'Q.6 Rand()'!R4</f>
        <v>2.7</v>
      </c>
      <c r="B3" s="132">
        <f>'Q.6 Rand()'!S4</f>
        <v>37</v>
      </c>
      <c r="C3" s="134">
        <f>'Q.6 Rand()'!T4</f>
        <v>2.5</v>
      </c>
      <c r="D3" s="134">
        <f>'Q.6 Rand()'!U4</f>
        <v>37.5899</v>
      </c>
      <c r="E3" s="136">
        <f>'Q.6 Rand()'!V4</f>
        <v>2.8</v>
      </c>
      <c r="F3" s="136">
        <f>'Q.6 Rand()'!W4</f>
        <v>30.3</v>
      </c>
      <c r="P3" s="63">
        <f t="shared" si="0"/>
        <v>38.509324966848126</v>
      </c>
      <c r="Q3" s="64">
        <f t="shared" si="1"/>
        <v>41.944896488113159</v>
      </c>
      <c r="R3" s="65">
        <f t="shared" si="2"/>
        <v>38.879666068473313</v>
      </c>
    </row>
    <row r="4" spans="1:18">
      <c r="A4" s="132">
        <f>'Q.6 Rand()'!R5</f>
        <v>2.4</v>
      </c>
      <c r="B4" s="132">
        <f>'Q.6 Rand()'!S5</f>
        <v>42.5</v>
      </c>
      <c r="C4" s="134">
        <f>'Q.6 Rand()'!T5</f>
        <v>1.4</v>
      </c>
      <c r="D4" s="134">
        <f>'Q.6 Rand()'!U5</f>
        <v>50.4</v>
      </c>
      <c r="E4" s="136">
        <f>'Q.6 Rand()'!V5</f>
        <v>3</v>
      </c>
      <c r="F4" s="136">
        <f>'Q.6 Rand()'!W5</f>
        <v>39.700000000000003</v>
      </c>
      <c r="P4" s="63">
        <f t="shared" si="0"/>
        <v>39.900678455201131</v>
      </c>
      <c r="Q4" s="64">
        <f t="shared" si="1"/>
        <v>48.653456425568038</v>
      </c>
      <c r="R4" s="65">
        <f t="shared" si="2"/>
        <v>37.889426090066323</v>
      </c>
    </row>
    <row r="5" spans="1:18">
      <c r="A5" s="132">
        <f>'Q.6 Rand()'!R6</f>
        <v>1.4</v>
      </c>
      <c r="B5" s="132">
        <f>'Q.6 Rand()'!S6</f>
        <v>52.749600000000001</v>
      </c>
      <c r="C5" s="134">
        <f>'Q.6 Rand()'!T6</f>
        <v>3.5</v>
      </c>
      <c r="D5" s="134">
        <f>'Q.6 Rand()'!U6</f>
        <v>35.799999999999997</v>
      </c>
      <c r="E5" s="136">
        <f>'Q.6 Rand()'!V6</f>
        <v>2</v>
      </c>
      <c r="F5" s="136">
        <f>'Q.6 Rand()'!W6</f>
        <v>41.2</v>
      </c>
      <c r="P5" s="63">
        <f t="shared" si="0"/>
        <v>44.538523416377807</v>
      </c>
      <c r="Q5" s="64">
        <f t="shared" si="1"/>
        <v>35.846205635881454</v>
      </c>
      <c r="R5" s="65">
        <f t="shared" si="2"/>
        <v>42.840625982101287</v>
      </c>
    </row>
    <row r="6" spans="1:18">
      <c r="A6" s="132">
        <f>'Q.6 Rand()'!R7</f>
        <v>5.4</v>
      </c>
      <c r="B6" s="132">
        <f>'Q.6 Rand()'!S7</f>
        <v>24.1556</v>
      </c>
      <c r="C6" s="134">
        <f>'Q.6 Rand()'!T7</f>
        <v>3</v>
      </c>
      <c r="D6" s="134">
        <f>'Q.6 Rand()'!U7</f>
        <v>36.473799999999997</v>
      </c>
      <c r="E6" s="136">
        <f>'Q.6 Rand()'!V7</f>
        <v>4.8</v>
      </c>
      <c r="F6" s="136">
        <f>'Q.6 Rand()'!W7</f>
        <v>22.8</v>
      </c>
      <c r="P6" s="63">
        <f t="shared" si="0"/>
        <v>25.987143571671101</v>
      </c>
      <c r="Q6" s="64">
        <f t="shared" si="1"/>
        <v>38.89555106199731</v>
      </c>
      <c r="R6" s="65">
        <f t="shared" si="2"/>
        <v>28.977266284403377</v>
      </c>
    </row>
    <row r="7" spans="1:18">
      <c r="A7" s="132">
        <f>'Q.6 Rand()'!R8</f>
        <v>4.7</v>
      </c>
      <c r="B7" s="132">
        <f>'Q.6 Rand()'!S8</f>
        <v>25.6</v>
      </c>
      <c r="C7" s="134">
        <f>'Q.6 Rand()'!T8</f>
        <v>2.5</v>
      </c>
      <c r="D7" s="134">
        <f>'Q.6 Rand()'!U8</f>
        <v>37.5899</v>
      </c>
      <c r="E7" s="136">
        <f>'Q.6 Rand()'!V8</f>
        <v>4.2</v>
      </c>
      <c r="F7" s="136">
        <f>'Q.6 Rand()'!W8</f>
        <v>24.300999999999998</v>
      </c>
      <c r="P7" s="63">
        <f t="shared" si="0"/>
        <v>29.233635044494775</v>
      </c>
      <c r="Q7" s="64">
        <f t="shared" si="1"/>
        <v>41.944896488113159</v>
      </c>
      <c r="R7" s="65">
        <f t="shared" si="2"/>
        <v>31.947986219624358</v>
      </c>
    </row>
    <row r="8" spans="1:18">
      <c r="A8" s="132">
        <f>'Q.6 Rand()'!R9</f>
        <v>3</v>
      </c>
      <c r="B8" s="132">
        <f>'Q.6 Rand()'!S9</f>
        <v>35.496600000000001</v>
      </c>
      <c r="C8" s="134">
        <f>'Q.6 Rand()'!T9</f>
        <v>1.5</v>
      </c>
      <c r="D8" s="134">
        <f>'Q.6 Rand()'!U9</f>
        <v>46.5</v>
      </c>
      <c r="E8" s="136">
        <f>'Q.6 Rand()'!V9</f>
        <v>4.4000000000000004</v>
      </c>
      <c r="F8" s="136">
        <f>'Q.6 Rand()'!W9</f>
        <v>29.837800000000001</v>
      </c>
      <c r="P8" s="63">
        <f t="shared" si="0"/>
        <v>37.117971478495122</v>
      </c>
      <c r="Q8" s="64">
        <f t="shared" si="1"/>
        <v>48.043587340344871</v>
      </c>
      <c r="R8" s="65">
        <f t="shared" si="2"/>
        <v>30.957746241217361</v>
      </c>
    </row>
    <row r="9" spans="1:18">
      <c r="A9" s="132">
        <f>'Q.6 Rand()'!R10</f>
        <v>3</v>
      </c>
      <c r="B9" s="132">
        <f>'Q.6 Rand()'!S10</f>
        <v>36.920200000000001</v>
      </c>
      <c r="C9" s="134">
        <f>'Q.6 Rand()'!T10</f>
        <v>3</v>
      </c>
      <c r="D9" s="134">
        <f>'Q.6 Rand()'!U10</f>
        <v>35.890999999999998</v>
      </c>
      <c r="E9" s="136">
        <f>'Q.6 Rand()'!V10</f>
        <v>3.6</v>
      </c>
      <c r="F9" s="136">
        <f>'Q.6 Rand()'!W10</f>
        <v>34.259599999999999</v>
      </c>
      <c r="P9" s="63">
        <f t="shared" si="0"/>
        <v>37.117971478495122</v>
      </c>
      <c r="Q9" s="64">
        <f t="shared" si="1"/>
        <v>38.89555106199731</v>
      </c>
      <c r="R9" s="65">
        <f t="shared" si="2"/>
        <v>34.918706154845339</v>
      </c>
    </row>
    <row r="10" spans="1:18">
      <c r="A10" s="132">
        <f>'Q.6 Rand()'!R11</f>
        <v>6.3</v>
      </c>
      <c r="B10" s="132">
        <f>'Q.6 Rand()'!S11</f>
        <v>26</v>
      </c>
      <c r="C10" s="134">
        <f>'Q.6 Rand()'!T11</f>
        <v>1.6</v>
      </c>
      <c r="D10" s="134">
        <f>'Q.6 Rand()'!U11</f>
        <v>49.949399999999997</v>
      </c>
      <c r="E10" s="136">
        <f>'Q.6 Rand()'!V11</f>
        <v>2.5</v>
      </c>
      <c r="F10" s="136">
        <f>'Q.6 Rand()'!W11</f>
        <v>31.366900000000001</v>
      </c>
      <c r="P10" s="63">
        <f t="shared" si="0"/>
        <v>21.813083106612094</v>
      </c>
      <c r="Q10" s="64">
        <f t="shared" si="1"/>
        <v>47.433718255121697</v>
      </c>
      <c r="R10" s="65">
        <f t="shared" si="2"/>
        <v>40.365026036083805</v>
      </c>
    </row>
    <row r="11" spans="1:18">
      <c r="A11" s="132">
        <f>'Q.6 Rand()'!R12</f>
        <v>4.4000000000000004</v>
      </c>
      <c r="B11" s="132">
        <f>'Q.6 Rand()'!S12</f>
        <v>33.603200000000001</v>
      </c>
      <c r="C11" s="134">
        <f>'Q.6 Rand()'!T12</f>
        <v>4.4000000000000004</v>
      </c>
      <c r="D11" s="134">
        <f>'Q.6 Rand()'!U12</f>
        <v>28.1647</v>
      </c>
      <c r="E11" s="136">
        <f>'Q.6 Rand()'!V12</f>
        <v>3.6</v>
      </c>
      <c r="F11" s="136">
        <f>'Q.6 Rand()'!W12</f>
        <v>37.487400000000001</v>
      </c>
      <c r="P11" s="63">
        <f t="shared" si="0"/>
        <v>30.624988532847777</v>
      </c>
      <c r="Q11" s="64">
        <f t="shared" si="1"/>
        <v>30.357383868872912</v>
      </c>
      <c r="R11" s="65">
        <f t="shared" si="2"/>
        <v>34.918706154845339</v>
      </c>
    </row>
    <row r="12" spans="1:18">
      <c r="A12" s="132">
        <f>'Q.6 Rand()'!R13</f>
        <v>3</v>
      </c>
      <c r="B12" s="132">
        <f>'Q.6 Rand()'!S13</f>
        <v>35.505200000000002</v>
      </c>
      <c r="C12" s="134">
        <f>'Q.6 Rand()'!T13</f>
        <v>5</v>
      </c>
      <c r="D12" s="134">
        <f>'Q.6 Rand()'!U13</f>
        <v>24.7928</v>
      </c>
      <c r="E12" s="136">
        <f>'Q.6 Rand()'!V13</f>
        <v>4.4000000000000004</v>
      </c>
      <c r="F12" s="136">
        <f>'Q.6 Rand()'!W13</f>
        <v>33.049900000000001</v>
      </c>
      <c r="P12" s="63">
        <f t="shared" si="0"/>
        <v>37.117971478495122</v>
      </c>
      <c r="Q12" s="64">
        <f t="shared" si="1"/>
        <v>26.698169357533889</v>
      </c>
      <c r="R12" s="65">
        <f t="shared" si="2"/>
        <v>30.957746241217361</v>
      </c>
    </row>
    <row r="13" spans="1:18">
      <c r="A13" s="132">
        <f>'Q.6 Rand()'!R14</f>
        <v>2.4</v>
      </c>
      <c r="B13" s="132">
        <f>'Q.6 Rand()'!S14</f>
        <v>44.8</v>
      </c>
      <c r="C13" s="134">
        <f>'Q.6 Rand()'!T14</f>
        <v>6.2</v>
      </c>
      <c r="D13" s="134">
        <f>'Q.6 Rand()'!U14</f>
        <v>24.2</v>
      </c>
      <c r="E13" s="136">
        <f>'Q.6 Rand()'!V14</f>
        <v>6</v>
      </c>
      <c r="F13" s="136">
        <f>'Q.6 Rand()'!W14</f>
        <v>21.628499999999999</v>
      </c>
      <c r="P13" s="63">
        <f t="shared" si="0"/>
        <v>39.900678455201131</v>
      </c>
      <c r="Q13" s="64">
        <f t="shared" si="1"/>
        <v>19.379740334855839</v>
      </c>
      <c r="R13" s="65">
        <f t="shared" si="2"/>
        <v>23.035826413961413</v>
      </c>
    </row>
    <row r="14" spans="1:18">
      <c r="A14" s="132">
        <f>'Q.6 Rand()'!R15</f>
        <v>1.6</v>
      </c>
      <c r="B14" s="132">
        <f>'Q.6 Rand()'!S15</f>
        <v>45.5991</v>
      </c>
      <c r="C14" s="134">
        <f>'Q.6 Rand()'!T15</f>
        <v>3</v>
      </c>
      <c r="D14" s="134">
        <f>'Q.6 Rand()'!U15</f>
        <v>39.700000000000003</v>
      </c>
      <c r="E14" s="136">
        <f>'Q.6 Rand()'!V15</f>
        <v>6.8</v>
      </c>
      <c r="F14" s="136">
        <f>'Q.6 Rand()'!W15</f>
        <v>23.4</v>
      </c>
      <c r="P14" s="63">
        <f t="shared" si="0"/>
        <v>43.61095442414247</v>
      </c>
      <c r="Q14" s="64">
        <f t="shared" si="1"/>
        <v>38.89555106199731</v>
      </c>
      <c r="R14" s="65">
        <f t="shared" si="2"/>
        <v>19.074866500333435</v>
      </c>
    </row>
    <row r="15" spans="1:18">
      <c r="A15" s="132">
        <f>'Q.6 Rand()'!R16</f>
        <v>4.4000000000000004</v>
      </c>
      <c r="B15" s="132">
        <f>'Q.6 Rand()'!S16</f>
        <v>31.227399999999999</v>
      </c>
      <c r="C15" s="134">
        <f>'Q.6 Rand()'!T16</f>
        <v>4.5999999999999996</v>
      </c>
      <c r="D15" s="134">
        <f>'Q.6 Rand()'!U16</f>
        <v>33.9</v>
      </c>
      <c r="E15" s="136">
        <f>'Q.6 Rand()'!V16</f>
        <v>6.2</v>
      </c>
      <c r="F15" s="136">
        <f>'Q.6 Rand()'!W16</f>
        <v>24.2</v>
      </c>
      <c r="P15" s="63">
        <f t="shared" si="0"/>
        <v>30.624988532847777</v>
      </c>
      <c r="Q15" s="64">
        <f t="shared" si="1"/>
        <v>29.137645698426574</v>
      </c>
      <c r="R15" s="65">
        <f t="shared" si="2"/>
        <v>22.045586435554419</v>
      </c>
    </row>
    <row r="16" spans="1:18">
      <c r="A16" s="132">
        <f>'Q.6 Rand()'!R17</f>
        <v>3.5</v>
      </c>
      <c r="B16" s="132">
        <f>'Q.6 Rand()'!S17</f>
        <v>34.767499999999998</v>
      </c>
      <c r="C16" s="134">
        <f>'Q.6 Rand()'!T17</f>
        <v>4</v>
      </c>
      <c r="D16" s="134">
        <f>'Q.6 Rand()'!U17</f>
        <v>27.9711</v>
      </c>
      <c r="E16" s="136">
        <f>'Q.6 Rand()'!V17</f>
        <v>5.3</v>
      </c>
      <c r="F16" s="136">
        <f>'Q.6 Rand()'!W17</f>
        <v>29</v>
      </c>
      <c r="P16" s="63">
        <f t="shared" si="0"/>
        <v>34.799048997906787</v>
      </c>
      <c r="Q16" s="64">
        <f t="shared" si="1"/>
        <v>32.796860209765597</v>
      </c>
      <c r="R16" s="65">
        <f t="shared" si="2"/>
        <v>26.501666338385892</v>
      </c>
    </row>
    <row r="17" spans="1:18">
      <c r="A17" s="132">
        <f>'Q.6 Rand()'!R18</f>
        <v>5.2</v>
      </c>
      <c r="B17" s="132">
        <f>'Q.6 Rand()'!S18</f>
        <v>24.3325</v>
      </c>
      <c r="C17" s="134">
        <f>'Q.6 Rand()'!T18</f>
        <v>6</v>
      </c>
      <c r="D17" s="134">
        <f>'Q.6 Rand()'!U18</f>
        <v>21.8</v>
      </c>
      <c r="E17" s="136">
        <f>'Q.6 Rand()'!V18</f>
        <v>2</v>
      </c>
      <c r="F17" s="136">
        <f>'Q.6 Rand()'!W18</f>
        <v>39.444699999999997</v>
      </c>
      <c r="P17" s="63">
        <f t="shared" si="0"/>
        <v>26.914712563906438</v>
      </c>
      <c r="Q17" s="64">
        <f t="shared" si="1"/>
        <v>20.59947850530218</v>
      </c>
      <c r="R17" s="65">
        <f t="shared" si="2"/>
        <v>42.840625982101287</v>
      </c>
    </row>
    <row r="18" spans="1:18">
      <c r="A18" s="132">
        <f>'Q.6 Rand()'!R19</f>
        <v>3</v>
      </c>
      <c r="B18" s="132">
        <f>'Q.6 Rand()'!S19</f>
        <v>34.4</v>
      </c>
      <c r="C18" s="134">
        <f>'Q.6 Rand()'!T19</f>
        <v>2.4</v>
      </c>
      <c r="D18" s="134">
        <f>'Q.6 Rand()'!U19</f>
        <v>43.431899999999999</v>
      </c>
      <c r="E18" s="136">
        <f>'Q.6 Rand()'!V19</f>
        <v>6</v>
      </c>
      <c r="F18" s="136">
        <f>'Q.6 Rand()'!W19</f>
        <v>21.2</v>
      </c>
      <c r="P18" s="63">
        <f t="shared" si="0"/>
        <v>37.117971478495122</v>
      </c>
      <c r="Q18" s="64">
        <f t="shared" si="1"/>
        <v>42.554765573336333</v>
      </c>
      <c r="R18" s="65">
        <f t="shared" si="2"/>
        <v>23.035826413961413</v>
      </c>
    </row>
    <row r="19" spans="1:18">
      <c r="A19" s="132">
        <f>'Q.6 Rand()'!R20</f>
        <v>3.6</v>
      </c>
      <c r="B19" s="132">
        <f>'Q.6 Rand()'!S20</f>
        <v>35.5</v>
      </c>
      <c r="C19" s="134">
        <f>'Q.6 Rand()'!T20</f>
        <v>5.7</v>
      </c>
      <c r="D19" s="134">
        <f>'Q.6 Rand()'!U20</f>
        <v>34.5</v>
      </c>
      <c r="E19" s="136">
        <f>'Q.6 Rand()'!V20</f>
        <v>3.6</v>
      </c>
      <c r="F19" s="136">
        <f>'Q.6 Rand()'!W20</f>
        <v>35</v>
      </c>
      <c r="P19" s="63">
        <f t="shared" si="0"/>
        <v>34.335264501789119</v>
      </c>
      <c r="Q19" s="64">
        <f t="shared" si="1"/>
        <v>22.429085760971688</v>
      </c>
      <c r="R19" s="65">
        <f t="shared" si="2"/>
        <v>34.918706154845339</v>
      </c>
    </row>
    <row r="20" spans="1:18">
      <c r="A20" s="132">
        <f>'Q.6 Rand()'!R21</f>
        <v>4</v>
      </c>
      <c r="B20" s="132">
        <f>'Q.6 Rand()'!S21</f>
        <v>28.4</v>
      </c>
      <c r="C20" s="134">
        <f>'Q.6 Rand()'!T21</f>
        <v>1.5</v>
      </c>
      <c r="D20" s="134">
        <f>'Q.6 Rand()'!U21</f>
        <v>55.644599999999997</v>
      </c>
      <c r="E20" s="136">
        <f>'Q.6 Rand()'!V21</f>
        <v>3.7</v>
      </c>
      <c r="F20" s="136">
        <f>'Q.6 Rand()'!W21</f>
        <v>27.8</v>
      </c>
      <c r="P20" s="63">
        <f t="shared" si="0"/>
        <v>32.480126517318453</v>
      </c>
      <c r="Q20" s="64">
        <f t="shared" si="1"/>
        <v>48.043587340344871</v>
      </c>
      <c r="R20" s="65">
        <f t="shared" si="2"/>
        <v>34.423586165641836</v>
      </c>
    </row>
    <row r="21" spans="1:18">
      <c r="A21" s="132">
        <f>'Q.6 Rand()'!R22</f>
        <v>3</v>
      </c>
      <c r="B21" s="132">
        <f>'Q.6 Rand()'!S22</f>
        <v>35.435400000000001</v>
      </c>
      <c r="C21" s="134">
        <f>'Q.6 Rand()'!T22</f>
        <v>2</v>
      </c>
      <c r="D21" s="134">
        <f>'Q.6 Rand()'!U22</f>
        <v>51.787599999999998</v>
      </c>
      <c r="E21" s="136">
        <f>'Q.6 Rand()'!V22</f>
        <v>1.6</v>
      </c>
      <c r="F21" s="136">
        <f>'Q.6 Rand()'!W22</f>
        <v>47.847799999999999</v>
      </c>
      <c r="P21" s="63">
        <f t="shared" si="0"/>
        <v>37.117971478495122</v>
      </c>
      <c r="Q21" s="64">
        <f t="shared" si="1"/>
        <v>44.994241914229015</v>
      </c>
      <c r="R21" s="65">
        <f t="shared" si="2"/>
        <v>44.821105938915281</v>
      </c>
    </row>
    <row r="22" spans="1:18">
      <c r="A22" s="132">
        <f>'Q.6 Rand()'!R23</f>
        <v>2.5</v>
      </c>
      <c r="B22" s="132">
        <f>'Q.6 Rand()'!S23</f>
        <v>34.434100000000001</v>
      </c>
      <c r="C22" s="134">
        <f>'Q.6 Rand()'!T23</f>
        <v>3</v>
      </c>
      <c r="D22" s="134">
        <f>'Q.6 Rand()'!U23</f>
        <v>32.857900000000001</v>
      </c>
      <c r="E22" s="136">
        <f>'Q.6 Rand()'!V23</f>
        <v>2.5</v>
      </c>
      <c r="F22" s="136">
        <f>'Q.6 Rand()'!W23</f>
        <v>36.655700000000003</v>
      </c>
      <c r="P22" s="63">
        <f t="shared" si="0"/>
        <v>39.436893959083463</v>
      </c>
      <c r="Q22" s="64">
        <f t="shared" si="1"/>
        <v>38.89555106199731</v>
      </c>
      <c r="R22" s="65">
        <f t="shared" si="2"/>
        <v>40.365026036083805</v>
      </c>
    </row>
    <row r="23" spans="1:18">
      <c r="A23" s="132">
        <f>'Q.6 Rand()'!R24</f>
        <v>3</v>
      </c>
      <c r="B23" s="132">
        <f>'Q.6 Rand()'!S24</f>
        <v>33.128100000000003</v>
      </c>
      <c r="C23" s="134">
        <f>'Q.6 Rand()'!T24</f>
        <v>4.7</v>
      </c>
      <c r="D23" s="134">
        <f>'Q.6 Rand()'!U24</f>
        <v>25.6</v>
      </c>
      <c r="E23" s="136">
        <f>'Q.6 Rand()'!V24</f>
        <v>6.2</v>
      </c>
      <c r="F23" s="136">
        <f>'Q.6 Rand()'!W24</f>
        <v>26.8</v>
      </c>
      <c r="P23" s="63">
        <f t="shared" si="0"/>
        <v>37.117971478495122</v>
      </c>
      <c r="Q23" s="64">
        <f t="shared" si="1"/>
        <v>28.5277766132034</v>
      </c>
      <c r="R23" s="65">
        <f t="shared" si="2"/>
        <v>22.045586435554419</v>
      </c>
    </row>
    <row r="24" spans="1:18">
      <c r="A24" s="132">
        <f>'Q.6 Rand()'!R25</f>
        <v>4.5999999999999996</v>
      </c>
      <c r="B24" s="132">
        <f>'Q.6 Rand()'!S25</f>
        <v>23</v>
      </c>
      <c r="C24" s="134">
        <f>'Q.6 Rand()'!T25</f>
        <v>6</v>
      </c>
      <c r="D24" s="134">
        <f>'Q.6 Rand()'!U25</f>
        <v>21.2</v>
      </c>
      <c r="E24" s="136">
        <f>'Q.6 Rand()'!V25</f>
        <v>1.8</v>
      </c>
      <c r="F24" s="136">
        <f>'Q.6 Rand()'!W25</f>
        <v>46.9</v>
      </c>
      <c r="P24" s="63">
        <f t="shared" si="0"/>
        <v>29.697419540612447</v>
      </c>
      <c r="Q24" s="64">
        <f t="shared" si="1"/>
        <v>20.59947850530218</v>
      </c>
      <c r="R24" s="65">
        <f t="shared" si="2"/>
        <v>43.830865960508284</v>
      </c>
    </row>
    <row r="25" spans="1:18">
      <c r="A25" s="132">
        <f>'Q.6 Rand()'!R26</f>
        <v>3.5</v>
      </c>
      <c r="B25" s="132">
        <f>'Q.6 Rand()'!S26</f>
        <v>34.028799999999997</v>
      </c>
      <c r="C25" s="134">
        <f>'Q.6 Rand()'!T26</f>
        <v>6</v>
      </c>
      <c r="D25" s="134">
        <f>'Q.6 Rand()'!U26</f>
        <v>25</v>
      </c>
      <c r="E25" s="136">
        <f>'Q.6 Rand()'!V26</f>
        <v>3.7</v>
      </c>
      <c r="F25" s="136">
        <f>'Q.6 Rand()'!W26</f>
        <v>41.4056</v>
      </c>
      <c r="P25" s="63">
        <f t="shared" si="0"/>
        <v>34.799048997906787</v>
      </c>
      <c r="Q25" s="64">
        <f t="shared" si="1"/>
        <v>20.59947850530218</v>
      </c>
      <c r="R25" s="65">
        <f t="shared" si="2"/>
        <v>34.423586165641836</v>
      </c>
    </row>
    <row r="26" spans="1:18">
      <c r="A26" s="132">
        <f>'Q.6 Rand()'!R27</f>
        <v>3.7</v>
      </c>
      <c r="B26" s="132">
        <f>'Q.6 Rand()'!S27</f>
        <v>30.4</v>
      </c>
      <c r="C26" s="134">
        <f>'Q.6 Rand()'!T27</f>
        <v>5.4</v>
      </c>
      <c r="D26" s="134">
        <f>'Q.6 Rand()'!U27</f>
        <v>21.8</v>
      </c>
      <c r="E26" s="136">
        <f>'Q.6 Rand()'!V27</f>
        <v>6</v>
      </c>
      <c r="F26" s="136">
        <f>'Q.6 Rand()'!W27</f>
        <v>21.7</v>
      </c>
      <c r="P26" s="63">
        <f t="shared" si="0"/>
        <v>33.871480005671451</v>
      </c>
      <c r="Q26" s="64">
        <f t="shared" si="1"/>
        <v>24.258693016641203</v>
      </c>
      <c r="R26" s="65">
        <f t="shared" si="2"/>
        <v>23.035826413961413</v>
      </c>
    </row>
    <row r="27" spans="1:18">
      <c r="A27" s="132">
        <f>'Q.6 Rand()'!R28</f>
        <v>2</v>
      </c>
      <c r="B27" s="132">
        <f>'Q.6 Rand()'!S28</f>
        <v>43.5</v>
      </c>
      <c r="C27" s="134">
        <f>'Q.6 Rand()'!T28</f>
        <v>2.5</v>
      </c>
      <c r="D27" s="134">
        <f>'Q.6 Rand()'!U28</f>
        <v>42.488799999999998</v>
      </c>
      <c r="E27" s="136">
        <f>'Q.6 Rand()'!V28</f>
        <v>3.6</v>
      </c>
      <c r="F27" s="136">
        <f>'Q.6 Rand()'!W28</f>
        <v>32.9</v>
      </c>
      <c r="P27" s="63">
        <f t="shared" si="0"/>
        <v>41.755816439671804</v>
      </c>
      <c r="Q27" s="64">
        <f t="shared" si="1"/>
        <v>41.944896488113159</v>
      </c>
      <c r="R27" s="65">
        <f t="shared" si="2"/>
        <v>34.918706154845339</v>
      </c>
    </row>
    <row r="28" spans="1:18">
      <c r="A28" s="132">
        <f>'Q.6 Rand()'!R29</f>
        <v>6</v>
      </c>
      <c r="B28" s="132">
        <f>'Q.6 Rand()'!S29</f>
        <v>21.473400000000002</v>
      </c>
      <c r="C28" s="134">
        <f>'Q.6 Rand()'!T29</f>
        <v>2.5</v>
      </c>
      <c r="D28" s="134">
        <f>'Q.6 Rand()'!U29</f>
        <v>40.807499999999997</v>
      </c>
      <c r="E28" s="136">
        <f>'Q.6 Rand()'!V29</f>
        <v>2.5</v>
      </c>
      <c r="F28" s="136">
        <f>'Q.6 Rand()'!W29</f>
        <v>37.137</v>
      </c>
      <c r="P28" s="63">
        <f t="shared" si="0"/>
        <v>23.204436594965095</v>
      </c>
      <c r="Q28" s="64">
        <f t="shared" si="1"/>
        <v>41.944896488113159</v>
      </c>
      <c r="R28" s="65">
        <f t="shared" si="2"/>
        <v>40.365026036083805</v>
      </c>
    </row>
    <row r="29" spans="1:18">
      <c r="A29" s="132">
        <f>'Q.6 Rand()'!R30</f>
        <v>3</v>
      </c>
      <c r="B29" s="132">
        <f>'Q.6 Rand()'!S30</f>
        <v>32.286000000000001</v>
      </c>
      <c r="C29" s="134">
        <f>'Q.6 Rand()'!T30</f>
        <v>4.4000000000000004</v>
      </c>
      <c r="D29" s="134">
        <f>'Q.6 Rand()'!U30</f>
        <v>33.603200000000001</v>
      </c>
      <c r="E29" s="136">
        <f>'Q.6 Rand()'!V30</f>
        <v>5.6</v>
      </c>
      <c r="F29" s="136">
        <f>'Q.6 Rand()'!W30</f>
        <v>32.4</v>
      </c>
      <c r="P29" s="63">
        <f t="shared" si="0"/>
        <v>37.117971478495122</v>
      </c>
      <c r="Q29" s="64">
        <f t="shared" si="1"/>
        <v>30.357383868872912</v>
      </c>
      <c r="R29" s="65">
        <f t="shared" si="2"/>
        <v>25.016306370775403</v>
      </c>
    </row>
    <row r="30" spans="1:18">
      <c r="A30" s="132">
        <f>'Q.6 Rand()'!R31</f>
        <v>3</v>
      </c>
      <c r="B30" s="132">
        <f>'Q.6 Rand()'!S31</f>
        <v>36.473799999999997</v>
      </c>
      <c r="C30" s="134">
        <f>'Q.6 Rand()'!T31</f>
        <v>1.8</v>
      </c>
      <c r="D30" s="134">
        <f>'Q.6 Rand()'!U31</f>
        <v>56.991500000000002</v>
      </c>
      <c r="E30" s="136">
        <f>'Q.6 Rand()'!V31</f>
        <v>4.4000000000000004</v>
      </c>
      <c r="F30" s="136">
        <f>'Q.6 Rand()'!W31</f>
        <v>30.547999999999998</v>
      </c>
      <c r="P30" s="63">
        <f t="shared" si="0"/>
        <v>37.117971478495122</v>
      </c>
      <c r="Q30" s="64">
        <f t="shared" si="1"/>
        <v>46.213980084675356</v>
      </c>
      <c r="R30" s="65">
        <f t="shared" si="2"/>
        <v>30.957746241217361</v>
      </c>
    </row>
    <row r="31" spans="1:18">
      <c r="A31" s="132">
        <f>'Q.6 Rand()'!R32</f>
        <v>2</v>
      </c>
      <c r="B31" s="132">
        <f>'Q.6 Rand()'!S32</f>
        <v>42.973300000000002</v>
      </c>
      <c r="C31" s="134">
        <f>'Q.6 Rand()'!T32</f>
        <v>5.7</v>
      </c>
      <c r="D31" s="134">
        <f>'Q.6 Rand()'!U32</f>
        <v>27.2941</v>
      </c>
      <c r="E31" s="136">
        <f>'Q.6 Rand()'!V32</f>
        <v>2.4</v>
      </c>
      <c r="F31" s="136">
        <f>'Q.6 Rand()'!W32</f>
        <v>38.700000000000003</v>
      </c>
      <c r="P31" s="63">
        <f t="shared" si="0"/>
        <v>41.755816439671804</v>
      </c>
      <c r="Q31" s="64">
        <f t="shared" si="1"/>
        <v>22.429085760971688</v>
      </c>
      <c r="R31" s="65">
        <f t="shared" si="2"/>
        <v>40.860146025287307</v>
      </c>
    </row>
    <row r="32" spans="1:18">
      <c r="A32" s="132">
        <f>'Q.6 Rand()'!R33</f>
        <v>2.5</v>
      </c>
      <c r="B32" s="132">
        <f>'Q.6 Rand()'!S33</f>
        <v>31.366900000000001</v>
      </c>
      <c r="C32" s="134">
        <f>'Q.6 Rand()'!T33</f>
        <v>1.6</v>
      </c>
      <c r="D32" s="134">
        <f>'Q.6 Rand()'!U33</f>
        <v>45.5</v>
      </c>
      <c r="E32" s="136">
        <f>'Q.6 Rand()'!V33</f>
        <v>5</v>
      </c>
      <c r="F32" s="136">
        <f>'Q.6 Rand()'!W33</f>
        <v>23.602799999999998</v>
      </c>
      <c r="P32" s="63">
        <f t="shared" si="0"/>
        <v>39.436893959083463</v>
      </c>
      <c r="Q32" s="64">
        <f t="shared" si="1"/>
        <v>47.433718255121697</v>
      </c>
      <c r="R32" s="65">
        <f t="shared" si="2"/>
        <v>27.98702630599638</v>
      </c>
    </row>
    <row r="33" spans="1:18">
      <c r="A33" s="132">
        <f>'Q.6 Rand()'!R34</f>
        <v>2.5</v>
      </c>
      <c r="B33" s="132">
        <f>'Q.6 Rand()'!S34</f>
        <v>37.979999999999997</v>
      </c>
      <c r="C33" s="134">
        <f>'Q.6 Rand()'!T34</f>
        <v>3.6</v>
      </c>
      <c r="D33" s="134">
        <f>'Q.6 Rand()'!U34</f>
        <v>37.299799999999998</v>
      </c>
      <c r="E33" s="136">
        <f>'Q.6 Rand()'!V34</f>
        <v>2</v>
      </c>
      <c r="F33" s="136">
        <f>'Q.6 Rand()'!W34</f>
        <v>46.2</v>
      </c>
      <c r="P33" s="63">
        <f t="shared" si="0"/>
        <v>39.436893959083463</v>
      </c>
      <c r="Q33" s="64">
        <f t="shared" si="1"/>
        <v>35.23633655065828</v>
      </c>
      <c r="R33" s="65">
        <f t="shared" si="2"/>
        <v>42.840625982101287</v>
      </c>
    </row>
    <row r="34" spans="1:18">
      <c r="A34" s="132">
        <f>'Q.6 Rand()'!R35</f>
        <v>5.4</v>
      </c>
      <c r="B34" s="132">
        <f>'Q.6 Rand()'!S35</f>
        <v>21.641200000000001</v>
      </c>
      <c r="C34" s="134">
        <f>'Q.6 Rand()'!T35</f>
        <v>3</v>
      </c>
      <c r="D34" s="134">
        <f>'Q.6 Rand()'!U35</f>
        <v>35.993099999999998</v>
      </c>
      <c r="E34" s="136">
        <f>'Q.6 Rand()'!V35</f>
        <v>2.4</v>
      </c>
      <c r="F34" s="136">
        <f>'Q.6 Rand()'!W35</f>
        <v>37.299999999999997</v>
      </c>
      <c r="P34" s="63">
        <f t="shared" ref="P34:P65" si="3">$H$2 + ($L$2 * A34)</f>
        <v>25.987143571671101</v>
      </c>
      <c r="Q34" s="64">
        <f t="shared" ref="Q34:Q65" si="4">$I$2 + ($M$2 * C34)</f>
        <v>38.89555106199731</v>
      </c>
      <c r="R34" s="65">
        <f t="shared" ref="R34:R65" si="5">$J$2 + ($N$2 * E34)</f>
        <v>40.860146025287307</v>
      </c>
    </row>
    <row r="35" spans="1:18">
      <c r="A35" s="132">
        <f>'Q.6 Rand()'!R36</f>
        <v>3.8</v>
      </c>
      <c r="B35" s="132">
        <f>'Q.6 Rand()'!S36</f>
        <v>36.027700000000003</v>
      </c>
      <c r="C35" s="134">
        <f>'Q.6 Rand()'!T36</f>
        <v>2.4</v>
      </c>
      <c r="D35" s="134">
        <f>'Q.6 Rand()'!U36</f>
        <v>59.9</v>
      </c>
      <c r="E35" s="136">
        <f>'Q.6 Rand()'!V36</f>
        <v>5.6</v>
      </c>
      <c r="F35" s="136">
        <f>'Q.6 Rand()'!W36</f>
        <v>34.5</v>
      </c>
      <c r="P35" s="63">
        <f t="shared" si="3"/>
        <v>33.40769550955379</v>
      </c>
      <c r="Q35" s="64">
        <f t="shared" si="4"/>
        <v>42.554765573336333</v>
      </c>
      <c r="R35" s="65">
        <f t="shared" si="5"/>
        <v>25.016306370775403</v>
      </c>
    </row>
    <row r="36" spans="1:18">
      <c r="A36" s="132">
        <f>'Q.6 Rand()'!R37</f>
        <v>3.7</v>
      </c>
      <c r="B36" s="132">
        <f>'Q.6 Rand()'!S37</f>
        <v>35.162799999999997</v>
      </c>
      <c r="C36" s="134">
        <f>'Q.6 Rand()'!T37</f>
        <v>2</v>
      </c>
      <c r="D36" s="134">
        <f>'Q.6 Rand()'!U37</f>
        <v>41.566099999999999</v>
      </c>
      <c r="E36" s="136">
        <f>'Q.6 Rand()'!V37</f>
        <v>3.7</v>
      </c>
      <c r="F36" s="136">
        <f>'Q.6 Rand()'!W37</f>
        <v>28.5</v>
      </c>
      <c r="P36" s="63">
        <f t="shared" si="3"/>
        <v>33.871480005671451</v>
      </c>
      <c r="Q36" s="64">
        <f t="shared" si="4"/>
        <v>44.994241914229015</v>
      </c>
      <c r="R36" s="65">
        <f t="shared" si="5"/>
        <v>34.423586165641836</v>
      </c>
    </row>
    <row r="37" spans="1:18">
      <c r="A37" s="132">
        <f>'Q.6 Rand()'!R38</f>
        <v>6</v>
      </c>
      <c r="B37" s="132">
        <f>'Q.6 Rand()'!S38</f>
        <v>24.7</v>
      </c>
      <c r="C37" s="134">
        <f>'Q.6 Rand()'!T38</f>
        <v>2.4</v>
      </c>
      <c r="D37" s="134">
        <f>'Q.6 Rand()'!U38</f>
        <v>37.4</v>
      </c>
      <c r="E37" s="136">
        <f>'Q.6 Rand()'!V38</f>
        <v>1.6</v>
      </c>
      <c r="F37" s="136">
        <f>'Q.6 Rand()'!W38</f>
        <v>52.6</v>
      </c>
      <c r="P37" s="63">
        <f t="shared" si="3"/>
        <v>23.204436594965095</v>
      </c>
      <c r="Q37" s="64">
        <f t="shared" si="4"/>
        <v>42.554765573336333</v>
      </c>
      <c r="R37" s="65">
        <f t="shared" si="5"/>
        <v>44.821105938915281</v>
      </c>
    </row>
    <row r="38" spans="1:18">
      <c r="A38" s="132">
        <f>'Q.6 Rand()'!R39</f>
        <v>3.6</v>
      </c>
      <c r="B38" s="132">
        <f>'Q.6 Rand()'!S39</f>
        <v>32.299999999999997</v>
      </c>
      <c r="C38" s="134">
        <f>'Q.6 Rand()'!T39</f>
        <v>2</v>
      </c>
      <c r="D38" s="134">
        <f>'Q.6 Rand()'!U39</f>
        <v>48.7</v>
      </c>
      <c r="E38" s="136">
        <f>'Q.6 Rand()'!V39</f>
        <v>1.6</v>
      </c>
      <c r="F38" s="136">
        <f>'Q.6 Rand()'!W39</f>
        <v>45.3</v>
      </c>
      <c r="P38" s="63">
        <f t="shared" si="3"/>
        <v>34.335264501789119</v>
      </c>
      <c r="Q38" s="64">
        <f t="shared" si="4"/>
        <v>44.994241914229015</v>
      </c>
      <c r="R38" s="65">
        <f t="shared" si="5"/>
        <v>44.821105938915281</v>
      </c>
    </row>
    <row r="39" spans="1:18">
      <c r="A39" s="132">
        <f>'Q.6 Rand()'!R40</f>
        <v>3.7</v>
      </c>
      <c r="B39" s="132">
        <f>'Q.6 Rand()'!S40</f>
        <v>36.752800000000001</v>
      </c>
      <c r="C39" s="134">
        <f>'Q.6 Rand()'!T40</f>
        <v>3.8</v>
      </c>
      <c r="D39" s="134">
        <f>'Q.6 Rand()'!U40</f>
        <v>36.7669</v>
      </c>
      <c r="E39" s="136">
        <f>'Q.6 Rand()'!V40</f>
        <v>3</v>
      </c>
      <c r="F39" s="136">
        <f>'Q.6 Rand()'!W40</f>
        <v>37.999699999999997</v>
      </c>
      <c r="P39" s="63">
        <f t="shared" si="3"/>
        <v>33.871480005671451</v>
      </c>
      <c r="Q39" s="64">
        <f t="shared" si="4"/>
        <v>34.016598380211946</v>
      </c>
      <c r="R39" s="65">
        <f t="shared" si="5"/>
        <v>37.889426090066323</v>
      </c>
    </row>
    <row r="40" spans="1:18">
      <c r="A40" s="132">
        <f>'Q.6 Rand()'!R41</f>
        <v>3.2</v>
      </c>
      <c r="B40" s="132">
        <f>'Q.6 Rand()'!S41</f>
        <v>34.542400000000001</v>
      </c>
      <c r="C40" s="134">
        <f>'Q.6 Rand()'!T41</f>
        <v>1.4</v>
      </c>
      <c r="D40" s="134">
        <f>'Q.6 Rand()'!U41</f>
        <v>54.05</v>
      </c>
      <c r="E40" s="136">
        <f>'Q.6 Rand()'!V41</f>
        <v>2.2000000000000002</v>
      </c>
      <c r="F40" s="136">
        <f>'Q.6 Rand()'!W41</f>
        <v>30.45</v>
      </c>
      <c r="P40" s="63">
        <f t="shared" si="3"/>
        <v>36.190402486259792</v>
      </c>
      <c r="Q40" s="64">
        <f t="shared" si="4"/>
        <v>48.653456425568038</v>
      </c>
      <c r="R40" s="65">
        <f t="shared" si="5"/>
        <v>41.850386003694297</v>
      </c>
    </row>
    <row r="41" spans="1:18">
      <c r="A41" s="132">
        <f>'Q.6 Rand()'!R42</f>
        <v>3.6</v>
      </c>
      <c r="B41" s="132">
        <f>'Q.6 Rand()'!S42</f>
        <v>35</v>
      </c>
      <c r="C41" s="134">
        <f>'Q.6 Rand()'!T42</f>
        <v>3.7</v>
      </c>
      <c r="D41" s="134">
        <f>'Q.6 Rand()'!U42</f>
        <v>24.4</v>
      </c>
      <c r="E41" s="136">
        <f>'Q.6 Rand()'!V42</f>
        <v>3.2</v>
      </c>
      <c r="F41" s="136">
        <f>'Q.6 Rand()'!W42</f>
        <v>34.542400000000001</v>
      </c>
      <c r="P41" s="63">
        <f t="shared" si="3"/>
        <v>34.335264501789119</v>
      </c>
      <c r="Q41" s="64">
        <f t="shared" si="4"/>
        <v>34.626467465435113</v>
      </c>
      <c r="R41" s="65">
        <f t="shared" si="5"/>
        <v>36.899186111659326</v>
      </c>
    </row>
    <row r="42" spans="1:18">
      <c r="A42" s="132">
        <f>'Q.6 Rand()'!R43</f>
        <v>2.5</v>
      </c>
      <c r="B42" s="132">
        <f>'Q.6 Rand()'!S43</f>
        <v>34.434100000000001</v>
      </c>
      <c r="C42" s="134">
        <f>'Q.6 Rand()'!T43</f>
        <v>6</v>
      </c>
      <c r="D42" s="134">
        <f>'Q.6 Rand()'!U43</f>
        <v>21.473400000000002</v>
      </c>
      <c r="E42" s="136">
        <f>'Q.6 Rand()'!V43</f>
        <v>2</v>
      </c>
      <c r="F42" s="136">
        <f>'Q.6 Rand()'!W43</f>
        <v>39.4</v>
      </c>
      <c r="P42" s="63">
        <f t="shared" si="3"/>
        <v>39.436893959083463</v>
      </c>
      <c r="Q42" s="64">
        <f t="shared" si="4"/>
        <v>20.59947850530218</v>
      </c>
      <c r="R42" s="65">
        <f t="shared" si="5"/>
        <v>42.840625982101287</v>
      </c>
    </row>
    <row r="43" spans="1:18">
      <c r="A43" s="132">
        <f>'Q.6 Rand()'!R44</f>
        <v>5.4</v>
      </c>
      <c r="B43" s="132">
        <f>'Q.6 Rand()'!S44</f>
        <v>21.2</v>
      </c>
      <c r="C43" s="134">
        <f>'Q.6 Rand()'!T44</f>
        <v>2</v>
      </c>
      <c r="D43" s="134">
        <f>'Q.6 Rand()'!U44</f>
        <v>46.2</v>
      </c>
      <c r="E43" s="136">
        <f>'Q.6 Rand()'!V44</f>
        <v>3.5</v>
      </c>
      <c r="F43" s="136">
        <f>'Q.6 Rand()'!W44</f>
        <v>34.9</v>
      </c>
      <c r="P43" s="63">
        <f t="shared" si="3"/>
        <v>25.987143571671101</v>
      </c>
      <c r="Q43" s="64">
        <f t="shared" si="4"/>
        <v>44.994241914229015</v>
      </c>
      <c r="R43" s="65">
        <f t="shared" si="5"/>
        <v>35.413826144048841</v>
      </c>
    </row>
    <row r="44" spans="1:18">
      <c r="A44" s="132">
        <f>'Q.6 Rand()'!R45</f>
        <v>6</v>
      </c>
      <c r="B44" s="132">
        <f>'Q.6 Rand()'!S45</f>
        <v>32.4</v>
      </c>
      <c r="C44" s="134">
        <f>'Q.6 Rand()'!T45</f>
        <v>3.6</v>
      </c>
      <c r="D44" s="134">
        <f>'Q.6 Rand()'!U45</f>
        <v>36.543999999999997</v>
      </c>
      <c r="E44" s="136">
        <f>'Q.6 Rand()'!V45</f>
        <v>2.5</v>
      </c>
      <c r="F44" s="136">
        <f>'Q.6 Rand()'!W45</f>
        <v>40.107700000000001</v>
      </c>
      <c r="P44" s="63">
        <f t="shared" si="3"/>
        <v>23.204436594965095</v>
      </c>
      <c r="Q44" s="64">
        <f t="shared" si="4"/>
        <v>35.23633655065828</v>
      </c>
      <c r="R44" s="65">
        <f t="shared" si="5"/>
        <v>40.365026036083805</v>
      </c>
    </row>
    <row r="45" spans="1:18">
      <c r="A45" s="132">
        <f>'Q.6 Rand()'!R46</f>
        <v>3</v>
      </c>
      <c r="B45" s="132">
        <f>'Q.6 Rand()'!S46</f>
        <v>35.799999999999997</v>
      </c>
      <c r="C45" s="134">
        <f>'Q.6 Rand()'!T46</f>
        <v>2.4</v>
      </c>
      <c r="D45" s="134">
        <f>'Q.6 Rand()'!U46</f>
        <v>56.3</v>
      </c>
      <c r="E45" s="136">
        <f>'Q.6 Rand()'!V46</f>
        <v>5</v>
      </c>
      <c r="F45" s="136">
        <f>'Q.6 Rand()'!W46</f>
        <v>25.897200000000002</v>
      </c>
      <c r="P45" s="63">
        <f t="shared" si="3"/>
        <v>37.117971478495122</v>
      </c>
      <c r="Q45" s="64">
        <f t="shared" si="4"/>
        <v>42.554765573336333</v>
      </c>
      <c r="R45" s="65">
        <f t="shared" si="5"/>
        <v>27.98702630599638</v>
      </c>
    </row>
    <row r="46" spans="1:18">
      <c r="A46" s="132">
        <f>'Q.6 Rand()'!R47</f>
        <v>3.6</v>
      </c>
      <c r="B46" s="132">
        <f>'Q.6 Rand()'!S47</f>
        <v>37.9</v>
      </c>
      <c r="C46" s="134">
        <f>'Q.6 Rand()'!T47</f>
        <v>3.6</v>
      </c>
      <c r="D46" s="134">
        <f>'Q.6 Rand()'!U47</f>
        <v>32.299300000000002</v>
      </c>
      <c r="E46" s="136">
        <f>'Q.6 Rand()'!V47</f>
        <v>5</v>
      </c>
      <c r="F46" s="136">
        <f>'Q.6 Rand()'!W47</f>
        <v>28.700900000000001</v>
      </c>
      <c r="P46" s="63">
        <f t="shared" si="3"/>
        <v>34.335264501789119</v>
      </c>
      <c r="Q46" s="64">
        <f t="shared" si="4"/>
        <v>35.23633655065828</v>
      </c>
      <c r="R46" s="65">
        <f t="shared" si="5"/>
        <v>27.98702630599638</v>
      </c>
    </row>
    <row r="47" spans="1:18">
      <c r="A47" s="132">
        <f>'Q.6 Rand()'!R48</f>
        <v>2</v>
      </c>
      <c r="B47" s="132">
        <f>'Q.6 Rand()'!S48</f>
        <v>40.9</v>
      </c>
      <c r="C47" s="134">
        <f>'Q.6 Rand()'!T48</f>
        <v>4.5999999999999996</v>
      </c>
      <c r="D47" s="134">
        <f>'Q.6 Rand()'!U48</f>
        <v>21.9</v>
      </c>
      <c r="E47" s="136">
        <f>'Q.6 Rand()'!V48</f>
        <v>5.4</v>
      </c>
      <c r="F47" s="136">
        <f>'Q.6 Rand()'!W48</f>
        <v>21.2</v>
      </c>
      <c r="P47" s="63">
        <f t="shared" si="3"/>
        <v>41.755816439671804</v>
      </c>
      <c r="Q47" s="64">
        <f t="shared" si="4"/>
        <v>29.137645698426574</v>
      </c>
      <c r="R47" s="65">
        <f t="shared" si="5"/>
        <v>26.006546349182393</v>
      </c>
    </row>
    <row r="48" spans="1:18">
      <c r="A48" s="132">
        <f>'Q.6 Rand()'!R49</f>
        <v>5.3</v>
      </c>
      <c r="B48" s="132">
        <f>'Q.6 Rand()'!S49</f>
        <v>29</v>
      </c>
      <c r="C48" s="134">
        <f>'Q.6 Rand()'!T49</f>
        <v>3.5</v>
      </c>
      <c r="D48" s="134">
        <f>'Q.6 Rand()'!U49</f>
        <v>32.200000000000003</v>
      </c>
      <c r="E48" s="136">
        <f>'Q.6 Rand()'!V49</f>
        <v>2.5</v>
      </c>
      <c r="F48" s="136">
        <f>'Q.6 Rand()'!W49</f>
        <v>43.261699999999998</v>
      </c>
      <c r="P48" s="63">
        <f t="shared" si="3"/>
        <v>26.450928067788773</v>
      </c>
      <c r="Q48" s="64">
        <f t="shared" si="4"/>
        <v>35.846205635881454</v>
      </c>
      <c r="R48" s="65">
        <f t="shared" si="5"/>
        <v>40.365026036083805</v>
      </c>
    </row>
    <row r="49" spans="1:18">
      <c r="A49" s="132">
        <f>'Q.6 Rand()'!R50</f>
        <v>3</v>
      </c>
      <c r="B49" s="132">
        <f>'Q.6 Rand()'!S50</f>
        <v>37.425899999999999</v>
      </c>
      <c r="C49" s="134">
        <f>'Q.6 Rand()'!T50</f>
        <v>1.5</v>
      </c>
      <c r="D49" s="134">
        <f>'Q.6 Rand()'!U50</f>
        <v>52.2</v>
      </c>
      <c r="E49" s="136">
        <f>'Q.6 Rand()'!V50</f>
        <v>3.7</v>
      </c>
      <c r="F49" s="136">
        <f>'Q.6 Rand()'!W50</f>
        <v>31.364100000000001</v>
      </c>
      <c r="P49" s="63">
        <f t="shared" si="3"/>
        <v>37.117971478495122</v>
      </c>
      <c r="Q49" s="64">
        <f t="shared" si="4"/>
        <v>48.043587340344871</v>
      </c>
      <c r="R49" s="65">
        <f t="shared" si="5"/>
        <v>34.423586165641836</v>
      </c>
    </row>
    <row r="50" spans="1:18">
      <c r="A50" s="132">
        <f>'Q.6 Rand()'!R51</f>
        <v>2.5</v>
      </c>
      <c r="B50" s="132">
        <f>'Q.6 Rand()'!S51</f>
        <v>32.799999999999997</v>
      </c>
      <c r="C50" s="134">
        <f>'Q.6 Rand()'!T51</f>
        <v>5.2</v>
      </c>
      <c r="D50" s="134">
        <f>'Q.6 Rand()'!U51</f>
        <v>23.066700000000001</v>
      </c>
      <c r="E50" s="136">
        <f>'Q.6 Rand()'!V51</f>
        <v>2.5</v>
      </c>
      <c r="F50" s="136">
        <f>'Q.6 Rand()'!W51</f>
        <v>37.037799999999997</v>
      </c>
      <c r="P50" s="63">
        <f t="shared" si="3"/>
        <v>39.436893959083463</v>
      </c>
      <c r="Q50" s="64">
        <f t="shared" si="4"/>
        <v>25.478431187087544</v>
      </c>
      <c r="R50" s="65">
        <f t="shared" si="5"/>
        <v>40.365026036083805</v>
      </c>
    </row>
    <row r="51" spans="1:18">
      <c r="A51" s="132">
        <f>'Q.6 Rand()'!R52</f>
        <v>3.8</v>
      </c>
      <c r="B51" s="132">
        <f>'Q.6 Rand()'!S52</f>
        <v>37.066600000000001</v>
      </c>
      <c r="C51" s="134">
        <f>'Q.6 Rand()'!T52</f>
        <v>3.7</v>
      </c>
      <c r="D51" s="134">
        <f>'Q.6 Rand()'!U52</f>
        <v>31.363900000000001</v>
      </c>
      <c r="E51" s="136">
        <f>'Q.6 Rand()'!V52</f>
        <v>2.2999999999999998</v>
      </c>
      <c r="F51" s="136">
        <f>'Q.6 Rand()'!W52</f>
        <v>34.700000000000003</v>
      </c>
      <c r="P51" s="63">
        <f t="shared" si="3"/>
        <v>33.40769550955379</v>
      </c>
      <c r="Q51" s="64">
        <f t="shared" si="4"/>
        <v>34.626467465435113</v>
      </c>
      <c r="R51" s="65">
        <f t="shared" si="5"/>
        <v>41.355266014490802</v>
      </c>
    </row>
    <row r="52" spans="1:18">
      <c r="A52" s="132">
        <f>'Q.6 Rand()'!R53</f>
        <v>3</v>
      </c>
      <c r="B52" s="132">
        <f>'Q.6 Rand()'!S53</f>
        <v>31.302499999999998</v>
      </c>
      <c r="C52" s="134">
        <f>'Q.6 Rand()'!T53</f>
        <v>6</v>
      </c>
      <c r="D52" s="134">
        <f>'Q.6 Rand()'!U53</f>
        <v>21.473400000000002</v>
      </c>
      <c r="E52" s="136">
        <f>'Q.6 Rand()'!V53</f>
        <v>3.6</v>
      </c>
      <c r="F52" s="136">
        <f>'Q.6 Rand()'!W53</f>
        <v>36.1</v>
      </c>
      <c r="P52" s="63">
        <f t="shared" si="3"/>
        <v>37.117971478495122</v>
      </c>
      <c r="Q52" s="64">
        <f t="shared" si="4"/>
        <v>20.59947850530218</v>
      </c>
      <c r="R52" s="65">
        <f t="shared" si="5"/>
        <v>34.918706154845339</v>
      </c>
    </row>
    <row r="53" spans="1:18">
      <c r="A53" s="132">
        <f>'Q.6 Rand()'!R54</f>
        <v>3.4</v>
      </c>
      <c r="B53" s="132">
        <f>'Q.6 Rand()'!S54</f>
        <v>41.347000000000001</v>
      </c>
      <c r="C53" s="134">
        <f>'Q.6 Rand()'!T54</f>
        <v>1.8</v>
      </c>
      <c r="D53" s="134">
        <f>'Q.6 Rand()'!U54</f>
        <v>49.1</v>
      </c>
      <c r="E53" s="136">
        <f>'Q.6 Rand()'!V54</f>
        <v>6</v>
      </c>
      <c r="F53" s="136">
        <f>'Q.6 Rand()'!W54</f>
        <v>21.473400000000002</v>
      </c>
      <c r="P53" s="63">
        <f t="shared" si="3"/>
        <v>35.262833494024456</v>
      </c>
      <c r="Q53" s="64">
        <f t="shared" si="4"/>
        <v>46.213980084675356</v>
      </c>
      <c r="R53" s="65">
        <f t="shared" si="5"/>
        <v>23.035826413961413</v>
      </c>
    </row>
    <row r="54" spans="1:18">
      <c r="A54" s="132">
        <f>'Q.6 Rand()'!R55</f>
        <v>3</v>
      </c>
      <c r="B54" s="132">
        <f>'Q.6 Rand()'!S55</f>
        <v>35.496600000000001</v>
      </c>
      <c r="C54" s="134">
        <f>'Q.6 Rand()'!T55</f>
        <v>4.2</v>
      </c>
      <c r="D54" s="134">
        <f>'Q.6 Rand()'!U55</f>
        <v>26.767800000000001</v>
      </c>
      <c r="E54" s="136">
        <f>'Q.6 Rand()'!V55</f>
        <v>6</v>
      </c>
      <c r="F54" s="136">
        <f>'Q.6 Rand()'!W55</f>
        <v>21.8</v>
      </c>
      <c r="P54" s="63">
        <f t="shared" si="3"/>
        <v>37.117971478495122</v>
      </c>
      <c r="Q54" s="64">
        <f t="shared" si="4"/>
        <v>31.577122039319253</v>
      </c>
      <c r="R54" s="65">
        <f t="shared" si="5"/>
        <v>23.035826413961413</v>
      </c>
    </row>
    <row r="55" spans="1:18">
      <c r="A55" s="132">
        <f>'Q.6 Rand()'!R56</f>
        <v>3</v>
      </c>
      <c r="B55" s="132">
        <f>'Q.6 Rand()'!S56</f>
        <v>31.5</v>
      </c>
      <c r="C55" s="134">
        <f>'Q.6 Rand()'!T56</f>
        <v>3.6</v>
      </c>
      <c r="D55" s="134">
        <f>'Q.6 Rand()'!U56</f>
        <v>40.5</v>
      </c>
      <c r="E55" s="136">
        <f>'Q.6 Rand()'!V56</f>
        <v>5.3</v>
      </c>
      <c r="F55" s="136">
        <f>'Q.6 Rand()'!W56</f>
        <v>29</v>
      </c>
      <c r="P55" s="63">
        <f t="shared" si="3"/>
        <v>37.117971478495122</v>
      </c>
      <c r="Q55" s="64">
        <f t="shared" si="4"/>
        <v>35.23633655065828</v>
      </c>
      <c r="R55" s="65">
        <f t="shared" si="5"/>
        <v>26.501666338385892</v>
      </c>
    </row>
    <row r="56" spans="1:18">
      <c r="A56" s="132">
        <f>'Q.6 Rand()'!R57</f>
        <v>6.8</v>
      </c>
      <c r="B56" s="132">
        <f>'Q.6 Rand()'!S57</f>
        <v>17.7</v>
      </c>
      <c r="C56" s="134">
        <f>'Q.6 Rand()'!T57</f>
        <v>2.5</v>
      </c>
      <c r="D56" s="134">
        <f>'Q.6 Rand()'!U57</f>
        <v>44.515900000000002</v>
      </c>
      <c r="E56" s="136">
        <f>'Q.6 Rand()'!V57</f>
        <v>5.5</v>
      </c>
      <c r="F56" s="136">
        <f>'Q.6 Rand()'!W57</f>
        <v>31.7</v>
      </c>
      <c r="P56" s="63">
        <f t="shared" si="3"/>
        <v>19.494160626023756</v>
      </c>
      <c r="Q56" s="64">
        <f t="shared" si="4"/>
        <v>41.944896488113159</v>
      </c>
      <c r="R56" s="65">
        <f t="shared" si="5"/>
        <v>25.511426359978898</v>
      </c>
    </row>
    <row r="57" spans="1:18">
      <c r="A57" s="132">
        <f>'Q.6 Rand()'!R58</f>
        <v>6.2</v>
      </c>
      <c r="B57" s="132">
        <f>'Q.6 Rand()'!S58</f>
        <v>24.2</v>
      </c>
      <c r="C57" s="134">
        <f>'Q.6 Rand()'!T58</f>
        <v>5</v>
      </c>
      <c r="D57" s="134">
        <f>'Q.6 Rand()'!U58</f>
        <v>28.716000000000001</v>
      </c>
      <c r="E57" s="136">
        <f>'Q.6 Rand()'!V58</f>
        <v>4.8</v>
      </c>
      <c r="F57" s="136">
        <f>'Q.6 Rand()'!W58</f>
        <v>22.8</v>
      </c>
      <c r="P57" s="63">
        <f t="shared" si="3"/>
        <v>22.276867602729762</v>
      </c>
      <c r="Q57" s="64">
        <f t="shared" si="4"/>
        <v>26.698169357533889</v>
      </c>
      <c r="R57" s="65">
        <f t="shared" si="5"/>
        <v>28.977266284403377</v>
      </c>
    </row>
    <row r="58" spans="1:18">
      <c r="A58" s="132">
        <f>'Q.6 Rand()'!R59</f>
        <v>2</v>
      </c>
      <c r="B58" s="132">
        <f>'Q.6 Rand()'!S59</f>
        <v>44.7</v>
      </c>
      <c r="C58" s="134">
        <f>'Q.6 Rand()'!T59</f>
        <v>5.9</v>
      </c>
      <c r="D58" s="134">
        <f>'Q.6 Rand()'!U59</f>
        <v>22.925799999999999</v>
      </c>
      <c r="E58" s="136">
        <f>'Q.6 Rand()'!V59</f>
        <v>4.4000000000000004</v>
      </c>
      <c r="F58" s="136">
        <f>'Q.6 Rand()'!W59</f>
        <v>27.730699999999999</v>
      </c>
      <c r="P58" s="63">
        <f t="shared" si="3"/>
        <v>41.755816439671804</v>
      </c>
      <c r="Q58" s="64">
        <f t="shared" si="4"/>
        <v>21.209347590525347</v>
      </c>
      <c r="R58" s="65">
        <f t="shared" si="5"/>
        <v>30.957746241217361</v>
      </c>
    </row>
    <row r="59" spans="1:18">
      <c r="A59" s="132">
        <f>'Q.6 Rand()'!R60</f>
        <v>1.8</v>
      </c>
      <c r="B59" s="132">
        <f>'Q.6 Rand()'!S60</f>
        <v>50.8</v>
      </c>
      <c r="C59" s="134">
        <f>'Q.6 Rand()'!T60</f>
        <v>3.5</v>
      </c>
      <c r="D59" s="134">
        <f>'Q.6 Rand()'!U60</f>
        <v>30.049299999999999</v>
      </c>
      <c r="E59" s="136">
        <f>'Q.6 Rand()'!V60</f>
        <v>2</v>
      </c>
      <c r="F59" s="136">
        <f>'Q.6 Rand()'!W60</f>
        <v>44.707999999999998</v>
      </c>
      <c r="P59" s="63">
        <f t="shared" si="3"/>
        <v>42.683385431907141</v>
      </c>
      <c r="Q59" s="64">
        <f t="shared" si="4"/>
        <v>35.846205635881454</v>
      </c>
      <c r="R59" s="65">
        <f t="shared" si="5"/>
        <v>42.840625982101287</v>
      </c>
    </row>
    <row r="60" spans="1:18">
      <c r="A60" s="132">
        <f>'Q.6 Rand()'!R61</f>
        <v>5.4</v>
      </c>
      <c r="B60" s="132">
        <f>'Q.6 Rand()'!S61</f>
        <v>20.6</v>
      </c>
      <c r="C60" s="134">
        <f>'Q.6 Rand()'!T61</f>
        <v>2</v>
      </c>
      <c r="D60" s="134">
        <f>'Q.6 Rand()'!U61</f>
        <v>41.5</v>
      </c>
      <c r="E60" s="136">
        <f>'Q.6 Rand()'!V61</f>
        <v>5.7</v>
      </c>
      <c r="F60" s="136">
        <f>'Q.6 Rand()'!W61</f>
        <v>25.6</v>
      </c>
      <c r="P60" s="63">
        <f t="shared" si="3"/>
        <v>25.987143571671101</v>
      </c>
      <c r="Q60" s="64">
        <f t="shared" si="4"/>
        <v>44.994241914229015</v>
      </c>
      <c r="R60" s="65">
        <f t="shared" si="5"/>
        <v>24.521186381571901</v>
      </c>
    </row>
    <row r="61" spans="1:18">
      <c r="A61" s="132">
        <f>'Q.6 Rand()'!R62</f>
        <v>2</v>
      </c>
      <c r="B61" s="132">
        <f>'Q.6 Rand()'!S62</f>
        <v>43.2</v>
      </c>
      <c r="C61" s="134">
        <f>'Q.6 Rand()'!T62</f>
        <v>3</v>
      </c>
      <c r="D61" s="134">
        <f>'Q.6 Rand()'!U62</f>
        <v>32.857900000000001</v>
      </c>
      <c r="E61" s="136">
        <f>'Q.6 Rand()'!V62</f>
        <v>2</v>
      </c>
      <c r="F61" s="136">
        <f>'Q.6 Rand()'!W62</f>
        <v>59.438099999999999</v>
      </c>
      <c r="P61" s="63">
        <f t="shared" si="3"/>
        <v>41.755816439671804</v>
      </c>
      <c r="Q61" s="64">
        <f t="shared" si="4"/>
        <v>38.89555106199731</v>
      </c>
      <c r="R61" s="65">
        <f t="shared" si="5"/>
        <v>42.840625982101287</v>
      </c>
    </row>
    <row r="62" spans="1:18">
      <c r="A62" s="132">
        <f>'Q.6 Rand()'!R63</f>
        <v>6</v>
      </c>
      <c r="B62" s="132">
        <f>'Q.6 Rand()'!S63</f>
        <v>21.473400000000002</v>
      </c>
      <c r="C62" s="134">
        <f>'Q.6 Rand()'!T63</f>
        <v>2</v>
      </c>
      <c r="D62" s="134">
        <f>'Q.6 Rand()'!U63</f>
        <v>40</v>
      </c>
      <c r="E62" s="136">
        <f>'Q.6 Rand()'!V63</f>
        <v>3</v>
      </c>
      <c r="F62" s="136">
        <f>'Q.6 Rand()'!W63</f>
        <v>47.1</v>
      </c>
      <c r="P62" s="63">
        <f t="shared" si="3"/>
        <v>23.204436594965095</v>
      </c>
      <c r="Q62" s="64">
        <f t="shared" si="4"/>
        <v>44.994241914229015</v>
      </c>
      <c r="R62" s="65">
        <f t="shared" si="5"/>
        <v>37.889426090066323</v>
      </c>
    </row>
    <row r="63" spans="1:18">
      <c r="A63" s="132">
        <f>'Q.6 Rand()'!R64</f>
        <v>6</v>
      </c>
      <c r="B63" s="132">
        <f>'Q.6 Rand()'!S64</f>
        <v>32.799999999999997</v>
      </c>
      <c r="C63" s="134">
        <f>'Q.6 Rand()'!T64</f>
        <v>3.8</v>
      </c>
      <c r="D63" s="134">
        <f>'Q.6 Rand()'!U64</f>
        <v>36.7669</v>
      </c>
      <c r="E63" s="136">
        <f>'Q.6 Rand()'!V64</f>
        <v>6</v>
      </c>
      <c r="F63" s="136">
        <f>'Q.6 Rand()'!W64</f>
        <v>21.473400000000002</v>
      </c>
      <c r="P63" s="63">
        <f t="shared" si="3"/>
        <v>23.204436594965095</v>
      </c>
      <c r="Q63" s="64">
        <f t="shared" si="4"/>
        <v>34.016598380211946</v>
      </c>
      <c r="R63" s="65">
        <f t="shared" si="5"/>
        <v>23.035826413961413</v>
      </c>
    </row>
    <row r="64" spans="1:18">
      <c r="A64" s="132">
        <f>'Q.6 Rand()'!R65</f>
        <v>4</v>
      </c>
      <c r="B64" s="132">
        <f>'Q.6 Rand()'!S65</f>
        <v>29.4</v>
      </c>
      <c r="C64" s="134">
        <f>'Q.6 Rand()'!T65</f>
        <v>2</v>
      </c>
      <c r="D64" s="134">
        <f>'Q.6 Rand()'!U65</f>
        <v>36.799999999999997</v>
      </c>
      <c r="E64" s="136">
        <f>'Q.6 Rand()'!V65</f>
        <v>2.4</v>
      </c>
      <c r="F64" s="136">
        <f>'Q.6 Rand()'!W65</f>
        <v>42</v>
      </c>
      <c r="P64" s="63">
        <f t="shared" si="3"/>
        <v>32.480126517318453</v>
      </c>
      <c r="Q64" s="64">
        <f t="shared" si="4"/>
        <v>44.994241914229015</v>
      </c>
      <c r="R64" s="65">
        <f t="shared" si="5"/>
        <v>40.860146025287307</v>
      </c>
    </row>
    <row r="65" spans="1:18">
      <c r="A65" s="132">
        <f>'Q.6 Rand()'!R66</f>
        <v>1.6</v>
      </c>
      <c r="B65" s="132">
        <f>'Q.6 Rand()'!S66</f>
        <v>56.420400000000001</v>
      </c>
      <c r="C65" s="134">
        <f>'Q.6 Rand()'!T66</f>
        <v>3.7</v>
      </c>
      <c r="D65" s="134">
        <f>'Q.6 Rand()'!U66</f>
        <v>28.1</v>
      </c>
      <c r="E65" s="136">
        <f>'Q.6 Rand()'!V66</f>
        <v>4.7</v>
      </c>
      <c r="F65" s="136">
        <f>'Q.6 Rand()'!W66</f>
        <v>25.7</v>
      </c>
      <c r="P65" s="63">
        <f t="shared" si="3"/>
        <v>43.61095442414247</v>
      </c>
      <c r="Q65" s="64">
        <f t="shared" si="4"/>
        <v>34.626467465435113</v>
      </c>
      <c r="R65" s="65">
        <f t="shared" si="5"/>
        <v>29.472386273606872</v>
      </c>
    </row>
    <row r="66" spans="1:18">
      <c r="A66" s="132">
        <f>'Q.6 Rand()'!R67</f>
        <v>3.6</v>
      </c>
      <c r="B66" s="132">
        <f>'Q.6 Rand()'!S67</f>
        <v>31.2</v>
      </c>
      <c r="C66" s="134">
        <f>'Q.6 Rand()'!T67</f>
        <v>3.6</v>
      </c>
      <c r="D66" s="134">
        <f>'Q.6 Rand()'!U67</f>
        <v>40.5</v>
      </c>
      <c r="E66" s="136">
        <f>'Q.6 Rand()'!V67</f>
        <v>2.4</v>
      </c>
      <c r="F66" s="136">
        <f>'Q.6 Rand()'!W67</f>
        <v>40.299999999999997</v>
      </c>
      <c r="P66" s="63">
        <f t="shared" ref="P66:P83" si="6">$H$2 + ($L$2 * A66)</f>
        <v>34.335264501789119</v>
      </c>
      <c r="Q66" s="64">
        <f t="shared" ref="Q66:Q83" si="7">$I$2 + ($M$2 * C66)</f>
        <v>35.23633655065828</v>
      </c>
      <c r="R66" s="65">
        <f t="shared" ref="R66:R82" si="8">$J$2 + ($N$2 * E66)</f>
        <v>40.860146025287307</v>
      </c>
    </row>
    <row r="67" spans="1:18">
      <c r="A67" s="132">
        <f>'Q.6 Rand()'!R68</f>
        <v>4.4000000000000004</v>
      </c>
      <c r="B67" s="132">
        <f>'Q.6 Rand()'!S68</f>
        <v>29.837800000000001</v>
      </c>
      <c r="C67" s="134">
        <f>'Q.6 Rand()'!T68</f>
        <v>4.2</v>
      </c>
      <c r="D67" s="134">
        <f>'Q.6 Rand()'!U68</f>
        <v>35.722200000000001</v>
      </c>
      <c r="E67" s="136">
        <f>'Q.6 Rand()'!V68</f>
        <v>4.5999999999999996</v>
      </c>
      <c r="F67" s="136">
        <f>'Q.6 Rand()'!W68</f>
        <v>21.9</v>
      </c>
      <c r="P67" s="63">
        <f t="shared" si="6"/>
        <v>30.624988532847777</v>
      </c>
      <c r="Q67" s="64">
        <f t="shared" si="7"/>
        <v>31.577122039319253</v>
      </c>
      <c r="R67" s="65">
        <f t="shared" si="8"/>
        <v>29.967506262810371</v>
      </c>
    </row>
    <row r="68" spans="1:18">
      <c r="A68" s="132">
        <f>'Q.6 Rand()'!R69</f>
        <v>6.4</v>
      </c>
      <c r="B68" s="132">
        <f>'Q.6 Rand()'!S69</f>
        <v>31.4</v>
      </c>
      <c r="C68" s="134">
        <f>'Q.6 Rand()'!T69</f>
        <v>6</v>
      </c>
      <c r="D68" s="134">
        <f>'Q.6 Rand()'!U69</f>
        <v>21.7</v>
      </c>
      <c r="E68" s="136">
        <f>'Q.6 Rand()'!V69</f>
        <v>4</v>
      </c>
      <c r="F68" s="136">
        <f>'Q.6 Rand()'!W69</f>
        <v>28.5</v>
      </c>
      <c r="P68" s="63">
        <f t="shared" si="6"/>
        <v>21.349298610494426</v>
      </c>
      <c r="Q68" s="64">
        <f t="shared" si="7"/>
        <v>20.59947850530218</v>
      </c>
      <c r="R68" s="65">
        <f t="shared" si="8"/>
        <v>32.938226198031352</v>
      </c>
    </row>
    <row r="69" spans="1:18">
      <c r="A69" s="132">
        <f>'Q.6 Rand()'!R70</f>
        <v>5.7</v>
      </c>
      <c r="B69" s="132">
        <f>'Q.6 Rand()'!S70</f>
        <v>27.2</v>
      </c>
      <c r="C69" s="134">
        <f>'Q.6 Rand()'!T70</f>
        <v>1.6</v>
      </c>
      <c r="D69" s="134">
        <f>'Q.6 Rand()'!U70</f>
        <v>43.7</v>
      </c>
      <c r="E69" s="136">
        <f>'Q.6 Rand()'!V70</f>
        <v>1.6</v>
      </c>
      <c r="F69" s="136">
        <f>'Q.6 Rand()'!W70</f>
        <v>42.8</v>
      </c>
      <c r="P69" s="63">
        <f t="shared" si="6"/>
        <v>24.5957900833181</v>
      </c>
      <c r="Q69" s="64">
        <f t="shared" si="7"/>
        <v>47.433718255121697</v>
      </c>
      <c r="R69" s="65">
        <f t="shared" si="8"/>
        <v>44.821105938915281</v>
      </c>
    </row>
    <row r="70" spans="1:18">
      <c r="A70" s="132">
        <f>'Q.6 Rand()'!R71</f>
        <v>1.6</v>
      </c>
      <c r="B70" s="132">
        <f>'Q.6 Rand()'!S71</f>
        <v>41.7</v>
      </c>
      <c r="C70" s="134">
        <f>'Q.6 Rand()'!T71</f>
        <v>2.5</v>
      </c>
      <c r="D70" s="134">
        <f>'Q.6 Rand()'!U71</f>
        <v>36.655700000000003</v>
      </c>
      <c r="E70" s="136">
        <f>'Q.6 Rand()'!V71</f>
        <v>6.4</v>
      </c>
      <c r="F70" s="136">
        <f>'Q.6 Rand()'!W71</f>
        <v>29.9499</v>
      </c>
      <c r="P70" s="63">
        <f t="shared" si="6"/>
        <v>43.61095442414247</v>
      </c>
      <c r="Q70" s="64">
        <f t="shared" si="7"/>
        <v>41.944896488113159</v>
      </c>
      <c r="R70" s="65">
        <f t="shared" si="8"/>
        <v>21.055346457147422</v>
      </c>
    </row>
    <row r="71" spans="1:18">
      <c r="A71" s="132">
        <f>'Q.6 Rand()'!R72</f>
        <v>6</v>
      </c>
      <c r="B71" s="132">
        <f>'Q.6 Rand()'!S72</f>
        <v>32.4</v>
      </c>
      <c r="C71" s="134">
        <f>'Q.6 Rand()'!T72</f>
        <v>2</v>
      </c>
      <c r="D71" s="134">
        <f>'Q.6 Rand()'!U72</f>
        <v>59.536099999999998</v>
      </c>
      <c r="E71" s="136">
        <f>'Q.6 Rand()'!V72</f>
        <v>6.8</v>
      </c>
      <c r="F71" s="136">
        <f>'Q.6 Rand()'!W72</f>
        <v>18.600000000000001</v>
      </c>
      <c r="P71" s="63">
        <f t="shared" si="6"/>
        <v>23.204436594965095</v>
      </c>
      <c r="Q71" s="64">
        <f t="shared" si="7"/>
        <v>44.994241914229015</v>
      </c>
      <c r="R71" s="65">
        <f t="shared" si="8"/>
        <v>19.074866500333435</v>
      </c>
    </row>
    <row r="72" spans="1:18">
      <c r="A72" s="132">
        <f>'Q.6 Rand()'!R73</f>
        <v>5.7</v>
      </c>
      <c r="B72" s="132">
        <f>'Q.6 Rand()'!S73</f>
        <v>27.2</v>
      </c>
      <c r="C72" s="134">
        <f>'Q.6 Rand()'!T73</f>
        <v>3.8</v>
      </c>
      <c r="D72" s="134">
        <f>'Q.6 Rand()'!U73</f>
        <v>34.861699999999999</v>
      </c>
      <c r="E72" s="136">
        <f>'Q.6 Rand()'!V73</f>
        <v>2</v>
      </c>
      <c r="F72" s="136">
        <f>'Q.6 Rand()'!W73</f>
        <v>41.399000000000001</v>
      </c>
      <c r="P72" s="63">
        <f t="shared" si="6"/>
        <v>24.5957900833181</v>
      </c>
      <c r="Q72" s="64">
        <f t="shared" si="7"/>
        <v>34.016598380211946</v>
      </c>
      <c r="R72" s="65">
        <f t="shared" si="8"/>
        <v>42.840625982101287</v>
      </c>
    </row>
    <row r="73" spans="1:18">
      <c r="A73" s="132">
        <f>'Q.6 Rand()'!R74</f>
        <v>3</v>
      </c>
      <c r="B73" s="132">
        <f>'Q.6 Rand()'!S74</f>
        <v>33.200000000000003</v>
      </c>
      <c r="C73" s="134">
        <f>'Q.6 Rand()'!T74</f>
        <v>2.4</v>
      </c>
      <c r="D73" s="134">
        <f>'Q.6 Rand()'!U74</f>
        <v>38.700000000000003</v>
      </c>
      <c r="E73" s="136">
        <f>'Q.6 Rand()'!V74</f>
        <v>1.5</v>
      </c>
      <c r="F73" s="136">
        <f>'Q.6 Rand()'!W74</f>
        <v>49.6</v>
      </c>
      <c r="P73" s="63">
        <f t="shared" si="6"/>
        <v>37.117971478495122</v>
      </c>
      <c r="Q73" s="64">
        <f t="shared" si="7"/>
        <v>42.554765573336333</v>
      </c>
      <c r="R73" s="65">
        <f t="shared" si="8"/>
        <v>45.316225928118776</v>
      </c>
    </row>
    <row r="74" spans="1:18">
      <c r="A74" s="132">
        <f>'Q.6 Rand()'!R75</f>
        <v>2.5</v>
      </c>
      <c r="B74" s="132">
        <f>'Q.6 Rand()'!S75</f>
        <v>37.6</v>
      </c>
      <c r="C74" s="134">
        <f>'Q.6 Rand()'!T75</f>
        <v>3</v>
      </c>
      <c r="D74" s="134">
        <f>'Q.6 Rand()'!U75</f>
        <v>32.857900000000001</v>
      </c>
      <c r="E74" s="136">
        <f>'Q.6 Rand()'!V75</f>
        <v>5.5</v>
      </c>
      <c r="F74" s="136">
        <f>'Q.6 Rand()'!W75</f>
        <v>30.6</v>
      </c>
      <c r="P74" s="63">
        <f t="shared" si="6"/>
        <v>39.436893959083463</v>
      </c>
      <c r="Q74" s="64">
        <f t="shared" si="7"/>
        <v>38.89555106199731</v>
      </c>
      <c r="R74" s="65">
        <f t="shared" si="8"/>
        <v>25.511426359978898</v>
      </c>
    </row>
    <row r="75" spans="1:18">
      <c r="A75" s="132">
        <f>'Q.6 Rand()'!R76</f>
        <v>2</v>
      </c>
      <c r="B75" s="132">
        <f>'Q.6 Rand()'!S76</f>
        <v>46.9</v>
      </c>
      <c r="C75" s="134">
        <f>'Q.6 Rand()'!T76</f>
        <v>4.7</v>
      </c>
      <c r="D75" s="134">
        <f>'Q.6 Rand()'!U76</f>
        <v>24.6</v>
      </c>
      <c r="E75" s="136">
        <f>'Q.6 Rand()'!V76</f>
        <v>2.5</v>
      </c>
      <c r="F75" s="136">
        <f>'Q.6 Rand()'!W76</f>
        <v>42.904000000000003</v>
      </c>
      <c r="P75" s="63">
        <f t="shared" si="6"/>
        <v>41.755816439671804</v>
      </c>
      <c r="Q75" s="64">
        <f t="shared" si="7"/>
        <v>28.5277766132034</v>
      </c>
      <c r="R75" s="65">
        <f t="shared" si="8"/>
        <v>40.365026036083805</v>
      </c>
    </row>
    <row r="76" spans="1:18">
      <c r="A76" s="132">
        <f>'Q.6 Rand()'!R77</f>
        <v>5</v>
      </c>
      <c r="B76" s="132">
        <f>'Q.6 Rand()'!S77</f>
        <v>27.4375</v>
      </c>
      <c r="C76" s="134">
        <f>'Q.6 Rand()'!T77</f>
        <v>1.6</v>
      </c>
      <c r="D76" s="134">
        <f>'Q.6 Rand()'!U77</f>
        <v>43.297899999999998</v>
      </c>
      <c r="E76" s="136">
        <f>'Q.6 Rand()'!V77</f>
        <v>3.4</v>
      </c>
      <c r="F76" s="136">
        <f>'Q.6 Rand()'!W77</f>
        <v>37.055</v>
      </c>
      <c r="P76" s="63">
        <f t="shared" si="6"/>
        <v>27.842281556141774</v>
      </c>
      <c r="Q76" s="64">
        <f t="shared" si="7"/>
        <v>47.433718255121697</v>
      </c>
      <c r="R76" s="65">
        <f t="shared" si="8"/>
        <v>35.908946133252329</v>
      </c>
    </row>
    <row r="77" spans="1:18">
      <c r="A77" s="132">
        <f>'Q.6 Rand()'!R78</f>
        <v>3</v>
      </c>
      <c r="B77" s="132">
        <f>'Q.6 Rand()'!S78</f>
        <v>34.4</v>
      </c>
      <c r="C77" s="134">
        <f>'Q.6 Rand()'!T78</f>
        <v>1.8</v>
      </c>
      <c r="D77" s="134">
        <f>'Q.6 Rand()'!U78</f>
        <v>47.2</v>
      </c>
      <c r="E77" s="136">
        <f>'Q.6 Rand()'!V78</f>
        <v>1.6</v>
      </c>
      <c r="F77" s="136">
        <f>'Q.6 Rand()'!W78</f>
        <v>50.243600000000001</v>
      </c>
      <c r="P77" s="63">
        <f t="shared" si="6"/>
        <v>37.117971478495122</v>
      </c>
      <c r="Q77" s="64">
        <f t="shared" si="7"/>
        <v>46.213980084675356</v>
      </c>
      <c r="R77" s="65">
        <f t="shared" si="8"/>
        <v>44.821105938915281</v>
      </c>
    </row>
    <row r="78" spans="1:18">
      <c r="A78" s="132">
        <f>'Q.6 Rand()'!R79</f>
        <v>3.5</v>
      </c>
      <c r="B78" s="132">
        <f>'Q.6 Rand()'!S79</f>
        <v>34.762999999999998</v>
      </c>
      <c r="C78" s="134">
        <f>'Q.6 Rand()'!T79</f>
        <v>1.6</v>
      </c>
      <c r="D78" s="134">
        <f>'Q.6 Rand()'!U79</f>
        <v>42</v>
      </c>
      <c r="E78" s="136">
        <f>'Q.6 Rand()'!V79</f>
        <v>5</v>
      </c>
      <c r="F78" s="136">
        <f>'Q.6 Rand()'!W79</f>
        <v>25.897500000000001</v>
      </c>
      <c r="P78" s="63">
        <f t="shared" si="6"/>
        <v>34.799048997906787</v>
      </c>
      <c r="Q78" s="64">
        <f t="shared" si="7"/>
        <v>47.433718255121697</v>
      </c>
      <c r="R78" s="65">
        <f t="shared" si="8"/>
        <v>27.98702630599638</v>
      </c>
    </row>
    <row r="79" spans="1:18">
      <c r="A79" s="132">
        <f>'Q.6 Rand()'!R80</f>
        <v>6</v>
      </c>
      <c r="B79" s="132">
        <f>'Q.6 Rand()'!S80</f>
        <v>21.651499999999999</v>
      </c>
      <c r="C79" s="134">
        <f>'Q.6 Rand()'!T80</f>
        <v>6.2</v>
      </c>
      <c r="D79" s="134">
        <f>'Q.6 Rand()'!U80</f>
        <v>19.5139</v>
      </c>
      <c r="E79" s="136">
        <f>'Q.6 Rand()'!V80</f>
        <v>1.6</v>
      </c>
      <c r="F79" s="136">
        <f>'Q.6 Rand()'!W80</f>
        <v>54.250100000000003</v>
      </c>
      <c r="P79" s="63">
        <f t="shared" si="6"/>
        <v>23.204436594965095</v>
      </c>
      <c r="Q79" s="64">
        <f t="shared" si="7"/>
        <v>19.379740334855839</v>
      </c>
      <c r="R79" s="65">
        <f t="shared" si="8"/>
        <v>44.821105938915281</v>
      </c>
    </row>
    <row r="80" spans="1:18">
      <c r="A80" s="132">
        <f>'Q.6 Rand()'!R81</f>
        <v>1.4</v>
      </c>
      <c r="B80" s="132">
        <f>'Q.6 Rand()'!S81</f>
        <v>59.7</v>
      </c>
      <c r="C80" s="134">
        <f>'Q.6 Rand()'!T81</f>
        <v>4.4000000000000004</v>
      </c>
      <c r="D80" s="134">
        <f>'Q.6 Rand()'!U81</f>
        <v>27.730699999999999</v>
      </c>
      <c r="E80" s="136">
        <f>'Q.6 Rand()'!V81</f>
        <v>3.7</v>
      </c>
      <c r="F80" s="136">
        <f>'Q.6 Rand()'!W81</f>
        <v>33.4</v>
      </c>
      <c r="P80" s="63">
        <f t="shared" si="6"/>
        <v>44.538523416377807</v>
      </c>
      <c r="Q80" s="64">
        <f t="shared" si="7"/>
        <v>30.357383868872912</v>
      </c>
      <c r="R80" s="65">
        <f t="shared" si="8"/>
        <v>34.423586165641836</v>
      </c>
    </row>
    <row r="81" spans="1:18">
      <c r="A81" s="132">
        <f>'Q.6 Rand()'!R82</f>
        <v>3</v>
      </c>
      <c r="B81" s="132">
        <f>'Q.6 Rand()'!S82</f>
        <v>33.299999999999997</v>
      </c>
      <c r="C81" s="134">
        <f>'Q.6 Rand()'!T82</f>
        <v>3.5</v>
      </c>
      <c r="D81" s="134">
        <f>'Q.6 Rand()'!U82</f>
        <v>34</v>
      </c>
      <c r="E81" s="136">
        <f>'Q.6 Rand()'!V82</f>
        <v>5</v>
      </c>
      <c r="F81" s="136">
        <f>'Q.6 Rand()'!W82</f>
        <v>30.850300000000001</v>
      </c>
      <c r="P81" s="63">
        <f t="shared" si="6"/>
        <v>37.117971478495122</v>
      </c>
      <c r="Q81" s="64">
        <f t="shared" si="7"/>
        <v>35.846205635881454</v>
      </c>
      <c r="R81" s="65">
        <f t="shared" si="8"/>
        <v>27.98702630599638</v>
      </c>
    </row>
    <row r="82" spans="1:18">
      <c r="A82" s="132">
        <f>'Q.6 Rand()'!R83</f>
        <v>3.6</v>
      </c>
      <c r="B82" s="132">
        <f>'Q.6 Rand()'!S83</f>
        <v>29.5</v>
      </c>
      <c r="C82" s="134">
        <f>'Q.6 Rand()'!T83</f>
        <v>3.5</v>
      </c>
      <c r="D82" s="134">
        <f>'Q.6 Rand()'!U83</f>
        <v>34.749400000000001</v>
      </c>
      <c r="E82" s="136">
        <f>'Q.6 Rand()'!V83</f>
        <v>3.7</v>
      </c>
      <c r="F82" s="136">
        <f>'Q.6 Rand()'!W83</f>
        <v>28.566800000000001</v>
      </c>
      <c r="P82" s="63">
        <f t="shared" si="6"/>
        <v>34.335264501789119</v>
      </c>
      <c r="Q82" s="64">
        <f t="shared" si="7"/>
        <v>35.846205635881454</v>
      </c>
      <c r="R82" s="65">
        <f t="shared" si="8"/>
        <v>34.423586165641836</v>
      </c>
    </row>
    <row r="83" spans="1:18">
      <c r="A83" s="132">
        <f>'Q.6 Rand()'!R84</f>
        <v>4.5999999999999996</v>
      </c>
      <c r="B83" s="132">
        <f>'Q.6 Rand()'!S84</f>
        <v>24.3</v>
      </c>
      <c r="C83" s="134">
        <f>'Q.6 Rand()'!T84</f>
        <v>4.5999999999999996</v>
      </c>
      <c r="D83" s="134">
        <f>'Q.6 Rand()'!U84</f>
        <v>23</v>
      </c>
      <c r="E83" s="136" t="str">
        <f>'Q.6 Rand()'!V84</f>
        <v/>
      </c>
      <c r="F83" s="136" t="str">
        <f>'Q.6 Rand()'!W84</f>
        <v/>
      </c>
      <c r="P83" s="63">
        <f t="shared" si="6"/>
        <v>29.697419540612447</v>
      </c>
      <c r="Q83" s="64">
        <f t="shared" si="7"/>
        <v>29.137645698426574</v>
      </c>
      <c r="R83" s="65"/>
    </row>
    <row r="84" spans="1:18">
      <c r="A84" s="133">
        <f>SUM(A2:A83)</f>
        <v>304.3</v>
      </c>
      <c r="B84" s="133">
        <f t="shared" ref="B84:F84" si="9">SUM(B2:B83)</f>
        <v>2773.2873</v>
      </c>
      <c r="C84" s="135">
        <f t="shared" si="9"/>
        <v>281.29999999999995</v>
      </c>
      <c r="D84" s="135">
        <f t="shared" si="9"/>
        <v>2974.1514000000002</v>
      </c>
      <c r="E84" s="137">
        <f t="shared" si="9"/>
        <v>305.09999999999997</v>
      </c>
      <c r="F84" s="137">
        <f t="shared" si="9"/>
        <v>2761.5740000000005</v>
      </c>
      <c r="P84" s="133">
        <v>304.3</v>
      </c>
      <c r="Q84" s="135">
        <v>281.29999999999995</v>
      </c>
      <c r="R84" s="137">
        <v>305.09999999999997</v>
      </c>
    </row>
    <row r="85" spans="1:18">
      <c r="A85" s="132">
        <f>COUNT(A2:A83)</f>
        <v>82</v>
      </c>
      <c r="B85" s="132">
        <f t="shared" ref="B85:F85" si="10">COUNT(B2:B83)</f>
        <v>82</v>
      </c>
      <c r="C85" s="134">
        <f t="shared" si="10"/>
        <v>82</v>
      </c>
      <c r="D85" s="134">
        <f t="shared" si="10"/>
        <v>82</v>
      </c>
      <c r="E85" s="136">
        <f t="shared" si="10"/>
        <v>81</v>
      </c>
      <c r="F85" s="136">
        <f t="shared" si="10"/>
        <v>81</v>
      </c>
      <c r="P85" s="132">
        <v>82</v>
      </c>
      <c r="Q85" s="134">
        <v>82</v>
      </c>
      <c r="R85" s="136">
        <v>81</v>
      </c>
    </row>
    <row r="86" spans="1:18">
      <c r="A86" s="131">
        <f>A84+C84+E84</f>
        <v>890.69999999999982</v>
      </c>
      <c r="B86" s="131">
        <f>B84+D84+F84</f>
        <v>8509.0127000000011</v>
      </c>
      <c r="C86" s="131"/>
      <c r="D86" s="131"/>
      <c r="E86" s="131"/>
      <c r="F86" s="131"/>
      <c r="P86" s="131">
        <f>P84+Q84+R84</f>
        <v>890.69999999999982</v>
      </c>
      <c r="Q86" s="1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Q.6f FinalTest</vt:lpstr>
      <vt:lpstr>Q.6 Rand()</vt:lpstr>
      <vt:lpstr>Q.7-8</vt:lpstr>
      <vt:lpstr>Q.7-8_S1</vt:lpstr>
      <vt:lpstr>Q.7-8_S2</vt:lpstr>
      <vt:lpstr>Q.7-8_S3</vt:lpstr>
      <vt:lpstr>Q.7-8b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MIT-iMac</dc:creator>
  <cp:lastModifiedBy>Mark Daniels</cp:lastModifiedBy>
  <dcterms:created xsi:type="dcterms:W3CDTF">2017-03-21T03:23:42Z</dcterms:created>
  <dcterms:modified xsi:type="dcterms:W3CDTF">2017-06-30T23:12:31Z</dcterms:modified>
</cp:coreProperties>
</file>