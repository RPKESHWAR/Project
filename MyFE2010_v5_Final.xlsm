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ThisWorkbook" defaultThemeVersion="166925"/>
  <mc:AlternateContent xmlns:mc="http://schemas.openxmlformats.org/markup-compatibility/2006">
    <mc:Choice Requires="x15">
      <x15ac:absPath xmlns:x15ac="http://schemas.microsoft.com/office/spreadsheetml/2010/11/ac" url="C:\Users\Mark\OneDrive\Documents\____DataAnalyst\____AcadGild\DataAnalytics\ACD_BART_Session_12-13_Project1.1\ACD_BART_Session_Project1.1_Final\to_GitHub\"/>
    </mc:Choice>
  </mc:AlternateContent>
  <bookViews>
    <workbookView xWindow="0" yWindow="0" windowWidth="28800" windowHeight="12210" activeTab="7"/>
  </bookViews>
  <sheets>
    <sheet name="Q.1 &amp; 4" sheetId="2" r:id="rId1"/>
    <sheet name="Q.2, 3, 5" sheetId="6" r:id="rId2"/>
    <sheet name="Q.6 Rand()" sheetId="22" r:id="rId3"/>
    <sheet name="Q.6a Model 1" sheetId="20" r:id="rId4"/>
    <sheet name="Q.6a Model 2" sheetId="27" r:id="rId5"/>
    <sheet name="Q.6a Model 3" sheetId="28" r:id="rId6"/>
    <sheet name="Q.6b-e CrossVal" sheetId="25" r:id="rId7"/>
    <sheet name="Q.6f" sheetId="31" r:id="rId8"/>
    <sheet name="Unique X" sheetId="21" r:id="rId9"/>
  </sheets>
  <definedNames>
    <definedName name="_xlchart.v1.0" hidden="1">'Q.1 &amp; 4'!$K$10</definedName>
    <definedName name="_xlchart.v1.1" hidden="1">'Q.1 &amp; 4'!$K$11:$K$1117</definedName>
    <definedName name="_xlchart.v1.2" hidden="1">'Q.1 &amp; 4'!$S$10</definedName>
    <definedName name="_xlchart.v1.3" hidden="1">'Q.1 &amp; 4'!$S$11:$S$1117</definedName>
  </definedNames>
  <calcPr calcId="171027"/>
</workbook>
</file>

<file path=xl/calcChain.xml><?xml version="1.0" encoding="utf-8"?>
<calcChain xmlns="http://schemas.openxmlformats.org/spreadsheetml/2006/main">
  <c r="Z11" i="25" l="1"/>
  <c r="Y11" i="25"/>
  <c r="V3" i="25" l="1"/>
  <c r="U3" i="25"/>
  <c r="O8" i="2" l="1"/>
  <c r="O7" i="2"/>
  <c r="S1117" i="2"/>
  <c r="S1116" i="2"/>
  <c r="S1115" i="2"/>
  <c r="S1114" i="2"/>
  <c r="S1113" i="2"/>
  <c r="S1112" i="2"/>
  <c r="S1111" i="2"/>
  <c r="S1110" i="2"/>
  <c r="S1109" i="2"/>
  <c r="S1108" i="2"/>
  <c r="S1107" i="2"/>
  <c r="S1106" i="2"/>
  <c r="S1105" i="2"/>
  <c r="S1104" i="2"/>
  <c r="S1103" i="2"/>
  <c r="S1102" i="2"/>
  <c r="S1101" i="2"/>
  <c r="S1100" i="2"/>
  <c r="S1099" i="2"/>
  <c r="S1098" i="2"/>
  <c r="S1097" i="2"/>
  <c r="S1096" i="2"/>
  <c r="S1095" i="2"/>
  <c r="S1094" i="2"/>
  <c r="S1093" i="2"/>
  <c r="S1092" i="2"/>
  <c r="S1091" i="2"/>
  <c r="S1090" i="2"/>
  <c r="S1089" i="2"/>
  <c r="S1088" i="2"/>
  <c r="S1087" i="2"/>
  <c r="S1086" i="2"/>
  <c r="S1085" i="2"/>
  <c r="S1084" i="2"/>
  <c r="S1083" i="2"/>
  <c r="S1082" i="2"/>
  <c r="S1081" i="2"/>
  <c r="S1080" i="2"/>
  <c r="S1079" i="2"/>
  <c r="S1078" i="2"/>
  <c r="S1077" i="2"/>
  <c r="S1076" i="2"/>
  <c r="S1075" i="2"/>
  <c r="S1074" i="2"/>
  <c r="S1073" i="2"/>
  <c r="S1072" i="2"/>
  <c r="S1071" i="2"/>
  <c r="S1070" i="2"/>
  <c r="S1069" i="2"/>
  <c r="S1068" i="2"/>
  <c r="S1067" i="2"/>
  <c r="S1066" i="2"/>
  <c r="S1065" i="2"/>
  <c r="S1064" i="2"/>
  <c r="S1063" i="2"/>
  <c r="S1062" i="2"/>
  <c r="S1061" i="2"/>
  <c r="S1060" i="2"/>
  <c r="S1059" i="2"/>
  <c r="S1058" i="2"/>
  <c r="S1057" i="2"/>
  <c r="S1056" i="2"/>
  <c r="S1055" i="2"/>
  <c r="S1054" i="2"/>
  <c r="S1053" i="2"/>
  <c r="S1052" i="2"/>
  <c r="S1051" i="2"/>
  <c r="S1050" i="2"/>
  <c r="S1049" i="2"/>
  <c r="S1048" i="2"/>
  <c r="S1047" i="2"/>
  <c r="S1046" i="2"/>
  <c r="S1045" i="2"/>
  <c r="S1044" i="2"/>
  <c r="S1043" i="2"/>
  <c r="S1042" i="2"/>
  <c r="S1041" i="2"/>
  <c r="S1040" i="2"/>
  <c r="S1039" i="2"/>
  <c r="S1038" i="2"/>
  <c r="S1037" i="2"/>
  <c r="S1036" i="2"/>
  <c r="S1035" i="2"/>
  <c r="S1034" i="2"/>
  <c r="S1033" i="2"/>
  <c r="S1032" i="2"/>
  <c r="S1031" i="2"/>
  <c r="S1030" i="2"/>
  <c r="S1029" i="2"/>
  <c r="S1028" i="2"/>
  <c r="S1027" i="2"/>
  <c r="S1026" i="2"/>
  <c r="S1025" i="2"/>
  <c r="S1024" i="2"/>
  <c r="S1023" i="2"/>
  <c r="S1022" i="2"/>
  <c r="S1021" i="2"/>
  <c r="S1020" i="2"/>
  <c r="S1019" i="2"/>
  <c r="S1018" i="2"/>
  <c r="S1017" i="2"/>
  <c r="S1016" i="2"/>
  <c r="S1015" i="2"/>
  <c r="S1014" i="2"/>
  <c r="S1013" i="2"/>
  <c r="S1012" i="2"/>
  <c r="S1011" i="2"/>
  <c r="S1010" i="2"/>
  <c r="S1009" i="2"/>
  <c r="S1008" i="2"/>
  <c r="S1007" i="2"/>
  <c r="S1006" i="2"/>
  <c r="S1005" i="2"/>
  <c r="S1004" i="2"/>
  <c r="S1003" i="2"/>
  <c r="S1002" i="2"/>
  <c r="S1001" i="2"/>
  <c r="S1000" i="2"/>
  <c r="S999" i="2"/>
  <c r="S998" i="2"/>
  <c r="S997" i="2"/>
  <c r="S996" i="2"/>
  <c r="S995" i="2"/>
  <c r="S994" i="2"/>
  <c r="S993" i="2"/>
  <c r="S992" i="2"/>
  <c r="S991" i="2"/>
  <c r="S990" i="2"/>
  <c r="S989" i="2"/>
  <c r="S988" i="2"/>
  <c r="S987" i="2"/>
  <c r="S986" i="2"/>
  <c r="S985" i="2"/>
  <c r="S984" i="2"/>
  <c r="S983" i="2"/>
  <c r="S982" i="2"/>
  <c r="S981" i="2"/>
  <c r="S980" i="2"/>
  <c r="S979" i="2"/>
  <c r="S978" i="2"/>
  <c r="S977" i="2"/>
  <c r="S976" i="2"/>
  <c r="S975" i="2"/>
  <c r="S974" i="2"/>
  <c r="S973" i="2"/>
  <c r="S972" i="2"/>
  <c r="S971" i="2"/>
  <c r="S970" i="2"/>
  <c r="S969" i="2"/>
  <c r="S968" i="2"/>
  <c r="S967" i="2"/>
  <c r="S966" i="2"/>
  <c r="S965" i="2"/>
  <c r="S964" i="2"/>
  <c r="S963" i="2"/>
  <c r="S962" i="2"/>
  <c r="S961" i="2"/>
  <c r="S960" i="2"/>
  <c r="S959" i="2"/>
  <c r="S958" i="2"/>
  <c r="S957" i="2"/>
  <c r="S956" i="2"/>
  <c r="S955" i="2"/>
  <c r="S954" i="2"/>
  <c r="S953" i="2"/>
  <c r="S952" i="2"/>
  <c r="S951" i="2"/>
  <c r="S950" i="2"/>
  <c r="S949" i="2"/>
  <c r="S948" i="2"/>
  <c r="S947" i="2"/>
  <c r="S946" i="2"/>
  <c r="S945" i="2"/>
  <c r="S944" i="2"/>
  <c r="S943" i="2"/>
  <c r="S942" i="2"/>
  <c r="S941" i="2"/>
  <c r="S940" i="2"/>
  <c r="S939" i="2"/>
  <c r="S938" i="2"/>
  <c r="S937" i="2"/>
  <c r="S936" i="2"/>
  <c r="S935" i="2"/>
  <c r="S934" i="2"/>
  <c r="S933" i="2"/>
  <c r="S932" i="2"/>
  <c r="S931" i="2"/>
  <c r="S930" i="2"/>
  <c r="S929" i="2"/>
  <c r="S928" i="2"/>
  <c r="S927" i="2"/>
  <c r="S926" i="2"/>
  <c r="S925" i="2"/>
  <c r="S924" i="2"/>
  <c r="S923" i="2"/>
  <c r="S922" i="2"/>
  <c r="S921" i="2"/>
  <c r="S920" i="2"/>
  <c r="S919" i="2"/>
  <c r="S918" i="2"/>
  <c r="S917" i="2"/>
  <c r="S916" i="2"/>
  <c r="S915" i="2"/>
  <c r="S914" i="2"/>
  <c r="S913" i="2"/>
  <c r="S912" i="2"/>
  <c r="S911" i="2"/>
  <c r="S910" i="2"/>
  <c r="S909" i="2"/>
  <c r="S908" i="2"/>
  <c r="S907" i="2"/>
  <c r="S906" i="2"/>
  <c r="S905" i="2"/>
  <c r="S904" i="2"/>
  <c r="S903" i="2"/>
  <c r="S902" i="2"/>
  <c r="S901" i="2"/>
  <c r="S900" i="2"/>
  <c r="S899" i="2"/>
  <c r="S898" i="2"/>
  <c r="S897" i="2"/>
  <c r="S896" i="2"/>
  <c r="S895" i="2"/>
  <c r="S894" i="2"/>
  <c r="S893" i="2"/>
  <c r="S892" i="2"/>
  <c r="S891" i="2"/>
  <c r="S890" i="2"/>
  <c r="S889" i="2"/>
  <c r="S888" i="2"/>
  <c r="S887" i="2"/>
  <c r="S886" i="2"/>
  <c r="S885" i="2"/>
  <c r="S884" i="2"/>
  <c r="S883" i="2"/>
  <c r="S882" i="2"/>
  <c r="S881" i="2"/>
  <c r="S880" i="2"/>
  <c r="S879" i="2"/>
  <c r="S878" i="2"/>
  <c r="S877" i="2"/>
  <c r="S876" i="2"/>
  <c r="S875" i="2"/>
  <c r="S874" i="2"/>
  <c r="S873" i="2"/>
  <c r="S872" i="2"/>
  <c r="S871" i="2"/>
  <c r="S870" i="2"/>
  <c r="S869" i="2"/>
  <c r="S868" i="2"/>
  <c r="S867" i="2"/>
  <c r="S866" i="2"/>
  <c r="S865" i="2"/>
  <c r="S864" i="2"/>
  <c r="S863" i="2"/>
  <c r="S862" i="2"/>
  <c r="S861" i="2"/>
  <c r="S860" i="2"/>
  <c r="S859" i="2"/>
  <c r="S858" i="2"/>
  <c r="S857" i="2"/>
  <c r="S856" i="2"/>
  <c r="S855" i="2"/>
  <c r="S854" i="2"/>
  <c r="S853" i="2"/>
  <c r="S852" i="2"/>
  <c r="S851" i="2"/>
  <c r="S850" i="2"/>
  <c r="S849" i="2"/>
  <c r="S848" i="2"/>
  <c r="S847" i="2"/>
  <c r="S846" i="2"/>
  <c r="S845" i="2"/>
  <c r="S844" i="2"/>
  <c r="S843" i="2"/>
  <c r="S842" i="2"/>
  <c r="S841" i="2"/>
  <c r="S840" i="2"/>
  <c r="S839" i="2"/>
  <c r="S838" i="2"/>
  <c r="S837" i="2"/>
  <c r="S836" i="2"/>
  <c r="S835" i="2"/>
  <c r="S834" i="2"/>
  <c r="S833" i="2"/>
  <c r="S832" i="2"/>
  <c r="S831" i="2"/>
  <c r="S830" i="2"/>
  <c r="S829" i="2"/>
  <c r="S828" i="2"/>
  <c r="S827" i="2"/>
  <c r="S826" i="2"/>
  <c r="S825" i="2"/>
  <c r="S824" i="2"/>
  <c r="S823" i="2"/>
  <c r="S822" i="2"/>
  <c r="S821" i="2"/>
  <c r="S820" i="2"/>
  <c r="S819" i="2"/>
  <c r="S818" i="2"/>
  <c r="S817" i="2"/>
  <c r="S816" i="2"/>
  <c r="S815" i="2"/>
  <c r="S814" i="2"/>
  <c r="S813" i="2"/>
  <c r="S812" i="2"/>
  <c r="S811" i="2"/>
  <c r="S810" i="2"/>
  <c r="S809" i="2"/>
  <c r="S808" i="2"/>
  <c r="S807" i="2"/>
  <c r="S806" i="2"/>
  <c r="S805" i="2"/>
  <c r="S804" i="2"/>
  <c r="S803" i="2"/>
  <c r="S802" i="2"/>
  <c r="S801" i="2"/>
  <c r="S800" i="2"/>
  <c r="S799" i="2"/>
  <c r="S798" i="2"/>
  <c r="S797" i="2"/>
  <c r="S796" i="2"/>
  <c r="S795" i="2"/>
  <c r="S794" i="2"/>
  <c r="S793" i="2"/>
  <c r="S792" i="2"/>
  <c r="S791" i="2"/>
  <c r="S790" i="2"/>
  <c r="S789" i="2"/>
  <c r="S788" i="2"/>
  <c r="S787" i="2"/>
  <c r="S786" i="2"/>
  <c r="S785" i="2"/>
  <c r="S784" i="2"/>
  <c r="S783" i="2"/>
  <c r="S782" i="2"/>
  <c r="S781" i="2"/>
  <c r="S780" i="2"/>
  <c r="S779" i="2"/>
  <c r="S778" i="2"/>
  <c r="S777" i="2"/>
  <c r="S776" i="2"/>
  <c r="S775" i="2"/>
  <c r="S774" i="2"/>
  <c r="S773" i="2"/>
  <c r="S772" i="2"/>
  <c r="S771" i="2"/>
  <c r="S770" i="2"/>
  <c r="S769" i="2"/>
  <c r="S768" i="2"/>
  <c r="S767" i="2"/>
  <c r="S766" i="2"/>
  <c r="S765" i="2"/>
  <c r="S764" i="2"/>
  <c r="S763" i="2"/>
  <c r="S762" i="2"/>
  <c r="S761" i="2"/>
  <c r="S760" i="2"/>
  <c r="S759" i="2"/>
  <c r="S758" i="2"/>
  <c r="S757" i="2"/>
  <c r="S756" i="2"/>
  <c r="S755" i="2"/>
  <c r="S754" i="2"/>
  <c r="S753" i="2"/>
  <c r="S752" i="2"/>
  <c r="S751" i="2"/>
  <c r="S750" i="2"/>
  <c r="S749" i="2"/>
  <c r="S748" i="2"/>
  <c r="S747" i="2"/>
  <c r="S746" i="2"/>
  <c r="S745" i="2"/>
  <c r="S744" i="2"/>
  <c r="S743" i="2"/>
  <c r="S742" i="2"/>
  <c r="S741" i="2"/>
  <c r="S740" i="2"/>
  <c r="S739" i="2"/>
  <c r="S738" i="2"/>
  <c r="S737" i="2"/>
  <c r="S736" i="2"/>
  <c r="S735" i="2"/>
  <c r="S734" i="2"/>
  <c r="S733" i="2"/>
  <c r="S732" i="2"/>
  <c r="S731" i="2"/>
  <c r="S730" i="2"/>
  <c r="S729" i="2"/>
  <c r="S728" i="2"/>
  <c r="S727" i="2"/>
  <c r="S726" i="2"/>
  <c r="S725" i="2"/>
  <c r="S724" i="2"/>
  <c r="S723" i="2"/>
  <c r="S722" i="2"/>
  <c r="S721" i="2"/>
  <c r="S720" i="2"/>
  <c r="S719" i="2"/>
  <c r="S718" i="2"/>
  <c r="S717" i="2"/>
  <c r="S716" i="2"/>
  <c r="S715" i="2"/>
  <c r="S714" i="2"/>
  <c r="S713" i="2"/>
  <c r="S712" i="2"/>
  <c r="S711" i="2"/>
  <c r="S710" i="2"/>
  <c r="S709" i="2"/>
  <c r="S708" i="2"/>
  <c r="S707" i="2"/>
  <c r="S706" i="2"/>
  <c r="S705" i="2"/>
  <c r="S704" i="2"/>
  <c r="S703" i="2"/>
  <c r="S702" i="2"/>
  <c r="S701" i="2"/>
  <c r="S700" i="2"/>
  <c r="S699" i="2"/>
  <c r="S698" i="2"/>
  <c r="S697" i="2"/>
  <c r="S696" i="2"/>
  <c r="S695" i="2"/>
  <c r="S694" i="2"/>
  <c r="S693" i="2"/>
  <c r="S692" i="2"/>
  <c r="S691" i="2"/>
  <c r="S690" i="2"/>
  <c r="S689" i="2"/>
  <c r="S688" i="2"/>
  <c r="S687" i="2"/>
  <c r="S686" i="2"/>
  <c r="S685" i="2"/>
  <c r="S684" i="2"/>
  <c r="S683" i="2"/>
  <c r="S682" i="2"/>
  <c r="S681" i="2"/>
  <c r="S680" i="2"/>
  <c r="S679" i="2"/>
  <c r="S678" i="2"/>
  <c r="S677" i="2"/>
  <c r="S676" i="2"/>
  <c r="S675" i="2"/>
  <c r="S674" i="2"/>
  <c r="S673" i="2"/>
  <c r="S672" i="2"/>
  <c r="S671" i="2"/>
  <c r="S670" i="2"/>
  <c r="S669" i="2"/>
  <c r="S668" i="2"/>
  <c r="S667" i="2"/>
  <c r="S666" i="2"/>
  <c r="S665" i="2"/>
  <c r="S664" i="2"/>
  <c r="S663" i="2"/>
  <c r="S662" i="2"/>
  <c r="S661" i="2"/>
  <c r="S660" i="2"/>
  <c r="S659" i="2"/>
  <c r="S658" i="2"/>
  <c r="S657" i="2"/>
  <c r="S656" i="2"/>
  <c r="S655" i="2"/>
  <c r="S654" i="2"/>
  <c r="S653" i="2"/>
  <c r="S652" i="2"/>
  <c r="S651" i="2"/>
  <c r="S650" i="2"/>
  <c r="S649" i="2"/>
  <c r="S648" i="2"/>
  <c r="S647" i="2"/>
  <c r="S646" i="2"/>
  <c r="S645" i="2"/>
  <c r="S644" i="2"/>
  <c r="S643" i="2"/>
  <c r="S642" i="2"/>
  <c r="S641" i="2"/>
  <c r="S640" i="2"/>
  <c r="S639" i="2"/>
  <c r="S638" i="2"/>
  <c r="S637" i="2"/>
  <c r="S636" i="2"/>
  <c r="S635" i="2"/>
  <c r="S634" i="2"/>
  <c r="S633" i="2"/>
  <c r="S632" i="2"/>
  <c r="S631" i="2"/>
  <c r="S630" i="2"/>
  <c r="S629" i="2"/>
  <c r="S628" i="2"/>
  <c r="S627" i="2"/>
  <c r="S626" i="2"/>
  <c r="S625" i="2"/>
  <c r="S624" i="2"/>
  <c r="S623" i="2"/>
  <c r="S622" i="2"/>
  <c r="S621" i="2"/>
  <c r="S620" i="2"/>
  <c r="S619" i="2"/>
  <c r="S618" i="2"/>
  <c r="S617" i="2"/>
  <c r="S616" i="2"/>
  <c r="S615" i="2"/>
  <c r="S614" i="2"/>
  <c r="S613" i="2"/>
  <c r="S612" i="2"/>
  <c r="S611" i="2"/>
  <c r="S610" i="2"/>
  <c r="S609" i="2"/>
  <c r="S608" i="2"/>
  <c r="S607" i="2"/>
  <c r="S606" i="2"/>
  <c r="S605" i="2"/>
  <c r="S604" i="2"/>
  <c r="S603" i="2"/>
  <c r="S602" i="2"/>
  <c r="S601" i="2"/>
  <c r="S600" i="2"/>
  <c r="S599" i="2"/>
  <c r="S598" i="2"/>
  <c r="S597" i="2"/>
  <c r="S596" i="2"/>
  <c r="S595" i="2"/>
  <c r="S594" i="2"/>
  <c r="S593" i="2"/>
  <c r="S592" i="2"/>
  <c r="S591" i="2"/>
  <c r="S590" i="2"/>
  <c r="S589" i="2"/>
  <c r="S588" i="2"/>
  <c r="S587" i="2"/>
  <c r="S586" i="2"/>
  <c r="S585" i="2"/>
  <c r="S584" i="2"/>
  <c r="S583" i="2"/>
  <c r="S582" i="2"/>
  <c r="S581" i="2"/>
  <c r="S580" i="2"/>
  <c r="S579" i="2"/>
  <c r="S578" i="2"/>
  <c r="S577" i="2"/>
  <c r="S576" i="2"/>
  <c r="S575" i="2"/>
  <c r="S574" i="2"/>
  <c r="S573" i="2"/>
  <c r="S572" i="2"/>
  <c r="S571" i="2"/>
  <c r="S570" i="2"/>
  <c r="S569" i="2"/>
  <c r="S568" i="2"/>
  <c r="S567" i="2"/>
  <c r="S566" i="2"/>
  <c r="S565" i="2"/>
  <c r="S564" i="2"/>
  <c r="S563" i="2"/>
  <c r="S562" i="2"/>
  <c r="S561" i="2"/>
  <c r="S560" i="2"/>
  <c r="S559" i="2"/>
  <c r="S558" i="2"/>
  <c r="S557" i="2"/>
  <c r="S556" i="2"/>
  <c r="S555" i="2"/>
  <c r="S554" i="2"/>
  <c r="S553" i="2"/>
  <c r="S552" i="2"/>
  <c r="S551" i="2"/>
  <c r="S550" i="2"/>
  <c r="S549" i="2"/>
  <c r="S548" i="2"/>
  <c r="S547" i="2"/>
  <c r="S546" i="2"/>
  <c r="S545" i="2"/>
  <c r="S544" i="2"/>
  <c r="S543" i="2"/>
  <c r="S542" i="2"/>
  <c r="S541" i="2"/>
  <c r="S540" i="2"/>
  <c r="S539" i="2"/>
  <c r="S538" i="2"/>
  <c r="S537" i="2"/>
  <c r="S536" i="2"/>
  <c r="S535" i="2"/>
  <c r="S534" i="2"/>
  <c r="S533" i="2"/>
  <c r="S532" i="2"/>
  <c r="S531" i="2"/>
  <c r="S530" i="2"/>
  <c r="S529" i="2"/>
  <c r="S528" i="2"/>
  <c r="S527" i="2"/>
  <c r="S526" i="2"/>
  <c r="S525" i="2"/>
  <c r="S524" i="2"/>
  <c r="S523" i="2"/>
  <c r="S522" i="2"/>
  <c r="S521" i="2"/>
  <c r="S520" i="2"/>
  <c r="S519" i="2"/>
  <c r="S518" i="2"/>
  <c r="S517" i="2"/>
  <c r="S516" i="2"/>
  <c r="S515" i="2"/>
  <c r="S514" i="2"/>
  <c r="S513" i="2"/>
  <c r="S512" i="2"/>
  <c r="S511" i="2"/>
  <c r="S510" i="2"/>
  <c r="S509" i="2"/>
  <c r="S508" i="2"/>
  <c r="S507" i="2"/>
  <c r="S506" i="2"/>
  <c r="S505" i="2"/>
  <c r="S504" i="2"/>
  <c r="S503" i="2"/>
  <c r="S502" i="2"/>
  <c r="S501" i="2"/>
  <c r="S500" i="2"/>
  <c r="S499" i="2"/>
  <c r="S498" i="2"/>
  <c r="S497" i="2"/>
  <c r="S496" i="2"/>
  <c r="S495" i="2"/>
  <c r="S494" i="2"/>
  <c r="S493" i="2"/>
  <c r="S492" i="2"/>
  <c r="S491" i="2"/>
  <c r="S490" i="2"/>
  <c r="S489" i="2"/>
  <c r="S488" i="2"/>
  <c r="S487" i="2"/>
  <c r="S486" i="2"/>
  <c r="S485" i="2"/>
  <c r="S484" i="2"/>
  <c r="S483" i="2"/>
  <c r="S482" i="2"/>
  <c r="S481" i="2"/>
  <c r="S480" i="2"/>
  <c r="S479" i="2"/>
  <c r="S478" i="2"/>
  <c r="S477" i="2"/>
  <c r="S476" i="2"/>
  <c r="S475" i="2"/>
  <c r="S474" i="2"/>
  <c r="S473" i="2"/>
  <c r="S472" i="2"/>
  <c r="S471" i="2"/>
  <c r="S470" i="2"/>
  <c r="S469" i="2"/>
  <c r="S468" i="2"/>
  <c r="S467" i="2"/>
  <c r="S466" i="2"/>
  <c r="S465" i="2"/>
  <c r="S464" i="2"/>
  <c r="S463" i="2"/>
  <c r="S462" i="2"/>
  <c r="S461" i="2"/>
  <c r="S460" i="2"/>
  <c r="S459" i="2"/>
  <c r="S458" i="2"/>
  <c r="S457" i="2"/>
  <c r="S456" i="2"/>
  <c r="S455" i="2"/>
  <c r="S454" i="2"/>
  <c r="S453" i="2"/>
  <c r="S452" i="2"/>
  <c r="S451" i="2"/>
  <c r="S450" i="2"/>
  <c r="S449" i="2"/>
  <c r="S448" i="2"/>
  <c r="S447" i="2"/>
  <c r="S446" i="2"/>
  <c r="S445" i="2"/>
  <c r="S444" i="2"/>
  <c r="S443" i="2"/>
  <c r="S442" i="2"/>
  <c r="S441" i="2"/>
  <c r="S440" i="2"/>
  <c r="S439" i="2"/>
  <c r="S438" i="2"/>
  <c r="S437" i="2"/>
  <c r="S436" i="2"/>
  <c r="S435" i="2"/>
  <c r="S434" i="2"/>
  <c r="S433" i="2"/>
  <c r="S432" i="2"/>
  <c r="S431" i="2"/>
  <c r="S430" i="2"/>
  <c r="S429" i="2"/>
  <c r="S428" i="2"/>
  <c r="S427" i="2"/>
  <c r="S426" i="2"/>
  <c r="S425" i="2"/>
  <c r="S424" i="2"/>
  <c r="S423" i="2"/>
  <c r="S422" i="2"/>
  <c r="S421" i="2"/>
  <c r="S420" i="2"/>
  <c r="S419" i="2"/>
  <c r="S418" i="2"/>
  <c r="S417" i="2"/>
  <c r="S416" i="2"/>
  <c r="S415" i="2"/>
  <c r="S414" i="2"/>
  <c r="S413" i="2"/>
  <c r="S412" i="2"/>
  <c r="S411" i="2"/>
  <c r="S410" i="2"/>
  <c r="S409" i="2"/>
  <c r="S408" i="2"/>
  <c r="S407" i="2"/>
  <c r="S406" i="2"/>
  <c r="S405" i="2"/>
  <c r="S404" i="2"/>
  <c r="S403" i="2"/>
  <c r="S402" i="2"/>
  <c r="S401" i="2"/>
  <c r="S400" i="2"/>
  <c r="S399" i="2"/>
  <c r="S398" i="2"/>
  <c r="S397" i="2"/>
  <c r="S396" i="2"/>
  <c r="S395" i="2"/>
  <c r="S394" i="2"/>
  <c r="S393" i="2"/>
  <c r="S392" i="2"/>
  <c r="S391" i="2"/>
  <c r="S390" i="2"/>
  <c r="S389" i="2"/>
  <c r="S388" i="2"/>
  <c r="S387" i="2"/>
  <c r="S386" i="2"/>
  <c r="S385" i="2"/>
  <c r="S384" i="2"/>
  <c r="S383" i="2"/>
  <c r="S382" i="2"/>
  <c r="S381" i="2"/>
  <c r="S380" i="2"/>
  <c r="S379" i="2"/>
  <c r="S378" i="2"/>
  <c r="S377" i="2"/>
  <c r="S376" i="2"/>
  <c r="S375" i="2"/>
  <c r="S374" i="2"/>
  <c r="S373" i="2"/>
  <c r="S372" i="2"/>
  <c r="S371" i="2"/>
  <c r="S370" i="2"/>
  <c r="S369" i="2"/>
  <c r="S368" i="2"/>
  <c r="S367" i="2"/>
  <c r="S366" i="2"/>
  <c r="S365" i="2"/>
  <c r="S364" i="2"/>
  <c r="S363" i="2"/>
  <c r="S362" i="2"/>
  <c r="S361" i="2"/>
  <c r="S360" i="2"/>
  <c r="S359" i="2"/>
  <c r="S358" i="2"/>
  <c r="S357" i="2"/>
  <c r="S356"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319" i="2"/>
  <c r="S318" i="2"/>
  <c r="S317" i="2"/>
  <c r="S316" i="2"/>
  <c r="S315" i="2"/>
  <c r="S314" i="2"/>
  <c r="S313" i="2"/>
  <c r="S312" i="2"/>
  <c r="S311" i="2"/>
  <c r="S310" i="2"/>
  <c r="S309" i="2"/>
  <c r="S308"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45" i="2"/>
  <c r="S44" i="2"/>
  <c r="S43" i="2"/>
  <c r="S42" i="2"/>
  <c r="S41" i="2"/>
  <c r="S40" i="2"/>
  <c r="S39" i="2"/>
  <c r="S38" i="2"/>
  <c r="S37" i="2"/>
  <c r="S36" i="2"/>
  <c r="S35" i="2"/>
  <c r="S34" i="2"/>
  <c r="S33" i="2"/>
  <c r="S32" i="2"/>
  <c r="S31" i="2"/>
  <c r="S30" i="2"/>
  <c r="S29" i="2"/>
  <c r="S28" i="2"/>
  <c r="S27" i="2"/>
  <c r="S26" i="2"/>
  <c r="S25" i="2"/>
  <c r="S24" i="2"/>
  <c r="S23" i="2"/>
  <c r="S22" i="2"/>
  <c r="S21" i="2"/>
  <c r="S20" i="2"/>
  <c r="S19" i="2"/>
  <c r="S18" i="2"/>
  <c r="S17" i="2"/>
  <c r="S16" i="2"/>
  <c r="S15" i="2"/>
  <c r="S14" i="2"/>
  <c r="S13" i="2"/>
  <c r="S12" i="2"/>
  <c r="S11" i="2"/>
  <c r="P7" i="2" l="1"/>
  <c r="P8" i="2"/>
  <c r="S1118" i="2"/>
  <c r="L7" i="2"/>
  <c r="K7" i="2"/>
  <c r="J7" i="2"/>
  <c r="I7" i="2"/>
  <c r="H7" i="2"/>
  <c r="G7" i="2"/>
  <c r="F7" i="2"/>
  <c r="E7" i="2"/>
  <c r="D7" i="2"/>
  <c r="C7" i="2"/>
  <c r="L6" i="2"/>
  <c r="K6" i="2"/>
  <c r="J6" i="2"/>
  <c r="I6" i="2"/>
  <c r="H6" i="2"/>
  <c r="G6" i="2"/>
  <c r="F6" i="2"/>
  <c r="E6" i="2"/>
  <c r="D6" i="2"/>
  <c r="C6" i="2"/>
  <c r="L4" i="2"/>
  <c r="K4" i="2"/>
  <c r="J4" i="2"/>
  <c r="I4" i="2"/>
  <c r="H4" i="2"/>
  <c r="G4" i="2"/>
  <c r="F4" i="2"/>
  <c r="E4" i="2"/>
  <c r="D4" i="2"/>
  <c r="C4" i="2"/>
  <c r="L1118" i="2"/>
  <c r="K1118" i="2"/>
  <c r="J1118" i="2"/>
  <c r="I1118" i="2"/>
  <c r="H1118" i="2"/>
  <c r="G1118" i="2"/>
  <c r="F1118" i="2"/>
  <c r="E1118" i="2"/>
  <c r="D1118" i="2"/>
  <c r="C1118" i="2"/>
  <c r="A7" i="6"/>
  <c r="B7" i="6"/>
  <c r="A8" i="6"/>
  <c r="B8" i="6"/>
  <c r="A9" i="6"/>
  <c r="B9" i="6"/>
  <c r="A10" i="6"/>
  <c r="B10" i="6"/>
  <c r="A11" i="6"/>
  <c r="B11" i="6"/>
  <c r="A12" i="6"/>
  <c r="B12" i="6"/>
  <c r="A13" i="6"/>
  <c r="B13" i="6"/>
  <c r="A14" i="6"/>
  <c r="B14" i="6"/>
  <c r="A15" i="6"/>
  <c r="B15" i="6"/>
  <c r="A16" i="6"/>
  <c r="B16" i="6"/>
  <c r="A17" i="6"/>
  <c r="B17" i="6"/>
  <c r="A18" i="6"/>
  <c r="B18" i="6"/>
  <c r="A19" i="6"/>
  <c r="B19" i="6"/>
  <c r="A20" i="6"/>
  <c r="B20" i="6"/>
  <c r="A21" i="6"/>
  <c r="B21" i="6"/>
  <c r="A22" i="6"/>
  <c r="B22" i="6"/>
  <c r="A23" i="6"/>
  <c r="B23" i="6"/>
  <c r="A24" i="6"/>
  <c r="B24" i="6"/>
  <c r="A25" i="6"/>
  <c r="B25" i="6"/>
  <c r="A26" i="6"/>
  <c r="B26" i="6"/>
  <c r="A27" i="6"/>
  <c r="B27" i="6"/>
  <c r="A28" i="6"/>
  <c r="B28" i="6"/>
  <c r="A29" i="6"/>
  <c r="B29" i="6"/>
  <c r="A30" i="6"/>
  <c r="B30" i="6"/>
  <c r="A31" i="6"/>
  <c r="B31" i="6"/>
  <c r="A32" i="6"/>
  <c r="B32" i="6"/>
  <c r="A33" i="6"/>
  <c r="B33" i="6"/>
  <c r="A34" i="6"/>
  <c r="B34" i="6"/>
  <c r="A35" i="6"/>
  <c r="B35" i="6"/>
  <c r="A36" i="6"/>
  <c r="B36" i="6"/>
  <c r="A37" i="6"/>
  <c r="B37" i="6"/>
  <c r="A38" i="6"/>
  <c r="B38" i="6"/>
  <c r="A39" i="6"/>
  <c r="B39" i="6"/>
  <c r="A40" i="6"/>
  <c r="B40" i="6"/>
  <c r="A41" i="6"/>
  <c r="B41" i="6"/>
  <c r="A42" i="6"/>
  <c r="B42" i="6"/>
  <c r="A43" i="6"/>
  <c r="B43" i="6"/>
  <c r="A44" i="6"/>
  <c r="B44" i="6"/>
  <c r="A45" i="6"/>
  <c r="B45" i="6"/>
  <c r="A46" i="6"/>
  <c r="B46" i="6"/>
  <c r="A47" i="6"/>
  <c r="B47" i="6"/>
  <c r="A48" i="6"/>
  <c r="B48" i="6"/>
  <c r="A49" i="6"/>
  <c r="B49" i="6"/>
  <c r="A50" i="6"/>
  <c r="B50" i="6"/>
  <c r="A51" i="6"/>
  <c r="B51" i="6"/>
  <c r="A52" i="6"/>
  <c r="B52" i="6"/>
  <c r="A53" i="6"/>
  <c r="B53" i="6"/>
  <c r="A54" i="6"/>
  <c r="B54" i="6"/>
  <c r="A55" i="6"/>
  <c r="B55" i="6"/>
  <c r="A56" i="6"/>
  <c r="B56" i="6"/>
  <c r="A57" i="6"/>
  <c r="B57" i="6"/>
  <c r="A58" i="6"/>
  <c r="B58" i="6"/>
  <c r="A59" i="6"/>
  <c r="B59" i="6"/>
  <c r="A60" i="6"/>
  <c r="B60" i="6"/>
  <c r="A61" i="6"/>
  <c r="B61" i="6"/>
  <c r="A62" i="6"/>
  <c r="B62" i="6"/>
  <c r="A63" i="6"/>
  <c r="B63" i="6"/>
  <c r="A64" i="6"/>
  <c r="B64" i="6"/>
  <c r="A65" i="6"/>
  <c r="B65" i="6"/>
  <c r="A66" i="6"/>
  <c r="B66" i="6"/>
  <c r="A67" i="6"/>
  <c r="B67" i="6"/>
  <c r="A68" i="6"/>
  <c r="B68" i="6"/>
  <c r="A69" i="6"/>
  <c r="B69" i="6"/>
  <c r="A70" i="6"/>
  <c r="B70" i="6"/>
  <c r="A71" i="6"/>
  <c r="B71" i="6"/>
  <c r="A72" i="6"/>
  <c r="B72" i="6"/>
  <c r="A73" i="6"/>
  <c r="B73" i="6"/>
  <c r="A74" i="6"/>
  <c r="B74" i="6"/>
  <c r="A75" i="6"/>
  <c r="B75" i="6"/>
  <c r="A76" i="6"/>
  <c r="B76" i="6"/>
  <c r="A77" i="6"/>
  <c r="B77" i="6"/>
  <c r="A78" i="6"/>
  <c r="B78" i="6"/>
  <c r="A79" i="6"/>
  <c r="B79" i="6"/>
  <c r="A80" i="6"/>
  <c r="B80" i="6"/>
  <c r="A81" i="6"/>
  <c r="B81" i="6"/>
  <c r="A82" i="6"/>
  <c r="B82" i="6"/>
  <c r="A83" i="6"/>
  <c r="B83" i="6"/>
  <c r="A84" i="6"/>
  <c r="B84" i="6"/>
  <c r="A85" i="6"/>
  <c r="B85" i="6"/>
  <c r="A86" i="6"/>
  <c r="B86" i="6"/>
  <c r="A87" i="6"/>
  <c r="B87" i="6"/>
  <c r="A88" i="6"/>
  <c r="B88" i="6"/>
  <c r="A89" i="6"/>
  <c r="B89" i="6"/>
  <c r="A90" i="6"/>
  <c r="B90" i="6"/>
  <c r="A91" i="6"/>
  <c r="B91" i="6"/>
  <c r="A92" i="6"/>
  <c r="B92" i="6"/>
  <c r="A93" i="6"/>
  <c r="B93" i="6"/>
  <c r="A94" i="6"/>
  <c r="B94" i="6"/>
  <c r="A95" i="6"/>
  <c r="B95" i="6"/>
  <c r="A96" i="6"/>
  <c r="B96" i="6"/>
  <c r="A97" i="6"/>
  <c r="B97" i="6"/>
  <c r="A98" i="6"/>
  <c r="B98" i="6"/>
  <c r="A99" i="6"/>
  <c r="B99" i="6"/>
  <c r="A100" i="6"/>
  <c r="B100" i="6"/>
  <c r="A101" i="6"/>
  <c r="B101" i="6"/>
  <c r="A102" i="6"/>
  <c r="B102" i="6"/>
  <c r="A103" i="6"/>
  <c r="B103" i="6"/>
  <c r="A104" i="6"/>
  <c r="B104" i="6"/>
  <c r="A105" i="6"/>
  <c r="B105" i="6"/>
  <c r="A106" i="6"/>
  <c r="B106" i="6"/>
  <c r="A107" i="6"/>
  <c r="B107" i="6"/>
  <c r="A108" i="6"/>
  <c r="B108" i="6"/>
  <c r="A109" i="6"/>
  <c r="B109" i="6"/>
  <c r="A110" i="6"/>
  <c r="B110" i="6"/>
  <c r="A111" i="6"/>
  <c r="B111" i="6"/>
  <c r="A112" i="6"/>
  <c r="B112" i="6"/>
  <c r="A113" i="6"/>
  <c r="B113" i="6"/>
  <c r="A114" i="6"/>
  <c r="B114" i="6"/>
  <c r="A115" i="6"/>
  <c r="B115" i="6"/>
  <c r="A116" i="6"/>
  <c r="B116" i="6"/>
  <c r="A117" i="6"/>
  <c r="B117" i="6"/>
  <c r="A118" i="6"/>
  <c r="B118" i="6"/>
  <c r="A119" i="6"/>
  <c r="B119" i="6"/>
  <c r="A120" i="6"/>
  <c r="B120" i="6"/>
  <c r="A121" i="6"/>
  <c r="B121" i="6"/>
  <c r="A122" i="6"/>
  <c r="B122" i="6"/>
  <c r="A123" i="6"/>
  <c r="B123" i="6"/>
  <c r="A124" i="6"/>
  <c r="B124" i="6"/>
  <c r="A125" i="6"/>
  <c r="B125" i="6"/>
  <c r="A126" i="6"/>
  <c r="B126" i="6"/>
  <c r="A127" i="6"/>
  <c r="B127" i="6"/>
  <c r="A128" i="6"/>
  <c r="B128" i="6"/>
  <c r="A129" i="6"/>
  <c r="B129" i="6"/>
  <c r="A130" i="6"/>
  <c r="B130" i="6"/>
  <c r="A131" i="6"/>
  <c r="B131" i="6"/>
  <c r="A132" i="6"/>
  <c r="B132" i="6"/>
  <c r="A133" i="6"/>
  <c r="B133" i="6"/>
  <c r="A134" i="6"/>
  <c r="B134" i="6"/>
  <c r="A135" i="6"/>
  <c r="B135" i="6"/>
  <c r="A136" i="6"/>
  <c r="B136" i="6"/>
  <c r="A137" i="6"/>
  <c r="B137" i="6"/>
  <c r="A138" i="6"/>
  <c r="B138" i="6"/>
  <c r="A139" i="6"/>
  <c r="B139" i="6"/>
  <c r="A140" i="6"/>
  <c r="B140" i="6"/>
  <c r="A141" i="6"/>
  <c r="B141" i="6"/>
  <c r="A142" i="6"/>
  <c r="B142" i="6"/>
  <c r="A143" i="6"/>
  <c r="B143" i="6"/>
  <c r="A144" i="6"/>
  <c r="B144" i="6"/>
  <c r="A145" i="6"/>
  <c r="B145" i="6"/>
  <c r="A146" i="6"/>
  <c r="B146" i="6"/>
  <c r="A147" i="6"/>
  <c r="B147" i="6"/>
  <c r="A148" i="6"/>
  <c r="B148" i="6"/>
  <c r="A149" i="6"/>
  <c r="B149" i="6"/>
  <c r="A150" i="6"/>
  <c r="B150" i="6"/>
  <c r="A151" i="6"/>
  <c r="B151" i="6"/>
  <c r="A152" i="6"/>
  <c r="B152" i="6"/>
  <c r="A153" i="6"/>
  <c r="B153" i="6"/>
  <c r="A154" i="6"/>
  <c r="B154" i="6"/>
  <c r="A155" i="6"/>
  <c r="B155" i="6"/>
  <c r="A156" i="6"/>
  <c r="B156" i="6"/>
  <c r="A157" i="6"/>
  <c r="B157" i="6"/>
  <c r="A158" i="6"/>
  <c r="B158" i="6"/>
  <c r="A159" i="6"/>
  <c r="B159" i="6"/>
  <c r="A160" i="6"/>
  <c r="B160" i="6"/>
  <c r="A161" i="6"/>
  <c r="B161" i="6"/>
  <c r="A162" i="6"/>
  <c r="B162" i="6"/>
  <c r="A163" i="6"/>
  <c r="B163" i="6"/>
  <c r="A164" i="6"/>
  <c r="B164" i="6"/>
  <c r="A165" i="6"/>
  <c r="B165" i="6"/>
  <c r="A166" i="6"/>
  <c r="B166" i="6"/>
  <c r="A167" i="6"/>
  <c r="B167" i="6"/>
  <c r="A168" i="6"/>
  <c r="B168" i="6"/>
  <c r="A169" i="6"/>
  <c r="B169" i="6"/>
  <c r="A170" i="6"/>
  <c r="B170" i="6"/>
  <c r="A171" i="6"/>
  <c r="B171" i="6"/>
  <c r="A172" i="6"/>
  <c r="B172" i="6"/>
  <c r="A173" i="6"/>
  <c r="B173" i="6"/>
  <c r="A174" i="6"/>
  <c r="B174" i="6"/>
  <c r="A175" i="6"/>
  <c r="B175" i="6"/>
  <c r="A176" i="6"/>
  <c r="B176" i="6"/>
  <c r="A177" i="6"/>
  <c r="B177" i="6"/>
  <c r="A178" i="6"/>
  <c r="B178" i="6"/>
  <c r="A179" i="6"/>
  <c r="B179" i="6"/>
  <c r="A180" i="6"/>
  <c r="B180" i="6"/>
  <c r="A181" i="6"/>
  <c r="B181" i="6"/>
  <c r="A182" i="6"/>
  <c r="B182" i="6"/>
  <c r="A183" i="6"/>
  <c r="B183" i="6"/>
  <c r="A184" i="6"/>
  <c r="B184" i="6"/>
  <c r="A185" i="6"/>
  <c r="B185" i="6"/>
  <c r="A186" i="6"/>
  <c r="B186" i="6"/>
  <c r="A187" i="6"/>
  <c r="B187" i="6"/>
  <c r="A188" i="6"/>
  <c r="B188" i="6"/>
  <c r="A189" i="6"/>
  <c r="B189" i="6"/>
  <c r="A190" i="6"/>
  <c r="B190" i="6"/>
  <c r="A191" i="6"/>
  <c r="B191" i="6"/>
  <c r="A192" i="6"/>
  <c r="B192" i="6"/>
  <c r="A193" i="6"/>
  <c r="B193" i="6"/>
  <c r="A194" i="6"/>
  <c r="B194" i="6"/>
  <c r="A195" i="6"/>
  <c r="B195" i="6"/>
  <c r="A196" i="6"/>
  <c r="B196" i="6"/>
  <c r="A197" i="6"/>
  <c r="B197" i="6"/>
  <c r="A198" i="6"/>
  <c r="B198" i="6"/>
  <c r="A199" i="6"/>
  <c r="B199" i="6"/>
  <c r="A200" i="6"/>
  <c r="B200" i="6"/>
  <c r="A201" i="6"/>
  <c r="B201" i="6"/>
  <c r="A202" i="6"/>
  <c r="B202" i="6"/>
  <c r="A203" i="6"/>
  <c r="B203" i="6"/>
  <c r="A204" i="6"/>
  <c r="B204" i="6"/>
  <c r="A205" i="6"/>
  <c r="B205" i="6"/>
  <c r="A206" i="6"/>
  <c r="B206" i="6"/>
  <c r="A207" i="6"/>
  <c r="B207" i="6"/>
  <c r="A208" i="6"/>
  <c r="B208" i="6"/>
  <c r="A209" i="6"/>
  <c r="B209" i="6"/>
  <c r="A210" i="6"/>
  <c r="B210" i="6"/>
  <c r="A211" i="6"/>
  <c r="B211" i="6"/>
  <c r="A212" i="6"/>
  <c r="B212" i="6"/>
  <c r="A213" i="6"/>
  <c r="B213" i="6"/>
  <c r="A214" i="6"/>
  <c r="B214" i="6"/>
  <c r="A215" i="6"/>
  <c r="B215" i="6"/>
  <c r="A216" i="6"/>
  <c r="B216" i="6"/>
  <c r="A217" i="6"/>
  <c r="B217" i="6"/>
  <c r="A218" i="6"/>
  <c r="B218" i="6"/>
  <c r="A219" i="6"/>
  <c r="B219" i="6"/>
  <c r="A220" i="6"/>
  <c r="B220" i="6"/>
  <c r="A221" i="6"/>
  <c r="B221" i="6"/>
  <c r="A222" i="6"/>
  <c r="B222" i="6"/>
  <c r="A223" i="6"/>
  <c r="B223" i="6"/>
  <c r="A224" i="6"/>
  <c r="B224" i="6"/>
  <c r="A225" i="6"/>
  <c r="B225" i="6"/>
  <c r="A226" i="6"/>
  <c r="B226" i="6"/>
  <c r="A227" i="6"/>
  <c r="B227" i="6"/>
  <c r="A228" i="6"/>
  <c r="B228" i="6"/>
  <c r="A229" i="6"/>
  <c r="B229" i="6"/>
  <c r="A230" i="6"/>
  <c r="B230" i="6"/>
  <c r="A231" i="6"/>
  <c r="B231" i="6"/>
  <c r="A232" i="6"/>
  <c r="B232" i="6"/>
  <c r="A233" i="6"/>
  <c r="B233" i="6"/>
  <c r="A234" i="6"/>
  <c r="B234" i="6"/>
  <c r="A235" i="6"/>
  <c r="B235" i="6"/>
  <c r="A236" i="6"/>
  <c r="B236" i="6"/>
  <c r="A237" i="6"/>
  <c r="B237" i="6"/>
  <c r="A238" i="6"/>
  <c r="B238" i="6"/>
  <c r="A239" i="6"/>
  <c r="B239" i="6"/>
  <c r="A240" i="6"/>
  <c r="B240" i="6"/>
  <c r="A241" i="6"/>
  <c r="B241" i="6"/>
  <c r="A242" i="6"/>
  <c r="B242" i="6"/>
  <c r="A243" i="6"/>
  <c r="B243" i="6"/>
  <c r="A244" i="6"/>
  <c r="B244" i="6"/>
  <c r="A245" i="6"/>
  <c r="B245" i="6"/>
  <c r="A246" i="6"/>
  <c r="B246" i="6"/>
  <c r="A247" i="6"/>
  <c r="B247" i="6"/>
  <c r="A248" i="6"/>
  <c r="B248" i="6"/>
  <c r="A249" i="6"/>
  <c r="B249" i="6"/>
  <c r="A250" i="6"/>
  <c r="B250" i="6"/>
  <c r="A251" i="6"/>
  <c r="B251" i="6"/>
  <c r="A252" i="6"/>
  <c r="B252" i="6"/>
  <c r="A253" i="6"/>
  <c r="B253" i="6"/>
  <c r="A254" i="6"/>
  <c r="B254" i="6"/>
  <c r="A255" i="6"/>
  <c r="B255" i="6"/>
  <c r="A256" i="6"/>
  <c r="B256" i="6"/>
  <c r="A257" i="6"/>
  <c r="B257" i="6"/>
  <c r="A258" i="6"/>
  <c r="B258" i="6"/>
  <c r="A259" i="6"/>
  <c r="B259" i="6"/>
  <c r="A260" i="6"/>
  <c r="B260" i="6"/>
  <c r="A261" i="6"/>
  <c r="B261" i="6"/>
  <c r="A262" i="6"/>
  <c r="B262" i="6"/>
  <c r="A263" i="6"/>
  <c r="B263" i="6"/>
  <c r="A264" i="6"/>
  <c r="B264" i="6"/>
  <c r="A265" i="6"/>
  <c r="B265" i="6"/>
  <c r="A266" i="6"/>
  <c r="B266" i="6"/>
  <c r="A267" i="6"/>
  <c r="B267" i="6"/>
  <c r="A268" i="6"/>
  <c r="B268" i="6"/>
  <c r="A269" i="6"/>
  <c r="B269" i="6"/>
  <c r="A270" i="6"/>
  <c r="B270" i="6"/>
  <c r="A271" i="6"/>
  <c r="B271" i="6"/>
  <c r="A272" i="6"/>
  <c r="B272" i="6"/>
  <c r="A273" i="6"/>
  <c r="B273" i="6"/>
  <c r="A274" i="6"/>
  <c r="B274" i="6"/>
  <c r="A275" i="6"/>
  <c r="B275" i="6"/>
  <c r="A276" i="6"/>
  <c r="B276" i="6"/>
  <c r="A277" i="6"/>
  <c r="B277" i="6"/>
  <c r="A278" i="6"/>
  <c r="B278" i="6"/>
  <c r="A279" i="6"/>
  <c r="B279" i="6"/>
  <c r="A280" i="6"/>
  <c r="B280" i="6"/>
  <c r="A281" i="6"/>
  <c r="B281" i="6"/>
  <c r="A282" i="6"/>
  <c r="B282" i="6"/>
  <c r="A283" i="6"/>
  <c r="B283" i="6"/>
  <c r="A284" i="6"/>
  <c r="B284" i="6"/>
  <c r="A285" i="6"/>
  <c r="B285" i="6"/>
  <c r="A286" i="6"/>
  <c r="B286" i="6"/>
  <c r="A287" i="6"/>
  <c r="B287" i="6"/>
  <c r="A288" i="6"/>
  <c r="B288" i="6"/>
  <c r="A289" i="6"/>
  <c r="B289" i="6"/>
  <c r="A290" i="6"/>
  <c r="B290" i="6"/>
  <c r="A291" i="6"/>
  <c r="B291" i="6"/>
  <c r="A292" i="6"/>
  <c r="B292" i="6"/>
  <c r="A293" i="6"/>
  <c r="B293" i="6"/>
  <c r="A294" i="6"/>
  <c r="B294" i="6"/>
  <c r="A295" i="6"/>
  <c r="B295" i="6"/>
  <c r="A296" i="6"/>
  <c r="B296" i="6"/>
  <c r="A297" i="6"/>
  <c r="B297" i="6"/>
  <c r="A298" i="6"/>
  <c r="B298" i="6"/>
  <c r="A299" i="6"/>
  <c r="B299" i="6"/>
  <c r="A300" i="6"/>
  <c r="B300" i="6"/>
  <c r="A301" i="6"/>
  <c r="B301" i="6"/>
  <c r="A302" i="6"/>
  <c r="B302" i="6"/>
  <c r="A303" i="6"/>
  <c r="B303" i="6"/>
  <c r="A304" i="6"/>
  <c r="B304" i="6"/>
  <c r="A305" i="6"/>
  <c r="B305" i="6"/>
  <c r="A306" i="6"/>
  <c r="B306" i="6"/>
  <c r="A307" i="6"/>
  <c r="B307" i="6"/>
  <c r="A308" i="6"/>
  <c r="B308" i="6"/>
  <c r="A309" i="6"/>
  <c r="B309" i="6"/>
  <c r="A310" i="6"/>
  <c r="B310" i="6"/>
  <c r="A311" i="6"/>
  <c r="B311" i="6"/>
  <c r="A312" i="6"/>
  <c r="B312" i="6"/>
  <c r="A313" i="6"/>
  <c r="B313" i="6"/>
  <c r="A314" i="6"/>
  <c r="B314" i="6"/>
  <c r="A315" i="6"/>
  <c r="B315" i="6"/>
  <c r="A316" i="6"/>
  <c r="B316" i="6"/>
  <c r="A317" i="6"/>
  <c r="B317" i="6"/>
  <c r="A318" i="6"/>
  <c r="B318" i="6"/>
  <c r="A319" i="6"/>
  <c r="B319" i="6"/>
  <c r="A320" i="6"/>
  <c r="B320" i="6"/>
  <c r="A321" i="6"/>
  <c r="B321" i="6"/>
  <c r="A322" i="6"/>
  <c r="B322" i="6"/>
  <c r="A323" i="6"/>
  <c r="B323" i="6"/>
  <c r="A324" i="6"/>
  <c r="B324" i="6"/>
  <c r="A325" i="6"/>
  <c r="B325" i="6"/>
  <c r="A326" i="6"/>
  <c r="B326" i="6"/>
  <c r="A327" i="6"/>
  <c r="B327" i="6"/>
  <c r="A328" i="6"/>
  <c r="B328" i="6"/>
  <c r="A329" i="6"/>
  <c r="B329" i="6"/>
  <c r="A330" i="6"/>
  <c r="B330" i="6"/>
  <c r="A331" i="6"/>
  <c r="B331" i="6"/>
  <c r="A332" i="6"/>
  <c r="B332" i="6"/>
  <c r="A333" i="6"/>
  <c r="B333" i="6"/>
  <c r="A334" i="6"/>
  <c r="B334" i="6"/>
  <c r="A335" i="6"/>
  <c r="B335" i="6"/>
  <c r="A336" i="6"/>
  <c r="B336" i="6"/>
  <c r="A337" i="6"/>
  <c r="B337" i="6"/>
  <c r="A338" i="6"/>
  <c r="B338" i="6"/>
  <c r="A339" i="6"/>
  <c r="B339" i="6"/>
  <c r="A340" i="6"/>
  <c r="B340" i="6"/>
  <c r="A341" i="6"/>
  <c r="B341" i="6"/>
  <c r="A342" i="6"/>
  <c r="B342" i="6"/>
  <c r="A343" i="6"/>
  <c r="B343" i="6"/>
  <c r="A344" i="6"/>
  <c r="B344" i="6"/>
  <c r="A345" i="6"/>
  <c r="B345" i="6"/>
  <c r="A346" i="6"/>
  <c r="B346" i="6"/>
  <c r="A347" i="6"/>
  <c r="B347" i="6"/>
  <c r="A348" i="6"/>
  <c r="B348" i="6"/>
  <c r="A349" i="6"/>
  <c r="B349" i="6"/>
  <c r="A350" i="6"/>
  <c r="B350" i="6"/>
  <c r="A351" i="6"/>
  <c r="B351" i="6"/>
  <c r="A352" i="6"/>
  <c r="B352" i="6"/>
  <c r="A353" i="6"/>
  <c r="B353" i="6"/>
  <c r="A354" i="6"/>
  <c r="B354" i="6"/>
  <c r="A355" i="6"/>
  <c r="B355" i="6"/>
  <c r="A356" i="6"/>
  <c r="B356" i="6"/>
  <c r="A357" i="6"/>
  <c r="B357" i="6"/>
  <c r="A358" i="6"/>
  <c r="B358" i="6"/>
  <c r="A359" i="6"/>
  <c r="B359" i="6"/>
  <c r="A360" i="6"/>
  <c r="B360" i="6"/>
  <c r="A361" i="6"/>
  <c r="B361" i="6"/>
  <c r="A362" i="6"/>
  <c r="B362" i="6"/>
  <c r="A363" i="6"/>
  <c r="B363" i="6"/>
  <c r="A364" i="6"/>
  <c r="B364" i="6"/>
  <c r="A365" i="6"/>
  <c r="B365" i="6"/>
  <c r="A366" i="6"/>
  <c r="B366" i="6"/>
  <c r="A367" i="6"/>
  <c r="B367" i="6"/>
  <c r="A368" i="6"/>
  <c r="B368" i="6"/>
  <c r="A369" i="6"/>
  <c r="B369" i="6"/>
  <c r="A370" i="6"/>
  <c r="B370" i="6"/>
  <c r="A371" i="6"/>
  <c r="B371" i="6"/>
  <c r="A372" i="6"/>
  <c r="B372" i="6"/>
  <c r="A373" i="6"/>
  <c r="B373" i="6"/>
  <c r="A374" i="6"/>
  <c r="B374" i="6"/>
  <c r="A375" i="6"/>
  <c r="B375" i="6"/>
  <c r="A376" i="6"/>
  <c r="B376" i="6"/>
  <c r="A377" i="6"/>
  <c r="B377" i="6"/>
  <c r="A378" i="6"/>
  <c r="B378" i="6"/>
  <c r="A379" i="6"/>
  <c r="B379" i="6"/>
  <c r="A380" i="6"/>
  <c r="B380" i="6"/>
  <c r="A381" i="6"/>
  <c r="B381" i="6"/>
  <c r="A382" i="6"/>
  <c r="B382" i="6"/>
  <c r="A383" i="6"/>
  <c r="B383" i="6"/>
  <c r="A384" i="6"/>
  <c r="B384" i="6"/>
  <c r="A385" i="6"/>
  <c r="B385" i="6"/>
  <c r="A386" i="6"/>
  <c r="B386" i="6"/>
  <c r="A387" i="6"/>
  <c r="B387" i="6"/>
  <c r="A388" i="6"/>
  <c r="B388" i="6"/>
  <c r="A389" i="6"/>
  <c r="B389" i="6"/>
  <c r="A390" i="6"/>
  <c r="B390" i="6"/>
  <c r="A391" i="6"/>
  <c r="B391" i="6"/>
  <c r="A392" i="6"/>
  <c r="B392" i="6"/>
  <c r="A393" i="6"/>
  <c r="B393" i="6"/>
  <c r="A394" i="6"/>
  <c r="B394" i="6"/>
  <c r="A395" i="6"/>
  <c r="B395" i="6"/>
  <c r="A396" i="6"/>
  <c r="B396" i="6"/>
  <c r="A397" i="6"/>
  <c r="B397" i="6"/>
  <c r="A398" i="6"/>
  <c r="B398" i="6"/>
  <c r="A399" i="6"/>
  <c r="B399" i="6"/>
  <c r="A400" i="6"/>
  <c r="B400" i="6"/>
  <c r="A401" i="6"/>
  <c r="B401" i="6"/>
  <c r="A402" i="6"/>
  <c r="B402" i="6"/>
  <c r="A403" i="6"/>
  <c r="B403" i="6"/>
  <c r="A404" i="6"/>
  <c r="B404" i="6"/>
  <c r="A405" i="6"/>
  <c r="B405" i="6"/>
  <c r="A406" i="6"/>
  <c r="B406" i="6"/>
  <c r="A407" i="6"/>
  <c r="B407" i="6"/>
  <c r="A408" i="6"/>
  <c r="B408" i="6"/>
  <c r="A409" i="6"/>
  <c r="B409" i="6"/>
  <c r="A410" i="6"/>
  <c r="B410" i="6"/>
  <c r="A411" i="6"/>
  <c r="B411" i="6"/>
  <c r="A412" i="6"/>
  <c r="B412" i="6"/>
  <c r="A413" i="6"/>
  <c r="B413" i="6"/>
  <c r="A414" i="6"/>
  <c r="B414" i="6"/>
  <c r="A415" i="6"/>
  <c r="B415" i="6"/>
  <c r="A416" i="6"/>
  <c r="B416" i="6"/>
  <c r="A417" i="6"/>
  <c r="B417" i="6"/>
  <c r="A418" i="6"/>
  <c r="B418" i="6"/>
  <c r="A419" i="6"/>
  <c r="B419" i="6"/>
  <c r="A420" i="6"/>
  <c r="B420" i="6"/>
  <c r="A421" i="6"/>
  <c r="B421" i="6"/>
  <c r="A422" i="6"/>
  <c r="B422" i="6"/>
  <c r="A423" i="6"/>
  <c r="B423" i="6"/>
  <c r="A424" i="6"/>
  <c r="B424" i="6"/>
  <c r="A425" i="6"/>
  <c r="B425" i="6"/>
  <c r="A426" i="6"/>
  <c r="B426" i="6"/>
  <c r="A427" i="6"/>
  <c r="B427" i="6"/>
  <c r="A428" i="6"/>
  <c r="B428" i="6"/>
  <c r="A429" i="6"/>
  <c r="B429" i="6"/>
  <c r="A430" i="6"/>
  <c r="B430" i="6"/>
  <c r="A431" i="6"/>
  <c r="B431" i="6"/>
  <c r="A432" i="6"/>
  <c r="B432" i="6"/>
  <c r="A433" i="6"/>
  <c r="B433" i="6"/>
  <c r="A434" i="6"/>
  <c r="B434" i="6"/>
  <c r="A435" i="6"/>
  <c r="B435" i="6"/>
  <c r="A436" i="6"/>
  <c r="B436" i="6"/>
  <c r="A437" i="6"/>
  <c r="B437" i="6"/>
  <c r="A438" i="6"/>
  <c r="B438" i="6"/>
  <c r="A439" i="6"/>
  <c r="B439" i="6"/>
  <c r="A440" i="6"/>
  <c r="B440" i="6"/>
  <c r="A441" i="6"/>
  <c r="B441" i="6"/>
  <c r="A442" i="6"/>
  <c r="B442" i="6"/>
  <c r="A443" i="6"/>
  <c r="B443" i="6"/>
  <c r="A444" i="6"/>
  <c r="B444" i="6"/>
  <c r="A445" i="6"/>
  <c r="B445" i="6"/>
  <c r="A446" i="6"/>
  <c r="B446" i="6"/>
  <c r="A447" i="6"/>
  <c r="B447" i="6"/>
  <c r="A448" i="6"/>
  <c r="B448" i="6"/>
  <c r="A449" i="6"/>
  <c r="B449" i="6"/>
  <c r="A450" i="6"/>
  <c r="B450" i="6"/>
  <c r="A451" i="6"/>
  <c r="B451" i="6"/>
  <c r="A452" i="6"/>
  <c r="B452" i="6"/>
  <c r="A453" i="6"/>
  <c r="B453" i="6"/>
  <c r="A454" i="6"/>
  <c r="B454" i="6"/>
  <c r="A455" i="6"/>
  <c r="B455" i="6"/>
  <c r="A456" i="6"/>
  <c r="B456" i="6"/>
  <c r="A457" i="6"/>
  <c r="B457" i="6"/>
  <c r="A458" i="6"/>
  <c r="B458" i="6"/>
  <c r="A459" i="6"/>
  <c r="B459" i="6"/>
  <c r="A460" i="6"/>
  <c r="B460" i="6"/>
  <c r="A461" i="6"/>
  <c r="B461" i="6"/>
  <c r="A462" i="6"/>
  <c r="B462" i="6"/>
  <c r="A463" i="6"/>
  <c r="B463" i="6"/>
  <c r="A464" i="6"/>
  <c r="B464" i="6"/>
  <c r="A465" i="6"/>
  <c r="B465" i="6"/>
  <c r="A466" i="6"/>
  <c r="B466" i="6"/>
  <c r="A467" i="6"/>
  <c r="B467" i="6"/>
  <c r="A468" i="6"/>
  <c r="B468" i="6"/>
  <c r="A469" i="6"/>
  <c r="B469" i="6"/>
  <c r="A470" i="6"/>
  <c r="B470" i="6"/>
  <c r="A471" i="6"/>
  <c r="B471" i="6"/>
  <c r="A472" i="6"/>
  <c r="B472" i="6"/>
  <c r="A473" i="6"/>
  <c r="B473" i="6"/>
  <c r="A474" i="6"/>
  <c r="B474" i="6"/>
  <c r="A475" i="6"/>
  <c r="B475" i="6"/>
  <c r="A476" i="6"/>
  <c r="B476" i="6"/>
  <c r="A477" i="6"/>
  <c r="B477" i="6"/>
  <c r="A478" i="6"/>
  <c r="B478" i="6"/>
  <c r="A479" i="6"/>
  <c r="B479" i="6"/>
  <c r="A480" i="6"/>
  <c r="B480" i="6"/>
  <c r="A481" i="6"/>
  <c r="B481" i="6"/>
  <c r="A482" i="6"/>
  <c r="B482" i="6"/>
  <c r="A483" i="6"/>
  <c r="B483" i="6"/>
  <c r="A484" i="6"/>
  <c r="B484" i="6"/>
  <c r="A485" i="6"/>
  <c r="B485" i="6"/>
  <c r="A486" i="6"/>
  <c r="B486" i="6"/>
  <c r="A487" i="6"/>
  <c r="B487" i="6"/>
  <c r="A488" i="6"/>
  <c r="B488" i="6"/>
  <c r="A489" i="6"/>
  <c r="B489" i="6"/>
  <c r="A490" i="6"/>
  <c r="B490" i="6"/>
  <c r="A491" i="6"/>
  <c r="B491" i="6"/>
  <c r="A492" i="6"/>
  <c r="B492" i="6"/>
  <c r="A493" i="6"/>
  <c r="B493" i="6"/>
  <c r="A494" i="6"/>
  <c r="B494" i="6"/>
  <c r="A495" i="6"/>
  <c r="B495" i="6"/>
  <c r="A496" i="6"/>
  <c r="B496" i="6"/>
  <c r="A497" i="6"/>
  <c r="B497" i="6"/>
  <c r="A498" i="6"/>
  <c r="B498" i="6"/>
  <c r="A499" i="6"/>
  <c r="B499" i="6"/>
  <c r="A500" i="6"/>
  <c r="B500" i="6"/>
  <c r="A501" i="6"/>
  <c r="B501" i="6"/>
  <c r="A502" i="6"/>
  <c r="B502" i="6"/>
  <c r="A503" i="6"/>
  <c r="B503" i="6"/>
  <c r="A504" i="6"/>
  <c r="B504" i="6"/>
  <c r="A505" i="6"/>
  <c r="B505" i="6"/>
  <c r="A506" i="6"/>
  <c r="B506" i="6"/>
  <c r="A507" i="6"/>
  <c r="B507" i="6"/>
  <c r="A508" i="6"/>
  <c r="B508" i="6"/>
  <c r="A509" i="6"/>
  <c r="B509" i="6"/>
  <c r="A510" i="6"/>
  <c r="B510" i="6"/>
  <c r="A511" i="6"/>
  <c r="B511" i="6"/>
  <c r="A512" i="6"/>
  <c r="B512" i="6"/>
  <c r="A513" i="6"/>
  <c r="B513" i="6"/>
  <c r="A514" i="6"/>
  <c r="B514" i="6"/>
  <c r="A515" i="6"/>
  <c r="B515" i="6"/>
  <c r="A516" i="6"/>
  <c r="B516" i="6"/>
  <c r="A517" i="6"/>
  <c r="B517" i="6"/>
  <c r="A518" i="6"/>
  <c r="B518" i="6"/>
  <c r="A519" i="6"/>
  <c r="B519" i="6"/>
  <c r="A520" i="6"/>
  <c r="B520" i="6"/>
  <c r="A521" i="6"/>
  <c r="B521" i="6"/>
  <c r="A522" i="6"/>
  <c r="B522" i="6"/>
  <c r="A523" i="6"/>
  <c r="B523" i="6"/>
  <c r="A524" i="6"/>
  <c r="B524" i="6"/>
  <c r="A525" i="6"/>
  <c r="B525" i="6"/>
  <c r="A526" i="6"/>
  <c r="B526" i="6"/>
  <c r="A527" i="6"/>
  <c r="B527" i="6"/>
  <c r="A528" i="6"/>
  <c r="B528" i="6"/>
  <c r="A529" i="6"/>
  <c r="B529" i="6"/>
  <c r="A530" i="6"/>
  <c r="B530" i="6"/>
  <c r="A531" i="6"/>
  <c r="B531" i="6"/>
  <c r="A532" i="6"/>
  <c r="B532" i="6"/>
  <c r="A533" i="6"/>
  <c r="B533" i="6"/>
  <c r="A534" i="6"/>
  <c r="B534" i="6"/>
  <c r="A535" i="6"/>
  <c r="B535" i="6"/>
  <c r="A536" i="6"/>
  <c r="B536" i="6"/>
  <c r="A537" i="6"/>
  <c r="B537" i="6"/>
  <c r="A538" i="6"/>
  <c r="B538" i="6"/>
  <c r="A539" i="6"/>
  <c r="B539" i="6"/>
  <c r="A540" i="6"/>
  <c r="B540" i="6"/>
  <c r="A541" i="6"/>
  <c r="B541" i="6"/>
  <c r="A542" i="6"/>
  <c r="B542" i="6"/>
  <c r="A543" i="6"/>
  <c r="B543" i="6"/>
  <c r="A544" i="6"/>
  <c r="B544" i="6"/>
  <c r="A545" i="6"/>
  <c r="B545" i="6"/>
  <c r="A546" i="6"/>
  <c r="B546" i="6"/>
  <c r="A547" i="6"/>
  <c r="B547" i="6"/>
  <c r="A548" i="6"/>
  <c r="B548" i="6"/>
  <c r="A549" i="6"/>
  <c r="B549" i="6"/>
  <c r="A550" i="6"/>
  <c r="B550" i="6"/>
  <c r="A551" i="6"/>
  <c r="B551" i="6"/>
  <c r="A552" i="6"/>
  <c r="B552" i="6"/>
  <c r="A553" i="6"/>
  <c r="B553" i="6"/>
  <c r="A554" i="6"/>
  <c r="B554" i="6"/>
  <c r="A555" i="6"/>
  <c r="B555" i="6"/>
  <c r="A556" i="6"/>
  <c r="B556" i="6"/>
  <c r="A557" i="6"/>
  <c r="B557" i="6"/>
  <c r="A558" i="6"/>
  <c r="B558" i="6"/>
  <c r="A559" i="6"/>
  <c r="B559" i="6"/>
  <c r="A560" i="6"/>
  <c r="B560" i="6"/>
  <c r="A561" i="6"/>
  <c r="B561" i="6"/>
  <c r="A562" i="6"/>
  <c r="B562" i="6"/>
  <c r="A563" i="6"/>
  <c r="B563" i="6"/>
  <c r="A564" i="6"/>
  <c r="B564" i="6"/>
  <c r="A565" i="6"/>
  <c r="B565" i="6"/>
  <c r="A566" i="6"/>
  <c r="B566" i="6"/>
  <c r="A567" i="6"/>
  <c r="B567" i="6"/>
  <c r="A568" i="6"/>
  <c r="B568" i="6"/>
  <c r="A569" i="6"/>
  <c r="B569" i="6"/>
  <c r="A570" i="6"/>
  <c r="B570" i="6"/>
  <c r="A571" i="6"/>
  <c r="B571" i="6"/>
  <c r="A572" i="6"/>
  <c r="B572" i="6"/>
  <c r="A573" i="6"/>
  <c r="B573" i="6"/>
  <c r="A574" i="6"/>
  <c r="B574" i="6"/>
  <c r="A575" i="6"/>
  <c r="B575" i="6"/>
  <c r="A576" i="6"/>
  <c r="B576" i="6"/>
  <c r="A577" i="6"/>
  <c r="B577" i="6"/>
  <c r="A578" i="6"/>
  <c r="B578" i="6"/>
  <c r="A579" i="6"/>
  <c r="B579" i="6"/>
  <c r="A580" i="6"/>
  <c r="B580" i="6"/>
  <c r="A581" i="6"/>
  <c r="B581" i="6"/>
  <c r="A582" i="6"/>
  <c r="B582" i="6"/>
  <c r="A583" i="6"/>
  <c r="B583" i="6"/>
  <c r="A584" i="6"/>
  <c r="B584" i="6"/>
  <c r="A585" i="6"/>
  <c r="B585" i="6"/>
  <c r="A586" i="6"/>
  <c r="B586" i="6"/>
  <c r="A587" i="6"/>
  <c r="B587" i="6"/>
  <c r="A588" i="6"/>
  <c r="B588" i="6"/>
  <c r="A589" i="6"/>
  <c r="B589" i="6"/>
  <c r="A590" i="6"/>
  <c r="B590" i="6"/>
  <c r="A591" i="6"/>
  <c r="B591" i="6"/>
  <c r="A592" i="6"/>
  <c r="B592" i="6"/>
  <c r="A593" i="6"/>
  <c r="B593" i="6"/>
  <c r="A594" i="6"/>
  <c r="B594" i="6"/>
  <c r="A595" i="6"/>
  <c r="B595" i="6"/>
  <c r="A596" i="6"/>
  <c r="B596" i="6"/>
  <c r="A597" i="6"/>
  <c r="B597" i="6"/>
  <c r="A598" i="6"/>
  <c r="B598" i="6"/>
  <c r="A599" i="6"/>
  <c r="B599" i="6"/>
  <c r="A600" i="6"/>
  <c r="B600" i="6"/>
  <c r="A601" i="6"/>
  <c r="B601" i="6"/>
  <c r="A602" i="6"/>
  <c r="B602" i="6"/>
  <c r="A603" i="6"/>
  <c r="B603" i="6"/>
  <c r="A604" i="6"/>
  <c r="B604" i="6"/>
  <c r="A605" i="6"/>
  <c r="B605" i="6"/>
  <c r="A606" i="6"/>
  <c r="B606" i="6"/>
  <c r="A607" i="6"/>
  <c r="B607" i="6"/>
  <c r="A608" i="6"/>
  <c r="B608" i="6"/>
  <c r="A609" i="6"/>
  <c r="B609" i="6"/>
  <c r="A610" i="6"/>
  <c r="B610" i="6"/>
  <c r="A611" i="6"/>
  <c r="B611" i="6"/>
  <c r="A612" i="6"/>
  <c r="B612" i="6"/>
  <c r="A613" i="6"/>
  <c r="B613" i="6"/>
  <c r="A614" i="6"/>
  <c r="B614" i="6"/>
  <c r="A615" i="6"/>
  <c r="B615" i="6"/>
  <c r="A616" i="6"/>
  <c r="B616" i="6"/>
  <c r="A617" i="6"/>
  <c r="B617" i="6"/>
  <c r="A618" i="6"/>
  <c r="B618" i="6"/>
  <c r="A619" i="6"/>
  <c r="B619" i="6"/>
  <c r="A620" i="6"/>
  <c r="B620" i="6"/>
  <c r="A621" i="6"/>
  <c r="B621" i="6"/>
  <c r="A622" i="6"/>
  <c r="B622" i="6"/>
  <c r="A623" i="6"/>
  <c r="B623" i="6"/>
  <c r="A624" i="6"/>
  <c r="B624" i="6"/>
  <c r="A625" i="6"/>
  <c r="B625" i="6"/>
  <c r="A626" i="6"/>
  <c r="B626" i="6"/>
  <c r="A627" i="6"/>
  <c r="B627" i="6"/>
  <c r="A628" i="6"/>
  <c r="B628" i="6"/>
  <c r="A629" i="6"/>
  <c r="B629" i="6"/>
  <c r="A630" i="6"/>
  <c r="B630" i="6"/>
  <c r="A631" i="6"/>
  <c r="B631" i="6"/>
  <c r="A632" i="6"/>
  <c r="B632" i="6"/>
  <c r="A633" i="6"/>
  <c r="B633" i="6"/>
  <c r="A634" i="6"/>
  <c r="B634" i="6"/>
  <c r="A635" i="6"/>
  <c r="B635" i="6"/>
  <c r="A636" i="6"/>
  <c r="B636" i="6"/>
  <c r="A637" i="6"/>
  <c r="B637" i="6"/>
  <c r="A638" i="6"/>
  <c r="B638" i="6"/>
  <c r="A639" i="6"/>
  <c r="B639" i="6"/>
  <c r="A640" i="6"/>
  <c r="B640" i="6"/>
  <c r="A641" i="6"/>
  <c r="B641" i="6"/>
  <c r="A642" i="6"/>
  <c r="B642" i="6"/>
  <c r="A643" i="6"/>
  <c r="B643" i="6"/>
  <c r="A644" i="6"/>
  <c r="B644" i="6"/>
  <c r="A645" i="6"/>
  <c r="B645" i="6"/>
  <c r="A646" i="6"/>
  <c r="B646" i="6"/>
  <c r="A647" i="6"/>
  <c r="B647" i="6"/>
  <c r="A648" i="6"/>
  <c r="B648" i="6"/>
  <c r="A649" i="6"/>
  <c r="B649" i="6"/>
  <c r="A650" i="6"/>
  <c r="B650" i="6"/>
  <c r="A651" i="6"/>
  <c r="B651" i="6"/>
  <c r="A652" i="6"/>
  <c r="B652" i="6"/>
  <c r="A653" i="6"/>
  <c r="B653" i="6"/>
  <c r="A654" i="6"/>
  <c r="B654" i="6"/>
  <c r="A655" i="6"/>
  <c r="B655" i="6"/>
  <c r="A656" i="6"/>
  <c r="B656" i="6"/>
  <c r="A657" i="6"/>
  <c r="B657" i="6"/>
  <c r="A658" i="6"/>
  <c r="B658" i="6"/>
  <c r="A659" i="6"/>
  <c r="B659" i="6"/>
  <c r="A660" i="6"/>
  <c r="B660" i="6"/>
  <c r="A661" i="6"/>
  <c r="B661" i="6"/>
  <c r="A662" i="6"/>
  <c r="B662" i="6"/>
  <c r="A663" i="6"/>
  <c r="B663" i="6"/>
  <c r="A664" i="6"/>
  <c r="B664" i="6"/>
  <c r="A665" i="6"/>
  <c r="B665" i="6"/>
  <c r="A666" i="6"/>
  <c r="B666" i="6"/>
  <c r="A667" i="6"/>
  <c r="B667" i="6"/>
  <c r="A668" i="6"/>
  <c r="B668" i="6"/>
  <c r="A669" i="6"/>
  <c r="B669" i="6"/>
  <c r="A670" i="6"/>
  <c r="B670" i="6"/>
  <c r="A671" i="6"/>
  <c r="B671" i="6"/>
  <c r="A672" i="6"/>
  <c r="B672" i="6"/>
  <c r="A673" i="6"/>
  <c r="B673" i="6"/>
  <c r="A674" i="6"/>
  <c r="B674" i="6"/>
  <c r="A675" i="6"/>
  <c r="B675" i="6"/>
  <c r="A676" i="6"/>
  <c r="B676" i="6"/>
  <c r="A677" i="6"/>
  <c r="B677" i="6"/>
  <c r="A678" i="6"/>
  <c r="B678" i="6"/>
  <c r="A679" i="6"/>
  <c r="B679" i="6"/>
  <c r="A680" i="6"/>
  <c r="B680" i="6"/>
  <c r="A681" i="6"/>
  <c r="B681" i="6"/>
  <c r="A682" i="6"/>
  <c r="B682" i="6"/>
  <c r="A683" i="6"/>
  <c r="B683" i="6"/>
  <c r="A684" i="6"/>
  <c r="B684" i="6"/>
  <c r="A685" i="6"/>
  <c r="B685" i="6"/>
  <c r="A686" i="6"/>
  <c r="B686" i="6"/>
  <c r="A687" i="6"/>
  <c r="B687" i="6"/>
  <c r="A688" i="6"/>
  <c r="B688" i="6"/>
  <c r="A689" i="6"/>
  <c r="B689" i="6"/>
  <c r="A690" i="6"/>
  <c r="B690" i="6"/>
  <c r="A691" i="6"/>
  <c r="B691" i="6"/>
  <c r="A692" i="6"/>
  <c r="B692" i="6"/>
  <c r="A693" i="6"/>
  <c r="B693" i="6"/>
  <c r="A694" i="6"/>
  <c r="B694" i="6"/>
  <c r="A695" i="6"/>
  <c r="B695" i="6"/>
  <c r="A696" i="6"/>
  <c r="B696" i="6"/>
  <c r="A697" i="6"/>
  <c r="B697" i="6"/>
  <c r="A698" i="6"/>
  <c r="B698" i="6"/>
  <c r="A699" i="6"/>
  <c r="B699" i="6"/>
  <c r="A700" i="6"/>
  <c r="B700" i="6"/>
  <c r="A701" i="6"/>
  <c r="B701" i="6"/>
  <c r="A702" i="6"/>
  <c r="B702" i="6"/>
  <c r="A703" i="6"/>
  <c r="B703" i="6"/>
  <c r="A704" i="6"/>
  <c r="B704" i="6"/>
  <c r="A705" i="6"/>
  <c r="B705" i="6"/>
  <c r="A706" i="6"/>
  <c r="B706" i="6"/>
  <c r="A707" i="6"/>
  <c r="B707" i="6"/>
  <c r="A708" i="6"/>
  <c r="B708" i="6"/>
  <c r="A709" i="6"/>
  <c r="B709" i="6"/>
  <c r="A710" i="6"/>
  <c r="B710" i="6"/>
  <c r="A711" i="6"/>
  <c r="B711" i="6"/>
  <c r="A712" i="6"/>
  <c r="B712" i="6"/>
  <c r="A713" i="6"/>
  <c r="B713" i="6"/>
  <c r="A714" i="6"/>
  <c r="B714" i="6"/>
  <c r="A715" i="6"/>
  <c r="B715" i="6"/>
  <c r="A716" i="6"/>
  <c r="B716" i="6"/>
  <c r="A717" i="6"/>
  <c r="B717" i="6"/>
  <c r="A718" i="6"/>
  <c r="B718" i="6"/>
  <c r="A719" i="6"/>
  <c r="B719" i="6"/>
  <c r="A720" i="6"/>
  <c r="B720" i="6"/>
  <c r="A721" i="6"/>
  <c r="B721" i="6"/>
  <c r="A722" i="6"/>
  <c r="B722" i="6"/>
  <c r="A723" i="6"/>
  <c r="B723" i="6"/>
  <c r="A724" i="6"/>
  <c r="B724" i="6"/>
  <c r="A725" i="6"/>
  <c r="B725" i="6"/>
  <c r="A726" i="6"/>
  <c r="B726" i="6"/>
  <c r="A727" i="6"/>
  <c r="B727" i="6"/>
  <c r="A728" i="6"/>
  <c r="B728" i="6"/>
  <c r="A729" i="6"/>
  <c r="B729" i="6"/>
  <c r="A730" i="6"/>
  <c r="B730" i="6"/>
  <c r="A731" i="6"/>
  <c r="B731" i="6"/>
  <c r="A732" i="6"/>
  <c r="B732" i="6"/>
  <c r="A733" i="6"/>
  <c r="B733" i="6"/>
  <c r="A734" i="6"/>
  <c r="B734" i="6"/>
  <c r="A735" i="6"/>
  <c r="B735" i="6"/>
  <c r="A736" i="6"/>
  <c r="B736" i="6"/>
  <c r="A737" i="6"/>
  <c r="B737" i="6"/>
  <c r="A738" i="6"/>
  <c r="B738" i="6"/>
  <c r="A739" i="6"/>
  <c r="B739" i="6"/>
  <c r="A740" i="6"/>
  <c r="B740" i="6"/>
  <c r="A741" i="6"/>
  <c r="B741" i="6"/>
  <c r="A742" i="6"/>
  <c r="B742" i="6"/>
  <c r="A743" i="6"/>
  <c r="B743" i="6"/>
  <c r="A744" i="6"/>
  <c r="B744" i="6"/>
  <c r="A745" i="6"/>
  <c r="B745" i="6"/>
  <c r="A746" i="6"/>
  <c r="B746" i="6"/>
  <c r="A747" i="6"/>
  <c r="B747" i="6"/>
  <c r="A748" i="6"/>
  <c r="B748" i="6"/>
  <c r="A749" i="6"/>
  <c r="B749" i="6"/>
  <c r="A750" i="6"/>
  <c r="B750" i="6"/>
  <c r="A751" i="6"/>
  <c r="B751" i="6"/>
  <c r="A752" i="6"/>
  <c r="B752" i="6"/>
  <c r="A753" i="6"/>
  <c r="B753" i="6"/>
  <c r="A754" i="6"/>
  <c r="B754" i="6"/>
  <c r="A755" i="6"/>
  <c r="B755" i="6"/>
  <c r="A756" i="6"/>
  <c r="B756" i="6"/>
  <c r="A757" i="6"/>
  <c r="B757" i="6"/>
  <c r="A758" i="6"/>
  <c r="B758" i="6"/>
  <c r="A759" i="6"/>
  <c r="B759" i="6"/>
  <c r="A760" i="6"/>
  <c r="B760" i="6"/>
  <c r="A761" i="6"/>
  <c r="B761" i="6"/>
  <c r="A762" i="6"/>
  <c r="B762" i="6"/>
  <c r="A763" i="6"/>
  <c r="B763" i="6"/>
  <c r="A764" i="6"/>
  <c r="B764" i="6"/>
  <c r="A765" i="6"/>
  <c r="B765" i="6"/>
  <c r="A766" i="6"/>
  <c r="B766" i="6"/>
  <c r="A767" i="6"/>
  <c r="B767" i="6"/>
  <c r="A768" i="6"/>
  <c r="B768" i="6"/>
  <c r="A769" i="6"/>
  <c r="B769" i="6"/>
  <c r="A770" i="6"/>
  <c r="B770" i="6"/>
  <c r="A771" i="6"/>
  <c r="B771" i="6"/>
  <c r="A772" i="6"/>
  <c r="B772" i="6"/>
  <c r="A773" i="6"/>
  <c r="B773" i="6"/>
  <c r="A774" i="6"/>
  <c r="B774" i="6"/>
  <c r="A775" i="6"/>
  <c r="B775" i="6"/>
  <c r="A776" i="6"/>
  <c r="B776" i="6"/>
  <c r="A777" i="6"/>
  <c r="B777" i="6"/>
  <c r="A778" i="6"/>
  <c r="B778" i="6"/>
  <c r="A779" i="6"/>
  <c r="B779" i="6"/>
  <c r="A780" i="6"/>
  <c r="B780" i="6"/>
  <c r="A781" i="6"/>
  <c r="B781" i="6"/>
  <c r="A782" i="6"/>
  <c r="B782" i="6"/>
  <c r="A783" i="6"/>
  <c r="B783" i="6"/>
  <c r="A784" i="6"/>
  <c r="B784" i="6"/>
  <c r="A785" i="6"/>
  <c r="B785" i="6"/>
  <c r="A786" i="6"/>
  <c r="B786" i="6"/>
  <c r="A787" i="6"/>
  <c r="B787" i="6"/>
  <c r="A788" i="6"/>
  <c r="B788" i="6"/>
  <c r="A789" i="6"/>
  <c r="B789" i="6"/>
  <c r="A790" i="6"/>
  <c r="B790" i="6"/>
  <c r="A791" i="6"/>
  <c r="B791" i="6"/>
  <c r="A792" i="6"/>
  <c r="B792" i="6"/>
  <c r="A793" i="6"/>
  <c r="B793" i="6"/>
  <c r="A794" i="6"/>
  <c r="B794" i="6"/>
  <c r="A795" i="6"/>
  <c r="B795" i="6"/>
  <c r="A796" i="6"/>
  <c r="B796" i="6"/>
  <c r="A797" i="6"/>
  <c r="B797" i="6"/>
  <c r="A798" i="6"/>
  <c r="B798" i="6"/>
  <c r="A799" i="6"/>
  <c r="B799" i="6"/>
  <c r="A800" i="6"/>
  <c r="B800" i="6"/>
  <c r="A801" i="6"/>
  <c r="B801" i="6"/>
  <c r="A802" i="6"/>
  <c r="B802" i="6"/>
  <c r="A803" i="6"/>
  <c r="B803" i="6"/>
  <c r="A804" i="6"/>
  <c r="B804" i="6"/>
  <c r="A805" i="6"/>
  <c r="B805" i="6"/>
  <c r="A806" i="6"/>
  <c r="B806" i="6"/>
  <c r="A807" i="6"/>
  <c r="B807" i="6"/>
  <c r="A808" i="6"/>
  <c r="B808" i="6"/>
  <c r="A809" i="6"/>
  <c r="B809" i="6"/>
  <c r="A810" i="6"/>
  <c r="B810" i="6"/>
  <c r="A811" i="6"/>
  <c r="B811" i="6"/>
  <c r="A812" i="6"/>
  <c r="B812" i="6"/>
  <c r="A813" i="6"/>
  <c r="B813" i="6"/>
  <c r="A814" i="6"/>
  <c r="B814" i="6"/>
  <c r="A815" i="6"/>
  <c r="B815" i="6"/>
  <c r="A816" i="6"/>
  <c r="B816" i="6"/>
  <c r="A817" i="6"/>
  <c r="B817" i="6"/>
  <c r="A818" i="6"/>
  <c r="B818" i="6"/>
  <c r="A819" i="6"/>
  <c r="B819" i="6"/>
  <c r="A820" i="6"/>
  <c r="B820" i="6"/>
  <c r="A821" i="6"/>
  <c r="B821" i="6"/>
  <c r="A822" i="6"/>
  <c r="B822" i="6"/>
  <c r="A823" i="6"/>
  <c r="B823" i="6"/>
  <c r="A824" i="6"/>
  <c r="B824" i="6"/>
  <c r="A825" i="6"/>
  <c r="B825" i="6"/>
  <c r="A826" i="6"/>
  <c r="B826" i="6"/>
  <c r="A827" i="6"/>
  <c r="B827" i="6"/>
  <c r="A828" i="6"/>
  <c r="B828" i="6"/>
  <c r="A829" i="6"/>
  <c r="B829" i="6"/>
  <c r="A830" i="6"/>
  <c r="B830" i="6"/>
  <c r="A831" i="6"/>
  <c r="B831" i="6"/>
  <c r="A832" i="6"/>
  <c r="B832" i="6"/>
  <c r="A833" i="6"/>
  <c r="B833" i="6"/>
  <c r="A834" i="6"/>
  <c r="B834" i="6"/>
  <c r="A835" i="6"/>
  <c r="B835" i="6"/>
  <c r="A836" i="6"/>
  <c r="B836" i="6"/>
  <c r="A837" i="6"/>
  <c r="B837" i="6"/>
  <c r="A838" i="6"/>
  <c r="B838" i="6"/>
  <c r="A839" i="6"/>
  <c r="B839" i="6"/>
  <c r="A840" i="6"/>
  <c r="B840" i="6"/>
  <c r="A841" i="6"/>
  <c r="B841" i="6"/>
  <c r="A842" i="6"/>
  <c r="B842" i="6"/>
  <c r="A843" i="6"/>
  <c r="B843" i="6"/>
  <c r="A844" i="6"/>
  <c r="B844" i="6"/>
  <c r="A845" i="6"/>
  <c r="B845" i="6"/>
  <c r="A846" i="6"/>
  <c r="B846" i="6"/>
  <c r="A847" i="6"/>
  <c r="B847" i="6"/>
  <c r="A848" i="6"/>
  <c r="B848" i="6"/>
  <c r="A849" i="6"/>
  <c r="B849" i="6"/>
  <c r="A850" i="6"/>
  <c r="B850" i="6"/>
  <c r="A851" i="6"/>
  <c r="B851" i="6"/>
  <c r="A852" i="6"/>
  <c r="B852" i="6"/>
  <c r="A853" i="6"/>
  <c r="B853" i="6"/>
  <c r="A854" i="6"/>
  <c r="B854" i="6"/>
  <c r="A855" i="6"/>
  <c r="B855" i="6"/>
  <c r="A856" i="6"/>
  <c r="B856" i="6"/>
  <c r="A857" i="6"/>
  <c r="B857" i="6"/>
  <c r="A858" i="6"/>
  <c r="B858" i="6"/>
  <c r="A859" i="6"/>
  <c r="B859" i="6"/>
  <c r="A860" i="6"/>
  <c r="B860" i="6"/>
  <c r="A861" i="6"/>
  <c r="B861" i="6"/>
  <c r="A862" i="6"/>
  <c r="B862" i="6"/>
  <c r="A863" i="6"/>
  <c r="B863" i="6"/>
  <c r="A864" i="6"/>
  <c r="B864" i="6"/>
  <c r="A865" i="6"/>
  <c r="B865" i="6"/>
  <c r="A866" i="6"/>
  <c r="B866" i="6"/>
  <c r="A867" i="6"/>
  <c r="B867" i="6"/>
  <c r="A868" i="6"/>
  <c r="B868" i="6"/>
  <c r="A869" i="6"/>
  <c r="B869" i="6"/>
  <c r="A870" i="6"/>
  <c r="B870" i="6"/>
  <c r="A871" i="6"/>
  <c r="B871" i="6"/>
  <c r="A872" i="6"/>
  <c r="B872" i="6"/>
  <c r="A873" i="6"/>
  <c r="B873" i="6"/>
  <c r="A874" i="6"/>
  <c r="B874" i="6"/>
  <c r="A875" i="6"/>
  <c r="B875" i="6"/>
  <c r="A876" i="6"/>
  <c r="B876" i="6"/>
  <c r="A877" i="6"/>
  <c r="B877" i="6"/>
  <c r="A878" i="6"/>
  <c r="B878" i="6"/>
  <c r="A879" i="6"/>
  <c r="B879" i="6"/>
  <c r="A880" i="6"/>
  <c r="B880" i="6"/>
  <c r="A881" i="6"/>
  <c r="B881" i="6"/>
  <c r="A882" i="6"/>
  <c r="B882" i="6"/>
  <c r="A883" i="6"/>
  <c r="B883" i="6"/>
  <c r="A884" i="6"/>
  <c r="B884" i="6"/>
  <c r="A885" i="6"/>
  <c r="B885" i="6"/>
  <c r="A886" i="6"/>
  <c r="B886" i="6"/>
  <c r="A887" i="6"/>
  <c r="B887" i="6"/>
  <c r="A888" i="6"/>
  <c r="B888" i="6"/>
  <c r="A889" i="6"/>
  <c r="B889" i="6"/>
  <c r="A890" i="6"/>
  <c r="B890" i="6"/>
  <c r="A891" i="6"/>
  <c r="B891" i="6"/>
  <c r="A892" i="6"/>
  <c r="B892" i="6"/>
  <c r="A893" i="6"/>
  <c r="B893" i="6"/>
  <c r="A894" i="6"/>
  <c r="B894" i="6"/>
  <c r="A895" i="6"/>
  <c r="B895" i="6"/>
  <c r="A896" i="6"/>
  <c r="B896" i="6"/>
  <c r="A897" i="6"/>
  <c r="B897" i="6"/>
  <c r="A898" i="6"/>
  <c r="B898" i="6"/>
  <c r="A899" i="6"/>
  <c r="B899" i="6"/>
  <c r="A900" i="6"/>
  <c r="B900" i="6"/>
  <c r="A901" i="6"/>
  <c r="B901" i="6"/>
  <c r="A902" i="6"/>
  <c r="B902" i="6"/>
  <c r="A903" i="6"/>
  <c r="B903" i="6"/>
  <c r="A904" i="6"/>
  <c r="B904" i="6"/>
  <c r="A905" i="6"/>
  <c r="B905" i="6"/>
  <c r="A906" i="6"/>
  <c r="B906" i="6"/>
  <c r="A907" i="6"/>
  <c r="B907" i="6"/>
  <c r="A908" i="6"/>
  <c r="B908" i="6"/>
  <c r="A909" i="6"/>
  <c r="B909" i="6"/>
  <c r="A910" i="6"/>
  <c r="B910" i="6"/>
  <c r="A911" i="6"/>
  <c r="B911" i="6"/>
  <c r="A912" i="6"/>
  <c r="B912" i="6"/>
  <c r="A913" i="6"/>
  <c r="B913" i="6"/>
  <c r="A914" i="6"/>
  <c r="B914" i="6"/>
  <c r="A915" i="6"/>
  <c r="B915" i="6"/>
  <c r="A916" i="6"/>
  <c r="B916" i="6"/>
  <c r="A917" i="6"/>
  <c r="B917" i="6"/>
  <c r="A918" i="6"/>
  <c r="B918" i="6"/>
  <c r="A919" i="6"/>
  <c r="B919" i="6"/>
  <c r="A920" i="6"/>
  <c r="B920" i="6"/>
  <c r="A921" i="6"/>
  <c r="B921" i="6"/>
  <c r="A922" i="6"/>
  <c r="B922" i="6"/>
  <c r="A923" i="6"/>
  <c r="B923" i="6"/>
  <c r="A924" i="6"/>
  <c r="B924" i="6"/>
  <c r="A925" i="6"/>
  <c r="B925" i="6"/>
  <c r="A926" i="6"/>
  <c r="B926" i="6"/>
  <c r="A927" i="6"/>
  <c r="B927" i="6"/>
  <c r="A928" i="6"/>
  <c r="B928" i="6"/>
  <c r="A929" i="6"/>
  <c r="B929" i="6"/>
  <c r="A930" i="6"/>
  <c r="B930" i="6"/>
  <c r="A931" i="6"/>
  <c r="B931" i="6"/>
  <c r="A932" i="6"/>
  <c r="B932" i="6"/>
  <c r="A933" i="6"/>
  <c r="B933" i="6"/>
  <c r="A934" i="6"/>
  <c r="B934" i="6"/>
  <c r="A935" i="6"/>
  <c r="B935" i="6"/>
  <c r="A936" i="6"/>
  <c r="B936" i="6"/>
  <c r="A937" i="6"/>
  <c r="B937" i="6"/>
  <c r="A938" i="6"/>
  <c r="B938" i="6"/>
  <c r="A939" i="6"/>
  <c r="B939" i="6"/>
  <c r="A940" i="6"/>
  <c r="B940" i="6"/>
  <c r="A941" i="6"/>
  <c r="B941" i="6"/>
  <c r="A942" i="6"/>
  <c r="B942" i="6"/>
  <c r="A943" i="6"/>
  <c r="B943" i="6"/>
  <c r="A944" i="6"/>
  <c r="B944" i="6"/>
  <c r="A945" i="6"/>
  <c r="B945" i="6"/>
  <c r="A946" i="6"/>
  <c r="B946" i="6"/>
  <c r="A947" i="6"/>
  <c r="B947" i="6"/>
  <c r="A948" i="6"/>
  <c r="B948" i="6"/>
  <c r="A949" i="6"/>
  <c r="B949" i="6"/>
  <c r="A950" i="6"/>
  <c r="B950" i="6"/>
  <c r="A951" i="6"/>
  <c r="B951" i="6"/>
  <c r="A952" i="6"/>
  <c r="B952" i="6"/>
  <c r="A953" i="6"/>
  <c r="B953" i="6"/>
  <c r="A954" i="6"/>
  <c r="B954" i="6"/>
  <c r="A955" i="6"/>
  <c r="B955" i="6"/>
  <c r="A956" i="6"/>
  <c r="B956" i="6"/>
  <c r="A957" i="6"/>
  <c r="B957" i="6"/>
  <c r="A958" i="6"/>
  <c r="B958" i="6"/>
  <c r="A959" i="6"/>
  <c r="B959" i="6"/>
  <c r="A960" i="6"/>
  <c r="B960" i="6"/>
  <c r="A961" i="6"/>
  <c r="B961" i="6"/>
  <c r="A962" i="6"/>
  <c r="B962" i="6"/>
  <c r="A963" i="6"/>
  <c r="B963" i="6"/>
  <c r="A964" i="6"/>
  <c r="B964" i="6"/>
  <c r="A965" i="6"/>
  <c r="B965" i="6"/>
  <c r="A966" i="6"/>
  <c r="B966" i="6"/>
  <c r="A967" i="6"/>
  <c r="B967" i="6"/>
  <c r="A968" i="6"/>
  <c r="B968" i="6"/>
  <c r="A969" i="6"/>
  <c r="B969" i="6"/>
  <c r="A970" i="6"/>
  <c r="B970" i="6"/>
  <c r="A971" i="6"/>
  <c r="B971" i="6"/>
  <c r="A972" i="6"/>
  <c r="B972" i="6"/>
  <c r="A973" i="6"/>
  <c r="B973" i="6"/>
  <c r="A974" i="6"/>
  <c r="B974" i="6"/>
  <c r="A975" i="6"/>
  <c r="B975" i="6"/>
  <c r="A976" i="6"/>
  <c r="B976" i="6"/>
  <c r="A977" i="6"/>
  <c r="B977" i="6"/>
  <c r="A978" i="6"/>
  <c r="B978" i="6"/>
  <c r="A979" i="6"/>
  <c r="B979" i="6"/>
  <c r="A980" i="6"/>
  <c r="B980" i="6"/>
  <c r="A981" i="6"/>
  <c r="B981" i="6"/>
  <c r="A982" i="6"/>
  <c r="B982" i="6"/>
  <c r="A983" i="6"/>
  <c r="B983" i="6"/>
  <c r="A984" i="6"/>
  <c r="B984" i="6"/>
  <c r="A985" i="6"/>
  <c r="B985" i="6"/>
  <c r="A986" i="6"/>
  <c r="B986" i="6"/>
  <c r="A987" i="6"/>
  <c r="B987" i="6"/>
  <c r="A988" i="6"/>
  <c r="B988" i="6"/>
  <c r="A989" i="6"/>
  <c r="B989" i="6"/>
  <c r="A990" i="6"/>
  <c r="B990" i="6"/>
  <c r="A991" i="6"/>
  <c r="B991" i="6"/>
  <c r="A992" i="6"/>
  <c r="B992" i="6"/>
  <c r="A993" i="6"/>
  <c r="B993" i="6"/>
  <c r="A994" i="6"/>
  <c r="B994" i="6"/>
  <c r="A995" i="6"/>
  <c r="B995" i="6"/>
  <c r="A996" i="6"/>
  <c r="B996" i="6"/>
  <c r="A997" i="6"/>
  <c r="B997" i="6"/>
  <c r="A998" i="6"/>
  <c r="B998" i="6"/>
  <c r="A999" i="6"/>
  <c r="B999" i="6"/>
  <c r="A1000" i="6"/>
  <c r="B1000" i="6"/>
  <c r="A1001" i="6"/>
  <c r="B1001" i="6"/>
  <c r="A1002" i="6"/>
  <c r="B1002" i="6"/>
  <c r="A1003" i="6"/>
  <c r="B1003" i="6"/>
  <c r="A1004" i="6"/>
  <c r="B1004" i="6"/>
  <c r="A1005" i="6"/>
  <c r="B1005" i="6"/>
  <c r="A1006" i="6"/>
  <c r="B1006" i="6"/>
  <c r="A1007" i="6"/>
  <c r="B1007" i="6"/>
  <c r="A1008" i="6"/>
  <c r="B1008" i="6"/>
  <c r="A1009" i="6"/>
  <c r="B1009" i="6"/>
  <c r="A1010" i="6"/>
  <c r="B1010" i="6"/>
  <c r="A1011" i="6"/>
  <c r="B1011" i="6"/>
  <c r="A1012" i="6"/>
  <c r="B1012" i="6"/>
  <c r="A1013" i="6"/>
  <c r="B1013" i="6"/>
  <c r="A1014" i="6"/>
  <c r="B1014" i="6"/>
  <c r="A1015" i="6"/>
  <c r="B1015" i="6"/>
  <c r="A1016" i="6"/>
  <c r="B1016" i="6"/>
  <c r="A1017" i="6"/>
  <c r="B1017" i="6"/>
  <c r="A1018" i="6"/>
  <c r="B1018" i="6"/>
  <c r="A1019" i="6"/>
  <c r="B1019" i="6"/>
  <c r="A1020" i="6"/>
  <c r="B1020" i="6"/>
  <c r="A1021" i="6"/>
  <c r="B1021" i="6"/>
  <c r="A1022" i="6"/>
  <c r="B1022" i="6"/>
  <c r="A1023" i="6"/>
  <c r="B1023" i="6"/>
  <c r="A1024" i="6"/>
  <c r="B1024" i="6"/>
  <c r="A1025" i="6"/>
  <c r="B1025" i="6"/>
  <c r="A1026" i="6"/>
  <c r="B1026" i="6"/>
  <c r="A1027" i="6"/>
  <c r="B1027" i="6"/>
  <c r="A1028" i="6"/>
  <c r="B1028" i="6"/>
  <c r="A1029" i="6"/>
  <c r="B1029" i="6"/>
  <c r="A1030" i="6"/>
  <c r="B1030" i="6"/>
  <c r="A1031" i="6"/>
  <c r="B1031" i="6"/>
  <c r="A1032" i="6"/>
  <c r="B1032" i="6"/>
  <c r="A1033" i="6"/>
  <c r="B1033" i="6"/>
  <c r="A1034" i="6"/>
  <c r="B1034" i="6"/>
  <c r="A1035" i="6"/>
  <c r="B1035" i="6"/>
  <c r="A1036" i="6"/>
  <c r="B1036" i="6"/>
  <c r="A1037" i="6"/>
  <c r="B1037" i="6"/>
  <c r="A1038" i="6"/>
  <c r="B1038" i="6"/>
  <c r="A1039" i="6"/>
  <c r="B1039" i="6"/>
  <c r="A1040" i="6"/>
  <c r="B1040" i="6"/>
  <c r="A1041" i="6"/>
  <c r="B1041" i="6"/>
  <c r="A1042" i="6"/>
  <c r="B1042" i="6"/>
  <c r="A1043" i="6"/>
  <c r="B1043" i="6"/>
  <c r="A1044" i="6"/>
  <c r="B1044" i="6"/>
  <c r="A1045" i="6"/>
  <c r="B1045" i="6"/>
  <c r="A1046" i="6"/>
  <c r="B1046" i="6"/>
  <c r="A1047" i="6"/>
  <c r="B1047" i="6"/>
  <c r="A1048" i="6"/>
  <c r="B1048" i="6"/>
  <c r="A1049" i="6"/>
  <c r="B1049" i="6"/>
  <c r="A1050" i="6"/>
  <c r="B1050" i="6"/>
  <c r="A1051" i="6"/>
  <c r="B1051" i="6"/>
  <c r="A1052" i="6"/>
  <c r="B1052" i="6"/>
  <c r="A1053" i="6"/>
  <c r="B1053" i="6"/>
  <c r="A1054" i="6"/>
  <c r="B1054" i="6"/>
  <c r="A1055" i="6"/>
  <c r="B1055" i="6"/>
  <c r="A1056" i="6"/>
  <c r="B1056" i="6"/>
  <c r="A1057" i="6"/>
  <c r="B1057" i="6"/>
  <c r="A1058" i="6"/>
  <c r="B1058" i="6"/>
  <c r="A1059" i="6"/>
  <c r="B1059" i="6"/>
  <c r="A1060" i="6"/>
  <c r="B1060" i="6"/>
  <c r="A1061" i="6"/>
  <c r="B1061" i="6"/>
  <c r="A1062" i="6"/>
  <c r="B1062" i="6"/>
  <c r="A1063" i="6"/>
  <c r="B1063" i="6"/>
  <c r="A1064" i="6"/>
  <c r="B1064" i="6"/>
  <c r="A1065" i="6"/>
  <c r="B1065" i="6"/>
  <c r="A1066" i="6"/>
  <c r="B1066" i="6"/>
  <c r="A1067" i="6"/>
  <c r="B1067" i="6"/>
  <c r="A1068" i="6"/>
  <c r="B1068" i="6"/>
  <c r="A1069" i="6"/>
  <c r="B1069" i="6"/>
  <c r="A1070" i="6"/>
  <c r="B1070" i="6"/>
  <c r="A1071" i="6"/>
  <c r="B1071" i="6"/>
  <c r="A1072" i="6"/>
  <c r="B1072" i="6"/>
  <c r="A1073" i="6"/>
  <c r="B1073" i="6"/>
  <c r="A1074" i="6"/>
  <c r="B1074" i="6"/>
  <c r="A1075" i="6"/>
  <c r="B1075" i="6"/>
  <c r="A1076" i="6"/>
  <c r="B1076" i="6"/>
  <c r="A1077" i="6"/>
  <c r="B1077" i="6"/>
  <c r="A1078" i="6"/>
  <c r="B1078" i="6"/>
  <c r="A1079" i="6"/>
  <c r="B1079" i="6"/>
  <c r="A1080" i="6"/>
  <c r="B1080" i="6"/>
  <c r="A1081" i="6"/>
  <c r="B1081" i="6"/>
  <c r="A1082" i="6"/>
  <c r="B1082" i="6"/>
  <c r="A1083" i="6"/>
  <c r="B1083" i="6"/>
  <c r="A1084" i="6"/>
  <c r="B1084" i="6"/>
  <c r="A1085" i="6"/>
  <c r="B1085" i="6"/>
  <c r="A1086" i="6"/>
  <c r="B1086" i="6"/>
  <c r="A1087" i="6"/>
  <c r="B1087" i="6"/>
  <c r="A1088" i="6"/>
  <c r="B1088" i="6"/>
  <c r="A1089" i="6"/>
  <c r="B1089" i="6"/>
  <c r="A1090" i="6"/>
  <c r="B1090" i="6"/>
  <c r="A1091" i="6"/>
  <c r="B1091" i="6"/>
  <c r="A1092" i="6"/>
  <c r="B1092" i="6"/>
  <c r="A1093" i="6"/>
  <c r="B1093" i="6"/>
  <c r="A1094" i="6"/>
  <c r="B1094" i="6"/>
  <c r="A1095" i="6"/>
  <c r="B1095" i="6"/>
  <c r="A1096" i="6"/>
  <c r="B1096" i="6"/>
  <c r="A1097" i="6"/>
  <c r="B1097" i="6"/>
  <c r="A1098" i="6"/>
  <c r="B1098" i="6"/>
  <c r="A1099" i="6"/>
  <c r="B1099" i="6"/>
  <c r="A1100" i="6"/>
  <c r="B1100" i="6"/>
  <c r="A1101" i="6"/>
  <c r="B1101" i="6"/>
  <c r="A1102" i="6"/>
  <c r="B1102" i="6"/>
  <c r="A1103" i="6"/>
  <c r="B1103" i="6"/>
  <c r="A1104" i="6"/>
  <c r="B1104" i="6"/>
  <c r="A1105" i="6"/>
  <c r="B1105" i="6"/>
  <c r="A1106" i="6"/>
  <c r="B1106" i="6"/>
  <c r="A1107" i="6"/>
  <c r="B1107" i="6"/>
  <c r="A1108" i="6"/>
  <c r="B1108" i="6"/>
  <c r="A1109" i="6"/>
  <c r="B1109" i="6"/>
  <c r="A1110" i="6"/>
  <c r="B1110" i="6"/>
  <c r="A1111" i="6"/>
  <c r="B1111" i="6"/>
  <c r="A1112" i="6"/>
  <c r="B1112" i="6"/>
  <c r="B6" i="6"/>
  <c r="A6" i="6"/>
  <c r="A4" i="2" l="1" a="1"/>
  <c r="A4" i="2" s="1"/>
  <c r="A6" i="2" s="1"/>
  <c r="A7" i="2" l="1" a="1"/>
  <c r="A7" i="2" s="1"/>
  <c r="I372" i="25" l="1"/>
  <c r="H372" i="25"/>
  <c r="B373" i="28" l="1"/>
  <c r="F371" i="25" s="1"/>
  <c r="A373" i="28"/>
  <c r="E371" i="25" s="1"/>
  <c r="B372" i="28"/>
  <c r="F370" i="25" s="1"/>
  <c r="A372" i="28"/>
  <c r="E370" i="25" s="1"/>
  <c r="B371" i="28"/>
  <c r="F369" i="25" s="1"/>
  <c r="A371" i="28"/>
  <c r="E369" i="25" s="1"/>
  <c r="B370" i="28"/>
  <c r="F368" i="25" s="1"/>
  <c r="A370" i="28"/>
  <c r="E368" i="25" s="1"/>
  <c r="B369" i="28"/>
  <c r="F367" i="25" s="1"/>
  <c r="A369" i="28"/>
  <c r="E367" i="25" s="1"/>
  <c r="B368" i="28"/>
  <c r="F366" i="25" s="1"/>
  <c r="A368" i="28"/>
  <c r="E366" i="25" s="1"/>
  <c r="B367" i="28"/>
  <c r="F365" i="25" s="1"/>
  <c r="A367" i="28"/>
  <c r="E365" i="25" s="1"/>
  <c r="B366" i="28"/>
  <c r="F364" i="25" s="1"/>
  <c r="A366" i="28"/>
  <c r="E364" i="25" s="1"/>
  <c r="B365" i="28"/>
  <c r="F363" i="25" s="1"/>
  <c r="A365" i="28"/>
  <c r="E363" i="25" s="1"/>
  <c r="B364" i="28"/>
  <c r="F362" i="25" s="1"/>
  <c r="A364" i="28"/>
  <c r="E362" i="25" s="1"/>
  <c r="B363" i="28"/>
  <c r="F361" i="25" s="1"/>
  <c r="A363" i="28"/>
  <c r="E361" i="25" s="1"/>
  <c r="B362" i="28"/>
  <c r="F360" i="25" s="1"/>
  <c r="A362" i="28"/>
  <c r="E360" i="25" s="1"/>
  <c r="B361" i="28"/>
  <c r="F359" i="25" s="1"/>
  <c r="A361" i="28"/>
  <c r="E359" i="25" s="1"/>
  <c r="B360" i="28"/>
  <c r="F358" i="25" s="1"/>
  <c r="A360" i="28"/>
  <c r="E358" i="25" s="1"/>
  <c r="B359" i="28"/>
  <c r="F357" i="25" s="1"/>
  <c r="A359" i="28"/>
  <c r="E357" i="25" s="1"/>
  <c r="B358" i="28"/>
  <c r="F356" i="25" s="1"/>
  <c r="A358" i="28"/>
  <c r="E356" i="25" s="1"/>
  <c r="B357" i="28"/>
  <c r="F355" i="25" s="1"/>
  <c r="A357" i="28"/>
  <c r="E355" i="25" s="1"/>
  <c r="B356" i="28"/>
  <c r="F354" i="25" s="1"/>
  <c r="A356" i="28"/>
  <c r="E354" i="25" s="1"/>
  <c r="B355" i="28"/>
  <c r="F353" i="25" s="1"/>
  <c r="A355" i="28"/>
  <c r="E353" i="25" s="1"/>
  <c r="B354" i="28"/>
  <c r="F352" i="25" s="1"/>
  <c r="A354" i="28"/>
  <c r="E352" i="25" s="1"/>
  <c r="B353" i="28"/>
  <c r="F351" i="25" s="1"/>
  <c r="A353" i="28"/>
  <c r="E351" i="25" s="1"/>
  <c r="B352" i="28"/>
  <c r="F350" i="25" s="1"/>
  <c r="A352" i="28"/>
  <c r="E350" i="25" s="1"/>
  <c r="B351" i="28"/>
  <c r="F349" i="25" s="1"/>
  <c r="A351" i="28"/>
  <c r="E349" i="25" s="1"/>
  <c r="B350" i="28"/>
  <c r="F348" i="25" s="1"/>
  <c r="A350" i="28"/>
  <c r="E348" i="25" s="1"/>
  <c r="B349" i="28"/>
  <c r="F347" i="25" s="1"/>
  <c r="A349" i="28"/>
  <c r="E347" i="25" s="1"/>
  <c r="B348" i="28"/>
  <c r="F346" i="25" s="1"/>
  <c r="A348" i="28"/>
  <c r="E346" i="25" s="1"/>
  <c r="B347" i="28"/>
  <c r="F345" i="25" s="1"/>
  <c r="A347" i="28"/>
  <c r="E345" i="25" s="1"/>
  <c r="B346" i="28"/>
  <c r="F344" i="25" s="1"/>
  <c r="A346" i="28"/>
  <c r="E344" i="25" s="1"/>
  <c r="B345" i="28"/>
  <c r="F343" i="25" s="1"/>
  <c r="A345" i="28"/>
  <c r="E343" i="25" s="1"/>
  <c r="B344" i="28"/>
  <c r="F342" i="25" s="1"/>
  <c r="A344" i="28"/>
  <c r="E342" i="25" s="1"/>
  <c r="B343" i="28"/>
  <c r="F341" i="25" s="1"/>
  <c r="A343" i="28"/>
  <c r="E341" i="25" s="1"/>
  <c r="B342" i="28"/>
  <c r="F340" i="25" s="1"/>
  <c r="A342" i="28"/>
  <c r="E340" i="25" s="1"/>
  <c r="B341" i="28"/>
  <c r="F339" i="25" s="1"/>
  <c r="A341" i="28"/>
  <c r="E339" i="25" s="1"/>
  <c r="B340" i="28"/>
  <c r="F338" i="25" s="1"/>
  <c r="A340" i="28"/>
  <c r="E338" i="25" s="1"/>
  <c r="B339" i="28"/>
  <c r="F337" i="25" s="1"/>
  <c r="A339" i="28"/>
  <c r="E337" i="25" s="1"/>
  <c r="B338" i="28"/>
  <c r="F336" i="25" s="1"/>
  <c r="A338" i="28"/>
  <c r="E336" i="25" s="1"/>
  <c r="B337" i="28"/>
  <c r="F335" i="25" s="1"/>
  <c r="A337" i="28"/>
  <c r="E335" i="25" s="1"/>
  <c r="B336" i="28"/>
  <c r="F334" i="25" s="1"/>
  <c r="A336" i="28"/>
  <c r="E334" i="25" s="1"/>
  <c r="B335" i="28"/>
  <c r="F333" i="25" s="1"/>
  <c r="A335" i="28"/>
  <c r="E333" i="25" s="1"/>
  <c r="B334" i="28"/>
  <c r="F332" i="25" s="1"/>
  <c r="A334" i="28"/>
  <c r="E332" i="25" s="1"/>
  <c r="B333" i="28"/>
  <c r="F331" i="25" s="1"/>
  <c r="A333" i="28"/>
  <c r="E331" i="25" s="1"/>
  <c r="B332" i="28"/>
  <c r="F330" i="25" s="1"/>
  <c r="A332" i="28"/>
  <c r="E330" i="25" s="1"/>
  <c r="B331" i="28"/>
  <c r="F329" i="25" s="1"/>
  <c r="A331" i="28"/>
  <c r="E329" i="25" s="1"/>
  <c r="B330" i="28"/>
  <c r="F328" i="25" s="1"/>
  <c r="A330" i="28"/>
  <c r="E328" i="25" s="1"/>
  <c r="B329" i="28"/>
  <c r="F327" i="25" s="1"/>
  <c r="A329" i="28"/>
  <c r="E327" i="25" s="1"/>
  <c r="B328" i="28"/>
  <c r="F326" i="25" s="1"/>
  <c r="A328" i="28"/>
  <c r="E326" i="25" s="1"/>
  <c r="B327" i="28"/>
  <c r="F325" i="25" s="1"/>
  <c r="A327" i="28"/>
  <c r="E325" i="25" s="1"/>
  <c r="B326" i="28"/>
  <c r="F324" i="25" s="1"/>
  <c r="A326" i="28"/>
  <c r="E324" i="25" s="1"/>
  <c r="B325" i="28"/>
  <c r="F323" i="25" s="1"/>
  <c r="A325" i="28"/>
  <c r="E323" i="25" s="1"/>
  <c r="B324" i="28"/>
  <c r="F322" i="25" s="1"/>
  <c r="A324" i="28"/>
  <c r="E322" i="25" s="1"/>
  <c r="B323" i="28"/>
  <c r="F321" i="25" s="1"/>
  <c r="A323" i="28"/>
  <c r="E321" i="25" s="1"/>
  <c r="B322" i="28"/>
  <c r="F320" i="25" s="1"/>
  <c r="A322" i="28"/>
  <c r="E320" i="25" s="1"/>
  <c r="B321" i="28"/>
  <c r="F319" i="25" s="1"/>
  <c r="A321" i="28"/>
  <c r="E319" i="25" s="1"/>
  <c r="B320" i="28"/>
  <c r="F318" i="25" s="1"/>
  <c r="A320" i="28"/>
  <c r="E318" i="25" s="1"/>
  <c r="B319" i="28"/>
  <c r="F317" i="25" s="1"/>
  <c r="A319" i="28"/>
  <c r="E317" i="25" s="1"/>
  <c r="B318" i="28"/>
  <c r="F316" i="25" s="1"/>
  <c r="A318" i="28"/>
  <c r="E316" i="25" s="1"/>
  <c r="B317" i="28"/>
  <c r="F315" i="25" s="1"/>
  <c r="A317" i="28"/>
  <c r="E315" i="25" s="1"/>
  <c r="B316" i="28"/>
  <c r="F314" i="25" s="1"/>
  <c r="A316" i="28"/>
  <c r="E314" i="25" s="1"/>
  <c r="B315" i="28"/>
  <c r="F313" i="25" s="1"/>
  <c r="A315" i="28"/>
  <c r="E313" i="25" s="1"/>
  <c r="B314" i="28"/>
  <c r="F312" i="25" s="1"/>
  <c r="A314" i="28"/>
  <c r="E312" i="25" s="1"/>
  <c r="B313" i="28"/>
  <c r="F311" i="25" s="1"/>
  <c r="A313" i="28"/>
  <c r="E311" i="25" s="1"/>
  <c r="B312" i="28"/>
  <c r="F310" i="25" s="1"/>
  <c r="A312" i="28"/>
  <c r="E310" i="25" s="1"/>
  <c r="B311" i="28"/>
  <c r="F309" i="25" s="1"/>
  <c r="A311" i="28"/>
  <c r="E309" i="25" s="1"/>
  <c r="B310" i="28"/>
  <c r="F308" i="25" s="1"/>
  <c r="A310" i="28"/>
  <c r="E308" i="25" s="1"/>
  <c r="B309" i="28"/>
  <c r="F307" i="25" s="1"/>
  <c r="A309" i="28"/>
  <c r="E307" i="25" s="1"/>
  <c r="B308" i="28"/>
  <c r="F306" i="25" s="1"/>
  <c r="A308" i="28"/>
  <c r="E306" i="25" s="1"/>
  <c r="B307" i="28"/>
  <c r="F305" i="25" s="1"/>
  <c r="A307" i="28"/>
  <c r="E305" i="25" s="1"/>
  <c r="B306" i="28"/>
  <c r="F304" i="25" s="1"/>
  <c r="A306" i="28"/>
  <c r="E304" i="25" s="1"/>
  <c r="B305" i="28"/>
  <c r="F303" i="25" s="1"/>
  <c r="A305" i="28"/>
  <c r="E303" i="25" s="1"/>
  <c r="B304" i="28"/>
  <c r="F302" i="25" s="1"/>
  <c r="A304" i="28"/>
  <c r="E302" i="25" s="1"/>
  <c r="B303" i="28"/>
  <c r="F301" i="25" s="1"/>
  <c r="A303" i="28"/>
  <c r="E301" i="25" s="1"/>
  <c r="B302" i="28"/>
  <c r="F300" i="25" s="1"/>
  <c r="A302" i="28"/>
  <c r="E300" i="25" s="1"/>
  <c r="B301" i="28"/>
  <c r="F299" i="25" s="1"/>
  <c r="A301" i="28"/>
  <c r="E299" i="25" s="1"/>
  <c r="B300" i="28"/>
  <c r="F298" i="25" s="1"/>
  <c r="A300" i="28"/>
  <c r="E298" i="25" s="1"/>
  <c r="B299" i="28"/>
  <c r="F297" i="25" s="1"/>
  <c r="A299" i="28"/>
  <c r="E297" i="25" s="1"/>
  <c r="B298" i="28"/>
  <c r="F296" i="25" s="1"/>
  <c r="A298" i="28"/>
  <c r="E296" i="25" s="1"/>
  <c r="B297" i="28"/>
  <c r="F295" i="25" s="1"/>
  <c r="A297" i="28"/>
  <c r="E295" i="25" s="1"/>
  <c r="B296" i="28"/>
  <c r="F294" i="25" s="1"/>
  <c r="A296" i="28"/>
  <c r="E294" i="25" s="1"/>
  <c r="B295" i="28"/>
  <c r="F293" i="25" s="1"/>
  <c r="A295" i="28"/>
  <c r="E293" i="25" s="1"/>
  <c r="B294" i="28"/>
  <c r="F292" i="25" s="1"/>
  <c r="A294" i="28"/>
  <c r="E292" i="25" s="1"/>
  <c r="B293" i="28"/>
  <c r="F291" i="25" s="1"/>
  <c r="A293" i="28"/>
  <c r="E291" i="25" s="1"/>
  <c r="B292" i="28"/>
  <c r="F290" i="25" s="1"/>
  <c r="A292" i="28"/>
  <c r="E290" i="25" s="1"/>
  <c r="B291" i="28"/>
  <c r="F289" i="25" s="1"/>
  <c r="A291" i="28"/>
  <c r="E289" i="25" s="1"/>
  <c r="B290" i="28"/>
  <c r="F288" i="25" s="1"/>
  <c r="A290" i="28"/>
  <c r="E288" i="25" s="1"/>
  <c r="B289" i="28"/>
  <c r="F287" i="25" s="1"/>
  <c r="A289" i="28"/>
  <c r="E287" i="25" s="1"/>
  <c r="B288" i="28"/>
  <c r="F286" i="25" s="1"/>
  <c r="A288" i="28"/>
  <c r="E286" i="25" s="1"/>
  <c r="B287" i="28"/>
  <c r="F285" i="25" s="1"/>
  <c r="A287" i="28"/>
  <c r="E285" i="25" s="1"/>
  <c r="B286" i="28"/>
  <c r="F284" i="25" s="1"/>
  <c r="A286" i="28"/>
  <c r="E284" i="25" s="1"/>
  <c r="B285" i="28"/>
  <c r="F283" i="25" s="1"/>
  <c r="A285" i="28"/>
  <c r="E283" i="25" s="1"/>
  <c r="B284" i="28"/>
  <c r="F282" i="25" s="1"/>
  <c r="A284" i="28"/>
  <c r="E282" i="25" s="1"/>
  <c r="B283" i="28"/>
  <c r="F281" i="25" s="1"/>
  <c r="A283" i="28"/>
  <c r="E281" i="25" s="1"/>
  <c r="B282" i="28"/>
  <c r="F280" i="25" s="1"/>
  <c r="A282" i="28"/>
  <c r="E280" i="25" s="1"/>
  <c r="B281" i="28"/>
  <c r="F279" i="25" s="1"/>
  <c r="A281" i="28"/>
  <c r="E279" i="25" s="1"/>
  <c r="B280" i="28"/>
  <c r="F278" i="25" s="1"/>
  <c r="A280" i="28"/>
  <c r="E278" i="25" s="1"/>
  <c r="B279" i="28"/>
  <c r="F277" i="25" s="1"/>
  <c r="A279" i="28"/>
  <c r="E277" i="25" s="1"/>
  <c r="B278" i="28"/>
  <c r="F276" i="25" s="1"/>
  <c r="A278" i="28"/>
  <c r="E276" i="25" s="1"/>
  <c r="B277" i="28"/>
  <c r="F275" i="25" s="1"/>
  <c r="A277" i="28"/>
  <c r="E275" i="25" s="1"/>
  <c r="B276" i="28"/>
  <c r="F274" i="25" s="1"/>
  <c r="A276" i="28"/>
  <c r="E274" i="25" s="1"/>
  <c r="B275" i="28"/>
  <c r="F273" i="25" s="1"/>
  <c r="A275" i="28"/>
  <c r="E273" i="25" s="1"/>
  <c r="B274" i="28"/>
  <c r="F272" i="25" s="1"/>
  <c r="A274" i="28"/>
  <c r="E272" i="25" s="1"/>
  <c r="B273" i="28"/>
  <c r="F271" i="25" s="1"/>
  <c r="A273" i="28"/>
  <c r="E271" i="25" s="1"/>
  <c r="B272" i="28"/>
  <c r="F270" i="25" s="1"/>
  <c r="A272" i="28"/>
  <c r="E270" i="25" s="1"/>
  <c r="B271" i="28"/>
  <c r="F269" i="25" s="1"/>
  <c r="A271" i="28"/>
  <c r="E269" i="25" s="1"/>
  <c r="B270" i="28"/>
  <c r="F268" i="25" s="1"/>
  <c r="A270" i="28"/>
  <c r="E268" i="25" s="1"/>
  <c r="B269" i="28"/>
  <c r="F267" i="25" s="1"/>
  <c r="A269" i="28"/>
  <c r="E267" i="25" s="1"/>
  <c r="B268" i="28"/>
  <c r="F266" i="25" s="1"/>
  <c r="A268" i="28"/>
  <c r="E266" i="25" s="1"/>
  <c r="B267" i="28"/>
  <c r="F265" i="25" s="1"/>
  <c r="A267" i="28"/>
  <c r="E265" i="25" s="1"/>
  <c r="B266" i="28"/>
  <c r="F264" i="25" s="1"/>
  <c r="A266" i="28"/>
  <c r="E264" i="25" s="1"/>
  <c r="B265" i="28"/>
  <c r="F263" i="25" s="1"/>
  <c r="A265" i="28"/>
  <c r="E263" i="25" s="1"/>
  <c r="B264" i="28"/>
  <c r="F262" i="25" s="1"/>
  <c r="A264" i="28"/>
  <c r="E262" i="25" s="1"/>
  <c r="B263" i="28"/>
  <c r="F261" i="25" s="1"/>
  <c r="A263" i="28"/>
  <c r="E261" i="25" s="1"/>
  <c r="B262" i="28"/>
  <c r="F260" i="25" s="1"/>
  <c r="A262" i="28"/>
  <c r="E260" i="25" s="1"/>
  <c r="B261" i="28"/>
  <c r="F259" i="25" s="1"/>
  <c r="A261" i="28"/>
  <c r="E259" i="25" s="1"/>
  <c r="B260" i="28"/>
  <c r="F258" i="25" s="1"/>
  <c r="A260" i="28"/>
  <c r="E258" i="25" s="1"/>
  <c r="B259" i="28"/>
  <c r="F257" i="25" s="1"/>
  <c r="A259" i="28"/>
  <c r="E257" i="25" s="1"/>
  <c r="B258" i="28"/>
  <c r="F256" i="25" s="1"/>
  <c r="A258" i="28"/>
  <c r="E256" i="25" s="1"/>
  <c r="B257" i="28"/>
  <c r="F255" i="25" s="1"/>
  <c r="A257" i="28"/>
  <c r="E255" i="25" s="1"/>
  <c r="B256" i="28"/>
  <c r="F254" i="25" s="1"/>
  <c r="A256" i="28"/>
  <c r="E254" i="25" s="1"/>
  <c r="B255" i="28"/>
  <c r="F253" i="25" s="1"/>
  <c r="A255" i="28"/>
  <c r="E253" i="25" s="1"/>
  <c r="B254" i="28"/>
  <c r="F252" i="25" s="1"/>
  <c r="A254" i="28"/>
  <c r="E252" i="25" s="1"/>
  <c r="B253" i="28"/>
  <c r="F251" i="25" s="1"/>
  <c r="A253" i="28"/>
  <c r="E251" i="25" s="1"/>
  <c r="B252" i="28"/>
  <c r="F250" i="25" s="1"/>
  <c r="A252" i="28"/>
  <c r="E250" i="25" s="1"/>
  <c r="B251" i="28"/>
  <c r="F249" i="25" s="1"/>
  <c r="A251" i="28"/>
  <c r="E249" i="25" s="1"/>
  <c r="B250" i="28"/>
  <c r="F248" i="25" s="1"/>
  <c r="A250" i="28"/>
  <c r="E248" i="25" s="1"/>
  <c r="B249" i="28"/>
  <c r="F247" i="25" s="1"/>
  <c r="A249" i="28"/>
  <c r="E247" i="25" s="1"/>
  <c r="B248" i="28"/>
  <c r="F246" i="25" s="1"/>
  <c r="A248" i="28"/>
  <c r="E246" i="25" s="1"/>
  <c r="B247" i="28"/>
  <c r="F245" i="25" s="1"/>
  <c r="A247" i="28"/>
  <c r="E245" i="25" s="1"/>
  <c r="B246" i="28"/>
  <c r="F244" i="25" s="1"/>
  <c r="A246" i="28"/>
  <c r="E244" i="25" s="1"/>
  <c r="B245" i="28"/>
  <c r="F243" i="25" s="1"/>
  <c r="A245" i="28"/>
  <c r="E243" i="25" s="1"/>
  <c r="B244" i="28"/>
  <c r="F242" i="25" s="1"/>
  <c r="A244" i="28"/>
  <c r="E242" i="25" s="1"/>
  <c r="B243" i="28"/>
  <c r="F241" i="25" s="1"/>
  <c r="A243" i="28"/>
  <c r="E241" i="25" s="1"/>
  <c r="B242" i="28"/>
  <c r="F240" i="25" s="1"/>
  <c r="A242" i="28"/>
  <c r="E240" i="25" s="1"/>
  <c r="B241" i="28"/>
  <c r="F239" i="25" s="1"/>
  <c r="A241" i="28"/>
  <c r="E239" i="25" s="1"/>
  <c r="B240" i="28"/>
  <c r="F238" i="25" s="1"/>
  <c r="A240" i="28"/>
  <c r="E238" i="25" s="1"/>
  <c r="B239" i="28"/>
  <c r="F237" i="25" s="1"/>
  <c r="A239" i="28"/>
  <c r="E237" i="25" s="1"/>
  <c r="B238" i="28"/>
  <c r="F236" i="25" s="1"/>
  <c r="A238" i="28"/>
  <c r="E236" i="25" s="1"/>
  <c r="B237" i="28"/>
  <c r="F235" i="25" s="1"/>
  <c r="A237" i="28"/>
  <c r="E235" i="25" s="1"/>
  <c r="B236" i="28"/>
  <c r="F234" i="25" s="1"/>
  <c r="A236" i="28"/>
  <c r="E234" i="25" s="1"/>
  <c r="B235" i="28"/>
  <c r="F233" i="25" s="1"/>
  <c r="A235" i="28"/>
  <c r="E233" i="25" s="1"/>
  <c r="B234" i="28"/>
  <c r="F232" i="25" s="1"/>
  <c r="A234" i="28"/>
  <c r="E232" i="25" s="1"/>
  <c r="B233" i="28"/>
  <c r="F231" i="25" s="1"/>
  <c r="A233" i="28"/>
  <c r="E231" i="25" s="1"/>
  <c r="B232" i="28"/>
  <c r="F230" i="25" s="1"/>
  <c r="A232" i="28"/>
  <c r="E230" i="25" s="1"/>
  <c r="B231" i="28"/>
  <c r="F229" i="25" s="1"/>
  <c r="A231" i="28"/>
  <c r="E229" i="25" s="1"/>
  <c r="B230" i="28"/>
  <c r="F228" i="25" s="1"/>
  <c r="A230" i="28"/>
  <c r="E228" i="25" s="1"/>
  <c r="B229" i="28"/>
  <c r="F227" i="25" s="1"/>
  <c r="A229" i="28"/>
  <c r="E227" i="25" s="1"/>
  <c r="B228" i="28"/>
  <c r="F226" i="25" s="1"/>
  <c r="A228" i="28"/>
  <c r="E226" i="25" s="1"/>
  <c r="B227" i="28"/>
  <c r="F225" i="25" s="1"/>
  <c r="A227" i="28"/>
  <c r="E225" i="25" s="1"/>
  <c r="B226" i="28"/>
  <c r="F224" i="25" s="1"/>
  <c r="A226" i="28"/>
  <c r="E224" i="25" s="1"/>
  <c r="B225" i="28"/>
  <c r="F223" i="25" s="1"/>
  <c r="A225" i="28"/>
  <c r="E223" i="25" s="1"/>
  <c r="B224" i="28"/>
  <c r="F222" i="25" s="1"/>
  <c r="A224" i="28"/>
  <c r="E222" i="25" s="1"/>
  <c r="B223" i="28"/>
  <c r="F221" i="25" s="1"/>
  <c r="A223" i="28"/>
  <c r="E221" i="25" s="1"/>
  <c r="B222" i="28"/>
  <c r="F220" i="25" s="1"/>
  <c r="A222" i="28"/>
  <c r="E220" i="25" s="1"/>
  <c r="B221" i="28"/>
  <c r="F219" i="25" s="1"/>
  <c r="A221" i="28"/>
  <c r="E219" i="25" s="1"/>
  <c r="B220" i="28"/>
  <c r="F218" i="25" s="1"/>
  <c r="A220" i="28"/>
  <c r="E218" i="25" s="1"/>
  <c r="B219" i="28"/>
  <c r="F217" i="25" s="1"/>
  <c r="A219" i="28"/>
  <c r="E217" i="25" s="1"/>
  <c r="B218" i="28"/>
  <c r="F216" i="25" s="1"/>
  <c r="A218" i="28"/>
  <c r="E216" i="25" s="1"/>
  <c r="B217" i="28"/>
  <c r="F215" i="25" s="1"/>
  <c r="A217" i="28"/>
  <c r="E215" i="25" s="1"/>
  <c r="B216" i="28"/>
  <c r="F214" i="25" s="1"/>
  <c r="A216" i="28"/>
  <c r="E214" i="25" s="1"/>
  <c r="B215" i="28"/>
  <c r="F213" i="25" s="1"/>
  <c r="A215" i="28"/>
  <c r="E213" i="25" s="1"/>
  <c r="B214" i="28"/>
  <c r="F212" i="25" s="1"/>
  <c r="A214" i="28"/>
  <c r="E212" i="25" s="1"/>
  <c r="B213" i="28"/>
  <c r="F211" i="25" s="1"/>
  <c r="A213" i="28"/>
  <c r="E211" i="25" s="1"/>
  <c r="B212" i="28"/>
  <c r="F210" i="25" s="1"/>
  <c r="A212" i="28"/>
  <c r="E210" i="25" s="1"/>
  <c r="B211" i="28"/>
  <c r="F209" i="25" s="1"/>
  <c r="A211" i="28"/>
  <c r="E209" i="25" s="1"/>
  <c r="B210" i="28"/>
  <c r="F208" i="25" s="1"/>
  <c r="A210" i="28"/>
  <c r="E208" i="25" s="1"/>
  <c r="B209" i="28"/>
  <c r="F207" i="25" s="1"/>
  <c r="A209" i="28"/>
  <c r="E207" i="25" s="1"/>
  <c r="B208" i="28"/>
  <c r="F206" i="25" s="1"/>
  <c r="A208" i="28"/>
  <c r="E206" i="25" s="1"/>
  <c r="B207" i="28"/>
  <c r="F205" i="25" s="1"/>
  <c r="A207" i="28"/>
  <c r="E205" i="25" s="1"/>
  <c r="B206" i="28"/>
  <c r="F204" i="25" s="1"/>
  <c r="A206" i="28"/>
  <c r="E204" i="25" s="1"/>
  <c r="B205" i="28"/>
  <c r="F203" i="25" s="1"/>
  <c r="A205" i="28"/>
  <c r="E203" i="25" s="1"/>
  <c r="B204" i="28"/>
  <c r="F202" i="25" s="1"/>
  <c r="A204" i="28"/>
  <c r="E202" i="25" s="1"/>
  <c r="B203" i="28"/>
  <c r="F201" i="25" s="1"/>
  <c r="A203" i="28"/>
  <c r="E201" i="25" s="1"/>
  <c r="B202" i="28"/>
  <c r="F200" i="25" s="1"/>
  <c r="A202" i="28"/>
  <c r="E200" i="25" s="1"/>
  <c r="B201" i="28"/>
  <c r="F199" i="25" s="1"/>
  <c r="A201" i="28"/>
  <c r="E199" i="25" s="1"/>
  <c r="B200" i="28"/>
  <c r="F198" i="25" s="1"/>
  <c r="A200" i="28"/>
  <c r="E198" i="25" s="1"/>
  <c r="B199" i="28"/>
  <c r="F197" i="25" s="1"/>
  <c r="A199" i="28"/>
  <c r="E197" i="25" s="1"/>
  <c r="B198" i="28"/>
  <c r="F196" i="25" s="1"/>
  <c r="A198" i="28"/>
  <c r="E196" i="25" s="1"/>
  <c r="B197" i="28"/>
  <c r="F195" i="25" s="1"/>
  <c r="A197" i="28"/>
  <c r="E195" i="25" s="1"/>
  <c r="B196" i="28"/>
  <c r="F194" i="25" s="1"/>
  <c r="A196" i="28"/>
  <c r="E194" i="25" s="1"/>
  <c r="B195" i="28"/>
  <c r="F193" i="25" s="1"/>
  <c r="A195" i="28"/>
  <c r="E193" i="25" s="1"/>
  <c r="B194" i="28"/>
  <c r="F192" i="25" s="1"/>
  <c r="A194" i="28"/>
  <c r="E192" i="25" s="1"/>
  <c r="B193" i="28"/>
  <c r="F191" i="25" s="1"/>
  <c r="A193" i="28"/>
  <c r="E191" i="25" s="1"/>
  <c r="B192" i="28"/>
  <c r="F190" i="25" s="1"/>
  <c r="A192" i="28"/>
  <c r="E190" i="25" s="1"/>
  <c r="B191" i="28"/>
  <c r="F189" i="25" s="1"/>
  <c r="A191" i="28"/>
  <c r="E189" i="25" s="1"/>
  <c r="B190" i="28"/>
  <c r="F188" i="25" s="1"/>
  <c r="A190" i="28"/>
  <c r="E188" i="25" s="1"/>
  <c r="B189" i="28"/>
  <c r="F187" i="25" s="1"/>
  <c r="A189" i="28"/>
  <c r="E187" i="25" s="1"/>
  <c r="B188" i="28"/>
  <c r="F186" i="25" s="1"/>
  <c r="A188" i="28"/>
  <c r="E186" i="25" s="1"/>
  <c r="B187" i="28"/>
  <c r="F185" i="25" s="1"/>
  <c r="A187" i="28"/>
  <c r="E185" i="25" s="1"/>
  <c r="B186" i="28"/>
  <c r="F184" i="25" s="1"/>
  <c r="A186" i="28"/>
  <c r="E184" i="25" s="1"/>
  <c r="B185" i="28"/>
  <c r="F183" i="25" s="1"/>
  <c r="A185" i="28"/>
  <c r="E183" i="25" s="1"/>
  <c r="B184" i="28"/>
  <c r="F182" i="25" s="1"/>
  <c r="A184" i="28"/>
  <c r="E182" i="25" s="1"/>
  <c r="B183" i="28"/>
  <c r="F181" i="25" s="1"/>
  <c r="A183" i="28"/>
  <c r="E181" i="25" s="1"/>
  <c r="B182" i="28"/>
  <c r="F180" i="25" s="1"/>
  <c r="A182" i="28"/>
  <c r="E180" i="25" s="1"/>
  <c r="B181" i="28"/>
  <c r="F179" i="25" s="1"/>
  <c r="A181" i="28"/>
  <c r="E179" i="25" s="1"/>
  <c r="B180" i="28"/>
  <c r="F178" i="25" s="1"/>
  <c r="A180" i="28"/>
  <c r="E178" i="25" s="1"/>
  <c r="B179" i="28"/>
  <c r="F177" i="25" s="1"/>
  <c r="A179" i="28"/>
  <c r="E177" i="25" s="1"/>
  <c r="B178" i="28"/>
  <c r="F176" i="25" s="1"/>
  <c r="A178" i="28"/>
  <c r="E176" i="25" s="1"/>
  <c r="B177" i="28"/>
  <c r="F175" i="25" s="1"/>
  <c r="A177" i="28"/>
  <c r="E175" i="25" s="1"/>
  <c r="B176" i="28"/>
  <c r="F174" i="25" s="1"/>
  <c r="A176" i="28"/>
  <c r="E174" i="25" s="1"/>
  <c r="B175" i="28"/>
  <c r="F173" i="25" s="1"/>
  <c r="A175" i="28"/>
  <c r="E173" i="25" s="1"/>
  <c r="B174" i="28"/>
  <c r="F172" i="25" s="1"/>
  <c r="A174" i="28"/>
  <c r="E172" i="25" s="1"/>
  <c r="B173" i="28"/>
  <c r="F171" i="25" s="1"/>
  <c r="A173" i="28"/>
  <c r="E171" i="25" s="1"/>
  <c r="B172" i="28"/>
  <c r="F170" i="25" s="1"/>
  <c r="A172" i="28"/>
  <c r="E170" i="25" s="1"/>
  <c r="B171" i="28"/>
  <c r="F169" i="25" s="1"/>
  <c r="A171" i="28"/>
  <c r="E169" i="25" s="1"/>
  <c r="B170" i="28"/>
  <c r="F168" i="25" s="1"/>
  <c r="A170" i="28"/>
  <c r="E168" i="25" s="1"/>
  <c r="B169" i="28"/>
  <c r="F167" i="25" s="1"/>
  <c r="A169" i="28"/>
  <c r="E167" i="25" s="1"/>
  <c r="B168" i="28"/>
  <c r="F166" i="25" s="1"/>
  <c r="A168" i="28"/>
  <c r="E166" i="25" s="1"/>
  <c r="B167" i="28"/>
  <c r="F165" i="25" s="1"/>
  <c r="A167" i="28"/>
  <c r="E165" i="25" s="1"/>
  <c r="B166" i="28"/>
  <c r="F164" i="25" s="1"/>
  <c r="A166" i="28"/>
  <c r="E164" i="25" s="1"/>
  <c r="B165" i="28"/>
  <c r="F163" i="25" s="1"/>
  <c r="A165" i="28"/>
  <c r="E163" i="25" s="1"/>
  <c r="B164" i="28"/>
  <c r="F162" i="25" s="1"/>
  <c r="A164" i="28"/>
  <c r="E162" i="25" s="1"/>
  <c r="B163" i="28"/>
  <c r="F161" i="25" s="1"/>
  <c r="A163" i="28"/>
  <c r="E161" i="25" s="1"/>
  <c r="B162" i="28"/>
  <c r="F160" i="25" s="1"/>
  <c r="A162" i="28"/>
  <c r="E160" i="25" s="1"/>
  <c r="B161" i="28"/>
  <c r="F159" i="25" s="1"/>
  <c r="A161" i="28"/>
  <c r="E159" i="25" s="1"/>
  <c r="B160" i="28"/>
  <c r="F158" i="25" s="1"/>
  <c r="A160" i="28"/>
  <c r="E158" i="25" s="1"/>
  <c r="B159" i="28"/>
  <c r="F157" i="25" s="1"/>
  <c r="A159" i="28"/>
  <c r="E157" i="25" s="1"/>
  <c r="B158" i="28"/>
  <c r="F156" i="25" s="1"/>
  <c r="A158" i="28"/>
  <c r="E156" i="25" s="1"/>
  <c r="B157" i="28"/>
  <c r="F155" i="25" s="1"/>
  <c r="A157" i="28"/>
  <c r="E155" i="25" s="1"/>
  <c r="B156" i="28"/>
  <c r="F154" i="25" s="1"/>
  <c r="A156" i="28"/>
  <c r="E154" i="25" s="1"/>
  <c r="B155" i="28"/>
  <c r="F153" i="25" s="1"/>
  <c r="A155" i="28"/>
  <c r="E153" i="25" s="1"/>
  <c r="B154" i="28"/>
  <c r="F152" i="25" s="1"/>
  <c r="A154" i="28"/>
  <c r="E152" i="25" s="1"/>
  <c r="B153" i="28"/>
  <c r="F151" i="25" s="1"/>
  <c r="A153" i="28"/>
  <c r="E151" i="25" s="1"/>
  <c r="B152" i="28"/>
  <c r="F150" i="25" s="1"/>
  <c r="A152" i="28"/>
  <c r="E150" i="25" s="1"/>
  <c r="B151" i="28"/>
  <c r="F149" i="25" s="1"/>
  <c r="A151" i="28"/>
  <c r="E149" i="25" s="1"/>
  <c r="B150" i="28"/>
  <c r="F148" i="25" s="1"/>
  <c r="A150" i="28"/>
  <c r="E148" i="25" s="1"/>
  <c r="B149" i="28"/>
  <c r="F147" i="25" s="1"/>
  <c r="A149" i="28"/>
  <c r="E147" i="25" s="1"/>
  <c r="B148" i="28"/>
  <c r="F146" i="25" s="1"/>
  <c r="A148" i="28"/>
  <c r="E146" i="25" s="1"/>
  <c r="B147" i="28"/>
  <c r="F145" i="25" s="1"/>
  <c r="A147" i="28"/>
  <c r="E145" i="25" s="1"/>
  <c r="B146" i="28"/>
  <c r="F144" i="25" s="1"/>
  <c r="A146" i="28"/>
  <c r="E144" i="25" s="1"/>
  <c r="B145" i="28"/>
  <c r="F143" i="25" s="1"/>
  <c r="A145" i="28"/>
  <c r="E143" i="25" s="1"/>
  <c r="B144" i="28"/>
  <c r="F142" i="25" s="1"/>
  <c r="A144" i="28"/>
  <c r="E142" i="25" s="1"/>
  <c r="B143" i="28"/>
  <c r="F141" i="25" s="1"/>
  <c r="A143" i="28"/>
  <c r="E141" i="25" s="1"/>
  <c r="B142" i="28"/>
  <c r="F140" i="25" s="1"/>
  <c r="A142" i="28"/>
  <c r="E140" i="25" s="1"/>
  <c r="B141" i="28"/>
  <c r="F139" i="25" s="1"/>
  <c r="A141" i="28"/>
  <c r="E139" i="25" s="1"/>
  <c r="B140" i="28"/>
  <c r="F138" i="25" s="1"/>
  <c r="A140" i="28"/>
  <c r="E138" i="25" s="1"/>
  <c r="B139" i="28"/>
  <c r="F137" i="25" s="1"/>
  <c r="A139" i="28"/>
  <c r="E137" i="25" s="1"/>
  <c r="B138" i="28"/>
  <c r="F136" i="25" s="1"/>
  <c r="A138" i="28"/>
  <c r="E136" i="25" s="1"/>
  <c r="B137" i="28"/>
  <c r="F135" i="25" s="1"/>
  <c r="A137" i="28"/>
  <c r="E135" i="25" s="1"/>
  <c r="B136" i="28"/>
  <c r="F134" i="25" s="1"/>
  <c r="A136" i="28"/>
  <c r="E134" i="25" s="1"/>
  <c r="B135" i="28"/>
  <c r="F133" i="25" s="1"/>
  <c r="A135" i="28"/>
  <c r="E133" i="25" s="1"/>
  <c r="B134" i="28"/>
  <c r="F132" i="25" s="1"/>
  <c r="A134" i="28"/>
  <c r="E132" i="25" s="1"/>
  <c r="B133" i="28"/>
  <c r="F131" i="25" s="1"/>
  <c r="A133" i="28"/>
  <c r="E131" i="25" s="1"/>
  <c r="B132" i="28"/>
  <c r="F130" i="25" s="1"/>
  <c r="A132" i="28"/>
  <c r="E130" i="25" s="1"/>
  <c r="B131" i="28"/>
  <c r="F129" i="25" s="1"/>
  <c r="A131" i="28"/>
  <c r="E129" i="25" s="1"/>
  <c r="B130" i="28"/>
  <c r="F128" i="25" s="1"/>
  <c r="A130" i="28"/>
  <c r="E128" i="25" s="1"/>
  <c r="B129" i="28"/>
  <c r="F127" i="25" s="1"/>
  <c r="A129" i="28"/>
  <c r="E127" i="25" s="1"/>
  <c r="B128" i="28"/>
  <c r="F126" i="25" s="1"/>
  <c r="A128" i="28"/>
  <c r="E126" i="25" s="1"/>
  <c r="B127" i="28"/>
  <c r="F125" i="25" s="1"/>
  <c r="A127" i="28"/>
  <c r="E125" i="25" s="1"/>
  <c r="B126" i="28"/>
  <c r="F124" i="25" s="1"/>
  <c r="A126" i="28"/>
  <c r="E124" i="25" s="1"/>
  <c r="B125" i="28"/>
  <c r="F123" i="25" s="1"/>
  <c r="A125" i="28"/>
  <c r="E123" i="25" s="1"/>
  <c r="B124" i="28"/>
  <c r="F122" i="25" s="1"/>
  <c r="A124" i="28"/>
  <c r="E122" i="25" s="1"/>
  <c r="B123" i="28"/>
  <c r="F121" i="25" s="1"/>
  <c r="A123" i="28"/>
  <c r="E121" i="25" s="1"/>
  <c r="B122" i="28"/>
  <c r="F120" i="25" s="1"/>
  <c r="A122" i="28"/>
  <c r="E120" i="25" s="1"/>
  <c r="B121" i="28"/>
  <c r="F119" i="25" s="1"/>
  <c r="A121" i="28"/>
  <c r="E119" i="25" s="1"/>
  <c r="B120" i="28"/>
  <c r="F118" i="25" s="1"/>
  <c r="A120" i="28"/>
  <c r="E118" i="25" s="1"/>
  <c r="B119" i="28"/>
  <c r="F117" i="25" s="1"/>
  <c r="A119" i="28"/>
  <c r="E117" i="25" s="1"/>
  <c r="B118" i="28"/>
  <c r="F116" i="25" s="1"/>
  <c r="A118" i="28"/>
  <c r="E116" i="25" s="1"/>
  <c r="B117" i="28"/>
  <c r="F115" i="25" s="1"/>
  <c r="A117" i="28"/>
  <c r="E115" i="25" s="1"/>
  <c r="B116" i="28"/>
  <c r="F114" i="25" s="1"/>
  <c r="A116" i="28"/>
  <c r="E114" i="25" s="1"/>
  <c r="B115" i="28"/>
  <c r="F113" i="25" s="1"/>
  <c r="A115" i="28"/>
  <c r="E113" i="25" s="1"/>
  <c r="B114" i="28"/>
  <c r="F112" i="25" s="1"/>
  <c r="A114" i="28"/>
  <c r="E112" i="25" s="1"/>
  <c r="B113" i="28"/>
  <c r="F111" i="25" s="1"/>
  <c r="A113" i="28"/>
  <c r="E111" i="25" s="1"/>
  <c r="B112" i="28"/>
  <c r="F110" i="25" s="1"/>
  <c r="A112" i="28"/>
  <c r="E110" i="25" s="1"/>
  <c r="B111" i="28"/>
  <c r="F109" i="25" s="1"/>
  <c r="A111" i="28"/>
  <c r="E109" i="25" s="1"/>
  <c r="B110" i="28"/>
  <c r="F108" i="25" s="1"/>
  <c r="A110" i="28"/>
  <c r="E108" i="25" s="1"/>
  <c r="B109" i="28"/>
  <c r="F107" i="25" s="1"/>
  <c r="A109" i="28"/>
  <c r="E107" i="25" s="1"/>
  <c r="B108" i="28"/>
  <c r="F106" i="25" s="1"/>
  <c r="A108" i="28"/>
  <c r="E106" i="25" s="1"/>
  <c r="B107" i="28"/>
  <c r="F105" i="25" s="1"/>
  <c r="A107" i="28"/>
  <c r="E105" i="25" s="1"/>
  <c r="B106" i="28"/>
  <c r="F104" i="25" s="1"/>
  <c r="A106" i="28"/>
  <c r="E104" i="25" s="1"/>
  <c r="B105" i="28"/>
  <c r="F103" i="25" s="1"/>
  <c r="A105" i="28"/>
  <c r="E103" i="25" s="1"/>
  <c r="B104" i="28"/>
  <c r="F102" i="25" s="1"/>
  <c r="A104" i="28"/>
  <c r="E102" i="25" s="1"/>
  <c r="B103" i="28"/>
  <c r="F101" i="25" s="1"/>
  <c r="A103" i="28"/>
  <c r="E101" i="25" s="1"/>
  <c r="B102" i="28"/>
  <c r="F100" i="25" s="1"/>
  <c r="A102" i="28"/>
  <c r="E100" i="25" s="1"/>
  <c r="B101" i="28"/>
  <c r="F99" i="25" s="1"/>
  <c r="A101" i="28"/>
  <c r="E99" i="25" s="1"/>
  <c r="B100" i="28"/>
  <c r="F98" i="25" s="1"/>
  <c r="A100" i="28"/>
  <c r="E98" i="25" s="1"/>
  <c r="B99" i="28"/>
  <c r="F97" i="25" s="1"/>
  <c r="A99" i="28"/>
  <c r="E97" i="25" s="1"/>
  <c r="B98" i="28"/>
  <c r="F96" i="25" s="1"/>
  <c r="A98" i="28"/>
  <c r="E96" i="25" s="1"/>
  <c r="B97" i="28"/>
  <c r="F95" i="25" s="1"/>
  <c r="A97" i="28"/>
  <c r="E95" i="25" s="1"/>
  <c r="B96" i="28"/>
  <c r="F94" i="25" s="1"/>
  <c r="A96" i="28"/>
  <c r="E94" i="25" s="1"/>
  <c r="B95" i="28"/>
  <c r="F93" i="25" s="1"/>
  <c r="A95" i="28"/>
  <c r="E93" i="25" s="1"/>
  <c r="B94" i="28"/>
  <c r="F92" i="25" s="1"/>
  <c r="A94" i="28"/>
  <c r="E92" i="25" s="1"/>
  <c r="B93" i="28"/>
  <c r="F91" i="25" s="1"/>
  <c r="A93" i="28"/>
  <c r="E91" i="25" s="1"/>
  <c r="B92" i="28"/>
  <c r="F90" i="25" s="1"/>
  <c r="A92" i="28"/>
  <c r="E90" i="25" s="1"/>
  <c r="B91" i="28"/>
  <c r="F89" i="25" s="1"/>
  <c r="A91" i="28"/>
  <c r="E89" i="25" s="1"/>
  <c r="B90" i="28"/>
  <c r="F88" i="25" s="1"/>
  <c r="A90" i="28"/>
  <c r="E88" i="25" s="1"/>
  <c r="B89" i="28"/>
  <c r="F87" i="25" s="1"/>
  <c r="A89" i="28"/>
  <c r="E87" i="25" s="1"/>
  <c r="B88" i="28"/>
  <c r="F86" i="25" s="1"/>
  <c r="A88" i="28"/>
  <c r="E86" i="25" s="1"/>
  <c r="B87" i="28"/>
  <c r="F85" i="25" s="1"/>
  <c r="A87" i="28"/>
  <c r="E85" i="25" s="1"/>
  <c r="B86" i="28"/>
  <c r="F84" i="25" s="1"/>
  <c r="A86" i="28"/>
  <c r="E84" i="25" s="1"/>
  <c r="B85" i="28"/>
  <c r="F83" i="25" s="1"/>
  <c r="A85" i="28"/>
  <c r="E83" i="25" s="1"/>
  <c r="B84" i="28"/>
  <c r="F82" i="25" s="1"/>
  <c r="A84" i="28"/>
  <c r="E82" i="25" s="1"/>
  <c r="B83" i="28"/>
  <c r="F81" i="25" s="1"/>
  <c r="A83" i="28"/>
  <c r="E81" i="25" s="1"/>
  <c r="B82" i="28"/>
  <c r="F80" i="25" s="1"/>
  <c r="A82" i="28"/>
  <c r="E80" i="25" s="1"/>
  <c r="B81" i="28"/>
  <c r="F79" i="25" s="1"/>
  <c r="A81" i="28"/>
  <c r="E79" i="25" s="1"/>
  <c r="B80" i="28"/>
  <c r="F78" i="25" s="1"/>
  <c r="A80" i="28"/>
  <c r="E78" i="25" s="1"/>
  <c r="B79" i="28"/>
  <c r="F77" i="25" s="1"/>
  <c r="A79" i="28"/>
  <c r="E77" i="25" s="1"/>
  <c r="B78" i="28"/>
  <c r="F76" i="25" s="1"/>
  <c r="A78" i="28"/>
  <c r="E76" i="25" s="1"/>
  <c r="B77" i="28"/>
  <c r="F75" i="25" s="1"/>
  <c r="A77" i="28"/>
  <c r="E75" i="25" s="1"/>
  <c r="B76" i="28"/>
  <c r="F74" i="25" s="1"/>
  <c r="A76" i="28"/>
  <c r="E74" i="25" s="1"/>
  <c r="B75" i="28"/>
  <c r="F73" i="25" s="1"/>
  <c r="A75" i="28"/>
  <c r="E73" i="25" s="1"/>
  <c r="B74" i="28"/>
  <c r="F72" i="25" s="1"/>
  <c r="A74" i="28"/>
  <c r="E72" i="25" s="1"/>
  <c r="B73" i="28"/>
  <c r="F71" i="25" s="1"/>
  <c r="A73" i="28"/>
  <c r="E71" i="25" s="1"/>
  <c r="B72" i="28"/>
  <c r="F70" i="25" s="1"/>
  <c r="A72" i="28"/>
  <c r="E70" i="25" s="1"/>
  <c r="B71" i="28"/>
  <c r="F69" i="25" s="1"/>
  <c r="A71" i="28"/>
  <c r="E69" i="25" s="1"/>
  <c r="B70" i="28"/>
  <c r="F68" i="25" s="1"/>
  <c r="A70" i="28"/>
  <c r="E68" i="25" s="1"/>
  <c r="B69" i="28"/>
  <c r="F67" i="25" s="1"/>
  <c r="A69" i="28"/>
  <c r="E67" i="25" s="1"/>
  <c r="B68" i="28"/>
  <c r="F66" i="25" s="1"/>
  <c r="A68" i="28"/>
  <c r="E66" i="25" s="1"/>
  <c r="B67" i="28"/>
  <c r="F65" i="25" s="1"/>
  <c r="A67" i="28"/>
  <c r="E65" i="25" s="1"/>
  <c r="B66" i="28"/>
  <c r="F64" i="25" s="1"/>
  <c r="A66" i="28"/>
  <c r="E64" i="25" s="1"/>
  <c r="B65" i="28"/>
  <c r="F63" i="25" s="1"/>
  <c r="A65" i="28"/>
  <c r="E63" i="25" s="1"/>
  <c r="B64" i="28"/>
  <c r="F62" i="25" s="1"/>
  <c r="A64" i="28"/>
  <c r="E62" i="25" s="1"/>
  <c r="B63" i="28"/>
  <c r="F61" i="25" s="1"/>
  <c r="A63" i="28"/>
  <c r="E61" i="25" s="1"/>
  <c r="B62" i="28"/>
  <c r="F60" i="25" s="1"/>
  <c r="A62" i="28"/>
  <c r="E60" i="25" s="1"/>
  <c r="B61" i="28"/>
  <c r="F59" i="25" s="1"/>
  <c r="A61" i="28"/>
  <c r="E59" i="25" s="1"/>
  <c r="B60" i="28"/>
  <c r="F58" i="25" s="1"/>
  <c r="A60" i="28"/>
  <c r="E58" i="25" s="1"/>
  <c r="B59" i="28"/>
  <c r="F57" i="25" s="1"/>
  <c r="A59" i="28"/>
  <c r="E57" i="25" s="1"/>
  <c r="B58" i="28"/>
  <c r="F56" i="25" s="1"/>
  <c r="A58" i="28"/>
  <c r="E56" i="25" s="1"/>
  <c r="B57" i="28"/>
  <c r="F55" i="25" s="1"/>
  <c r="A57" i="28"/>
  <c r="E55" i="25" s="1"/>
  <c r="B56" i="28"/>
  <c r="F54" i="25" s="1"/>
  <c r="A56" i="28"/>
  <c r="E54" i="25" s="1"/>
  <c r="B55" i="28"/>
  <c r="F53" i="25" s="1"/>
  <c r="A55" i="28"/>
  <c r="E53" i="25" s="1"/>
  <c r="B54" i="28"/>
  <c r="F52" i="25" s="1"/>
  <c r="A54" i="28"/>
  <c r="E52" i="25" s="1"/>
  <c r="B53" i="28"/>
  <c r="F51" i="25" s="1"/>
  <c r="A53" i="28"/>
  <c r="E51" i="25" s="1"/>
  <c r="B52" i="28"/>
  <c r="F50" i="25" s="1"/>
  <c r="A52" i="28"/>
  <c r="E50" i="25" s="1"/>
  <c r="B51" i="28"/>
  <c r="F49" i="25" s="1"/>
  <c r="A51" i="28"/>
  <c r="E49" i="25" s="1"/>
  <c r="B50" i="28"/>
  <c r="F48" i="25" s="1"/>
  <c r="A50" i="28"/>
  <c r="E48" i="25" s="1"/>
  <c r="B49" i="28"/>
  <c r="F47" i="25" s="1"/>
  <c r="A49" i="28"/>
  <c r="E47" i="25" s="1"/>
  <c r="B48" i="28"/>
  <c r="F46" i="25" s="1"/>
  <c r="A48" i="28"/>
  <c r="E46" i="25" s="1"/>
  <c r="B47" i="28"/>
  <c r="F45" i="25" s="1"/>
  <c r="A47" i="28"/>
  <c r="E45" i="25" s="1"/>
  <c r="B46" i="28"/>
  <c r="F44" i="25" s="1"/>
  <c r="A46" i="28"/>
  <c r="E44" i="25" s="1"/>
  <c r="B45" i="28"/>
  <c r="F43" i="25" s="1"/>
  <c r="A45" i="28"/>
  <c r="E43" i="25" s="1"/>
  <c r="B44" i="28"/>
  <c r="F42" i="25" s="1"/>
  <c r="A44" i="28"/>
  <c r="E42" i="25" s="1"/>
  <c r="B43" i="28"/>
  <c r="F41" i="25" s="1"/>
  <c r="A43" i="28"/>
  <c r="E41" i="25" s="1"/>
  <c r="B42" i="28"/>
  <c r="F40" i="25" s="1"/>
  <c r="A42" i="28"/>
  <c r="E40" i="25" s="1"/>
  <c r="B41" i="28"/>
  <c r="F39" i="25" s="1"/>
  <c r="A41" i="28"/>
  <c r="E39" i="25" s="1"/>
  <c r="B40" i="28"/>
  <c r="F38" i="25" s="1"/>
  <c r="A40" i="28"/>
  <c r="E38" i="25" s="1"/>
  <c r="B39" i="28"/>
  <c r="F37" i="25" s="1"/>
  <c r="A39" i="28"/>
  <c r="E37" i="25" s="1"/>
  <c r="B38" i="28"/>
  <c r="F36" i="25" s="1"/>
  <c r="A38" i="28"/>
  <c r="E36" i="25" s="1"/>
  <c r="B37" i="28"/>
  <c r="F35" i="25" s="1"/>
  <c r="A37" i="28"/>
  <c r="E35" i="25" s="1"/>
  <c r="B36" i="28"/>
  <c r="F34" i="25" s="1"/>
  <c r="A36" i="28"/>
  <c r="E34" i="25" s="1"/>
  <c r="B35" i="28"/>
  <c r="F33" i="25" s="1"/>
  <c r="A35" i="28"/>
  <c r="E33" i="25" s="1"/>
  <c r="B34" i="28"/>
  <c r="F32" i="25" s="1"/>
  <c r="A34" i="28"/>
  <c r="E32" i="25" s="1"/>
  <c r="B33" i="28"/>
  <c r="F31" i="25" s="1"/>
  <c r="A33" i="28"/>
  <c r="E31" i="25" s="1"/>
  <c r="B32" i="28"/>
  <c r="F30" i="25" s="1"/>
  <c r="A32" i="28"/>
  <c r="E30" i="25" s="1"/>
  <c r="B31" i="28"/>
  <c r="F29" i="25" s="1"/>
  <c r="A31" i="28"/>
  <c r="E29" i="25" s="1"/>
  <c r="B30" i="28"/>
  <c r="F28" i="25" s="1"/>
  <c r="A30" i="28"/>
  <c r="E28" i="25" s="1"/>
  <c r="B29" i="28"/>
  <c r="F27" i="25" s="1"/>
  <c r="A29" i="28"/>
  <c r="E27" i="25" s="1"/>
  <c r="B28" i="28"/>
  <c r="F26" i="25" s="1"/>
  <c r="A28" i="28"/>
  <c r="E26" i="25" s="1"/>
  <c r="B27" i="28"/>
  <c r="F25" i="25" s="1"/>
  <c r="A27" i="28"/>
  <c r="E25" i="25" s="1"/>
  <c r="B26" i="28"/>
  <c r="F24" i="25" s="1"/>
  <c r="A26" i="28"/>
  <c r="E24" i="25" s="1"/>
  <c r="B25" i="28"/>
  <c r="F23" i="25" s="1"/>
  <c r="A25" i="28"/>
  <c r="E23" i="25" s="1"/>
  <c r="B24" i="28"/>
  <c r="F22" i="25" s="1"/>
  <c r="A24" i="28"/>
  <c r="E22" i="25" s="1"/>
  <c r="B23" i="28"/>
  <c r="F21" i="25" s="1"/>
  <c r="A23" i="28"/>
  <c r="E21" i="25" s="1"/>
  <c r="B22" i="28"/>
  <c r="F20" i="25" s="1"/>
  <c r="A22" i="28"/>
  <c r="E20" i="25" s="1"/>
  <c r="B21" i="28"/>
  <c r="F19" i="25" s="1"/>
  <c r="A21" i="28"/>
  <c r="E19" i="25" s="1"/>
  <c r="B20" i="28"/>
  <c r="F18" i="25" s="1"/>
  <c r="A20" i="28"/>
  <c r="E18" i="25" s="1"/>
  <c r="B19" i="28"/>
  <c r="F17" i="25" s="1"/>
  <c r="A19" i="28"/>
  <c r="E17" i="25" s="1"/>
  <c r="B18" i="28"/>
  <c r="F16" i="25" s="1"/>
  <c r="A18" i="28"/>
  <c r="E16" i="25" s="1"/>
  <c r="B17" i="28"/>
  <c r="F15" i="25" s="1"/>
  <c r="A17" i="28"/>
  <c r="E15" i="25" s="1"/>
  <c r="B16" i="28"/>
  <c r="F14" i="25" s="1"/>
  <c r="A16" i="28"/>
  <c r="E14" i="25" s="1"/>
  <c r="B15" i="28"/>
  <c r="F13" i="25" s="1"/>
  <c r="A15" i="28"/>
  <c r="E13" i="25" s="1"/>
  <c r="B14" i="28"/>
  <c r="F12" i="25" s="1"/>
  <c r="A14" i="28"/>
  <c r="E12" i="25" s="1"/>
  <c r="B13" i="28"/>
  <c r="F11" i="25" s="1"/>
  <c r="A13" i="28"/>
  <c r="E11" i="25" s="1"/>
  <c r="B12" i="28"/>
  <c r="F10" i="25" s="1"/>
  <c r="A12" i="28"/>
  <c r="E10" i="25" s="1"/>
  <c r="B11" i="28"/>
  <c r="F9" i="25" s="1"/>
  <c r="A11" i="28"/>
  <c r="E9" i="25" s="1"/>
  <c r="B10" i="28"/>
  <c r="F8" i="25" s="1"/>
  <c r="A10" i="28"/>
  <c r="E8" i="25" s="1"/>
  <c r="B9" i="28"/>
  <c r="F7" i="25" s="1"/>
  <c r="A9" i="28"/>
  <c r="E7" i="25" s="1"/>
  <c r="B8" i="28"/>
  <c r="F6" i="25" s="1"/>
  <c r="A8" i="28"/>
  <c r="E6" i="25" s="1"/>
  <c r="B7" i="28"/>
  <c r="F5" i="25" s="1"/>
  <c r="A7" i="28"/>
  <c r="E5" i="25" s="1"/>
  <c r="B6" i="28"/>
  <c r="F4" i="25" s="1"/>
  <c r="A6" i="28"/>
  <c r="E4" i="25" s="1"/>
  <c r="B5" i="28"/>
  <c r="F3" i="25" s="1"/>
  <c r="A5" i="28"/>
  <c r="E3" i="25" s="1"/>
  <c r="B373" i="27"/>
  <c r="A373" i="27"/>
  <c r="B372" i="27"/>
  <c r="A372" i="27"/>
  <c r="B371" i="27"/>
  <c r="A371" i="27"/>
  <c r="B370" i="27"/>
  <c r="A370" i="27"/>
  <c r="B369" i="27"/>
  <c r="A369" i="27"/>
  <c r="B368" i="27"/>
  <c r="A368" i="27"/>
  <c r="B367" i="27"/>
  <c r="A367" i="27"/>
  <c r="B366" i="27"/>
  <c r="A366" i="27"/>
  <c r="B365" i="27"/>
  <c r="A365" i="27"/>
  <c r="B364" i="27"/>
  <c r="A364" i="27"/>
  <c r="B363" i="27"/>
  <c r="A363" i="27"/>
  <c r="B362" i="27"/>
  <c r="A362" i="27"/>
  <c r="B361" i="27"/>
  <c r="A361" i="27"/>
  <c r="B360" i="27"/>
  <c r="A360" i="27"/>
  <c r="B359" i="27"/>
  <c r="A359" i="27"/>
  <c r="B358" i="27"/>
  <c r="A358" i="27"/>
  <c r="B357" i="27"/>
  <c r="A357" i="27"/>
  <c r="B356" i="27"/>
  <c r="A356" i="27"/>
  <c r="B355" i="27"/>
  <c r="A355" i="27"/>
  <c r="B354" i="27"/>
  <c r="A354" i="27"/>
  <c r="B353" i="27"/>
  <c r="A353" i="27"/>
  <c r="B352" i="27"/>
  <c r="A352" i="27"/>
  <c r="B351" i="27"/>
  <c r="A351" i="27"/>
  <c r="B350" i="27"/>
  <c r="A350" i="27"/>
  <c r="B349" i="27"/>
  <c r="A349" i="27"/>
  <c r="B348" i="27"/>
  <c r="A348" i="27"/>
  <c r="B347" i="27"/>
  <c r="A347" i="27"/>
  <c r="B346" i="27"/>
  <c r="A346" i="27"/>
  <c r="B345" i="27"/>
  <c r="A345" i="27"/>
  <c r="B344" i="27"/>
  <c r="A344" i="27"/>
  <c r="B343" i="27"/>
  <c r="A343" i="27"/>
  <c r="B342" i="27"/>
  <c r="A342" i="27"/>
  <c r="B341" i="27"/>
  <c r="A341" i="27"/>
  <c r="B340" i="27"/>
  <c r="A340" i="27"/>
  <c r="B339" i="27"/>
  <c r="A339" i="27"/>
  <c r="B338" i="27"/>
  <c r="A338" i="27"/>
  <c r="B337" i="27"/>
  <c r="A337" i="27"/>
  <c r="B336" i="27"/>
  <c r="A336" i="27"/>
  <c r="B335" i="27"/>
  <c r="A335" i="27"/>
  <c r="B334" i="27"/>
  <c r="A334" i="27"/>
  <c r="B333" i="27"/>
  <c r="A333" i="27"/>
  <c r="B332" i="27"/>
  <c r="A332" i="27"/>
  <c r="B331" i="27"/>
  <c r="A331" i="27"/>
  <c r="B330" i="27"/>
  <c r="A330" i="27"/>
  <c r="B329" i="27"/>
  <c r="A329" i="27"/>
  <c r="B328" i="27"/>
  <c r="A328" i="27"/>
  <c r="B327" i="27"/>
  <c r="A327" i="27"/>
  <c r="B326" i="27"/>
  <c r="A326" i="27"/>
  <c r="B325" i="27"/>
  <c r="A325" i="27"/>
  <c r="B324" i="27"/>
  <c r="A324" i="27"/>
  <c r="B323" i="27"/>
  <c r="A323" i="27"/>
  <c r="B322" i="27"/>
  <c r="A322" i="27"/>
  <c r="B321" i="27"/>
  <c r="A321" i="27"/>
  <c r="B320" i="27"/>
  <c r="A320" i="27"/>
  <c r="B319" i="27"/>
  <c r="A319" i="27"/>
  <c r="B318" i="27"/>
  <c r="A318" i="27"/>
  <c r="B317" i="27"/>
  <c r="A317" i="27"/>
  <c r="B316" i="27"/>
  <c r="A316" i="27"/>
  <c r="B315" i="27"/>
  <c r="A315" i="27"/>
  <c r="B314" i="27"/>
  <c r="A314" i="27"/>
  <c r="B313" i="27"/>
  <c r="A313" i="27"/>
  <c r="B312" i="27"/>
  <c r="A312" i="27"/>
  <c r="B311" i="27"/>
  <c r="A311" i="27"/>
  <c r="B310" i="27"/>
  <c r="A310" i="27"/>
  <c r="B309" i="27"/>
  <c r="A309" i="27"/>
  <c r="B308" i="27"/>
  <c r="A308" i="27"/>
  <c r="B307" i="27"/>
  <c r="A307" i="27"/>
  <c r="B306" i="27"/>
  <c r="A306" i="27"/>
  <c r="B305" i="27"/>
  <c r="A305" i="27"/>
  <c r="B304" i="27"/>
  <c r="A304" i="27"/>
  <c r="B303" i="27"/>
  <c r="A303" i="27"/>
  <c r="B302" i="27"/>
  <c r="A302" i="27"/>
  <c r="B301" i="27"/>
  <c r="A301" i="27"/>
  <c r="B300" i="27"/>
  <c r="A300" i="27"/>
  <c r="B299" i="27"/>
  <c r="A299" i="27"/>
  <c r="B298" i="27"/>
  <c r="A298" i="27"/>
  <c r="B297" i="27"/>
  <c r="A297" i="27"/>
  <c r="B296" i="27"/>
  <c r="A296" i="27"/>
  <c r="B295" i="27"/>
  <c r="A295" i="27"/>
  <c r="B294" i="27"/>
  <c r="A294" i="27"/>
  <c r="B293" i="27"/>
  <c r="A293" i="27"/>
  <c r="B292" i="27"/>
  <c r="A292" i="27"/>
  <c r="B291" i="27"/>
  <c r="A291" i="27"/>
  <c r="B290" i="27"/>
  <c r="A290" i="27"/>
  <c r="B289" i="27"/>
  <c r="A289" i="27"/>
  <c r="B288" i="27"/>
  <c r="A288" i="27"/>
  <c r="B287" i="27"/>
  <c r="A287" i="27"/>
  <c r="B286" i="27"/>
  <c r="A286" i="27"/>
  <c r="B285" i="27"/>
  <c r="A285" i="27"/>
  <c r="B284" i="27"/>
  <c r="A284" i="27"/>
  <c r="B283" i="27"/>
  <c r="A283" i="27"/>
  <c r="B282" i="27"/>
  <c r="A282" i="27"/>
  <c r="B281" i="27"/>
  <c r="A281" i="27"/>
  <c r="B280" i="27"/>
  <c r="A280" i="27"/>
  <c r="B279" i="27"/>
  <c r="A279" i="27"/>
  <c r="B278" i="27"/>
  <c r="A278" i="27"/>
  <c r="B277" i="27"/>
  <c r="A277" i="27"/>
  <c r="B276" i="27"/>
  <c r="A276" i="27"/>
  <c r="B275" i="27"/>
  <c r="A275" i="27"/>
  <c r="B274" i="27"/>
  <c r="A274" i="27"/>
  <c r="B273" i="27"/>
  <c r="A273" i="27"/>
  <c r="B272" i="27"/>
  <c r="A272" i="27"/>
  <c r="B271" i="27"/>
  <c r="A271" i="27"/>
  <c r="B270" i="27"/>
  <c r="A270" i="27"/>
  <c r="B269" i="27"/>
  <c r="A269" i="27"/>
  <c r="B268" i="27"/>
  <c r="A268" i="27"/>
  <c r="B267" i="27"/>
  <c r="A267" i="27"/>
  <c r="B266" i="27"/>
  <c r="A266" i="27"/>
  <c r="B265" i="27"/>
  <c r="A265" i="27"/>
  <c r="B264" i="27"/>
  <c r="A264" i="27"/>
  <c r="B263" i="27"/>
  <c r="A263" i="27"/>
  <c r="B262" i="27"/>
  <c r="A262" i="27"/>
  <c r="B261" i="27"/>
  <c r="A261" i="27"/>
  <c r="B260" i="27"/>
  <c r="A260" i="27"/>
  <c r="B259" i="27"/>
  <c r="A259" i="27"/>
  <c r="B258" i="27"/>
  <c r="A258" i="27"/>
  <c r="B257" i="27"/>
  <c r="A257" i="27"/>
  <c r="B256" i="27"/>
  <c r="A256" i="27"/>
  <c r="B255" i="27"/>
  <c r="A255" i="27"/>
  <c r="B254" i="27"/>
  <c r="A254" i="27"/>
  <c r="B253" i="27"/>
  <c r="A253" i="27"/>
  <c r="B252" i="27"/>
  <c r="A252" i="27"/>
  <c r="B251" i="27"/>
  <c r="A251" i="27"/>
  <c r="B250" i="27"/>
  <c r="A250" i="27"/>
  <c r="B249" i="27"/>
  <c r="A249" i="27"/>
  <c r="B248" i="27"/>
  <c r="A248" i="27"/>
  <c r="B247" i="27"/>
  <c r="A247" i="27"/>
  <c r="B246" i="27"/>
  <c r="A246" i="27"/>
  <c r="B245" i="27"/>
  <c r="A245" i="27"/>
  <c r="B244" i="27"/>
  <c r="A244" i="27"/>
  <c r="B243" i="27"/>
  <c r="A243" i="27"/>
  <c r="B242" i="27"/>
  <c r="A242" i="27"/>
  <c r="B241" i="27"/>
  <c r="A241" i="27"/>
  <c r="B240" i="27"/>
  <c r="A240" i="27"/>
  <c r="B239" i="27"/>
  <c r="A239" i="27"/>
  <c r="B238" i="27"/>
  <c r="A238" i="27"/>
  <c r="B237" i="27"/>
  <c r="A237" i="27"/>
  <c r="B236" i="27"/>
  <c r="A236" i="27"/>
  <c r="B235" i="27"/>
  <c r="A235" i="27"/>
  <c r="B234" i="27"/>
  <c r="A234" i="27"/>
  <c r="B233" i="27"/>
  <c r="A233" i="27"/>
  <c r="B232" i="27"/>
  <c r="A232" i="27"/>
  <c r="B231" i="27"/>
  <c r="A231" i="27"/>
  <c r="B230" i="27"/>
  <c r="A230" i="27"/>
  <c r="B229" i="27"/>
  <c r="A229" i="27"/>
  <c r="B228" i="27"/>
  <c r="A228" i="27"/>
  <c r="B227" i="27"/>
  <c r="A227" i="27"/>
  <c r="B226" i="27"/>
  <c r="A226" i="27"/>
  <c r="B225" i="27"/>
  <c r="A225" i="27"/>
  <c r="B224" i="27"/>
  <c r="A224" i="27"/>
  <c r="B223" i="27"/>
  <c r="A223" i="27"/>
  <c r="B222" i="27"/>
  <c r="A222" i="27"/>
  <c r="B221" i="27"/>
  <c r="A221" i="27"/>
  <c r="B220" i="27"/>
  <c r="A220" i="27"/>
  <c r="B219" i="27"/>
  <c r="A219" i="27"/>
  <c r="B218" i="27"/>
  <c r="A218" i="27"/>
  <c r="B217" i="27"/>
  <c r="A217" i="27"/>
  <c r="B216" i="27"/>
  <c r="A216" i="27"/>
  <c r="B215" i="27"/>
  <c r="A215" i="27"/>
  <c r="B214" i="27"/>
  <c r="A214" i="27"/>
  <c r="B213" i="27"/>
  <c r="A213" i="27"/>
  <c r="B212" i="27"/>
  <c r="A212" i="27"/>
  <c r="B211" i="27"/>
  <c r="A211" i="27"/>
  <c r="B210" i="27"/>
  <c r="A210" i="27"/>
  <c r="B209" i="27"/>
  <c r="A209" i="27"/>
  <c r="B208" i="27"/>
  <c r="A208" i="27"/>
  <c r="B207" i="27"/>
  <c r="A207" i="27"/>
  <c r="B206" i="27"/>
  <c r="A206" i="27"/>
  <c r="B205" i="27"/>
  <c r="A205" i="27"/>
  <c r="B204" i="27"/>
  <c r="A204" i="27"/>
  <c r="B203" i="27"/>
  <c r="A203" i="27"/>
  <c r="B202" i="27"/>
  <c r="A202" i="27"/>
  <c r="B201" i="27"/>
  <c r="A201" i="27"/>
  <c r="B200" i="27"/>
  <c r="A200" i="27"/>
  <c r="B199" i="27"/>
  <c r="A199" i="27"/>
  <c r="B198" i="27"/>
  <c r="A198" i="27"/>
  <c r="B197" i="27"/>
  <c r="A197" i="27"/>
  <c r="B196" i="27"/>
  <c r="A196" i="27"/>
  <c r="B195" i="27"/>
  <c r="A195" i="27"/>
  <c r="B194" i="27"/>
  <c r="A194" i="27"/>
  <c r="B193" i="27"/>
  <c r="A193" i="27"/>
  <c r="B192" i="27"/>
  <c r="A192" i="27"/>
  <c r="B191" i="27"/>
  <c r="A191" i="27"/>
  <c r="B190" i="27"/>
  <c r="A190" i="27"/>
  <c r="B189" i="27"/>
  <c r="A189" i="27"/>
  <c r="B188" i="27"/>
  <c r="A188" i="27"/>
  <c r="B187" i="27"/>
  <c r="A187" i="27"/>
  <c r="B186" i="27"/>
  <c r="A186" i="27"/>
  <c r="B185" i="27"/>
  <c r="A185" i="27"/>
  <c r="B184" i="27"/>
  <c r="A184" i="27"/>
  <c r="B183" i="27"/>
  <c r="A183" i="27"/>
  <c r="B182" i="27"/>
  <c r="A182" i="27"/>
  <c r="B181" i="27"/>
  <c r="A181" i="27"/>
  <c r="B180" i="27"/>
  <c r="A180" i="27"/>
  <c r="B179" i="27"/>
  <c r="A179" i="27"/>
  <c r="B178" i="27"/>
  <c r="A178" i="27"/>
  <c r="B177" i="27"/>
  <c r="A177" i="27"/>
  <c r="B176" i="27"/>
  <c r="A176" i="27"/>
  <c r="B175" i="27"/>
  <c r="A175" i="27"/>
  <c r="B174" i="27"/>
  <c r="A174" i="27"/>
  <c r="B173" i="27"/>
  <c r="A173" i="27"/>
  <c r="B172" i="27"/>
  <c r="A172" i="27"/>
  <c r="B171" i="27"/>
  <c r="A171" i="27"/>
  <c r="B170" i="27"/>
  <c r="A170" i="27"/>
  <c r="B169" i="27"/>
  <c r="A169" i="27"/>
  <c r="B168" i="27"/>
  <c r="A168" i="27"/>
  <c r="B167" i="27"/>
  <c r="A167" i="27"/>
  <c r="B166" i="27"/>
  <c r="A166" i="27"/>
  <c r="B165" i="27"/>
  <c r="A165" i="27"/>
  <c r="B164" i="27"/>
  <c r="A164" i="27"/>
  <c r="B163" i="27"/>
  <c r="A163" i="27"/>
  <c r="B162" i="27"/>
  <c r="A162" i="27"/>
  <c r="B161" i="27"/>
  <c r="A161" i="27"/>
  <c r="B160" i="27"/>
  <c r="A160" i="27"/>
  <c r="B159" i="27"/>
  <c r="A159" i="27"/>
  <c r="B158" i="27"/>
  <c r="A158" i="27"/>
  <c r="B157" i="27"/>
  <c r="A157" i="27"/>
  <c r="B156" i="27"/>
  <c r="A156" i="27"/>
  <c r="B155" i="27"/>
  <c r="A155" i="27"/>
  <c r="B154" i="27"/>
  <c r="A154" i="27"/>
  <c r="B153" i="27"/>
  <c r="A153" i="27"/>
  <c r="B152" i="27"/>
  <c r="A152" i="27"/>
  <c r="B151" i="27"/>
  <c r="A151" i="27"/>
  <c r="B150" i="27"/>
  <c r="A150" i="27"/>
  <c r="B149" i="27"/>
  <c r="A149" i="27"/>
  <c r="B148" i="27"/>
  <c r="A148" i="27"/>
  <c r="B147" i="27"/>
  <c r="A147" i="27"/>
  <c r="B146" i="27"/>
  <c r="A146" i="27"/>
  <c r="B145" i="27"/>
  <c r="A145" i="27"/>
  <c r="B144" i="27"/>
  <c r="A144" i="27"/>
  <c r="B143" i="27"/>
  <c r="A143" i="27"/>
  <c r="B142" i="27"/>
  <c r="A142" i="27"/>
  <c r="B141" i="27"/>
  <c r="A141" i="27"/>
  <c r="B140" i="27"/>
  <c r="A140" i="27"/>
  <c r="B139" i="27"/>
  <c r="A139" i="27"/>
  <c r="B138" i="27"/>
  <c r="A138" i="27"/>
  <c r="B137" i="27"/>
  <c r="A137" i="27"/>
  <c r="B136" i="27"/>
  <c r="A136" i="27"/>
  <c r="B135" i="27"/>
  <c r="A135" i="27"/>
  <c r="B134" i="27"/>
  <c r="A134" i="27"/>
  <c r="B133" i="27"/>
  <c r="A133" i="27"/>
  <c r="B132" i="27"/>
  <c r="A132" i="27"/>
  <c r="B131" i="27"/>
  <c r="A131" i="27"/>
  <c r="B130" i="27"/>
  <c r="A130" i="27"/>
  <c r="B129" i="27"/>
  <c r="A129" i="27"/>
  <c r="B128" i="27"/>
  <c r="A128" i="27"/>
  <c r="B127" i="27"/>
  <c r="A127" i="27"/>
  <c r="B126" i="27"/>
  <c r="A126" i="27"/>
  <c r="B125" i="27"/>
  <c r="A125" i="27"/>
  <c r="B124" i="27"/>
  <c r="A124" i="27"/>
  <c r="B123" i="27"/>
  <c r="A123" i="27"/>
  <c r="B122" i="27"/>
  <c r="A122" i="27"/>
  <c r="B121" i="27"/>
  <c r="A121" i="27"/>
  <c r="B120" i="27"/>
  <c r="A120" i="27"/>
  <c r="B119" i="27"/>
  <c r="A119" i="27"/>
  <c r="B118" i="27"/>
  <c r="A118" i="27"/>
  <c r="B117" i="27"/>
  <c r="A117" i="27"/>
  <c r="B116" i="27"/>
  <c r="A116" i="27"/>
  <c r="B115" i="27"/>
  <c r="A115" i="27"/>
  <c r="B114" i="27"/>
  <c r="A114" i="27"/>
  <c r="B113" i="27"/>
  <c r="A113" i="27"/>
  <c r="B112" i="27"/>
  <c r="A112" i="27"/>
  <c r="B111" i="27"/>
  <c r="A111" i="27"/>
  <c r="B110" i="27"/>
  <c r="A110" i="27"/>
  <c r="B109" i="27"/>
  <c r="A109" i="27"/>
  <c r="B108" i="27"/>
  <c r="A108" i="27"/>
  <c r="B107" i="27"/>
  <c r="A107" i="27"/>
  <c r="B106" i="27"/>
  <c r="A106" i="27"/>
  <c r="B105" i="27"/>
  <c r="A105" i="27"/>
  <c r="B104" i="27"/>
  <c r="A104" i="27"/>
  <c r="B103" i="27"/>
  <c r="A103" i="27"/>
  <c r="B102" i="27"/>
  <c r="A102" i="27"/>
  <c r="B101" i="27"/>
  <c r="A101" i="27"/>
  <c r="B100" i="27"/>
  <c r="A100" i="27"/>
  <c r="B99" i="27"/>
  <c r="A99" i="27"/>
  <c r="B98" i="27"/>
  <c r="A98" i="27"/>
  <c r="B97" i="27"/>
  <c r="A97" i="27"/>
  <c r="B96" i="27"/>
  <c r="A96" i="27"/>
  <c r="B95" i="27"/>
  <c r="A95" i="27"/>
  <c r="B94" i="27"/>
  <c r="A94" i="27"/>
  <c r="B93" i="27"/>
  <c r="A93" i="27"/>
  <c r="B92" i="27"/>
  <c r="A92" i="27"/>
  <c r="B91" i="27"/>
  <c r="A91" i="27"/>
  <c r="B90" i="27"/>
  <c r="A90" i="27"/>
  <c r="B89" i="27"/>
  <c r="A89" i="27"/>
  <c r="B88" i="27"/>
  <c r="A88" i="27"/>
  <c r="B87" i="27"/>
  <c r="A87" i="27"/>
  <c r="B86" i="27"/>
  <c r="A86" i="27"/>
  <c r="B85" i="27"/>
  <c r="A85" i="27"/>
  <c r="B84" i="27"/>
  <c r="A84" i="27"/>
  <c r="B83" i="27"/>
  <c r="A83" i="27"/>
  <c r="B82" i="27"/>
  <c r="A82" i="27"/>
  <c r="B81" i="27"/>
  <c r="A81" i="27"/>
  <c r="B80" i="27"/>
  <c r="A80" i="27"/>
  <c r="B79" i="27"/>
  <c r="A79" i="27"/>
  <c r="B78" i="27"/>
  <c r="A78" i="27"/>
  <c r="B77" i="27"/>
  <c r="A77" i="27"/>
  <c r="B76" i="27"/>
  <c r="A76" i="27"/>
  <c r="B75" i="27"/>
  <c r="A75" i="27"/>
  <c r="B74" i="27"/>
  <c r="A74" i="27"/>
  <c r="B73" i="27"/>
  <c r="A73" i="27"/>
  <c r="B72" i="27"/>
  <c r="A72" i="27"/>
  <c r="B71" i="27"/>
  <c r="A71" i="27"/>
  <c r="B70" i="27"/>
  <c r="A70" i="27"/>
  <c r="B69" i="27"/>
  <c r="A69" i="27"/>
  <c r="B68" i="27"/>
  <c r="A68" i="27"/>
  <c r="B67" i="27"/>
  <c r="A67" i="27"/>
  <c r="B66" i="27"/>
  <c r="A66" i="27"/>
  <c r="B65" i="27"/>
  <c r="A65" i="27"/>
  <c r="B64" i="27"/>
  <c r="A64" i="27"/>
  <c r="B63" i="27"/>
  <c r="A63" i="27"/>
  <c r="B62" i="27"/>
  <c r="A62" i="27"/>
  <c r="B61" i="27"/>
  <c r="A61" i="27"/>
  <c r="B60" i="27"/>
  <c r="A60" i="27"/>
  <c r="B59" i="27"/>
  <c r="A59" i="27"/>
  <c r="B58" i="27"/>
  <c r="A58" i="27"/>
  <c r="B57" i="27"/>
  <c r="A57" i="27"/>
  <c r="B56" i="27"/>
  <c r="A56" i="27"/>
  <c r="B55" i="27"/>
  <c r="A55" i="27"/>
  <c r="B54" i="27"/>
  <c r="A54" i="27"/>
  <c r="B53" i="27"/>
  <c r="A53" i="27"/>
  <c r="B52" i="27"/>
  <c r="A52" i="27"/>
  <c r="B51" i="27"/>
  <c r="A51" i="27"/>
  <c r="B50" i="27"/>
  <c r="A50" i="27"/>
  <c r="B49" i="27"/>
  <c r="A49" i="27"/>
  <c r="B48" i="27"/>
  <c r="A48" i="27"/>
  <c r="B47" i="27"/>
  <c r="A47" i="27"/>
  <c r="B46" i="27"/>
  <c r="A46" i="27"/>
  <c r="B45" i="27"/>
  <c r="A45" i="27"/>
  <c r="B44" i="27"/>
  <c r="A44" i="27"/>
  <c r="B43" i="27"/>
  <c r="A43" i="27"/>
  <c r="B42" i="27"/>
  <c r="A42" i="27"/>
  <c r="B41" i="27"/>
  <c r="A41" i="27"/>
  <c r="B40" i="27"/>
  <c r="A40" i="27"/>
  <c r="B39" i="27"/>
  <c r="A39" i="27"/>
  <c r="B38" i="27"/>
  <c r="A38" i="27"/>
  <c r="B37" i="27"/>
  <c r="A37" i="27"/>
  <c r="B36" i="27"/>
  <c r="A36" i="27"/>
  <c r="B35" i="27"/>
  <c r="A35" i="27"/>
  <c r="B34" i="27"/>
  <c r="A34" i="27"/>
  <c r="B33" i="27"/>
  <c r="A33" i="27"/>
  <c r="B32" i="27"/>
  <c r="A32" i="27"/>
  <c r="B31" i="27"/>
  <c r="A31" i="27"/>
  <c r="B30" i="27"/>
  <c r="A30" i="27"/>
  <c r="B29" i="27"/>
  <c r="A29" i="27"/>
  <c r="B28" i="27"/>
  <c r="A28" i="27"/>
  <c r="B27" i="27"/>
  <c r="A27" i="27"/>
  <c r="B26" i="27"/>
  <c r="A26" i="27"/>
  <c r="B25" i="27"/>
  <c r="A25" i="27"/>
  <c r="B24" i="27"/>
  <c r="A24" i="27"/>
  <c r="B23" i="27"/>
  <c r="A23" i="27"/>
  <c r="B22" i="27"/>
  <c r="A22" i="27"/>
  <c r="B21" i="27"/>
  <c r="A21" i="27"/>
  <c r="B20" i="27"/>
  <c r="A20" i="27"/>
  <c r="B19" i="27"/>
  <c r="A19" i="27"/>
  <c r="B18" i="27"/>
  <c r="A18" i="27"/>
  <c r="B17" i="27"/>
  <c r="A17" i="27"/>
  <c r="B16" i="27"/>
  <c r="A16" i="27"/>
  <c r="B15" i="27"/>
  <c r="A15" i="27"/>
  <c r="B14" i="27"/>
  <c r="A14" i="27"/>
  <c r="B13" i="27"/>
  <c r="A13" i="27"/>
  <c r="B12" i="27"/>
  <c r="A12" i="27"/>
  <c r="B11" i="27"/>
  <c r="A11" i="27"/>
  <c r="B10" i="27"/>
  <c r="A10" i="27"/>
  <c r="B9" i="27"/>
  <c r="A9" i="27"/>
  <c r="B8" i="27"/>
  <c r="A8" i="27"/>
  <c r="B7" i="27"/>
  <c r="A7" i="27"/>
  <c r="B6" i="27"/>
  <c r="A6" i="27"/>
  <c r="B5" i="27"/>
  <c r="A5" i="27"/>
  <c r="D5" i="28" l="1"/>
  <c r="F5" i="28" s="1"/>
  <c r="E372"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 i="25"/>
  <c r="D4" i="25"/>
  <c r="D5" i="25"/>
  <c r="D6" i="25"/>
  <c r="D7" i="25"/>
  <c r="D8" i="25"/>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C90" i="25"/>
  <c r="C89" i="25"/>
  <c r="C88" i="25"/>
  <c r="C87" i="25"/>
  <c r="C86" i="25"/>
  <c r="C85" i="25"/>
  <c r="C84"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C217" i="25"/>
  <c r="C219" i="25"/>
  <c r="C221" i="25"/>
  <c r="C223" i="25"/>
  <c r="C225" i="25"/>
  <c r="C227" i="25"/>
  <c r="C229" i="25"/>
  <c r="C231" i="25"/>
  <c r="C233" i="25"/>
  <c r="C235" i="25"/>
  <c r="C237" i="25"/>
  <c r="C239" i="25"/>
  <c r="C241" i="25"/>
  <c r="C243" i="25"/>
  <c r="C245" i="25"/>
  <c r="C247" i="25"/>
  <c r="C249" i="25"/>
  <c r="C251" i="25"/>
  <c r="C253" i="25"/>
  <c r="C255" i="25"/>
  <c r="C257" i="25"/>
  <c r="C259" i="25"/>
  <c r="C261" i="25"/>
  <c r="C263" i="25"/>
  <c r="C265" i="25"/>
  <c r="C267" i="25"/>
  <c r="C269" i="25"/>
  <c r="C271" i="25"/>
  <c r="C273" i="25"/>
  <c r="C275" i="25"/>
  <c r="C277" i="25"/>
  <c r="C279" i="25"/>
  <c r="C281" i="25"/>
  <c r="C283" i="25"/>
  <c r="C285" i="25"/>
  <c r="C287" i="25"/>
  <c r="C289" i="25"/>
  <c r="C291" i="25"/>
  <c r="C293" i="25"/>
  <c r="C295" i="25"/>
  <c r="C297" i="25"/>
  <c r="C299" i="25"/>
  <c r="C301" i="25"/>
  <c r="C303" i="25"/>
  <c r="C305" i="25"/>
  <c r="C307" i="25"/>
  <c r="C309" i="25"/>
  <c r="C311" i="25"/>
  <c r="C313" i="25"/>
  <c r="C315" i="25"/>
  <c r="C317" i="25"/>
  <c r="C319" i="25"/>
  <c r="C321" i="25"/>
  <c r="C323" i="25"/>
  <c r="C325" i="25"/>
  <c r="C327" i="25"/>
  <c r="C329" i="25"/>
  <c r="C331" i="25"/>
  <c r="C333" i="25"/>
  <c r="C335" i="25"/>
  <c r="C337" i="25"/>
  <c r="C339" i="25"/>
  <c r="C341" i="25"/>
  <c r="D5" i="27"/>
  <c r="F5" i="27" s="1"/>
  <c r="C342" i="25"/>
  <c r="C343" i="25"/>
  <c r="C344" i="25"/>
  <c r="C345" i="25"/>
  <c r="C346" i="25"/>
  <c r="C347" i="25"/>
  <c r="C348" i="25"/>
  <c r="C349" i="25"/>
  <c r="C350" i="25"/>
  <c r="C351" i="25"/>
  <c r="C352" i="25"/>
  <c r="C353" i="25"/>
  <c r="C354" i="25"/>
  <c r="C355" i="25"/>
  <c r="C356" i="25"/>
  <c r="C357" i="25"/>
  <c r="C358" i="25"/>
  <c r="C359" i="25"/>
  <c r="C360" i="25"/>
  <c r="C361" i="25"/>
  <c r="C362" i="25"/>
  <c r="C363" i="25"/>
  <c r="C364" i="25"/>
  <c r="C365" i="25"/>
  <c r="C366" i="25"/>
  <c r="C367" i="25"/>
  <c r="C368" i="25"/>
  <c r="C369" i="25"/>
  <c r="C370" i="25"/>
  <c r="C371" i="25"/>
  <c r="C3" i="25"/>
  <c r="C4" i="25"/>
  <c r="C5" i="25"/>
  <c r="C6" i="25"/>
  <c r="C7" i="25"/>
  <c r="C8" i="25"/>
  <c r="C9" i="25"/>
  <c r="C10" i="25"/>
  <c r="C11" i="25"/>
  <c r="C12" i="25"/>
  <c r="C13" i="25"/>
  <c r="C14" i="25"/>
  <c r="C15" i="25"/>
  <c r="C16" i="25"/>
  <c r="C17" i="25"/>
  <c r="C18" i="25"/>
  <c r="C19" i="25"/>
  <c r="C20" i="25"/>
  <c r="C21" i="25"/>
  <c r="C22" i="25"/>
  <c r="C23" i="25"/>
  <c r="C24" i="25"/>
  <c r="C25" i="25"/>
  <c r="C26" i="25"/>
  <c r="C27" i="25"/>
  <c r="C28" i="25"/>
  <c r="C29" i="25"/>
  <c r="C30" i="25"/>
  <c r="C31" i="25"/>
  <c r="C32" i="25"/>
  <c r="C33" i="25"/>
  <c r="C34" i="25"/>
  <c r="C35" i="25"/>
  <c r="C36" i="25"/>
  <c r="C37" i="25"/>
  <c r="C38" i="25"/>
  <c r="C39" i="25"/>
  <c r="C40" i="25"/>
  <c r="C41" i="25"/>
  <c r="C42" i="25"/>
  <c r="C43" i="25"/>
  <c r="C44" i="25"/>
  <c r="C45" i="25"/>
  <c r="C46" i="25"/>
  <c r="C47" i="25"/>
  <c r="C48" i="25"/>
  <c r="C49" i="25"/>
  <c r="C50" i="25"/>
  <c r="C51" i="25"/>
  <c r="C52" i="25"/>
  <c r="C53" i="25"/>
  <c r="C54" i="25"/>
  <c r="C55" i="25"/>
  <c r="C56" i="25"/>
  <c r="C57" i="25"/>
  <c r="C58" i="25"/>
  <c r="C59" i="25"/>
  <c r="C60" i="25"/>
  <c r="C61" i="25"/>
  <c r="C62" i="25"/>
  <c r="C63" i="25"/>
  <c r="C64" i="25"/>
  <c r="C65" i="25"/>
  <c r="C66" i="25"/>
  <c r="C67" i="25"/>
  <c r="C68" i="25"/>
  <c r="C69" i="25"/>
  <c r="C70" i="25"/>
  <c r="C71" i="25"/>
  <c r="C72" i="25"/>
  <c r="C73" i="25"/>
  <c r="C74" i="25"/>
  <c r="C75" i="25"/>
  <c r="C76" i="25"/>
  <c r="C77" i="25"/>
  <c r="C78" i="25"/>
  <c r="C79" i="25"/>
  <c r="C80" i="25"/>
  <c r="C81" i="25"/>
  <c r="C82" i="25"/>
  <c r="C83" i="25"/>
  <c r="D90" i="25"/>
  <c r="D89" i="25"/>
  <c r="D88" i="25"/>
  <c r="D87" i="25"/>
  <c r="D86" i="25"/>
  <c r="D85" i="25"/>
  <c r="D84" i="25"/>
  <c r="C91" i="25"/>
  <c r="C92" i="25"/>
  <c r="C93" i="25"/>
  <c r="C94" i="25"/>
  <c r="C95" i="25"/>
  <c r="C96" i="25"/>
  <c r="C97" i="25"/>
  <c r="C98" i="25"/>
  <c r="C99" i="25"/>
  <c r="C100" i="25"/>
  <c r="C101" i="25"/>
  <c r="C102" i="25"/>
  <c r="C103" i="25"/>
  <c r="C104" i="25"/>
  <c r="C105" i="25"/>
  <c r="C106" i="25"/>
  <c r="C107" i="25"/>
  <c r="C108" i="25"/>
  <c r="C109" i="25"/>
  <c r="C110" i="25"/>
  <c r="C111" i="25"/>
  <c r="C112" i="25"/>
  <c r="C113" i="25"/>
  <c r="C114" i="25"/>
  <c r="C115" i="25"/>
  <c r="C116" i="25"/>
  <c r="C117" i="25"/>
  <c r="C118" i="25"/>
  <c r="C119" i="25"/>
  <c r="C120" i="25"/>
  <c r="C121" i="25"/>
  <c r="C122" i="25"/>
  <c r="C123" i="25"/>
  <c r="C124" i="25"/>
  <c r="C125" i="25"/>
  <c r="C126" i="25"/>
  <c r="C127" i="25"/>
  <c r="C128" i="25"/>
  <c r="C129" i="25"/>
  <c r="C130" i="25"/>
  <c r="C131" i="25"/>
  <c r="C132" i="25"/>
  <c r="C133" i="25"/>
  <c r="C134" i="25"/>
  <c r="C135" i="25"/>
  <c r="C136" i="25"/>
  <c r="C137" i="25"/>
  <c r="C138" i="25"/>
  <c r="C139" i="25"/>
  <c r="C140" i="25"/>
  <c r="C141" i="25"/>
  <c r="C142" i="25"/>
  <c r="C143" i="25"/>
  <c r="C144" i="25"/>
  <c r="C145" i="25"/>
  <c r="C146" i="25"/>
  <c r="C147" i="25"/>
  <c r="C148" i="25"/>
  <c r="C149" i="25"/>
  <c r="C150" i="25"/>
  <c r="C151" i="25"/>
  <c r="C152" i="25"/>
  <c r="C153" i="25"/>
  <c r="C154" i="25"/>
  <c r="C155" i="25"/>
  <c r="C156" i="25"/>
  <c r="C157" i="25"/>
  <c r="C158" i="25"/>
  <c r="C159" i="25"/>
  <c r="C160" i="25"/>
  <c r="C161" i="25"/>
  <c r="C162" i="25"/>
  <c r="C163" i="25"/>
  <c r="C164" i="25"/>
  <c r="C165" i="25"/>
  <c r="C166" i="25"/>
  <c r="C167" i="25"/>
  <c r="C168" i="25"/>
  <c r="C169" i="25"/>
  <c r="C170" i="25"/>
  <c r="C171" i="25"/>
  <c r="C172" i="25"/>
  <c r="C173" i="25"/>
  <c r="C174" i="25"/>
  <c r="C175" i="25"/>
  <c r="C176" i="25"/>
  <c r="C177" i="25"/>
  <c r="C178" i="25"/>
  <c r="C179" i="25"/>
  <c r="C180" i="25"/>
  <c r="C181" i="25"/>
  <c r="C182" i="25"/>
  <c r="C183" i="25"/>
  <c r="C184" i="25"/>
  <c r="C185" i="25"/>
  <c r="C186" i="25"/>
  <c r="C187" i="25"/>
  <c r="C188" i="25"/>
  <c r="C189" i="25"/>
  <c r="C190" i="25"/>
  <c r="C191" i="25"/>
  <c r="C192" i="25"/>
  <c r="C193" i="25"/>
  <c r="C194" i="25"/>
  <c r="C195" i="25"/>
  <c r="C196" i="25"/>
  <c r="C197" i="25"/>
  <c r="C198" i="25"/>
  <c r="C199" i="25"/>
  <c r="C200" i="25"/>
  <c r="C201" i="25"/>
  <c r="C202" i="25"/>
  <c r="C203" i="25"/>
  <c r="C204" i="25"/>
  <c r="C205" i="25"/>
  <c r="C206" i="25"/>
  <c r="C207" i="25"/>
  <c r="C208" i="25"/>
  <c r="C209" i="25"/>
  <c r="C210" i="25"/>
  <c r="C211" i="25"/>
  <c r="C212" i="25"/>
  <c r="C213" i="25"/>
  <c r="C214" i="25"/>
  <c r="C215" i="25"/>
  <c r="C216" i="25"/>
  <c r="C218" i="25"/>
  <c r="C220" i="25"/>
  <c r="C222" i="25"/>
  <c r="C224" i="25"/>
  <c r="C226" i="25"/>
  <c r="C228" i="25"/>
  <c r="C230" i="25"/>
  <c r="C232" i="25"/>
  <c r="C234" i="25"/>
  <c r="C236" i="25"/>
  <c r="C238" i="25"/>
  <c r="C240" i="25"/>
  <c r="C242" i="25"/>
  <c r="C244" i="25"/>
  <c r="C246" i="25"/>
  <c r="C248" i="25"/>
  <c r="C250" i="25"/>
  <c r="C252" i="25"/>
  <c r="C254" i="25"/>
  <c r="C256" i="25"/>
  <c r="C258" i="25"/>
  <c r="C260" i="25"/>
  <c r="C262" i="25"/>
  <c r="C264" i="25"/>
  <c r="C266" i="25"/>
  <c r="C268" i="25"/>
  <c r="C270" i="25"/>
  <c r="C272" i="25"/>
  <c r="C274" i="25"/>
  <c r="C276" i="25"/>
  <c r="C278" i="25"/>
  <c r="C280" i="25"/>
  <c r="C282" i="25"/>
  <c r="C284" i="25"/>
  <c r="C286" i="25"/>
  <c r="C288" i="25"/>
  <c r="C290" i="25"/>
  <c r="C292" i="25"/>
  <c r="C294" i="25"/>
  <c r="C296" i="25"/>
  <c r="C298" i="25"/>
  <c r="C300" i="25"/>
  <c r="C302" i="25"/>
  <c r="C304" i="25"/>
  <c r="C306" i="25"/>
  <c r="C308" i="25"/>
  <c r="C310" i="25"/>
  <c r="C312" i="25"/>
  <c r="C314" i="25"/>
  <c r="C316" i="25"/>
  <c r="C318" i="25"/>
  <c r="C320" i="25"/>
  <c r="C322" i="25"/>
  <c r="C324" i="25"/>
  <c r="C326" i="25"/>
  <c r="C328" i="25"/>
  <c r="C330" i="25"/>
  <c r="C332" i="25"/>
  <c r="C334" i="25"/>
  <c r="C336" i="25"/>
  <c r="C338" i="25"/>
  <c r="C340" i="25"/>
  <c r="AF7" i="28" a="1"/>
  <c r="AF10" i="28" s="1"/>
  <c r="Y7" i="25"/>
  <c r="Z7" i="25"/>
  <c r="Z4" i="25"/>
  <c r="Y4" i="25"/>
  <c r="F372" i="25"/>
  <c r="J3" i="25"/>
  <c r="R144" i="25" s="1"/>
  <c r="K6" i="28"/>
  <c r="F191" i="28"/>
  <c r="I191" i="28" s="1"/>
  <c r="F193" i="28"/>
  <c r="I193" i="28" s="1"/>
  <c r="F195" i="28"/>
  <c r="I195" i="28" s="1"/>
  <c r="F197" i="28"/>
  <c r="I197" i="28" s="1"/>
  <c r="F199" i="28"/>
  <c r="I199" i="28" s="1"/>
  <c r="F201" i="28"/>
  <c r="I201" i="28" s="1"/>
  <c r="F203" i="28"/>
  <c r="I203" i="28" s="1"/>
  <c r="F205" i="28"/>
  <c r="I205" i="28" s="1"/>
  <c r="F207" i="28"/>
  <c r="I207" i="28" s="1"/>
  <c r="F209" i="28"/>
  <c r="I209" i="28" s="1"/>
  <c r="F211" i="28"/>
  <c r="I211" i="28" s="1"/>
  <c r="F213" i="28"/>
  <c r="I213" i="28" s="1"/>
  <c r="F215" i="28"/>
  <c r="I215" i="28" s="1"/>
  <c r="F217" i="28"/>
  <c r="I217" i="28" s="1"/>
  <c r="F219" i="28"/>
  <c r="I219" i="28" s="1"/>
  <c r="F221" i="28"/>
  <c r="I221" i="28" s="1"/>
  <c r="F223" i="28"/>
  <c r="I223" i="28" s="1"/>
  <c r="F225" i="28"/>
  <c r="I225" i="28" s="1"/>
  <c r="F227" i="28"/>
  <c r="I227" i="28" s="1"/>
  <c r="F229" i="28"/>
  <c r="I229" i="28" s="1"/>
  <c r="F231" i="28"/>
  <c r="I231" i="28" s="1"/>
  <c r="F233" i="28"/>
  <c r="I233" i="28" s="1"/>
  <c r="F235" i="28"/>
  <c r="I235" i="28" s="1"/>
  <c r="F237" i="28"/>
  <c r="I237" i="28" s="1"/>
  <c r="F239" i="28"/>
  <c r="I239" i="28" s="1"/>
  <c r="F241" i="28"/>
  <c r="I241" i="28" s="1"/>
  <c r="F243" i="28"/>
  <c r="I243" i="28" s="1"/>
  <c r="F245" i="28"/>
  <c r="I245" i="28" s="1"/>
  <c r="F247" i="28"/>
  <c r="I247" i="28" s="1"/>
  <c r="F249" i="28"/>
  <c r="I249" i="28" s="1"/>
  <c r="F251" i="28"/>
  <c r="I251" i="28" s="1"/>
  <c r="F253" i="28"/>
  <c r="I253" i="28" s="1"/>
  <c r="F255" i="28"/>
  <c r="I255" i="28" s="1"/>
  <c r="F257" i="28"/>
  <c r="I257" i="28" s="1"/>
  <c r="F259" i="28"/>
  <c r="I259" i="28" s="1"/>
  <c r="F261" i="28"/>
  <c r="I261" i="28" s="1"/>
  <c r="F263" i="28"/>
  <c r="I263" i="28" s="1"/>
  <c r="F265" i="28"/>
  <c r="I265" i="28" s="1"/>
  <c r="F267" i="28"/>
  <c r="I267" i="28" s="1"/>
  <c r="F269" i="28"/>
  <c r="I269" i="28" s="1"/>
  <c r="F271" i="28"/>
  <c r="I271" i="28" s="1"/>
  <c r="F273" i="28"/>
  <c r="I273" i="28" s="1"/>
  <c r="F275" i="28"/>
  <c r="I275" i="28" s="1"/>
  <c r="F277" i="28"/>
  <c r="I277" i="28" s="1"/>
  <c r="F279" i="28"/>
  <c r="I279" i="28" s="1"/>
  <c r="F281" i="28"/>
  <c r="I281" i="28" s="1"/>
  <c r="F283" i="28"/>
  <c r="I283" i="28" s="1"/>
  <c r="F285" i="28"/>
  <c r="I285" i="28" s="1"/>
  <c r="F289" i="28"/>
  <c r="I289" i="28" s="1"/>
  <c r="F293" i="28"/>
  <c r="I293" i="28" s="1"/>
  <c r="F297" i="28"/>
  <c r="I297" i="28" s="1"/>
  <c r="F301" i="28"/>
  <c r="I301" i="28" s="1"/>
  <c r="F305" i="28"/>
  <c r="I305" i="28" s="1"/>
  <c r="F309" i="28"/>
  <c r="I309" i="28" s="1"/>
  <c r="F313" i="28"/>
  <c r="I313" i="28" s="1"/>
  <c r="F317" i="28"/>
  <c r="I317" i="28" s="1"/>
  <c r="F321" i="28"/>
  <c r="I321" i="28" s="1"/>
  <c r="F325" i="28"/>
  <c r="I325" i="28" s="1"/>
  <c r="F329" i="28"/>
  <c r="I329" i="28" s="1"/>
  <c r="F333" i="28"/>
  <c r="I333" i="28" s="1"/>
  <c r="F338" i="28"/>
  <c r="I338" i="28" s="1"/>
  <c r="F346" i="28"/>
  <c r="I346" i="28" s="1"/>
  <c r="I5" i="28"/>
  <c r="F6" i="28"/>
  <c r="F7" i="28"/>
  <c r="F8" i="28"/>
  <c r="F9" i="28"/>
  <c r="F10" i="28"/>
  <c r="F11" i="28"/>
  <c r="F12" i="28"/>
  <c r="F14" i="28"/>
  <c r="F16" i="28"/>
  <c r="F18" i="28"/>
  <c r="F20" i="28"/>
  <c r="F22" i="28"/>
  <c r="F24" i="28"/>
  <c r="F26" i="28"/>
  <c r="F28" i="28"/>
  <c r="F30" i="28"/>
  <c r="F32" i="28"/>
  <c r="F34" i="28"/>
  <c r="F36" i="28"/>
  <c r="F38" i="28"/>
  <c r="F40" i="28"/>
  <c r="F42" i="28"/>
  <c r="F44" i="28"/>
  <c r="F46" i="28"/>
  <c r="F48" i="28"/>
  <c r="F50" i="28"/>
  <c r="F52" i="28"/>
  <c r="F54" i="28"/>
  <c r="F56" i="28"/>
  <c r="F58" i="28"/>
  <c r="F60" i="28"/>
  <c r="F62" i="28"/>
  <c r="F64" i="28"/>
  <c r="F66" i="28"/>
  <c r="F68" i="28"/>
  <c r="F70" i="28"/>
  <c r="F72" i="28"/>
  <c r="F74" i="28"/>
  <c r="F76" i="28"/>
  <c r="F78" i="28"/>
  <c r="F80" i="28"/>
  <c r="F82" i="28"/>
  <c r="F84" i="28"/>
  <c r="F86" i="28"/>
  <c r="F88" i="28"/>
  <c r="F90" i="28"/>
  <c r="F92" i="28"/>
  <c r="F94" i="28"/>
  <c r="F96" i="28"/>
  <c r="F98" i="28"/>
  <c r="F100" i="28"/>
  <c r="F102" i="28"/>
  <c r="F104" i="28"/>
  <c r="F106" i="28"/>
  <c r="F108" i="28"/>
  <c r="F110" i="28"/>
  <c r="F112" i="28"/>
  <c r="F114" i="28"/>
  <c r="F116" i="28"/>
  <c r="F118" i="28"/>
  <c r="F120" i="28"/>
  <c r="F122" i="28"/>
  <c r="F124" i="28"/>
  <c r="F126" i="28"/>
  <c r="F128" i="28"/>
  <c r="F130" i="28"/>
  <c r="F132" i="28"/>
  <c r="F134" i="28"/>
  <c r="F136" i="28"/>
  <c r="F138" i="28"/>
  <c r="F140" i="28"/>
  <c r="F142" i="28"/>
  <c r="F144" i="28"/>
  <c r="F146" i="28"/>
  <c r="F148" i="28"/>
  <c r="F150" i="28"/>
  <c r="F152" i="28"/>
  <c r="F154" i="28"/>
  <c r="F156" i="28"/>
  <c r="F158" i="28"/>
  <c r="F160" i="28"/>
  <c r="F162" i="28"/>
  <c r="F164" i="28"/>
  <c r="F166" i="28"/>
  <c r="F168" i="28"/>
  <c r="F170" i="28"/>
  <c r="F172" i="28"/>
  <c r="F174" i="28"/>
  <c r="F176" i="28"/>
  <c r="F178" i="28"/>
  <c r="F180" i="28"/>
  <c r="F182" i="28"/>
  <c r="F184" i="28"/>
  <c r="F186" i="28"/>
  <c r="F188" i="28"/>
  <c r="F192" i="28"/>
  <c r="F196" i="28"/>
  <c r="F200" i="28"/>
  <c r="F204" i="28"/>
  <c r="F208" i="28"/>
  <c r="F212" i="28"/>
  <c r="F216" i="28"/>
  <c r="F220" i="28"/>
  <c r="F224" i="28"/>
  <c r="F228" i="28"/>
  <c r="F232" i="28"/>
  <c r="F236" i="28"/>
  <c r="F240" i="28"/>
  <c r="F244" i="28"/>
  <c r="F248" i="28"/>
  <c r="F252" i="28"/>
  <c r="F256" i="28"/>
  <c r="F260" i="28"/>
  <c r="F264" i="28"/>
  <c r="F268" i="28"/>
  <c r="F272" i="28"/>
  <c r="F276" i="28"/>
  <c r="F280" i="28"/>
  <c r="F284" i="28"/>
  <c r="F287" i="28"/>
  <c r="F292" i="28"/>
  <c r="F295" i="28"/>
  <c r="F300" i="28"/>
  <c r="F303" i="28"/>
  <c r="F308" i="28"/>
  <c r="F311" i="28"/>
  <c r="F316" i="28"/>
  <c r="F319" i="28"/>
  <c r="F324" i="28"/>
  <c r="F327" i="28"/>
  <c r="F332" i="28"/>
  <c r="F336" i="28"/>
  <c r="F342" i="28"/>
  <c r="F349" i="28"/>
  <c r="F350" i="28"/>
  <c r="F354" i="28"/>
  <c r="F358" i="28"/>
  <c r="B374" i="28"/>
  <c r="J6" i="28"/>
  <c r="E5" i="28"/>
  <c r="Z215" i="28" s="1"/>
  <c r="C5" i="28"/>
  <c r="C374" i="28" s="1"/>
  <c r="F13" i="28"/>
  <c r="F15" i="28"/>
  <c r="F17" i="28"/>
  <c r="F19" i="28"/>
  <c r="F21" i="28"/>
  <c r="F23" i="28"/>
  <c r="F25" i="28"/>
  <c r="F27" i="28"/>
  <c r="F29" i="28"/>
  <c r="F31" i="28"/>
  <c r="F33" i="28"/>
  <c r="F35" i="28"/>
  <c r="F37" i="28"/>
  <c r="F39" i="28"/>
  <c r="F41" i="28"/>
  <c r="F43" i="28"/>
  <c r="F45" i="28"/>
  <c r="F47" i="28"/>
  <c r="F49" i="28"/>
  <c r="F51" i="28"/>
  <c r="F53" i="28"/>
  <c r="F55" i="28"/>
  <c r="F57" i="28"/>
  <c r="F59" i="28"/>
  <c r="F61" i="28"/>
  <c r="F63" i="28"/>
  <c r="F65" i="28"/>
  <c r="F67" i="28"/>
  <c r="F69" i="28"/>
  <c r="F71" i="28"/>
  <c r="F73" i="28"/>
  <c r="F75" i="28"/>
  <c r="F77" i="28"/>
  <c r="F79" i="28"/>
  <c r="F81" i="28"/>
  <c r="F83" i="28"/>
  <c r="F85" i="28"/>
  <c r="F87" i="28"/>
  <c r="F89" i="28"/>
  <c r="F91" i="28"/>
  <c r="F93" i="28"/>
  <c r="F95" i="28"/>
  <c r="F97" i="28"/>
  <c r="F99" i="28"/>
  <c r="F101" i="28"/>
  <c r="F103" i="28"/>
  <c r="F105" i="28"/>
  <c r="F107" i="28"/>
  <c r="F109" i="28"/>
  <c r="F111" i="28"/>
  <c r="F113" i="28"/>
  <c r="F115" i="28"/>
  <c r="F117" i="28"/>
  <c r="F119" i="28"/>
  <c r="F121" i="28"/>
  <c r="F123" i="28"/>
  <c r="F125" i="28"/>
  <c r="F127" i="28"/>
  <c r="F129" i="28"/>
  <c r="F131" i="28"/>
  <c r="F133" i="28"/>
  <c r="F135" i="28"/>
  <c r="F137" i="28"/>
  <c r="F139" i="28"/>
  <c r="F141" i="28"/>
  <c r="F143" i="28"/>
  <c r="F145" i="28"/>
  <c r="F147" i="28"/>
  <c r="F149" i="28"/>
  <c r="F151" i="28"/>
  <c r="F153" i="28"/>
  <c r="F155" i="28"/>
  <c r="F157" i="28"/>
  <c r="F159" i="28"/>
  <c r="F161" i="28"/>
  <c r="F163" i="28"/>
  <c r="F165" i="28"/>
  <c r="F167" i="28"/>
  <c r="F169" i="28"/>
  <c r="F171" i="28"/>
  <c r="F173" i="28"/>
  <c r="F175" i="28"/>
  <c r="F177" i="28"/>
  <c r="F179" i="28"/>
  <c r="F181" i="28"/>
  <c r="F183" i="28"/>
  <c r="F185" i="28"/>
  <c r="F187" i="28"/>
  <c r="F189" i="28"/>
  <c r="F190" i="28"/>
  <c r="F194" i="28"/>
  <c r="F198" i="28"/>
  <c r="F202" i="28"/>
  <c r="F206" i="28"/>
  <c r="F210" i="28"/>
  <c r="F214" i="28"/>
  <c r="F218" i="28"/>
  <c r="F222" i="28"/>
  <c r="F226" i="28"/>
  <c r="F230" i="28"/>
  <c r="F234" i="28"/>
  <c r="F238" i="28"/>
  <c r="F242" i="28"/>
  <c r="F246" i="28"/>
  <c r="F250" i="28"/>
  <c r="F254" i="28"/>
  <c r="F258" i="28"/>
  <c r="F262" i="28"/>
  <c r="F266" i="28"/>
  <c r="F270" i="28"/>
  <c r="F274" i="28"/>
  <c r="F278" i="28"/>
  <c r="F282" i="28"/>
  <c r="F288" i="28"/>
  <c r="F291" i="28"/>
  <c r="F296" i="28"/>
  <c r="F299" i="28"/>
  <c r="F304" i="28"/>
  <c r="F307" i="28"/>
  <c r="F312" i="28"/>
  <c r="F315" i="28"/>
  <c r="F320" i="28"/>
  <c r="F323" i="28"/>
  <c r="F328" i="28"/>
  <c r="F331" i="28"/>
  <c r="F341" i="28"/>
  <c r="F344" i="28"/>
  <c r="F352" i="28"/>
  <c r="F357" i="28"/>
  <c r="F372" i="28"/>
  <c r="A374" i="28"/>
  <c r="AC5" i="28"/>
  <c r="Z199" i="28"/>
  <c r="Z207" i="28"/>
  <c r="Z239" i="28"/>
  <c r="Z243" i="28"/>
  <c r="Z247" i="28"/>
  <c r="F286" i="28"/>
  <c r="F290" i="28"/>
  <c r="F294" i="28"/>
  <c r="F298" i="28"/>
  <c r="F302" i="28"/>
  <c r="F306" i="28"/>
  <c r="F310" i="28"/>
  <c r="F314" i="28"/>
  <c r="F318" i="28"/>
  <c r="F322" i="28"/>
  <c r="F326" i="28"/>
  <c r="F330" i="28"/>
  <c r="F334" i="28"/>
  <c r="F337" i="28"/>
  <c r="F340" i="28"/>
  <c r="F345" i="28"/>
  <c r="F348" i="28"/>
  <c r="F353" i="28"/>
  <c r="F356" i="28"/>
  <c r="G361" i="28"/>
  <c r="F364" i="28"/>
  <c r="G220" i="28"/>
  <c r="G222" i="28"/>
  <c r="G225" i="28"/>
  <c r="G238" i="28"/>
  <c r="G241" i="28"/>
  <c r="G261" i="28"/>
  <c r="H261" i="28" s="1"/>
  <c r="G275" i="28"/>
  <c r="G277" i="28"/>
  <c r="H277" i="28" s="1"/>
  <c r="G279" i="28"/>
  <c r="Z299" i="28"/>
  <c r="F335" i="28"/>
  <c r="F339" i="28"/>
  <c r="Z341" i="28"/>
  <c r="F343" i="28"/>
  <c r="F347" i="28"/>
  <c r="F351" i="28"/>
  <c r="F355" i="28"/>
  <c r="F360" i="28"/>
  <c r="F368" i="28"/>
  <c r="G289" i="28"/>
  <c r="G290" i="28"/>
  <c r="G291" i="28"/>
  <c r="G298" i="28"/>
  <c r="G308" i="28"/>
  <c r="G310" i="28"/>
  <c r="G316" i="28"/>
  <c r="G318" i="28"/>
  <c r="G319" i="28"/>
  <c r="G334" i="28"/>
  <c r="Z336" i="28"/>
  <c r="Z338" i="28"/>
  <c r="Z352" i="28"/>
  <c r="Z354" i="28"/>
  <c r="F362" i="28"/>
  <c r="F366" i="28"/>
  <c r="Z367" i="28"/>
  <c r="G367" i="28"/>
  <c r="F370" i="28"/>
  <c r="G338" i="28"/>
  <c r="G339" i="28"/>
  <c r="G349" i="28"/>
  <c r="G355" i="28"/>
  <c r="G356" i="28"/>
  <c r="G357" i="28"/>
  <c r="F359" i="28"/>
  <c r="F361" i="28"/>
  <c r="F363" i="28"/>
  <c r="F365" i="28"/>
  <c r="F367" i="28"/>
  <c r="F369" i="28"/>
  <c r="F371" i="28"/>
  <c r="F373" i="28"/>
  <c r="F6" i="27"/>
  <c r="I6" i="27" s="1"/>
  <c r="F8" i="27"/>
  <c r="I8" i="27" s="1"/>
  <c r="F10" i="27"/>
  <c r="I10" i="27" s="1"/>
  <c r="F12" i="27"/>
  <c r="F16" i="27"/>
  <c r="I16" i="27" s="1"/>
  <c r="F20" i="27"/>
  <c r="F24" i="27"/>
  <c r="I24" i="27" s="1"/>
  <c r="F28" i="27"/>
  <c r="F32" i="27"/>
  <c r="I32" i="27" s="1"/>
  <c r="F36" i="27"/>
  <c r="I36" i="27" s="1"/>
  <c r="F40" i="27"/>
  <c r="I40" i="27" s="1"/>
  <c r="F44" i="27"/>
  <c r="I44" i="27" s="1"/>
  <c r="F48" i="27"/>
  <c r="I48" i="27" s="1"/>
  <c r="F52" i="27"/>
  <c r="I52" i="27" s="1"/>
  <c r="F56" i="27"/>
  <c r="I56" i="27" s="1"/>
  <c r="F60" i="27"/>
  <c r="F64" i="27"/>
  <c r="I64" i="27" s="1"/>
  <c r="F68" i="27"/>
  <c r="I68" i="27" s="1"/>
  <c r="F72" i="27"/>
  <c r="I72" i="27" s="1"/>
  <c r="F76" i="27"/>
  <c r="I76" i="27" s="1"/>
  <c r="F80" i="27"/>
  <c r="I80" i="27" s="1"/>
  <c r="F84" i="27"/>
  <c r="I84" i="27" s="1"/>
  <c r="F88" i="27"/>
  <c r="I88" i="27" s="1"/>
  <c r="F92" i="27"/>
  <c r="I92" i="27" s="1"/>
  <c r="F96" i="27"/>
  <c r="I96" i="27" s="1"/>
  <c r="F100" i="27"/>
  <c r="F104" i="27"/>
  <c r="I104" i="27" s="1"/>
  <c r="I5" i="27"/>
  <c r="I12" i="27"/>
  <c r="I20" i="27"/>
  <c r="I28" i="27"/>
  <c r="I60" i="27"/>
  <c r="I100" i="27"/>
  <c r="B374" i="27"/>
  <c r="J6" i="27"/>
  <c r="F13" i="27"/>
  <c r="F17" i="27"/>
  <c r="F21" i="27"/>
  <c r="F25" i="27"/>
  <c r="F29" i="27"/>
  <c r="F33" i="27"/>
  <c r="F37" i="27"/>
  <c r="F41" i="27"/>
  <c r="F45" i="27"/>
  <c r="F49" i="27"/>
  <c r="F53" i="27"/>
  <c r="F57" i="27"/>
  <c r="F61" i="27"/>
  <c r="F65" i="27"/>
  <c r="F69" i="27"/>
  <c r="F73" i="27"/>
  <c r="F77" i="27"/>
  <c r="F81" i="27"/>
  <c r="F85" i="27"/>
  <c r="F89" i="27"/>
  <c r="F93" i="27"/>
  <c r="F97" i="27"/>
  <c r="F101" i="27"/>
  <c r="F105" i="27"/>
  <c r="A374" i="27"/>
  <c r="AF7" i="27" a="1"/>
  <c r="C5" i="27"/>
  <c r="C374" i="27" s="1"/>
  <c r="E5" i="27"/>
  <c r="Z66" i="27" s="1"/>
  <c r="AC5" i="27"/>
  <c r="K6" i="27"/>
  <c r="F15" i="27"/>
  <c r="F19" i="27"/>
  <c r="F23" i="27"/>
  <c r="F27" i="27"/>
  <c r="F31" i="27"/>
  <c r="F35" i="27"/>
  <c r="F39" i="27"/>
  <c r="F43" i="27"/>
  <c r="F47" i="27"/>
  <c r="F51" i="27"/>
  <c r="F55" i="27"/>
  <c r="F59" i="27"/>
  <c r="F63" i="27"/>
  <c r="F67" i="27"/>
  <c r="F71" i="27"/>
  <c r="F75" i="27"/>
  <c r="F79" i="27"/>
  <c r="F83" i="27"/>
  <c r="F87" i="27"/>
  <c r="F91" i="27"/>
  <c r="F95" i="27"/>
  <c r="F99" i="27"/>
  <c r="F103" i="27"/>
  <c r="F107" i="27"/>
  <c r="F108" i="27"/>
  <c r="F109" i="27"/>
  <c r="F110" i="27"/>
  <c r="F111" i="27"/>
  <c r="F112" i="27"/>
  <c r="F113" i="27"/>
  <c r="F114" i="27"/>
  <c r="F115" i="27"/>
  <c r="F116" i="27"/>
  <c r="F117" i="27"/>
  <c r="F118" i="27"/>
  <c r="F119" i="27"/>
  <c r="F120" i="27"/>
  <c r="F121" i="27"/>
  <c r="F122" i="27"/>
  <c r="F123" i="27"/>
  <c r="F124" i="27"/>
  <c r="F125" i="27"/>
  <c r="F126" i="27"/>
  <c r="F127" i="27"/>
  <c r="F128" i="27"/>
  <c r="F129" i="27"/>
  <c r="F130" i="27"/>
  <c r="F131" i="27"/>
  <c r="F132" i="27"/>
  <c r="F133" i="27"/>
  <c r="F134" i="27"/>
  <c r="F135" i="27"/>
  <c r="F136" i="27"/>
  <c r="F137" i="27"/>
  <c r="F138" i="27"/>
  <c r="F139" i="27"/>
  <c r="F140" i="27"/>
  <c r="F141" i="27"/>
  <c r="F142" i="27"/>
  <c r="F143" i="27"/>
  <c r="F144" i="27"/>
  <c r="F145" i="27"/>
  <c r="F146" i="27"/>
  <c r="F147" i="27"/>
  <c r="F148" i="27"/>
  <c r="F149" i="27"/>
  <c r="F150" i="27"/>
  <c r="F151" i="27"/>
  <c r="F152" i="27"/>
  <c r="F153" i="27"/>
  <c r="F154" i="27"/>
  <c r="F155" i="27"/>
  <c r="F156" i="27"/>
  <c r="F157" i="27"/>
  <c r="F158" i="27"/>
  <c r="F159" i="27"/>
  <c r="F160" i="27"/>
  <c r="F161" i="27"/>
  <c r="F162" i="27"/>
  <c r="F163" i="27"/>
  <c r="F164" i="27"/>
  <c r="F165" i="27"/>
  <c r="F166" i="27"/>
  <c r="F167" i="27"/>
  <c r="F168" i="27"/>
  <c r="F169" i="27"/>
  <c r="F170" i="27"/>
  <c r="F171" i="27"/>
  <c r="F172" i="27"/>
  <c r="F173" i="27"/>
  <c r="F174" i="27"/>
  <c r="F175" i="27"/>
  <c r="F177" i="27"/>
  <c r="F179" i="27"/>
  <c r="F181" i="27"/>
  <c r="F183" i="27"/>
  <c r="F185" i="27"/>
  <c r="F187" i="27"/>
  <c r="F189" i="27"/>
  <c r="F191" i="27"/>
  <c r="F193" i="27"/>
  <c r="F195" i="27"/>
  <c r="F197" i="27"/>
  <c r="F199" i="27"/>
  <c r="F201" i="27"/>
  <c r="F203" i="27"/>
  <c r="F205" i="27"/>
  <c r="F207" i="27"/>
  <c r="F209" i="27"/>
  <c r="F211" i="27"/>
  <c r="F213" i="27"/>
  <c r="F215" i="27"/>
  <c r="F217" i="27"/>
  <c r="F219" i="27"/>
  <c r="F221" i="27"/>
  <c r="F223" i="27"/>
  <c r="F225" i="27"/>
  <c r="F227" i="27"/>
  <c r="F229" i="27"/>
  <c r="F231" i="27"/>
  <c r="F233" i="27"/>
  <c r="F235" i="27"/>
  <c r="F237" i="27"/>
  <c r="F239" i="27"/>
  <c r="F241" i="27"/>
  <c r="F243" i="27"/>
  <c r="F245" i="27"/>
  <c r="F247" i="27"/>
  <c r="F249" i="27"/>
  <c r="F251" i="27"/>
  <c r="F253" i="27"/>
  <c r="F178" i="27"/>
  <c r="F182" i="27"/>
  <c r="F186" i="27"/>
  <c r="F190" i="27"/>
  <c r="F194" i="27"/>
  <c r="F198" i="27"/>
  <c r="F202" i="27"/>
  <c r="F206" i="27"/>
  <c r="F210" i="27"/>
  <c r="F214" i="27"/>
  <c r="F218" i="27"/>
  <c r="F222" i="27"/>
  <c r="F226" i="27"/>
  <c r="F230" i="27"/>
  <c r="F234" i="27"/>
  <c r="F238" i="27"/>
  <c r="F242" i="27"/>
  <c r="F246" i="27"/>
  <c r="F250" i="27"/>
  <c r="F254" i="27"/>
  <c r="F255" i="27"/>
  <c r="F256" i="27"/>
  <c r="F257" i="27"/>
  <c r="F258" i="27"/>
  <c r="F259" i="27"/>
  <c r="F260" i="27"/>
  <c r="F261" i="27"/>
  <c r="F262" i="27"/>
  <c r="F263" i="27"/>
  <c r="F264" i="27"/>
  <c r="F265" i="27"/>
  <c r="F266" i="27"/>
  <c r="F267" i="27"/>
  <c r="F268" i="27"/>
  <c r="F269" i="27"/>
  <c r="F270" i="27"/>
  <c r="F352" i="27"/>
  <c r="F176" i="27"/>
  <c r="F180" i="27"/>
  <c r="F184" i="27"/>
  <c r="F188" i="27"/>
  <c r="F192" i="27"/>
  <c r="F196" i="27"/>
  <c r="F200" i="27"/>
  <c r="F204" i="27"/>
  <c r="F208" i="27"/>
  <c r="F212" i="27"/>
  <c r="F216" i="27"/>
  <c r="F220" i="27"/>
  <c r="F224" i="27"/>
  <c r="F228" i="27"/>
  <c r="F232" i="27"/>
  <c r="F236" i="27"/>
  <c r="F240" i="27"/>
  <c r="F244" i="27"/>
  <c r="F248" i="27"/>
  <c r="F252" i="27"/>
  <c r="F273" i="27"/>
  <c r="F277" i="27"/>
  <c r="F281" i="27"/>
  <c r="F285" i="27"/>
  <c r="F289" i="27"/>
  <c r="F293" i="27"/>
  <c r="F297" i="27"/>
  <c r="F301" i="27"/>
  <c r="F305" i="27"/>
  <c r="F309" i="27"/>
  <c r="F313" i="27"/>
  <c r="F317" i="27"/>
  <c r="F325" i="27"/>
  <c r="F333" i="27"/>
  <c r="F341" i="27"/>
  <c r="F347" i="27"/>
  <c r="F350" i="27"/>
  <c r="F356" i="27"/>
  <c r="F271" i="27"/>
  <c r="F275" i="27"/>
  <c r="F279" i="27"/>
  <c r="F283" i="27"/>
  <c r="F287" i="27"/>
  <c r="F291" i="27"/>
  <c r="F295" i="27"/>
  <c r="F299" i="27"/>
  <c r="F303" i="27"/>
  <c r="F307" i="27"/>
  <c r="F311" i="27"/>
  <c r="F315" i="27"/>
  <c r="F321" i="27"/>
  <c r="F329" i="27"/>
  <c r="F337" i="27"/>
  <c r="F348" i="27"/>
  <c r="F355" i="27"/>
  <c r="F358" i="27"/>
  <c r="F272" i="27"/>
  <c r="F274" i="27"/>
  <c r="F276" i="27"/>
  <c r="F278" i="27"/>
  <c r="F280" i="27"/>
  <c r="F282" i="27"/>
  <c r="F284" i="27"/>
  <c r="F286" i="27"/>
  <c r="F288" i="27"/>
  <c r="F290" i="27"/>
  <c r="F292" i="27"/>
  <c r="F294" i="27"/>
  <c r="F296" i="27"/>
  <c r="F298" i="27"/>
  <c r="F300" i="27"/>
  <c r="F302" i="27"/>
  <c r="F304" i="27"/>
  <c r="F306" i="27"/>
  <c r="F308" i="27"/>
  <c r="F310" i="27"/>
  <c r="F312" i="27"/>
  <c r="F314" i="27"/>
  <c r="F316" i="27"/>
  <c r="F318" i="27"/>
  <c r="F319" i="27"/>
  <c r="F323" i="27"/>
  <c r="F327" i="27"/>
  <c r="F331" i="27"/>
  <c r="F335" i="27"/>
  <c r="F339" i="27"/>
  <c r="F343" i="27"/>
  <c r="F346" i="27"/>
  <c r="F351" i="27"/>
  <c r="F354" i="27"/>
  <c r="F320" i="27"/>
  <c r="F322" i="27"/>
  <c r="F324" i="27"/>
  <c r="F326" i="27"/>
  <c r="F328" i="27"/>
  <c r="F330" i="27"/>
  <c r="F332" i="27"/>
  <c r="F334" i="27"/>
  <c r="F336" i="27"/>
  <c r="F338" i="27"/>
  <c r="F340" i="27"/>
  <c r="F342" i="27"/>
  <c r="F344" i="27"/>
  <c r="F345" i="27"/>
  <c r="F349" i="27"/>
  <c r="F353" i="27"/>
  <c r="F357" i="27"/>
  <c r="F359" i="27"/>
  <c r="F360" i="27"/>
  <c r="F361" i="27"/>
  <c r="F362" i="27"/>
  <c r="F363" i="27"/>
  <c r="F364" i="27"/>
  <c r="F365" i="27"/>
  <c r="F366" i="27"/>
  <c r="F367" i="27"/>
  <c r="F368" i="27"/>
  <c r="F369" i="27"/>
  <c r="F370" i="27"/>
  <c r="F371" i="27"/>
  <c r="F372" i="27"/>
  <c r="F373" i="27"/>
  <c r="B88" i="20"/>
  <c r="B89" i="20"/>
  <c r="B90" i="20"/>
  <c r="B91" i="20"/>
  <c r="B92" i="20"/>
  <c r="B93" i="20"/>
  <c r="B94" i="20"/>
  <c r="B95" i="20"/>
  <c r="B96" i="20"/>
  <c r="B97" i="20"/>
  <c r="B98" i="20"/>
  <c r="B99" i="20"/>
  <c r="B100" i="20"/>
  <c r="B101" i="20"/>
  <c r="B102" i="20"/>
  <c r="B103" i="20"/>
  <c r="B104" i="20"/>
  <c r="B105" i="20"/>
  <c r="B106" i="20"/>
  <c r="B107" i="20"/>
  <c r="B108" i="20"/>
  <c r="B109" i="20"/>
  <c r="B110" i="20"/>
  <c r="B111" i="20"/>
  <c r="B112" i="20"/>
  <c r="B113" i="20"/>
  <c r="B114" i="20"/>
  <c r="B115" i="20"/>
  <c r="B116" i="20"/>
  <c r="B117" i="20"/>
  <c r="B118" i="20"/>
  <c r="B119" i="20"/>
  <c r="B120" i="20"/>
  <c r="B121" i="20"/>
  <c r="B122" i="20"/>
  <c r="B123" i="20"/>
  <c r="B124" i="20"/>
  <c r="B125" i="20"/>
  <c r="B126" i="20"/>
  <c r="B127" i="20"/>
  <c r="B128" i="20"/>
  <c r="B129" i="20"/>
  <c r="B130" i="20"/>
  <c r="B131" i="20"/>
  <c r="B132" i="20"/>
  <c r="B133" i="20"/>
  <c r="B134" i="20"/>
  <c r="B135" i="20"/>
  <c r="B136" i="20"/>
  <c r="B137" i="20"/>
  <c r="B138" i="20"/>
  <c r="B139" i="20"/>
  <c r="B140" i="20"/>
  <c r="B141" i="20"/>
  <c r="B142" i="20"/>
  <c r="B143" i="20"/>
  <c r="B144" i="20"/>
  <c r="B145" i="20"/>
  <c r="B146" i="20"/>
  <c r="B147" i="20"/>
  <c r="B148" i="20"/>
  <c r="B149" i="20"/>
  <c r="B150" i="20"/>
  <c r="B151" i="20"/>
  <c r="B152" i="20"/>
  <c r="B153" i="20"/>
  <c r="B154" i="20"/>
  <c r="B155" i="20"/>
  <c r="B156" i="20"/>
  <c r="B157" i="20"/>
  <c r="B158" i="20"/>
  <c r="B159" i="20"/>
  <c r="B160" i="20"/>
  <c r="B161" i="20"/>
  <c r="B162" i="20"/>
  <c r="B163" i="20"/>
  <c r="B164" i="20"/>
  <c r="B165" i="20"/>
  <c r="B166" i="20"/>
  <c r="B167" i="20"/>
  <c r="B168" i="20"/>
  <c r="B169" i="20"/>
  <c r="B170" i="20"/>
  <c r="B171" i="20"/>
  <c r="B172" i="20"/>
  <c r="B173" i="20"/>
  <c r="B174" i="20"/>
  <c r="B175" i="20"/>
  <c r="B176" i="20"/>
  <c r="B177" i="20"/>
  <c r="B178" i="20"/>
  <c r="B179" i="20"/>
  <c r="B180" i="20"/>
  <c r="B181" i="20"/>
  <c r="B182" i="20"/>
  <c r="B183" i="20"/>
  <c r="B184" i="20"/>
  <c r="B185" i="20"/>
  <c r="B186" i="20"/>
  <c r="B187" i="20"/>
  <c r="B188" i="20"/>
  <c r="B189" i="20"/>
  <c r="B190" i="20"/>
  <c r="B191" i="20"/>
  <c r="B192" i="20"/>
  <c r="B193" i="20"/>
  <c r="B194" i="20"/>
  <c r="B195" i="20"/>
  <c r="B196" i="20"/>
  <c r="B197" i="20"/>
  <c r="B198" i="20"/>
  <c r="B199" i="20"/>
  <c r="B200" i="20"/>
  <c r="B201" i="20"/>
  <c r="B202" i="20"/>
  <c r="B203" i="20"/>
  <c r="B204" i="20"/>
  <c r="B205" i="20"/>
  <c r="B206" i="20"/>
  <c r="B207" i="20"/>
  <c r="B208" i="20"/>
  <c r="B209" i="20"/>
  <c r="B210" i="20"/>
  <c r="B211" i="20"/>
  <c r="B212" i="20"/>
  <c r="B213" i="20"/>
  <c r="B214" i="20"/>
  <c r="B215" i="20"/>
  <c r="B216" i="20"/>
  <c r="B217" i="20"/>
  <c r="B218" i="20"/>
  <c r="B219" i="20"/>
  <c r="B220" i="20"/>
  <c r="B221" i="20"/>
  <c r="B222" i="20"/>
  <c r="B223" i="20"/>
  <c r="B224" i="20"/>
  <c r="B225" i="20"/>
  <c r="B226" i="20"/>
  <c r="B227" i="20"/>
  <c r="B228" i="20"/>
  <c r="B229" i="20"/>
  <c r="B230" i="20"/>
  <c r="B231" i="20"/>
  <c r="B232" i="20"/>
  <c r="B233" i="20"/>
  <c r="B234" i="20"/>
  <c r="B235" i="20"/>
  <c r="B236" i="20"/>
  <c r="B237" i="20"/>
  <c r="B238" i="20"/>
  <c r="B239" i="20"/>
  <c r="B240" i="20"/>
  <c r="B241" i="20"/>
  <c r="B242" i="20"/>
  <c r="B243" i="20"/>
  <c r="B244" i="20"/>
  <c r="B245" i="20"/>
  <c r="B246" i="20"/>
  <c r="B247" i="20"/>
  <c r="B248" i="20"/>
  <c r="B249" i="20"/>
  <c r="B250" i="20"/>
  <c r="B251" i="20"/>
  <c r="B252" i="20"/>
  <c r="B253" i="20"/>
  <c r="B254" i="20"/>
  <c r="B255" i="20"/>
  <c r="B256" i="20"/>
  <c r="B257" i="20"/>
  <c r="B258" i="20"/>
  <c r="B259" i="20"/>
  <c r="B260" i="20"/>
  <c r="B261" i="20"/>
  <c r="B262" i="20"/>
  <c r="B263" i="20"/>
  <c r="B264" i="20"/>
  <c r="B265" i="20"/>
  <c r="B266" i="20"/>
  <c r="B267" i="20"/>
  <c r="B268" i="20"/>
  <c r="B269" i="20"/>
  <c r="B270" i="20"/>
  <c r="B271" i="20"/>
  <c r="B272" i="20"/>
  <c r="B273" i="20"/>
  <c r="B274" i="20"/>
  <c r="B275" i="20"/>
  <c r="B276" i="20"/>
  <c r="B277" i="20"/>
  <c r="B278" i="20"/>
  <c r="B279" i="20"/>
  <c r="B280" i="20"/>
  <c r="B281" i="20"/>
  <c r="B282" i="20"/>
  <c r="B283" i="20"/>
  <c r="B284" i="20"/>
  <c r="B285" i="20"/>
  <c r="B286" i="20"/>
  <c r="B287" i="20"/>
  <c r="B288" i="20"/>
  <c r="B289" i="20"/>
  <c r="B290" i="20"/>
  <c r="B291" i="20"/>
  <c r="B292" i="20"/>
  <c r="B293" i="20"/>
  <c r="B294" i="20"/>
  <c r="B295" i="20"/>
  <c r="B296" i="20"/>
  <c r="B297" i="20"/>
  <c r="B298" i="20"/>
  <c r="B299" i="20"/>
  <c r="B300" i="20"/>
  <c r="B301" i="20"/>
  <c r="B302" i="20"/>
  <c r="B303" i="20"/>
  <c r="B304" i="20"/>
  <c r="B305" i="20"/>
  <c r="B306" i="20"/>
  <c r="B307" i="20"/>
  <c r="B308" i="20"/>
  <c r="B309" i="20"/>
  <c r="B310" i="20"/>
  <c r="B311" i="20"/>
  <c r="B312" i="20"/>
  <c r="B313" i="20"/>
  <c r="B314" i="20"/>
  <c r="B315" i="20"/>
  <c r="B316" i="20"/>
  <c r="B317" i="20"/>
  <c r="B318" i="20"/>
  <c r="B319" i="20"/>
  <c r="B320" i="20"/>
  <c r="B321" i="20"/>
  <c r="B322" i="20"/>
  <c r="B323" i="20"/>
  <c r="B324" i="20"/>
  <c r="B325" i="20"/>
  <c r="B326" i="20"/>
  <c r="B327" i="20"/>
  <c r="B328" i="20"/>
  <c r="B329" i="20"/>
  <c r="B330" i="20"/>
  <c r="B331" i="20"/>
  <c r="B332" i="20"/>
  <c r="B333" i="20"/>
  <c r="B334" i="20"/>
  <c r="B335" i="20"/>
  <c r="B336" i="20"/>
  <c r="B337" i="20"/>
  <c r="B338" i="20"/>
  <c r="B339" i="20"/>
  <c r="B340" i="20"/>
  <c r="B341" i="20"/>
  <c r="B342" i="20"/>
  <c r="B343" i="20"/>
  <c r="B344" i="20"/>
  <c r="B345" i="20"/>
  <c r="B346" i="20"/>
  <c r="B347" i="20"/>
  <c r="B348" i="20"/>
  <c r="B349" i="20"/>
  <c r="B350" i="20"/>
  <c r="B351" i="20"/>
  <c r="B352" i="20"/>
  <c r="B353" i="20"/>
  <c r="B354" i="20"/>
  <c r="B355" i="20"/>
  <c r="B356" i="20"/>
  <c r="B357" i="20"/>
  <c r="B358" i="20"/>
  <c r="B359" i="20"/>
  <c r="B360" i="20"/>
  <c r="B361" i="20"/>
  <c r="B362" i="20"/>
  <c r="B363" i="20"/>
  <c r="B364" i="20"/>
  <c r="B365" i="20"/>
  <c r="B366" i="20"/>
  <c r="B367" i="20"/>
  <c r="B368" i="20"/>
  <c r="B369" i="20"/>
  <c r="B370" i="20"/>
  <c r="B371" i="20"/>
  <c r="B372" i="20"/>
  <c r="B373" i="20"/>
  <c r="B87" i="20"/>
  <c r="A373" i="20"/>
  <c r="A372" i="20"/>
  <c r="A371" i="20"/>
  <c r="A370" i="20"/>
  <c r="A369" i="20"/>
  <c r="A368" i="20"/>
  <c r="A367" i="20"/>
  <c r="A366" i="20"/>
  <c r="A365" i="20"/>
  <c r="A364" i="20"/>
  <c r="A363" i="20"/>
  <c r="A362" i="20"/>
  <c r="A361" i="20"/>
  <c r="A360" i="20"/>
  <c r="A359" i="20"/>
  <c r="A358" i="20"/>
  <c r="A357" i="20"/>
  <c r="A356" i="20"/>
  <c r="A355" i="20"/>
  <c r="A354" i="20"/>
  <c r="A353" i="20"/>
  <c r="A352" i="20"/>
  <c r="A351" i="20"/>
  <c r="A350" i="20"/>
  <c r="A349" i="20"/>
  <c r="A348" i="20"/>
  <c r="A347" i="20"/>
  <c r="A346" i="20"/>
  <c r="A345" i="20"/>
  <c r="A344" i="20"/>
  <c r="A343" i="20"/>
  <c r="A342" i="20"/>
  <c r="A341" i="20"/>
  <c r="A340" i="20"/>
  <c r="A339" i="20"/>
  <c r="A338" i="20"/>
  <c r="A337" i="20"/>
  <c r="A336" i="20"/>
  <c r="A335" i="20"/>
  <c r="A334" i="20"/>
  <c r="A333" i="20"/>
  <c r="A332" i="20"/>
  <c r="A331" i="20"/>
  <c r="A330" i="20"/>
  <c r="A329" i="20"/>
  <c r="A328" i="20"/>
  <c r="A327" i="20"/>
  <c r="A326" i="20"/>
  <c r="A325" i="20"/>
  <c r="A324" i="20"/>
  <c r="A323" i="20"/>
  <c r="A322" i="20"/>
  <c r="A321" i="20"/>
  <c r="A320" i="20"/>
  <c r="A319" i="20"/>
  <c r="A318" i="20"/>
  <c r="A317" i="20"/>
  <c r="A316" i="20"/>
  <c r="A315" i="20"/>
  <c r="A314" i="20"/>
  <c r="A313" i="20"/>
  <c r="A312" i="20"/>
  <c r="A311" i="20"/>
  <c r="A310" i="20"/>
  <c r="A309" i="20"/>
  <c r="A308" i="20"/>
  <c r="A307" i="20"/>
  <c r="A306" i="20"/>
  <c r="A305" i="20"/>
  <c r="A304" i="20"/>
  <c r="A303" i="20"/>
  <c r="A302" i="20"/>
  <c r="A301" i="20"/>
  <c r="A300" i="20"/>
  <c r="A299" i="20"/>
  <c r="A298" i="20"/>
  <c r="A297" i="20"/>
  <c r="A296" i="20"/>
  <c r="A295" i="20"/>
  <c r="A294" i="20"/>
  <c r="A293" i="20"/>
  <c r="A292" i="20"/>
  <c r="A291" i="20"/>
  <c r="A290" i="20"/>
  <c r="A289" i="20"/>
  <c r="A288" i="20"/>
  <c r="A287" i="20"/>
  <c r="A286" i="20"/>
  <c r="A285" i="20"/>
  <c r="A284" i="20"/>
  <c r="A283" i="20"/>
  <c r="A282" i="20"/>
  <c r="A281" i="20"/>
  <c r="A280" i="20"/>
  <c r="A279" i="20"/>
  <c r="A278" i="20"/>
  <c r="A277" i="20"/>
  <c r="A276" i="20"/>
  <c r="A275" i="20"/>
  <c r="A274" i="20"/>
  <c r="A273" i="20"/>
  <c r="A272" i="20"/>
  <c r="A271" i="20"/>
  <c r="A270" i="20"/>
  <c r="A269" i="20"/>
  <c r="A268" i="20"/>
  <c r="A267" i="20"/>
  <c r="A266" i="20"/>
  <c r="A265" i="20"/>
  <c r="A264" i="20"/>
  <c r="A263" i="20"/>
  <c r="A262" i="20"/>
  <c r="A261" i="20"/>
  <c r="A260" i="20"/>
  <c r="A259" i="20"/>
  <c r="A258" i="20"/>
  <c r="A257" i="20"/>
  <c r="A256" i="20"/>
  <c r="A255" i="20"/>
  <c r="A254" i="20"/>
  <c r="A253" i="20"/>
  <c r="A252" i="20"/>
  <c r="A251" i="20"/>
  <c r="A250" i="20"/>
  <c r="A249" i="20"/>
  <c r="A248" i="20"/>
  <c r="A247" i="20"/>
  <c r="A246" i="20"/>
  <c r="A245" i="20"/>
  <c r="A244" i="20"/>
  <c r="A243" i="20"/>
  <c r="A242" i="20"/>
  <c r="A241" i="20"/>
  <c r="A240" i="20"/>
  <c r="A239" i="20"/>
  <c r="A238" i="20"/>
  <c r="A237" i="20"/>
  <c r="A236" i="20"/>
  <c r="A235" i="20"/>
  <c r="A234" i="20"/>
  <c r="A233" i="20"/>
  <c r="A232" i="20"/>
  <c r="A231" i="20"/>
  <c r="A230" i="20"/>
  <c r="A229" i="20"/>
  <c r="A228" i="20"/>
  <c r="A227" i="20"/>
  <c r="A226" i="20"/>
  <c r="A225" i="20"/>
  <c r="A224" i="20"/>
  <c r="A223" i="20"/>
  <c r="A222" i="20"/>
  <c r="A221" i="20"/>
  <c r="A220" i="20"/>
  <c r="A219" i="20"/>
  <c r="A218" i="20"/>
  <c r="A217" i="20"/>
  <c r="A216" i="20"/>
  <c r="A215" i="20"/>
  <c r="A214" i="20"/>
  <c r="A213" i="20"/>
  <c r="A212" i="20"/>
  <c r="A211" i="20"/>
  <c r="A210" i="20"/>
  <c r="A209" i="20"/>
  <c r="A208" i="20"/>
  <c r="A207" i="20"/>
  <c r="A206" i="20"/>
  <c r="A205" i="20"/>
  <c r="A204" i="20"/>
  <c r="A203" i="20"/>
  <c r="A202" i="20"/>
  <c r="A201" i="20"/>
  <c r="A200" i="20"/>
  <c r="A199" i="20"/>
  <c r="A198" i="20"/>
  <c r="A197" i="20"/>
  <c r="A196" i="20"/>
  <c r="A195" i="20"/>
  <c r="A194" i="20"/>
  <c r="A193" i="20"/>
  <c r="A192" i="20"/>
  <c r="A191" i="20"/>
  <c r="A190" i="20"/>
  <c r="A189" i="20"/>
  <c r="A188" i="20"/>
  <c r="A187" i="20"/>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7" i="20"/>
  <c r="A88" i="20"/>
  <c r="A89" i="20"/>
  <c r="G348" i="28" l="1"/>
  <c r="G328" i="28"/>
  <c r="G365" i="28"/>
  <c r="G259" i="28"/>
  <c r="H259" i="28" s="1"/>
  <c r="G206" i="28"/>
  <c r="G347" i="28"/>
  <c r="G327" i="28"/>
  <c r="H327" i="28" s="1"/>
  <c r="G300" i="28"/>
  <c r="Z309" i="28"/>
  <c r="G257" i="28"/>
  <c r="G204" i="28"/>
  <c r="Z279" i="28"/>
  <c r="G307" i="28"/>
  <c r="G340" i="28"/>
  <c r="Z356" i="28"/>
  <c r="G326" i="28"/>
  <c r="G299" i="28"/>
  <c r="Z303" i="28"/>
  <c r="G243" i="28"/>
  <c r="G202" i="28"/>
  <c r="Z308" i="28"/>
  <c r="Z275" i="28"/>
  <c r="G354" i="28"/>
  <c r="H354" i="28" s="1"/>
  <c r="G346" i="28"/>
  <c r="H346" i="28" s="1"/>
  <c r="G337" i="28"/>
  <c r="G363" i="28"/>
  <c r="Z350" i="28"/>
  <c r="Z334" i="28"/>
  <c r="G324" i="28"/>
  <c r="G315" i="28"/>
  <c r="G306" i="28"/>
  <c r="H306" i="28" s="1"/>
  <c r="G297" i="28"/>
  <c r="G288" i="28"/>
  <c r="Z331" i="28"/>
  <c r="Z295" i="28"/>
  <c r="G273" i="28"/>
  <c r="G254" i="28"/>
  <c r="G236" i="28"/>
  <c r="G218" i="28"/>
  <c r="H218" i="28" s="1"/>
  <c r="G199" i="28"/>
  <c r="H199" i="28" s="1"/>
  <c r="Z304" i="28"/>
  <c r="Z271" i="28"/>
  <c r="Z233" i="28"/>
  <c r="G353" i="28"/>
  <c r="G345" i="28"/>
  <c r="G336" i="28"/>
  <c r="Z363" i="28"/>
  <c r="Z348" i="28"/>
  <c r="G332" i="28"/>
  <c r="G323" i="28"/>
  <c r="G314" i="28"/>
  <c r="G305" i="28"/>
  <c r="G296" i="28"/>
  <c r="G287" i="28"/>
  <c r="Z349" i="28"/>
  <c r="Z327" i="28"/>
  <c r="Z291" i="28"/>
  <c r="G270" i="28"/>
  <c r="G252" i="28"/>
  <c r="G234" i="28"/>
  <c r="G215" i="28"/>
  <c r="G197" i="28"/>
  <c r="H197" i="28" s="1"/>
  <c r="Z265" i="28"/>
  <c r="Z229" i="28"/>
  <c r="G352" i="28"/>
  <c r="G344" i="28"/>
  <c r="G335" i="28"/>
  <c r="Z344" i="28"/>
  <c r="G331" i="28"/>
  <c r="G322" i="28"/>
  <c r="G313" i="28"/>
  <c r="H313" i="28" s="1"/>
  <c r="G304" i="28"/>
  <c r="G295" i="28"/>
  <c r="G286" i="28"/>
  <c r="Z323" i="28"/>
  <c r="G285" i="28"/>
  <c r="H285" i="28" s="1"/>
  <c r="G268" i="28"/>
  <c r="G250" i="28"/>
  <c r="G231" i="28"/>
  <c r="H231" i="28" s="1"/>
  <c r="G213" i="28"/>
  <c r="H213" i="28" s="1"/>
  <c r="G195" i="28"/>
  <c r="H195" i="28" s="1"/>
  <c r="Z347" i="28"/>
  <c r="Z261" i="28"/>
  <c r="Z225" i="28"/>
  <c r="Z361" i="27"/>
  <c r="G351" i="28"/>
  <c r="G343" i="28"/>
  <c r="H343" i="28" s="1"/>
  <c r="G371" i="28"/>
  <c r="Z359" i="28"/>
  <c r="Z342" i="28"/>
  <c r="G330" i="28"/>
  <c r="G321" i="28"/>
  <c r="G312" i="28"/>
  <c r="G303" i="28"/>
  <c r="G294" i="28"/>
  <c r="H294" i="28" s="1"/>
  <c r="Z373" i="28"/>
  <c r="Z345" i="28"/>
  <c r="Z317" i="28"/>
  <c r="G284" i="28"/>
  <c r="G266" i="28"/>
  <c r="G247" i="28"/>
  <c r="G229" i="28"/>
  <c r="H229" i="28" s="1"/>
  <c r="G211" i="28"/>
  <c r="H211" i="28" s="1"/>
  <c r="G193" i="28"/>
  <c r="Z257" i="28"/>
  <c r="Z221" i="28"/>
  <c r="Z5" i="28"/>
  <c r="G350" i="28"/>
  <c r="G342" i="28"/>
  <c r="G358" i="28"/>
  <c r="Z340" i="28"/>
  <c r="G329" i="28"/>
  <c r="G320" i="28"/>
  <c r="G311" i="28"/>
  <c r="G302" i="28"/>
  <c r="G292" i="28"/>
  <c r="Z313" i="28"/>
  <c r="G282" i="28"/>
  <c r="G263" i="28"/>
  <c r="H263" i="28" s="1"/>
  <c r="G245" i="28"/>
  <c r="H245" i="28" s="1"/>
  <c r="G227" i="28"/>
  <c r="H227" i="28" s="1"/>
  <c r="G209" i="28"/>
  <c r="G190" i="28"/>
  <c r="Z312" i="28"/>
  <c r="Z253" i="28"/>
  <c r="G258" i="27"/>
  <c r="G42" i="27"/>
  <c r="H338" i="28"/>
  <c r="H279" i="28"/>
  <c r="H275" i="28"/>
  <c r="H247" i="28"/>
  <c r="H243" i="28"/>
  <c r="H215" i="28"/>
  <c r="Z298" i="28"/>
  <c r="Z314" i="28"/>
  <c r="Z369" i="28"/>
  <c r="Z195" i="28"/>
  <c r="Z203" i="28"/>
  <c r="Z211" i="28"/>
  <c r="Z217" i="28"/>
  <c r="Z223" i="28"/>
  <c r="Z227" i="28"/>
  <c r="Z231" i="28"/>
  <c r="Z237" i="28"/>
  <c r="Z241" i="28"/>
  <c r="Z245" i="28"/>
  <c r="Z249" i="28"/>
  <c r="Z255" i="28"/>
  <c r="Z259" i="28"/>
  <c r="Z263" i="28"/>
  <c r="Z269" i="28"/>
  <c r="Z273" i="28"/>
  <c r="Z277" i="28"/>
  <c r="Z281" i="28"/>
  <c r="Z288" i="28"/>
  <c r="Z292" i="28"/>
  <c r="Z296" i="28"/>
  <c r="Z320" i="28"/>
  <c r="Z324" i="28"/>
  <c r="Z328" i="28"/>
  <c r="Z339" i="28"/>
  <c r="Z355" i="28"/>
  <c r="Z361" i="28"/>
  <c r="G191" i="28"/>
  <c r="H191" i="28" s="1"/>
  <c r="G194" i="28"/>
  <c r="G196" i="28"/>
  <c r="H196" i="28" s="1"/>
  <c r="G198" i="28"/>
  <c r="H198" i="28" s="1"/>
  <c r="G201" i="28"/>
  <c r="H201" i="28" s="1"/>
  <c r="G203" i="28"/>
  <c r="H203" i="28" s="1"/>
  <c r="G205" i="28"/>
  <c r="H205" i="28" s="1"/>
  <c r="G207" i="28"/>
  <c r="G210" i="28"/>
  <c r="H210" i="28" s="1"/>
  <c r="G212" i="28"/>
  <c r="G214" i="28"/>
  <c r="H214" i="28" s="1"/>
  <c r="G217" i="28"/>
  <c r="H217" i="28" s="1"/>
  <c r="G219" i="28"/>
  <c r="H219" i="28" s="1"/>
  <c r="G221" i="28"/>
  <c r="H221" i="28" s="1"/>
  <c r="G223" i="28"/>
  <c r="H223" i="28" s="1"/>
  <c r="G226" i="28"/>
  <c r="G228" i="28"/>
  <c r="H228" i="28" s="1"/>
  <c r="G230" i="28"/>
  <c r="G233" i="28"/>
  <c r="H233" i="28" s="1"/>
  <c r="G235" i="28"/>
  <c r="H235" i="28" s="1"/>
  <c r="G237" i="28"/>
  <c r="H237" i="28" s="1"/>
  <c r="G239" i="28"/>
  <c r="G242" i="28"/>
  <c r="H242" i="28" s="1"/>
  <c r="G244" i="28"/>
  <c r="G246" i="28"/>
  <c r="H246" i="28" s="1"/>
  <c r="G249" i="28"/>
  <c r="H249" i="28" s="1"/>
  <c r="G251" i="28"/>
  <c r="H251" i="28" s="1"/>
  <c r="G253" i="28"/>
  <c r="H253" i="28" s="1"/>
  <c r="G255" i="28"/>
  <c r="H255" i="28" s="1"/>
  <c r="G258" i="28"/>
  <c r="G260" i="28"/>
  <c r="H260" i="28" s="1"/>
  <c r="G262" i="28"/>
  <c r="G265" i="28"/>
  <c r="H265" i="28" s="1"/>
  <c r="G267" i="28"/>
  <c r="H267" i="28" s="1"/>
  <c r="G269" i="28"/>
  <c r="H269" i="28" s="1"/>
  <c r="G271" i="28"/>
  <c r="H271" i="28" s="1"/>
  <c r="G274" i="28"/>
  <c r="H274" i="28" s="1"/>
  <c r="G276" i="28"/>
  <c r="G278" i="28"/>
  <c r="H278" i="28" s="1"/>
  <c r="G281" i="28"/>
  <c r="H281" i="28" s="1"/>
  <c r="G283" i="28"/>
  <c r="H283" i="28" s="1"/>
  <c r="Z285" i="28"/>
  <c r="Z287" i="28"/>
  <c r="Z293" i="28"/>
  <c r="Z297" i="28"/>
  <c r="Z301" i="28"/>
  <c r="Z307" i="28"/>
  <c r="Z311" i="28"/>
  <c r="Z315" i="28"/>
  <c r="Z319" i="28"/>
  <c r="Z325" i="28"/>
  <c r="Z329" i="28"/>
  <c r="Z333" i="28"/>
  <c r="Z357" i="28"/>
  <c r="Z365" i="28"/>
  <c r="H273" i="28"/>
  <c r="H257" i="28"/>
  <c r="H241" i="28"/>
  <c r="H225" i="28"/>
  <c r="H209" i="28"/>
  <c r="H193" i="28"/>
  <c r="G341" i="28"/>
  <c r="Z371" i="28"/>
  <c r="G359" i="28"/>
  <c r="Z346" i="28"/>
  <c r="G333" i="28"/>
  <c r="H333" i="28" s="1"/>
  <c r="G325" i="28"/>
  <c r="H325" i="28" s="1"/>
  <c r="G317" i="28"/>
  <c r="H317" i="28" s="1"/>
  <c r="G309" i="28"/>
  <c r="H309" i="28" s="1"/>
  <c r="G301" i="28"/>
  <c r="H301" i="28" s="1"/>
  <c r="G293" i="28"/>
  <c r="H293" i="28" s="1"/>
  <c r="G373" i="28"/>
  <c r="Z353" i="28"/>
  <c r="Z337" i="28"/>
  <c r="Z321" i="28"/>
  <c r="Z305" i="28"/>
  <c r="Z289" i="28"/>
  <c r="G280" i="28"/>
  <c r="G272" i="28"/>
  <c r="H272" i="28" s="1"/>
  <c r="G264" i="28"/>
  <c r="G256" i="28"/>
  <c r="H256" i="28" s="1"/>
  <c r="G248" i="28"/>
  <c r="G240" i="28"/>
  <c r="H240" i="28" s="1"/>
  <c r="G232" i="28"/>
  <c r="H232" i="28" s="1"/>
  <c r="G224" i="28"/>
  <c r="H224" i="28" s="1"/>
  <c r="G216" i="28"/>
  <c r="G208" i="28"/>
  <c r="H208" i="28" s="1"/>
  <c r="G200" i="28"/>
  <c r="G192" i="28"/>
  <c r="H192" i="28" s="1"/>
  <c r="Z332" i="28"/>
  <c r="Z316" i="28"/>
  <c r="Z300" i="28"/>
  <c r="Z283" i="28"/>
  <c r="Z267" i="28"/>
  <c r="Z251" i="28"/>
  <c r="Z235" i="28"/>
  <c r="Z219" i="28"/>
  <c r="Z191" i="28"/>
  <c r="G194" i="27"/>
  <c r="G170" i="27"/>
  <c r="H170" i="27" s="1"/>
  <c r="G370" i="27"/>
  <c r="G348" i="27"/>
  <c r="G178" i="27"/>
  <c r="G106" i="27"/>
  <c r="H239" i="28"/>
  <c r="H207" i="28"/>
  <c r="G242" i="27"/>
  <c r="Z166" i="27"/>
  <c r="G226" i="27"/>
  <c r="H226" i="27" s="1"/>
  <c r="G7" i="27"/>
  <c r="G210" i="27"/>
  <c r="H210" i="27" s="1"/>
  <c r="Z263" i="27"/>
  <c r="Z115" i="27"/>
  <c r="G362" i="27"/>
  <c r="G356" i="27"/>
  <c r="H356" i="27" s="1"/>
  <c r="Z348" i="27"/>
  <c r="G266" i="27"/>
  <c r="H266" i="27" s="1"/>
  <c r="G250" i="27"/>
  <c r="H250" i="27" s="1"/>
  <c r="G234" i="27"/>
  <c r="G218" i="27"/>
  <c r="H218" i="27" s="1"/>
  <c r="G202" i="27"/>
  <c r="H202" i="27" s="1"/>
  <c r="G186" i="27"/>
  <c r="H186" i="27" s="1"/>
  <c r="Z369" i="27"/>
  <c r="Z258" i="27"/>
  <c r="Z227" i="27"/>
  <c r="G138" i="27"/>
  <c r="H138" i="27" s="1"/>
  <c r="G74" i="27"/>
  <c r="G10" i="27"/>
  <c r="Z102" i="27"/>
  <c r="Z335" i="28"/>
  <c r="Z330" i="28"/>
  <c r="AG8" i="28"/>
  <c r="G366" i="27"/>
  <c r="G352" i="27"/>
  <c r="H352" i="27" s="1"/>
  <c r="Z356" i="27"/>
  <c r="Z344" i="27"/>
  <c r="G340" i="27"/>
  <c r="Z336" i="27"/>
  <c r="G332" i="27"/>
  <c r="Z328" i="27"/>
  <c r="G324" i="27"/>
  <c r="Z320" i="27"/>
  <c r="G270" i="27"/>
  <c r="H270" i="27" s="1"/>
  <c r="G262" i="27"/>
  <c r="H262" i="27" s="1"/>
  <c r="G254" i="27"/>
  <c r="G246" i="27"/>
  <c r="H246" i="27" s="1"/>
  <c r="G238" i="27"/>
  <c r="H238" i="27" s="1"/>
  <c r="G230" i="27"/>
  <c r="H230" i="27" s="1"/>
  <c r="G222" i="27"/>
  <c r="H222" i="27" s="1"/>
  <c r="G214" i="27"/>
  <c r="H214" i="27" s="1"/>
  <c r="G206" i="27"/>
  <c r="H206" i="27" s="1"/>
  <c r="G198" i="27"/>
  <c r="H198" i="27" s="1"/>
  <c r="G190" i="27"/>
  <c r="G182" i="27"/>
  <c r="H182" i="27" s="1"/>
  <c r="Z373" i="27"/>
  <c r="Z365" i="27"/>
  <c r="Z266" i="27"/>
  <c r="Z338" i="27"/>
  <c r="G330" i="27"/>
  <c r="Z322" i="27"/>
  <c r="Z247" i="27"/>
  <c r="Z195" i="27"/>
  <c r="G154" i="27"/>
  <c r="H154" i="27" s="1"/>
  <c r="G122" i="27"/>
  <c r="H122" i="27" s="1"/>
  <c r="G90" i="27"/>
  <c r="G58" i="27"/>
  <c r="G26" i="27"/>
  <c r="Z147" i="27"/>
  <c r="Z134" i="27"/>
  <c r="AF9" i="28"/>
  <c r="Z18" i="27"/>
  <c r="Z50" i="27"/>
  <c r="Z78" i="27"/>
  <c r="Z94" i="27"/>
  <c r="Z110" i="27"/>
  <c r="Z126" i="27"/>
  <c r="Z142" i="27"/>
  <c r="Z158" i="27"/>
  <c r="Z176" i="27"/>
  <c r="Z180" i="27"/>
  <c r="Z184" i="27"/>
  <c r="Z188" i="27"/>
  <c r="Z192" i="27"/>
  <c r="Z196" i="27"/>
  <c r="Z200" i="27"/>
  <c r="Z204" i="27"/>
  <c r="Z208" i="27"/>
  <c r="Z212" i="27"/>
  <c r="Z216" i="27"/>
  <c r="Z220" i="27"/>
  <c r="Z224" i="27"/>
  <c r="Z228" i="27"/>
  <c r="Z232" i="27"/>
  <c r="Z236" i="27"/>
  <c r="Z240" i="27"/>
  <c r="Z244" i="27"/>
  <c r="Z248" i="27"/>
  <c r="Z252" i="27"/>
  <c r="Z123" i="27"/>
  <c r="Z139" i="27"/>
  <c r="Z155" i="27"/>
  <c r="Z171" i="27"/>
  <c r="G14" i="27"/>
  <c r="H14" i="27" s="1"/>
  <c r="G22" i="27"/>
  <c r="G30" i="27"/>
  <c r="G38" i="27"/>
  <c r="G46" i="27"/>
  <c r="G54" i="27"/>
  <c r="G62" i="27"/>
  <c r="G70" i="27"/>
  <c r="G78" i="27"/>
  <c r="H78" i="27" s="1"/>
  <c r="G86" i="27"/>
  <c r="G94" i="27"/>
  <c r="G102" i="27"/>
  <c r="G110" i="27"/>
  <c r="H110" i="27" s="1"/>
  <c r="G118" i="27"/>
  <c r="H118" i="27" s="1"/>
  <c r="G126" i="27"/>
  <c r="H126" i="27" s="1"/>
  <c r="G134" i="27"/>
  <c r="H134" i="27" s="1"/>
  <c r="G142" i="27"/>
  <c r="H142" i="27" s="1"/>
  <c r="G150" i="27"/>
  <c r="H150" i="27" s="1"/>
  <c r="G158" i="27"/>
  <c r="H158" i="27" s="1"/>
  <c r="G166" i="27"/>
  <c r="H166" i="27" s="1"/>
  <c r="Z174" i="27"/>
  <c r="Z187" i="27"/>
  <c r="Z203" i="27"/>
  <c r="Z219" i="27"/>
  <c r="Z235" i="27"/>
  <c r="Z243" i="27"/>
  <c r="Z251" i="27"/>
  <c r="Z259" i="27"/>
  <c r="G372" i="27"/>
  <c r="G368" i="27"/>
  <c r="G364" i="27"/>
  <c r="G360" i="27"/>
  <c r="Z358" i="27"/>
  <c r="G354" i="27"/>
  <c r="H354" i="27" s="1"/>
  <c r="G350" i="27"/>
  <c r="G346" i="27"/>
  <c r="H346" i="27" s="1"/>
  <c r="Z352" i="27"/>
  <c r="Z345" i="27"/>
  <c r="G268" i="27"/>
  <c r="H268" i="27" s="1"/>
  <c r="G264" i="27"/>
  <c r="H264" i="27" s="1"/>
  <c r="G260" i="27"/>
  <c r="H260" i="27" s="1"/>
  <c r="G256" i="27"/>
  <c r="H256" i="27" s="1"/>
  <c r="G252" i="27"/>
  <c r="H252" i="27" s="1"/>
  <c r="G248" i="27"/>
  <c r="H248" i="27" s="1"/>
  <c r="G244" i="27"/>
  <c r="G240" i="27"/>
  <c r="H240" i="27" s="1"/>
  <c r="G236" i="27"/>
  <c r="H236" i="27" s="1"/>
  <c r="G232" i="27"/>
  <c r="H232" i="27" s="1"/>
  <c r="G228" i="27"/>
  <c r="H228" i="27" s="1"/>
  <c r="G224" i="27"/>
  <c r="H224" i="27" s="1"/>
  <c r="G220" i="27"/>
  <c r="H220" i="27" s="1"/>
  <c r="G216" i="27"/>
  <c r="H216" i="27" s="1"/>
  <c r="G212" i="27"/>
  <c r="G208" i="27"/>
  <c r="H208" i="27" s="1"/>
  <c r="G204" i="27"/>
  <c r="H204" i="27" s="1"/>
  <c r="G200" i="27"/>
  <c r="H200" i="27" s="1"/>
  <c r="G196" i="27"/>
  <c r="H196" i="27" s="1"/>
  <c r="G192" i="27"/>
  <c r="H192" i="27" s="1"/>
  <c r="G188" i="27"/>
  <c r="H188" i="27" s="1"/>
  <c r="G184" i="27"/>
  <c r="H184" i="27" s="1"/>
  <c r="G180" i="27"/>
  <c r="G176" i="27"/>
  <c r="H176" i="27" s="1"/>
  <c r="Z371" i="27"/>
  <c r="Z367" i="27"/>
  <c r="Z363" i="27"/>
  <c r="Z359" i="27"/>
  <c r="Z342" i="27"/>
  <c r="G334" i="27"/>
  <c r="Z326" i="27"/>
  <c r="G316" i="27"/>
  <c r="H316" i="27" s="1"/>
  <c r="Z312" i="27"/>
  <c r="G308" i="27"/>
  <c r="H308" i="27" s="1"/>
  <c r="Z304" i="27"/>
  <c r="G300" i="27"/>
  <c r="H300" i="27" s="1"/>
  <c r="Z296" i="27"/>
  <c r="G292" i="27"/>
  <c r="H292" i="27" s="1"/>
  <c r="Z288" i="27"/>
  <c r="G284" i="27"/>
  <c r="H284" i="27" s="1"/>
  <c r="Z280" i="27"/>
  <c r="G276" i="27"/>
  <c r="H276" i="27" s="1"/>
  <c r="Z272" i="27"/>
  <c r="Z270" i="27"/>
  <c r="Z262" i="27"/>
  <c r="Z357" i="27"/>
  <c r="Z318" i="27"/>
  <c r="G314" i="27"/>
  <c r="Z310" i="27"/>
  <c r="G306" i="27"/>
  <c r="Z302" i="27"/>
  <c r="G298" i="27"/>
  <c r="Z294" i="27"/>
  <c r="G290" i="27"/>
  <c r="Z286" i="27"/>
  <c r="G282" i="27"/>
  <c r="Z278" i="27"/>
  <c r="G274" i="27"/>
  <c r="Z267" i="27"/>
  <c r="Z255" i="27"/>
  <c r="Z239" i="27"/>
  <c r="Z211" i="27"/>
  <c r="Z179" i="27"/>
  <c r="G162" i="27"/>
  <c r="H162" i="27" s="1"/>
  <c r="G146" i="27"/>
  <c r="H146" i="27" s="1"/>
  <c r="G130" i="27"/>
  <c r="H130" i="27" s="1"/>
  <c r="G114" i="27"/>
  <c r="H114" i="27" s="1"/>
  <c r="G98" i="27"/>
  <c r="G82" i="27"/>
  <c r="G66" i="27"/>
  <c r="G50" i="27"/>
  <c r="G34" i="27"/>
  <c r="G18" i="27"/>
  <c r="Z163" i="27"/>
  <c r="Z131" i="27"/>
  <c r="Z150" i="27"/>
  <c r="Z118" i="27"/>
  <c r="Z86" i="27"/>
  <c r="Z34" i="27"/>
  <c r="H329" i="28"/>
  <c r="H321" i="28"/>
  <c r="H305" i="28"/>
  <c r="H297" i="28"/>
  <c r="H289" i="28"/>
  <c r="AG9" i="28"/>
  <c r="AF7" i="28"/>
  <c r="AF11" i="28"/>
  <c r="C372" i="25"/>
  <c r="H10" i="27"/>
  <c r="F106" i="27"/>
  <c r="I106" i="27" s="1"/>
  <c r="F102" i="27"/>
  <c r="I102" i="27" s="1"/>
  <c r="F98" i="27"/>
  <c r="I98" i="27" s="1"/>
  <c r="F94" i="27"/>
  <c r="I94" i="27" s="1"/>
  <c r="F90" i="27"/>
  <c r="I90" i="27" s="1"/>
  <c r="F86" i="27"/>
  <c r="I86" i="27" s="1"/>
  <c r="F82" i="27"/>
  <c r="I82" i="27" s="1"/>
  <c r="F78" i="27"/>
  <c r="I78" i="27" s="1"/>
  <c r="F74" i="27"/>
  <c r="I74" i="27" s="1"/>
  <c r="F70" i="27"/>
  <c r="I70" i="27" s="1"/>
  <c r="F66" i="27"/>
  <c r="I66" i="27" s="1"/>
  <c r="F62" i="27"/>
  <c r="I62" i="27" s="1"/>
  <c r="F58" i="27"/>
  <c r="I58" i="27" s="1"/>
  <c r="F54" i="27"/>
  <c r="I54" i="27" s="1"/>
  <c r="F50" i="27"/>
  <c r="I50" i="27" s="1"/>
  <c r="F46" i="27"/>
  <c r="I46" i="27" s="1"/>
  <c r="F42" i="27"/>
  <c r="I42" i="27" s="1"/>
  <c r="F38" i="27"/>
  <c r="I38" i="27" s="1"/>
  <c r="F34" i="27"/>
  <c r="I34" i="27" s="1"/>
  <c r="F30" i="27"/>
  <c r="I30" i="27" s="1"/>
  <c r="F26" i="27"/>
  <c r="I26" i="27" s="1"/>
  <c r="F22" i="27"/>
  <c r="I22" i="27" s="1"/>
  <c r="F18" i="27"/>
  <c r="I18" i="27" s="1"/>
  <c r="F14" i="27"/>
  <c r="I14" i="27" s="1"/>
  <c r="F11" i="27"/>
  <c r="I11" i="27" s="1"/>
  <c r="F9" i="27"/>
  <c r="I9" i="27" s="1"/>
  <c r="F7" i="27"/>
  <c r="I7" i="27" s="1"/>
  <c r="Z17" i="28"/>
  <c r="G95" i="28"/>
  <c r="G97" i="28"/>
  <c r="G99" i="28"/>
  <c r="G101" i="28"/>
  <c r="G103" i="28"/>
  <c r="H103" i="28" s="1"/>
  <c r="G105" i="28"/>
  <c r="G107" i="28"/>
  <c r="G109" i="28"/>
  <c r="G111" i="28"/>
  <c r="G113" i="28"/>
  <c r="G115" i="28"/>
  <c r="G117" i="28"/>
  <c r="G119" i="28"/>
  <c r="H119" i="28" s="1"/>
  <c r="G121" i="28"/>
  <c r="G123" i="28"/>
  <c r="G125" i="28"/>
  <c r="G127" i="28"/>
  <c r="G129" i="28"/>
  <c r="G131" i="28"/>
  <c r="G133" i="28"/>
  <c r="G135" i="28"/>
  <c r="H135" i="28" s="1"/>
  <c r="G137" i="28"/>
  <c r="G139" i="28"/>
  <c r="G141" i="28"/>
  <c r="G143" i="28"/>
  <c r="G145" i="28"/>
  <c r="G147" i="28"/>
  <c r="G149" i="28"/>
  <c r="G151" i="28"/>
  <c r="H151" i="28" s="1"/>
  <c r="G153" i="28"/>
  <c r="G155" i="28"/>
  <c r="G157" i="28"/>
  <c r="G159" i="28"/>
  <c r="G161" i="28"/>
  <c r="G163" i="28"/>
  <c r="G165" i="28"/>
  <c r="G167" i="28"/>
  <c r="H167" i="28" s="1"/>
  <c r="G169" i="28"/>
  <c r="G171" i="28"/>
  <c r="G173" i="28"/>
  <c r="G175" i="28"/>
  <c r="G177" i="28"/>
  <c r="G179" i="28"/>
  <c r="G181" i="28"/>
  <c r="G183" i="28"/>
  <c r="H183" i="28" s="1"/>
  <c r="G185" i="28"/>
  <c r="G187" i="28"/>
  <c r="G189" i="28"/>
  <c r="Z192" i="28"/>
  <c r="Z196" i="28"/>
  <c r="Z200" i="28"/>
  <c r="Z204" i="28"/>
  <c r="Z208" i="28"/>
  <c r="Z212" i="28"/>
  <c r="Z216" i="28"/>
  <c r="Z220" i="28"/>
  <c r="Z224" i="28"/>
  <c r="Z228" i="28"/>
  <c r="Z232" i="28"/>
  <c r="Z236" i="28"/>
  <c r="Z240" i="28"/>
  <c r="Z244" i="28"/>
  <c r="Z248" i="28"/>
  <c r="Z252" i="28"/>
  <c r="Z256" i="28"/>
  <c r="Z260" i="28"/>
  <c r="Z264" i="28"/>
  <c r="Z268" i="28"/>
  <c r="Z272" i="28"/>
  <c r="Z276" i="28"/>
  <c r="Z280" i="28"/>
  <c r="Z284" i="28"/>
  <c r="Z290" i="28"/>
  <c r="Z306" i="28"/>
  <c r="Z322" i="28"/>
  <c r="Z351" i="28"/>
  <c r="G369" i="28"/>
  <c r="G7" i="28"/>
  <c r="H7" i="28" s="1"/>
  <c r="Z193" i="28"/>
  <c r="Z197" i="28"/>
  <c r="Z201" i="28"/>
  <c r="Z205" i="28"/>
  <c r="Z209" i="28"/>
  <c r="Z213" i="28"/>
  <c r="D372" i="25"/>
  <c r="Z13" i="27"/>
  <c r="Z17" i="27"/>
  <c r="Z21" i="27"/>
  <c r="Z25" i="27"/>
  <c r="Z29" i="27"/>
  <c r="Z33" i="27"/>
  <c r="Z37" i="27"/>
  <c r="Z41" i="27"/>
  <c r="Z45" i="27"/>
  <c r="Z49" i="27"/>
  <c r="Z53" i="27"/>
  <c r="Z57" i="27"/>
  <c r="Z61" i="27"/>
  <c r="Z65" i="27"/>
  <c r="Z69" i="27"/>
  <c r="Z73" i="27"/>
  <c r="Z77" i="27"/>
  <c r="Z81" i="27"/>
  <c r="Z85" i="27"/>
  <c r="Z89" i="27"/>
  <c r="Z93" i="27"/>
  <c r="Z97" i="27"/>
  <c r="Z101" i="27"/>
  <c r="Z105" i="27"/>
  <c r="Z8" i="27"/>
  <c r="Z10" i="27"/>
  <c r="Z12" i="27"/>
  <c r="Z16" i="27"/>
  <c r="Z20" i="27"/>
  <c r="Z24" i="27"/>
  <c r="Z28" i="27"/>
  <c r="Z32" i="27"/>
  <c r="Z36" i="27"/>
  <c r="Z40" i="27"/>
  <c r="Z44" i="27"/>
  <c r="Z48" i="27"/>
  <c r="Z52" i="27"/>
  <c r="Z56" i="27"/>
  <c r="Z60" i="27"/>
  <c r="Z64" i="27"/>
  <c r="Z68" i="27"/>
  <c r="Z72" i="27"/>
  <c r="Z9" i="27"/>
  <c r="Z14" i="27"/>
  <c r="Z22" i="27"/>
  <c r="Z30" i="27"/>
  <c r="Z38" i="27"/>
  <c r="Z46" i="27"/>
  <c r="Z54" i="27"/>
  <c r="Z62" i="27"/>
  <c r="Z70" i="27"/>
  <c r="Z76" i="27"/>
  <c r="Z80" i="27"/>
  <c r="Z84" i="27"/>
  <c r="Z88" i="27"/>
  <c r="Z92" i="27"/>
  <c r="Z96" i="27"/>
  <c r="Z100" i="27"/>
  <c r="Z104" i="27"/>
  <c r="Z108" i="27"/>
  <c r="Z112" i="27"/>
  <c r="Z116" i="27"/>
  <c r="Z120" i="27"/>
  <c r="Z124" i="27"/>
  <c r="Z128" i="27"/>
  <c r="Z132" i="27"/>
  <c r="Z136" i="27"/>
  <c r="Z140" i="27"/>
  <c r="Z144" i="27"/>
  <c r="Z148" i="27"/>
  <c r="Z152" i="27"/>
  <c r="Z156" i="27"/>
  <c r="Z160" i="27"/>
  <c r="Z164" i="27"/>
  <c r="Z168" i="27"/>
  <c r="Z172" i="27"/>
  <c r="Z109" i="27"/>
  <c r="Z113" i="27"/>
  <c r="Z117" i="27"/>
  <c r="Z121" i="27"/>
  <c r="Z125" i="27"/>
  <c r="Z129" i="27"/>
  <c r="Z133" i="27"/>
  <c r="Z137" i="27"/>
  <c r="Z141" i="27"/>
  <c r="Z145" i="27"/>
  <c r="Z149" i="27"/>
  <c r="Z153" i="27"/>
  <c r="Z157" i="27"/>
  <c r="Z161" i="27"/>
  <c r="Z165" i="27"/>
  <c r="Z169" i="27"/>
  <c r="Z173" i="27"/>
  <c r="Z178" i="27"/>
  <c r="Z182" i="27"/>
  <c r="Z186" i="27"/>
  <c r="Z190" i="27"/>
  <c r="Z194" i="27"/>
  <c r="Z198" i="27"/>
  <c r="Z202" i="27"/>
  <c r="Z206" i="27"/>
  <c r="Z210" i="27"/>
  <c r="Z214" i="27"/>
  <c r="Z218" i="27"/>
  <c r="Z222" i="27"/>
  <c r="Z226" i="27"/>
  <c r="Z230" i="27"/>
  <c r="Z234" i="27"/>
  <c r="Z238" i="27"/>
  <c r="Z242" i="27"/>
  <c r="Z246" i="27"/>
  <c r="Z250" i="27"/>
  <c r="Z254" i="27"/>
  <c r="G9" i="27"/>
  <c r="G11" i="27"/>
  <c r="G13" i="27"/>
  <c r="G15" i="27"/>
  <c r="H15" i="27" s="1"/>
  <c r="G17" i="27"/>
  <c r="G19" i="27"/>
  <c r="H19" i="27" s="1"/>
  <c r="G21" i="27"/>
  <c r="H21" i="27" s="1"/>
  <c r="G23" i="27"/>
  <c r="H23" i="27" s="1"/>
  <c r="G25" i="27"/>
  <c r="G27" i="27"/>
  <c r="H27" i="27" s="1"/>
  <c r="G29" i="27"/>
  <c r="G31" i="27"/>
  <c r="H31" i="27" s="1"/>
  <c r="G33" i="27"/>
  <c r="G35" i="27"/>
  <c r="H35" i="27" s="1"/>
  <c r="G37" i="27"/>
  <c r="H37" i="27" s="1"/>
  <c r="G39" i="27"/>
  <c r="H39" i="27" s="1"/>
  <c r="G41" i="27"/>
  <c r="G43" i="27"/>
  <c r="H43" i="27" s="1"/>
  <c r="G45" i="27"/>
  <c r="G47" i="27"/>
  <c r="H47" i="27" s="1"/>
  <c r="G49" i="27"/>
  <c r="G51" i="27"/>
  <c r="H51" i="27" s="1"/>
  <c r="G53" i="27"/>
  <c r="H53" i="27" s="1"/>
  <c r="G55" i="27"/>
  <c r="H55" i="27" s="1"/>
  <c r="G57" i="27"/>
  <c r="G59" i="27"/>
  <c r="H59" i="27" s="1"/>
  <c r="G61" i="27"/>
  <c r="G63" i="27"/>
  <c r="H63" i="27" s="1"/>
  <c r="G65" i="27"/>
  <c r="G67" i="27"/>
  <c r="H67" i="27" s="1"/>
  <c r="G69" i="27"/>
  <c r="H69" i="27" s="1"/>
  <c r="G71" i="27"/>
  <c r="H71" i="27" s="1"/>
  <c r="G73" i="27"/>
  <c r="G75" i="27"/>
  <c r="H75" i="27" s="1"/>
  <c r="G77" i="27"/>
  <c r="G79" i="27"/>
  <c r="H79" i="27" s="1"/>
  <c r="G81" i="27"/>
  <c r="G83" i="27"/>
  <c r="H83" i="27" s="1"/>
  <c r="G85" i="27"/>
  <c r="H85" i="27" s="1"/>
  <c r="G87" i="27"/>
  <c r="H87" i="27" s="1"/>
  <c r="G89" i="27"/>
  <c r="G91" i="27"/>
  <c r="H91" i="27" s="1"/>
  <c r="G93" i="27"/>
  <c r="G95" i="27"/>
  <c r="H95" i="27" s="1"/>
  <c r="G97" i="27"/>
  <c r="G99" i="27"/>
  <c r="H99" i="27" s="1"/>
  <c r="G101" i="27"/>
  <c r="H101" i="27" s="1"/>
  <c r="G103" i="27"/>
  <c r="H103" i="27" s="1"/>
  <c r="G105" i="27"/>
  <c r="G107" i="27"/>
  <c r="H107" i="27" s="1"/>
  <c r="G109" i="27"/>
  <c r="G111" i="27"/>
  <c r="H111" i="27" s="1"/>
  <c r="G113" i="27"/>
  <c r="H113" i="27" s="1"/>
  <c r="G115" i="27"/>
  <c r="H115" i="27" s="1"/>
  <c r="G117" i="27"/>
  <c r="H117" i="27" s="1"/>
  <c r="G119" i="27"/>
  <c r="H119" i="27" s="1"/>
  <c r="G121" i="27"/>
  <c r="H121" i="27" s="1"/>
  <c r="G123" i="27"/>
  <c r="H123" i="27" s="1"/>
  <c r="G125" i="27"/>
  <c r="G127" i="27"/>
  <c r="H127" i="27" s="1"/>
  <c r="G129" i="27"/>
  <c r="H129" i="27" s="1"/>
  <c r="G131" i="27"/>
  <c r="H131" i="27" s="1"/>
  <c r="G133" i="27"/>
  <c r="G135" i="27"/>
  <c r="H135" i="27" s="1"/>
  <c r="G137" i="27"/>
  <c r="H137" i="27" s="1"/>
  <c r="G139" i="27"/>
  <c r="H139" i="27" s="1"/>
  <c r="G141" i="27"/>
  <c r="G143" i="27"/>
  <c r="H143" i="27" s="1"/>
  <c r="G145" i="27"/>
  <c r="H145" i="27" s="1"/>
  <c r="G147" i="27"/>
  <c r="H147" i="27" s="1"/>
  <c r="G149" i="27"/>
  <c r="H149" i="27" s="1"/>
  <c r="G151" i="27"/>
  <c r="H151" i="27" s="1"/>
  <c r="G153" i="27"/>
  <c r="H153" i="27" s="1"/>
  <c r="G155" i="27"/>
  <c r="H155" i="27" s="1"/>
  <c r="G157" i="27"/>
  <c r="G159" i="27"/>
  <c r="H159" i="27" s="1"/>
  <c r="G161" i="27"/>
  <c r="H161" i="27" s="1"/>
  <c r="G163" i="27"/>
  <c r="H163" i="27" s="1"/>
  <c r="G165" i="27"/>
  <c r="H165" i="27" s="1"/>
  <c r="G167" i="27"/>
  <c r="H167" i="27" s="1"/>
  <c r="G169" i="27"/>
  <c r="H169" i="27" s="1"/>
  <c r="G171" i="27"/>
  <c r="H171" i="27" s="1"/>
  <c r="G173" i="27"/>
  <c r="G174" i="27"/>
  <c r="H174" i="27" s="1"/>
  <c r="Z177" i="27"/>
  <c r="Z181" i="27"/>
  <c r="Z185" i="27"/>
  <c r="Z189" i="27"/>
  <c r="Z193" i="27"/>
  <c r="Z197" i="27"/>
  <c r="Z201" i="27"/>
  <c r="Z205" i="27"/>
  <c r="Z209" i="27"/>
  <c r="Z213" i="27"/>
  <c r="Z217" i="27"/>
  <c r="Z221" i="27"/>
  <c r="Z225" i="27"/>
  <c r="Z229" i="27"/>
  <c r="Z233" i="27"/>
  <c r="G373" i="27"/>
  <c r="H373" i="27" s="1"/>
  <c r="G371" i="27"/>
  <c r="H371" i="27" s="1"/>
  <c r="G369" i="27"/>
  <c r="H369" i="27" s="1"/>
  <c r="G367" i="27"/>
  <c r="H367" i="27" s="1"/>
  <c r="G365" i="27"/>
  <c r="H365" i="27" s="1"/>
  <c r="G363" i="27"/>
  <c r="H363" i="27" s="1"/>
  <c r="G361" i="27"/>
  <c r="H361" i="27" s="1"/>
  <c r="G359" i="27"/>
  <c r="G358" i="27"/>
  <c r="G357" i="27"/>
  <c r="H357" i="27" s="1"/>
  <c r="G355" i="27"/>
  <c r="H355" i="27" s="1"/>
  <c r="G353" i="27"/>
  <c r="H353" i="27" s="1"/>
  <c r="G351" i="27"/>
  <c r="H351" i="27" s="1"/>
  <c r="G349" i="27"/>
  <c r="H349" i="27" s="1"/>
  <c r="G347" i="27"/>
  <c r="H347" i="27" s="1"/>
  <c r="G345" i="27"/>
  <c r="H345" i="27" s="1"/>
  <c r="Z354" i="27"/>
  <c r="Z350" i="27"/>
  <c r="Z346" i="27"/>
  <c r="Z355" i="27"/>
  <c r="Z351" i="27"/>
  <c r="Z347" i="27"/>
  <c r="Z353" i="27"/>
  <c r="G344" i="27"/>
  <c r="Z340" i="27"/>
  <c r="G336" i="27"/>
  <c r="Z332" i="27"/>
  <c r="G328" i="27"/>
  <c r="H328" i="27" s="1"/>
  <c r="Z324" i="27"/>
  <c r="G320" i="27"/>
  <c r="G269" i="27"/>
  <c r="H269" i="27" s="1"/>
  <c r="G267" i="27"/>
  <c r="H267" i="27" s="1"/>
  <c r="G265" i="27"/>
  <c r="H265" i="27" s="1"/>
  <c r="G263" i="27"/>
  <c r="G261" i="27"/>
  <c r="H261" i="27" s="1"/>
  <c r="G259" i="27"/>
  <c r="H259" i="27" s="1"/>
  <c r="G257" i="27"/>
  <c r="H257" i="27" s="1"/>
  <c r="G255" i="27"/>
  <c r="G253" i="27"/>
  <c r="H253" i="27" s="1"/>
  <c r="G251" i="27"/>
  <c r="G249" i="27"/>
  <c r="H249" i="27" s="1"/>
  <c r="G247" i="27"/>
  <c r="G245" i="27"/>
  <c r="H245" i="27" s="1"/>
  <c r="G243" i="27"/>
  <c r="H243" i="27" s="1"/>
  <c r="G241" i="27"/>
  <c r="H241" i="27" s="1"/>
  <c r="G239" i="27"/>
  <c r="G237" i="27"/>
  <c r="H237" i="27" s="1"/>
  <c r="G235" i="27"/>
  <c r="G233" i="27"/>
  <c r="H233" i="27" s="1"/>
  <c r="G231" i="27"/>
  <c r="G229" i="27"/>
  <c r="H229" i="27" s="1"/>
  <c r="G227" i="27"/>
  <c r="H227" i="27" s="1"/>
  <c r="G225" i="27"/>
  <c r="H225" i="27" s="1"/>
  <c r="G223" i="27"/>
  <c r="G221" i="27"/>
  <c r="H221" i="27" s="1"/>
  <c r="G219" i="27"/>
  <c r="G217" i="27"/>
  <c r="H217" i="27" s="1"/>
  <c r="G215" i="27"/>
  <c r="G213" i="27"/>
  <c r="H213" i="27" s="1"/>
  <c r="G211" i="27"/>
  <c r="H211" i="27" s="1"/>
  <c r="G209" i="27"/>
  <c r="H209" i="27" s="1"/>
  <c r="G207" i="27"/>
  <c r="G205" i="27"/>
  <c r="H205" i="27" s="1"/>
  <c r="G203" i="27"/>
  <c r="G201" i="27"/>
  <c r="H201" i="27" s="1"/>
  <c r="G199" i="27"/>
  <c r="G197" i="27"/>
  <c r="H197" i="27" s="1"/>
  <c r="G195" i="27"/>
  <c r="H195" i="27" s="1"/>
  <c r="G193" i="27"/>
  <c r="H193" i="27" s="1"/>
  <c r="G191" i="27"/>
  <c r="G189" i="27"/>
  <c r="H189" i="27" s="1"/>
  <c r="G187" i="27"/>
  <c r="G185" i="27"/>
  <c r="H185" i="27" s="1"/>
  <c r="G183" i="27"/>
  <c r="G181" i="27"/>
  <c r="H181" i="27" s="1"/>
  <c r="G179" i="27"/>
  <c r="H179" i="27" s="1"/>
  <c r="G177" i="27"/>
  <c r="H177" i="27" s="1"/>
  <c r="G175" i="27"/>
  <c r="Z372" i="27"/>
  <c r="Z370" i="27"/>
  <c r="Z368" i="27"/>
  <c r="Z366" i="27"/>
  <c r="Z364" i="27"/>
  <c r="Z362" i="27"/>
  <c r="Z360" i="27"/>
  <c r="Z349" i="27"/>
  <c r="G342" i="27"/>
  <c r="Z334" i="27"/>
  <c r="G326" i="27"/>
  <c r="Z316" i="27"/>
  <c r="G312" i="27"/>
  <c r="H312" i="27" s="1"/>
  <c r="Z308" i="27"/>
  <c r="G304" i="27"/>
  <c r="H304" i="27" s="1"/>
  <c r="Z300" i="27"/>
  <c r="G296" i="27"/>
  <c r="H296" i="27" s="1"/>
  <c r="Z292" i="27"/>
  <c r="G288" i="27"/>
  <c r="H288" i="27" s="1"/>
  <c r="Z284" i="27"/>
  <c r="G280" i="27"/>
  <c r="H280" i="27" s="1"/>
  <c r="Z276" i="27"/>
  <c r="G272" i="27"/>
  <c r="H272" i="27" s="1"/>
  <c r="Z268" i="27"/>
  <c r="Z264" i="27"/>
  <c r="Z260" i="27"/>
  <c r="Z256" i="27"/>
  <c r="G338" i="27"/>
  <c r="Z330" i="27"/>
  <c r="G322" i="27"/>
  <c r="H322" i="27" s="1"/>
  <c r="G318" i="27"/>
  <c r="Z314" i="27"/>
  <c r="G310" i="27"/>
  <c r="Z306" i="27"/>
  <c r="G302" i="27"/>
  <c r="Z298" i="27"/>
  <c r="G294" i="27"/>
  <c r="Z290" i="27"/>
  <c r="G286" i="27"/>
  <c r="Z282" i="27"/>
  <c r="G278" i="27"/>
  <c r="Z274" i="27"/>
  <c r="Z269" i="27"/>
  <c r="Z265" i="27"/>
  <c r="Z261" i="27"/>
  <c r="Z257" i="27"/>
  <c r="Z253" i="27"/>
  <c r="Z249" i="27"/>
  <c r="Z245" i="27"/>
  <c r="Z241" i="27"/>
  <c r="Z237" i="27"/>
  <c r="Z231" i="27"/>
  <c r="Z223" i="27"/>
  <c r="Z215" i="27"/>
  <c r="Z207" i="27"/>
  <c r="Z199" i="27"/>
  <c r="Z191" i="27"/>
  <c r="Z183" i="27"/>
  <c r="Z175" i="27"/>
  <c r="G172" i="27"/>
  <c r="H172" i="27" s="1"/>
  <c r="G168" i="27"/>
  <c r="H168" i="27" s="1"/>
  <c r="G164" i="27"/>
  <c r="H164" i="27" s="1"/>
  <c r="G160" i="27"/>
  <c r="H160" i="27" s="1"/>
  <c r="G156" i="27"/>
  <c r="H156" i="27" s="1"/>
  <c r="G152" i="27"/>
  <c r="H152" i="27" s="1"/>
  <c r="G148" i="27"/>
  <c r="H148" i="27" s="1"/>
  <c r="G144" i="27"/>
  <c r="H144" i="27" s="1"/>
  <c r="G140" i="27"/>
  <c r="G136" i="27"/>
  <c r="H136" i="27" s="1"/>
  <c r="G132" i="27"/>
  <c r="H132" i="27" s="1"/>
  <c r="G128" i="27"/>
  <c r="H128" i="27" s="1"/>
  <c r="G124" i="27"/>
  <c r="H124" i="27" s="1"/>
  <c r="G120" i="27"/>
  <c r="H120" i="27" s="1"/>
  <c r="G116" i="27"/>
  <c r="G112" i="27"/>
  <c r="H112" i="27" s="1"/>
  <c r="G108" i="27"/>
  <c r="H108" i="27" s="1"/>
  <c r="G104" i="27"/>
  <c r="H104" i="27" s="1"/>
  <c r="G100" i="27"/>
  <c r="H100" i="27" s="1"/>
  <c r="G96" i="27"/>
  <c r="H96" i="27" s="1"/>
  <c r="G92" i="27"/>
  <c r="H92" i="27" s="1"/>
  <c r="G88" i="27"/>
  <c r="H88" i="27" s="1"/>
  <c r="G84" i="27"/>
  <c r="H84" i="27" s="1"/>
  <c r="G80" i="27"/>
  <c r="H80" i="27" s="1"/>
  <c r="G76" i="27"/>
  <c r="H76" i="27" s="1"/>
  <c r="G72" i="27"/>
  <c r="H72" i="27" s="1"/>
  <c r="G68" i="27"/>
  <c r="H68" i="27" s="1"/>
  <c r="G64" i="27"/>
  <c r="H64" i="27" s="1"/>
  <c r="G60" i="27"/>
  <c r="H60" i="27" s="1"/>
  <c r="G56" i="27"/>
  <c r="H56" i="27" s="1"/>
  <c r="G52" i="27"/>
  <c r="H52" i="27" s="1"/>
  <c r="G48" i="27"/>
  <c r="H48" i="27" s="1"/>
  <c r="G44" i="27"/>
  <c r="H44" i="27" s="1"/>
  <c r="G40" i="27"/>
  <c r="H40" i="27" s="1"/>
  <c r="G36" i="27"/>
  <c r="H36" i="27" s="1"/>
  <c r="G32" i="27"/>
  <c r="H32" i="27" s="1"/>
  <c r="G28" i="27"/>
  <c r="H28" i="27" s="1"/>
  <c r="G24" i="27"/>
  <c r="H24" i="27" s="1"/>
  <c r="G20" i="27"/>
  <c r="H20" i="27" s="1"/>
  <c r="G16" i="27"/>
  <c r="H16" i="27" s="1"/>
  <c r="G12" i="27"/>
  <c r="H12" i="27" s="1"/>
  <c r="G8" i="27"/>
  <c r="H8" i="27" s="1"/>
  <c r="Z167" i="27"/>
  <c r="Z159" i="27"/>
  <c r="Z151" i="27"/>
  <c r="Z143" i="27"/>
  <c r="Z135" i="27"/>
  <c r="Z127" i="27"/>
  <c r="Z119" i="27"/>
  <c r="Z111" i="27"/>
  <c r="Z170" i="27"/>
  <c r="Z162" i="27"/>
  <c r="Z154" i="27"/>
  <c r="Z146" i="27"/>
  <c r="Z138" i="27"/>
  <c r="Z130" i="27"/>
  <c r="Z122" i="27"/>
  <c r="Z114" i="27"/>
  <c r="Z106" i="27"/>
  <c r="Z98" i="27"/>
  <c r="Z90" i="27"/>
  <c r="Z82" i="27"/>
  <c r="Z74" i="27"/>
  <c r="Z58" i="27"/>
  <c r="Z42" i="27"/>
  <c r="Z26" i="27"/>
  <c r="Z11" i="27"/>
  <c r="G93" i="28"/>
  <c r="G91" i="28"/>
  <c r="G89" i="28"/>
  <c r="G87" i="28"/>
  <c r="G85" i="28"/>
  <c r="G83" i="28"/>
  <c r="G81" i="28"/>
  <c r="G79" i="28"/>
  <c r="H79" i="28" s="1"/>
  <c r="G77" i="28"/>
  <c r="G75" i="28"/>
  <c r="G73" i="28"/>
  <c r="G71" i="28"/>
  <c r="G69" i="28"/>
  <c r="G67" i="28"/>
  <c r="G65" i="28"/>
  <c r="G63" i="28"/>
  <c r="H63" i="28" s="1"/>
  <c r="G61" i="28"/>
  <c r="G59" i="28"/>
  <c r="G57" i="28"/>
  <c r="G55" i="28"/>
  <c r="G53" i="28"/>
  <c r="G51" i="28"/>
  <c r="G49" i="28"/>
  <c r="G47" i="28"/>
  <c r="H47" i="28" s="1"/>
  <c r="G45" i="28"/>
  <c r="G43" i="28"/>
  <c r="G41" i="28"/>
  <c r="G39" i="28"/>
  <c r="G37" i="28"/>
  <c r="G35" i="28"/>
  <c r="G33" i="28"/>
  <c r="G31" i="28"/>
  <c r="H31" i="28" s="1"/>
  <c r="G29" i="28"/>
  <c r="G27" i="28"/>
  <c r="G25" i="28"/>
  <c r="G23" i="28"/>
  <c r="G21" i="28"/>
  <c r="G19" i="28"/>
  <c r="G17" i="28"/>
  <c r="G15" i="28"/>
  <c r="H15" i="28" s="1"/>
  <c r="G13" i="28"/>
  <c r="Z7" i="28"/>
  <c r="A86" i="25"/>
  <c r="A90" i="25"/>
  <c r="A94" i="25"/>
  <c r="A100" i="25"/>
  <c r="A104" i="25"/>
  <c r="A108" i="25"/>
  <c r="A112" i="25"/>
  <c r="A118" i="25"/>
  <c r="A122" i="25"/>
  <c r="A126" i="25"/>
  <c r="A128" i="25"/>
  <c r="A132" i="25"/>
  <c r="A134" i="25"/>
  <c r="A136" i="25"/>
  <c r="A138" i="25"/>
  <c r="A140" i="25"/>
  <c r="A142" i="25"/>
  <c r="A144" i="25"/>
  <c r="A146" i="25"/>
  <c r="A148" i="25"/>
  <c r="A150" i="25"/>
  <c r="A152" i="25"/>
  <c r="A154" i="25"/>
  <c r="A156" i="25"/>
  <c r="A158" i="25"/>
  <c r="A160" i="25"/>
  <c r="A162" i="25"/>
  <c r="A164" i="25"/>
  <c r="A166" i="25"/>
  <c r="A168" i="25"/>
  <c r="A170" i="25"/>
  <c r="A172" i="25"/>
  <c r="A174" i="25"/>
  <c r="A176" i="25"/>
  <c r="A178" i="25"/>
  <c r="A180" i="25"/>
  <c r="A182" i="25"/>
  <c r="A184" i="25"/>
  <c r="A186" i="25"/>
  <c r="A188" i="25"/>
  <c r="A190" i="25"/>
  <c r="A192" i="25"/>
  <c r="A194" i="25"/>
  <c r="A196" i="25"/>
  <c r="A198" i="25"/>
  <c r="A200" i="25"/>
  <c r="A202" i="25"/>
  <c r="A204" i="25"/>
  <c r="A206" i="25"/>
  <c r="A208" i="25"/>
  <c r="A210" i="25"/>
  <c r="A212" i="25"/>
  <c r="A214" i="25"/>
  <c r="A216" i="25"/>
  <c r="A218" i="25"/>
  <c r="A220" i="25"/>
  <c r="A222" i="25"/>
  <c r="A224" i="25"/>
  <c r="A226" i="25"/>
  <c r="A228" i="25"/>
  <c r="A230" i="25"/>
  <c r="A232" i="25"/>
  <c r="A234" i="25"/>
  <c r="A236" i="25"/>
  <c r="A238" i="25"/>
  <c r="A240" i="25"/>
  <c r="A242" i="25"/>
  <c r="A244" i="25"/>
  <c r="A246" i="25"/>
  <c r="A248" i="25"/>
  <c r="A250" i="25"/>
  <c r="A252" i="25"/>
  <c r="A254" i="25"/>
  <c r="A256" i="25"/>
  <c r="A258" i="25"/>
  <c r="A260" i="25"/>
  <c r="A262" i="25"/>
  <c r="A264" i="25"/>
  <c r="A266" i="25"/>
  <c r="A268" i="25"/>
  <c r="A270" i="25"/>
  <c r="A272" i="25"/>
  <c r="A274" i="25"/>
  <c r="A276" i="25"/>
  <c r="A278" i="25"/>
  <c r="A280" i="25"/>
  <c r="A282" i="25"/>
  <c r="A284" i="25"/>
  <c r="A286" i="25"/>
  <c r="A288" i="25"/>
  <c r="A290" i="25"/>
  <c r="A292" i="25"/>
  <c r="A294" i="25"/>
  <c r="A296" i="25"/>
  <c r="A298" i="25"/>
  <c r="A300" i="25"/>
  <c r="A302" i="25"/>
  <c r="A304" i="25"/>
  <c r="A306" i="25"/>
  <c r="A308" i="25"/>
  <c r="A310" i="25"/>
  <c r="A312" i="25"/>
  <c r="A314" i="25"/>
  <c r="A316" i="25"/>
  <c r="A318" i="25"/>
  <c r="A320" i="25"/>
  <c r="A322" i="25"/>
  <c r="A324" i="25"/>
  <c r="A326" i="25"/>
  <c r="A328" i="25"/>
  <c r="A330" i="25"/>
  <c r="A332" i="25"/>
  <c r="A334" i="25"/>
  <c r="A336" i="25"/>
  <c r="A338" i="25"/>
  <c r="A340" i="25"/>
  <c r="A342" i="25"/>
  <c r="A344" i="25"/>
  <c r="A346" i="25"/>
  <c r="A348" i="25"/>
  <c r="A350" i="25"/>
  <c r="A352" i="25"/>
  <c r="A354" i="25"/>
  <c r="A356" i="25"/>
  <c r="A358" i="25"/>
  <c r="A360" i="25"/>
  <c r="A362" i="25"/>
  <c r="A364" i="25"/>
  <c r="A366" i="25"/>
  <c r="A368" i="25"/>
  <c r="A370" i="25"/>
  <c r="B371" i="25"/>
  <c r="B369" i="25"/>
  <c r="B367" i="25"/>
  <c r="B365" i="25"/>
  <c r="B363" i="25"/>
  <c r="B361" i="25"/>
  <c r="B359" i="25"/>
  <c r="B357" i="25"/>
  <c r="B355" i="25"/>
  <c r="B353" i="25"/>
  <c r="B351" i="25"/>
  <c r="B349" i="25"/>
  <c r="B347" i="25"/>
  <c r="B345" i="25"/>
  <c r="B343" i="25"/>
  <c r="B341" i="25"/>
  <c r="B339" i="25"/>
  <c r="B337" i="25"/>
  <c r="B335" i="25"/>
  <c r="B333" i="25"/>
  <c r="B331" i="25"/>
  <c r="B329" i="25"/>
  <c r="B327" i="25"/>
  <c r="B325" i="25"/>
  <c r="B323" i="25"/>
  <c r="B321" i="25"/>
  <c r="B319" i="25"/>
  <c r="B317" i="25"/>
  <c r="B315" i="25"/>
  <c r="B313" i="25"/>
  <c r="B311" i="25"/>
  <c r="B309" i="25"/>
  <c r="B307" i="25"/>
  <c r="B305" i="25"/>
  <c r="B303" i="25"/>
  <c r="B301" i="25"/>
  <c r="B299" i="25"/>
  <c r="B297" i="25"/>
  <c r="B295" i="25"/>
  <c r="B293" i="25"/>
  <c r="B291" i="25"/>
  <c r="B289" i="25"/>
  <c r="B287" i="25"/>
  <c r="B285" i="25"/>
  <c r="B283" i="25"/>
  <c r="B281" i="25"/>
  <c r="B279" i="25"/>
  <c r="B277" i="25"/>
  <c r="B275" i="25"/>
  <c r="B273" i="25"/>
  <c r="B271" i="25"/>
  <c r="B269" i="25"/>
  <c r="B267" i="25"/>
  <c r="B265" i="25"/>
  <c r="B263" i="25"/>
  <c r="B261" i="25"/>
  <c r="B259" i="25"/>
  <c r="B257" i="25"/>
  <c r="B255" i="25"/>
  <c r="B253" i="25"/>
  <c r="B251" i="25"/>
  <c r="B249" i="25"/>
  <c r="B247" i="25"/>
  <c r="B245" i="25"/>
  <c r="B243" i="25"/>
  <c r="B241" i="25"/>
  <c r="B239" i="25"/>
  <c r="B237" i="25"/>
  <c r="B235" i="25"/>
  <c r="B233" i="25"/>
  <c r="B231" i="25"/>
  <c r="B229" i="25"/>
  <c r="B227" i="25"/>
  <c r="B225" i="25"/>
  <c r="B223" i="25"/>
  <c r="B221" i="25"/>
  <c r="B219" i="25"/>
  <c r="B217" i="25"/>
  <c r="B215" i="25"/>
  <c r="B213" i="25"/>
  <c r="B211" i="25"/>
  <c r="B209" i="25"/>
  <c r="B207" i="25"/>
  <c r="B205" i="25"/>
  <c r="B203" i="25"/>
  <c r="B201" i="25"/>
  <c r="B199" i="25"/>
  <c r="B197" i="25"/>
  <c r="B195" i="25"/>
  <c r="B193" i="25"/>
  <c r="B191" i="25"/>
  <c r="B189" i="25"/>
  <c r="B187" i="25"/>
  <c r="B185" i="25"/>
  <c r="B183" i="25"/>
  <c r="B181" i="25"/>
  <c r="B179" i="25"/>
  <c r="B177" i="25"/>
  <c r="B175" i="25"/>
  <c r="B173" i="25"/>
  <c r="B171" i="25"/>
  <c r="B169" i="25"/>
  <c r="B167" i="25"/>
  <c r="B165" i="25"/>
  <c r="B163" i="25"/>
  <c r="B161" i="25"/>
  <c r="B159" i="25"/>
  <c r="B157" i="25"/>
  <c r="B155" i="25"/>
  <c r="B153" i="25"/>
  <c r="B151" i="25"/>
  <c r="B149" i="25"/>
  <c r="B147" i="25"/>
  <c r="B145" i="25"/>
  <c r="B143" i="25"/>
  <c r="B141" i="25"/>
  <c r="B139" i="25"/>
  <c r="B137" i="25"/>
  <c r="B135" i="25"/>
  <c r="B133" i="25"/>
  <c r="B131" i="25"/>
  <c r="B129" i="25"/>
  <c r="B127" i="25"/>
  <c r="B125" i="25"/>
  <c r="B123" i="25"/>
  <c r="B121" i="25"/>
  <c r="B119" i="25"/>
  <c r="B117" i="25"/>
  <c r="B115" i="25"/>
  <c r="B113" i="25"/>
  <c r="B111" i="25"/>
  <c r="B109" i="25"/>
  <c r="B107" i="25"/>
  <c r="B105" i="25"/>
  <c r="B103" i="25"/>
  <c r="B101" i="25"/>
  <c r="B99" i="25"/>
  <c r="B97" i="25"/>
  <c r="B95" i="25"/>
  <c r="B93" i="25"/>
  <c r="B91" i="25"/>
  <c r="B89" i="25"/>
  <c r="B87" i="25"/>
  <c r="A88" i="25"/>
  <c r="A92" i="25"/>
  <c r="A96" i="25"/>
  <c r="A98" i="25"/>
  <c r="A102" i="25"/>
  <c r="A106" i="25"/>
  <c r="A110" i="25"/>
  <c r="A114" i="25"/>
  <c r="A116" i="25"/>
  <c r="A120" i="25"/>
  <c r="A124" i="25"/>
  <c r="A130" i="25"/>
  <c r="A87" i="25"/>
  <c r="A85" i="25"/>
  <c r="A89" i="25"/>
  <c r="A91" i="25"/>
  <c r="A93" i="25"/>
  <c r="A95" i="25"/>
  <c r="A97" i="25"/>
  <c r="A99" i="25"/>
  <c r="A101" i="25"/>
  <c r="A103" i="25"/>
  <c r="A105" i="25"/>
  <c r="A107" i="25"/>
  <c r="A109" i="25"/>
  <c r="A111" i="25"/>
  <c r="A113" i="25"/>
  <c r="A115" i="25"/>
  <c r="A117" i="25"/>
  <c r="A119" i="25"/>
  <c r="A121" i="25"/>
  <c r="A123" i="25"/>
  <c r="A125" i="25"/>
  <c r="A127" i="25"/>
  <c r="A129" i="25"/>
  <c r="A131" i="25"/>
  <c r="A133" i="25"/>
  <c r="A135" i="25"/>
  <c r="A137" i="25"/>
  <c r="A139" i="25"/>
  <c r="A141" i="25"/>
  <c r="A143" i="25"/>
  <c r="A145" i="25"/>
  <c r="A147" i="25"/>
  <c r="A149" i="25"/>
  <c r="A151" i="25"/>
  <c r="A153" i="25"/>
  <c r="A155" i="25"/>
  <c r="A157" i="25"/>
  <c r="A159" i="25"/>
  <c r="A161" i="25"/>
  <c r="A163" i="25"/>
  <c r="A165" i="25"/>
  <c r="A167" i="25"/>
  <c r="A169" i="25"/>
  <c r="A171" i="25"/>
  <c r="A173" i="25"/>
  <c r="A175" i="25"/>
  <c r="A177" i="25"/>
  <c r="A179" i="25"/>
  <c r="A181" i="25"/>
  <c r="A183" i="25"/>
  <c r="A185" i="25"/>
  <c r="A187" i="25"/>
  <c r="A189" i="25"/>
  <c r="A191" i="25"/>
  <c r="A193" i="25"/>
  <c r="A195" i="25"/>
  <c r="A197" i="25"/>
  <c r="A199" i="25"/>
  <c r="A201" i="25"/>
  <c r="A203" i="25"/>
  <c r="A205" i="25"/>
  <c r="A207" i="25"/>
  <c r="A209" i="25"/>
  <c r="A211" i="25"/>
  <c r="A213" i="25"/>
  <c r="A215" i="25"/>
  <c r="A217" i="25"/>
  <c r="A219" i="25"/>
  <c r="A221" i="25"/>
  <c r="A223" i="25"/>
  <c r="A225" i="25"/>
  <c r="A227" i="25"/>
  <c r="A229" i="25"/>
  <c r="A231" i="25"/>
  <c r="A233" i="25"/>
  <c r="A235" i="25"/>
  <c r="A237" i="25"/>
  <c r="A239" i="25"/>
  <c r="A241" i="25"/>
  <c r="A243" i="25"/>
  <c r="A245" i="25"/>
  <c r="A247" i="25"/>
  <c r="A249" i="25"/>
  <c r="A251" i="25"/>
  <c r="A253" i="25"/>
  <c r="A255" i="25"/>
  <c r="A257" i="25"/>
  <c r="A259" i="25"/>
  <c r="A261" i="25"/>
  <c r="A263" i="25"/>
  <c r="A265" i="25"/>
  <c r="A267" i="25"/>
  <c r="A269" i="25"/>
  <c r="A271" i="25"/>
  <c r="A273" i="25"/>
  <c r="A275" i="25"/>
  <c r="A277" i="25"/>
  <c r="A279" i="25"/>
  <c r="A281" i="25"/>
  <c r="A283" i="25"/>
  <c r="A285" i="25"/>
  <c r="A287" i="25"/>
  <c r="A289" i="25"/>
  <c r="A291" i="25"/>
  <c r="A293" i="25"/>
  <c r="A295" i="25"/>
  <c r="A297" i="25"/>
  <c r="A299" i="25"/>
  <c r="A301" i="25"/>
  <c r="A303" i="25"/>
  <c r="A305" i="25"/>
  <c r="A307" i="25"/>
  <c r="A309" i="25"/>
  <c r="A311" i="25"/>
  <c r="A313" i="25"/>
  <c r="A315" i="25"/>
  <c r="A317" i="25"/>
  <c r="A319" i="25"/>
  <c r="A321" i="25"/>
  <c r="A323" i="25"/>
  <c r="A325" i="25"/>
  <c r="A327" i="25"/>
  <c r="A329" i="25"/>
  <c r="A331" i="25"/>
  <c r="A333" i="25"/>
  <c r="A335" i="25"/>
  <c r="A337" i="25"/>
  <c r="A339" i="25"/>
  <c r="A341" i="25"/>
  <c r="A343" i="25"/>
  <c r="A345" i="25"/>
  <c r="A347" i="25"/>
  <c r="A349" i="25"/>
  <c r="A351" i="25"/>
  <c r="A353" i="25"/>
  <c r="A355" i="25"/>
  <c r="A357" i="25"/>
  <c r="A359" i="25"/>
  <c r="A361" i="25"/>
  <c r="A363" i="25"/>
  <c r="A365" i="25"/>
  <c r="A367" i="25"/>
  <c r="A369" i="25"/>
  <c r="A371" i="25"/>
  <c r="B85" i="25"/>
  <c r="B370" i="25"/>
  <c r="B368" i="25"/>
  <c r="B366" i="25"/>
  <c r="B364" i="25"/>
  <c r="B362" i="25"/>
  <c r="B360" i="25"/>
  <c r="B358" i="25"/>
  <c r="B356" i="25"/>
  <c r="B354" i="25"/>
  <c r="B352" i="25"/>
  <c r="B350" i="25"/>
  <c r="B348" i="25"/>
  <c r="B346" i="25"/>
  <c r="B344" i="25"/>
  <c r="B342" i="25"/>
  <c r="B340" i="25"/>
  <c r="B338" i="25"/>
  <c r="B336" i="25"/>
  <c r="B334" i="25"/>
  <c r="B332" i="25"/>
  <c r="B330" i="25"/>
  <c r="B328" i="25"/>
  <c r="B326" i="25"/>
  <c r="B324" i="25"/>
  <c r="B322" i="25"/>
  <c r="B320" i="25"/>
  <c r="B318" i="25"/>
  <c r="B316" i="25"/>
  <c r="B314" i="25"/>
  <c r="B312" i="25"/>
  <c r="B310" i="25"/>
  <c r="B308" i="25"/>
  <c r="B306" i="25"/>
  <c r="B304" i="25"/>
  <c r="B302" i="25"/>
  <c r="B300" i="25"/>
  <c r="B298" i="25"/>
  <c r="B296" i="25"/>
  <c r="B294" i="25"/>
  <c r="B292" i="25"/>
  <c r="B290" i="25"/>
  <c r="B288" i="25"/>
  <c r="B286" i="25"/>
  <c r="B284" i="25"/>
  <c r="B282" i="25"/>
  <c r="B280" i="25"/>
  <c r="B278" i="25"/>
  <c r="B276" i="25"/>
  <c r="B274" i="25"/>
  <c r="B272" i="25"/>
  <c r="B270" i="25"/>
  <c r="B268" i="25"/>
  <c r="B266" i="25"/>
  <c r="B264" i="25"/>
  <c r="B262" i="25"/>
  <c r="B260" i="25"/>
  <c r="B258" i="25"/>
  <c r="B256" i="25"/>
  <c r="B254" i="25"/>
  <c r="B252" i="25"/>
  <c r="B250" i="25"/>
  <c r="B248" i="25"/>
  <c r="B246" i="25"/>
  <c r="B244" i="25"/>
  <c r="B242" i="25"/>
  <c r="B240" i="25"/>
  <c r="B238" i="25"/>
  <c r="B236" i="25"/>
  <c r="B234" i="25"/>
  <c r="B232" i="25"/>
  <c r="B230" i="25"/>
  <c r="B228" i="25"/>
  <c r="B226" i="25"/>
  <c r="B224" i="25"/>
  <c r="B222" i="25"/>
  <c r="B220" i="25"/>
  <c r="B218" i="25"/>
  <c r="B216" i="25"/>
  <c r="B214" i="25"/>
  <c r="B212" i="25"/>
  <c r="B210" i="25"/>
  <c r="B208" i="25"/>
  <c r="B206" i="25"/>
  <c r="B204" i="25"/>
  <c r="B202" i="25"/>
  <c r="B200" i="25"/>
  <c r="B198" i="25"/>
  <c r="B196" i="25"/>
  <c r="B194" i="25"/>
  <c r="B192" i="25"/>
  <c r="B190" i="25"/>
  <c r="B188" i="25"/>
  <c r="B186" i="25"/>
  <c r="B184" i="25"/>
  <c r="B182" i="25"/>
  <c r="B180" i="25"/>
  <c r="B178" i="25"/>
  <c r="B176" i="25"/>
  <c r="B174" i="25"/>
  <c r="B172" i="25"/>
  <c r="B170" i="25"/>
  <c r="B168" i="25"/>
  <c r="B166" i="25"/>
  <c r="B164" i="25"/>
  <c r="B162" i="25"/>
  <c r="B160" i="25"/>
  <c r="B158" i="25"/>
  <c r="B156" i="25"/>
  <c r="B154" i="25"/>
  <c r="B152" i="25"/>
  <c r="B150" i="25"/>
  <c r="B148" i="25"/>
  <c r="B146" i="25"/>
  <c r="B144" i="25"/>
  <c r="B142" i="25"/>
  <c r="B140" i="25"/>
  <c r="B138" i="25"/>
  <c r="B136" i="25"/>
  <c r="B134" i="25"/>
  <c r="B132" i="25"/>
  <c r="B130" i="25"/>
  <c r="B128" i="25"/>
  <c r="B126" i="25"/>
  <c r="B124" i="25"/>
  <c r="B122" i="25"/>
  <c r="B120" i="25"/>
  <c r="B118" i="25"/>
  <c r="B116" i="25"/>
  <c r="B114" i="25"/>
  <c r="B112" i="25"/>
  <c r="B110" i="25"/>
  <c r="B108" i="25"/>
  <c r="B106" i="25"/>
  <c r="B104" i="25"/>
  <c r="B102" i="25"/>
  <c r="B100" i="25"/>
  <c r="B98" i="25"/>
  <c r="B96" i="25"/>
  <c r="B94" i="25"/>
  <c r="B92" i="25"/>
  <c r="B90" i="25"/>
  <c r="B88" i="25"/>
  <c r="B86" i="25"/>
  <c r="AG7" i="28"/>
  <c r="AG11" i="28"/>
  <c r="AG10" i="28"/>
  <c r="AJ10" i="28" s="1"/>
  <c r="AF8" i="28"/>
  <c r="Z10" i="25"/>
  <c r="Y10" i="25"/>
  <c r="Y3" i="25"/>
  <c r="Z3" i="25"/>
  <c r="R312" i="25"/>
  <c r="R303" i="25"/>
  <c r="R344" i="25"/>
  <c r="R280" i="25"/>
  <c r="R190" i="25"/>
  <c r="R360" i="25"/>
  <c r="R328" i="25"/>
  <c r="R299" i="25"/>
  <c r="R252" i="25"/>
  <c r="R233" i="25"/>
  <c r="R147" i="25"/>
  <c r="R368" i="25"/>
  <c r="R352" i="25"/>
  <c r="R336" i="25"/>
  <c r="R320" i="25"/>
  <c r="R304" i="25"/>
  <c r="R288" i="25"/>
  <c r="R268" i="25"/>
  <c r="R345" i="25"/>
  <c r="R263" i="25"/>
  <c r="R212" i="25"/>
  <c r="R169" i="25"/>
  <c r="R115" i="25"/>
  <c r="R364" i="25"/>
  <c r="R356" i="25"/>
  <c r="R348" i="25"/>
  <c r="R340" i="25"/>
  <c r="R332" i="25"/>
  <c r="R324" i="25"/>
  <c r="R316" i="25"/>
  <c r="R308" i="25"/>
  <c r="R301" i="25"/>
  <c r="R296" i="25"/>
  <c r="R284" i="25"/>
  <c r="R272" i="25"/>
  <c r="R264" i="25"/>
  <c r="R367" i="25"/>
  <c r="R325" i="25"/>
  <c r="R281" i="25"/>
  <c r="R247" i="25"/>
  <c r="R222" i="25"/>
  <c r="R201" i="25"/>
  <c r="R180" i="25"/>
  <c r="R158" i="25"/>
  <c r="R131" i="25"/>
  <c r="R99" i="25"/>
  <c r="R256" i="25"/>
  <c r="R240" i="25"/>
  <c r="R357" i="25"/>
  <c r="R335" i="25"/>
  <c r="R313" i="25"/>
  <c r="R291" i="25"/>
  <c r="R274" i="25"/>
  <c r="R257" i="25"/>
  <c r="R239" i="25"/>
  <c r="R228" i="25"/>
  <c r="R217" i="25"/>
  <c r="R206" i="25"/>
  <c r="R196" i="25"/>
  <c r="R185" i="25"/>
  <c r="R174" i="25"/>
  <c r="R164" i="25"/>
  <c r="R153" i="25"/>
  <c r="R139" i="25"/>
  <c r="R123" i="25"/>
  <c r="R107" i="25"/>
  <c r="R91" i="25"/>
  <c r="R366" i="25"/>
  <c r="R362" i="25"/>
  <c r="R358" i="25"/>
  <c r="R354" i="25"/>
  <c r="R350" i="25"/>
  <c r="R346" i="25"/>
  <c r="R342" i="25"/>
  <c r="R338" i="25"/>
  <c r="R334" i="25"/>
  <c r="R330" i="25"/>
  <c r="R326" i="25"/>
  <c r="R322" i="25"/>
  <c r="R318" i="25"/>
  <c r="R314" i="25"/>
  <c r="R310" i="25"/>
  <c r="R306" i="25"/>
  <c r="R302" i="25"/>
  <c r="R300" i="25"/>
  <c r="R298" i="25"/>
  <c r="R290" i="25"/>
  <c r="R286" i="25"/>
  <c r="R282" i="25"/>
  <c r="R278" i="25"/>
  <c r="R270" i="25"/>
  <c r="R266" i="25"/>
  <c r="R262" i="25"/>
  <c r="R254" i="25"/>
  <c r="R248" i="25"/>
  <c r="R370" i="25"/>
  <c r="R361" i="25"/>
  <c r="R351" i="25"/>
  <c r="R341" i="25"/>
  <c r="R329" i="25"/>
  <c r="R319" i="25"/>
  <c r="R309" i="25"/>
  <c r="R294" i="25"/>
  <c r="R287" i="25"/>
  <c r="R276" i="25"/>
  <c r="R269" i="25"/>
  <c r="R260" i="25"/>
  <c r="R251" i="25"/>
  <c r="R243" i="25"/>
  <c r="R236" i="25"/>
  <c r="R230" i="25"/>
  <c r="R225" i="25"/>
  <c r="R220" i="25"/>
  <c r="R214" i="25"/>
  <c r="R209" i="25"/>
  <c r="R204" i="25"/>
  <c r="R198" i="25"/>
  <c r="R193" i="25"/>
  <c r="R188" i="25"/>
  <c r="R182" i="25"/>
  <c r="R177" i="25"/>
  <c r="R172" i="25"/>
  <c r="R166" i="25"/>
  <c r="R161" i="25"/>
  <c r="R156" i="25"/>
  <c r="R150" i="25"/>
  <c r="R143" i="25"/>
  <c r="R135" i="25"/>
  <c r="R127" i="25"/>
  <c r="R119" i="25"/>
  <c r="R111" i="25"/>
  <c r="R103" i="25"/>
  <c r="R95" i="25"/>
  <c r="R87" i="25"/>
  <c r="R285" i="25"/>
  <c r="R88" i="25"/>
  <c r="R96" i="25"/>
  <c r="R128" i="25"/>
  <c r="R171" i="25"/>
  <c r="R235" i="25"/>
  <c r="R347" i="25"/>
  <c r="R85" i="25"/>
  <c r="R89" i="25"/>
  <c r="R93" i="25"/>
  <c r="R97" i="25"/>
  <c r="R101" i="25"/>
  <c r="R105" i="25"/>
  <c r="R109" i="25"/>
  <c r="R113" i="25"/>
  <c r="R117" i="25"/>
  <c r="R121" i="25"/>
  <c r="R125" i="25"/>
  <c r="R129" i="25"/>
  <c r="R133" i="25"/>
  <c r="R137" i="25"/>
  <c r="R141" i="25"/>
  <c r="R145" i="25"/>
  <c r="R149" i="25"/>
  <c r="R152" i="25"/>
  <c r="R154" i="25"/>
  <c r="R157" i="25"/>
  <c r="R160" i="25"/>
  <c r="R162" i="25"/>
  <c r="R165" i="25"/>
  <c r="R168" i="25"/>
  <c r="R170" i="25"/>
  <c r="R173" i="25"/>
  <c r="R176" i="25"/>
  <c r="R178" i="25"/>
  <c r="R181" i="25"/>
  <c r="R184" i="25"/>
  <c r="R186" i="25"/>
  <c r="R189" i="25"/>
  <c r="R192" i="25"/>
  <c r="R194" i="25"/>
  <c r="R197" i="25"/>
  <c r="R200" i="25"/>
  <c r="R202" i="25"/>
  <c r="R205" i="25"/>
  <c r="R208" i="25"/>
  <c r="R210" i="25"/>
  <c r="R213" i="25"/>
  <c r="R216" i="25"/>
  <c r="R218" i="25"/>
  <c r="R221" i="25"/>
  <c r="R224" i="25"/>
  <c r="R226" i="25"/>
  <c r="R229" i="25"/>
  <c r="R232" i="25"/>
  <c r="R234" i="25"/>
  <c r="R237" i="25"/>
  <c r="R242" i="25"/>
  <c r="R244" i="25"/>
  <c r="R249" i="25"/>
  <c r="R255" i="25"/>
  <c r="R258" i="25"/>
  <c r="R261" i="25"/>
  <c r="R267" i="25"/>
  <c r="R271" i="25"/>
  <c r="R275" i="25"/>
  <c r="R279" i="25"/>
  <c r="R283" i="25"/>
  <c r="R289" i="25"/>
  <c r="R293" i="25"/>
  <c r="R295" i="25"/>
  <c r="R305" i="25"/>
  <c r="R311" i="25"/>
  <c r="R317" i="25"/>
  <c r="R321" i="25"/>
  <c r="R327" i="25"/>
  <c r="R333" i="25"/>
  <c r="R337" i="25"/>
  <c r="R343" i="25"/>
  <c r="R349" i="25"/>
  <c r="R353" i="25"/>
  <c r="R359" i="25"/>
  <c r="R365" i="25"/>
  <c r="R369" i="25"/>
  <c r="R238" i="25"/>
  <c r="R246" i="25"/>
  <c r="R250" i="25"/>
  <c r="R203" i="25"/>
  <c r="R112" i="25"/>
  <c r="R315" i="25"/>
  <c r="R259" i="25"/>
  <c r="R219" i="25"/>
  <c r="R187" i="25"/>
  <c r="R155" i="25"/>
  <c r="R136" i="25"/>
  <c r="R120" i="25"/>
  <c r="R104" i="25"/>
  <c r="R371" i="25"/>
  <c r="R339" i="25"/>
  <c r="R307" i="25"/>
  <c r="R277" i="25"/>
  <c r="R253" i="25"/>
  <c r="R231" i="25"/>
  <c r="R215" i="25"/>
  <c r="R199" i="25"/>
  <c r="R183" i="25"/>
  <c r="R167" i="25"/>
  <c r="R151" i="25"/>
  <c r="R142" i="25"/>
  <c r="R134" i="25"/>
  <c r="R126" i="25"/>
  <c r="R118" i="25"/>
  <c r="R110" i="25"/>
  <c r="R102" i="25"/>
  <c r="R94" i="25"/>
  <c r="R86" i="25"/>
  <c r="R355" i="25"/>
  <c r="R323" i="25"/>
  <c r="R292" i="25"/>
  <c r="R265" i="25"/>
  <c r="R241" i="25"/>
  <c r="R223" i="25"/>
  <c r="R207" i="25"/>
  <c r="R191" i="25"/>
  <c r="R175" i="25"/>
  <c r="R159" i="25"/>
  <c r="R146" i="25"/>
  <c r="R138" i="25"/>
  <c r="R130" i="25"/>
  <c r="R122" i="25"/>
  <c r="R114" i="25"/>
  <c r="R106" i="25"/>
  <c r="R98" i="25"/>
  <c r="R90" i="25"/>
  <c r="R363" i="25"/>
  <c r="R331" i="25"/>
  <c r="R297" i="25"/>
  <c r="R273" i="25"/>
  <c r="R245" i="25"/>
  <c r="R227" i="25"/>
  <c r="R211" i="25"/>
  <c r="R195" i="25"/>
  <c r="R179" i="25"/>
  <c r="R163" i="25"/>
  <c r="R148" i="25"/>
  <c r="R140" i="25"/>
  <c r="R132" i="25"/>
  <c r="R124" i="25"/>
  <c r="R116" i="25"/>
  <c r="R108" i="25"/>
  <c r="R100" i="25"/>
  <c r="R92" i="25"/>
  <c r="Z6" i="28"/>
  <c r="G5" i="28"/>
  <c r="H5" i="28" s="1"/>
  <c r="Z343" i="28"/>
  <c r="Z302" i="28"/>
  <c r="Z181" i="28"/>
  <c r="Z173" i="28"/>
  <c r="Z165" i="28"/>
  <c r="Z157" i="28"/>
  <c r="Z149" i="28"/>
  <c r="Z141" i="28"/>
  <c r="Z133" i="28"/>
  <c r="Z125" i="28"/>
  <c r="Z117" i="28"/>
  <c r="Z109" i="28"/>
  <c r="Z101" i="28"/>
  <c r="Z93" i="28"/>
  <c r="Z85" i="28"/>
  <c r="Z77" i="28"/>
  <c r="Z69" i="28"/>
  <c r="Z61" i="28"/>
  <c r="Z53" i="28"/>
  <c r="Z45" i="28"/>
  <c r="Z37" i="28"/>
  <c r="Z29" i="28"/>
  <c r="Z21" i="28"/>
  <c r="Z13" i="28"/>
  <c r="Z318" i="28"/>
  <c r="Z286" i="28"/>
  <c r="Z282" i="28"/>
  <c r="Z278" i="28"/>
  <c r="Z274" i="28"/>
  <c r="Z270" i="28"/>
  <c r="Z266" i="28"/>
  <c r="Z262" i="28"/>
  <c r="Z258" i="28"/>
  <c r="Z254" i="28"/>
  <c r="Z250" i="28"/>
  <c r="Z246" i="28"/>
  <c r="Z242" i="28"/>
  <c r="Z238" i="28"/>
  <c r="Z234" i="28"/>
  <c r="Z230" i="28"/>
  <c r="Z226" i="28"/>
  <c r="Z222" i="28"/>
  <c r="Z218" i="28"/>
  <c r="Z214" i="28"/>
  <c r="Z210" i="28"/>
  <c r="Z206" i="28"/>
  <c r="Z202" i="28"/>
  <c r="Z198" i="28"/>
  <c r="Z194" i="28"/>
  <c r="Z190" i="28"/>
  <c r="Z185" i="28"/>
  <c r="Z177" i="28"/>
  <c r="Z169" i="28"/>
  <c r="Z161" i="28"/>
  <c r="Z153" i="28"/>
  <c r="Z145" i="28"/>
  <c r="Z137" i="28"/>
  <c r="Z129" i="28"/>
  <c r="Z121" i="28"/>
  <c r="Z113" i="28"/>
  <c r="Z105" i="28"/>
  <c r="Z97" i="28"/>
  <c r="Z89" i="28"/>
  <c r="Z81" i="28"/>
  <c r="Z73" i="28"/>
  <c r="Z65" i="28"/>
  <c r="Z57" i="28"/>
  <c r="Z49" i="28"/>
  <c r="Z41" i="28"/>
  <c r="Z33" i="28"/>
  <c r="Z25" i="28"/>
  <c r="H371" i="28"/>
  <c r="I371" i="28"/>
  <c r="H367" i="28"/>
  <c r="I367" i="28"/>
  <c r="H363" i="28"/>
  <c r="I363" i="28"/>
  <c r="H359" i="28"/>
  <c r="I359" i="28"/>
  <c r="I370" i="28"/>
  <c r="I366" i="28"/>
  <c r="I362" i="28"/>
  <c r="I368" i="28"/>
  <c r="I360" i="28"/>
  <c r="I355" i="28"/>
  <c r="H355" i="28"/>
  <c r="I351" i="28"/>
  <c r="H351" i="28"/>
  <c r="I347" i="28"/>
  <c r="H347" i="28"/>
  <c r="I343" i="28"/>
  <c r="I339" i="28"/>
  <c r="H339" i="28"/>
  <c r="I335" i="28"/>
  <c r="H335" i="28"/>
  <c r="I364" i="28"/>
  <c r="I356" i="28"/>
  <c r="H356" i="28"/>
  <c r="I353" i="28"/>
  <c r="H353" i="28"/>
  <c r="I340" i="28"/>
  <c r="H340" i="28"/>
  <c r="I337" i="28"/>
  <c r="H337" i="28"/>
  <c r="I352" i="28"/>
  <c r="H352" i="28"/>
  <c r="I344" i="28"/>
  <c r="H344" i="28"/>
  <c r="I323" i="28"/>
  <c r="H323" i="28"/>
  <c r="I320" i="28"/>
  <c r="H320" i="28"/>
  <c r="I307" i="28"/>
  <c r="H307" i="28"/>
  <c r="I304" i="28"/>
  <c r="H304" i="28"/>
  <c r="I291" i="28"/>
  <c r="H291" i="28"/>
  <c r="I288" i="28"/>
  <c r="H288" i="28"/>
  <c r="I282" i="28"/>
  <c r="H282" i="28"/>
  <c r="I278" i="28"/>
  <c r="I274" i="28"/>
  <c r="I270" i="28"/>
  <c r="H270" i="28"/>
  <c r="I266" i="28"/>
  <c r="H266" i="28"/>
  <c r="I262" i="28"/>
  <c r="H262" i="28"/>
  <c r="I258" i="28"/>
  <c r="H258" i="28"/>
  <c r="I254" i="28"/>
  <c r="H254" i="28"/>
  <c r="I250" i="28"/>
  <c r="H250" i="28"/>
  <c r="I246" i="28"/>
  <c r="I242" i="28"/>
  <c r="I238" i="28"/>
  <c r="H238" i="28"/>
  <c r="I234" i="28"/>
  <c r="H234" i="28"/>
  <c r="I230" i="28"/>
  <c r="H230" i="28"/>
  <c r="I226" i="28"/>
  <c r="H226" i="28"/>
  <c r="I222" i="28"/>
  <c r="H222" i="28"/>
  <c r="I218" i="28"/>
  <c r="I214" i="28"/>
  <c r="I210" i="28"/>
  <c r="I206" i="28"/>
  <c r="H206" i="28"/>
  <c r="I202" i="28"/>
  <c r="H202" i="28"/>
  <c r="I198" i="28"/>
  <c r="I194" i="28"/>
  <c r="H194" i="28"/>
  <c r="I190" i="28"/>
  <c r="H190" i="28"/>
  <c r="H187" i="28"/>
  <c r="I187" i="28"/>
  <c r="I183" i="28"/>
  <c r="H179" i="28"/>
  <c r="I179" i="28"/>
  <c r="H175" i="28"/>
  <c r="I175" i="28"/>
  <c r="H171" i="28"/>
  <c r="I171" i="28"/>
  <c r="I167" i="28"/>
  <c r="H163" i="28"/>
  <c r="I163" i="28"/>
  <c r="H159" i="28"/>
  <c r="I159" i="28"/>
  <c r="H155" i="28"/>
  <c r="I155" i="28"/>
  <c r="I151" i="28"/>
  <c r="H147" i="28"/>
  <c r="I147" i="28"/>
  <c r="H143" i="28"/>
  <c r="I143" i="28"/>
  <c r="H139" i="28"/>
  <c r="I139" i="28"/>
  <c r="I135" i="28"/>
  <c r="H131" i="28"/>
  <c r="I131" i="28"/>
  <c r="H127" i="28"/>
  <c r="I127" i="28"/>
  <c r="H123" i="28"/>
  <c r="I123" i="28"/>
  <c r="I119" i="28"/>
  <c r="H115" i="28"/>
  <c r="I115" i="28"/>
  <c r="H111" i="28"/>
  <c r="I111" i="28"/>
  <c r="H107" i="28"/>
  <c r="I107" i="28"/>
  <c r="I103" i="28"/>
  <c r="H99" i="28"/>
  <c r="I99" i="28"/>
  <c r="H95" i="28"/>
  <c r="I95" i="28"/>
  <c r="H91" i="28"/>
  <c r="I91" i="28"/>
  <c r="H87" i="28"/>
  <c r="I87" i="28"/>
  <c r="H83" i="28"/>
  <c r="I83" i="28"/>
  <c r="I79" i="28"/>
  <c r="H75" i="28"/>
  <c r="I75" i="28"/>
  <c r="H71" i="28"/>
  <c r="I71" i="28"/>
  <c r="H67" i="28"/>
  <c r="I67" i="28"/>
  <c r="I63" i="28"/>
  <c r="H59" i="28"/>
  <c r="I59" i="28"/>
  <c r="H55" i="28"/>
  <c r="I55" i="28"/>
  <c r="H51" i="28"/>
  <c r="I51" i="28"/>
  <c r="I47" i="28"/>
  <c r="H43" i="28"/>
  <c r="I43" i="28"/>
  <c r="H39" i="28"/>
  <c r="I39" i="28"/>
  <c r="H35" i="28"/>
  <c r="I35" i="28"/>
  <c r="I31" i="28"/>
  <c r="H27" i="28"/>
  <c r="I27" i="28"/>
  <c r="H23" i="28"/>
  <c r="I23" i="28"/>
  <c r="H19" i="28"/>
  <c r="I19" i="28"/>
  <c r="I15" i="28"/>
  <c r="I358" i="28"/>
  <c r="H358" i="28"/>
  <c r="I350" i="28"/>
  <c r="H350" i="28"/>
  <c r="I336" i="28"/>
  <c r="H336" i="28"/>
  <c r="I327" i="28"/>
  <c r="I324" i="28"/>
  <c r="H324" i="28"/>
  <c r="I311" i="28"/>
  <c r="H311" i="28"/>
  <c r="I308" i="28"/>
  <c r="H308" i="28"/>
  <c r="I295" i="28"/>
  <c r="H295" i="28"/>
  <c r="I292" i="28"/>
  <c r="H292" i="28"/>
  <c r="I188" i="28"/>
  <c r="I184" i="28"/>
  <c r="I180" i="28"/>
  <c r="I176" i="28"/>
  <c r="I172" i="28"/>
  <c r="I168" i="28"/>
  <c r="I164" i="28"/>
  <c r="I160" i="28"/>
  <c r="I156" i="28"/>
  <c r="I152" i="28"/>
  <c r="I148" i="28"/>
  <c r="I144" i="28"/>
  <c r="I140" i="28"/>
  <c r="I136" i="28"/>
  <c r="I132" i="28"/>
  <c r="I128" i="28"/>
  <c r="I124" i="28"/>
  <c r="I120" i="28"/>
  <c r="I116" i="28"/>
  <c r="I112" i="28"/>
  <c r="I108" i="28"/>
  <c r="I104" i="28"/>
  <c r="I100" i="28"/>
  <c r="I96" i="28"/>
  <c r="I92" i="28"/>
  <c r="I88" i="28"/>
  <c r="I84" i="28"/>
  <c r="I80" i="28"/>
  <c r="I76" i="28"/>
  <c r="I72" i="28"/>
  <c r="I68" i="28"/>
  <c r="I64" i="28"/>
  <c r="I60" i="28"/>
  <c r="I56" i="28"/>
  <c r="I52" i="28"/>
  <c r="I48" i="28"/>
  <c r="I44" i="28"/>
  <c r="I40" i="28"/>
  <c r="I36" i="28"/>
  <c r="I32" i="28"/>
  <c r="I28" i="28"/>
  <c r="I24" i="28"/>
  <c r="I20" i="28"/>
  <c r="I16" i="28"/>
  <c r="I12" i="28"/>
  <c r="I10" i="28"/>
  <c r="I8" i="28"/>
  <c r="I6" i="28"/>
  <c r="H373" i="28"/>
  <c r="I373" i="28"/>
  <c r="H369" i="28"/>
  <c r="I369" i="28"/>
  <c r="H365" i="28"/>
  <c r="I365" i="28"/>
  <c r="H361" i="28"/>
  <c r="I361" i="28"/>
  <c r="I348" i="28"/>
  <c r="H348" i="28"/>
  <c r="I345" i="28"/>
  <c r="H345" i="28"/>
  <c r="I334" i="28"/>
  <c r="H334" i="28"/>
  <c r="I330" i="28"/>
  <c r="H330" i="28"/>
  <c r="I326" i="28"/>
  <c r="H326" i="28"/>
  <c r="I322" i="28"/>
  <c r="H322" i="28"/>
  <c r="I318" i="28"/>
  <c r="H318" i="28"/>
  <c r="I314" i="28"/>
  <c r="H314" i="28"/>
  <c r="I310" i="28"/>
  <c r="H310" i="28"/>
  <c r="I306" i="28"/>
  <c r="I302" i="28"/>
  <c r="H302" i="28"/>
  <c r="I298" i="28"/>
  <c r="H298" i="28"/>
  <c r="I294" i="28"/>
  <c r="I290" i="28"/>
  <c r="H290" i="28"/>
  <c r="I286" i="28"/>
  <c r="H286" i="28"/>
  <c r="I372" i="28"/>
  <c r="I357" i="28"/>
  <c r="H357" i="28"/>
  <c r="I341" i="28"/>
  <c r="H341" i="28"/>
  <c r="I331" i="28"/>
  <c r="H331" i="28"/>
  <c r="I328" i="28"/>
  <c r="H328" i="28"/>
  <c r="I315" i="28"/>
  <c r="H315" i="28"/>
  <c r="I312" i="28"/>
  <c r="H312" i="28"/>
  <c r="I299" i="28"/>
  <c r="H299" i="28"/>
  <c r="I296" i="28"/>
  <c r="H296" i="28"/>
  <c r="H189" i="28"/>
  <c r="I189" i="28"/>
  <c r="H185" i="28"/>
  <c r="I185" i="28"/>
  <c r="H181" i="28"/>
  <c r="I181" i="28"/>
  <c r="H177" i="28"/>
  <c r="I177" i="28"/>
  <c r="H173" i="28"/>
  <c r="I173" i="28"/>
  <c r="H169" i="28"/>
  <c r="I169" i="28"/>
  <c r="H165" i="28"/>
  <c r="I165" i="28"/>
  <c r="H161" i="28"/>
  <c r="I161" i="28"/>
  <c r="H157" i="28"/>
  <c r="I157" i="28"/>
  <c r="H153" i="28"/>
  <c r="I153" i="28"/>
  <c r="H149" i="28"/>
  <c r="I149" i="28"/>
  <c r="H145" i="28"/>
  <c r="I145" i="28"/>
  <c r="H141" i="28"/>
  <c r="I141" i="28"/>
  <c r="H137" i="28"/>
  <c r="I137" i="28"/>
  <c r="H133" i="28"/>
  <c r="I133" i="28"/>
  <c r="H129" i="28"/>
  <c r="I129" i="28"/>
  <c r="H125" i="28"/>
  <c r="I125" i="28"/>
  <c r="H121" i="28"/>
  <c r="I121" i="28"/>
  <c r="H117" i="28"/>
  <c r="I117" i="28"/>
  <c r="H113" i="28"/>
  <c r="I113" i="28"/>
  <c r="H109" i="28"/>
  <c r="I109" i="28"/>
  <c r="H105" i="28"/>
  <c r="I105" i="28"/>
  <c r="H101" i="28"/>
  <c r="I101" i="28"/>
  <c r="H97" i="28"/>
  <c r="I97" i="28"/>
  <c r="H93" i="28"/>
  <c r="I93" i="28"/>
  <c r="H89" i="28"/>
  <c r="I89" i="28"/>
  <c r="H85" i="28"/>
  <c r="I85" i="28"/>
  <c r="H81" i="28"/>
  <c r="I81" i="28"/>
  <c r="H77" i="28"/>
  <c r="I77" i="28"/>
  <c r="H73" i="28"/>
  <c r="I73" i="28"/>
  <c r="H69" i="28"/>
  <c r="I69" i="28"/>
  <c r="H65" i="28"/>
  <c r="I65" i="28"/>
  <c r="H61" i="28"/>
  <c r="I61" i="28"/>
  <c r="H57" i="28"/>
  <c r="I57" i="28"/>
  <c r="H53" i="28"/>
  <c r="I53" i="28"/>
  <c r="H49" i="28"/>
  <c r="I49" i="28"/>
  <c r="H45" i="28"/>
  <c r="I45" i="28"/>
  <c r="H41" i="28"/>
  <c r="I41" i="28"/>
  <c r="H37" i="28"/>
  <c r="I37" i="28"/>
  <c r="H33" i="28"/>
  <c r="I33" i="28"/>
  <c r="H29" i="28"/>
  <c r="I29" i="28"/>
  <c r="H25" i="28"/>
  <c r="I25" i="28"/>
  <c r="H21" i="28"/>
  <c r="I21" i="28"/>
  <c r="H17" i="28"/>
  <c r="I17" i="28"/>
  <c r="H13" i="28"/>
  <c r="I13" i="28"/>
  <c r="Z370" i="28"/>
  <c r="G370" i="28"/>
  <c r="H370" i="28" s="1"/>
  <c r="Z366" i="28"/>
  <c r="G366" i="28"/>
  <c r="H366" i="28" s="1"/>
  <c r="Z362" i="28"/>
  <c r="G362" i="28"/>
  <c r="H362" i="28" s="1"/>
  <c r="Z358" i="28"/>
  <c r="Z372" i="28"/>
  <c r="G368" i="28"/>
  <c r="H368" i="28" s="1"/>
  <c r="Z364" i="28"/>
  <c r="G360" i="28"/>
  <c r="H360" i="28" s="1"/>
  <c r="G364" i="28"/>
  <c r="H364" i="28" s="1"/>
  <c r="Z360" i="28"/>
  <c r="G372" i="28"/>
  <c r="H372" i="28" s="1"/>
  <c r="Z368" i="28"/>
  <c r="Z188" i="28"/>
  <c r="G188" i="28"/>
  <c r="H188" i="28" s="1"/>
  <c r="Z186" i="28"/>
  <c r="G186" i="28"/>
  <c r="Z184" i="28"/>
  <c r="G184" i="28"/>
  <c r="H184" i="28" s="1"/>
  <c r="Z182" i="28"/>
  <c r="G182" i="28"/>
  <c r="Z180" i="28"/>
  <c r="G180" i="28"/>
  <c r="H180" i="28" s="1"/>
  <c r="Z178" i="28"/>
  <c r="G178" i="28"/>
  <c r="H178" i="28" s="1"/>
  <c r="Z176" i="28"/>
  <c r="G176" i="28"/>
  <c r="H176" i="28" s="1"/>
  <c r="Z174" i="28"/>
  <c r="G174" i="28"/>
  <c r="H174" i="28" s="1"/>
  <c r="Z172" i="28"/>
  <c r="G172" i="28"/>
  <c r="H172" i="28" s="1"/>
  <c r="Z170" i="28"/>
  <c r="G170" i="28"/>
  <c r="H170" i="28" s="1"/>
  <c r="Z168" i="28"/>
  <c r="G168" i="28"/>
  <c r="H168" i="28" s="1"/>
  <c r="Z166" i="28"/>
  <c r="G166" i="28"/>
  <c r="Z164" i="28"/>
  <c r="G164" i="28"/>
  <c r="H164" i="28" s="1"/>
  <c r="Z162" i="28"/>
  <c r="G162" i="28"/>
  <c r="H162" i="28" s="1"/>
  <c r="Z160" i="28"/>
  <c r="G160" i="28"/>
  <c r="H160" i="28" s="1"/>
  <c r="Z158" i="28"/>
  <c r="G158" i="28"/>
  <c r="H158" i="28" s="1"/>
  <c r="Z156" i="28"/>
  <c r="G156" i="28"/>
  <c r="H156" i="28" s="1"/>
  <c r="Z154" i="28"/>
  <c r="G154" i="28"/>
  <c r="H154" i="28" s="1"/>
  <c r="Z152" i="28"/>
  <c r="G152" i="28"/>
  <c r="H152" i="28" s="1"/>
  <c r="Z150" i="28"/>
  <c r="G150" i="28"/>
  <c r="H150" i="28" s="1"/>
  <c r="Z148" i="28"/>
  <c r="G148" i="28"/>
  <c r="H148" i="28" s="1"/>
  <c r="Z146" i="28"/>
  <c r="G146" i="28"/>
  <c r="H146" i="28" s="1"/>
  <c r="Z144" i="28"/>
  <c r="G144" i="28"/>
  <c r="H144" i="28" s="1"/>
  <c r="Z142" i="28"/>
  <c r="G142" i="28"/>
  <c r="H142" i="28" s="1"/>
  <c r="Z140" i="28"/>
  <c r="G140" i="28"/>
  <c r="H140" i="28" s="1"/>
  <c r="Z138" i="28"/>
  <c r="G138" i="28"/>
  <c r="H138" i="28" s="1"/>
  <c r="Z136" i="28"/>
  <c r="G136" i="28"/>
  <c r="H136" i="28" s="1"/>
  <c r="Z134" i="28"/>
  <c r="G134" i="28"/>
  <c r="Z132" i="28"/>
  <c r="G132" i="28"/>
  <c r="H132" i="28" s="1"/>
  <c r="Z130" i="28"/>
  <c r="G130" i="28"/>
  <c r="H130" i="28" s="1"/>
  <c r="Z128" i="28"/>
  <c r="G128" i="28"/>
  <c r="H128" i="28" s="1"/>
  <c r="Z126" i="28"/>
  <c r="G126" i="28"/>
  <c r="H126" i="28" s="1"/>
  <c r="Z124" i="28"/>
  <c r="G124" i="28"/>
  <c r="H124" i="28" s="1"/>
  <c r="Z122" i="28"/>
  <c r="G122" i="28"/>
  <c r="H122" i="28" s="1"/>
  <c r="Z120" i="28"/>
  <c r="G120" i="28"/>
  <c r="H120" i="28" s="1"/>
  <c r="Z118" i="28"/>
  <c r="G118" i="28"/>
  <c r="H118" i="28" s="1"/>
  <c r="Z116" i="28"/>
  <c r="G116" i="28"/>
  <c r="H116" i="28" s="1"/>
  <c r="Z114" i="28"/>
  <c r="G114" i="28"/>
  <c r="H114" i="28" s="1"/>
  <c r="Z112" i="28"/>
  <c r="G112" i="28"/>
  <c r="H112" i="28" s="1"/>
  <c r="Z110" i="28"/>
  <c r="G110" i="28"/>
  <c r="H110" i="28" s="1"/>
  <c r="Z108" i="28"/>
  <c r="G108" i="28"/>
  <c r="H108" i="28" s="1"/>
  <c r="Z106" i="28"/>
  <c r="G106" i="28"/>
  <c r="H106" i="28" s="1"/>
  <c r="Z104" i="28"/>
  <c r="G104" i="28"/>
  <c r="H104" i="28" s="1"/>
  <c r="Z102" i="28"/>
  <c r="G102" i="28"/>
  <c r="H102" i="28" s="1"/>
  <c r="Z100" i="28"/>
  <c r="G100" i="28"/>
  <c r="H100" i="28" s="1"/>
  <c r="Z98" i="28"/>
  <c r="G98" i="28"/>
  <c r="H98" i="28" s="1"/>
  <c r="Z96" i="28"/>
  <c r="G96" i="28"/>
  <c r="H96" i="28" s="1"/>
  <c r="Z94" i="28"/>
  <c r="G94" i="28"/>
  <c r="H94" i="28" s="1"/>
  <c r="Z92" i="28"/>
  <c r="G92" i="28"/>
  <c r="H92" i="28" s="1"/>
  <c r="Z90" i="28"/>
  <c r="G90" i="28"/>
  <c r="Z88" i="28"/>
  <c r="G88" i="28"/>
  <c r="H88" i="28" s="1"/>
  <c r="Z86" i="28"/>
  <c r="G86" i="28"/>
  <c r="H86" i="28" s="1"/>
  <c r="Z84" i="28"/>
  <c r="G84" i="28"/>
  <c r="H84" i="28" s="1"/>
  <c r="Z82" i="28"/>
  <c r="G82" i="28"/>
  <c r="H82" i="28" s="1"/>
  <c r="Z80" i="28"/>
  <c r="G80" i="28"/>
  <c r="H80" i="28" s="1"/>
  <c r="Z78" i="28"/>
  <c r="G78" i="28"/>
  <c r="H78" i="28" s="1"/>
  <c r="Z76" i="28"/>
  <c r="G76" i="28"/>
  <c r="H76" i="28" s="1"/>
  <c r="Z74" i="28"/>
  <c r="G74" i="28"/>
  <c r="H74" i="28" s="1"/>
  <c r="Z72" i="28"/>
  <c r="G72" i="28"/>
  <c r="H72" i="28" s="1"/>
  <c r="Z70" i="28"/>
  <c r="G70" i="28"/>
  <c r="H70" i="28" s="1"/>
  <c r="Z68" i="28"/>
  <c r="G68" i="28"/>
  <c r="H68" i="28" s="1"/>
  <c r="Z66" i="28"/>
  <c r="G66" i="28"/>
  <c r="H66" i="28" s="1"/>
  <c r="Z64" i="28"/>
  <c r="G64" i="28"/>
  <c r="H64" i="28" s="1"/>
  <c r="Z62" i="28"/>
  <c r="G62" i="28"/>
  <c r="H62" i="28" s="1"/>
  <c r="Z60" i="28"/>
  <c r="G60" i="28"/>
  <c r="H60" i="28" s="1"/>
  <c r="Z58" i="28"/>
  <c r="G58" i="28"/>
  <c r="H58" i="28" s="1"/>
  <c r="Z56" i="28"/>
  <c r="G56" i="28"/>
  <c r="H56" i="28" s="1"/>
  <c r="Z54" i="28"/>
  <c r="G54" i="28"/>
  <c r="H54" i="28" s="1"/>
  <c r="Z52" i="28"/>
  <c r="G52" i="28"/>
  <c r="H52" i="28" s="1"/>
  <c r="Z50" i="28"/>
  <c r="G50" i="28"/>
  <c r="H50" i="28" s="1"/>
  <c r="Z48" i="28"/>
  <c r="G48" i="28"/>
  <c r="H48" i="28" s="1"/>
  <c r="Z46" i="28"/>
  <c r="G46" i="28"/>
  <c r="H46" i="28" s="1"/>
  <c r="Z44" i="28"/>
  <c r="G44" i="28"/>
  <c r="H44" i="28" s="1"/>
  <c r="Z42" i="28"/>
  <c r="G42" i="28"/>
  <c r="H42" i="28" s="1"/>
  <c r="Z40" i="28"/>
  <c r="G40" i="28"/>
  <c r="H40" i="28" s="1"/>
  <c r="Z38" i="28"/>
  <c r="G38" i="28"/>
  <c r="H38" i="28" s="1"/>
  <c r="Z36" i="28"/>
  <c r="G36" i="28"/>
  <c r="H36" i="28" s="1"/>
  <c r="Z34" i="28"/>
  <c r="G34" i="28"/>
  <c r="H34" i="28" s="1"/>
  <c r="Z32" i="28"/>
  <c r="G32" i="28"/>
  <c r="H32" i="28" s="1"/>
  <c r="Z30" i="28"/>
  <c r="G30" i="28"/>
  <c r="H30" i="28" s="1"/>
  <c r="Z28" i="28"/>
  <c r="G28" i="28"/>
  <c r="H28" i="28" s="1"/>
  <c r="Z26" i="28"/>
  <c r="G26" i="28"/>
  <c r="H26" i="28" s="1"/>
  <c r="Z24" i="28"/>
  <c r="G24" i="28"/>
  <c r="H24" i="28" s="1"/>
  <c r="Z22" i="28"/>
  <c r="G22" i="28"/>
  <c r="H22" i="28" s="1"/>
  <c r="Z20" i="28"/>
  <c r="G20" i="28"/>
  <c r="H20" i="28" s="1"/>
  <c r="Z18" i="28"/>
  <c r="G18" i="28"/>
  <c r="H18" i="28" s="1"/>
  <c r="Z16" i="28"/>
  <c r="G16" i="28"/>
  <c r="H16" i="28" s="1"/>
  <c r="Z14" i="28"/>
  <c r="G14" i="28"/>
  <c r="H14" i="28" s="1"/>
  <c r="Z12" i="28"/>
  <c r="G12" i="28"/>
  <c r="H12" i="28" s="1"/>
  <c r="Z11" i="28"/>
  <c r="G11" i="28"/>
  <c r="H11" i="28" s="1"/>
  <c r="Z10" i="28"/>
  <c r="G10" i="28"/>
  <c r="H10" i="28" s="1"/>
  <c r="Z9" i="28"/>
  <c r="G9" i="28"/>
  <c r="Z8" i="28"/>
  <c r="G8" i="28"/>
  <c r="H8" i="28" s="1"/>
  <c r="G6" i="28"/>
  <c r="I354" i="28"/>
  <c r="I349" i="28"/>
  <c r="H349" i="28"/>
  <c r="I342" i="28"/>
  <c r="H342" i="28"/>
  <c r="I332" i="28"/>
  <c r="H332" i="28"/>
  <c r="Z326" i="28"/>
  <c r="I319" i="28"/>
  <c r="H319" i="28"/>
  <c r="I316" i="28"/>
  <c r="H316" i="28"/>
  <c r="Z310" i="28"/>
  <c r="I303" i="28"/>
  <c r="H303" i="28"/>
  <c r="I300" i="28"/>
  <c r="H300" i="28"/>
  <c r="Z294" i="28"/>
  <c r="I287" i="28"/>
  <c r="H287" i="28"/>
  <c r="I284" i="28"/>
  <c r="H284" i="28"/>
  <c r="I280" i="28"/>
  <c r="H280" i="28"/>
  <c r="I276" i="28"/>
  <c r="H276" i="28"/>
  <c r="I272" i="28"/>
  <c r="I268" i="28"/>
  <c r="H268" i="28"/>
  <c r="I264" i="28"/>
  <c r="H264" i="28"/>
  <c r="I260" i="28"/>
  <c r="I256" i="28"/>
  <c r="I252" i="28"/>
  <c r="H252" i="28"/>
  <c r="I248" i="28"/>
  <c r="H248" i="28"/>
  <c r="I244" i="28"/>
  <c r="H244" i="28"/>
  <c r="I240" i="28"/>
  <c r="I236" i="28"/>
  <c r="H236" i="28"/>
  <c r="I232" i="28"/>
  <c r="I228" i="28"/>
  <c r="I224" i="28"/>
  <c r="I220" i="28"/>
  <c r="H220" i="28"/>
  <c r="I216" i="28"/>
  <c r="H216" i="28"/>
  <c r="I212" i="28"/>
  <c r="H212" i="28"/>
  <c r="I208" i="28"/>
  <c r="I204" i="28"/>
  <c r="H204" i="28"/>
  <c r="I200" i="28"/>
  <c r="H200" i="28"/>
  <c r="I196" i="28"/>
  <c r="I192" i="28"/>
  <c r="Z189" i="28"/>
  <c r="H186" i="28"/>
  <c r="I186" i="28"/>
  <c r="H182" i="28"/>
  <c r="I182" i="28"/>
  <c r="I178" i="28"/>
  <c r="I174" i="28"/>
  <c r="I170" i="28"/>
  <c r="H166" i="28"/>
  <c r="I166" i="28"/>
  <c r="I162" i="28"/>
  <c r="I158" i="28"/>
  <c r="I154" i="28"/>
  <c r="I150" i="28"/>
  <c r="I146" i="28"/>
  <c r="I142" i="28"/>
  <c r="I138" i="28"/>
  <c r="H134" i="28"/>
  <c r="I134" i="28"/>
  <c r="I130" i="28"/>
  <c r="I126" i="28"/>
  <c r="I122" i="28"/>
  <c r="I118" i="28"/>
  <c r="I114" i="28"/>
  <c r="I110" i="28"/>
  <c r="I106" i="28"/>
  <c r="I102" i="28"/>
  <c r="I98" i="28"/>
  <c r="I94" i="28"/>
  <c r="H90" i="28"/>
  <c r="I90" i="28"/>
  <c r="I86" i="28"/>
  <c r="I82" i="28"/>
  <c r="I78" i="28"/>
  <c r="I74" i="28"/>
  <c r="I70" i="28"/>
  <c r="I66" i="28"/>
  <c r="I62" i="28"/>
  <c r="I58" i="28"/>
  <c r="I54" i="28"/>
  <c r="I50" i="28"/>
  <c r="I46" i="28"/>
  <c r="I42" i="28"/>
  <c r="I38" i="28"/>
  <c r="I34" i="28"/>
  <c r="I30" i="28"/>
  <c r="I26" i="28"/>
  <c r="I22" i="28"/>
  <c r="I18" i="28"/>
  <c r="I14" i="28"/>
  <c r="I11" i="28"/>
  <c r="H9" i="28"/>
  <c r="I9" i="28"/>
  <c r="I7" i="28"/>
  <c r="Z187" i="28"/>
  <c r="Z183" i="28"/>
  <c r="Z179" i="28"/>
  <c r="Z175" i="28"/>
  <c r="Z171" i="28"/>
  <c r="Z167" i="28"/>
  <c r="Z163" i="28"/>
  <c r="Z159" i="28"/>
  <c r="Z155" i="28"/>
  <c r="Z151" i="28"/>
  <c r="Z147" i="28"/>
  <c r="Z143" i="28"/>
  <c r="Z139" i="28"/>
  <c r="Z135" i="28"/>
  <c r="Z131" i="28"/>
  <c r="Z127" i="28"/>
  <c r="Z123" i="28"/>
  <c r="Z119" i="28"/>
  <c r="Z115" i="28"/>
  <c r="Z111" i="28"/>
  <c r="Z107" i="28"/>
  <c r="Z103" i="28"/>
  <c r="Z99" i="28"/>
  <c r="Z95" i="28"/>
  <c r="Z91" i="28"/>
  <c r="Z87" i="28"/>
  <c r="Z83" i="28"/>
  <c r="Z79" i="28"/>
  <c r="Z75" i="28"/>
  <c r="Z71" i="28"/>
  <c r="Z67" i="28"/>
  <c r="Z63" i="28"/>
  <c r="Z59" i="28"/>
  <c r="Z55" i="28"/>
  <c r="Z51" i="28"/>
  <c r="Z47" i="28"/>
  <c r="Z43" i="28"/>
  <c r="Z39" i="28"/>
  <c r="Z35" i="28"/>
  <c r="Z31" i="28"/>
  <c r="Z27" i="28"/>
  <c r="Z23" i="28"/>
  <c r="Z19" i="28"/>
  <c r="Z15" i="28"/>
  <c r="F374" i="28"/>
  <c r="H94" i="27"/>
  <c r="H86" i="27"/>
  <c r="H70" i="27"/>
  <c r="H50" i="27"/>
  <c r="H30" i="27"/>
  <c r="H22" i="27"/>
  <c r="H372" i="27"/>
  <c r="I372" i="27"/>
  <c r="H370" i="27"/>
  <c r="I370" i="27"/>
  <c r="H368" i="27"/>
  <c r="I368" i="27"/>
  <c r="H366" i="27"/>
  <c r="I366" i="27"/>
  <c r="H364" i="27"/>
  <c r="I364" i="27"/>
  <c r="H362" i="27"/>
  <c r="I362" i="27"/>
  <c r="H360" i="27"/>
  <c r="I360" i="27"/>
  <c r="I357" i="27"/>
  <c r="I353" i="27"/>
  <c r="I349" i="27"/>
  <c r="I345" i="27"/>
  <c r="H342" i="27"/>
  <c r="I342" i="27"/>
  <c r="H338" i="27"/>
  <c r="I338" i="27"/>
  <c r="H334" i="27"/>
  <c r="I334" i="27"/>
  <c r="H330" i="27"/>
  <c r="I330" i="27"/>
  <c r="H326" i="27"/>
  <c r="I326" i="27"/>
  <c r="I322" i="27"/>
  <c r="I354" i="27"/>
  <c r="I351" i="27"/>
  <c r="I343" i="27"/>
  <c r="I339" i="27"/>
  <c r="I335" i="27"/>
  <c r="I331" i="27"/>
  <c r="I327" i="27"/>
  <c r="I323" i="27"/>
  <c r="I319" i="27"/>
  <c r="I316" i="27"/>
  <c r="I312" i="27"/>
  <c r="I308" i="27"/>
  <c r="I304" i="27"/>
  <c r="I300" i="27"/>
  <c r="I296" i="27"/>
  <c r="I292" i="27"/>
  <c r="I288" i="27"/>
  <c r="I284" i="27"/>
  <c r="I280" i="27"/>
  <c r="I276" i="27"/>
  <c r="I272" i="27"/>
  <c r="I358" i="27"/>
  <c r="H358" i="27"/>
  <c r="I350" i="27"/>
  <c r="H350" i="27"/>
  <c r="I341" i="27"/>
  <c r="I333" i="27"/>
  <c r="I325" i="27"/>
  <c r="I252" i="27"/>
  <c r="I248" i="27"/>
  <c r="I244" i="27"/>
  <c r="H244" i="27"/>
  <c r="I240" i="27"/>
  <c r="I236" i="27"/>
  <c r="I232" i="27"/>
  <c r="I228" i="27"/>
  <c r="I224" i="27"/>
  <c r="I220" i="27"/>
  <c r="I216" i="27"/>
  <c r="I212" i="27"/>
  <c r="H212" i="27"/>
  <c r="I208" i="27"/>
  <c r="I204" i="27"/>
  <c r="I200" i="27"/>
  <c r="I196" i="27"/>
  <c r="I192" i="27"/>
  <c r="I188" i="27"/>
  <c r="I184" i="27"/>
  <c r="I180" i="27"/>
  <c r="H180" i="27"/>
  <c r="I176" i="27"/>
  <c r="I352" i="27"/>
  <c r="I269" i="27"/>
  <c r="I267" i="27"/>
  <c r="I265" i="27"/>
  <c r="I263" i="27"/>
  <c r="H263" i="27"/>
  <c r="I261" i="27"/>
  <c r="I259" i="27"/>
  <c r="I257" i="27"/>
  <c r="I255" i="27"/>
  <c r="H255" i="27"/>
  <c r="I253" i="27"/>
  <c r="I249" i="27"/>
  <c r="I245" i="27"/>
  <c r="I241" i="27"/>
  <c r="I237" i="27"/>
  <c r="I233" i="27"/>
  <c r="I229" i="27"/>
  <c r="I225" i="27"/>
  <c r="I221" i="27"/>
  <c r="I217" i="27"/>
  <c r="I213" i="27"/>
  <c r="I209" i="27"/>
  <c r="I205" i="27"/>
  <c r="I201" i="27"/>
  <c r="I197" i="27"/>
  <c r="I193" i="27"/>
  <c r="I189" i="27"/>
  <c r="I185" i="27"/>
  <c r="I181" i="27"/>
  <c r="I177" i="27"/>
  <c r="I174" i="27"/>
  <c r="I172" i="27"/>
  <c r="I170" i="27"/>
  <c r="I168" i="27"/>
  <c r="I166" i="27"/>
  <c r="I164" i="27"/>
  <c r="I162" i="27"/>
  <c r="I160" i="27"/>
  <c r="I158" i="27"/>
  <c r="I156" i="27"/>
  <c r="I154" i="27"/>
  <c r="I152" i="27"/>
  <c r="I150" i="27"/>
  <c r="I148" i="27"/>
  <c r="I146" i="27"/>
  <c r="I144" i="27"/>
  <c r="I142" i="27"/>
  <c r="I140" i="27"/>
  <c r="H140" i="27"/>
  <c r="I138" i="27"/>
  <c r="I136" i="27"/>
  <c r="I134" i="27"/>
  <c r="I132" i="27"/>
  <c r="I130" i="27"/>
  <c r="I128" i="27"/>
  <c r="I126" i="27"/>
  <c r="I124" i="27"/>
  <c r="I122" i="27"/>
  <c r="I120" i="27"/>
  <c r="I118" i="27"/>
  <c r="I116" i="27"/>
  <c r="H116" i="27"/>
  <c r="I114" i="27"/>
  <c r="I112" i="27"/>
  <c r="I110" i="27"/>
  <c r="I108" i="27"/>
  <c r="I373" i="27"/>
  <c r="I371" i="27"/>
  <c r="I369" i="27"/>
  <c r="I367" i="27"/>
  <c r="I365" i="27"/>
  <c r="I363" i="27"/>
  <c r="I361" i="27"/>
  <c r="H359" i="27"/>
  <c r="I359" i="27"/>
  <c r="H344" i="27"/>
  <c r="I344" i="27"/>
  <c r="H340" i="27"/>
  <c r="I340" i="27"/>
  <c r="H336" i="27"/>
  <c r="I336" i="27"/>
  <c r="H332" i="27"/>
  <c r="I332" i="27"/>
  <c r="I328" i="27"/>
  <c r="H324" i="27"/>
  <c r="I324" i="27"/>
  <c r="H320" i="27"/>
  <c r="I320" i="27"/>
  <c r="I346" i="27"/>
  <c r="H318" i="27"/>
  <c r="I318" i="27"/>
  <c r="H314" i="27"/>
  <c r="I314" i="27"/>
  <c r="H310" i="27"/>
  <c r="I310" i="27"/>
  <c r="H306" i="27"/>
  <c r="I306" i="27"/>
  <c r="H302" i="27"/>
  <c r="I302" i="27"/>
  <c r="H298" i="27"/>
  <c r="I298" i="27"/>
  <c r="H294" i="27"/>
  <c r="I294" i="27"/>
  <c r="H290" i="27"/>
  <c r="I290" i="27"/>
  <c r="H286" i="27"/>
  <c r="I286" i="27"/>
  <c r="H282" i="27"/>
  <c r="I282" i="27"/>
  <c r="H278" i="27"/>
  <c r="I278" i="27"/>
  <c r="H274" i="27"/>
  <c r="I274" i="27"/>
  <c r="I355" i="27"/>
  <c r="I348" i="27"/>
  <c r="H348" i="27"/>
  <c r="I337" i="27"/>
  <c r="I329" i="27"/>
  <c r="I321" i="27"/>
  <c r="I315" i="27"/>
  <c r="I311" i="27"/>
  <c r="I307" i="27"/>
  <c r="I303" i="27"/>
  <c r="I299" i="27"/>
  <c r="I295" i="27"/>
  <c r="I291" i="27"/>
  <c r="I287" i="27"/>
  <c r="I283" i="27"/>
  <c r="I279" i="27"/>
  <c r="I275" i="27"/>
  <c r="I271" i="27"/>
  <c r="I356" i="27"/>
  <c r="I347" i="27"/>
  <c r="I317" i="27"/>
  <c r="I313" i="27"/>
  <c r="I309" i="27"/>
  <c r="I305" i="27"/>
  <c r="I301" i="27"/>
  <c r="I297" i="27"/>
  <c r="I293" i="27"/>
  <c r="I289" i="27"/>
  <c r="I285" i="27"/>
  <c r="I281" i="27"/>
  <c r="I277" i="27"/>
  <c r="I273" i="27"/>
  <c r="I270" i="27"/>
  <c r="I268" i="27"/>
  <c r="I266" i="27"/>
  <c r="I264" i="27"/>
  <c r="I262" i="27"/>
  <c r="I260" i="27"/>
  <c r="I258" i="27"/>
  <c r="H258" i="27"/>
  <c r="I256" i="27"/>
  <c r="I254" i="27"/>
  <c r="H254" i="27"/>
  <c r="I250" i="27"/>
  <c r="I246" i="27"/>
  <c r="I242" i="27"/>
  <c r="H242" i="27"/>
  <c r="I238" i="27"/>
  <c r="I234" i="27"/>
  <c r="H234" i="27"/>
  <c r="I230" i="27"/>
  <c r="I226" i="27"/>
  <c r="I222" i="27"/>
  <c r="I218" i="27"/>
  <c r="I214" i="27"/>
  <c r="I210" i="27"/>
  <c r="I206" i="27"/>
  <c r="I202" i="27"/>
  <c r="I198" i="27"/>
  <c r="I194" i="27"/>
  <c r="H194" i="27"/>
  <c r="I190" i="27"/>
  <c r="H190" i="27"/>
  <c r="I186" i="27"/>
  <c r="I182" i="27"/>
  <c r="I178" i="27"/>
  <c r="H178" i="27"/>
  <c r="I251" i="27"/>
  <c r="H251" i="27"/>
  <c r="I247" i="27"/>
  <c r="H247" i="27"/>
  <c r="I243" i="27"/>
  <c r="I239" i="27"/>
  <c r="H239" i="27"/>
  <c r="I235" i="27"/>
  <c r="H235" i="27"/>
  <c r="I231" i="27"/>
  <c r="H231" i="27"/>
  <c r="I227" i="27"/>
  <c r="I223" i="27"/>
  <c r="H223" i="27"/>
  <c r="I219" i="27"/>
  <c r="H219" i="27"/>
  <c r="I215" i="27"/>
  <c r="H215" i="27"/>
  <c r="I211" i="27"/>
  <c r="I207" i="27"/>
  <c r="H207" i="27"/>
  <c r="I203" i="27"/>
  <c r="H203" i="27"/>
  <c r="I199" i="27"/>
  <c r="H199" i="27"/>
  <c r="I195" i="27"/>
  <c r="I191" i="27"/>
  <c r="H191" i="27"/>
  <c r="I187" i="27"/>
  <c r="H187" i="27"/>
  <c r="I183" i="27"/>
  <c r="H183" i="27"/>
  <c r="I179" i="27"/>
  <c r="I175" i="27"/>
  <c r="H175" i="27"/>
  <c r="I173" i="27"/>
  <c r="H173" i="27"/>
  <c r="I171" i="27"/>
  <c r="I169" i="27"/>
  <c r="I167" i="27"/>
  <c r="I165" i="27"/>
  <c r="I163" i="27"/>
  <c r="I161" i="27"/>
  <c r="I159" i="27"/>
  <c r="I157" i="27"/>
  <c r="H157" i="27"/>
  <c r="I155" i="27"/>
  <c r="I153" i="27"/>
  <c r="I151" i="27"/>
  <c r="I149" i="27"/>
  <c r="I147" i="27"/>
  <c r="I145" i="27"/>
  <c r="I143" i="27"/>
  <c r="I141" i="27"/>
  <c r="H141" i="27"/>
  <c r="I139" i="27"/>
  <c r="I137" i="27"/>
  <c r="I135" i="27"/>
  <c r="I133" i="27"/>
  <c r="H133" i="27"/>
  <c r="I131" i="27"/>
  <c r="I129" i="27"/>
  <c r="I127" i="27"/>
  <c r="I125" i="27"/>
  <c r="H125" i="27"/>
  <c r="I123" i="27"/>
  <c r="I121" i="27"/>
  <c r="I119" i="27"/>
  <c r="I117" i="27"/>
  <c r="I115" i="27"/>
  <c r="I113" i="27"/>
  <c r="I111" i="27"/>
  <c r="I109" i="27"/>
  <c r="H109" i="27"/>
  <c r="I107" i="27"/>
  <c r="I103" i="27"/>
  <c r="I99" i="27"/>
  <c r="I95" i="27"/>
  <c r="I91" i="27"/>
  <c r="I87" i="27"/>
  <c r="I83" i="27"/>
  <c r="I79" i="27"/>
  <c r="I75" i="27"/>
  <c r="I71" i="27"/>
  <c r="I67" i="27"/>
  <c r="I63" i="27"/>
  <c r="I59" i="27"/>
  <c r="I55" i="27"/>
  <c r="I51" i="27"/>
  <c r="I47" i="27"/>
  <c r="I43" i="27"/>
  <c r="I39" i="27"/>
  <c r="I35" i="27"/>
  <c r="I31" i="27"/>
  <c r="I27" i="27"/>
  <c r="I23" i="27"/>
  <c r="I19" i="27"/>
  <c r="I15" i="27"/>
  <c r="Z343" i="27"/>
  <c r="G343" i="27"/>
  <c r="H343" i="27" s="1"/>
  <c r="Z339" i="27"/>
  <c r="G339" i="27"/>
  <c r="H339" i="27" s="1"/>
  <c r="Z335" i="27"/>
  <c r="G335" i="27"/>
  <c r="H335" i="27" s="1"/>
  <c r="Z331" i="27"/>
  <c r="G331" i="27"/>
  <c r="H331" i="27" s="1"/>
  <c r="Z327" i="27"/>
  <c r="G327" i="27"/>
  <c r="H327" i="27" s="1"/>
  <c r="Z323" i="27"/>
  <c r="G323" i="27"/>
  <c r="H323" i="27" s="1"/>
  <c r="Z319" i="27"/>
  <c r="G319" i="27"/>
  <c r="H319" i="27" s="1"/>
  <c r="Z341" i="27"/>
  <c r="G337" i="27"/>
  <c r="H337" i="27" s="1"/>
  <c r="Z333" i="27"/>
  <c r="G329" i="27"/>
  <c r="H329" i="27" s="1"/>
  <c r="Z325" i="27"/>
  <c r="G321" i="27"/>
  <c r="H321" i="27" s="1"/>
  <c r="Z315" i="27"/>
  <c r="G315" i="27"/>
  <c r="H315" i="27" s="1"/>
  <c r="Z311" i="27"/>
  <c r="G311" i="27"/>
  <c r="H311" i="27" s="1"/>
  <c r="Z307" i="27"/>
  <c r="G307" i="27"/>
  <c r="H307" i="27" s="1"/>
  <c r="Z303" i="27"/>
  <c r="G303" i="27"/>
  <c r="H303" i="27" s="1"/>
  <c r="Z299" i="27"/>
  <c r="G299" i="27"/>
  <c r="H299" i="27" s="1"/>
  <c r="Z295" i="27"/>
  <c r="G295" i="27"/>
  <c r="H295" i="27" s="1"/>
  <c r="Z291" i="27"/>
  <c r="G291" i="27"/>
  <c r="H291" i="27" s="1"/>
  <c r="Z287" i="27"/>
  <c r="G287" i="27"/>
  <c r="H287" i="27" s="1"/>
  <c r="Z283" i="27"/>
  <c r="G283" i="27"/>
  <c r="H283" i="27" s="1"/>
  <c r="Z279" i="27"/>
  <c r="G279" i="27"/>
  <c r="H279" i="27" s="1"/>
  <c r="Z275" i="27"/>
  <c r="G275" i="27"/>
  <c r="H275" i="27" s="1"/>
  <c r="Z271" i="27"/>
  <c r="G271" i="27"/>
  <c r="H271" i="27" s="1"/>
  <c r="G341" i="27"/>
  <c r="H341" i="27" s="1"/>
  <c r="Z337" i="27"/>
  <c r="G333" i="27"/>
  <c r="H333" i="27" s="1"/>
  <c r="Z329" i="27"/>
  <c r="G325" i="27"/>
  <c r="H325" i="27" s="1"/>
  <c r="Z321" i="27"/>
  <c r="Z317" i="27"/>
  <c r="G317" i="27"/>
  <c r="H317" i="27" s="1"/>
  <c r="Z313" i="27"/>
  <c r="G313" i="27"/>
  <c r="H313" i="27" s="1"/>
  <c r="Z309" i="27"/>
  <c r="G309" i="27"/>
  <c r="H309" i="27" s="1"/>
  <c r="Z305" i="27"/>
  <c r="G305" i="27"/>
  <c r="H305" i="27" s="1"/>
  <c r="Z301" i="27"/>
  <c r="G301" i="27"/>
  <c r="H301" i="27" s="1"/>
  <c r="Z297" i="27"/>
  <c r="G297" i="27"/>
  <c r="H297" i="27" s="1"/>
  <c r="Z293" i="27"/>
  <c r="G293" i="27"/>
  <c r="H293" i="27" s="1"/>
  <c r="Z289" i="27"/>
  <c r="G289" i="27"/>
  <c r="H289" i="27" s="1"/>
  <c r="Z285" i="27"/>
  <c r="G285" i="27"/>
  <c r="H285" i="27" s="1"/>
  <c r="Z281" i="27"/>
  <c r="G281" i="27"/>
  <c r="H281" i="27" s="1"/>
  <c r="Z277" i="27"/>
  <c r="G277" i="27"/>
  <c r="H277" i="27" s="1"/>
  <c r="Z273" i="27"/>
  <c r="G273" i="27"/>
  <c r="H273" i="27" s="1"/>
  <c r="AG11" i="27"/>
  <c r="AG10" i="27"/>
  <c r="AJ10" i="27" s="1"/>
  <c r="AG9" i="27"/>
  <c r="AG8" i="27"/>
  <c r="AG7" i="27"/>
  <c r="AF10" i="27"/>
  <c r="AF8" i="27"/>
  <c r="AF9" i="27"/>
  <c r="AF11" i="27"/>
  <c r="AF7" i="27"/>
  <c r="Z107" i="27"/>
  <c r="Z103" i="27"/>
  <c r="Z99" i="27"/>
  <c r="Z95" i="27"/>
  <c r="Z91" i="27"/>
  <c r="Z87" i="27"/>
  <c r="Z83" i="27"/>
  <c r="Z79" i="27"/>
  <c r="Z75" i="27"/>
  <c r="Z71" i="27"/>
  <c r="Z67" i="27"/>
  <c r="Z63" i="27"/>
  <c r="Z59" i="27"/>
  <c r="Z55" i="27"/>
  <c r="Z51" i="27"/>
  <c r="Z47" i="27"/>
  <c r="Z43" i="27"/>
  <c r="Z39" i="27"/>
  <c r="Z35" i="27"/>
  <c r="Z31" i="27"/>
  <c r="Z27" i="27"/>
  <c r="Z23" i="27"/>
  <c r="Z19" i="27"/>
  <c r="Z15" i="27"/>
  <c r="Z7" i="27"/>
  <c r="G6" i="27"/>
  <c r="H6" i="27" s="1"/>
  <c r="Z5" i="27"/>
  <c r="G5" i="27"/>
  <c r="I105" i="27"/>
  <c r="H105" i="27"/>
  <c r="I101" i="27"/>
  <c r="I97" i="27"/>
  <c r="H97" i="27"/>
  <c r="I93" i="27"/>
  <c r="H93" i="27"/>
  <c r="I89" i="27"/>
  <c r="H89" i="27"/>
  <c r="I85" i="27"/>
  <c r="I81" i="27"/>
  <c r="H81" i="27"/>
  <c r="I77" i="27"/>
  <c r="H77" i="27"/>
  <c r="I73" i="27"/>
  <c r="H73" i="27"/>
  <c r="I69" i="27"/>
  <c r="I65" i="27"/>
  <c r="H65" i="27"/>
  <c r="I61" i="27"/>
  <c r="H61" i="27"/>
  <c r="I57" i="27"/>
  <c r="H57" i="27"/>
  <c r="I53" i="27"/>
  <c r="I49" i="27"/>
  <c r="H49" i="27"/>
  <c r="I45" i="27"/>
  <c r="H45" i="27"/>
  <c r="I41" i="27"/>
  <c r="H41" i="27"/>
  <c r="I37" i="27"/>
  <c r="I33" i="27"/>
  <c r="H33" i="27"/>
  <c r="I29" i="27"/>
  <c r="H29" i="27"/>
  <c r="I25" i="27"/>
  <c r="H25" i="27"/>
  <c r="I21" i="27"/>
  <c r="I17" i="27"/>
  <c r="H17" i="27"/>
  <c r="I13" i="27"/>
  <c r="H13" i="27"/>
  <c r="Z6" i="27"/>
  <c r="D33" i="22" a="1"/>
  <c r="D33" i="22" s="1"/>
  <c r="D241" i="22" a="1"/>
  <c r="D241" i="22" s="1"/>
  <c r="D931" i="22" a="1"/>
  <c r="D931" i="22" s="1"/>
  <c r="D922" i="22" a="1"/>
  <c r="D922" i="22" s="1"/>
  <c r="D482" i="22" a="1"/>
  <c r="D482" i="22" s="1"/>
  <c r="D732" i="22" a="1"/>
  <c r="D732" i="22" s="1"/>
  <c r="D826" i="22" a="1"/>
  <c r="D826" i="22" s="1"/>
  <c r="D736" i="22" a="1"/>
  <c r="D736" i="22" s="1"/>
  <c r="D642" i="22" a="1"/>
  <c r="D642" i="22" s="1"/>
  <c r="D605" i="22" a="1"/>
  <c r="D605" i="22" s="1"/>
  <c r="D609" i="22" a="1"/>
  <c r="D609" i="22" s="1"/>
  <c r="D176" i="22" a="1"/>
  <c r="D176" i="22" s="1"/>
  <c r="D1011" i="22" a="1"/>
  <c r="D1011" i="22" s="1"/>
  <c r="D291" i="22" a="1"/>
  <c r="D291" i="22" s="1"/>
  <c r="D863" i="22" a="1"/>
  <c r="D863" i="22" s="1"/>
  <c r="D124" i="22" a="1"/>
  <c r="D124" i="22" s="1"/>
  <c r="D890" i="22" a="1"/>
  <c r="D890" i="22" s="1"/>
  <c r="D1094" i="22" a="1"/>
  <c r="D1094" i="22" s="1"/>
  <c r="D585" i="22" a="1"/>
  <c r="D585" i="22" s="1"/>
  <c r="D407" i="22" a="1"/>
  <c r="D407" i="22" s="1"/>
  <c r="D278" i="22" a="1"/>
  <c r="D278" i="22" s="1"/>
  <c r="D665" i="22" a="1"/>
  <c r="D665" i="22" s="1"/>
  <c r="D616" i="22" a="1"/>
  <c r="D616" i="22" s="1"/>
  <c r="D75" i="22" a="1"/>
  <c r="D75" i="22" s="1"/>
  <c r="D640" i="22" a="1"/>
  <c r="D640" i="22" s="1"/>
  <c r="D1073" i="22" a="1"/>
  <c r="D1073" i="22" s="1"/>
  <c r="D879" i="22" a="1"/>
  <c r="D879" i="22" s="1"/>
  <c r="D465" i="22" a="1"/>
  <c r="D465" i="22" s="1"/>
  <c r="D1025" i="22" a="1"/>
  <c r="D1025" i="22" s="1"/>
  <c r="D276" i="22" a="1"/>
  <c r="D276" i="22" s="1"/>
  <c r="D466" i="22" a="1"/>
  <c r="D466" i="22" s="1"/>
  <c r="D983" i="22" a="1"/>
  <c r="D983" i="22" s="1"/>
  <c r="D733" i="22" a="1"/>
  <c r="D733" i="22" s="1"/>
  <c r="D157" i="22" a="1"/>
  <c r="D157" i="22" s="1"/>
  <c r="D245" i="22" a="1"/>
  <c r="D245" i="22" s="1"/>
  <c r="D283" i="22" a="1"/>
  <c r="D283" i="22" s="1"/>
  <c r="D737" i="22" a="1"/>
  <c r="D737" i="22" s="1"/>
  <c r="D680" i="22" a="1"/>
  <c r="D680" i="22" s="1"/>
  <c r="D705" i="22" a="1"/>
  <c r="D705" i="22" s="1"/>
  <c r="D330" i="22" a="1"/>
  <c r="D330" i="22" s="1"/>
  <c r="D445" i="22" a="1"/>
  <c r="D445" i="22" s="1"/>
  <c r="D230" i="22" a="1"/>
  <c r="D230" i="22" s="1"/>
  <c r="D604" i="22" a="1"/>
  <c r="D604" i="22" s="1"/>
  <c r="D773" i="22" a="1"/>
  <c r="D773" i="22" s="1"/>
  <c r="D743" i="22" a="1"/>
  <c r="D743" i="22" s="1"/>
  <c r="D396" i="22" a="1"/>
  <c r="D396" i="22" s="1"/>
  <c r="D587" i="22" a="1"/>
  <c r="D587" i="22" s="1"/>
  <c r="D981" i="22" a="1"/>
  <c r="D981" i="22" s="1"/>
  <c r="D693" i="22" a="1"/>
  <c r="D693" i="22" s="1"/>
  <c r="D150" i="22" a="1"/>
  <c r="D150" i="22" s="1"/>
  <c r="D16" i="22" a="1"/>
  <c r="D16" i="22" s="1"/>
  <c r="D768" i="22" a="1"/>
  <c r="D768" i="22" s="1"/>
  <c r="D1026" i="22" a="1"/>
  <c r="D1026" i="22" s="1"/>
  <c r="D446" i="22" a="1"/>
  <c r="D446" i="22" s="1"/>
  <c r="D518" i="22" a="1"/>
  <c r="D518" i="22" s="1"/>
  <c r="D166" i="22" a="1"/>
  <c r="D166" i="22" s="1"/>
  <c r="D326" i="22" a="1"/>
  <c r="D326" i="22" s="1"/>
  <c r="D1091" i="22" a="1"/>
  <c r="D1091" i="22" s="1"/>
  <c r="D977" i="22" a="1"/>
  <c r="D977" i="22" s="1"/>
  <c r="D760" i="22" a="1"/>
  <c r="D760" i="22" s="1"/>
  <c r="D132" i="22" a="1"/>
  <c r="D132" i="22" s="1"/>
  <c r="D901" i="22" a="1"/>
  <c r="D901" i="22" s="1"/>
  <c r="D422" i="22" a="1"/>
  <c r="D422" i="22" s="1"/>
  <c r="D454" i="22" a="1"/>
  <c r="D454" i="22" s="1"/>
  <c r="D73" i="22" a="1"/>
  <c r="D73" i="22" s="1"/>
  <c r="D437" i="22" a="1"/>
  <c r="D437" i="22" s="1"/>
  <c r="D951" i="22" a="1"/>
  <c r="D951" i="22" s="1"/>
  <c r="D962" i="22" a="1"/>
  <c r="D962" i="22" s="1"/>
  <c r="D746" i="22" a="1"/>
  <c r="D746" i="22" s="1"/>
  <c r="D481" i="22" a="1"/>
  <c r="D481" i="22" s="1"/>
  <c r="D406" i="22" a="1"/>
  <c r="D406" i="22" s="1"/>
  <c r="D1085" i="22" a="1"/>
  <c r="D1085" i="22" s="1"/>
  <c r="D1003" i="22" a="1"/>
  <c r="D1003" i="22" s="1"/>
  <c r="D980" i="22" a="1"/>
  <c r="D980" i="22" s="1"/>
  <c r="D417" i="22" a="1"/>
  <c r="D417" i="22" s="1"/>
  <c r="D785" i="22" a="1"/>
  <c r="D785" i="22" s="1"/>
  <c r="D1020" i="22" a="1"/>
  <c r="D1020" i="22" s="1"/>
  <c r="D285" i="22" a="1"/>
  <c r="D285" i="22" s="1"/>
  <c r="D86" i="22" a="1"/>
  <c r="D86" i="22" s="1"/>
  <c r="D175" i="22" a="1"/>
  <c r="D175" i="22" s="1"/>
  <c r="D61" i="22" a="1"/>
  <c r="D61" i="22" s="1"/>
  <c r="D1098" i="22" a="1"/>
  <c r="D1098" i="22" s="1"/>
  <c r="D943" i="22" a="1"/>
  <c r="D943" i="22" s="1"/>
  <c r="D8" i="22" a="1"/>
  <c r="D8" i="22" s="1"/>
  <c r="D423" i="22" a="1"/>
  <c r="D423" i="22" s="1"/>
  <c r="D515" i="22" a="1"/>
  <c r="D515" i="22" s="1"/>
  <c r="D578" i="22" a="1"/>
  <c r="D578" i="22" s="1"/>
  <c r="D232" i="22" a="1"/>
  <c r="D232" i="22" s="1"/>
  <c r="D359" i="22" a="1"/>
  <c r="D359" i="22" s="1"/>
  <c r="D804" i="22" a="1"/>
  <c r="D804" i="22" s="1"/>
  <c r="D816" i="22" a="1"/>
  <c r="D816" i="22" s="1"/>
  <c r="D636" i="22" a="1"/>
  <c r="D636" i="22" s="1"/>
  <c r="D885" i="22" a="1"/>
  <c r="D885" i="22" s="1"/>
  <c r="D389" i="22" a="1"/>
  <c r="D389" i="22" s="1"/>
  <c r="D204" i="22" a="1"/>
  <c r="D204" i="22" s="1"/>
  <c r="D1096" i="22" a="1"/>
  <c r="D1096" i="22" s="1"/>
  <c r="D261" i="22" a="1"/>
  <c r="D261" i="22" s="1"/>
  <c r="D1010" i="22" a="1"/>
  <c r="D1010" i="22" s="1"/>
  <c r="D208" i="22" a="1"/>
  <c r="D208" i="22" s="1"/>
  <c r="D1057" i="22" a="1"/>
  <c r="D1057" i="22" s="1"/>
  <c r="D311" i="22" a="1"/>
  <c r="D311" i="22" s="1"/>
  <c r="D286" i="22" a="1"/>
  <c r="D286" i="22" s="1"/>
  <c r="D1070" i="22" a="1"/>
  <c r="D1070" i="22" s="1"/>
  <c r="D29" i="22" a="1"/>
  <c r="D29" i="22" s="1"/>
  <c r="D85" i="22" a="1"/>
  <c r="D85" i="22" s="1"/>
  <c r="D1013" i="22" a="1"/>
  <c r="D1013" i="22" s="1"/>
  <c r="D473" i="22" a="1"/>
  <c r="D473" i="22" s="1"/>
  <c r="D634" i="22" a="1"/>
  <c r="D634" i="22" s="1"/>
  <c r="D299" i="22" a="1"/>
  <c r="D299" i="22" s="1"/>
  <c r="D805" i="22" a="1"/>
  <c r="D805" i="22" s="1"/>
  <c r="D710" i="22" a="1"/>
  <c r="D710" i="22" s="1"/>
  <c r="D145" i="22" a="1"/>
  <c r="D145" i="22" s="1"/>
  <c r="D94" i="22" a="1"/>
  <c r="D94" i="22" s="1"/>
  <c r="D123" i="22" a="1"/>
  <c r="D123" i="22" s="1"/>
  <c r="D721" i="22" a="1"/>
  <c r="D721" i="22" s="1"/>
  <c r="D248" i="22" a="1"/>
  <c r="D248" i="22" s="1"/>
  <c r="D645" i="22" a="1"/>
  <c r="D645" i="22" s="1"/>
  <c r="D1043" i="22" a="1"/>
  <c r="D1043" i="22" s="1"/>
  <c r="D41" i="22" a="1"/>
  <c r="D41" i="22" s="1"/>
  <c r="D272" i="22" a="1"/>
  <c r="D272" i="22" s="1"/>
  <c r="D65" i="22" a="1"/>
  <c r="D65" i="22" s="1"/>
  <c r="D808" i="22" a="1"/>
  <c r="D808" i="22" s="1"/>
  <c r="D100" i="22" a="1"/>
  <c r="D100" i="22" s="1"/>
  <c r="D381" i="22" a="1"/>
  <c r="D381" i="22" s="1"/>
  <c r="D111" i="22" a="1"/>
  <c r="D111" i="22" s="1"/>
  <c r="D853" i="22" a="1"/>
  <c r="D853" i="22" s="1"/>
  <c r="D15" i="22" a="1"/>
  <c r="D15" i="22" s="1"/>
  <c r="D644" i="22" a="1"/>
  <c r="D644" i="22" s="1"/>
  <c r="D784" i="22" a="1"/>
  <c r="D784" i="22" s="1"/>
  <c r="D439" i="22" a="1"/>
  <c r="D439" i="22" s="1"/>
  <c r="D182" i="22" a="1"/>
  <c r="D182" i="22" s="1"/>
  <c r="D228" i="22" a="1"/>
  <c r="D228" i="22" s="1"/>
  <c r="D99" i="22" a="1"/>
  <c r="D99" i="22" s="1"/>
  <c r="D923" i="22" a="1"/>
  <c r="D923" i="22" s="1"/>
  <c r="D887" i="22" a="1"/>
  <c r="D887" i="22" s="1"/>
  <c r="D725" i="22" a="1"/>
  <c r="D725" i="22" s="1"/>
  <c r="D594" i="22" a="1"/>
  <c r="D594" i="22" s="1"/>
  <c r="D159" i="22" a="1"/>
  <c r="D159" i="22" s="1"/>
  <c r="D501" i="22" a="1"/>
  <c r="D501" i="22" s="1"/>
  <c r="D336" i="22" a="1"/>
  <c r="D336" i="22" s="1"/>
  <c r="D1023" i="22" a="1"/>
  <c r="D1023" i="22" s="1"/>
  <c r="D689" i="22" a="1"/>
  <c r="D689" i="22" s="1"/>
  <c r="D543" i="22" a="1"/>
  <c r="D543" i="22" s="1"/>
  <c r="D269" i="22" a="1"/>
  <c r="D269" i="22" s="1"/>
  <c r="D945" i="22" a="1"/>
  <c r="D945" i="22" s="1"/>
  <c r="D776" i="22" a="1"/>
  <c r="D776" i="22" s="1"/>
  <c r="D836" i="22" a="1"/>
  <c r="D836" i="22" s="1"/>
  <c r="D484" i="22" a="1"/>
  <c r="D484" i="22" s="1"/>
  <c r="D766" i="22" a="1"/>
  <c r="D766" i="22" s="1"/>
  <c r="D373" i="22" a="1"/>
  <c r="D373" i="22" s="1"/>
  <c r="D42" i="22" a="1"/>
  <c r="D42" i="22" s="1"/>
  <c r="D379" i="22" a="1"/>
  <c r="D379" i="22" s="1"/>
  <c r="D324" i="22" a="1"/>
  <c r="D324" i="22" s="1"/>
  <c r="D178" i="22" a="1"/>
  <c r="D178" i="22" s="1"/>
  <c r="D973" i="22" a="1"/>
  <c r="D973" i="22" s="1"/>
  <c r="D351" i="22" a="1"/>
  <c r="D351" i="22" s="1"/>
  <c r="D792" i="22" a="1"/>
  <c r="D792" i="22" s="1"/>
  <c r="D611" i="22" a="1"/>
  <c r="D611" i="22" s="1"/>
  <c r="D559" i="22" a="1"/>
  <c r="D559" i="22" s="1"/>
  <c r="D361" i="22" a="1"/>
  <c r="D361" i="22" s="1"/>
  <c r="D1015" i="22" a="1"/>
  <c r="D1015" i="22" s="1"/>
  <c r="D413" i="22" a="1"/>
  <c r="D413" i="22" s="1"/>
  <c r="D368" i="22" a="1"/>
  <c r="D368" i="22" s="1"/>
  <c r="D954" i="22" a="1"/>
  <c r="D954" i="22" s="1"/>
  <c r="D590" i="22" a="1"/>
  <c r="D590" i="22" s="1"/>
  <c r="D512" i="22" a="1"/>
  <c r="D512" i="22" s="1"/>
  <c r="D1028" i="22" a="1"/>
  <c r="D1028" i="22" s="1"/>
  <c r="D119" i="22" a="1"/>
  <c r="D119" i="22" s="1"/>
  <c r="D628" i="22" a="1"/>
  <c r="D628" i="22" s="1"/>
  <c r="D288" i="22" a="1"/>
  <c r="D288" i="22" s="1"/>
  <c r="D1100" i="22" a="1"/>
  <c r="D1100" i="22" s="1"/>
  <c r="D214" i="22" a="1"/>
  <c r="D214" i="22" s="1"/>
  <c r="D1087" i="22" a="1"/>
  <c r="D1087" i="22" s="1"/>
  <c r="D43" i="22" a="1"/>
  <c r="D43" i="22" s="1"/>
  <c r="D81" i="22" a="1"/>
  <c r="D81" i="22" s="1"/>
  <c r="D156" i="22" a="1"/>
  <c r="D156" i="22" s="1"/>
  <c r="D1060" i="22" a="1"/>
  <c r="D1060" i="22" s="1"/>
  <c r="D14" i="22" a="1"/>
  <c r="D14" i="22" s="1"/>
  <c r="D456" i="22" a="1"/>
  <c r="D456" i="22" s="1"/>
  <c r="D380" i="22" a="1"/>
  <c r="D380" i="22" s="1"/>
  <c r="D165" i="22" a="1"/>
  <c r="D165" i="22" s="1"/>
  <c r="D187" i="22" a="1"/>
  <c r="D187" i="22" s="1"/>
  <c r="D527" i="22" a="1"/>
  <c r="D527" i="22" s="1"/>
  <c r="D1040" i="22" a="1"/>
  <c r="D1040" i="22" s="1"/>
  <c r="D765" i="22" a="1"/>
  <c r="D765" i="22" s="1"/>
  <c r="D1027" i="22" a="1"/>
  <c r="D1027" i="22" s="1"/>
  <c r="D155" i="22" a="1"/>
  <c r="D155" i="22" s="1"/>
  <c r="D608" i="22" a="1"/>
  <c r="D608" i="22" s="1"/>
  <c r="D338" i="22" a="1"/>
  <c r="D338" i="22" s="1"/>
  <c r="D704" i="22" a="1"/>
  <c r="D704" i="22" s="1"/>
  <c r="D431" i="22" a="1"/>
  <c r="D431" i="22" s="1"/>
  <c r="D1075" i="22" a="1"/>
  <c r="D1075" i="22" s="1"/>
  <c r="D26" i="22" a="1"/>
  <c r="D26" i="22" s="1"/>
  <c r="D990" i="22" a="1"/>
  <c r="D990" i="22" s="1"/>
  <c r="D207" i="22" a="1"/>
  <c r="D207" i="22" s="1"/>
  <c r="D51" i="22" a="1"/>
  <c r="D51" i="22" s="1"/>
  <c r="D752" i="22" a="1"/>
  <c r="D752" i="22" s="1"/>
  <c r="D1084" i="22" a="1"/>
  <c r="D1084" i="22" s="1"/>
  <c r="D50" i="22" a="1"/>
  <c r="D50" i="22" s="1"/>
  <c r="D991" i="22" a="1"/>
  <c r="D991" i="22" s="1"/>
  <c r="D734" i="22" a="1"/>
  <c r="D734" i="22" s="1"/>
  <c r="D531" i="22" a="1"/>
  <c r="D531" i="22" s="1"/>
  <c r="D356" i="22" a="1"/>
  <c r="D356" i="22" s="1"/>
  <c r="D89" i="22" a="1"/>
  <c r="D89" i="22" s="1"/>
  <c r="D747" i="22" a="1"/>
  <c r="D747" i="22" s="1"/>
  <c r="D309" i="22" a="1"/>
  <c r="D309" i="22" s="1"/>
  <c r="D468" i="22" a="1"/>
  <c r="D468" i="22" s="1"/>
  <c r="D524" i="22" a="1"/>
  <c r="D524" i="22" s="1"/>
  <c r="D419" i="22" a="1"/>
  <c r="D419" i="22" s="1"/>
  <c r="D148" i="22" a="1"/>
  <c r="D148" i="22" s="1"/>
  <c r="D851" i="22" a="1"/>
  <c r="D851" i="22" s="1"/>
  <c r="D832" i="22" a="1"/>
  <c r="D832" i="22" s="1"/>
  <c r="D4" i="22" a="1"/>
  <c r="D4" i="22" s="1"/>
  <c r="D395" i="22" a="1"/>
  <c r="D395" i="22" s="1"/>
  <c r="D894" i="22" a="1"/>
  <c r="D894" i="22" s="1"/>
  <c r="D781" i="22" a="1"/>
  <c r="D781" i="22" s="1"/>
  <c r="D442" i="22" a="1"/>
  <c r="D442" i="22" s="1"/>
  <c r="D1016" i="22" a="1"/>
  <c r="D1016" i="22" s="1"/>
  <c r="D470" i="22" a="1"/>
  <c r="D470" i="22" s="1"/>
  <c r="D497" i="22" a="1"/>
  <c r="D497" i="22" s="1"/>
  <c r="D206" i="22" a="1"/>
  <c r="D206" i="22" s="1"/>
  <c r="D242" i="22" a="1"/>
  <c r="D242" i="22" s="1"/>
  <c r="D994" i="22" a="1"/>
  <c r="D994" i="22" s="1"/>
  <c r="D459" i="22" a="1"/>
  <c r="D459" i="22" s="1"/>
  <c r="D259" i="22" a="1"/>
  <c r="D259" i="22" s="1"/>
  <c r="D662" i="22" a="1"/>
  <c r="D662" i="22" s="1"/>
  <c r="D1089" i="22" a="1"/>
  <c r="D1089" i="22" s="1"/>
  <c r="D565" i="22" a="1"/>
  <c r="D565" i="22" s="1"/>
  <c r="D858" i="22" a="1"/>
  <c r="D858" i="22" s="1"/>
  <c r="D955" i="22" a="1"/>
  <c r="D955" i="22" s="1"/>
  <c r="D135" i="22" a="1"/>
  <c r="D135" i="22" s="1"/>
  <c r="D993" i="22" a="1"/>
  <c r="D993" i="22" s="1"/>
  <c r="D748" i="22" a="1"/>
  <c r="D748" i="22" s="1"/>
  <c r="D262" i="22" a="1"/>
  <c r="D262" i="22" s="1"/>
  <c r="D234" i="22" a="1"/>
  <c r="D234" i="22" s="1"/>
  <c r="D318" i="22" a="1"/>
  <c r="D318" i="22" s="1"/>
  <c r="D871" i="22" a="1"/>
  <c r="D871" i="22" s="1"/>
  <c r="D891" i="22" a="1"/>
  <c r="D891" i="22" s="1"/>
  <c r="D217" i="22" a="1"/>
  <c r="D217" i="22" s="1"/>
  <c r="D452" i="22" a="1"/>
  <c r="D452" i="22" s="1"/>
  <c r="D239" i="22" a="1"/>
  <c r="D239" i="22" s="1"/>
  <c r="D144" i="22" a="1"/>
  <c r="D144" i="22" s="1"/>
  <c r="D397" i="22" a="1"/>
  <c r="D397" i="22" s="1"/>
  <c r="D343" i="22" a="1"/>
  <c r="D343" i="22" s="1"/>
  <c r="D1095" i="22" a="1"/>
  <c r="D1095" i="22" s="1"/>
  <c r="D58" i="22" a="1"/>
  <c r="D58" i="22" s="1"/>
  <c r="D567" i="22" a="1"/>
  <c r="D567" i="22" s="1"/>
  <c r="D1048" i="22" a="1"/>
  <c r="D1048" i="22" s="1"/>
  <c r="D447" i="22" a="1"/>
  <c r="D447" i="22" s="1"/>
  <c r="D506" i="22" a="1"/>
  <c r="D506" i="22" s="1"/>
  <c r="D114" i="22" a="1"/>
  <c r="D114" i="22" s="1"/>
  <c r="D496" i="22" a="1"/>
  <c r="D496" i="22" s="1"/>
  <c r="D152" i="22" a="1"/>
  <c r="D152" i="22" s="1"/>
  <c r="D1067" i="22" a="1"/>
  <c r="D1067" i="22" s="1"/>
  <c r="D869" i="22" a="1"/>
  <c r="D869" i="22" s="1"/>
  <c r="D918" i="22" a="1"/>
  <c r="D918" i="22" s="1"/>
  <c r="D573" i="22" a="1"/>
  <c r="D573" i="22" s="1"/>
  <c r="D660" i="22" a="1"/>
  <c r="D660" i="22" s="1"/>
  <c r="D357" i="22" a="1"/>
  <c r="D357" i="22" s="1"/>
  <c r="D1102" i="22" a="1"/>
  <c r="D1102" i="22" s="1"/>
  <c r="D464" i="22" a="1"/>
  <c r="D464" i="22" s="1"/>
  <c r="D275" i="22" a="1"/>
  <c r="D275" i="22" s="1"/>
  <c r="D699" i="22" a="1"/>
  <c r="D699" i="22" s="1"/>
  <c r="D1008" i="22" a="1"/>
  <c r="D1008" i="22" s="1"/>
  <c r="D327" i="22" a="1"/>
  <c r="D327" i="22" s="1"/>
  <c r="D552" i="22" a="1"/>
  <c r="D552" i="22" s="1"/>
  <c r="D717" i="22" a="1"/>
  <c r="D717" i="22" s="1"/>
  <c r="D872" i="22" a="1"/>
  <c r="D872" i="22" s="1"/>
  <c r="D683" i="22" a="1"/>
  <c r="D683" i="22" s="1"/>
  <c r="D758" i="22" a="1"/>
  <c r="D758" i="22" s="1"/>
  <c r="D18" i="22" a="1"/>
  <c r="D18" i="22" s="1"/>
  <c r="D668" i="22" a="1"/>
  <c r="D668" i="22" s="1"/>
  <c r="D941" i="22" a="1"/>
  <c r="D941" i="22" s="1"/>
  <c r="D40" i="22" a="1"/>
  <c r="D40" i="22" s="1"/>
  <c r="D53" i="22" a="1"/>
  <c r="D53" i="22" s="1"/>
  <c r="D967" i="22" a="1"/>
  <c r="D967" i="22" s="1"/>
  <c r="D68" i="22" a="1"/>
  <c r="D68" i="22" s="1"/>
  <c r="D919" i="22" a="1"/>
  <c r="D919" i="22" s="1"/>
  <c r="D493" i="22" a="1"/>
  <c r="D493" i="22" s="1"/>
  <c r="D1018" i="22" a="1"/>
  <c r="D1018" i="22" s="1"/>
  <c r="D902" i="22" a="1"/>
  <c r="D902" i="22" s="1"/>
  <c r="D319" i="22" a="1"/>
  <c r="D319" i="22" s="1"/>
  <c r="D1064" i="22" a="1"/>
  <c r="D1064" i="22" s="1"/>
  <c r="D647" i="22" a="1"/>
  <c r="D647" i="22" s="1"/>
  <c r="D708" i="22" a="1"/>
  <c r="D708" i="22" s="1"/>
  <c r="D1014" i="22" a="1"/>
  <c r="D1014" i="22" s="1"/>
  <c r="D681" i="22" a="1"/>
  <c r="D681" i="22" s="1"/>
  <c r="D579" i="22" a="1"/>
  <c r="D579" i="22" s="1"/>
  <c r="D876" i="22" a="1"/>
  <c r="D876" i="22" s="1"/>
  <c r="D284" i="22" a="1"/>
  <c r="D284" i="22" s="1"/>
  <c r="D190" i="22" a="1"/>
  <c r="D190" i="22" s="1"/>
  <c r="D925" i="22" a="1"/>
  <c r="D925" i="22" s="1"/>
  <c r="D149" i="22" a="1"/>
  <c r="D149" i="22" s="1"/>
  <c r="D365" i="22" a="1"/>
  <c r="D365" i="22" s="1"/>
  <c r="D7" i="22" a="1"/>
  <c r="D7" i="22" s="1"/>
  <c r="D369" i="22" a="1"/>
  <c r="D369" i="22" s="1"/>
  <c r="D22" i="22" a="1"/>
  <c r="D22" i="22" s="1"/>
  <c r="D551" i="22" a="1"/>
  <c r="D551" i="22" s="1"/>
  <c r="D820" i="22" a="1"/>
  <c r="D820" i="22" s="1"/>
  <c r="D686" i="22" a="1"/>
  <c r="D686" i="22" s="1"/>
  <c r="D842" i="22" a="1"/>
  <c r="D842" i="22" s="1"/>
  <c r="D127" i="22" a="1"/>
  <c r="D127" i="22" s="1"/>
  <c r="D742" i="22" a="1"/>
  <c r="D742" i="22" s="1"/>
  <c r="D979" i="22" a="1"/>
  <c r="D979" i="22" s="1"/>
  <c r="D600" i="22" a="1"/>
  <c r="D600" i="22" s="1"/>
  <c r="D675" i="22" a="1"/>
  <c r="D675" i="22" s="1"/>
  <c r="D596" i="22" a="1"/>
  <c r="D596" i="22" s="1"/>
  <c r="D1108" i="22" a="1"/>
  <c r="D1108" i="22" s="1"/>
  <c r="D845" i="22" a="1"/>
  <c r="D845" i="22" s="1"/>
  <c r="D878" i="22" a="1"/>
  <c r="D878" i="22" s="1"/>
  <c r="D316" i="22" a="1"/>
  <c r="D316" i="22" s="1"/>
  <c r="D367" i="22" a="1"/>
  <c r="D367" i="22" s="1"/>
  <c r="D1061" i="22" a="1"/>
  <c r="D1061" i="22" s="1"/>
  <c r="D76" i="22" a="1"/>
  <c r="D76" i="22" s="1"/>
  <c r="D617" i="22" a="1"/>
  <c r="D617" i="22" s="1"/>
  <c r="D754" i="22" a="1"/>
  <c r="D754" i="22" s="1"/>
  <c r="D24" i="22" a="1"/>
  <c r="D24" i="22" s="1"/>
  <c r="D837" i="22" a="1"/>
  <c r="D837" i="22" s="1"/>
  <c r="D1065" i="22" a="1"/>
  <c r="D1065" i="22" s="1"/>
  <c r="D612" i="22" a="1"/>
  <c r="D612" i="22" s="1"/>
  <c r="D1074" i="22" a="1"/>
  <c r="D1074" i="22" s="1"/>
  <c r="D601" i="22" a="1"/>
  <c r="D601" i="22" s="1"/>
  <c r="D570" i="22" a="1"/>
  <c r="D570" i="22" s="1"/>
  <c r="D509" i="22" a="1"/>
  <c r="D509" i="22" s="1"/>
  <c r="D627" i="22" a="1"/>
  <c r="D627" i="22" s="1"/>
  <c r="D928" i="22" a="1"/>
  <c r="D928" i="22" s="1"/>
  <c r="D23" i="22" a="1"/>
  <c r="D23" i="22" s="1"/>
  <c r="D399" i="22" a="1"/>
  <c r="D399" i="22" s="1"/>
  <c r="D195" i="22" a="1"/>
  <c r="D195" i="22" s="1"/>
  <c r="D354" i="22" a="1"/>
  <c r="D354" i="22" s="1"/>
  <c r="D637" i="22" a="1"/>
  <c r="D637" i="22" s="1"/>
  <c r="D47" i="22" a="1"/>
  <c r="D47" i="22" s="1"/>
  <c r="D192" i="22" a="1"/>
  <c r="D192" i="22" s="1"/>
  <c r="D912" i="22" a="1"/>
  <c r="D912" i="22" s="1"/>
  <c r="D525" i="22" a="1"/>
  <c r="D525" i="22" s="1"/>
  <c r="D950" i="22" a="1"/>
  <c r="D950" i="22" s="1"/>
  <c r="D424" i="22" a="1"/>
  <c r="D424" i="22" s="1"/>
  <c r="D913" i="22" a="1"/>
  <c r="D913" i="22" s="1"/>
  <c r="D507" i="22" a="1"/>
  <c r="D507" i="22" s="1"/>
  <c r="D313" i="22" a="1"/>
  <c r="D313" i="22" s="1"/>
  <c r="D753" i="22" a="1"/>
  <c r="D753" i="22" s="1"/>
  <c r="D964" i="22" a="1"/>
  <c r="D964" i="22" s="1"/>
  <c r="D200" i="22" a="1"/>
  <c r="D200" i="22" s="1"/>
  <c r="D1030" i="22" a="1"/>
  <c r="D1030" i="22" s="1"/>
  <c r="D674" i="22" a="1"/>
  <c r="D674" i="22" s="1"/>
  <c r="D599" i="22" a="1"/>
  <c r="D599" i="22" s="1"/>
  <c r="D55" i="22" a="1"/>
  <c r="D55" i="22" s="1"/>
  <c r="D724" i="22" a="1"/>
  <c r="D724" i="22" s="1"/>
  <c r="D510" i="22" a="1"/>
  <c r="D510" i="22" s="1"/>
  <c r="D949" i="22" a="1"/>
  <c r="D949" i="22" s="1"/>
  <c r="D540" i="22" a="1"/>
  <c r="D540" i="22" s="1"/>
  <c r="D825" i="22" a="1"/>
  <c r="D825" i="22" s="1"/>
  <c r="D27" i="22" a="1"/>
  <c r="D27" i="22" s="1"/>
  <c r="D116" i="22" a="1"/>
  <c r="D116" i="22" s="1"/>
  <c r="D477" i="22" a="1"/>
  <c r="D477" i="22" s="1"/>
  <c r="D1092" i="22" a="1"/>
  <c r="D1092" i="22" s="1"/>
  <c r="D715" i="22" a="1"/>
  <c r="D715" i="22" s="1"/>
  <c r="D264" i="22" a="1"/>
  <c r="D264" i="22" s="1"/>
  <c r="D1069" i="22" a="1"/>
  <c r="D1069" i="22" s="1"/>
  <c r="D530" i="22" a="1"/>
  <c r="D530" i="22" s="1"/>
  <c r="D346" i="22" a="1"/>
  <c r="D346" i="22" s="1"/>
  <c r="D932" i="22" a="1"/>
  <c r="D932" i="22" s="1"/>
  <c r="D557" i="22" a="1"/>
  <c r="D557" i="22" s="1"/>
  <c r="D302" i="22" a="1"/>
  <c r="D302" i="22" s="1"/>
  <c r="D985" i="22" a="1"/>
  <c r="D985" i="22" s="1"/>
  <c r="D1035" i="22" a="1"/>
  <c r="D1035" i="22" s="1"/>
  <c r="D331" i="22" a="1"/>
  <c r="D331" i="22" s="1"/>
  <c r="D378" i="22" a="1"/>
  <c r="D378" i="22" s="1"/>
  <c r="D818" i="22" a="1"/>
  <c r="D818" i="22" s="1"/>
  <c r="D682" i="22" a="1"/>
  <c r="D682" i="22" s="1"/>
  <c r="D815" i="22" a="1"/>
  <c r="D815" i="22" s="1"/>
  <c r="D896" i="22" a="1"/>
  <c r="D896" i="22" s="1"/>
  <c r="D426" i="22" a="1"/>
  <c r="D426" i="22" s="1"/>
  <c r="D462" i="22" a="1"/>
  <c r="D462" i="22" s="1"/>
  <c r="D603" i="22" a="1"/>
  <c r="D603" i="22" s="1"/>
  <c r="D771" i="22" a="1"/>
  <c r="D771" i="22" s="1"/>
  <c r="D293" i="22" a="1"/>
  <c r="D293" i="22" s="1"/>
  <c r="D37" i="22" a="1"/>
  <c r="D37" i="22" s="1"/>
  <c r="D1039" i="22" a="1"/>
  <c r="D1039" i="22" s="1"/>
  <c r="D726" i="22" a="1"/>
  <c r="D726" i="22" s="1"/>
  <c r="D503" i="22" a="1"/>
  <c r="D503" i="22" s="1"/>
  <c r="D672" i="22" a="1"/>
  <c r="D672" i="22" s="1"/>
  <c r="D939" i="22" a="1"/>
  <c r="D939" i="22" s="1"/>
  <c r="D944" i="22" a="1"/>
  <c r="D944" i="22" s="1"/>
  <c r="D62" i="22" a="1"/>
  <c r="D62" i="22" s="1"/>
  <c r="D957" i="22" a="1"/>
  <c r="D957" i="22" s="1"/>
  <c r="D451" i="22" a="1"/>
  <c r="D451" i="22" s="1"/>
  <c r="D978" i="22" a="1"/>
  <c r="D978" i="22" s="1"/>
  <c r="D312" i="22" a="1"/>
  <c r="D312" i="22" s="1"/>
  <c r="D488" i="22" a="1"/>
  <c r="D488" i="22" s="1"/>
  <c r="D236" i="22" a="1"/>
  <c r="D236" i="22" s="1"/>
  <c r="D260" i="22" a="1"/>
  <c r="D260" i="22" s="1"/>
  <c r="D843" i="22" a="1"/>
  <c r="D843" i="22" s="1"/>
  <c r="D971" i="22" a="1"/>
  <c r="D971" i="22" s="1"/>
  <c r="D84" i="22" a="1"/>
  <c r="D84" i="22" s="1"/>
  <c r="D702" i="22" a="1"/>
  <c r="D702" i="22" s="1"/>
  <c r="D307" i="22" a="1"/>
  <c r="D307" i="22" s="1"/>
  <c r="D942" i="22" a="1"/>
  <c r="D942" i="22" s="1"/>
  <c r="D1031" i="22" a="1"/>
  <c r="D1031" i="22" s="1"/>
  <c r="D549" i="22" a="1"/>
  <c r="D549" i="22" s="1"/>
  <c r="D970" i="22" a="1"/>
  <c r="D970" i="22" s="1"/>
  <c r="D664" i="22" a="1"/>
  <c r="D664" i="22" s="1"/>
  <c r="D352" i="22" a="1"/>
  <c r="D352" i="22" s="1"/>
  <c r="D108" i="22" a="1"/>
  <c r="D108" i="22" s="1"/>
  <c r="D297" i="22" a="1"/>
  <c r="D297" i="22" s="1"/>
  <c r="D49" i="22" a="1"/>
  <c r="D49" i="22" s="1"/>
  <c r="D60" i="22" a="1"/>
  <c r="D60" i="22" s="1"/>
  <c r="D140" i="22" a="1"/>
  <c r="D140" i="22" s="1"/>
  <c r="D170" i="22" a="1"/>
  <c r="D170" i="22" s="1"/>
  <c r="D1082" i="22" a="1"/>
  <c r="D1082" i="22" s="1"/>
  <c r="D371" i="22" a="1"/>
  <c r="D371" i="22" s="1"/>
  <c r="D1055" i="22" a="1"/>
  <c r="D1055" i="22" s="1"/>
  <c r="D893" i="22" a="1"/>
  <c r="D893" i="22" s="1"/>
  <c r="D146" i="22" a="1"/>
  <c r="D146" i="22" s="1"/>
  <c r="D786" i="22" a="1"/>
  <c r="D786" i="22" s="1"/>
  <c r="D513" i="22" a="1"/>
  <c r="D513" i="22" s="1"/>
  <c r="D345" i="22" a="1"/>
  <c r="D345" i="22" s="1"/>
  <c r="D572" i="22" a="1"/>
  <c r="D572" i="22" s="1"/>
  <c r="D541" i="22" a="1"/>
  <c r="D541" i="22" s="1"/>
  <c r="D121" i="22" a="1"/>
  <c r="D121" i="22" s="1"/>
  <c r="D254" i="22" a="1"/>
  <c r="D254" i="22" s="1"/>
  <c r="D95" i="22" a="1"/>
  <c r="D95" i="22" s="1"/>
  <c r="D937" i="22" a="1"/>
  <c r="D937" i="22" s="1"/>
  <c r="D657" i="22" a="1"/>
  <c r="D657" i="22" s="1"/>
  <c r="D97" i="22" a="1"/>
  <c r="D97" i="22" s="1"/>
  <c r="D701" i="22" a="1"/>
  <c r="D701" i="22" s="1"/>
  <c r="D329" i="22" a="1"/>
  <c r="D329" i="22" s="1"/>
  <c r="D739" i="22" a="1"/>
  <c r="D739" i="22" s="1"/>
  <c r="D201" i="22" a="1"/>
  <c r="D201" i="22" s="1"/>
  <c r="D671" i="22" a="1"/>
  <c r="D671" i="22" s="1"/>
  <c r="D566" i="22" a="1"/>
  <c r="D566" i="22" s="1"/>
  <c r="D363" i="22" a="1"/>
  <c r="D363" i="22" s="1"/>
  <c r="D1109" i="22" a="1"/>
  <c r="D1109" i="22" s="1"/>
  <c r="D854" i="22" a="1"/>
  <c r="D854" i="22" s="1"/>
  <c r="D914" i="22" a="1"/>
  <c r="D914" i="22" s="1"/>
  <c r="D487" i="22" a="1"/>
  <c r="D487" i="22" s="1"/>
  <c r="D31" i="22" a="1"/>
  <c r="D31" i="22" s="1"/>
  <c r="D545" i="22" a="1"/>
  <c r="D545" i="22" s="1"/>
  <c r="D615" i="22" a="1"/>
  <c r="D615" i="22" s="1"/>
  <c r="D728" i="22" a="1"/>
  <c r="D728" i="22" s="1"/>
  <c r="D656" i="22" a="1"/>
  <c r="D656" i="22" s="1"/>
  <c r="D131" i="22" a="1"/>
  <c r="D131" i="22" s="1"/>
  <c r="D740" i="22" a="1"/>
  <c r="D740" i="22" s="1"/>
  <c r="D614" i="22" a="1"/>
  <c r="D614" i="22" s="1"/>
  <c r="D112" i="22" a="1"/>
  <c r="D112" i="22" s="1"/>
  <c r="D252" i="22" a="1"/>
  <c r="D252" i="22" s="1"/>
  <c r="D730" i="22" a="1"/>
  <c r="D730" i="22" s="1"/>
  <c r="D692" i="22" a="1"/>
  <c r="D692" i="22" s="1"/>
  <c r="D508" i="22" a="1"/>
  <c r="D508" i="22" s="1"/>
  <c r="D1019" i="22" a="1"/>
  <c r="D1019" i="22" s="1"/>
  <c r="D1017" i="22" a="1"/>
  <c r="D1017" i="22" s="1"/>
  <c r="D517" i="22" a="1"/>
  <c r="D517" i="22" s="1"/>
  <c r="D251" i="22" a="1"/>
  <c r="D251" i="22" s="1"/>
  <c r="D266" i="22" a="1"/>
  <c r="D266" i="22" s="1"/>
  <c r="D1047" i="22" a="1"/>
  <c r="D1047" i="22" s="1"/>
  <c r="D1012" i="22" a="1"/>
  <c r="D1012" i="22" s="1"/>
  <c r="D314" i="22" a="1"/>
  <c r="D314" i="22" s="1"/>
  <c r="D707" i="22" a="1"/>
  <c r="D707" i="22" s="1"/>
  <c r="D87" i="22" a="1"/>
  <c r="D87" i="22" s="1"/>
  <c r="D761" i="22" a="1"/>
  <c r="D761" i="22" s="1"/>
  <c r="D700" i="22" a="1"/>
  <c r="D700" i="22" s="1"/>
  <c r="D433" i="22" a="1"/>
  <c r="D433" i="22" s="1"/>
  <c r="D709" i="22" a="1"/>
  <c r="D709" i="22" s="1"/>
  <c r="D806" i="22" a="1"/>
  <c r="D806" i="22" s="1"/>
  <c r="D1056" i="22" a="1"/>
  <c r="D1056" i="22" s="1"/>
  <c r="D48" i="22" a="1"/>
  <c r="D48" i="22" s="1"/>
  <c r="D774" i="22" a="1"/>
  <c r="D774" i="22" s="1"/>
  <c r="D711" i="22" a="1"/>
  <c r="D711" i="22" s="1"/>
  <c r="D716" i="22" a="1"/>
  <c r="D716" i="22" s="1"/>
  <c r="D915" i="22" a="1"/>
  <c r="D915" i="22" s="1"/>
  <c r="D231" i="22" a="1"/>
  <c r="D231" i="22" s="1"/>
  <c r="D54" i="22" a="1"/>
  <c r="D54" i="22" s="1"/>
  <c r="D959" i="22" a="1"/>
  <c r="D959" i="22" s="1"/>
  <c r="D177" i="22" a="1"/>
  <c r="D177" i="22" s="1"/>
  <c r="D886" i="22" a="1"/>
  <c r="D886" i="22" s="1"/>
  <c r="D899" i="22" a="1"/>
  <c r="D899" i="22" s="1"/>
  <c r="D347" i="22" a="1"/>
  <c r="D347" i="22" s="1"/>
  <c r="D661" i="22" a="1"/>
  <c r="D661" i="22" s="1"/>
  <c r="D80" i="22" a="1"/>
  <c r="D80" i="22" s="1"/>
  <c r="D36" i="22" a="1"/>
  <c r="D36" i="22" s="1"/>
  <c r="D12" i="22" a="1"/>
  <c r="D12" i="22" s="1"/>
  <c r="D999" i="22" a="1"/>
  <c r="D999" i="22" s="1"/>
  <c r="D1068" i="22" a="1"/>
  <c r="D1068" i="22" s="1"/>
  <c r="D400" i="22" a="1"/>
  <c r="D400" i="22" s="1"/>
  <c r="D184" i="22" a="1"/>
  <c r="D184" i="22" s="1"/>
  <c r="D147" i="22" a="1"/>
  <c r="D147" i="22" s="1"/>
  <c r="D222" i="22" a="1"/>
  <c r="D222" i="22" s="1"/>
  <c r="D197" i="22" a="1"/>
  <c r="D197" i="22" s="1"/>
  <c r="D947" i="22" a="1"/>
  <c r="D947" i="22" s="1"/>
  <c r="D581" i="22" a="1"/>
  <c r="D581" i="22" s="1"/>
  <c r="D233" i="22" a="1"/>
  <c r="D233" i="22" s="1"/>
  <c r="D529" i="22" a="1"/>
  <c r="D529" i="22" s="1"/>
  <c r="D82" i="22" a="1"/>
  <c r="D82" i="22" s="1"/>
  <c r="D98" i="22" a="1"/>
  <c r="D98" i="22" s="1"/>
  <c r="D117" i="22" a="1"/>
  <c r="D117" i="22" s="1"/>
  <c r="D801" i="22" a="1"/>
  <c r="D801" i="22" s="1"/>
  <c r="D38" i="22" a="1"/>
  <c r="D38" i="22" s="1"/>
  <c r="D618" i="22" a="1"/>
  <c r="D618" i="22" s="1"/>
  <c r="D534" i="22" a="1"/>
  <c r="D534" i="22" s="1"/>
  <c r="D995" i="22" a="1"/>
  <c r="D995" i="22" s="1"/>
  <c r="D1086" i="22" a="1"/>
  <c r="D1086" i="22" s="1"/>
  <c r="D966" i="22" a="1"/>
  <c r="D966" i="22" s="1"/>
  <c r="D1006" i="22" a="1"/>
  <c r="D1006" i="22" s="1"/>
  <c r="D759" i="22" a="1"/>
  <c r="D759" i="22" s="1"/>
  <c r="D1058" i="22" a="1"/>
  <c r="D1058" i="22" s="1"/>
  <c r="D237" i="22" a="1"/>
  <c r="D237" i="22" s="1"/>
  <c r="D203" i="22" a="1"/>
  <c r="D203" i="22" s="1"/>
  <c r="D225" i="22" a="1"/>
  <c r="D225" i="22" s="1"/>
  <c r="D548" i="22" a="1"/>
  <c r="D548" i="22" s="1"/>
  <c r="D756" i="22" a="1"/>
  <c r="D756" i="22" s="1"/>
  <c r="D492" i="22" a="1"/>
  <c r="D492" i="22" s="1"/>
  <c r="D153" i="22" a="1"/>
  <c r="D153" i="22" s="1"/>
  <c r="D655" i="22" a="1"/>
  <c r="D655" i="22" s="1"/>
  <c r="D1022" i="22" a="1"/>
  <c r="D1022" i="22" s="1"/>
  <c r="D767" i="22" a="1"/>
  <c r="D767" i="22" s="1"/>
  <c r="D13" i="22" a="1"/>
  <c r="D13" i="22" s="1"/>
  <c r="D304" i="22" a="1"/>
  <c r="D304" i="22" s="1"/>
  <c r="D574" i="22" a="1"/>
  <c r="D574" i="22" s="1"/>
  <c r="D247" i="22" a="1"/>
  <c r="D247" i="22" s="1"/>
  <c r="D803" i="22" a="1"/>
  <c r="D803" i="22" s="1"/>
  <c r="D382" i="22" a="1"/>
  <c r="D382" i="22" s="1"/>
  <c r="D393" i="22" a="1"/>
  <c r="D393" i="22" s="1"/>
  <c r="D592" i="22" a="1"/>
  <c r="D592" i="22" s="1"/>
  <c r="D505" i="22" a="1"/>
  <c r="D505" i="22" s="1"/>
  <c r="D78" i="22" a="1"/>
  <c r="D78" i="22" s="1"/>
  <c r="D575" i="22" a="1"/>
  <c r="D575" i="22" s="1"/>
  <c r="D1036" i="22" a="1"/>
  <c r="D1036" i="22" s="1"/>
  <c r="D703" i="22" a="1"/>
  <c r="D703" i="22" s="1"/>
  <c r="D911" i="22" a="1"/>
  <c r="D911" i="22" s="1"/>
  <c r="D226" i="22" a="1"/>
  <c r="D226" i="22" s="1"/>
  <c r="D28" i="22" a="1"/>
  <c r="D28" i="22" s="1"/>
  <c r="D139" i="22" a="1"/>
  <c r="D139" i="22" s="1"/>
  <c r="D323" i="22" a="1"/>
  <c r="D323" i="22" s="1"/>
  <c r="D421" i="22" a="1"/>
  <c r="D421" i="22" s="1"/>
  <c r="D1034" i="22" a="1"/>
  <c r="D1034" i="22" s="1"/>
  <c r="D974" i="22" a="1"/>
  <c r="D974" i="22" s="1"/>
  <c r="D875" i="22" a="1"/>
  <c r="D875" i="22" s="1"/>
  <c r="D562" i="22" a="1"/>
  <c r="D562" i="22" s="1"/>
  <c r="D953" i="22" a="1"/>
  <c r="D953" i="22" s="1"/>
  <c r="D613" i="22" a="1"/>
  <c r="D613" i="22" s="1"/>
  <c r="D469" i="22" a="1"/>
  <c r="D469" i="22" s="1"/>
  <c r="D491" i="22" a="1"/>
  <c r="D491" i="22" s="1"/>
  <c r="D800" i="22" a="1"/>
  <c r="D800" i="22" s="1"/>
  <c r="D374" i="22" a="1"/>
  <c r="D374" i="22" s="1"/>
  <c r="D868" i="22" a="1"/>
  <c r="D868" i="22" s="1"/>
  <c r="D827" i="22" a="1"/>
  <c r="D827" i="22" s="1"/>
  <c r="D841" i="22" a="1"/>
  <c r="D841" i="22" s="1"/>
  <c r="D924" i="22" a="1"/>
  <c r="D924" i="22" s="1"/>
  <c r="D229" i="22" a="1"/>
  <c r="D229" i="22" s="1"/>
  <c r="D1033" i="22" a="1"/>
  <c r="D1033" i="22" s="1"/>
  <c r="D621" i="22" a="1"/>
  <c r="D621" i="22" s="1"/>
  <c r="D414" i="22" a="1"/>
  <c r="D414" i="22" s="1"/>
  <c r="D342" i="22" a="1"/>
  <c r="D342" i="22" s="1"/>
  <c r="D794" i="22" a="1"/>
  <c r="D794" i="22" s="1"/>
  <c r="D895" i="22" a="1"/>
  <c r="D895" i="22" s="1"/>
  <c r="D243" i="22" a="1"/>
  <c r="D243" i="22" s="1"/>
  <c r="D416" i="22" a="1"/>
  <c r="D416" i="22" s="1"/>
  <c r="D982" i="22" a="1"/>
  <c r="D982" i="22" s="1"/>
  <c r="D658" i="22" a="1"/>
  <c r="D658" i="22" s="1"/>
  <c r="D775" i="22" a="1"/>
  <c r="D775" i="22" s="1"/>
  <c r="D35" i="22" a="1"/>
  <c r="D35" i="22" s="1"/>
  <c r="D666" i="22" a="1"/>
  <c r="D666" i="22" s="1"/>
  <c r="D235" i="22" a="1"/>
  <c r="D235" i="22" s="1"/>
  <c r="D265" i="22" a="1"/>
  <c r="D265" i="22" s="1"/>
  <c r="D812" i="22" a="1"/>
  <c r="D812" i="22" s="1"/>
  <c r="D212" i="22" a="1"/>
  <c r="D212" i="22" s="1"/>
  <c r="D428" i="22" a="1"/>
  <c r="D428" i="22" s="1"/>
  <c r="D864" i="22" a="1"/>
  <c r="D864" i="22" s="1"/>
  <c r="D908" i="22" a="1"/>
  <c r="D908" i="22" s="1"/>
  <c r="D209" i="22" a="1"/>
  <c r="D209" i="22" s="1"/>
  <c r="D958" i="22" a="1"/>
  <c r="D958" i="22" s="1"/>
  <c r="D154" i="22" a="1"/>
  <c r="D154" i="22" s="1"/>
  <c r="D394" i="22" a="1"/>
  <c r="D394" i="22" s="1"/>
  <c r="D443" i="22" a="1"/>
  <c r="D443" i="22" s="1"/>
  <c r="D744" i="22" a="1"/>
  <c r="D744" i="22" s="1"/>
  <c r="D215" i="22" a="1"/>
  <c r="D215" i="22" s="1"/>
  <c r="D103" i="22" a="1"/>
  <c r="D103" i="22" s="1"/>
  <c r="D830" i="22" a="1"/>
  <c r="D830" i="22" s="1"/>
  <c r="D635" i="22" a="1"/>
  <c r="D635" i="22" s="1"/>
  <c r="D72" i="22" a="1"/>
  <c r="D72" i="22" s="1"/>
  <c r="D335" i="22" a="1"/>
  <c r="D335" i="22" s="1"/>
  <c r="D653" i="22" a="1"/>
  <c r="D653" i="22" s="1"/>
  <c r="D44" i="22" a="1"/>
  <c r="D44" i="22" s="1"/>
  <c r="D244" i="22" a="1"/>
  <c r="D244" i="22" s="1"/>
  <c r="D219" i="22" a="1"/>
  <c r="D219" i="22" s="1"/>
  <c r="D870" i="22" a="1"/>
  <c r="D870" i="22" s="1"/>
  <c r="D1072" i="22" a="1"/>
  <c r="D1072" i="22" s="1"/>
  <c r="D631" i="22" a="1"/>
  <c r="D631" i="22" s="1"/>
  <c r="D987" i="22" a="1"/>
  <c r="D987" i="22" s="1"/>
  <c r="D410" i="22" a="1"/>
  <c r="D410" i="22" s="1"/>
  <c r="D476" i="22" a="1"/>
  <c r="D476" i="22" s="1"/>
  <c r="D32" i="22" a="1"/>
  <c r="D32" i="22" s="1"/>
  <c r="D46" i="22" a="1"/>
  <c r="D46" i="22" s="1"/>
  <c r="D415" i="22" a="1"/>
  <c r="D415" i="22" s="1"/>
  <c r="D795" i="22" a="1"/>
  <c r="D795" i="22" s="1"/>
  <c r="D697" i="22" a="1"/>
  <c r="D697" i="22" s="1"/>
  <c r="D1063" i="22" a="1"/>
  <c r="D1063" i="22" s="1"/>
  <c r="D183" i="22" a="1"/>
  <c r="D183" i="22" s="1"/>
  <c r="D718" i="22" a="1"/>
  <c r="D718" i="22" s="1"/>
  <c r="D555" i="22" a="1"/>
  <c r="D555" i="22" s="1"/>
  <c r="D403" i="22" a="1"/>
  <c r="D403" i="22" s="1"/>
  <c r="D472" i="22" a="1"/>
  <c r="D472" i="22" s="1"/>
  <c r="D1005" i="22" a="1"/>
  <c r="D1005" i="22" s="1"/>
  <c r="D475" i="22" a="1"/>
  <c r="D475" i="22" s="1"/>
  <c r="D120" i="22" a="1"/>
  <c r="D120" i="22" s="1"/>
  <c r="D133" i="22" a="1"/>
  <c r="D133" i="22" s="1"/>
  <c r="D909" i="22" a="1"/>
  <c r="D909" i="22" s="1"/>
  <c r="D471" i="22" a="1"/>
  <c r="D471" i="22" s="1"/>
  <c r="D526" i="22" a="1"/>
  <c r="D526" i="22" s="1"/>
  <c r="D213" i="22" a="1"/>
  <c r="D213" i="22" s="1"/>
  <c r="D274" i="22" a="1"/>
  <c r="D274" i="22" s="1"/>
  <c r="D791" i="22" a="1"/>
  <c r="D791" i="22" s="1"/>
  <c r="D418" i="22" a="1"/>
  <c r="D418" i="22" s="1"/>
  <c r="D448" i="22" a="1"/>
  <c r="D448" i="22" s="1"/>
  <c r="D639" i="22" a="1"/>
  <c r="D639" i="22" s="1"/>
  <c r="D467" i="22" a="1"/>
  <c r="D467" i="22" s="1"/>
  <c r="D128" i="22" a="1"/>
  <c r="D128" i="22" s="1"/>
  <c r="D935" i="22" a="1"/>
  <c r="D935" i="22" s="1"/>
  <c r="D1001" i="22" a="1"/>
  <c r="D1001" i="22" s="1"/>
  <c r="D814" i="22" a="1"/>
  <c r="D814" i="22" s="1"/>
  <c r="D105" i="22" a="1"/>
  <c r="D105" i="22" s="1"/>
  <c r="D989" i="22" a="1"/>
  <c r="D989" i="22" s="1"/>
  <c r="D25" i="22" a="1"/>
  <c r="D25" i="22" s="1"/>
  <c r="D405" i="22" a="1"/>
  <c r="D405" i="22" s="1"/>
  <c r="D824" i="22" a="1"/>
  <c r="D824" i="22" s="1"/>
  <c r="D676" i="22" a="1"/>
  <c r="D676" i="22" s="1"/>
  <c r="D511" i="22" a="1"/>
  <c r="D511" i="22" s="1"/>
  <c r="D741" i="22" a="1"/>
  <c r="D741" i="22" s="1"/>
  <c r="D479" i="22" a="1"/>
  <c r="D479" i="22" s="1"/>
  <c r="D360" i="22" a="1"/>
  <c r="D360" i="22" s="1"/>
  <c r="D435" i="22" a="1"/>
  <c r="D435" i="22" s="1"/>
  <c r="D104" i="22" a="1"/>
  <c r="D104" i="22" s="1"/>
  <c r="D372" i="22" a="1"/>
  <c r="D372" i="22" s="1"/>
  <c r="D289" i="22" a="1"/>
  <c r="D289" i="22" s="1"/>
  <c r="D926" i="22" a="1"/>
  <c r="D926" i="22" s="1"/>
  <c r="D749" i="22" a="1"/>
  <c r="D749" i="22" s="1"/>
  <c r="D306" i="22" a="1"/>
  <c r="D306" i="22" s="1"/>
  <c r="D122" i="22" a="1"/>
  <c r="D122" i="22" s="1"/>
  <c r="D900" i="22" a="1"/>
  <c r="D900" i="22" s="1"/>
  <c r="D109" i="22" a="1"/>
  <c r="D109" i="22" s="1"/>
  <c r="D1071" i="22" a="1"/>
  <c r="D1071" i="22" s="1"/>
  <c r="D296" i="22" a="1"/>
  <c r="D296" i="22" s="1"/>
  <c r="D796" i="22" a="1"/>
  <c r="D796" i="22" s="1"/>
  <c r="D695" i="22" a="1"/>
  <c r="D695" i="22" s="1"/>
  <c r="D383" i="22" a="1"/>
  <c r="D383" i="22" s="1"/>
  <c r="D449" i="22" a="1"/>
  <c r="D449" i="22" s="1"/>
  <c r="D107" i="22" a="1"/>
  <c r="D107" i="22" s="1"/>
  <c r="D850" i="22" a="1"/>
  <c r="D850" i="22" s="1"/>
  <c r="D790" i="22" a="1"/>
  <c r="D790" i="22" s="1"/>
  <c r="D1090" i="22" a="1"/>
  <c r="D1090" i="22" s="1"/>
  <c r="D461" i="22" a="1"/>
  <c r="D461" i="22" s="1"/>
  <c r="D589" i="22" a="1"/>
  <c r="D589" i="22" s="1"/>
  <c r="D164" i="22" a="1"/>
  <c r="D164" i="22" s="1"/>
  <c r="D427" i="22" a="1"/>
  <c r="D427" i="22" s="1"/>
  <c r="D305" i="22" a="1"/>
  <c r="D305" i="22" s="1"/>
  <c r="D218" i="22" a="1"/>
  <c r="D218" i="22" s="1"/>
  <c r="D1103" i="22" a="1"/>
  <c r="D1103" i="22" s="1"/>
  <c r="D92" i="22" a="1"/>
  <c r="D92" i="22" s="1"/>
  <c r="D45" i="22" a="1"/>
  <c r="D45" i="22" s="1"/>
  <c r="D205" i="22" a="1"/>
  <c r="D205" i="22" s="1"/>
  <c r="D1032" i="22" a="1"/>
  <c r="D1032" i="22" s="1"/>
  <c r="D992" i="22" a="1"/>
  <c r="D992" i="22" s="1"/>
  <c r="D910" i="22" a="1"/>
  <c r="D910" i="22" s="1"/>
  <c r="D927" i="22" a="1"/>
  <c r="D927" i="22" s="1"/>
  <c r="D929" i="22" a="1"/>
  <c r="D929" i="22" s="1"/>
  <c r="D670" i="22" a="1"/>
  <c r="D670" i="22" s="1"/>
  <c r="D544" i="22" a="1"/>
  <c r="D544" i="22" s="1"/>
  <c r="D561" i="22" a="1"/>
  <c r="D561" i="22" s="1"/>
  <c r="D490" i="22" a="1"/>
  <c r="D490" i="22" s="1"/>
  <c r="D777" i="22" a="1"/>
  <c r="D777" i="22" s="1"/>
  <c r="D598" i="22" a="1"/>
  <c r="D598" i="22" s="1"/>
  <c r="D788" i="22" a="1"/>
  <c r="D788" i="22" s="1"/>
  <c r="D757" i="22" a="1"/>
  <c r="D757" i="22" s="1"/>
  <c r="D440" i="22" a="1"/>
  <c r="D440" i="22" s="1"/>
  <c r="D436" i="22" a="1"/>
  <c r="D436" i="22" s="1"/>
  <c r="D798" i="22" a="1"/>
  <c r="D798" i="22" s="1"/>
  <c r="D535" i="22" a="1"/>
  <c r="D535" i="22" s="1"/>
  <c r="D673" i="22" a="1"/>
  <c r="D673" i="22" s="1"/>
  <c r="D840" i="22" a="1"/>
  <c r="D840" i="22" s="1"/>
  <c r="D731" i="22" a="1"/>
  <c r="D731" i="22" s="1"/>
  <c r="D34" i="22" a="1"/>
  <c r="D34" i="22" s="1"/>
  <c r="D687" i="22" a="1"/>
  <c r="D687" i="22" s="1"/>
  <c r="D455" i="22" a="1"/>
  <c r="D455" i="22" s="1"/>
  <c r="D179" i="22" a="1"/>
  <c r="D179" i="22" s="1"/>
  <c r="D263" i="22" a="1"/>
  <c r="D263" i="22" s="1"/>
  <c r="D173" i="22" a="1"/>
  <c r="D173" i="22" s="1"/>
  <c r="D453" i="22" a="1"/>
  <c r="D453" i="22" s="1"/>
  <c r="D118" i="22" a="1"/>
  <c r="D118" i="22" s="1"/>
  <c r="D789" i="22" a="1"/>
  <c r="D789" i="22" s="1"/>
  <c r="D714" i="22" a="1"/>
  <c r="D714" i="22" s="1"/>
  <c r="D857" i="22" a="1"/>
  <c r="D857" i="22" s="1"/>
  <c r="D865" i="22" a="1"/>
  <c r="D865" i="22" s="1"/>
  <c r="D1059" i="22" a="1"/>
  <c r="D1059" i="22" s="1"/>
  <c r="D905" i="22" a="1"/>
  <c r="D905" i="22" s="1"/>
  <c r="D822" i="22" a="1"/>
  <c r="D822" i="22" s="1"/>
  <c r="D358" i="22" a="1"/>
  <c r="D358" i="22" s="1"/>
  <c r="D921" i="22" a="1"/>
  <c r="D921" i="22" s="1"/>
  <c r="D1078" i="22" a="1"/>
  <c r="D1078" i="22" s="1"/>
  <c r="D185" i="22" a="1"/>
  <c r="D185" i="22" s="1"/>
  <c r="D867" i="22" a="1"/>
  <c r="D867" i="22" s="1"/>
  <c r="D255" i="22" a="1"/>
  <c r="D255" i="22" s="1"/>
  <c r="D940" i="22" a="1"/>
  <c r="D940" i="22" s="1"/>
  <c r="D143" i="22" a="1"/>
  <c r="D143" i="22" s="1"/>
  <c r="D390" i="22" a="1"/>
  <c r="D390" i="22" s="1"/>
  <c r="D607" i="22" a="1"/>
  <c r="D607" i="22" s="1"/>
  <c r="D1042" i="22" a="1"/>
  <c r="D1042" i="22" s="1"/>
  <c r="D77" i="22" a="1"/>
  <c r="D77" i="22" s="1"/>
  <c r="D169" i="22" a="1"/>
  <c r="D169" i="22" s="1"/>
  <c r="D976" i="22" a="1"/>
  <c r="D976" i="22" s="1"/>
  <c r="D11" i="22" a="1"/>
  <c r="D11" i="22" s="1"/>
  <c r="D474" i="22" a="1"/>
  <c r="D474" i="22" s="1"/>
  <c r="D1066" i="22" a="1"/>
  <c r="D1066" i="22" s="1"/>
  <c r="D364" i="22" a="1"/>
  <c r="D364" i="22" s="1"/>
  <c r="D930" i="22" a="1"/>
  <c r="D930" i="22" s="1"/>
  <c r="D353" i="22" a="1"/>
  <c r="D353" i="22" s="1"/>
  <c r="D19" i="22" a="1"/>
  <c r="D19" i="22" s="1"/>
  <c r="D996" i="22" a="1"/>
  <c r="D996" i="22" s="1"/>
  <c r="D404" i="22" a="1"/>
  <c r="D404" i="22" s="1"/>
  <c r="D398" i="22" a="1"/>
  <c r="D398" i="22" s="1"/>
  <c r="D558" i="22" a="1"/>
  <c r="D558" i="22" s="1"/>
  <c r="D688" i="22" a="1"/>
  <c r="D688" i="22" s="1"/>
  <c r="D334" i="22" a="1"/>
  <c r="D334" i="22" s="1"/>
  <c r="D844" i="22" a="1"/>
  <c r="D844" i="22" s="1"/>
  <c r="D333" i="22" a="1"/>
  <c r="D333" i="22" s="1"/>
  <c r="D1041" i="22" a="1"/>
  <c r="D1041" i="22" s="1"/>
  <c r="D348" i="22" a="1"/>
  <c r="D348" i="22" s="1"/>
  <c r="D384" i="22" a="1"/>
  <c r="D384" i="22" s="1"/>
  <c r="D763" i="22" a="1"/>
  <c r="D763" i="22" s="1"/>
  <c r="D83" i="22" a="1"/>
  <c r="D83" i="22" s="1"/>
  <c r="D106" i="22" a="1"/>
  <c r="D106" i="22" s="1"/>
  <c r="D650" i="22" a="1"/>
  <c r="D650" i="22" s="1"/>
  <c r="D337" i="22" a="1"/>
  <c r="D337" i="22" s="1"/>
  <c r="D267" i="22" a="1"/>
  <c r="D267" i="22" s="1"/>
  <c r="D917" i="22" a="1"/>
  <c r="D917" i="22" s="1"/>
  <c r="D712" i="22" a="1"/>
  <c r="D712" i="22" s="1"/>
  <c r="D641" i="22" a="1"/>
  <c r="D641" i="22" s="1"/>
  <c r="D583" i="22" a="1"/>
  <c r="D583" i="22" s="1"/>
  <c r="D441" i="22" a="1"/>
  <c r="D441" i="22" s="1"/>
  <c r="D444" i="22" a="1"/>
  <c r="D444" i="22" s="1"/>
  <c r="D569" i="22" a="1"/>
  <c r="D569" i="22" s="1"/>
  <c r="D191" i="22" a="1"/>
  <c r="D191" i="22" s="1"/>
  <c r="D1079" i="22" a="1"/>
  <c r="D1079" i="22" s="1"/>
  <c r="D172" i="22" a="1"/>
  <c r="D172" i="22" s="1"/>
  <c r="D298" i="22" a="1"/>
  <c r="D298" i="22" s="1"/>
  <c r="D722" i="22" a="1"/>
  <c r="D722" i="22" s="1"/>
  <c r="D52" i="22" a="1"/>
  <c r="D52" i="22" s="1"/>
  <c r="D643" i="22" a="1"/>
  <c r="D643" i="22" s="1"/>
  <c r="D21" i="22" a="1"/>
  <c r="D21" i="22" s="1"/>
  <c r="D735" i="22" a="1"/>
  <c r="D735" i="22" s="1"/>
  <c r="D425" i="22" a="1"/>
  <c r="D425" i="22" s="1"/>
  <c r="D1076" i="22" a="1"/>
  <c r="D1076" i="22" s="1"/>
  <c r="D102" i="22" a="1"/>
  <c r="D102" i="22" s="1"/>
  <c r="D537" i="22" a="1"/>
  <c r="D537" i="22" s="1"/>
  <c r="D151" i="22" a="1"/>
  <c r="D151" i="22" s="1"/>
  <c r="D321" i="22" a="1"/>
  <c r="D321" i="22" s="1"/>
  <c r="D126" i="22" a="1"/>
  <c r="D126" i="22" s="1"/>
  <c r="D778" i="22" a="1"/>
  <c r="D778" i="22" s="1"/>
  <c r="D1093" i="22" a="1"/>
  <c r="D1093" i="22" s="1"/>
  <c r="D340" i="22" a="1"/>
  <c r="D340" i="22" s="1"/>
  <c r="D532" i="22" a="1"/>
  <c r="D532" i="22" s="1"/>
  <c r="D110" i="22" a="1"/>
  <c r="D110" i="22" s="1"/>
  <c r="D1029" i="22" a="1"/>
  <c r="D1029" i="22" s="1"/>
  <c r="D920" i="22" a="1"/>
  <c r="D920" i="22" s="1"/>
  <c r="D256" i="22" a="1"/>
  <c r="D256" i="22" s="1"/>
  <c r="D698" i="22" a="1"/>
  <c r="D698" i="22" s="1"/>
  <c r="D1021" i="22" a="1"/>
  <c r="D1021" i="22" s="1"/>
  <c r="D952" i="22" a="1"/>
  <c r="D952" i="22" s="1"/>
  <c r="D610" i="22" a="1"/>
  <c r="D610" i="22" s="1"/>
  <c r="D651" i="22" a="1"/>
  <c r="D651" i="22" s="1"/>
  <c r="D3" i="22" a="1"/>
  <c r="D3" i="22" s="1"/>
  <c r="D593" i="22" a="1"/>
  <c r="D593" i="22" s="1"/>
  <c r="D136" i="22" a="1"/>
  <c r="D136" i="22" s="1"/>
  <c r="D811" i="22" a="1"/>
  <c r="D811" i="22" s="1"/>
  <c r="D620" i="22" a="1"/>
  <c r="D620" i="22" s="1"/>
  <c r="D246" i="22" a="1"/>
  <c r="D246" i="22" s="1"/>
  <c r="D536" i="22" a="1"/>
  <c r="D536" i="22" s="1"/>
  <c r="D142" i="22" a="1"/>
  <c r="D142" i="22" s="1"/>
  <c r="D1053" i="22" a="1"/>
  <c r="D1053" i="22" s="1"/>
  <c r="D659" i="22" a="1"/>
  <c r="D659" i="22" s="1"/>
  <c r="D401" i="22" a="1"/>
  <c r="D401" i="22" s="1"/>
  <c r="D420" i="22" a="1"/>
  <c r="D420" i="22" s="1"/>
  <c r="D292" i="22" a="1"/>
  <c r="D292" i="22" s="1"/>
  <c r="D780" i="22" a="1"/>
  <c r="D780" i="22" s="1"/>
  <c r="D638" i="22" a="1"/>
  <c r="D638" i="22" s="1"/>
  <c r="D74" i="22" a="1"/>
  <c r="D74" i="22" s="1"/>
  <c r="D171" i="22" a="1"/>
  <c r="D171" i="22" s="1"/>
  <c r="D221" i="22" a="1"/>
  <c r="D221" i="22" s="1"/>
  <c r="D648" i="22" a="1"/>
  <c r="D648" i="22" s="1"/>
  <c r="D270" i="22" a="1"/>
  <c r="D270" i="22" s="1"/>
  <c r="D1081" i="22" a="1"/>
  <c r="D1081" i="22" s="1"/>
  <c r="D860" i="22" a="1"/>
  <c r="D860" i="22" s="1"/>
  <c r="D632" i="22" a="1"/>
  <c r="D632" i="22" s="1"/>
  <c r="D547" i="22" a="1"/>
  <c r="D547" i="22" s="1"/>
  <c r="D986" i="22" a="1"/>
  <c r="D986" i="22" s="1"/>
  <c r="D1105" i="22" a="1"/>
  <c r="D1105" i="22" s="1"/>
  <c r="D310" i="22" a="1"/>
  <c r="D310" i="22" s="1"/>
  <c r="D402" i="22" a="1"/>
  <c r="D402" i="22" s="1"/>
  <c r="D328" i="22" a="1"/>
  <c r="D328" i="22" s="1"/>
  <c r="D779" i="22" a="1"/>
  <c r="D779" i="22" s="1"/>
  <c r="D282" i="22" a="1"/>
  <c r="D282" i="22" s="1"/>
  <c r="D59" i="22" a="1"/>
  <c r="D59" i="22" s="1"/>
  <c r="D1045" i="22" a="1"/>
  <c r="D1045" i="22" s="1"/>
  <c r="D341" i="22" a="1"/>
  <c r="D341" i="22" s="1"/>
  <c r="D862" i="22" a="1"/>
  <c r="D862" i="22" s="1"/>
  <c r="D933" i="22" a="1"/>
  <c r="D933" i="22" s="1"/>
  <c r="D141" i="22" a="1"/>
  <c r="D141" i="22" s="1"/>
  <c r="D580" i="22" a="1"/>
  <c r="D580" i="22" s="1"/>
  <c r="D602" i="22" a="1"/>
  <c r="D602" i="22" s="1"/>
  <c r="D823" i="22" a="1"/>
  <c r="D823" i="22" s="1"/>
  <c r="D188" i="22" a="1"/>
  <c r="D188" i="22" s="1"/>
  <c r="D539" i="22" a="1"/>
  <c r="D539" i="22" s="1"/>
  <c r="D846" i="22" a="1"/>
  <c r="D846" i="22" s="1"/>
  <c r="D606" i="22" a="1"/>
  <c r="D606" i="22" s="1"/>
  <c r="D1104" i="22" a="1"/>
  <c r="D1104" i="22" s="1"/>
  <c r="D793" i="22" a="1"/>
  <c r="D793" i="22" s="1"/>
  <c r="D1077" i="22" a="1"/>
  <c r="D1077" i="22" s="1"/>
  <c r="D1099" i="22" a="1"/>
  <c r="D1099" i="22" s="1"/>
  <c r="D375" i="22" a="1"/>
  <c r="D375" i="22" s="1"/>
  <c r="D125" i="22" a="1"/>
  <c r="D125" i="22" s="1"/>
  <c r="D10" i="22" a="1"/>
  <c r="D10" i="22" s="1"/>
  <c r="D280" i="22" a="1"/>
  <c r="D280" i="22" s="1"/>
  <c r="D181" i="22" a="1"/>
  <c r="D181" i="22" s="1"/>
  <c r="D646" i="22" a="1"/>
  <c r="D646" i="22" s="1"/>
  <c r="D882" i="22" a="1"/>
  <c r="D882" i="22" s="1"/>
  <c r="D968" i="22" a="1"/>
  <c r="D968" i="22" s="1"/>
  <c r="D554" i="22" a="1"/>
  <c r="D554" i="22" s="1"/>
  <c r="D71" i="22" a="1"/>
  <c r="D71" i="22" s="1"/>
  <c r="D130" i="22" a="1"/>
  <c r="D130" i="22" s="1"/>
  <c r="D430" i="22" a="1"/>
  <c r="D430" i="22" s="1"/>
  <c r="D762" i="22" a="1"/>
  <c r="D762" i="22" s="1"/>
  <c r="D556" i="22" a="1"/>
  <c r="D556" i="22" s="1"/>
  <c r="D969" i="22" a="1"/>
  <c r="D969" i="22" s="1"/>
  <c r="D499" i="22" a="1"/>
  <c r="D499" i="22" s="1"/>
  <c r="D220" i="22" a="1"/>
  <c r="D220" i="22" s="1"/>
  <c r="D667" i="22" a="1"/>
  <c r="D667" i="22" s="1"/>
  <c r="D855" i="22" a="1"/>
  <c r="D855" i="22" s="1"/>
  <c r="D1024" i="22" a="1"/>
  <c r="D1024" i="22" s="1"/>
  <c r="D591" i="22" a="1"/>
  <c r="D591" i="22" s="1"/>
  <c r="D1000" i="22" a="1"/>
  <c r="D1000" i="22" s="1"/>
  <c r="D168" i="22" a="1"/>
  <c r="D168" i="22" s="1"/>
  <c r="D623" i="22" a="1"/>
  <c r="D623" i="22" s="1"/>
  <c r="D438" i="22" a="1"/>
  <c r="D438" i="22" s="1"/>
  <c r="D295" i="22" a="1"/>
  <c r="D295" i="22" s="1"/>
  <c r="D129" i="22" a="1"/>
  <c r="D129" i="22" s="1"/>
  <c r="D268" i="22" a="1"/>
  <c r="D268" i="22" s="1"/>
  <c r="D696" i="22" a="1"/>
  <c r="D696" i="22" s="1"/>
  <c r="D903" i="22" a="1"/>
  <c r="D903" i="22" s="1"/>
  <c r="D625" i="22" a="1"/>
  <c r="D625" i="22" s="1"/>
  <c r="D362" i="22" a="1"/>
  <c r="D362" i="22" s="1"/>
  <c r="D202" i="22" a="1"/>
  <c r="D202" i="22" s="1"/>
  <c r="D533" i="22" a="1"/>
  <c r="D533" i="22" s="1"/>
  <c r="D622" i="22" a="1"/>
  <c r="D622" i="22" s="1"/>
  <c r="D809" i="22" a="1"/>
  <c r="D809" i="22" s="1"/>
  <c r="D186" i="22" a="1"/>
  <c r="D186" i="22" s="1"/>
  <c r="D859" i="22" a="1"/>
  <c r="D859" i="22" s="1"/>
  <c r="D500" i="22" a="1"/>
  <c r="D500" i="22" s="1"/>
  <c r="D938" i="22" a="1"/>
  <c r="D938" i="22" s="1"/>
  <c r="D694" i="22" a="1"/>
  <c r="D694" i="22" s="1"/>
  <c r="D654" i="22" a="1"/>
  <c r="D654" i="22" s="1"/>
  <c r="D678" i="22" a="1"/>
  <c r="D678" i="22" s="1"/>
  <c r="D819" i="22" a="1"/>
  <c r="D819" i="22" s="1"/>
  <c r="D388" i="22" a="1"/>
  <c r="D388" i="22" s="1"/>
  <c r="D897" i="22" a="1"/>
  <c r="D897" i="22" s="1"/>
  <c r="D1009" i="22" a="1"/>
  <c r="D1009" i="22" s="1"/>
  <c r="D810" i="22" a="1"/>
  <c r="D810" i="22" s="1"/>
  <c r="D137" i="22" a="1"/>
  <c r="D137" i="22" s="1"/>
  <c r="D523" i="22" a="1"/>
  <c r="D523" i="22" s="1"/>
  <c r="D408" i="22" a="1"/>
  <c r="D408" i="22" s="1"/>
  <c r="D1106" i="22" a="1"/>
  <c r="D1106" i="22" s="1"/>
  <c r="D684" i="22" a="1"/>
  <c r="D684" i="22" s="1"/>
  <c r="D113" i="22" a="1"/>
  <c r="D113" i="22" s="1"/>
  <c r="D663" i="22" a="1"/>
  <c r="D663" i="22" s="1"/>
  <c r="D1002" i="22" a="1"/>
  <c r="D1002" i="22" s="1"/>
  <c r="D370" i="22" a="1"/>
  <c r="D370" i="22" s="1"/>
  <c r="D514" i="22" a="1"/>
  <c r="D514" i="22" s="1"/>
  <c r="D483" i="22" a="1"/>
  <c r="D483" i="22" s="1"/>
  <c r="D161" i="22" a="1"/>
  <c r="D161" i="22" s="1"/>
  <c r="D56" i="22" a="1"/>
  <c r="D56" i="22" s="1"/>
  <c r="D391" i="22" a="1"/>
  <c r="D391" i="22" s="1"/>
  <c r="D528" i="22" a="1"/>
  <c r="D528" i="22" s="1"/>
  <c r="D619" i="22" a="1"/>
  <c r="D619" i="22" s="1"/>
  <c r="D39" i="22" a="1"/>
  <c r="D39" i="22" s="1"/>
  <c r="D713" i="22" a="1"/>
  <c r="D713" i="22" s="1"/>
  <c r="D755" i="22" a="1"/>
  <c r="D755" i="22" s="1"/>
  <c r="D1083" i="22" a="1"/>
  <c r="D1083" i="22" s="1"/>
  <c r="D861" i="22" a="1"/>
  <c r="D861" i="22" s="1"/>
  <c r="D881" i="22" a="1"/>
  <c r="D881" i="22" s="1"/>
  <c r="D281" i="22" a="1"/>
  <c r="D281" i="22" s="1"/>
  <c r="D294" i="22" a="1"/>
  <c r="D294" i="22" s="1"/>
  <c r="D783" i="22" a="1"/>
  <c r="D783" i="22" s="1"/>
  <c r="D706" i="22" a="1"/>
  <c r="D706" i="22" s="1"/>
  <c r="D303" i="22" a="1"/>
  <c r="D303" i="22" s="1"/>
  <c r="D277" i="22" a="1"/>
  <c r="D277" i="22" s="1"/>
  <c r="D463" i="22" a="1"/>
  <c r="D463" i="22" s="1"/>
  <c r="D521" i="22" a="1"/>
  <c r="D521" i="22" s="1"/>
  <c r="D582" i="22" a="1"/>
  <c r="D582" i="22" s="1"/>
  <c r="D630" i="22" a="1"/>
  <c r="D630" i="22" s="1"/>
  <c r="D649" i="22" a="1"/>
  <c r="D649" i="22" s="1"/>
  <c r="D584" i="22" a="1"/>
  <c r="D584" i="22" s="1"/>
  <c r="D597" i="22" a="1"/>
  <c r="D597" i="22" s="1"/>
  <c r="D1054" i="22" a="1"/>
  <c r="D1054" i="22" s="1"/>
  <c r="D961" i="22" a="1"/>
  <c r="D961" i="22" s="1"/>
  <c r="D588" i="22" a="1"/>
  <c r="D588" i="22" s="1"/>
  <c r="D315" i="22" a="1"/>
  <c r="D315" i="22" s="1"/>
  <c r="D1038" i="22" a="1"/>
  <c r="D1038" i="22" s="1"/>
  <c r="D1107" i="22" a="1"/>
  <c r="D1107" i="22" s="1"/>
  <c r="D889" i="22" a="1"/>
  <c r="D889" i="22" s="1"/>
  <c r="D253" i="22" a="1"/>
  <c r="D253" i="22" s="1"/>
  <c r="D884" i="22" a="1"/>
  <c r="D884" i="22" s="1"/>
  <c r="D162" i="22" a="1"/>
  <c r="D162" i="22" s="1"/>
  <c r="D839" i="22" a="1"/>
  <c r="D839" i="22" s="1"/>
  <c r="D516" i="22" a="1"/>
  <c r="D516" i="22" s="1"/>
  <c r="D409" i="22" a="1"/>
  <c r="D409" i="22" s="1"/>
  <c r="D249" i="22" a="1"/>
  <c r="D249" i="22" s="1"/>
  <c r="D273" i="22" a="1"/>
  <c r="D273" i="22" s="1"/>
  <c r="D769" i="22" a="1"/>
  <c r="D769" i="22" s="1"/>
  <c r="D833" i="22" a="1"/>
  <c r="D833" i="22" s="1"/>
  <c r="D852" i="22" a="1"/>
  <c r="D852" i="22" s="1"/>
  <c r="D174" i="22" a="1"/>
  <c r="D174" i="22" s="1"/>
  <c r="D677" i="22" a="1"/>
  <c r="D677" i="22" s="1"/>
  <c r="D224" i="22" a="1"/>
  <c r="D224" i="22" s="1"/>
  <c r="D948" i="22" a="1"/>
  <c r="D948" i="22" s="1"/>
  <c r="D308" i="22" a="1"/>
  <c r="D308" i="22" s="1"/>
  <c r="D690" i="22" a="1"/>
  <c r="D690" i="22" s="1"/>
  <c r="D817" i="22" a="1"/>
  <c r="D817" i="22" s="1"/>
  <c r="D502" i="22" a="1"/>
  <c r="D502" i="22" s="1"/>
  <c r="D485" i="22" a="1"/>
  <c r="D485" i="22" s="1"/>
  <c r="D198" i="22" a="1"/>
  <c r="D198" i="22" s="1"/>
  <c r="D1052" i="22" a="1"/>
  <c r="D1052" i="22" s="1"/>
  <c r="D1046" i="22" a="1"/>
  <c r="D1046" i="22" s="1"/>
  <c r="D320" i="22" a="1"/>
  <c r="D320" i="22" s="1"/>
  <c r="D1049" i="22" a="1"/>
  <c r="D1049" i="22" s="1"/>
  <c r="D975" i="22" a="1"/>
  <c r="D975" i="22" s="1"/>
  <c r="D553" i="22" a="1"/>
  <c r="D553" i="22" s="1"/>
  <c r="D984" i="22" a="1"/>
  <c r="D984" i="22" s="1"/>
  <c r="D936" i="22" a="1"/>
  <c r="D936" i="22" s="1"/>
  <c r="D339" i="22" a="1"/>
  <c r="D339" i="22" s="1"/>
  <c r="D211" i="22" a="1"/>
  <c r="D211" i="22" s="1"/>
  <c r="D624" i="22" a="1"/>
  <c r="D624" i="22" s="1"/>
  <c r="D874" i="22" a="1"/>
  <c r="D874" i="22" s="1"/>
  <c r="D90" i="22" a="1"/>
  <c r="D90" i="22" s="1"/>
  <c r="D838" i="22" a="1"/>
  <c r="D838" i="22" s="1"/>
  <c r="D652" i="22" a="1"/>
  <c r="D652" i="22" s="1"/>
  <c r="D898" i="22" a="1"/>
  <c r="D898" i="22" s="1"/>
  <c r="D376" i="22" a="1"/>
  <c r="D376" i="22" s="1"/>
  <c r="D227" i="22" a="1"/>
  <c r="D227" i="22" s="1"/>
  <c r="D93" i="22" a="1"/>
  <c r="D93" i="22" s="1"/>
  <c r="D96" i="22" a="1"/>
  <c r="D96" i="22" s="1"/>
  <c r="D866" i="22" a="1"/>
  <c r="D866" i="22" s="1"/>
  <c r="D20" i="22" a="1"/>
  <c r="D20" i="22" s="1"/>
  <c r="D79" i="22" a="1"/>
  <c r="D79" i="22" s="1"/>
  <c r="D848" i="22" a="1"/>
  <c r="D848" i="22" s="1"/>
  <c r="D457" i="22" a="1"/>
  <c r="D457" i="22" s="1"/>
  <c r="D138" i="22" a="1"/>
  <c r="D138" i="22" s="1"/>
  <c r="D290" i="22" a="1"/>
  <c r="D290" i="22" s="1"/>
  <c r="D834" i="22" a="1"/>
  <c r="D834" i="22" s="1"/>
  <c r="D1097" i="22" a="1"/>
  <c r="D1097" i="22" s="1"/>
  <c r="D576" i="22" a="1"/>
  <c r="D576" i="22" s="1"/>
  <c r="D560" i="22" a="1"/>
  <c r="D560" i="22" s="1"/>
  <c r="D17" i="22" a="1"/>
  <c r="D17" i="22" s="1"/>
  <c r="D158" i="22" a="1"/>
  <c r="D158" i="22" s="1"/>
  <c r="D450" i="22" a="1"/>
  <c r="D450" i="22" s="1"/>
  <c r="D386" i="22" a="1"/>
  <c r="D386" i="22" s="1"/>
  <c r="D458" i="22" a="1"/>
  <c r="D458" i="22" s="1"/>
  <c r="D163" i="22" a="1"/>
  <c r="D163" i="22" s="1"/>
  <c r="D963" i="22" a="1"/>
  <c r="D963" i="22" s="1"/>
  <c r="D199" i="22" a="1"/>
  <c r="D199" i="22" s="1"/>
  <c r="D904" i="22" a="1"/>
  <c r="D904" i="22" s="1"/>
  <c r="D238" i="22" a="1"/>
  <c r="D238" i="22" s="1"/>
  <c r="D366" i="22" a="1"/>
  <c r="D366" i="22" s="1"/>
  <c r="D180" i="22" a="1"/>
  <c r="D180" i="22" s="1"/>
  <c r="D880" i="22" a="1"/>
  <c r="D880" i="22" s="1"/>
  <c r="D1101" i="22" a="1"/>
  <c r="D1101" i="22" s="1"/>
  <c r="D519" i="22" a="1"/>
  <c r="D519" i="22" s="1"/>
  <c r="D257" i="22" a="1"/>
  <c r="D257" i="22" s="1"/>
  <c r="D719" i="22" a="1"/>
  <c r="D719" i="22" s="1"/>
  <c r="D279" i="22" a="1"/>
  <c r="D279" i="22" s="1"/>
  <c r="D69" i="22" a="1"/>
  <c r="D69" i="22" s="1"/>
  <c r="D350" i="22" a="1"/>
  <c r="D350" i="22" s="1"/>
  <c r="D564" i="22" a="1"/>
  <c r="D564" i="22" s="1"/>
  <c r="D271" i="22" a="1"/>
  <c r="D271" i="22" s="1"/>
  <c r="D835" i="22" a="1"/>
  <c r="D835" i="22" s="1"/>
  <c r="D498" i="22" a="1"/>
  <c r="D498" i="22" s="1"/>
  <c r="D504" i="22" a="1"/>
  <c r="D504" i="22" s="1"/>
  <c r="D1007" i="22" a="1"/>
  <c r="D1007" i="22" s="1"/>
  <c r="D250" i="22" a="1"/>
  <c r="D250" i="22" s="1"/>
  <c r="D787" i="22" a="1"/>
  <c r="D787" i="22" s="1"/>
  <c r="D685" i="22" a="1"/>
  <c r="D685" i="22" s="1"/>
  <c r="D877" i="22" a="1"/>
  <c r="D877" i="22" s="1"/>
  <c r="D750" i="22" a="1"/>
  <c r="D750" i="22" s="1"/>
  <c r="D377" i="22" a="1"/>
  <c r="D377" i="22" s="1"/>
  <c r="D5" i="22" a="1"/>
  <c r="D5" i="22" s="1"/>
  <c r="D460" i="22" a="1"/>
  <c r="D460" i="22" s="1"/>
  <c r="D1050" i="22" a="1"/>
  <c r="D1050" i="22" s="1"/>
  <c r="D542" i="22" a="1"/>
  <c r="D542" i="22" s="1"/>
  <c r="D586" i="22" a="1"/>
  <c r="D586" i="22" s="1"/>
  <c r="D70" i="22" a="1"/>
  <c r="D70" i="22" s="1"/>
  <c r="D1044" i="22" a="1"/>
  <c r="D1044" i="22" s="1"/>
  <c r="D934" i="22" a="1"/>
  <c r="D934" i="22" s="1"/>
  <c r="D568" i="22" a="1"/>
  <c r="D568" i="22" s="1"/>
  <c r="D723" i="22" a="1"/>
  <c r="D723" i="22" s="1"/>
  <c r="D115" i="22" a="1"/>
  <c r="D115" i="22" s="1"/>
  <c r="D538" i="22" a="1"/>
  <c r="D538" i="22" s="1"/>
  <c r="D997" i="22" a="1"/>
  <c r="D997" i="22" s="1"/>
  <c r="D782" i="22" a="1"/>
  <c r="D782" i="22" s="1"/>
  <c r="D546" i="22" a="1"/>
  <c r="D546" i="22" s="1"/>
  <c r="D1037" i="22" a="1"/>
  <c r="D1037" i="22" s="1"/>
  <c r="D799" i="22" a="1"/>
  <c r="D799" i="22" s="1"/>
  <c r="D332" i="22" a="1"/>
  <c r="D332" i="22" s="1"/>
  <c r="D720" i="22" a="1"/>
  <c r="D720" i="22" s="1"/>
  <c r="D67" i="22" a="1"/>
  <c r="D67" i="22" s="1"/>
  <c r="D411" i="22" a="1"/>
  <c r="D411" i="22" s="1"/>
  <c r="D831" i="22" a="1"/>
  <c r="D831" i="22" s="1"/>
  <c r="D745" i="22" a="1"/>
  <c r="D745" i="22" s="1"/>
  <c r="D429" i="22" a="1"/>
  <c r="D429" i="22" s="1"/>
  <c r="D847" i="22" a="1"/>
  <c r="D847" i="22" s="1"/>
  <c r="D196" i="22" a="1"/>
  <c r="D196" i="22" s="1"/>
  <c r="D349" i="22" a="1"/>
  <c r="D349" i="22" s="1"/>
  <c r="D873" i="22" a="1"/>
  <c r="D873" i="22" s="1"/>
  <c r="D30" i="22" a="1"/>
  <c r="D30" i="22" s="1"/>
  <c r="D751" i="22" a="1"/>
  <c r="D751" i="22" s="1"/>
  <c r="D802" i="22" a="1"/>
  <c r="D802" i="22" s="1"/>
  <c r="D1004" i="22" a="1"/>
  <c r="D1004" i="22" s="1"/>
  <c r="D770" i="22" a="1"/>
  <c r="D770" i="22" s="1"/>
  <c r="D355" i="22" a="1"/>
  <c r="D355" i="22" s="1"/>
  <c r="D63" i="22" a="1"/>
  <c r="D63" i="22" s="1"/>
  <c r="D916" i="22" a="1"/>
  <c r="D916" i="22" s="1"/>
  <c r="D998" i="22" a="1"/>
  <c r="D998" i="22" s="1"/>
  <c r="D300" i="22" a="1"/>
  <c r="D300" i="22" s="1"/>
  <c r="D883" i="22" a="1"/>
  <c r="D883" i="22" s="1"/>
  <c r="D691" i="22" a="1"/>
  <c r="D691" i="22" s="1"/>
  <c r="D57" i="22" a="1"/>
  <c r="D57" i="22" s="1"/>
  <c r="D134" i="22" a="1"/>
  <c r="D134" i="22" s="1"/>
  <c r="D764" i="22" a="1"/>
  <c r="D764" i="22" s="1"/>
  <c r="D1051" i="22" a="1"/>
  <c r="D1051" i="22" s="1"/>
  <c r="D432" i="22" a="1"/>
  <c r="D432" i="22" s="1"/>
  <c r="D727" i="22" a="1"/>
  <c r="D727" i="22" s="1"/>
  <c r="D101" i="22" a="1"/>
  <c r="D101" i="22" s="1"/>
  <c r="D577" i="22" a="1"/>
  <c r="D577" i="22" s="1"/>
  <c r="D240" i="22" a="1"/>
  <c r="D240" i="22" s="1"/>
  <c r="D6" i="22" a="1"/>
  <c r="D6" i="22" s="1"/>
  <c r="D522" i="22" a="1"/>
  <c r="D522" i="22" s="1"/>
  <c r="D595" i="22" a="1"/>
  <c r="D595" i="22" s="1"/>
  <c r="D317" i="22" a="1"/>
  <c r="D317" i="22" s="1"/>
  <c r="D906" i="22" a="1"/>
  <c r="D906" i="22" s="1"/>
  <c r="D813" i="22" a="1"/>
  <c r="D813" i="22" s="1"/>
  <c r="D729" i="22" a="1"/>
  <c r="D729" i="22" s="1"/>
  <c r="D301" i="22" a="1"/>
  <c r="D301" i="22" s="1"/>
  <c r="D193" i="22" a="1"/>
  <c r="D193" i="22" s="1"/>
  <c r="D892" i="22" a="1"/>
  <c r="D892" i="22" s="1"/>
  <c r="D160" i="22" a="1"/>
  <c r="D160" i="22" s="1"/>
  <c r="D797" i="22" a="1"/>
  <c r="D797" i="22" s="1"/>
  <c r="D189" i="22" a="1"/>
  <c r="D189" i="22" s="1"/>
  <c r="D9" i="22" a="1"/>
  <c r="D9" i="22" s="1"/>
  <c r="D965" i="22" a="1"/>
  <c r="D965" i="22" s="1"/>
  <c r="D1088" i="22" a="1"/>
  <c r="D1088" i="22" s="1"/>
  <c r="D66" i="22" a="1"/>
  <c r="D66" i="22" s="1"/>
  <c r="D434" i="22" a="1"/>
  <c r="D434" i="22" s="1"/>
  <c r="D385" i="22" a="1"/>
  <c r="D385" i="22" s="1"/>
  <c r="D1062" i="22" a="1"/>
  <c r="D1062" i="22" s="1"/>
  <c r="D258" i="22" a="1"/>
  <c r="D258" i="22" s="1"/>
  <c r="D325" i="22" a="1"/>
  <c r="D325" i="22" s="1"/>
  <c r="D972" i="22" a="1"/>
  <c r="D972" i="22" s="1"/>
  <c r="D669" i="22" a="1"/>
  <c r="D669" i="22" s="1"/>
  <c r="D480" i="22" a="1"/>
  <c r="D480" i="22" s="1"/>
  <c r="D486" i="22" a="1"/>
  <c r="D486" i="22" s="1"/>
  <c r="D679" i="22" a="1"/>
  <c r="D679" i="22" s="1"/>
  <c r="D772" i="22" a="1"/>
  <c r="D772" i="22" s="1"/>
  <c r="D828" i="22" a="1"/>
  <c r="D828" i="22" s="1"/>
  <c r="D478" i="22" a="1"/>
  <c r="D478" i="22" s="1"/>
  <c r="D494" i="22" a="1"/>
  <c r="D494" i="22" s="1"/>
  <c r="D194" i="22" a="1"/>
  <c r="D194" i="22" s="1"/>
  <c r="D91" i="22" a="1"/>
  <c r="D91" i="22" s="1"/>
  <c r="D287" i="22" a="1"/>
  <c r="D287" i="22" s="1"/>
  <c r="D216" i="22" a="1"/>
  <c r="D216" i="22" s="1"/>
  <c r="D907" i="22" a="1"/>
  <c r="D907" i="22" s="1"/>
  <c r="D856" i="22" a="1"/>
  <c r="D856" i="22" s="1"/>
  <c r="D571" i="22" a="1"/>
  <c r="D571" i="22" s="1"/>
  <c r="D960" i="22" a="1"/>
  <c r="D960" i="22" s="1"/>
  <c r="D849" i="22" a="1"/>
  <c r="D849" i="22" s="1"/>
  <c r="D629" i="22" a="1"/>
  <c r="D629" i="22" s="1"/>
  <c r="D489" i="22" a="1"/>
  <c r="D489" i="22" s="1"/>
  <c r="D1080" i="22" a="1"/>
  <c r="D1080" i="22" s="1"/>
  <c r="D888" i="22" a="1"/>
  <c r="D888" i="22" s="1"/>
  <c r="D392" i="22" a="1"/>
  <c r="D392" i="22" s="1"/>
  <c r="D387" i="22" a="1"/>
  <c r="D387" i="22" s="1"/>
  <c r="D412" i="22" a="1"/>
  <c r="D412" i="22" s="1"/>
  <c r="D344" i="22" a="1"/>
  <c r="D344" i="22" s="1"/>
  <c r="D550" i="22" a="1"/>
  <c r="D550" i="22" s="1"/>
  <c r="D64" i="22" a="1"/>
  <c r="D64" i="22" s="1"/>
  <c r="D807" i="22" a="1"/>
  <c r="D807" i="22" s="1"/>
  <c r="D322" i="22" a="1"/>
  <c r="D322" i="22" s="1"/>
  <c r="D821" i="22" a="1"/>
  <c r="D821" i="22" s="1"/>
  <c r="D520" i="22" a="1"/>
  <c r="D520" i="22" s="1"/>
  <c r="D829" i="22" a="1"/>
  <c r="D829" i="22" s="1"/>
  <c r="D167" i="22" a="1"/>
  <c r="D167" i="22" s="1"/>
  <c r="D626" i="22" a="1"/>
  <c r="D626" i="22" s="1"/>
  <c r="D210" i="22" a="1"/>
  <c r="D210" i="22" s="1"/>
  <c r="D738" i="22" a="1"/>
  <c r="D738" i="22" s="1"/>
  <c r="D633" i="22" a="1"/>
  <c r="D633" i="22" s="1"/>
  <c r="D988" i="22" a="1"/>
  <c r="D988" i="22" s="1"/>
  <c r="D956" i="22" a="1"/>
  <c r="D956" i="22" s="1"/>
  <c r="D563" i="22" a="1"/>
  <c r="D563" i="22" s="1"/>
  <c r="D495" i="22" a="1"/>
  <c r="D495" i="22" s="1"/>
  <c r="D88" i="22" a="1"/>
  <c r="D88" i="22" s="1"/>
  <c r="D223" i="22" a="1"/>
  <c r="D223" i="22" s="1"/>
  <c r="D946" i="22" a="1"/>
  <c r="D946" i="22" s="1"/>
  <c r="A33" i="22"/>
  <c r="A241" i="22"/>
  <c r="A931" i="22"/>
  <c r="A922" i="22"/>
  <c r="A482" i="22"/>
  <c r="A732" i="22"/>
  <c r="A826" i="22"/>
  <c r="A736" i="22"/>
  <c r="A642" i="22"/>
  <c r="A605" i="22"/>
  <c r="A609" i="22"/>
  <c r="A176" i="22"/>
  <c r="A1011" i="22"/>
  <c r="A291" i="22"/>
  <c r="A863" i="22"/>
  <c r="A124" i="22"/>
  <c r="A890" i="22"/>
  <c r="A1094" i="22"/>
  <c r="A585" i="22"/>
  <c r="A407" i="22"/>
  <c r="A278" i="22"/>
  <c r="A665" i="22"/>
  <c r="A616" i="22"/>
  <c r="A75" i="22"/>
  <c r="A640" i="22"/>
  <c r="A1073" i="22"/>
  <c r="A879" i="22"/>
  <c r="A465" i="22"/>
  <c r="A1025" i="22"/>
  <c r="A276" i="22"/>
  <c r="A466" i="22"/>
  <c r="A983" i="22"/>
  <c r="A733" i="22"/>
  <c r="A157" i="22"/>
  <c r="A245" i="22"/>
  <c r="A283" i="22"/>
  <c r="A737" i="22"/>
  <c r="A680" i="22"/>
  <c r="A705" i="22"/>
  <c r="A330" i="22"/>
  <c r="A445" i="22"/>
  <c r="A230" i="22"/>
  <c r="A604" i="22"/>
  <c r="A773" i="22"/>
  <c r="A743" i="22"/>
  <c r="A396" i="22"/>
  <c r="A587" i="22"/>
  <c r="A981" i="22"/>
  <c r="A693" i="22"/>
  <c r="A150" i="22"/>
  <c r="A16" i="22"/>
  <c r="A768" i="22"/>
  <c r="A1026" i="22"/>
  <c r="A446" i="22"/>
  <c r="A518" i="22"/>
  <c r="A166" i="22"/>
  <c r="A326" i="22"/>
  <c r="A1091" i="22"/>
  <c r="A977" i="22"/>
  <c r="A760" i="22"/>
  <c r="A132" i="22"/>
  <c r="A901" i="22"/>
  <c r="A422" i="22"/>
  <c r="A454" i="22"/>
  <c r="A73" i="22"/>
  <c r="A437" i="22"/>
  <c r="A951" i="22"/>
  <c r="A962" i="22"/>
  <c r="A746" i="22"/>
  <c r="A481" i="22"/>
  <c r="A406" i="22"/>
  <c r="A1085" i="22"/>
  <c r="A1003" i="22"/>
  <c r="A980" i="22"/>
  <c r="A417" i="22"/>
  <c r="A785" i="22"/>
  <c r="A1020" i="22"/>
  <c r="A285" i="22"/>
  <c r="A86" i="22"/>
  <c r="A175" i="22"/>
  <c r="A61" i="22"/>
  <c r="A1098" i="22"/>
  <c r="A943" i="22"/>
  <c r="A8" i="22"/>
  <c r="A423" i="22"/>
  <c r="A515" i="22"/>
  <c r="A578" i="22"/>
  <c r="A232" i="22"/>
  <c r="A359" i="22"/>
  <c r="A804" i="22"/>
  <c r="A816" i="22"/>
  <c r="A636" i="22"/>
  <c r="A885" i="22"/>
  <c r="A389" i="22"/>
  <c r="A204" i="22"/>
  <c r="A1096" i="22"/>
  <c r="A261" i="22"/>
  <c r="A1010" i="22"/>
  <c r="A208" i="22"/>
  <c r="A1057" i="22"/>
  <c r="A311" i="22"/>
  <c r="A286" i="22"/>
  <c r="A1070" i="22"/>
  <c r="A29" i="22"/>
  <c r="A85" i="22"/>
  <c r="A1013" i="22"/>
  <c r="A473" i="22"/>
  <c r="A634" i="22"/>
  <c r="A299" i="22"/>
  <c r="A805" i="22"/>
  <c r="A710" i="22"/>
  <c r="A145" i="22"/>
  <c r="A94" i="22"/>
  <c r="A123" i="22"/>
  <c r="A721" i="22"/>
  <c r="A248" i="22"/>
  <c r="A645" i="22"/>
  <c r="A1043" i="22"/>
  <c r="A41" i="22"/>
  <c r="A272" i="22"/>
  <c r="A65" i="22"/>
  <c r="A808" i="22"/>
  <c r="A100" i="22"/>
  <c r="A381" i="22"/>
  <c r="A111" i="22"/>
  <c r="A853" i="22"/>
  <c r="A15" i="22"/>
  <c r="A644" i="22"/>
  <c r="A784" i="22"/>
  <c r="A439" i="22"/>
  <c r="A182" i="22"/>
  <c r="A228" i="22"/>
  <c r="A99" i="22"/>
  <c r="A923" i="22"/>
  <c r="A887" i="22"/>
  <c r="A725" i="22"/>
  <c r="A594" i="22"/>
  <c r="A159" i="22"/>
  <c r="A501" i="22"/>
  <c r="A336" i="22"/>
  <c r="A1023" i="22"/>
  <c r="A689" i="22"/>
  <c r="A543" i="22"/>
  <c r="A269" i="22"/>
  <c r="A945" i="22"/>
  <c r="A776" i="22"/>
  <c r="A836" i="22"/>
  <c r="A484" i="22"/>
  <c r="A766" i="22"/>
  <c r="A373" i="22"/>
  <c r="A42" i="22"/>
  <c r="A379" i="22"/>
  <c r="A324" i="22"/>
  <c r="A178" i="22"/>
  <c r="A973" i="22"/>
  <c r="A351" i="22"/>
  <c r="A792" i="22"/>
  <c r="A611" i="22"/>
  <c r="A559" i="22"/>
  <c r="A361" i="22"/>
  <c r="A1015" i="22"/>
  <c r="A413" i="22"/>
  <c r="A368" i="22"/>
  <c r="A954" i="22"/>
  <c r="A590" i="22"/>
  <c r="A512" i="22"/>
  <c r="A1028" i="22"/>
  <c r="A119" i="22"/>
  <c r="A628" i="22"/>
  <c r="A288" i="22"/>
  <c r="A1100" i="22"/>
  <c r="A214" i="22"/>
  <c r="A1087" i="22"/>
  <c r="A43" i="22"/>
  <c r="A81" i="22"/>
  <c r="A156" i="22"/>
  <c r="A1060" i="22"/>
  <c r="A14" i="22"/>
  <c r="A456" i="22"/>
  <c r="A380" i="22"/>
  <c r="A165" i="22"/>
  <c r="A187" i="22"/>
  <c r="A527" i="22"/>
  <c r="A1040" i="22"/>
  <c r="A765" i="22"/>
  <c r="A1027" i="22"/>
  <c r="A155" i="22"/>
  <c r="A608" i="22"/>
  <c r="A338" i="22"/>
  <c r="A704" i="22"/>
  <c r="A431" i="22"/>
  <c r="A1075" i="22"/>
  <c r="A26" i="22"/>
  <c r="A990" i="22"/>
  <c r="A207" i="22"/>
  <c r="A51" i="22"/>
  <c r="A752" i="22"/>
  <c r="A1084" i="22"/>
  <c r="A50" i="22"/>
  <c r="A991" i="22"/>
  <c r="A734" i="22"/>
  <c r="A531" i="22"/>
  <c r="A356" i="22"/>
  <c r="A89" i="22"/>
  <c r="A747" i="22"/>
  <c r="A309" i="22"/>
  <c r="A468" i="22"/>
  <c r="A524" i="22"/>
  <c r="A419" i="22"/>
  <c r="A148" i="22"/>
  <c r="A851" i="22"/>
  <c r="A832" i="22"/>
  <c r="A4" i="22"/>
  <c r="A395" i="22"/>
  <c r="A894" i="22"/>
  <c r="A781" i="22"/>
  <c r="A442" i="22"/>
  <c r="A1016" i="22"/>
  <c r="A470" i="22"/>
  <c r="A497" i="22"/>
  <c r="A206" i="22"/>
  <c r="A242" i="22"/>
  <c r="A994" i="22"/>
  <c r="A459" i="22"/>
  <c r="A259" i="22"/>
  <c r="A662" i="22"/>
  <c r="A1089" i="22"/>
  <c r="A565" i="22"/>
  <c r="A858" i="22"/>
  <c r="A955" i="22"/>
  <c r="A135" i="22"/>
  <c r="A993" i="22"/>
  <c r="A748" i="22"/>
  <c r="A262" i="22"/>
  <c r="A234" i="22"/>
  <c r="A318" i="22"/>
  <c r="A871" i="22"/>
  <c r="A891" i="22"/>
  <c r="A217" i="22"/>
  <c r="A452" i="22"/>
  <c r="A239" i="22"/>
  <c r="A144" i="22"/>
  <c r="A397" i="22"/>
  <c r="A343" i="22"/>
  <c r="A1095" i="22"/>
  <c r="A58" i="22"/>
  <c r="A567" i="22"/>
  <c r="A1048" i="22"/>
  <c r="A447" i="22"/>
  <c r="A506" i="22"/>
  <c r="A114" i="22"/>
  <c r="A496" i="22"/>
  <c r="A152" i="22"/>
  <c r="A1067" i="22"/>
  <c r="A869" i="22"/>
  <c r="A918" i="22"/>
  <c r="A573" i="22"/>
  <c r="A660" i="22"/>
  <c r="A357" i="22"/>
  <c r="A1102" i="22"/>
  <c r="A464" i="22"/>
  <c r="A275" i="22"/>
  <c r="A699" i="22"/>
  <c r="A1008" i="22"/>
  <c r="A327" i="22"/>
  <c r="A552" i="22"/>
  <c r="A717" i="22"/>
  <c r="A872" i="22"/>
  <c r="A683" i="22"/>
  <c r="A758" i="22"/>
  <c r="A18" i="22"/>
  <c r="A668" i="22"/>
  <c r="A941" i="22"/>
  <c r="A40" i="22"/>
  <c r="A53" i="22"/>
  <c r="A967" i="22"/>
  <c r="A68" i="22"/>
  <c r="A919" i="22"/>
  <c r="A493" i="22"/>
  <c r="A1018" i="22"/>
  <c r="A902" i="22"/>
  <c r="A319" i="22"/>
  <c r="A1064" i="22"/>
  <c r="A647" i="22"/>
  <c r="A708" i="22"/>
  <c r="A1014" i="22"/>
  <c r="A681" i="22"/>
  <c r="A579" i="22"/>
  <c r="A876" i="22"/>
  <c r="A284" i="22"/>
  <c r="A190" i="22"/>
  <c r="A925" i="22"/>
  <c r="A149" i="22"/>
  <c r="A365" i="22"/>
  <c r="A7" i="22"/>
  <c r="A369" i="22"/>
  <c r="A22" i="22"/>
  <c r="A551" i="22"/>
  <c r="A820" i="22"/>
  <c r="A686" i="22"/>
  <c r="A842" i="22"/>
  <c r="A127" i="22"/>
  <c r="A742" i="22"/>
  <c r="A979" i="22"/>
  <c r="A600" i="22"/>
  <c r="A675" i="22"/>
  <c r="A596" i="22"/>
  <c r="A1108" i="22"/>
  <c r="A845" i="22"/>
  <c r="A878" i="22"/>
  <c r="A316" i="22"/>
  <c r="A367" i="22"/>
  <c r="A1061" i="22"/>
  <c r="A76" i="22"/>
  <c r="A617" i="22"/>
  <c r="A754" i="22"/>
  <c r="A24" i="22"/>
  <c r="A837" i="22"/>
  <c r="A1065" i="22"/>
  <c r="A612" i="22"/>
  <c r="A1074" i="22"/>
  <c r="A601" i="22"/>
  <c r="A570" i="22"/>
  <c r="A509" i="22"/>
  <c r="A627" i="22"/>
  <c r="A928" i="22"/>
  <c r="A23" i="22"/>
  <c r="A399" i="22"/>
  <c r="A195" i="22"/>
  <c r="A354" i="22"/>
  <c r="A637" i="22"/>
  <c r="A47" i="22"/>
  <c r="A192" i="22"/>
  <c r="A912" i="22"/>
  <c r="A525" i="22"/>
  <c r="A950" i="22"/>
  <c r="A424" i="22"/>
  <c r="A913" i="22"/>
  <c r="A507" i="22"/>
  <c r="A313" i="22"/>
  <c r="A753" i="22"/>
  <c r="A964" i="22"/>
  <c r="A200" i="22"/>
  <c r="A1030" i="22"/>
  <c r="A674" i="22"/>
  <c r="A599" i="22"/>
  <c r="A55" i="22"/>
  <c r="A724" i="22"/>
  <c r="A510" i="22"/>
  <c r="A949" i="22"/>
  <c r="A540" i="22"/>
  <c r="A825" i="22"/>
  <c r="A27" i="22"/>
  <c r="A116" i="22"/>
  <c r="A477" i="22"/>
  <c r="A1092" i="22"/>
  <c r="A715" i="22"/>
  <c r="A264" i="22"/>
  <c r="A1069" i="22"/>
  <c r="A530" i="22"/>
  <c r="A346" i="22"/>
  <c r="A932" i="22"/>
  <c r="A557" i="22"/>
  <c r="A302" i="22"/>
  <c r="A985" i="22"/>
  <c r="A1035" i="22"/>
  <c r="A331" i="22"/>
  <c r="A378" i="22"/>
  <c r="A818" i="22"/>
  <c r="A682" i="22"/>
  <c r="A815" i="22"/>
  <c r="A896" i="22"/>
  <c r="A426" i="22"/>
  <c r="A462" i="22"/>
  <c r="A603" i="22"/>
  <c r="A771" i="22"/>
  <c r="A293" i="22"/>
  <c r="A37" i="22"/>
  <c r="A1039" i="22"/>
  <c r="A726" i="22"/>
  <c r="A503" i="22"/>
  <c r="A672" i="22"/>
  <c r="A939" i="22"/>
  <c r="A944" i="22"/>
  <c r="A62" i="22"/>
  <c r="A957" i="22"/>
  <c r="A451" i="22"/>
  <c r="A978" i="22"/>
  <c r="A312" i="22"/>
  <c r="A488" i="22"/>
  <c r="A236" i="22"/>
  <c r="A260" i="22"/>
  <c r="A843" i="22"/>
  <c r="A971" i="22"/>
  <c r="A84" i="22"/>
  <c r="A702" i="22"/>
  <c r="A307" i="22"/>
  <c r="A942" i="22"/>
  <c r="A1031" i="22"/>
  <c r="A549" i="22"/>
  <c r="A970" i="22"/>
  <c r="A664" i="22"/>
  <c r="A352" i="22"/>
  <c r="A108" i="22"/>
  <c r="A297" i="22"/>
  <c r="A49" i="22"/>
  <c r="A60" i="22"/>
  <c r="A140" i="22"/>
  <c r="A170" i="22"/>
  <c r="A1082" i="22"/>
  <c r="A371" i="22"/>
  <c r="A1055" i="22"/>
  <c r="A893" i="22"/>
  <c r="A146" i="22"/>
  <c r="A786" i="22"/>
  <c r="A513" i="22"/>
  <c r="A345" i="22"/>
  <c r="A572" i="22"/>
  <c r="A541" i="22"/>
  <c r="A121" i="22"/>
  <c r="A254" i="22"/>
  <c r="A95" i="22"/>
  <c r="A937" i="22"/>
  <c r="A657" i="22"/>
  <c r="A97" i="22"/>
  <c r="A701" i="22"/>
  <c r="A329" i="22"/>
  <c r="A739" i="22"/>
  <c r="A201" i="22"/>
  <c r="A671" i="22"/>
  <c r="A566" i="22"/>
  <c r="A363" i="22"/>
  <c r="A1109" i="22"/>
  <c r="A854" i="22"/>
  <c r="A914" i="22"/>
  <c r="A487" i="22"/>
  <c r="A31" i="22"/>
  <c r="A545" i="22"/>
  <c r="A615" i="22"/>
  <c r="A728" i="22"/>
  <c r="A656" i="22"/>
  <c r="A131" i="22"/>
  <c r="A740" i="22"/>
  <c r="A614" i="22"/>
  <c r="A112" i="22"/>
  <c r="A252" i="22"/>
  <c r="A730" i="22"/>
  <c r="A692" i="22"/>
  <c r="A508" i="22"/>
  <c r="A1019" i="22"/>
  <c r="A1017" i="22"/>
  <c r="A517" i="22"/>
  <c r="A251" i="22"/>
  <c r="A266" i="22"/>
  <c r="A1047" i="22"/>
  <c r="A1012" i="22"/>
  <c r="A314" i="22"/>
  <c r="A707" i="22"/>
  <c r="A87" i="22"/>
  <c r="A761" i="22"/>
  <c r="A700" i="22"/>
  <c r="A433" i="22"/>
  <c r="A709" i="22"/>
  <c r="A806" i="22"/>
  <c r="A1056" i="22"/>
  <c r="A48" i="22"/>
  <c r="A774" i="22"/>
  <c r="A711" i="22"/>
  <c r="A716" i="22"/>
  <c r="A915" i="22"/>
  <c r="A231" i="22"/>
  <c r="A54" i="22"/>
  <c r="A959" i="22"/>
  <c r="A177" i="22"/>
  <c r="A886" i="22"/>
  <c r="A899" i="22"/>
  <c r="A347" i="22"/>
  <c r="A661" i="22"/>
  <c r="A80" i="22"/>
  <c r="A36" i="22"/>
  <c r="A12" i="22"/>
  <c r="A999" i="22"/>
  <c r="A1068" i="22"/>
  <c r="A400" i="22"/>
  <c r="A184" i="22"/>
  <c r="A147" i="22"/>
  <c r="A222" i="22"/>
  <c r="A197" i="22"/>
  <c r="A947" i="22"/>
  <c r="A581" i="22"/>
  <c r="A233" i="22"/>
  <c r="A529" i="22"/>
  <c r="A82" i="22"/>
  <c r="A98" i="22"/>
  <c r="A117" i="22"/>
  <c r="A801" i="22"/>
  <c r="A38" i="22"/>
  <c r="A618" i="22"/>
  <c r="A534" i="22"/>
  <c r="A995" i="22"/>
  <c r="A1086" i="22"/>
  <c r="A966" i="22"/>
  <c r="A1006" i="22"/>
  <c r="A759" i="22"/>
  <c r="A1058" i="22"/>
  <c r="A237" i="22"/>
  <c r="A203" i="22"/>
  <c r="A225" i="22"/>
  <c r="A548" i="22"/>
  <c r="A756" i="22"/>
  <c r="A492" i="22"/>
  <c r="A153" i="22"/>
  <c r="A655" i="22"/>
  <c r="A1022" i="22"/>
  <c r="A767" i="22"/>
  <c r="A13" i="22"/>
  <c r="A304" i="22"/>
  <c r="A574" i="22"/>
  <c r="A247" i="22"/>
  <c r="A803" i="22"/>
  <c r="A382" i="22"/>
  <c r="A393" i="22"/>
  <c r="A592" i="22"/>
  <c r="A505" i="22"/>
  <c r="A78" i="22"/>
  <c r="A575" i="22"/>
  <c r="A1036" i="22"/>
  <c r="A703" i="22"/>
  <c r="A911" i="22"/>
  <c r="A226" i="22"/>
  <c r="A28" i="22"/>
  <c r="A139" i="22"/>
  <c r="A323" i="22"/>
  <c r="A421" i="22"/>
  <c r="A1034" i="22"/>
  <c r="A974" i="22"/>
  <c r="A875" i="22"/>
  <c r="A562" i="22"/>
  <c r="A953" i="22"/>
  <c r="A613" i="22"/>
  <c r="A469" i="22"/>
  <c r="A491" i="22"/>
  <c r="A800" i="22"/>
  <c r="A374" i="22"/>
  <c r="A868" i="22"/>
  <c r="A827" i="22"/>
  <c r="A841" i="22"/>
  <c r="A924" i="22"/>
  <c r="A229" i="22"/>
  <c r="A1033" i="22"/>
  <c r="A621" i="22"/>
  <c r="A414" i="22"/>
  <c r="A342" i="22"/>
  <c r="A794" i="22"/>
  <c r="A895" i="22"/>
  <c r="A243" i="22"/>
  <c r="A416" i="22"/>
  <c r="A982" i="22"/>
  <c r="A658" i="22"/>
  <c r="A775" i="22"/>
  <c r="A35" i="22"/>
  <c r="A666" i="22"/>
  <c r="A235" i="22"/>
  <c r="A265" i="22"/>
  <c r="A812" i="22"/>
  <c r="A212" i="22"/>
  <c r="A428" i="22"/>
  <c r="A864" i="22"/>
  <c r="A908" i="22"/>
  <c r="A209" i="22"/>
  <c r="A958" i="22"/>
  <c r="A154" i="22"/>
  <c r="A394" i="22"/>
  <c r="A443" i="22"/>
  <c r="A744" i="22"/>
  <c r="A215" i="22"/>
  <c r="A103" i="22"/>
  <c r="A830" i="22"/>
  <c r="A635" i="22"/>
  <c r="A72" i="22"/>
  <c r="A335" i="22"/>
  <c r="A653" i="22"/>
  <c r="A44" i="22"/>
  <c r="A244" i="22"/>
  <c r="A219" i="22"/>
  <c r="A870" i="22"/>
  <c r="A1072" i="22"/>
  <c r="A631" i="22"/>
  <c r="A987" i="22"/>
  <c r="A410" i="22"/>
  <c r="A476" i="22"/>
  <c r="A32" i="22"/>
  <c r="A46" i="22"/>
  <c r="A415" i="22"/>
  <c r="A795" i="22"/>
  <c r="A697" i="22"/>
  <c r="A1063" i="22"/>
  <c r="A183" i="22"/>
  <c r="A718" i="22"/>
  <c r="A555" i="22"/>
  <c r="A403" i="22"/>
  <c r="A472" i="22"/>
  <c r="A1005" i="22"/>
  <c r="A475" i="22"/>
  <c r="A120" i="22"/>
  <c r="A133" i="22"/>
  <c r="A909" i="22"/>
  <c r="A471" i="22"/>
  <c r="A526" i="22"/>
  <c r="A213" i="22"/>
  <c r="A274" i="22"/>
  <c r="A791" i="22"/>
  <c r="A418" i="22"/>
  <c r="A448" i="22"/>
  <c r="A639" i="22"/>
  <c r="A467" i="22"/>
  <c r="A128" i="22"/>
  <c r="A935" i="22"/>
  <c r="A1001" i="22"/>
  <c r="A814" i="22"/>
  <c r="A105" i="22"/>
  <c r="A989" i="22"/>
  <c r="A25" i="22"/>
  <c r="A405" i="22"/>
  <c r="A824" i="22"/>
  <c r="A676" i="22"/>
  <c r="A511" i="22"/>
  <c r="A741" i="22"/>
  <c r="A479" i="22"/>
  <c r="A360" i="22"/>
  <c r="A435" i="22"/>
  <c r="A104" i="22"/>
  <c r="A372" i="22"/>
  <c r="A289" i="22"/>
  <c r="A926" i="22"/>
  <c r="A749" i="22"/>
  <c r="A306" i="22"/>
  <c r="A122" i="22"/>
  <c r="A900" i="22"/>
  <c r="A109" i="22"/>
  <c r="A1071" i="22"/>
  <c r="A296" i="22"/>
  <c r="A796" i="22"/>
  <c r="A695" i="22"/>
  <c r="A383" i="22"/>
  <c r="A449" i="22"/>
  <c r="A107" i="22"/>
  <c r="A850" i="22"/>
  <c r="A790" i="22"/>
  <c r="A1090" i="22"/>
  <c r="A461" i="22"/>
  <c r="A589" i="22"/>
  <c r="A164" i="22"/>
  <c r="A427" i="22"/>
  <c r="A305" i="22"/>
  <c r="A218" i="22"/>
  <c r="A1103" i="22"/>
  <c r="A92" i="22"/>
  <c r="A45" i="22"/>
  <c r="A205" i="22"/>
  <c r="A1032" i="22"/>
  <c r="A992" i="22"/>
  <c r="A910" i="22"/>
  <c r="A927" i="22"/>
  <c r="A929" i="22"/>
  <c r="A670" i="22"/>
  <c r="A544" i="22"/>
  <c r="A561" i="22"/>
  <c r="A490" i="22"/>
  <c r="A777" i="22"/>
  <c r="A598" i="22"/>
  <c r="A788" i="22"/>
  <c r="A757" i="22"/>
  <c r="A440" i="22"/>
  <c r="A436" i="22"/>
  <c r="A798" i="22"/>
  <c r="A535" i="22"/>
  <c r="A673" i="22"/>
  <c r="A840" i="22"/>
  <c r="A731" i="22"/>
  <c r="A34" i="22"/>
  <c r="A687" i="22"/>
  <c r="A455" i="22"/>
  <c r="A179" i="22"/>
  <c r="A263" i="22"/>
  <c r="A173" i="22"/>
  <c r="A453" i="22"/>
  <c r="A118" i="22"/>
  <c r="A789" i="22"/>
  <c r="A714" i="22"/>
  <c r="A857" i="22"/>
  <c r="A865" i="22"/>
  <c r="A1059" i="22"/>
  <c r="A905" i="22"/>
  <c r="A822" i="22"/>
  <c r="A358" i="22"/>
  <c r="A921" i="22"/>
  <c r="A1078" i="22"/>
  <c r="A185" i="22"/>
  <c r="A867" i="22"/>
  <c r="A255" i="22"/>
  <c r="A940" i="22"/>
  <c r="A143" i="22"/>
  <c r="A390" i="22"/>
  <c r="A607" i="22"/>
  <c r="A1042" i="22"/>
  <c r="A77" i="22"/>
  <c r="A169" i="22"/>
  <c r="A976" i="22"/>
  <c r="A11" i="22"/>
  <c r="A474" i="22"/>
  <c r="A1066" i="22"/>
  <c r="A364" i="22"/>
  <c r="A930" i="22"/>
  <c r="A353" i="22"/>
  <c r="A19" i="22"/>
  <c r="A996" i="22"/>
  <c r="A404" i="22"/>
  <c r="A398" i="22"/>
  <c r="A558" i="22"/>
  <c r="A688" i="22"/>
  <c r="A334" i="22"/>
  <c r="A844" i="22"/>
  <c r="A333" i="22"/>
  <c r="A1041" i="22"/>
  <c r="A348" i="22"/>
  <c r="A384" i="22"/>
  <c r="A763" i="22"/>
  <c r="A83" i="22"/>
  <c r="A106" i="22"/>
  <c r="A650" i="22"/>
  <c r="A337" i="22"/>
  <c r="A267" i="22"/>
  <c r="A917" i="22"/>
  <c r="A712" i="22"/>
  <c r="A641" i="22"/>
  <c r="A583" i="22"/>
  <c r="A441" i="22"/>
  <c r="A444" i="22"/>
  <c r="A569" i="22"/>
  <c r="A191" i="22"/>
  <c r="A1079" i="22"/>
  <c r="A172" i="22"/>
  <c r="A298" i="22"/>
  <c r="A722" i="22"/>
  <c r="A52" i="22"/>
  <c r="A643" i="22"/>
  <c r="A21" i="22"/>
  <c r="A735" i="22"/>
  <c r="A425" i="22"/>
  <c r="A1076" i="22"/>
  <c r="A102" i="22"/>
  <c r="A537" i="22"/>
  <c r="A151" i="22"/>
  <c r="A321" i="22"/>
  <c r="A126" i="22"/>
  <c r="A778" i="22"/>
  <c r="A1093" i="22"/>
  <c r="A340" i="22"/>
  <c r="A532" i="22"/>
  <c r="A110" i="22"/>
  <c r="A1029" i="22"/>
  <c r="A920" i="22"/>
  <c r="A256" i="22"/>
  <c r="A698" i="22"/>
  <c r="A1021" i="22"/>
  <c r="A952" i="22"/>
  <c r="A610" i="22"/>
  <c r="A651" i="22"/>
  <c r="A3" i="22"/>
  <c r="A593" i="22"/>
  <c r="A136" i="22"/>
  <c r="A811" i="22"/>
  <c r="A620" i="22"/>
  <c r="A246" i="22"/>
  <c r="A536" i="22"/>
  <c r="A142" i="22"/>
  <c r="A1053" i="22"/>
  <c r="A659" i="22"/>
  <c r="A401" i="22"/>
  <c r="A420" i="22"/>
  <c r="A292" i="22"/>
  <c r="A780" i="22"/>
  <c r="A638" i="22"/>
  <c r="A74" i="22"/>
  <c r="A171" i="22"/>
  <c r="A221" i="22"/>
  <c r="A648" i="22"/>
  <c r="A270" i="22"/>
  <c r="A1081" i="22"/>
  <c r="A860" i="22"/>
  <c r="A632" i="22"/>
  <c r="A547" i="22"/>
  <c r="A986" i="22"/>
  <c r="A1105" i="22"/>
  <c r="A310" i="22"/>
  <c r="A402" i="22"/>
  <c r="A328" i="22"/>
  <c r="A779" i="22"/>
  <c r="A282" i="22"/>
  <c r="A59" i="22"/>
  <c r="A1045" i="22"/>
  <c r="A341" i="22"/>
  <c r="A862" i="22"/>
  <c r="A933" i="22"/>
  <c r="A141" i="22"/>
  <c r="A580" i="22"/>
  <c r="A602" i="22"/>
  <c r="A823" i="22"/>
  <c r="A188" i="22"/>
  <c r="A539" i="22"/>
  <c r="A846" i="22"/>
  <c r="A606" i="22"/>
  <c r="A1104" i="22"/>
  <c r="A793" i="22"/>
  <c r="A1077" i="22"/>
  <c r="A1099" i="22"/>
  <c r="A375" i="22"/>
  <c r="A125" i="22"/>
  <c r="A10" i="22"/>
  <c r="A280" i="22"/>
  <c r="A181" i="22"/>
  <c r="A646" i="22"/>
  <c r="A882" i="22"/>
  <c r="A968" i="22"/>
  <c r="A554" i="22"/>
  <c r="A71" i="22"/>
  <c r="A130" i="22"/>
  <c r="A430" i="22"/>
  <c r="A762" i="22"/>
  <c r="A556" i="22"/>
  <c r="A969" i="22"/>
  <c r="A499" i="22"/>
  <c r="A220" i="22"/>
  <c r="A667" i="22"/>
  <c r="A855" i="22"/>
  <c r="A1024" i="22"/>
  <c r="A591" i="22"/>
  <c r="A1000" i="22"/>
  <c r="A168" i="22"/>
  <c r="A623" i="22"/>
  <c r="A438" i="22"/>
  <c r="A295" i="22"/>
  <c r="A129" i="22"/>
  <c r="A268" i="22"/>
  <c r="A696" i="22"/>
  <c r="A903" i="22"/>
  <c r="A625" i="22"/>
  <c r="A362" i="22"/>
  <c r="A202" i="22"/>
  <c r="A533" i="22"/>
  <c r="A622" i="22"/>
  <c r="A809" i="22"/>
  <c r="A186" i="22"/>
  <c r="A859" i="22"/>
  <c r="A500" i="22"/>
  <c r="A938" i="22"/>
  <c r="A694" i="22"/>
  <c r="A654" i="22"/>
  <c r="A678" i="22"/>
  <c r="A819" i="22"/>
  <c r="A388" i="22"/>
  <c r="A223" i="22"/>
  <c r="A88" i="22"/>
  <c r="A495" i="22"/>
  <c r="A563" i="22"/>
  <c r="A956" i="22"/>
  <c r="A988" i="22"/>
  <c r="A633" i="22"/>
  <c r="A738" i="22"/>
  <c r="A210" i="22"/>
  <c r="A626" i="22"/>
  <c r="A167" i="22"/>
  <c r="A829" i="22"/>
  <c r="A520" i="22"/>
  <c r="A821" i="22"/>
  <c r="A322" i="22"/>
  <c r="A807" i="22"/>
  <c r="A64" i="22"/>
  <c r="A550" i="22"/>
  <c r="A344" i="22"/>
  <c r="A412" i="22"/>
  <c r="A387" i="22"/>
  <c r="A392" i="22"/>
  <c r="A888" i="22"/>
  <c r="A1080" i="22"/>
  <c r="A489" i="22"/>
  <c r="A629" i="22"/>
  <c r="A849" i="22"/>
  <c r="A960" i="22"/>
  <c r="A571" i="22"/>
  <c r="A856" i="22"/>
  <c r="A907" i="22"/>
  <c r="A216" i="22"/>
  <c r="A287" i="22"/>
  <c r="A91" i="22"/>
  <c r="A194" i="22"/>
  <c r="A494" i="22"/>
  <c r="A478" i="22"/>
  <c r="A828" i="22"/>
  <c r="A772" i="22"/>
  <c r="A679" i="22"/>
  <c r="A486" i="22"/>
  <c r="A480" i="22"/>
  <c r="A669" i="22"/>
  <c r="A972" i="22"/>
  <c r="A325" i="22"/>
  <c r="A258" i="22"/>
  <c r="A1062" i="22"/>
  <c r="A385" i="22"/>
  <c r="A434" i="22"/>
  <c r="A66" i="22"/>
  <c r="A1088" i="22"/>
  <c r="A965" i="22"/>
  <c r="A9" i="22"/>
  <c r="A189" i="22"/>
  <c r="A797" i="22"/>
  <c r="A160" i="22"/>
  <c r="A892" i="22"/>
  <c r="A193" i="22"/>
  <c r="A301" i="22"/>
  <c r="A729" i="22"/>
  <c r="A813" i="22"/>
  <c r="A906" i="22"/>
  <c r="A317" i="22"/>
  <c r="A595" i="22"/>
  <c r="A522" i="22"/>
  <c r="A6" i="22"/>
  <c r="A240" i="22"/>
  <c r="A577" i="22"/>
  <c r="A101" i="22"/>
  <c r="A727" i="22"/>
  <c r="A432" i="22"/>
  <c r="A1051" i="22"/>
  <c r="A764" i="22"/>
  <c r="A134" i="22"/>
  <c r="A57" i="22"/>
  <c r="A691" i="22"/>
  <c r="A883" i="22"/>
  <c r="A300" i="22"/>
  <c r="A998" i="22"/>
  <c r="A916" i="22"/>
  <c r="A63" i="22"/>
  <c r="A355" i="22"/>
  <c r="A770" i="22"/>
  <c r="A1004" i="22"/>
  <c r="A802" i="22"/>
  <c r="A751" i="22"/>
  <c r="A30" i="22"/>
  <c r="A873" i="22"/>
  <c r="A349" i="22"/>
  <c r="A196" i="22"/>
  <c r="A847" i="22"/>
  <c r="A429" i="22"/>
  <c r="A745" i="22"/>
  <c r="A831" i="22"/>
  <c r="A411" i="22"/>
  <c r="A67" i="22"/>
  <c r="A720" i="22"/>
  <c r="A332" i="22"/>
  <c r="A799" i="22"/>
  <c r="A1037" i="22"/>
  <c r="A546" i="22"/>
  <c r="A782" i="22"/>
  <c r="A997" i="22"/>
  <c r="A538" i="22"/>
  <c r="A115" i="22"/>
  <c r="A723" i="22"/>
  <c r="A568" i="22"/>
  <c r="A934" i="22"/>
  <c r="A1044" i="22"/>
  <c r="A70" i="22"/>
  <c r="A586" i="22"/>
  <c r="A542" i="22"/>
  <c r="A1050" i="22"/>
  <c r="A460" i="22"/>
  <c r="A5" i="22"/>
  <c r="A377" i="22"/>
  <c r="A750" i="22"/>
  <c r="A877" i="22"/>
  <c r="A685" i="22"/>
  <c r="A787" i="22"/>
  <c r="A250" i="22"/>
  <c r="A1007" i="22"/>
  <c r="A504" i="22"/>
  <c r="A498" i="22"/>
  <c r="A835" i="22"/>
  <c r="A271" i="22"/>
  <c r="A564" i="22"/>
  <c r="A350" i="22"/>
  <c r="A69" i="22"/>
  <c r="A279" i="22"/>
  <c r="A719" i="22"/>
  <c r="A257" i="22"/>
  <c r="A519" i="22"/>
  <c r="A1101" i="22"/>
  <c r="A880" i="22"/>
  <c r="A180" i="22"/>
  <c r="A366" i="22"/>
  <c r="A238" i="22"/>
  <c r="A904" i="22"/>
  <c r="A199" i="22"/>
  <c r="A963" i="22"/>
  <c r="A163" i="22"/>
  <c r="A458" i="22"/>
  <c r="A386" i="22"/>
  <c r="A450" i="22"/>
  <c r="A158" i="22"/>
  <c r="A17" i="22"/>
  <c r="A560" i="22"/>
  <c r="A576" i="22"/>
  <c r="A1097" i="22"/>
  <c r="A834" i="22"/>
  <c r="A290" i="22"/>
  <c r="A138" i="22"/>
  <c r="A457" i="22"/>
  <c r="A848" i="22"/>
  <c r="A79" i="22"/>
  <c r="A20" i="22"/>
  <c r="A866" i="22"/>
  <c r="A96" i="22"/>
  <c r="A93" i="22"/>
  <c r="A227" i="22"/>
  <c r="A376" i="22"/>
  <c r="A898" i="22"/>
  <c r="A652" i="22"/>
  <c r="A838" i="22"/>
  <c r="A90" i="22"/>
  <c r="A874" i="22"/>
  <c r="A624" i="22"/>
  <c r="A211" i="22"/>
  <c r="A339" i="22"/>
  <c r="A936" i="22"/>
  <c r="A984" i="22"/>
  <c r="A553" i="22"/>
  <c r="A975" i="22"/>
  <c r="A1049" i="22"/>
  <c r="A320" i="22"/>
  <c r="A1046" i="22"/>
  <c r="A1052" i="22"/>
  <c r="A198" i="22"/>
  <c r="A485" i="22"/>
  <c r="A502" i="22"/>
  <c r="A817" i="22"/>
  <c r="A690" i="22"/>
  <c r="A308" i="22"/>
  <c r="A948" i="22"/>
  <c r="A224" i="22"/>
  <c r="A677" i="22"/>
  <c r="A174" i="22"/>
  <c r="A852" i="22"/>
  <c r="A833" i="22"/>
  <c r="A769" i="22"/>
  <c r="A273" i="22"/>
  <c r="A249" i="22"/>
  <c r="A409" i="22"/>
  <c r="A516" i="22"/>
  <c r="A839" i="22"/>
  <c r="A162" i="22"/>
  <c r="A884" i="22"/>
  <c r="A253" i="22"/>
  <c r="A889" i="22"/>
  <c r="A1107" i="22"/>
  <c r="A1038" i="22"/>
  <c r="A315" i="22"/>
  <c r="A588" i="22"/>
  <c r="A961" i="22"/>
  <c r="A1054" i="22"/>
  <c r="A597" i="22"/>
  <c r="A584" i="22"/>
  <c r="A649" i="22"/>
  <c r="A630" i="22"/>
  <c r="A582" i="22"/>
  <c r="A521" i="22"/>
  <c r="A463" i="22"/>
  <c r="A277" i="22"/>
  <c r="A303" i="22"/>
  <c r="A706" i="22"/>
  <c r="A783" i="22"/>
  <c r="A294" i="22"/>
  <c r="A281" i="22"/>
  <c r="A881" i="22"/>
  <c r="A861" i="22"/>
  <c r="A1083" i="22"/>
  <c r="A755" i="22"/>
  <c r="A713" i="22"/>
  <c r="A39" i="22"/>
  <c r="A619" i="22"/>
  <c r="A528" i="22"/>
  <c r="A391" i="22"/>
  <c r="A56" i="22"/>
  <c r="A161" i="22"/>
  <c r="A483" i="22"/>
  <c r="A514" i="22"/>
  <c r="A370" i="22"/>
  <c r="A1002" i="22"/>
  <c r="A663" i="22"/>
  <c r="A113" i="22"/>
  <c r="A684" i="22"/>
  <c r="A1106" i="22"/>
  <c r="A408" i="22"/>
  <c r="A523" i="22"/>
  <c r="A137" i="22"/>
  <c r="A810" i="22"/>
  <c r="A1009" i="22"/>
  <c r="A897" i="22"/>
  <c r="C1110" i="22"/>
  <c r="B1110" i="22"/>
  <c r="H7" i="27" l="1"/>
  <c r="H18" i="27"/>
  <c r="H26" i="27"/>
  <c r="H42" i="27"/>
  <c r="H58" i="27"/>
  <c r="H74" i="27"/>
  <c r="H82" i="27"/>
  <c r="H90" i="27"/>
  <c r="H106" i="27"/>
  <c r="H11" i="27"/>
  <c r="F374" i="27"/>
  <c r="H38" i="27"/>
  <c r="H46" i="27"/>
  <c r="H54" i="27"/>
  <c r="H62" i="27"/>
  <c r="H102" i="27"/>
  <c r="H34" i="27"/>
  <c r="H66" i="27"/>
  <c r="H98" i="27"/>
  <c r="K3" i="25"/>
  <c r="H9" i="27"/>
  <c r="Z374" i="28"/>
  <c r="AA5" i="28" s="1"/>
  <c r="I374" i="28"/>
  <c r="G374" i="28"/>
  <c r="H6" i="28"/>
  <c r="H374" i="28" s="1"/>
  <c r="I374" i="27"/>
  <c r="G374" i="27"/>
  <c r="H5" i="27"/>
  <c r="Z374" i="27"/>
  <c r="AA5" i="27" s="1"/>
  <c r="F304" i="22" a="1"/>
  <c r="F304" i="22" s="1"/>
  <c r="F82" i="22" a="1"/>
  <c r="F82" i="22" s="1"/>
  <c r="F76" i="22" a="1"/>
  <c r="F76" i="22" s="1"/>
  <c r="F70" i="22" a="1"/>
  <c r="F70" i="22" s="1"/>
  <c r="F68" i="22" a="1"/>
  <c r="F68" i="22" s="1"/>
  <c r="F64" i="22" a="1"/>
  <c r="F64" i="22" s="1"/>
  <c r="F60" i="22" a="1"/>
  <c r="F60" i="22" s="1"/>
  <c r="F56" i="22" a="1"/>
  <c r="F56" i="22" s="1"/>
  <c r="F54" i="22" a="1"/>
  <c r="F54" i="22" s="1"/>
  <c r="F48" i="22" a="1"/>
  <c r="F48" i="22" s="1"/>
  <c r="F44" i="22" a="1"/>
  <c r="F44" i="22" s="1"/>
  <c r="F40" i="22" a="1"/>
  <c r="F40" i="22" s="1"/>
  <c r="F38" i="22" a="1"/>
  <c r="F38" i="22" s="1"/>
  <c r="F36" i="22" a="1"/>
  <c r="F36" i="22" s="1"/>
  <c r="F34" i="22" a="1"/>
  <c r="F34" i="22" s="1"/>
  <c r="F26" i="22" a="1"/>
  <c r="F26" i="22" s="1"/>
  <c r="F20" i="22" a="1"/>
  <c r="F20" i="22" s="1"/>
  <c r="F14" i="22" a="1"/>
  <c r="F14" i="22" s="1"/>
  <c r="F12" i="22" a="1"/>
  <c r="F12" i="22" s="1"/>
  <c r="F6" i="22" a="1"/>
  <c r="F6" i="22" s="1"/>
  <c r="F87" i="22" a="1"/>
  <c r="F87" i="22" s="1"/>
  <c r="F368" i="22" a="1"/>
  <c r="F368" i="22" s="1"/>
  <c r="F364" i="22" a="1"/>
  <c r="F364" i="22" s="1"/>
  <c r="F362" i="22" a="1"/>
  <c r="F362" i="22" s="1"/>
  <c r="F360" i="22" a="1"/>
  <c r="F360" i="22" s="1"/>
  <c r="F354" i="22" a="1"/>
  <c r="F354" i="22" s="1"/>
  <c r="F350" i="22" a="1"/>
  <c r="F350" i="22" s="1"/>
  <c r="F344" i="22" a="1"/>
  <c r="F344" i="22" s="1"/>
  <c r="F342" i="22" a="1"/>
  <c r="F342" i="22" s="1"/>
  <c r="F336" i="22" a="1"/>
  <c r="F336" i="22" s="1"/>
  <c r="F330" i="22" a="1"/>
  <c r="F330" i="22" s="1"/>
  <c r="F324" i="22" a="1"/>
  <c r="F324" i="22" s="1"/>
  <c r="F320" i="22" a="1"/>
  <c r="F320" i="22" s="1"/>
  <c r="F314" i="22" a="1"/>
  <c r="F314" i="22" s="1"/>
  <c r="F312" i="22" a="1"/>
  <c r="F312" i="22" s="1"/>
  <c r="K371" i="22" a="1"/>
  <c r="K371" i="22" s="1"/>
  <c r="I371" i="22" a="1"/>
  <c r="I371" i="22" s="1"/>
  <c r="K370" i="22" a="1"/>
  <c r="K370" i="22" s="1"/>
  <c r="I370" i="22" a="1"/>
  <c r="I370" i="22" s="1"/>
  <c r="K369" i="22" a="1"/>
  <c r="K369" i="22" s="1"/>
  <c r="I369" i="22" a="1"/>
  <c r="I369" i="22" s="1"/>
  <c r="K368" i="22" a="1"/>
  <c r="K368" i="22" s="1"/>
  <c r="I368" i="22" a="1"/>
  <c r="I368" i="22" s="1"/>
  <c r="H368" i="22" a="1"/>
  <c r="H368" i="22" s="1"/>
  <c r="J367" i="22" a="1"/>
  <c r="J367" i="22" s="1"/>
  <c r="K366" i="22" a="1"/>
  <c r="K366" i="22" s="1"/>
  <c r="I366" i="22" a="1"/>
  <c r="I366" i="22" s="1"/>
  <c r="K365" i="22" a="1"/>
  <c r="K365" i="22" s="1"/>
  <c r="I365" i="22" a="1"/>
  <c r="I365" i="22" s="1"/>
  <c r="K364" i="22" a="1"/>
  <c r="K364" i="22" s="1"/>
  <c r="I364" i="22" a="1"/>
  <c r="I364" i="22" s="1"/>
  <c r="K363" i="22" a="1"/>
  <c r="K363" i="22" s="1"/>
  <c r="I363" i="22" a="1"/>
  <c r="I363" i="22" s="1"/>
  <c r="K362" i="22" a="1"/>
  <c r="K362" i="22" s="1"/>
  <c r="I362" i="22" a="1"/>
  <c r="I362" i="22" s="1"/>
  <c r="K361" i="22" a="1"/>
  <c r="K361" i="22" s="1"/>
  <c r="I361" i="22" a="1"/>
  <c r="I361" i="22" s="1"/>
  <c r="H361" i="22" a="1"/>
  <c r="H361" i="22" s="1"/>
  <c r="J360" i="22" a="1"/>
  <c r="J360" i="22" s="1"/>
  <c r="K359" i="22" a="1"/>
  <c r="K359" i="22" s="1"/>
  <c r="I359" i="22" a="1"/>
  <c r="I359" i="22" s="1"/>
  <c r="H359" i="22" a="1"/>
  <c r="H359" i="22" s="1"/>
  <c r="J358" i="22" a="1"/>
  <c r="J358" i="22" s="1"/>
  <c r="H358" i="22" a="1"/>
  <c r="H358" i="22" s="1"/>
  <c r="J357" i="22" a="1"/>
  <c r="J357" i="22" s="1"/>
  <c r="H357" i="22" a="1"/>
  <c r="H357" i="22" s="1"/>
  <c r="J356" i="22" a="1"/>
  <c r="J356" i="22" s="1"/>
  <c r="H356" i="22" a="1"/>
  <c r="H356" i="22" s="1"/>
  <c r="J355" i="22" a="1"/>
  <c r="J355" i="22" s="1"/>
  <c r="H355" i="22" a="1"/>
  <c r="H355" i="22" s="1"/>
  <c r="J354" i="22" a="1"/>
  <c r="J354" i="22" s="1"/>
  <c r="H354" i="22" a="1"/>
  <c r="H354" i="22" s="1"/>
  <c r="J353" i="22" a="1"/>
  <c r="J353" i="22" s="1"/>
  <c r="K352" i="22" a="1"/>
  <c r="K352" i="22" s="1"/>
  <c r="I352" i="22" a="1"/>
  <c r="I352" i="22" s="1"/>
  <c r="H352" i="22" a="1"/>
  <c r="H352" i="22" s="1"/>
  <c r="J351" i="22" a="1"/>
  <c r="J351" i="22" s="1"/>
  <c r="K350" i="22" a="1"/>
  <c r="K350" i="22" s="1"/>
  <c r="I350" i="22" a="1"/>
  <c r="I350" i="22" s="1"/>
  <c r="K349" i="22" a="1"/>
  <c r="K349" i="22" s="1"/>
  <c r="I349" i="22" a="1"/>
  <c r="I349" i="22" s="1"/>
  <c r="K348" i="22" a="1"/>
  <c r="K348" i="22" s="1"/>
  <c r="I348" i="22" a="1"/>
  <c r="I348" i="22" s="1"/>
  <c r="K347" i="22" a="1"/>
  <c r="K347" i="22" s="1"/>
  <c r="I347" i="22" a="1"/>
  <c r="I347" i="22" s="1"/>
  <c r="K346" i="22" a="1"/>
  <c r="K346" i="22" s="1"/>
  <c r="I346" i="22" a="1"/>
  <c r="I346" i="22" s="1"/>
  <c r="K345" i="22" a="1"/>
  <c r="K345" i="22" s="1"/>
  <c r="I345" i="22" a="1"/>
  <c r="I345" i="22" s="1"/>
  <c r="H345" i="22" a="1"/>
  <c r="H345" i="22" s="1"/>
  <c r="J344" i="22" a="1"/>
  <c r="J344" i="22" s="1"/>
  <c r="K343" i="22" a="1"/>
  <c r="K343" i="22" s="1"/>
  <c r="I343" i="22" a="1"/>
  <c r="I343" i="22" s="1"/>
  <c r="H343" i="22" a="1"/>
  <c r="H343" i="22" s="1"/>
  <c r="J342" i="22" a="1"/>
  <c r="J342" i="22" s="1"/>
  <c r="H342" i="22" a="1"/>
  <c r="H342" i="22" s="1"/>
  <c r="J341" i="22" a="1"/>
  <c r="J341" i="22" s="1"/>
  <c r="H341" i="22" a="1"/>
  <c r="H341" i="22" s="1"/>
  <c r="J340" i="22" a="1"/>
  <c r="J340" i="22" s="1"/>
  <c r="H340" i="22" a="1"/>
  <c r="H340" i="22" s="1"/>
  <c r="J339" i="22" a="1"/>
  <c r="J339" i="22" s="1"/>
  <c r="H339" i="22" a="1"/>
  <c r="H339" i="22" s="1"/>
  <c r="J338" i="22" a="1"/>
  <c r="J338" i="22" s="1"/>
  <c r="H338" i="22" a="1"/>
  <c r="H338" i="22" s="1"/>
  <c r="J337" i="22" a="1"/>
  <c r="J337" i="22" s="1"/>
  <c r="K336" i="22" a="1"/>
  <c r="K336" i="22" s="1"/>
  <c r="I336" i="22" a="1"/>
  <c r="I336" i="22" s="1"/>
  <c r="H336" i="22" a="1"/>
  <c r="H336" i="22" s="1"/>
  <c r="J335" i="22" a="1"/>
  <c r="J335" i="22" s="1"/>
  <c r="K334" i="22" a="1"/>
  <c r="K334" i="22" s="1"/>
  <c r="J371" i="22" a="1"/>
  <c r="J371" i="22" s="1"/>
  <c r="H371" i="22" a="1"/>
  <c r="H371" i="22" s="1"/>
  <c r="J370" i="22" a="1"/>
  <c r="J370" i="22" s="1"/>
  <c r="H370" i="22" a="1"/>
  <c r="H370" i="22" s="1"/>
  <c r="J369" i="22" a="1"/>
  <c r="J369" i="22" s="1"/>
  <c r="H369" i="22" a="1"/>
  <c r="H369" i="22" s="1"/>
  <c r="J368" i="22" a="1"/>
  <c r="J368" i="22" s="1"/>
  <c r="K367" i="22" a="1"/>
  <c r="K367" i="22" s="1"/>
  <c r="I367" i="22" a="1"/>
  <c r="I367" i="22" s="1"/>
  <c r="H367" i="22" a="1"/>
  <c r="H367" i="22" s="1"/>
  <c r="J366" i="22" a="1"/>
  <c r="J366" i="22" s="1"/>
  <c r="H366" i="22" a="1"/>
  <c r="H366" i="22" s="1"/>
  <c r="J365" i="22" a="1"/>
  <c r="J365" i="22" s="1"/>
  <c r="H365" i="22" a="1"/>
  <c r="H365" i="22" s="1"/>
  <c r="J364" i="22" a="1"/>
  <c r="J364" i="22" s="1"/>
  <c r="H364" i="22" a="1"/>
  <c r="H364" i="22" s="1"/>
  <c r="J363" i="22" a="1"/>
  <c r="J363" i="22" s="1"/>
  <c r="H363" i="22" a="1"/>
  <c r="H363" i="22" s="1"/>
  <c r="J362" i="22" a="1"/>
  <c r="J362" i="22" s="1"/>
  <c r="H362" i="22" a="1"/>
  <c r="H362" i="22" s="1"/>
  <c r="J361" i="22" a="1"/>
  <c r="J361" i="22" s="1"/>
  <c r="K360" i="22" a="1"/>
  <c r="K360" i="22" s="1"/>
  <c r="I360" i="22" a="1"/>
  <c r="I360" i="22" s="1"/>
  <c r="H360" i="22" a="1"/>
  <c r="H360" i="22" s="1"/>
  <c r="J359" i="22" a="1"/>
  <c r="J359" i="22" s="1"/>
  <c r="K358" i="22" a="1"/>
  <c r="K358" i="22" s="1"/>
  <c r="I358" i="22" a="1"/>
  <c r="I358" i="22" s="1"/>
  <c r="K357" i="22" a="1"/>
  <c r="K357" i="22" s="1"/>
  <c r="I357" i="22" a="1"/>
  <c r="I357" i="22" s="1"/>
  <c r="K356" i="22" a="1"/>
  <c r="K356" i="22" s="1"/>
  <c r="I356" i="22" a="1"/>
  <c r="I356" i="22" s="1"/>
  <c r="K355" i="22" a="1"/>
  <c r="K355" i="22" s="1"/>
  <c r="I355" i="22" a="1"/>
  <c r="I355" i="22" s="1"/>
  <c r="K354" i="22" a="1"/>
  <c r="K354" i="22" s="1"/>
  <c r="I354" i="22" a="1"/>
  <c r="I354" i="22" s="1"/>
  <c r="K353" i="22" a="1"/>
  <c r="K353" i="22" s="1"/>
  <c r="I353" i="22" a="1"/>
  <c r="I353" i="22" s="1"/>
  <c r="H353" i="22" a="1"/>
  <c r="H353" i="22" s="1"/>
  <c r="J352" i="22" a="1"/>
  <c r="J352" i="22" s="1"/>
  <c r="K351" i="22" a="1"/>
  <c r="K351" i="22" s="1"/>
  <c r="I351" i="22" a="1"/>
  <c r="I351" i="22" s="1"/>
  <c r="H351" i="22" a="1"/>
  <c r="H351" i="22" s="1"/>
  <c r="J350" i="22" a="1"/>
  <c r="J350" i="22" s="1"/>
  <c r="H350" i="22" a="1"/>
  <c r="H350" i="22" s="1"/>
  <c r="J349" i="22" a="1"/>
  <c r="J349" i="22" s="1"/>
  <c r="H349" i="22" a="1"/>
  <c r="H349" i="22" s="1"/>
  <c r="J348" i="22" a="1"/>
  <c r="J348" i="22" s="1"/>
  <c r="H348" i="22" a="1"/>
  <c r="H348" i="22" s="1"/>
  <c r="H347" i="22" a="1"/>
  <c r="H347" i="22" s="1"/>
  <c r="H346" i="22" a="1"/>
  <c r="H346" i="22" s="1"/>
  <c r="I344" i="22" a="1"/>
  <c r="I344" i="22" s="1"/>
  <c r="J343" i="22" a="1"/>
  <c r="J343" i="22" s="1"/>
  <c r="K342" i="22" a="1"/>
  <c r="K342" i="22" s="1"/>
  <c r="K341" i="22" a="1"/>
  <c r="K341" i="22" s="1"/>
  <c r="K340" i="22" a="1"/>
  <c r="K340" i="22" s="1"/>
  <c r="K339" i="22" a="1"/>
  <c r="K339" i="22" s="1"/>
  <c r="K338" i="22" a="1"/>
  <c r="K338" i="22" s="1"/>
  <c r="K337" i="22" a="1"/>
  <c r="K337" i="22" s="1"/>
  <c r="H337" i="22" a="1"/>
  <c r="H337" i="22" s="1"/>
  <c r="I335" i="22" a="1"/>
  <c r="I335" i="22" s="1"/>
  <c r="J334" i="22" a="1"/>
  <c r="J334" i="22" s="1"/>
  <c r="H334" i="22" a="1"/>
  <c r="H334" i="22" s="1"/>
  <c r="J333" i="22" a="1"/>
  <c r="J333" i="22" s="1"/>
  <c r="H333" i="22" a="1"/>
  <c r="H333" i="22" s="1"/>
  <c r="J332" i="22" a="1"/>
  <c r="J332" i="22" s="1"/>
  <c r="H332" i="22" a="1"/>
  <c r="H332" i="22" s="1"/>
  <c r="J331" i="22" a="1"/>
  <c r="J331" i="22" s="1"/>
  <c r="H331" i="22" a="1"/>
  <c r="H331" i="22" s="1"/>
  <c r="J330" i="22" a="1"/>
  <c r="J330" i="22" s="1"/>
  <c r="H330" i="22" a="1"/>
  <c r="H330" i="22" s="1"/>
  <c r="J329" i="22" a="1"/>
  <c r="J329" i="22" s="1"/>
  <c r="K328" i="22" a="1"/>
  <c r="K328" i="22" s="1"/>
  <c r="I328" i="22" a="1"/>
  <c r="I328" i="22" s="1"/>
  <c r="H328" i="22" a="1"/>
  <c r="H328" i="22" s="1"/>
  <c r="J327" i="22" a="1"/>
  <c r="J327" i="22" s="1"/>
  <c r="K326" i="22" a="1"/>
  <c r="K326" i="22" s="1"/>
  <c r="I326" i="22" a="1"/>
  <c r="I326" i="22" s="1"/>
  <c r="K325" i="22" a="1"/>
  <c r="K325" i="22" s="1"/>
  <c r="I325" i="22" a="1"/>
  <c r="I325" i="22" s="1"/>
  <c r="K324" i="22" a="1"/>
  <c r="K324" i="22" s="1"/>
  <c r="I324" i="22" a="1"/>
  <c r="I324" i="22" s="1"/>
  <c r="K323" i="22" a="1"/>
  <c r="K323" i="22" s="1"/>
  <c r="I323" i="22" a="1"/>
  <c r="I323" i="22" s="1"/>
  <c r="K322" i="22" a="1"/>
  <c r="K322" i="22" s="1"/>
  <c r="I322" i="22" a="1"/>
  <c r="I322" i="22" s="1"/>
  <c r="K321" i="22" a="1"/>
  <c r="K321" i="22" s="1"/>
  <c r="I321" i="22" a="1"/>
  <c r="I321" i="22" s="1"/>
  <c r="H321" i="22" a="1"/>
  <c r="H321" i="22" s="1"/>
  <c r="J320" i="22" a="1"/>
  <c r="J320" i="22" s="1"/>
  <c r="K319" i="22" a="1"/>
  <c r="K319" i="22" s="1"/>
  <c r="I319" i="22" a="1"/>
  <c r="I319" i="22" s="1"/>
  <c r="H319" i="22" a="1"/>
  <c r="H319" i="22" s="1"/>
  <c r="J318" i="22" a="1"/>
  <c r="J318" i="22" s="1"/>
  <c r="H318" i="22" a="1"/>
  <c r="H318" i="22" s="1"/>
  <c r="J317" i="22" a="1"/>
  <c r="J317" i="22" s="1"/>
  <c r="H317" i="22" a="1"/>
  <c r="H317" i="22" s="1"/>
  <c r="J316" i="22" a="1"/>
  <c r="J316" i="22" s="1"/>
  <c r="H316" i="22" a="1"/>
  <c r="H316" i="22" s="1"/>
  <c r="J315" i="22" a="1"/>
  <c r="J315" i="22" s="1"/>
  <c r="H315" i="22" a="1"/>
  <c r="H315" i="22" s="1"/>
  <c r="J314" i="22" a="1"/>
  <c r="J314" i="22" s="1"/>
  <c r="H314" i="22" a="1"/>
  <c r="H314" i="22" s="1"/>
  <c r="J313" i="22" a="1"/>
  <c r="J313" i="22" s="1"/>
  <c r="K312" i="22" a="1"/>
  <c r="K312" i="22" s="1"/>
  <c r="I312" i="22" a="1"/>
  <c r="I312" i="22" s="1"/>
  <c r="H312" i="22" a="1"/>
  <c r="H312" i="22" s="1"/>
  <c r="J311" i="22" a="1"/>
  <c r="J311" i="22" s="1"/>
  <c r="K310" i="22" a="1"/>
  <c r="K310" i="22" s="1"/>
  <c r="I310" i="22" a="1"/>
  <c r="I310" i="22" s="1"/>
  <c r="K309" i="22" a="1"/>
  <c r="K309" i="22" s="1"/>
  <c r="I309" i="22" a="1"/>
  <c r="I309" i="22" s="1"/>
  <c r="K308" i="22" a="1"/>
  <c r="K308" i="22" s="1"/>
  <c r="I308" i="22" a="1"/>
  <c r="I308" i="22" s="1"/>
  <c r="K307" i="22" a="1"/>
  <c r="K307" i="22" s="1"/>
  <c r="I307" i="22" a="1"/>
  <c r="I307" i="22" s="1"/>
  <c r="K306" i="22" a="1"/>
  <c r="K306" i="22" s="1"/>
  <c r="I306" i="22" a="1"/>
  <c r="I306" i="22" s="1"/>
  <c r="K305" i="22" a="1"/>
  <c r="K305" i="22" s="1"/>
  <c r="I305" i="22" a="1"/>
  <c r="I305" i="22" s="1"/>
  <c r="H305" i="22" a="1"/>
  <c r="H305" i="22" s="1"/>
  <c r="J304" i="22" a="1"/>
  <c r="J304" i="22" s="1"/>
  <c r="K303" i="22" a="1"/>
  <c r="K303" i="22" s="1"/>
  <c r="I303" i="22" a="1"/>
  <c r="I303" i="22" s="1"/>
  <c r="H303" i="22" a="1"/>
  <c r="H303" i="22" s="1"/>
  <c r="J302" i="22" a="1"/>
  <c r="J302" i="22" s="1"/>
  <c r="H302" i="22" a="1"/>
  <c r="H302" i="22" s="1"/>
  <c r="J301" i="22" a="1"/>
  <c r="J301" i="22" s="1"/>
  <c r="H301" i="22" a="1"/>
  <c r="H301" i="22" s="1"/>
  <c r="J300" i="22" a="1"/>
  <c r="J300" i="22" s="1"/>
  <c r="H300" i="22" a="1"/>
  <c r="H300" i="22" s="1"/>
  <c r="J299" i="22" a="1"/>
  <c r="J299" i="22" s="1"/>
  <c r="H299" i="22" a="1"/>
  <c r="H299" i="22" s="1"/>
  <c r="J298" i="22" a="1"/>
  <c r="J298" i="22" s="1"/>
  <c r="H298" i="22" a="1"/>
  <c r="H298" i="22" s="1"/>
  <c r="J297" i="22" a="1"/>
  <c r="J297" i="22" s="1"/>
  <c r="K296" i="22" a="1"/>
  <c r="K296" i="22" s="1"/>
  <c r="I296" i="22" a="1"/>
  <c r="I296" i="22" s="1"/>
  <c r="H296" i="22" a="1"/>
  <c r="H296" i="22" s="1"/>
  <c r="J295" i="22" a="1"/>
  <c r="J295" i="22" s="1"/>
  <c r="K294" i="22" a="1"/>
  <c r="K294" i="22" s="1"/>
  <c r="I294" i="22" a="1"/>
  <c r="I294" i="22" s="1"/>
  <c r="K293" i="22" a="1"/>
  <c r="K293" i="22" s="1"/>
  <c r="I293" i="22" a="1"/>
  <c r="I293" i="22" s="1"/>
  <c r="K292" i="22" a="1"/>
  <c r="K292" i="22" s="1"/>
  <c r="I292" i="22" a="1"/>
  <c r="I292" i="22" s="1"/>
  <c r="K291" i="22" a="1"/>
  <c r="K291" i="22" s="1"/>
  <c r="I291" i="22" a="1"/>
  <c r="I291" i="22" s="1"/>
  <c r="K290" i="22" a="1"/>
  <c r="K290" i="22" s="1"/>
  <c r="I290" i="22" a="1"/>
  <c r="I290" i="22" s="1"/>
  <c r="H290" i="22" a="1"/>
  <c r="H290" i="22" s="1"/>
  <c r="J289" i="22" a="1"/>
  <c r="J289" i="22" s="1"/>
  <c r="K288" i="22" a="1"/>
  <c r="K288" i="22" s="1"/>
  <c r="I288" i="22" a="1"/>
  <c r="I288" i="22" s="1"/>
  <c r="H288" i="22" a="1"/>
  <c r="H288" i="22" s="1"/>
  <c r="J287" i="22" a="1"/>
  <c r="J287" i="22" s="1"/>
  <c r="H287" i="22" a="1"/>
  <c r="H287" i="22" s="1"/>
  <c r="J286" i="22" a="1"/>
  <c r="J286" i="22" s="1"/>
  <c r="H286" i="22" a="1"/>
  <c r="H286" i="22" s="1"/>
  <c r="K285" i="22" a="1"/>
  <c r="K285" i="22" s="1"/>
  <c r="I285" i="22" a="1"/>
  <c r="I285" i="22" s="1"/>
  <c r="J347" i="22" a="1"/>
  <c r="J347" i="22" s="1"/>
  <c r="J346" i="22" a="1"/>
  <c r="J346" i="22" s="1"/>
  <c r="J345" i="22" a="1"/>
  <c r="J345" i="22" s="1"/>
  <c r="K344" i="22" a="1"/>
  <c r="K344" i="22" s="1"/>
  <c r="H344" i="22" a="1"/>
  <c r="H344" i="22" s="1"/>
  <c r="I342" i="22" a="1"/>
  <c r="I342" i="22" s="1"/>
  <c r="I341" i="22" a="1"/>
  <c r="I341" i="22" s="1"/>
  <c r="I340" i="22" a="1"/>
  <c r="I340" i="22" s="1"/>
  <c r="I339" i="22" a="1"/>
  <c r="I339" i="22" s="1"/>
  <c r="I338" i="22" a="1"/>
  <c r="I338" i="22" s="1"/>
  <c r="I337" i="22" a="1"/>
  <c r="I337" i="22" s="1"/>
  <c r="J336" i="22" a="1"/>
  <c r="J336" i="22" s="1"/>
  <c r="K335" i="22" a="1"/>
  <c r="K335" i="22" s="1"/>
  <c r="H335" i="22" a="1"/>
  <c r="H335" i="22" s="1"/>
  <c r="I334" i="22" a="1"/>
  <c r="I334" i="22" s="1"/>
  <c r="K333" i="22" a="1"/>
  <c r="K333" i="22" s="1"/>
  <c r="I333" i="22" a="1"/>
  <c r="I333" i="22" s="1"/>
  <c r="K332" i="22" a="1"/>
  <c r="K332" i="22" s="1"/>
  <c r="I332" i="22" a="1"/>
  <c r="I332" i="22" s="1"/>
  <c r="K331" i="22" a="1"/>
  <c r="K331" i="22" s="1"/>
  <c r="I331" i="22" a="1"/>
  <c r="I331" i="22" s="1"/>
  <c r="K330" i="22" a="1"/>
  <c r="K330" i="22" s="1"/>
  <c r="I330" i="22" a="1"/>
  <c r="I330" i="22" s="1"/>
  <c r="K329" i="22" a="1"/>
  <c r="K329" i="22" s="1"/>
  <c r="I329" i="22" a="1"/>
  <c r="I329" i="22" s="1"/>
  <c r="H329" i="22" a="1"/>
  <c r="H329" i="22" s="1"/>
  <c r="J328" i="22" a="1"/>
  <c r="J328" i="22" s="1"/>
  <c r="K327" i="22" a="1"/>
  <c r="K327" i="22" s="1"/>
  <c r="I327" i="22" a="1"/>
  <c r="I327" i="22" s="1"/>
  <c r="H327" i="22" a="1"/>
  <c r="H327" i="22" s="1"/>
  <c r="J326" i="22" a="1"/>
  <c r="J326" i="22" s="1"/>
  <c r="H326" i="22" a="1"/>
  <c r="H326" i="22" s="1"/>
  <c r="J325" i="22" a="1"/>
  <c r="J325" i="22" s="1"/>
  <c r="H325" i="22" a="1"/>
  <c r="H325" i="22" s="1"/>
  <c r="J324" i="22" a="1"/>
  <c r="J324" i="22" s="1"/>
  <c r="H324" i="22" a="1"/>
  <c r="H324" i="22" s="1"/>
  <c r="J323" i="22" a="1"/>
  <c r="J323" i="22" s="1"/>
  <c r="H323" i="22" a="1"/>
  <c r="H323" i="22" s="1"/>
  <c r="J322" i="22" a="1"/>
  <c r="J322" i="22" s="1"/>
  <c r="H322" i="22" a="1"/>
  <c r="H322" i="22" s="1"/>
  <c r="J321" i="22" a="1"/>
  <c r="J321" i="22" s="1"/>
  <c r="K320" i="22" a="1"/>
  <c r="K320" i="22" s="1"/>
  <c r="I320" i="22" a="1"/>
  <c r="I320" i="22" s="1"/>
  <c r="H320" i="22" a="1"/>
  <c r="H320" i="22" s="1"/>
  <c r="J319" i="22" a="1"/>
  <c r="J319" i="22" s="1"/>
  <c r="K318" i="22" a="1"/>
  <c r="K318" i="22" s="1"/>
  <c r="I318" i="22" a="1"/>
  <c r="I318" i="22" s="1"/>
  <c r="K317" i="22" a="1"/>
  <c r="K317" i="22" s="1"/>
  <c r="I317" i="22" a="1"/>
  <c r="I317" i="22" s="1"/>
  <c r="K316" i="22" a="1"/>
  <c r="K316" i="22" s="1"/>
  <c r="I316" i="22" a="1"/>
  <c r="I316" i="22" s="1"/>
  <c r="K315" i="22" a="1"/>
  <c r="K315" i="22" s="1"/>
  <c r="I315" i="22" a="1"/>
  <c r="I315" i="22" s="1"/>
  <c r="K314" i="22" a="1"/>
  <c r="K314" i="22" s="1"/>
  <c r="I314" i="22" a="1"/>
  <c r="I314" i="22" s="1"/>
  <c r="K313" i="22" a="1"/>
  <c r="K313" i="22" s="1"/>
  <c r="I313" i="22" a="1"/>
  <c r="I313" i="22" s="1"/>
  <c r="H313" i="22" a="1"/>
  <c r="H313" i="22" s="1"/>
  <c r="J312" i="22" a="1"/>
  <c r="J312" i="22" s="1"/>
  <c r="K311" i="22" a="1"/>
  <c r="K311" i="22" s="1"/>
  <c r="I311" i="22" a="1"/>
  <c r="I311" i="22" s="1"/>
  <c r="H311" i="22" a="1"/>
  <c r="H311" i="22" s="1"/>
  <c r="J310" i="22" a="1"/>
  <c r="J310" i="22" s="1"/>
  <c r="H310" i="22" a="1"/>
  <c r="H310" i="22" s="1"/>
  <c r="J309" i="22" a="1"/>
  <c r="J309" i="22" s="1"/>
  <c r="H309" i="22" a="1"/>
  <c r="H309" i="22" s="1"/>
  <c r="J308" i="22" a="1"/>
  <c r="J308" i="22" s="1"/>
  <c r="H308" i="22" a="1"/>
  <c r="H308" i="22" s="1"/>
  <c r="J307" i="22" a="1"/>
  <c r="J307" i="22" s="1"/>
  <c r="H307" i="22" a="1"/>
  <c r="H307" i="22" s="1"/>
  <c r="J306" i="22" a="1"/>
  <c r="J306" i="22" s="1"/>
  <c r="H306" i="22" a="1"/>
  <c r="H306" i="22" s="1"/>
  <c r="J305" i="22" a="1"/>
  <c r="J305" i="22" s="1"/>
  <c r="K304" i="22" a="1"/>
  <c r="K304" i="22" s="1"/>
  <c r="I304" i="22" a="1"/>
  <c r="I304" i="22" s="1"/>
  <c r="H304" i="22" a="1"/>
  <c r="H304" i="22" s="1"/>
  <c r="J303" i="22" a="1"/>
  <c r="J303" i="22" s="1"/>
  <c r="K302" i="22" a="1"/>
  <c r="K302" i="22" s="1"/>
  <c r="I302" i="22" a="1"/>
  <c r="I302" i="22" s="1"/>
  <c r="I301" i="22" a="1"/>
  <c r="I301" i="22" s="1"/>
  <c r="I300" i="22" a="1"/>
  <c r="I300" i="22" s="1"/>
  <c r="K301" i="22" a="1"/>
  <c r="K301" i="22" s="1"/>
  <c r="K300" i="22" a="1"/>
  <c r="K300" i="22" s="1"/>
  <c r="K299" i="22" a="1"/>
  <c r="K299" i="22" s="1"/>
  <c r="K298" i="22" a="1"/>
  <c r="K298" i="22" s="1"/>
  <c r="K297" i="22" a="1"/>
  <c r="K297" i="22" s="1"/>
  <c r="H297" i="22" a="1"/>
  <c r="H297" i="22" s="1"/>
  <c r="I295" i="22" a="1"/>
  <c r="I295" i="22" s="1"/>
  <c r="J294" i="22" a="1"/>
  <c r="J294" i="22" s="1"/>
  <c r="J293" i="22" a="1"/>
  <c r="J293" i="22" s="1"/>
  <c r="J292" i="22" a="1"/>
  <c r="J292" i="22" s="1"/>
  <c r="J291" i="22" a="1"/>
  <c r="J291" i="22" s="1"/>
  <c r="J290" i="22" a="1"/>
  <c r="J290" i="22" s="1"/>
  <c r="K289" i="22" a="1"/>
  <c r="K289" i="22" s="1"/>
  <c r="H289" i="22" a="1"/>
  <c r="H289" i="22" s="1"/>
  <c r="I287" i="22" a="1"/>
  <c r="I287" i="22" s="1"/>
  <c r="I286" i="22" a="1"/>
  <c r="I286" i="22" s="1"/>
  <c r="J285" i="22" a="1"/>
  <c r="J285" i="22" s="1"/>
  <c r="H285" i="22" a="1"/>
  <c r="H285" i="22" s="1"/>
  <c r="J284" i="22" a="1"/>
  <c r="J284" i="22" s="1"/>
  <c r="I284" i="22" a="1"/>
  <c r="I284" i="22" s="1"/>
  <c r="K283" i="22" a="1"/>
  <c r="K283" i="22" s="1"/>
  <c r="I283" i="22" a="1"/>
  <c r="I283" i="22" s="1"/>
  <c r="J282" i="22" a="1"/>
  <c r="J282" i="22" s="1"/>
  <c r="I282" i="22" a="1"/>
  <c r="I282" i="22" s="1"/>
  <c r="H282" i="22" a="1"/>
  <c r="H282" i="22" s="1"/>
  <c r="J281" i="22" a="1"/>
  <c r="J281" i="22" s="1"/>
  <c r="H281" i="22" a="1"/>
  <c r="H281" i="22" s="1"/>
  <c r="J280" i="22" a="1"/>
  <c r="J280" i="22" s="1"/>
  <c r="J279" i="22" a="1"/>
  <c r="J279" i="22" s="1"/>
  <c r="I279" i="22" a="1"/>
  <c r="I279" i="22" s="1"/>
  <c r="K278" i="22" a="1"/>
  <c r="K278" i="22" s="1"/>
  <c r="I278" i="22" a="1"/>
  <c r="I278" i="22" s="1"/>
  <c r="J277" i="22" a="1"/>
  <c r="J277" i="22" s="1"/>
  <c r="K276" i="22" a="1"/>
  <c r="K276" i="22" s="1"/>
  <c r="H276" i="22" a="1"/>
  <c r="H276" i="22" s="1"/>
  <c r="J275" i="22" a="1"/>
  <c r="J275" i="22" s="1"/>
  <c r="H275" i="22" a="1"/>
  <c r="H275" i="22" s="1"/>
  <c r="K274" i="22" a="1"/>
  <c r="K274" i="22" s="1"/>
  <c r="K273" i="22" a="1"/>
  <c r="K273" i="22" s="1"/>
  <c r="I273" i="22" a="1"/>
  <c r="I273" i="22" s="1"/>
  <c r="K272" i="22" a="1"/>
  <c r="K272" i="22" s="1"/>
  <c r="I272" i="22" a="1"/>
  <c r="I272" i="22" s="1"/>
  <c r="H272" i="22" a="1"/>
  <c r="H272" i="22" s="1"/>
  <c r="K271" i="22" a="1"/>
  <c r="K271" i="22" s="1"/>
  <c r="H271" i="22" a="1"/>
  <c r="H271" i="22" s="1"/>
  <c r="J270" i="22" a="1"/>
  <c r="J270" i="22" s="1"/>
  <c r="H270" i="22" a="1"/>
  <c r="H270" i="22" s="1"/>
  <c r="K269" i="22" a="1"/>
  <c r="K269" i="22" s="1"/>
  <c r="I269" i="22" a="1"/>
  <c r="I269" i="22" s="1"/>
  <c r="H269" i="22" a="1"/>
  <c r="H269" i="22" s="1"/>
  <c r="J268" i="22" a="1"/>
  <c r="J268" i="22" s="1"/>
  <c r="I268" i="22" a="1"/>
  <c r="I268" i="22" s="1"/>
  <c r="K267" i="22" a="1"/>
  <c r="K267" i="22" s="1"/>
  <c r="I267" i="22" a="1"/>
  <c r="I267" i="22" s="1"/>
  <c r="J266" i="22" a="1"/>
  <c r="J266" i="22" s="1"/>
  <c r="I266" i="22" a="1"/>
  <c r="I266" i="22" s="1"/>
  <c r="H266" i="22" a="1"/>
  <c r="H266" i="22" s="1"/>
  <c r="J265" i="22" a="1"/>
  <c r="J265" i="22" s="1"/>
  <c r="H265" i="22" a="1"/>
  <c r="H265" i="22" s="1"/>
  <c r="J264" i="22" a="1"/>
  <c r="J264" i="22" s="1"/>
  <c r="J263" i="22" a="1"/>
  <c r="J263" i="22" s="1"/>
  <c r="I263" i="22" a="1"/>
  <c r="I263" i="22" s="1"/>
  <c r="K262" i="22" a="1"/>
  <c r="K262" i="22" s="1"/>
  <c r="I262" i="22" a="1"/>
  <c r="I262" i="22" s="1"/>
  <c r="J261" i="22" a="1"/>
  <c r="J261" i="22" s="1"/>
  <c r="K260" i="22" a="1"/>
  <c r="K260" i="22" s="1"/>
  <c r="H260" i="22" a="1"/>
  <c r="H260" i="22" s="1"/>
  <c r="J259" i="22" a="1"/>
  <c r="J259" i="22" s="1"/>
  <c r="H259" i="22" a="1"/>
  <c r="H259" i="22" s="1"/>
  <c r="K258" i="22" a="1"/>
  <c r="K258" i="22" s="1"/>
  <c r="K257" i="22" a="1"/>
  <c r="K257" i="22" s="1"/>
  <c r="I257" i="22" a="1"/>
  <c r="I257" i="22" s="1"/>
  <c r="K256" i="22" a="1"/>
  <c r="K256" i="22" s="1"/>
  <c r="I256" i="22" a="1"/>
  <c r="I256" i="22" s="1"/>
  <c r="H256" i="22" a="1"/>
  <c r="H256" i="22" s="1"/>
  <c r="K255" i="22" a="1"/>
  <c r="K255" i="22" s="1"/>
  <c r="H255" i="22" a="1"/>
  <c r="H255" i="22" s="1"/>
  <c r="J254" i="22" a="1"/>
  <c r="J254" i="22" s="1"/>
  <c r="H254" i="22" a="1"/>
  <c r="H254" i="22" s="1"/>
  <c r="K253" i="22" a="1"/>
  <c r="K253" i="22" s="1"/>
  <c r="I253" i="22" a="1"/>
  <c r="I253" i="22" s="1"/>
  <c r="H253" i="22" a="1"/>
  <c r="H253" i="22" s="1"/>
  <c r="J252" i="22" a="1"/>
  <c r="J252" i="22" s="1"/>
  <c r="I252" i="22" a="1"/>
  <c r="I252" i="22" s="1"/>
  <c r="K251" i="22" a="1"/>
  <c r="K251" i="22" s="1"/>
  <c r="I251" i="22" a="1"/>
  <c r="I251" i="22" s="1"/>
  <c r="J250" i="22" a="1"/>
  <c r="J250" i="22" s="1"/>
  <c r="I250" i="22" a="1"/>
  <c r="I250" i="22" s="1"/>
  <c r="H250" i="22" a="1"/>
  <c r="H250" i="22" s="1"/>
  <c r="J249" i="22" a="1"/>
  <c r="J249" i="22" s="1"/>
  <c r="H249" i="22" a="1"/>
  <c r="H249" i="22" s="1"/>
  <c r="J248" i="22" a="1"/>
  <c r="J248" i="22" s="1"/>
  <c r="J247" i="22" a="1"/>
  <c r="J247" i="22" s="1"/>
  <c r="I247" i="22" a="1"/>
  <c r="I247" i="22" s="1"/>
  <c r="K246" i="22" a="1"/>
  <c r="K246" i="22" s="1"/>
  <c r="I246" i="22" a="1"/>
  <c r="I246" i="22" s="1"/>
  <c r="J245" i="22" a="1"/>
  <c r="J245" i="22" s="1"/>
  <c r="K244" i="22" a="1"/>
  <c r="K244" i="22" s="1"/>
  <c r="H244" i="22" a="1"/>
  <c r="H244" i="22" s="1"/>
  <c r="J243" i="22" a="1"/>
  <c r="J243" i="22" s="1"/>
  <c r="H243" i="22" a="1"/>
  <c r="H243" i="22" s="1"/>
  <c r="K242" i="22" a="1"/>
  <c r="K242" i="22" s="1"/>
  <c r="K241" i="22" a="1"/>
  <c r="K241" i="22" s="1"/>
  <c r="I241" i="22" a="1"/>
  <c r="I241" i="22" s="1"/>
  <c r="K240" i="22" a="1"/>
  <c r="K240" i="22" s="1"/>
  <c r="I240" i="22" a="1"/>
  <c r="I240" i="22" s="1"/>
  <c r="H240" i="22" a="1"/>
  <c r="H240" i="22" s="1"/>
  <c r="K239" i="22" a="1"/>
  <c r="K239" i="22" s="1"/>
  <c r="H239" i="22" a="1"/>
  <c r="H239" i="22" s="1"/>
  <c r="J238" i="22" a="1"/>
  <c r="J238" i="22" s="1"/>
  <c r="H238" i="22" a="1"/>
  <c r="H238" i="22" s="1"/>
  <c r="K237" i="22" a="1"/>
  <c r="K237" i="22" s="1"/>
  <c r="I237" i="22" a="1"/>
  <c r="I237" i="22" s="1"/>
  <c r="H237" i="22" a="1"/>
  <c r="H237" i="22" s="1"/>
  <c r="J236" i="22" a="1"/>
  <c r="J236" i="22" s="1"/>
  <c r="I236" i="22" a="1"/>
  <c r="I236" i="22" s="1"/>
  <c r="K235" i="22" a="1"/>
  <c r="K235" i="22" s="1"/>
  <c r="I235" i="22" a="1"/>
  <c r="I235" i="22" s="1"/>
  <c r="J234" i="22" a="1"/>
  <c r="J234" i="22" s="1"/>
  <c r="I234" i="22" a="1"/>
  <c r="I234" i="22" s="1"/>
  <c r="H234" i="22" a="1"/>
  <c r="H234" i="22" s="1"/>
  <c r="J233" i="22" a="1"/>
  <c r="J233" i="22" s="1"/>
  <c r="H233" i="22" a="1"/>
  <c r="H233" i="22" s="1"/>
  <c r="J232" i="22" a="1"/>
  <c r="J232" i="22" s="1"/>
  <c r="J231" i="22" a="1"/>
  <c r="J231" i="22" s="1"/>
  <c r="I231" i="22" a="1"/>
  <c r="I231" i="22" s="1"/>
  <c r="K230" i="22" a="1"/>
  <c r="K230" i="22" s="1"/>
  <c r="I230" i="22" a="1"/>
  <c r="I230" i="22" s="1"/>
  <c r="J229" i="22" a="1"/>
  <c r="J229" i="22" s="1"/>
  <c r="K228" i="22" a="1"/>
  <c r="K228" i="22" s="1"/>
  <c r="H228" i="22" a="1"/>
  <c r="H228" i="22" s="1"/>
  <c r="J227" i="22" a="1"/>
  <c r="J227" i="22" s="1"/>
  <c r="H227" i="22" a="1"/>
  <c r="H227" i="22" s="1"/>
  <c r="K226" i="22" a="1"/>
  <c r="K226" i="22" s="1"/>
  <c r="I299" i="22" a="1"/>
  <c r="I299" i="22" s="1"/>
  <c r="I297" i="22" a="1"/>
  <c r="I297" i="22" s="1"/>
  <c r="K295" i="22" a="1"/>
  <c r="K295" i="22" s="1"/>
  <c r="H294" i="22" a="1"/>
  <c r="H294" i="22" s="1"/>
  <c r="H292" i="22" a="1"/>
  <c r="H292" i="22" s="1"/>
  <c r="J288" i="22" a="1"/>
  <c r="J288" i="22" s="1"/>
  <c r="K286" i="22" a="1"/>
  <c r="K286" i="22" s="1"/>
  <c r="J283" i="22" a="1"/>
  <c r="J283" i="22" s="1"/>
  <c r="I298" i="22" a="1"/>
  <c r="I298" i="22" s="1"/>
  <c r="J296" i="22" a="1"/>
  <c r="J296" i="22" s="1"/>
  <c r="H295" i="22" a="1"/>
  <c r="H295" i="22" s="1"/>
  <c r="H293" i="22" a="1"/>
  <c r="H293" i="22" s="1"/>
  <c r="H291" i="22" a="1"/>
  <c r="H291" i="22" s="1"/>
  <c r="I289" i="22" a="1"/>
  <c r="I289" i="22" s="1"/>
  <c r="K287" i="22" a="1"/>
  <c r="K287" i="22" s="1"/>
  <c r="K284" i="22" a="1"/>
  <c r="K284" i="22" s="1"/>
  <c r="H284" i="22" a="1"/>
  <c r="H284" i="22" s="1"/>
  <c r="H283" i="22" a="1"/>
  <c r="H283" i="22" s="1"/>
  <c r="K281" i="22" a="1"/>
  <c r="K281" i="22" s="1"/>
  <c r="K280" i="22" a="1"/>
  <c r="K280" i="22" s="1"/>
  <c r="H280" i="22" a="1"/>
  <c r="H280" i="22" s="1"/>
  <c r="J278" i="22" a="1"/>
  <c r="J278" i="22" s="1"/>
  <c r="K277" i="22" a="1"/>
  <c r="K277" i="22" s="1"/>
  <c r="H277" i="22" a="1"/>
  <c r="H277" i="22" s="1"/>
  <c r="I276" i="22" a="1"/>
  <c r="I276" i="22" s="1"/>
  <c r="I275" i="22" a="1"/>
  <c r="I275" i="22" s="1"/>
  <c r="J274" i="22" a="1"/>
  <c r="J274" i="22" s="1"/>
  <c r="H274" i="22" a="1"/>
  <c r="H274" i="22" s="1"/>
  <c r="H273" i="22" a="1"/>
  <c r="H273" i="22" s="1"/>
  <c r="J271" i="22" a="1"/>
  <c r="J271" i="22" s="1"/>
  <c r="K270" i="22" a="1"/>
  <c r="K270" i="22" s="1"/>
  <c r="J267" i="22" a="1"/>
  <c r="J267" i="22" s="1"/>
  <c r="K266" i="22" a="1"/>
  <c r="K266" i="22" s="1"/>
  <c r="I265" i="22" a="1"/>
  <c r="I265" i="22" s="1"/>
  <c r="I264" i="22" a="1"/>
  <c r="I264" i="22" s="1"/>
  <c r="K263" i="22" a="1"/>
  <c r="K263" i="22" s="1"/>
  <c r="H263" i="22" a="1"/>
  <c r="H263" i="22" s="1"/>
  <c r="H262" i="22" a="1"/>
  <c r="H262" i="22" s="1"/>
  <c r="I261" i="22" a="1"/>
  <c r="I261" i="22" s="1"/>
  <c r="J260" i="22" a="1"/>
  <c r="J260" i="22" s="1"/>
  <c r="K259" i="22" a="1"/>
  <c r="K259" i="22" s="1"/>
  <c r="I258" i="22" a="1"/>
  <c r="I258" i="22" s="1"/>
  <c r="J257" i="22" a="1"/>
  <c r="J257" i="22" s="1"/>
  <c r="J256" i="22" a="1"/>
  <c r="J256" i="22" s="1"/>
  <c r="I255" i="22" a="1"/>
  <c r="I255" i="22" s="1"/>
  <c r="I254" i="22" a="1"/>
  <c r="I254" i="22" s="1"/>
  <c r="J253" i="22" a="1"/>
  <c r="J253" i="22" s="1"/>
  <c r="K252" i="22" a="1"/>
  <c r="K252" i="22" s="1"/>
  <c r="H252" i="22" a="1"/>
  <c r="H252" i="22" s="1"/>
  <c r="H251" i="22" a="1"/>
  <c r="H251" i="22" s="1"/>
  <c r="K249" i="22" a="1"/>
  <c r="K249" i="22" s="1"/>
  <c r="K248" i="22" a="1"/>
  <c r="K248" i="22" s="1"/>
  <c r="H248" i="22" a="1"/>
  <c r="H248" i="22" s="1"/>
  <c r="J246" i="22" a="1"/>
  <c r="J246" i="22" s="1"/>
  <c r="K245" i="22" a="1"/>
  <c r="K245" i="22" s="1"/>
  <c r="H245" i="22" a="1"/>
  <c r="H245" i="22" s="1"/>
  <c r="I244" i="22" a="1"/>
  <c r="I244" i="22" s="1"/>
  <c r="I243" i="22" a="1"/>
  <c r="I243" i="22" s="1"/>
  <c r="J242" i="22" a="1"/>
  <c r="J242" i="22" s="1"/>
  <c r="H242" i="22" a="1"/>
  <c r="H242" i="22" s="1"/>
  <c r="H241" i="22" a="1"/>
  <c r="H241" i="22" s="1"/>
  <c r="J239" i="22" a="1"/>
  <c r="J239" i="22" s="1"/>
  <c r="K238" i="22" a="1"/>
  <c r="K238" i="22" s="1"/>
  <c r="J235" i="22" a="1"/>
  <c r="J235" i="22" s="1"/>
  <c r="K234" i="22" a="1"/>
  <c r="K234" i="22" s="1"/>
  <c r="I233" i="22" a="1"/>
  <c r="I233" i="22" s="1"/>
  <c r="I232" i="22" a="1"/>
  <c r="I232" i="22" s="1"/>
  <c r="K231" i="22" a="1"/>
  <c r="K231" i="22" s="1"/>
  <c r="H231" i="22" a="1"/>
  <c r="H231" i="22" s="1"/>
  <c r="H230" i="22" a="1"/>
  <c r="H230" i="22" s="1"/>
  <c r="I229" i="22" a="1"/>
  <c r="I229" i="22" s="1"/>
  <c r="J228" i="22" a="1"/>
  <c r="J228" i="22" s="1"/>
  <c r="K227" i="22" a="1"/>
  <c r="K227" i="22" s="1"/>
  <c r="I226" i="22" a="1"/>
  <c r="I226" i="22" s="1"/>
  <c r="H226" i="22" a="1"/>
  <c r="H226" i="22" s="1"/>
  <c r="J225" i="22" a="1"/>
  <c r="J225" i="22" s="1"/>
  <c r="H225" i="22" a="1"/>
  <c r="H225" i="22" s="1"/>
  <c r="J224" i="22" a="1"/>
  <c r="J224" i="22" s="1"/>
  <c r="J223" i="22" a="1"/>
  <c r="J223" i="22" s="1"/>
  <c r="I223" i="22" a="1"/>
  <c r="I223" i="22" s="1"/>
  <c r="K222" i="22" a="1"/>
  <c r="K222" i="22" s="1"/>
  <c r="I222" i="22" a="1"/>
  <c r="I222" i="22" s="1"/>
  <c r="J221" i="22" a="1"/>
  <c r="J221" i="22" s="1"/>
  <c r="K220" i="22" a="1"/>
  <c r="K220" i="22" s="1"/>
  <c r="H220" i="22" a="1"/>
  <c r="H220" i="22" s="1"/>
  <c r="J219" i="22" a="1"/>
  <c r="J219" i="22" s="1"/>
  <c r="H219" i="22" a="1"/>
  <c r="H219" i="22" s="1"/>
  <c r="K218" i="22" a="1"/>
  <c r="K218" i="22" s="1"/>
  <c r="J217" i="22" a="1"/>
  <c r="J217" i="22" s="1"/>
  <c r="H217" i="22" a="1"/>
  <c r="H217" i="22" s="1"/>
  <c r="J216" i="22" a="1"/>
  <c r="J216" i="22" s="1"/>
  <c r="J215" i="22" a="1"/>
  <c r="J215" i="22" s="1"/>
  <c r="I215" i="22" a="1"/>
  <c r="I215" i="22" s="1"/>
  <c r="K214" i="22" a="1"/>
  <c r="K214" i="22" s="1"/>
  <c r="I214" i="22" a="1"/>
  <c r="I214" i="22" s="1"/>
  <c r="J213" i="22" a="1"/>
  <c r="J213" i="22" s="1"/>
  <c r="I212" i="22" a="1"/>
  <c r="I212" i="22" s="1"/>
  <c r="H212" i="22" a="1"/>
  <c r="H212" i="22" s="1"/>
  <c r="J211" i="22" a="1"/>
  <c r="J211" i="22" s="1"/>
  <c r="K210" i="22" a="1"/>
  <c r="K210" i="22" s="1"/>
  <c r="J210" i="22" a="1"/>
  <c r="J210" i="22" s="1"/>
  <c r="H210" i="22" a="1"/>
  <c r="H210" i="22" s="1"/>
  <c r="K209" i="22" a="1"/>
  <c r="K209" i="22" s="1"/>
  <c r="I209" i="22" a="1"/>
  <c r="I209" i="22" s="1"/>
  <c r="H209" i="22" a="1"/>
  <c r="H209" i="22" s="1"/>
  <c r="K208" i="22" a="1"/>
  <c r="K208" i="22" s="1"/>
  <c r="I208" i="22" a="1"/>
  <c r="I208" i="22" s="1"/>
  <c r="K207" i="22" a="1"/>
  <c r="K207" i="22" s="1"/>
  <c r="J207" i="22" a="1"/>
  <c r="J207" i="22" s="1"/>
  <c r="I206" i="22" a="1"/>
  <c r="I206" i="22" s="1"/>
  <c r="K205" i="22" a="1"/>
  <c r="K205" i="22" s="1"/>
  <c r="I205" i="22" a="1"/>
  <c r="I205" i="22" s="1"/>
  <c r="I204" i="22" a="1"/>
  <c r="I204" i="22" s="1"/>
  <c r="H204" i="22" a="1"/>
  <c r="H204" i="22" s="1"/>
  <c r="J203" i="22" a="1"/>
  <c r="J203" i="22" s="1"/>
  <c r="K202" i="22" a="1"/>
  <c r="K202" i="22" s="1"/>
  <c r="J202" i="22" a="1"/>
  <c r="J202" i="22" s="1"/>
  <c r="H202" i="22" a="1"/>
  <c r="H202" i="22" s="1"/>
  <c r="K201" i="22" a="1"/>
  <c r="K201" i="22" s="1"/>
  <c r="I201" i="22" a="1"/>
  <c r="I201" i="22" s="1"/>
  <c r="H201" i="22" a="1"/>
  <c r="H201" i="22" s="1"/>
  <c r="K200" i="22" a="1"/>
  <c r="K200" i="22" s="1"/>
  <c r="I200" i="22" a="1"/>
  <c r="I200" i="22" s="1"/>
  <c r="K199" i="22" a="1"/>
  <c r="K199" i="22" s="1"/>
  <c r="J199" i="22" a="1"/>
  <c r="J199" i="22" s="1"/>
  <c r="I198" i="22" a="1"/>
  <c r="I198" i="22" s="1"/>
  <c r="K197" i="22" a="1"/>
  <c r="K197" i="22" s="1"/>
  <c r="I197" i="22" a="1"/>
  <c r="I197" i="22" s="1"/>
  <c r="I196" i="22" a="1"/>
  <c r="I196" i="22" s="1"/>
  <c r="H196" i="22" a="1"/>
  <c r="H196" i="22" s="1"/>
  <c r="J195" i="22" a="1"/>
  <c r="J195" i="22" s="1"/>
  <c r="K194" i="22" a="1"/>
  <c r="K194" i="22" s="1"/>
  <c r="J194" i="22" a="1"/>
  <c r="J194" i="22" s="1"/>
  <c r="H194" i="22" a="1"/>
  <c r="H194" i="22" s="1"/>
  <c r="K193" i="22" a="1"/>
  <c r="K193" i="22" s="1"/>
  <c r="I193" i="22" a="1"/>
  <c r="I193" i="22" s="1"/>
  <c r="H193" i="22" a="1"/>
  <c r="H193" i="22" s="1"/>
  <c r="K192" i="22" a="1"/>
  <c r="K192" i="22" s="1"/>
  <c r="I192" i="22" a="1"/>
  <c r="I192" i="22" s="1"/>
  <c r="K191" i="22" a="1"/>
  <c r="K191" i="22" s="1"/>
  <c r="J191" i="22" a="1"/>
  <c r="J191" i="22" s="1"/>
  <c r="I190" i="22" a="1"/>
  <c r="I190" i="22" s="1"/>
  <c r="K189" i="22" a="1"/>
  <c r="K189" i="22" s="1"/>
  <c r="I189" i="22" a="1"/>
  <c r="I189" i="22" s="1"/>
  <c r="I188" i="22" a="1"/>
  <c r="I188" i="22" s="1"/>
  <c r="H188" i="22" a="1"/>
  <c r="H188" i="22" s="1"/>
  <c r="J187" i="22" a="1"/>
  <c r="J187" i="22" s="1"/>
  <c r="K186" i="22" a="1"/>
  <c r="K186" i="22" s="1"/>
  <c r="J186" i="22" a="1"/>
  <c r="J186" i="22" s="1"/>
  <c r="H186" i="22" a="1"/>
  <c r="H186" i="22" s="1"/>
  <c r="K185" i="22" a="1"/>
  <c r="K185" i="22" s="1"/>
  <c r="I185" i="22" a="1"/>
  <c r="I185" i="22" s="1"/>
  <c r="H185" i="22" a="1"/>
  <c r="H185" i="22" s="1"/>
  <c r="K184" i="22" a="1"/>
  <c r="K184" i="22" s="1"/>
  <c r="I184" i="22" a="1"/>
  <c r="I184" i="22" s="1"/>
  <c r="K183" i="22" a="1"/>
  <c r="K183" i="22" s="1"/>
  <c r="J183" i="22" a="1"/>
  <c r="J183" i="22" s="1"/>
  <c r="I182" i="22" a="1"/>
  <c r="I182" i="22" s="1"/>
  <c r="K181" i="22" a="1"/>
  <c r="K181" i="22" s="1"/>
  <c r="I181" i="22" a="1"/>
  <c r="I181" i="22" s="1"/>
  <c r="I180" i="22" a="1"/>
  <c r="I180" i="22" s="1"/>
  <c r="H180" i="22" a="1"/>
  <c r="H180" i="22" s="1"/>
  <c r="J179" i="22" a="1"/>
  <c r="J179" i="22" s="1"/>
  <c r="K178" i="22" a="1"/>
  <c r="K178" i="22" s="1"/>
  <c r="J178" i="22" a="1"/>
  <c r="J178" i="22" s="1"/>
  <c r="H178" i="22" a="1"/>
  <c r="H178" i="22" s="1"/>
  <c r="K177" i="22" a="1"/>
  <c r="K177" i="22" s="1"/>
  <c r="I177" i="22" a="1"/>
  <c r="I177" i="22" s="1"/>
  <c r="H177" i="22" a="1"/>
  <c r="H177" i="22" s="1"/>
  <c r="K176" i="22" a="1"/>
  <c r="K176" i="22" s="1"/>
  <c r="I176" i="22" a="1"/>
  <c r="I176" i="22" s="1"/>
  <c r="K175" i="22" a="1"/>
  <c r="K175" i="22" s="1"/>
  <c r="J175" i="22" a="1"/>
  <c r="J175" i="22" s="1"/>
  <c r="I174" i="22" a="1"/>
  <c r="I174" i="22" s="1"/>
  <c r="K173" i="22" a="1"/>
  <c r="K173" i="22" s="1"/>
  <c r="I173" i="22" a="1"/>
  <c r="I173" i="22" s="1"/>
  <c r="I172" i="22" a="1"/>
  <c r="I172" i="22" s="1"/>
  <c r="H172" i="22" a="1"/>
  <c r="H172" i="22" s="1"/>
  <c r="J171" i="22" a="1"/>
  <c r="J171" i="22" s="1"/>
  <c r="K170" i="22" a="1"/>
  <c r="K170" i="22" s="1"/>
  <c r="J170" i="22" a="1"/>
  <c r="J170" i="22" s="1"/>
  <c r="H170" i="22" a="1"/>
  <c r="H170" i="22" s="1"/>
  <c r="K169" i="22" a="1"/>
  <c r="K169" i="22" s="1"/>
  <c r="I169" i="22" a="1"/>
  <c r="I169" i="22" s="1"/>
  <c r="H169" i="22" a="1"/>
  <c r="H169" i="22" s="1"/>
  <c r="K168" i="22" a="1"/>
  <c r="K168" i="22" s="1"/>
  <c r="I168" i="22" a="1"/>
  <c r="I168" i="22" s="1"/>
  <c r="K167" i="22" a="1"/>
  <c r="K167" i="22" s="1"/>
  <c r="J167" i="22" a="1"/>
  <c r="J167" i="22" s="1"/>
  <c r="I166" i="22" a="1"/>
  <c r="I166" i="22" s="1"/>
  <c r="K165" i="22" a="1"/>
  <c r="K165" i="22" s="1"/>
  <c r="I165" i="22" a="1"/>
  <c r="I165" i="22" s="1"/>
  <c r="I164" i="22" a="1"/>
  <c r="I164" i="22" s="1"/>
  <c r="H164" i="22" a="1"/>
  <c r="H164" i="22" s="1"/>
  <c r="J163" i="22" a="1"/>
  <c r="J163" i="22" s="1"/>
  <c r="K162" i="22" a="1"/>
  <c r="K162" i="22" s="1"/>
  <c r="J162" i="22" a="1"/>
  <c r="J162" i="22" s="1"/>
  <c r="H162" i="22" a="1"/>
  <c r="H162" i="22" s="1"/>
  <c r="K161" i="22" a="1"/>
  <c r="K161" i="22" s="1"/>
  <c r="I161" i="22" a="1"/>
  <c r="I161" i="22" s="1"/>
  <c r="J160" i="22" a="1"/>
  <c r="J160" i="22" s="1"/>
  <c r="K159" i="22" a="1"/>
  <c r="K159" i="22" s="1"/>
  <c r="J159" i="22" a="1"/>
  <c r="J159" i="22" s="1"/>
  <c r="H159" i="22" a="1"/>
  <c r="H159" i="22" s="1"/>
  <c r="I158" i="22" a="1"/>
  <c r="I158" i="22" s="1"/>
  <c r="J157" i="22" a="1"/>
  <c r="J157" i="22" s="1"/>
  <c r="H157" i="22" a="1"/>
  <c r="H157" i="22" s="1"/>
  <c r="I156" i="22" a="1"/>
  <c r="I156" i="22" s="1"/>
  <c r="K155" i="22" a="1"/>
  <c r="K155" i="22" s="1"/>
  <c r="H155" i="22" a="1"/>
  <c r="H155" i="22" s="1"/>
  <c r="K154" i="22" a="1"/>
  <c r="K154" i="22" s="1"/>
  <c r="H154" i="22" a="1"/>
  <c r="H154" i="22" s="1"/>
  <c r="K153" i="22" a="1"/>
  <c r="K153" i="22" s="1"/>
  <c r="J153" i="22" a="1"/>
  <c r="J153" i="22" s="1"/>
  <c r="H153" i="22" a="1"/>
  <c r="H153" i="22" s="1"/>
  <c r="I152" i="22" a="1"/>
  <c r="I152" i="22" s="1"/>
  <c r="I151" i="22" a="1"/>
  <c r="I151" i="22" s="1"/>
  <c r="J150" i="22" a="1"/>
  <c r="J150" i="22" s="1"/>
  <c r="I150" i="22" a="1"/>
  <c r="I150" i="22" s="1"/>
  <c r="K149" i="22" a="1"/>
  <c r="K149" i="22" s="1"/>
  <c r="J149" i="22" a="1"/>
  <c r="J149" i="22" s="1"/>
  <c r="I149" i="22" a="1"/>
  <c r="I149" i="22" s="1"/>
  <c r="K148" i="22" a="1"/>
  <c r="K148" i="22" s="1"/>
  <c r="J148" i="22" a="1"/>
  <c r="J148" i="22" s="1"/>
  <c r="H148" i="22" a="1"/>
  <c r="H148" i="22" s="1"/>
  <c r="J147" i="22" a="1"/>
  <c r="J147" i="22" s="1"/>
  <c r="I147" i="22" a="1"/>
  <c r="I147" i="22" s="1"/>
  <c r="J146" i="22" a="1"/>
  <c r="J146" i="22" s="1"/>
  <c r="I146" i="22" a="1"/>
  <c r="I146" i="22" s="1"/>
  <c r="J145" i="22" a="1"/>
  <c r="J145" i="22" s="1"/>
  <c r="H145" i="22" a="1"/>
  <c r="H145" i="22" s="1"/>
  <c r="I144" i="22" a="1"/>
  <c r="I144" i="22" s="1"/>
  <c r="I143" i="22" a="1"/>
  <c r="I143" i="22" s="1"/>
  <c r="J142" i="22" a="1"/>
  <c r="J142" i="22" s="1"/>
  <c r="I142" i="22" a="1"/>
  <c r="I142" i="22" s="1"/>
  <c r="K141" i="22" a="1"/>
  <c r="K141" i="22" s="1"/>
  <c r="J141" i="22" a="1"/>
  <c r="J141" i="22" s="1"/>
  <c r="I141" i="22" a="1"/>
  <c r="I141" i="22" s="1"/>
  <c r="K140" i="22" a="1"/>
  <c r="K140" i="22" s="1"/>
  <c r="J140" i="22" a="1"/>
  <c r="J140" i="22" s="1"/>
  <c r="H140" i="22" a="1"/>
  <c r="H140" i="22" s="1"/>
  <c r="J139" i="22" a="1"/>
  <c r="J139" i="22" s="1"/>
  <c r="I139" i="22" a="1"/>
  <c r="I139" i="22" s="1"/>
  <c r="J138" i="22" a="1"/>
  <c r="J138" i="22" s="1"/>
  <c r="I138" i="22" a="1"/>
  <c r="I138" i="22" s="1"/>
  <c r="J137" i="22" a="1"/>
  <c r="J137" i="22" s="1"/>
  <c r="H137" i="22" a="1"/>
  <c r="H137" i="22" s="1"/>
  <c r="I136" i="22" a="1"/>
  <c r="I136" i="22" s="1"/>
  <c r="H135" i="22" a="1"/>
  <c r="H135" i="22" s="1"/>
  <c r="K134" i="22" a="1"/>
  <c r="K134" i="22" s="1"/>
  <c r="H134" i="22" a="1"/>
  <c r="H134" i="22" s="1"/>
  <c r="H133" i="22" a="1"/>
  <c r="H133" i="22" s="1"/>
  <c r="I132" i="22" a="1"/>
  <c r="I132" i="22" s="1"/>
  <c r="K282" i="22" a="1"/>
  <c r="K282" i="22" s="1"/>
  <c r="I281" i="22" a="1"/>
  <c r="I281" i="22" s="1"/>
  <c r="K279" i="22" a="1"/>
  <c r="K279" i="22" s="1"/>
  <c r="H278" i="22" a="1"/>
  <c r="H278" i="22" s="1"/>
  <c r="J276" i="22" a="1"/>
  <c r="J276" i="22" s="1"/>
  <c r="J273" i="22" a="1"/>
  <c r="J273" i="22" s="1"/>
  <c r="I270" i="22" a="1"/>
  <c r="I270" i="22" s="1"/>
  <c r="K268" i="22" a="1"/>
  <c r="K268" i="22" s="1"/>
  <c r="H267" i="22" a="1"/>
  <c r="H267" i="22" s="1"/>
  <c r="K265" i="22" a="1"/>
  <c r="K265" i="22" s="1"/>
  <c r="H264" i="22" a="1"/>
  <c r="H264" i="22" s="1"/>
  <c r="J262" i="22" a="1"/>
  <c r="J262" i="22" s="1"/>
  <c r="H261" i="22" a="1"/>
  <c r="H261" i="22" s="1"/>
  <c r="I259" i="22" a="1"/>
  <c r="I259" i="22" s="1"/>
  <c r="H258" i="22" a="1"/>
  <c r="H258" i="22" s="1"/>
  <c r="K254" i="22" a="1"/>
  <c r="K254" i="22" s="1"/>
  <c r="J251" i="22" a="1"/>
  <c r="J251" i="22" s="1"/>
  <c r="I248" i="22" a="1"/>
  <c r="I248" i="22" s="1"/>
  <c r="H247" i="22" a="1"/>
  <c r="H247" i="22" s="1"/>
  <c r="I245" i="22" a="1"/>
  <c r="I245" i="22" s="1"/>
  <c r="K243" i="22" a="1"/>
  <c r="K243" i="22" s="1"/>
  <c r="I242" i="22" a="1"/>
  <c r="I242" i="22" s="1"/>
  <c r="J240" i="22" a="1"/>
  <c r="J240" i="22" s="1"/>
  <c r="I239" i="22" a="1"/>
  <c r="I239" i="22" s="1"/>
  <c r="J237" i="22" a="1"/>
  <c r="J237" i="22" s="1"/>
  <c r="H236" i="22" a="1"/>
  <c r="H236" i="22" s="1"/>
  <c r="K232" i="22" a="1"/>
  <c r="K232" i="22" s="1"/>
  <c r="K229" i="22" a="1"/>
  <c r="K229" i="22" s="1"/>
  <c r="I228" i="22" a="1"/>
  <c r="I228" i="22" s="1"/>
  <c r="J226" i="22" a="1"/>
  <c r="J226" i="22" s="1"/>
  <c r="K225" i="22" a="1"/>
  <c r="K225" i="22" s="1"/>
  <c r="K224" i="22" a="1"/>
  <c r="K224" i="22" s="1"/>
  <c r="H224" i="22" a="1"/>
  <c r="H224" i="22" s="1"/>
  <c r="J222" i="22" a="1"/>
  <c r="J222" i="22" s="1"/>
  <c r="K221" i="22" a="1"/>
  <c r="K221" i="22" s="1"/>
  <c r="H221" i="22" a="1"/>
  <c r="H221" i="22" s="1"/>
  <c r="I220" i="22" a="1"/>
  <c r="I220" i="22" s="1"/>
  <c r="I219" i="22" a="1"/>
  <c r="I219" i="22" s="1"/>
  <c r="J218" i="22" a="1"/>
  <c r="J218" i="22" s="1"/>
  <c r="H218" i="22" a="1"/>
  <c r="H218" i="22" s="1"/>
  <c r="I217" i="22" a="1"/>
  <c r="I217" i="22" s="1"/>
  <c r="I216" i="22" a="1"/>
  <c r="I216" i="22" s="1"/>
  <c r="K215" i="22" a="1"/>
  <c r="K215" i="22" s="1"/>
  <c r="H215" i="22" a="1"/>
  <c r="H215" i="22" s="1"/>
  <c r="H214" i="22" a="1"/>
  <c r="H214" i="22" s="1"/>
  <c r="I213" i="22" a="1"/>
  <c r="I213" i="22" s="1"/>
  <c r="K212" i="22" a="1"/>
  <c r="K212" i="22" s="1"/>
  <c r="I211" i="22" a="1"/>
  <c r="I211" i="22" s="1"/>
  <c r="J208" i="22" a="1"/>
  <c r="J208" i="22" s="1"/>
  <c r="H207" i="22" a="1"/>
  <c r="H207" i="22" s="1"/>
  <c r="J206" i="22" a="1"/>
  <c r="J206" i="22" s="1"/>
  <c r="J205" i="22" a="1"/>
  <c r="J205" i="22" s="1"/>
  <c r="K204" i="22" a="1"/>
  <c r="K204" i="22" s="1"/>
  <c r="I203" i="22" a="1"/>
  <c r="I203" i="22" s="1"/>
  <c r="J200" i="22" a="1"/>
  <c r="J200" i="22" s="1"/>
  <c r="H199" i="22" a="1"/>
  <c r="H199" i="22" s="1"/>
  <c r="J198" i="22" a="1"/>
  <c r="J198" i="22" s="1"/>
  <c r="J197" i="22" a="1"/>
  <c r="J197" i="22" s="1"/>
  <c r="K196" i="22" a="1"/>
  <c r="K196" i="22" s="1"/>
  <c r="I195" i="22" a="1"/>
  <c r="I195" i="22" s="1"/>
  <c r="J192" i="22" a="1"/>
  <c r="J192" i="22" s="1"/>
  <c r="H191" i="22" a="1"/>
  <c r="H191" i="22" s="1"/>
  <c r="J190" i="22" a="1"/>
  <c r="J190" i="22" s="1"/>
  <c r="J189" i="22" a="1"/>
  <c r="J189" i="22" s="1"/>
  <c r="K188" i="22" a="1"/>
  <c r="K188" i="22" s="1"/>
  <c r="I187" i="22" a="1"/>
  <c r="I187" i="22" s="1"/>
  <c r="J184" i="22" a="1"/>
  <c r="J184" i="22" s="1"/>
  <c r="H183" i="22" a="1"/>
  <c r="H183" i="22" s="1"/>
  <c r="J182" i="22" a="1"/>
  <c r="J182" i="22" s="1"/>
  <c r="J181" i="22" a="1"/>
  <c r="J181" i="22" s="1"/>
  <c r="K180" i="22" a="1"/>
  <c r="K180" i="22" s="1"/>
  <c r="I179" i="22" a="1"/>
  <c r="I179" i="22" s="1"/>
  <c r="J176" i="22" a="1"/>
  <c r="J176" i="22" s="1"/>
  <c r="H175" i="22" a="1"/>
  <c r="H175" i="22" s="1"/>
  <c r="J174" i="22" a="1"/>
  <c r="J174" i="22" s="1"/>
  <c r="J173" i="22" a="1"/>
  <c r="J173" i="22" s="1"/>
  <c r="K172" i="22" a="1"/>
  <c r="K172" i="22" s="1"/>
  <c r="I171" i="22" a="1"/>
  <c r="I171" i="22" s="1"/>
  <c r="J168" i="22" a="1"/>
  <c r="J168" i="22" s="1"/>
  <c r="H167" i="22" a="1"/>
  <c r="H167" i="22" s="1"/>
  <c r="J166" i="22" a="1"/>
  <c r="J166" i="22" s="1"/>
  <c r="J165" i="22" a="1"/>
  <c r="J165" i="22" s="1"/>
  <c r="K164" i="22" a="1"/>
  <c r="K164" i="22" s="1"/>
  <c r="I163" i="22" a="1"/>
  <c r="I163" i="22" s="1"/>
  <c r="H161" i="22" a="1"/>
  <c r="H161" i="22" s="1"/>
  <c r="I160" i="22" a="1"/>
  <c r="I160" i="22" s="1"/>
  <c r="K158" i="22" a="1"/>
  <c r="K158" i="22" s="1"/>
  <c r="H158" i="22" a="1"/>
  <c r="H158" i="22" s="1"/>
  <c r="I157" i="22" a="1"/>
  <c r="I157" i="22" s="1"/>
  <c r="J156" i="22" a="1"/>
  <c r="J156" i="22" s="1"/>
  <c r="J155" i="22" a="1"/>
  <c r="J155" i="22" s="1"/>
  <c r="I154" i="22" a="1"/>
  <c r="I154" i="22" s="1"/>
  <c r="K152" i="22" a="1"/>
  <c r="K152" i="22" s="1"/>
  <c r="H152" i="22" a="1"/>
  <c r="H152" i="22" s="1"/>
  <c r="J151" i="22" a="1"/>
  <c r="J151" i="22" s="1"/>
  <c r="K150" i="22" a="1"/>
  <c r="K150" i="22" s="1"/>
  <c r="H150" i="22" a="1"/>
  <c r="H150" i="22" s="1"/>
  <c r="K147" i="22" a="1"/>
  <c r="K147" i="22" s="1"/>
  <c r="H147" i="22" a="1"/>
  <c r="H147" i="22" s="1"/>
  <c r="K145" i="22" a="1"/>
  <c r="K145" i="22" s="1"/>
  <c r="K144" i="22" a="1"/>
  <c r="K144" i="22" s="1"/>
  <c r="H144" i="22" a="1"/>
  <c r="H144" i="22" s="1"/>
  <c r="J143" i="22" a="1"/>
  <c r="J143" i="22" s="1"/>
  <c r="K142" i="22" a="1"/>
  <c r="K142" i="22" s="1"/>
  <c r="H142" i="22" a="1"/>
  <c r="H142" i="22" s="1"/>
  <c r="K139" i="22" a="1"/>
  <c r="K139" i="22" s="1"/>
  <c r="H139" i="22" a="1"/>
  <c r="H139" i="22" s="1"/>
  <c r="K137" i="22" a="1"/>
  <c r="K137" i="22" s="1"/>
  <c r="K136" i="22" a="1"/>
  <c r="K136" i="22" s="1"/>
  <c r="H136" i="22" a="1"/>
  <c r="H136" i="22" s="1"/>
  <c r="J135" i="22" a="1"/>
  <c r="J135" i="22" s="1"/>
  <c r="I134" i="22" a="1"/>
  <c r="I134" i="22" s="1"/>
  <c r="J133" i="22" a="1"/>
  <c r="J133" i="22" s="1"/>
  <c r="K132" i="22" a="1"/>
  <c r="K132" i="22" s="1"/>
  <c r="H132" i="22" a="1"/>
  <c r="H132" i="22" s="1"/>
  <c r="J131" i="22" a="1"/>
  <c r="J131" i="22" s="1"/>
  <c r="I131" i="22" a="1"/>
  <c r="I131" i="22" s="1"/>
  <c r="J130" i="22" a="1"/>
  <c r="J130" i="22" s="1"/>
  <c r="I280" i="22" a="1"/>
  <c r="I280" i="22" s="1"/>
  <c r="H279" i="22" a="1"/>
  <c r="H279" i="22" s="1"/>
  <c r="I277" i="22" a="1"/>
  <c r="I277" i="22" s="1"/>
  <c r="K275" i="22" a="1"/>
  <c r="K275" i="22" s="1"/>
  <c r="I274" i="22" a="1"/>
  <c r="I274" i="22" s="1"/>
  <c r="J272" i="22" a="1"/>
  <c r="J272" i="22" s="1"/>
  <c r="I271" i="22" a="1"/>
  <c r="I271" i="22" s="1"/>
  <c r="J269" i="22" a="1"/>
  <c r="J269" i="22" s="1"/>
  <c r="H268" i="22" a="1"/>
  <c r="H268" i="22" s="1"/>
  <c r="K264" i="22" a="1"/>
  <c r="K264" i="22" s="1"/>
  <c r="K261" i="22" a="1"/>
  <c r="K261" i="22" s="1"/>
  <c r="I260" i="22" a="1"/>
  <c r="I260" i="22" s="1"/>
  <c r="J258" i="22" a="1"/>
  <c r="J258" i="22" s="1"/>
  <c r="H257" i="22" a="1"/>
  <c r="H257" i="22" s="1"/>
  <c r="J255" i="22" a="1"/>
  <c r="J255" i="22" s="1"/>
  <c r="K250" i="22" a="1"/>
  <c r="K250" i="22" s="1"/>
  <c r="I249" i="22" a="1"/>
  <c r="I249" i="22" s="1"/>
  <c r="K247" i="22" a="1"/>
  <c r="K247" i="22" s="1"/>
  <c r="H246" i="22" a="1"/>
  <c r="H246" i="22" s="1"/>
  <c r="J244" i="22" a="1"/>
  <c r="J244" i="22" s="1"/>
  <c r="J241" i="22" a="1"/>
  <c r="J241" i="22" s="1"/>
  <c r="I238" i="22" a="1"/>
  <c r="I238" i="22" s="1"/>
  <c r="K236" i="22" a="1"/>
  <c r="K236" i="22" s="1"/>
  <c r="H235" i="22" a="1"/>
  <c r="H235" i="22" s="1"/>
  <c r="K233" i="22" a="1"/>
  <c r="K233" i="22" s="1"/>
  <c r="H232" i="22" a="1"/>
  <c r="H232" i="22" s="1"/>
  <c r="J230" i="22" a="1"/>
  <c r="J230" i="22" s="1"/>
  <c r="H229" i="22" a="1"/>
  <c r="H229" i="22" s="1"/>
  <c r="I227" i="22" a="1"/>
  <c r="I227" i="22" s="1"/>
  <c r="I225" i="22" a="1"/>
  <c r="I225" i="22" s="1"/>
  <c r="I224" i="22" a="1"/>
  <c r="I224" i="22" s="1"/>
  <c r="K223" i="22" a="1"/>
  <c r="K223" i="22" s="1"/>
  <c r="H223" i="22" a="1"/>
  <c r="H223" i="22" s="1"/>
  <c r="H222" i="22" a="1"/>
  <c r="H222" i="22" s="1"/>
  <c r="I221" i="22" a="1"/>
  <c r="I221" i="22" s="1"/>
  <c r="J220" i="22" a="1"/>
  <c r="J220" i="22" s="1"/>
  <c r="K219" i="22" a="1"/>
  <c r="K219" i="22" s="1"/>
  <c r="I218" i="22" a="1"/>
  <c r="I218" i="22" s="1"/>
  <c r="K217" i="22" a="1"/>
  <c r="K217" i="22" s="1"/>
  <c r="K216" i="22" a="1"/>
  <c r="K216" i="22" s="1"/>
  <c r="H216" i="22" a="1"/>
  <c r="H216" i="22" s="1"/>
  <c r="J214" i="22" a="1"/>
  <c r="J214" i="22" s="1"/>
  <c r="K213" i="22" a="1"/>
  <c r="K213" i="22" s="1"/>
  <c r="H213" i="22" a="1"/>
  <c r="H213" i="22" s="1"/>
  <c r="J212" i="22" a="1"/>
  <c r="J212" i="22" s="1"/>
  <c r="K211" i="22" a="1"/>
  <c r="K211" i="22" s="1"/>
  <c r="H211" i="22" a="1"/>
  <c r="H211" i="22" s="1"/>
  <c r="I210" i="22" a="1"/>
  <c r="I210" i="22" s="1"/>
  <c r="J209" i="22" a="1"/>
  <c r="J209" i="22" s="1"/>
  <c r="H208" i="22" a="1"/>
  <c r="H208" i="22" s="1"/>
  <c r="I207" i="22" a="1"/>
  <c r="I207" i="22" s="1"/>
  <c r="K206" i="22" a="1"/>
  <c r="K206" i="22" s="1"/>
  <c r="H206" i="22" a="1"/>
  <c r="H206" i="22" s="1"/>
  <c r="H205" i="22" a="1"/>
  <c r="H205" i="22" s="1"/>
  <c r="J204" i="22" a="1"/>
  <c r="J204" i="22" s="1"/>
  <c r="K203" i="22" a="1"/>
  <c r="K203" i="22" s="1"/>
  <c r="H203" i="22" a="1"/>
  <c r="H203" i="22" s="1"/>
  <c r="I202" i="22" a="1"/>
  <c r="I202" i="22" s="1"/>
  <c r="J201" i="22" a="1"/>
  <c r="J201" i="22" s="1"/>
  <c r="H200" i="22" a="1"/>
  <c r="H200" i="22" s="1"/>
  <c r="I199" i="22" a="1"/>
  <c r="I199" i="22" s="1"/>
  <c r="K198" i="22" a="1"/>
  <c r="K198" i="22" s="1"/>
  <c r="H198" i="22" a="1"/>
  <c r="H198" i="22" s="1"/>
  <c r="H197" i="22" a="1"/>
  <c r="H197" i="22" s="1"/>
  <c r="J196" i="22" a="1"/>
  <c r="J196" i="22" s="1"/>
  <c r="K195" i="22" a="1"/>
  <c r="K195" i="22" s="1"/>
  <c r="H195" i="22" a="1"/>
  <c r="H195" i="22" s="1"/>
  <c r="I194" i="22" a="1"/>
  <c r="I194" i="22" s="1"/>
  <c r="J193" i="22" a="1"/>
  <c r="J193" i="22" s="1"/>
  <c r="H192" i="22" a="1"/>
  <c r="H192" i="22" s="1"/>
  <c r="I191" i="22" a="1"/>
  <c r="I191" i="22" s="1"/>
  <c r="K190" i="22" a="1"/>
  <c r="K190" i="22" s="1"/>
  <c r="H190" i="22" a="1"/>
  <c r="H190" i="22" s="1"/>
  <c r="H189" i="22" a="1"/>
  <c r="H189" i="22" s="1"/>
  <c r="J188" i="22" a="1"/>
  <c r="J188" i="22" s="1"/>
  <c r="K187" i="22" a="1"/>
  <c r="K187" i="22" s="1"/>
  <c r="H187" i="22" a="1"/>
  <c r="H187" i="22" s="1"/>
  <c r="I186" i="22" a="1"/>
  <c r="I186" i="22" s="1"/>
  <c r="J185" i="22" a="1"/>
  <c r="J185" i="22" s="1"/>
  <c r="H184" i="22" a="1"/>
  <c r="H184" i="22" s="1"/>
  <c r="I183" i="22" a="1"/>
  <c r="I183" i="22" s="1"/>
  <c r="K182" i="22" a="1"/>
  <c r="K182" i="22" s="1"/>
  <c r="H182" i="22" a="1"/>
  <c r="H182" i="22" s="1"/>
  <c r="H181" i="22" a="1"/>
  <c r="H181" i="22" s="1"/>
  <c r="J180" i="22" a="1"/>
  <c r="J180" i="22" s="1"/>
  <c r="K179" i="22" a="1"/>
  <c r="K179" i="22" s="1"/>
  <c r="H179" i="22" a="1"/>
  <c r="H179" i="22" s="1"/>
  <c r="I178" i="22" a="1"/>
  <c r="I178" i="22" s="1"/>
  <c r="J177" i="22" a="1"/>
  <c r="J177" i="22" s="1"/>
  <c r="H176" i="22" a="1"/>
  <c r="H176" i="22" s="1"/>
  <c r="I175" i="22" a="1"/>
  <c r="I175" i="22" s="1"/>
  <c r="K174" i="22" a="1"/>
  <c r="K174" i="22" s="1"/>
  <c r="H174" i="22" a="1"/>
  <c r="H174" i="22" s="1"/>
  <c r="H173" i="22" a="1"/>
  <c r="H173" i="22" s="1"/>
  <c r="J172" i="22" a="1"/>
  <c r="J172" i="22" s="1"/>
  <c r="K171" i="22" a="1"/>
  <c r="K171" i="22" s="1"/>
  <c r="H171" i="22" a="1"/>
  <c r="H171" i="22" s="1"/>
  <c r="I170" i="22" a="1"/>
  <c r="I170" i="22" s="1"/>
  <c r="J169" i="22" a="1"/>
  <c r="J169" i="22" s="1"/>
  <c r="H168" i="22" a="1"/>
  <c r="H168" i="22" s="1"/>
  <c r="I167" i="22" a="1"/>
  <c r="I167" i="22" s="1"/>
  <c r="K166" i="22" a="1"/>
  <c r="K166" i="22" s="1"/>
  <c r="H166" i="22" a="1"/>
  <c r="H166" i="22" s="1"/>
  <c r="H165" i="22" a="1"/>
  <c r="H165" i="22" s="1"/>
  <c r="J164" i="22" a="1"/>
  <c r="J164" i="22" s="1"/>
  <c r="K163" i="22" a="1"/>
  <c r="K163" i="22" s="1"/>
  <c r="H163" i="22" a="1"/>
  <c r="H163" i="22" s="1"/>
  <c r="I162" i="22" a="1"/>
  <c r="I162" i="22" s="1"/>
  <c r="J161" i="22" a="1"/>
  <c r="J161" i="22" s="1"/>
  <c r="K160" i="22" a="1"/>
  <c r="K160" i="22" s="1"/>
  <c r="H160" i="22" a="1"/>
  <c r="H160" i="22" s="1"/>
  <c r="I159" i="22" a="1"/>
  <c r="I159" i="22" s="1"/>
  <c r="J158" i="22" a="1"/>
  <c r="J158" i="22" s="1"/>
  <c r="K157" i="22" a="1"/>
  <c r="K157" i="22" s="1"/>
  <c r="K156" i="22" a="1"/>
  <c r="K156" i="22" s="1"/>
  <c r="H156" i="22" a="1"/>
  <c r="H156" i="22" s="1"/>
  <c r="I155" i="22" a="1"/>
  <c r="I155" i="22" s="1"/>
  <c r="J154" i="22" a="1"/>
  <c r="J154" i="22" s="1"/>
  <c r="I153" i="22" a="1"/>
  <c r="I153" i="22" s="1"/>
  <c r="J152" i="22" a="1"/>
  <c r="J152" i="22" s="1"/>
  <c r="K151" i="22" a="1"/>
  <c r="K151" i="22" s="1"/>
  <c r="H151" i="22" a="1"/>
  <c r="H151" i="22" s="1"/>
  <c r="H149" i="22" a="1"/>
  <c r="H149" i="22" s="1"/>
  <c r="I148" i="22" a="1"/>
  <c r="I148" i="22" s="1"/>
  <c r="K146" i="22" a="1"/>
  <c r="K146" i="22" s="1"/>
  <c r="H146" i="22" a="1"/>
  <c r="H146" i="22" s="1"/>
  <c r="I145" i="22" a="1"/>
  <c r="I145" i="22" s="1"/>
  <c r="J144" i="22" a="1"/>
  <c r="J144" i="22" s="1"/>
  <c r="K143" i="22" a="1"/>
  <c r="K143" i="22" s="1"/>
  <c r="H143" i="22" a="1"/>
  <c r="H143" i="22" s="1"/>
  <c r="H141" i="22" a="1"/>
  <c r="H141" i="22" s="1"/>
  <c r="I140" i="22" a="1"/>
  <c r="I140" i="22" s="1"/>
  <c r="K138" i="22" a="1"/>
  <c r="K138" i="22" s="1"/>
  <c r="H138" i="22" a="1"/>
  <c r="H138" i="22" s="1"/>
  <c r="I137" i="22" a="1"/>
  <c r="I137" i="22" s="1"/>
  <c r="J136" i="22" a="1"/>
  <c r="J136" i="22" s="1"/>
  <c r="K135" i="22" a="1"/>
  <c r="K135" i="22" s="1"/>
  <c r="I135" i="22" a="1"/>
  <c r="I135" i="22" s="1"/>
  <c r="J134" i="22" a="1"/>
  <c r="J134" i="22" s="1"/>
  <c r="K133" i="22" a="1"/>
  <c r="K133" i="22" s="1"/>
  <c r="I133" i="22" a="1"/>
  <c r="I133" i="22" s="1"/>
  <c r="J132" i="22" a="1"/>
  <c r="J132" i="22" s="1"/>
  <c r="K131" i="22" a="1"/>
  <c r="K131" i="22" s="1"/>
  <c r="H131" i="22" a="1"/>
  <c r="H131" i="22" s="1"/>
  <c r="K130" i="22" a="1"/>
  <c r="K130" i="22" s="1"/>
  <c r="H130" i="22" a="1"/>
  <c r="H130" i="22" s="1"/>
  <c r="K129" i="22" a="1"/>
  <c r="K129" i="22" s="1"/>
  <c r="J129" i="22" a="1"/>
  <c r="J129" i="22" s="1"/>
  <c r="H129" i="22" a="1"/>
  <c r="H129" i="22" s="1"/>
  <c r="I128" i="22" a="1"/>
  <c r="I128" i="22" s="1"/>
  <c r="K127" i="22" a="1"/>
  <c r="K127" i="22" s="1"/>
  <c r="J127" i="22" a="1"/>
  <c r="J127" i="22" s="1"/>
  <c r="H127" i="22" a="1"/>
  <c r="H127" i="22" s="1"/>
  <c r="K126" i="22" a="1"/>
  <c r="K126" i="22" s="1"/>
  <c r="H126" i="22" a="1"/>
  <c r="H126" i="22" s="1"/>
  <c r="J125" i="22" a="1"/>
  <c r="J125" i="22" s="1"/>
  <c r="I125" i="22" a="1"/>
  <c r="I125" i="22" s="1"/>
  <c r="K124" i="22" a="1"/>
  <c r="K124" i="22" s="1"/>
  <c r="J124" i="22" a="1"/>
  <c r="J124" i="22" s="1"/>
  <c r="H124" i="22" a="1"/>
  <c r="H124" i="22" s="1"/>
  <c r="J123" i="22" a="1"/>
  <c r="J123" i="22" s="1"/>
  <c r="H123" i="22" a="1"/>
  <c r="H123" i="22" s="1"/>
  <c r="K122" i="22" a="1"/>
  <c r="K122" i="22" s="1"/>
  <c r="H122" i="22" a="1"/>
  <c r="H122" i="22" s="1"/>
  <c r="K121" i="22" a="1"/>
  <c r="K121" i="22" s="1"/>
  <c r="I121" i="22" a="1"/>
  <c r="I121" i="22" s="1"/>
  <c r="K120" i="22" a="1"/>
  <c r="K120" i="22" s="1"/>
  <c r="J120" i="22" a="1"/>
  <c r="J120" i="22" s="1"/>
  <c r="H120" i="22" a="1"/>
  <c r="H120" i="22" s="1"/>
  <c r="I119" i="22" a="1"/>
  <c r="I119" i="22" s="1"/>
  <c r="J118" i="22" a="1"/>
  <c r="J118" i="22" s="1"/>
  <c r="I118" i="22" a="1"/>
  <c r="I118" i="22" s="1"/>
  <c r="K117" i="22" a="1"/>
  <c r="K117" i="22" s="1"/>
  <c r="H117" i="22" a="1"/>
  <c r="H117" i="22" s="1"/>
  <c r="I116" i="22" a="1"/>
  <c r="I116" i="22" s="1"/>
  <c r="K115" i="22" a="1"/>
  <c r="K115" i="22" s="1"/>
  <c r="I115" i="22" a="1"/>
  <c r="I115" i="22" s="1"/>
  <c r="J114" i="22" a="1"/>
  <c r="J114" i="22" s="1"/>
  <c r="I114" i="22" a="1"/>
  <c r="I114" i="22" s="1"/>
  <c r="J113" i="22" a="1"/>
  <c r="J113" i="22" s="1"/>
  <c r="H113" i="22" a="1"/>
  <c r="H113" i="22" s="1"/>
  <c r="I112" i="22" a="1"/>
  <c r="I112" i="22" s="1"/>
  <c r="K111" i="22" a="1"/>
  <c r="K111" i="22" s="1"/>
  <c r="J111" i="22" a="1"/>
  <c r="J111" i="22" s="1"/>
  <c r="H111" i="22" a="1"/>
  <c r="H111" i="22" s="1"/>
  <c r="K110" i="22" a="1"/>
  <c r="K110" i="22" s="1"/>
  <c r="H110" i="22" a="1"/>
  <c r="H110" i="22" s="1"/>
  <c r="J109" i="22" a="1"/>
  <c r="J109" i="22" s="1"/>
  <c r="I109" i="22" a="1"/>
  <c r="I109" i="22" s="1"/>
  <c r="K108" i="22" a="1"/>
  <c r="K108" i="22" s="1"/>
  <c r="J108" i="22" a="1"/>
  <c r="J108" i="22" s="1"/>
  <c r="H108" i="22" a="1"/>
  <c r="H108" i="22" s="1"/>
  <c r="J107" i="22" a="1"/>
  <c r="J107" i="22" s="1"/>
  <c r="H107" i="22" a="1"/>
  <c r="H107" i="22" s="1"/>
  <c r="K106" i="22" a="1"/>
  <c r="K106" i="22" s="1"/>
  <c r="H106" i="22" a="1"/>
  <c r="H106" i="22" s="1"/>
  <c r="K105" i="22" a="1"/>
  <c r="K105" i="22" s="1"/>
  <c r="J105" i="22" a="1"/>
  <c r="J105" i="22" s="1"/>
  <c r="H105" i="22" a="1"/>
  <c r="H105" i="22" s="1"/>
  <c r="I104" i="22" a="1"/>
  <c r="I104" i="22" s="1"/>
  <c r="K103" i="22" a="1"/>
  <c r="K103" i="22" s="1"/>
  <c r="J103" i="22" a="1"/>
  <c r="J103" i="22" s="1"/>
  <c r="I103" i="22" a="1"/>
  <c r="I103" i="22" s="1"/>
  <c r="I130" i="22" a="1"/>
  <c r="I130" i="22" s="1"/>
  <c r="K128" i="22" a="1"/>
  <c r="K128" i="22" s="1"/>
  <c r="H128" i="22" a="1"/>
  <c r="H128" i="22" s="1"/>
  <c r="I127" i="22" a="1"/>
  <c r="I127" i="22" s="1"/>
  <c r="J126" i="22" a="1"/>
  <c r="J126" i="22" s="1"/>
  <c r="K125" i="22" a="1"/>
  <c r="K125" i="22" s="1"/>
  <c r="H125" i="22" a="1"/>
  <c r="H125" i="22" s="1"/>
  <c r="I124" i="22" a="1"/>
  <c r="I124" i="22" s="1"/>
  <c r="I123" i="22" a="1"/>
  <c r="I123" i="22" s="1"/>
  <c r="J122" i="22" a="1"/>
  <c r="J122" i="22" s="1"/>
  <c r="H121" i="22" a="1"/>
  <c r="H121" i="22" s="1"/>
  <c r="I120" i="22" a="1"/>
  <c r="I120" i="22" s="1"/>
  <c r="J119" i="22" a="1"/>
  <c r="J119" i="22" s="1"/>
  <c r="K118" i="22" a="1"/>
  <c r="K118" i="22" s="1"/>
  <c r="H118" i="22" a="1"/>
  <c r="H118" i="22" s="1"/>
  <c r="I117" i="22" a="1"/>
  <c r="I117" i="22" s="1"/>
  <c r="J116" i="22" a="1"/>
  <c r="J116" i="22" s="1"/>
  <c r="J115" i="22" a="1"/>
  <c r="J115" i="22" s="1"/>
  <c r="K114" i="22" a="1"/>
  <c r="K114" i="22" s="1"/>
  <c r="H114" i="22" a="1"/>
  <c r="H114" i="22" s="1"/>
  <c r="I113" i="22" a="1"/>
  <c r="I113" i="22" s="1"/>
  <c r="J112" i="22" a="1"/>
  <c r="J112" i="22" s="1"/>
  <c r="I110" i="22" a="1"/>
  <c r="I110" i="22" s="1"/>
  <c r="K107" i="22" a="1"/>
  <c r="K107" i="22" s="1"/>
  <c r="I106" i="22" a="1"/>
  <c r="I106" i="22" s="1"/>
  <c r="K104" i="22" a="1"/>
  <c r="K104" i="22" s="1"/>
  <c r="H104" i="22" a="1"/>
  <c r="H104" i="22" s="1"/>
  <c r="J102" i="22" a="1"/>
  <c r="J102" i="22" s="1"/>
  <c r="I102" i="22" a="1"/>
  <c r="I102" i="22" s="1"/>
  <c r="K101" i="22" a="1"/>
  <c r="K101" i="22" s="1"/>
  <c r="H101" i="22" a="1"/>
  <c r="H101" i="22" s="1"/>
  <c r="I100" i="22" a="1"/>
  <c r="I100" i="22" s="1"/>
  <c r="J99" i="22" a="1"/>
  <c r="J99" i="22" s="1"/>
  <c r="H99" i="22" a="1"/>
  <c r="H99" i="22" s="1"/>
  <c r="K98" i="22" a="1"/>
  <c r="K98" i="22" s="1"/>
  <c r="H98" i="22" a="1"/>
  <c r="H98" i="22" s="1"/>
  <c r="K97" i="22" a="1"/>
  <c r="K97" i="22" s="1"/>
  <c r="J97" i="22" a="1"/>
  <c r="J97" i="22" s="1"/>
  <c r="H97" i="22" a="1"/>
  <c r="H97" i="22" s="1"/>
  <c r="I96" i="22" a="1"/>
  <c r="I96" i="22" s="1"/>
  <c r="K95" i="22" a="1"/>
  <c r="K95" i="22" s="1"/>
  <c r="J95" i="22" a="1"/>
  <c r="J95" i="22" s="1"/>
  <c r="H95" i="22" a="1"/>
  <c r="H95" i="22" s="1"/>
  <c r="K94" i="22" a="1"/>
  <c r="K94" i="22" s="1"/>
  <c r="H94" i="22" a="1"/>
  <c r="H94" i="22" s="1"/>
  <c r="J93" i="22" a="1"/>
  <c r="J93" i="22" s="1"/>
  <c r="I93" i="22" a="1"/>
  <c r="I93" i="22" s="1"/>
  <c r="K92" i="22" a="1"/>
  <c r="K92" i="22" s="1"/>
  <c r="J92" i="22" a="1"/>
  <c r="J92" i="22" s="1"/>
  <c r="H92" i="22" a="1"/>
  <c r="H92" i="22" s="1"/>
  <c r="J91" i="22" a="1"/>
  <c r="J91" i="22" s="1"/>
  <c r="H91" i="22" a="1"/>
  <c r="H91" i="22" s="1"/>
  <c r="K90" i="22" a="1"/>
  <c r="K90" i="22" s="1"/>
  <c r="H90" i="22" a="1"/>
  <c r="H90" i="22" s="1"/>
  <c r="K89" i="22" a="1"/>
  <c r="K89" i="22" s="1"/>
  <c r="I89" i="22" a="1"/>
  <c r="I89" i="22" s="1"/>
  <c r="K88" i="22" a="1"/>
  <c r="K88" i="22" s="1"/>
  <c r="J88" i="22" a="1"/>
  <c r="J88" i="22" s="1"/>
  <c r="H88" i="22" a="1"/>
  <c r="H88" i="22" s="1"/>
  <c r="H87" i="22" a="1"/>
  <c r="H87" i="22" s="1"/>
  <c r="K86" i="22" a="1"/>
  <c r="K86" i="22" s="1"/>
  <c r="H86" i="22" a="1"/>
  <c r="H86" i="22" s="1"/>
  <c r="J85" i="22" a="1"/>
  <c r="J85" i="22" s="1"/>
  <c r="I85" i="22" a="1"/>
  <c r="I85" i="22" s="1"/>
  <c r="K84" i="22" a="1"/>
  <c r="K84" i="22" s="1"/>
  <c r="J84" i="22" a="1"/>
  <c r="J84" i="22" s="1"/>
  <c r="H84" i="22" a="1"/>
  <c r="H84" i="22" s="1"/>
  <c r="K83" i="22" a="1"/>
  <c r="K83" i="22" s="1"/>
  <c r="I83" i="22" a="1"/>
  <c r="I83" i="22" s="1"/>
  <c r="J82" i="22" a="1"/>
  <c r="J82" i="22" s="1"/>
  <c r="I82" i="22" a="1"/>
  <c r="I82" i="22" s="1"/>
  <c r="J81" i="22" a="1"/>
  <c r="J81" i="22" s="1"/>
  <c r="H81" i="22" a="1"/>
  <c r="H81" i="22" s="1"/>
  <c r="I80" i="22" a="1"/>
  <c r="I80" i="22" s="1"/>
  <c r="K79" i="22" a="1"/>
  <c r="K79" i="22" s="1"/>
  <c r="J79" i="22" a="1"/>
  <c r="J79" i="22" s="1"/>
  <c r="I79" i="22" a="1"/>
  <c r="I79" i="22" s="1"/>
  <c r="J78" i="22" a="1"/>
  <c r="J78" i="22" s="1"/>
  <c r="I78" i="22" a="1"/>
  <c r="I78" i="22" s="1"/>
  <c r="K77" i="22" a="1"/>
  <c r="K77" i="22" s="1"/>
  <c r="H77" i="22" a="1"/>
  <c r="H77" i="22" s="1"/>
  <c r="I76" i="22" a="1"/>
  <c r="I76" i="22" s="1"/>
  <c r="J75" i="22" a="1"/>
  <c r="J75" i="22" s="1"/>
  <c r="H75" i="22" a="1"/>
  <c r="H75" i="22" s="1"/>
  <c r="K74" i="22" a="1"/>
  <c r="K74" i="22" s="1"/>
  <c r="H74" i="22" a="1"/>
  <c r="H74" i="22" s="1"/>
  <c r="K73" i="22" a="1"/>
  <c r="K73" i="22" s="1"/>
  <c r="J73" i="22" a="1"/>
  <c r="J73" i="22" s="1"/>
  <c r="H73" i="22" a="1"/>
  <c r="H73" i="22" s="1"/>
  <c r="I72" i="22" a="1"/>
  <c r="I72" i="22" s="1"/>
  <c r="K71" i="22" a="1"/>
  <c r="K71" i="22" s="1"/>
  <c r="J71" i="22" a="1"/>
  <c r="J71" i="22" s="1"/>
  <c r="H71" i="22" a="1"/>
  <c r="H71" i="22" s="1"/>
  <c r="K70" i="22" a="1"/>
  <c r="K70" i="22" s="1"/>
  <c r="H70" i="22" a="1"/>
  <c r="H70" i="22" s="1"/>
  <c r="J69" i="22" a="1"/>
  <c r="J69" i="22" s="1"/>
  <c r="I69" i="22" a="1"/>
  <c r="I69" i="22" s="1"/>
  <c r="K68" i="22" a="1"/>
  <c r="K68" i="22" s="1"/>
  <c r="J68" i="22" a="1"/>
  <c r="J68" i="22" s="1"/>
  <c r="H68" i="22" a="1"/>
  <c r="H68" i="22" s="1"/>
  <c r="J67" i="22" a="1"/>
  <c r="J67" i="22" s="1"/>
  <c r="H67" i="22" a="1"/>
  <c r="H67" i="22" s="1"/>
  <c r="K66" i="22" a="1"/>
  <c r="K66" i="22" s="1"/>
  <c r="H66" i="22" a="1"/>
  <c r="H66" i="22" s="1"/>
  <c r="K65" i="22" a="1"/>
  <c r="K65" i="22" s="1"/>
  <c r="I65" i="22" a="1"/>
  <c r="I65" i="22" s="1"/>
  <c r="K64" i="22" a="1"/>
  <c r="K64" i="22" s="1"/>
  <c r="J64" i="22" a="1"/>
  <c r="J64" i="22" s="1"/>
  <c r="H64" i="22" a="1"/>
  <c r="H64" i="22" s="1"/>
  <c r="H63" i="22" a="1"/>
  <c r="H63" i="22" s="1"/>
  <c r="K62" i="22" a="1"/>
  <c r="K62" i="22" s="1"/>
  <c r="H62" i="22" a="1"/>
  <c r="H62" i="22" s="1"/>
  <c r="J61" i="22" a="1"/>
  <c r="J61" i="22" s="1"/>
  <c r="I61" i="22" a="1"/>
  <c r="I61" i="22" s="1"/>
  <c r="K60" i="22" a="1"/>
  <c r="K60" i="22" s="1"/>
  <c r="J60" i="22" a="1"/>
  <c r="J60" i="22" s="1"/>
  <c r="H60" i="22" a="1"/>
  <c r="H60" i="22" s="1"/>
  <c r="K59" i="22" a="1"/>
  <c r="K59" i="22" s="1"/>
  <c r="I59" i="22" a="1"/>
  <c r="I59" i="22" s="1"/>
  <c r="J58" i="22" a="1"/>
  <c r="J58" i="22" s="1"/>
  <c r="I58" i="22" a="1"/>
  <c r="I58" i="22" s="1"/>
  <c r="I57" i="22" a="1"/>
  <c r="I57" i="22" s="1"/>
  <c r="K56" i="22" a="1"/>
  <c r="K56" i="22" s="1"/>
  <c r="J56" i="22" a="1"/>
  <c r="J56" i="22" s="1"/>
  <c r="H56" i="22" a="1"/>
  <c r="H56" i="22" s="1"/>
  <c r="H55" i="22" a="1"/>
  <c r="H55" i="22" s="1"/>
  <c r="K54" i="22" a="1"/>
  <c r="K54" i="22" s="1"/>
  <c r="H54" i="22" a="1"/>
  <c r="H54" i="22" s="1"/>
  <c r="J53" i="22" a="1"/>
  <c r="J53" i="22" s="1"/>
  <c r="I53" i="22" a="1"/>
  <c r="I53" i="22" s="1"/>
  <c r="K52" i="22" a="1"/>
  <c r="K52" i="22" s="1"/>
  <c r="J52" i="22" a="1"/>
  <c r="J52" i="22" s="1"/>
  <c r="H52" i="22" a="1"/>
  <c r="H52" i="22" s="1"/>
  <c r="K51" i="22" a="1"/>
  <c r="K51" i="22" s="1"/>
  <c r="I51" i="22" a="1"/>
  <c r="I51" i="22" s="1"/>
  <c r="J50" i="22" a="1"/>
  <c r="J50" i="22" s="1"/>
  <c r="I50" i="22" a="1"/>
  <c r="I50" i="22" s="1"/>
  <c r="I49" i="22" a="1"/>
  <c r="I49" i="22" s="1"/>
  <c r="K48" i="22" a="1"/>
  <c r="K48" i="22" s="1"/>
  <c r="J48" i="22" a="1"/>
  <c r="J48" i="22" s="1"/>
  <c r="H48" i="22" a="1"/>
  <c r="H48" i="22" s="1"/>
  <c r="H47" i="22" a="1"/>
  <c r="H47" i="22" s="1"/>
  <c r="K46" i="22" a="1"/>
  <c r="K46" i="22" s="1"/>
  <c r="H46" i="22" a="1"/>
  <c r="H46" i="22" s="1"/>
  <c r="J45" i="22" a="1"/>
  <c r="J45" i="22" s="1"/>
  <c r="I45" i="22" a="1"/>
  <c r="I45" i="22" s="1"/>
  <c r="K44" i="22" a="1"/>
  <c r="K44" i="22" s="1"/>
  <c r="J44" i="22" a="1"/>
  <c r="J44" i="22" s="1"/>
  <c r="H44" i="22" a="1"/>
  <c r="H44" i="22" s="1"/>
  <c r="J43" i="22" a="1"/>
  <c r="J43" i="22" s="1"/>
  <c r="H43" i="22" a="1"/>
  <c r="H43" i="22" s="1"/>
  <c r="K42" i="22" a="1"/>
  <c r="K42" i="22" s="1"/>
  <c r="H42" i="22" a="1"/>
  <c r="H42" i="22" s="1"/>
  <c r="K41" i="22" a="1"/>
  <c r="K41" i="22" s="1"/>
  <c r="I41" i="22" a="1"/>
  <c r="I41" i="22" s="1"/>
  <c r="K40" i="22" a="1"/>
  <c r="K40" i="22" s="1"/>
  <c r="J40" i="22" a="1"/>
  <c r="J40" i="22" s="1"/>
  <c r="H40" i="22" a="1"/>
  <c r="H40" i="22" s="1"/>
  <c r="I39" i="22" a="1"/>
  <c r="I39" i="22" s="1"/>
  <c r="J38" i="22" a="1"/>
  <c r="J38" i="22" s="1"/>
  <c r="I38" i="22" a="1"/>
  <c r="I38" i="22" s="1"/>
  <c r="K37" i="22" a="1"/>
  <c r="K37" i="22" s="1"/>
  <c r="H37" i="22" a="1"/>
  <c r="H37" i="22" s="1"/>
  <c r="I36" i="22" a="1"/>
  <c r="I36" i="22" s="1"/>
  <c r="J35" i="22" a="1"/>
  <c r="J35" i="22" s="1"/>
  <c r="H35" i="22" a="1"/>
  <c r="H35" i="22" s="1"/>
  <c r="K34" i="22" a="1"/>
  <c r="K34" i="22" s="1"/>
  <c r="H34" i="22" a="1"/>
  <c r="H34" i="22" s="1"/>
  <c r="K33" i="22" a="1"/>
  <c r="K33" i="22" s="1"/>
  <c r="I33" i="22" a="1"/>
  <c r="I33" i="22" s="1"/>
  <c r="K32" i="22" a="1"/>
  <c r="K32" i="22" s="1"/>
  <c r="J32" i="22" a="1"/>
  <c r="J32" i="22" s="1"/>
  <c r="H32" i="22" a="1"/>
  <c r="H32" i="22" s="1"/>
  <c r="H31" i="22" a="1"/>
  <c r="H31" i="22" s="1"/>
  <c r="K30" i="22" a="1"/>
  <c r="K30" i="22" s="1"/>
  <c r="H30" i="22" a="1"/>
  <c r="H30" i="22" s="1"/>
  <c r="J29" i="22" a="1"/>
  <c r="J29" i="22" s="1"/>
  <c r="I29" i="22" a="1"/>
  <c r="I29" i="22" s="1"/>
  <c r="K28" i="22" a="1"/>
  <c r="K28" i="22" s="1"/>
  <c r="J28" i="22" a="1"/>
  <c r="J28" i="22" s="1"/>
  <c r="H28" i="22" a="1"/>
  <c r="H28" i="22" s="1"/>
  <c r="K27" i="22" a="1"/>
  <c r="K27" i="22" s="1"/>
  <c r="I27" i="22" a="1"/>
  <c r="I27" i="22" s="1"/>
  <c r="J26" i="22" a="1"/>
  <c r="J26" i="22" s="1"/>
  <c r="I26" i="22" a="1"/>
  <c r="I26" i="22" s="1"/>
  <c r="I25" i="22" a="1"/>
  <c r="I25" i="22" s="1"/>
  <c r="K24" i="22" a="1"/>
  <c r="K24" i="22" s="1"/>
  <c r="J24" i="22" a="1"/>
  <c r="J24" i="22" s="1"/>
  <c r="H24" i="22" a="1"/>
  <c r="H24" i="22" s="1"/>
  <c r="I23" i="22" a="1"/>
  <c r="I23" i="22" s="1"/>
  <c r="J22" i="22" a="1"/>
  <c r="J22" i="22" s="1"/>
  <c r="I22" i="22" a="1"/>
  <c r="I22" i="22" s="1"/>
  <c r="K21" i="22" a="1"/>
  <c r="K21" i="22" s="1"/>
  <c r="H21" i="22" a="1"/>
  <c r="H21" i="22" s="1"/>
  <c r="I20" i="22" a="1"/>
  <c r="I20" i="22" s="1"/>
  <c r="K19" i="22" a="1"/>
  <c r="K19" i="22" s="1"/>
  <c r="I19" i="22" a="1"/>
  <c r="I19" i="22" s="1"/>
  <c r="J18" i="22" a="1"/>
  <c r="J18" i="22" s="1"/>
  <c r="I18" i="22" a="1"/>
  <c r="I18" i="22" s="1"/>
  <c r="J17" i="22" a="1"/>
  <c r="J17" i="22" s="1"/>
  <c r="H17" i="22" a="1"/>
  <c r="H17" i="22" s="1"/>
  <c r="I16" i="22" a="1"/>
  <c r="I16" i="22" s="1"/>
  <c r="K15" i="22" a="1"/>
  <c r="K15" i="22" s="1"/>
  <c r="J15" i="22" a="1"/>
  <c r="J15" i="22" s="1"/>
  <c r="H15" i="22" a="1"/>
  <c r="H15" i="22" s="1"/>
  <c r="K14" i="22" a="1"/>
  <c r="K14" i="22" s="1"/>
  <c r="H14" i="22" a="1"/>
  <c r="H14" i="22" s="1"/>
  <c r="J13" i="22" a="1"/>
  <c r="J13" i="22" s="1"/>
  <c r="I13" i="22" a="1"/>
  <c r="I13" i="22" s="1"/>
  <c r="K12" i="22" a="1"/>
  <c r="K12" i="22" s="1"/>
  <c r="J12" i="22" a="1"/>
  <c r="J12" i="22" s="1"/>
  <c r="H12" i="22" a="1"/>
  <c r="H12" i="22" s="1"/>
  <c r="J11" i="22" a="1"/>
  <c r="J11" i="22" s="1"/>
  <c r="H11" i="22" a="1"/>
  <c r="H11" i="22" s="1"/>
  <c r="K10" i="22" a="1"/>
  <c r="K10" i="22" s="1"/>
  <c r="H10" i="22" a="1"/>
  <c r="H10" i="22" s="1"/>
  <c r="J9" i="22" a="1"/>
  <c r="J9" i="22" s="1"/>
  <c r="H9" i="22" a="1"/>
  <c r="H9" i="22" s="1"/>
  <c r="I8" i="22" a="1"/>
  <c r="I8" i="22" s="1"/>
  <c r="K7" i="22" a="1"/>
  <c r="K7" i="22" s="1"/>
  <c r="I7" i="22" a="1"/>
  <c r="I7" i="22" s="1"/>
  <c r="K6" i="22" a="1"/>
  <c r="K6" i="22" s="1"/>
  <c r="I6" i="22" a="1"/>
  <c r="I6" i="22" s="1"/>
  <c r="K5" i="22" a="1"/>
  <c r="K5" i="22" s="1"/>
  <c r="I5" i="22" a="1"/>
  <c r="I5" i="22" s="1"/>
  <c r="K4" i="22" a="1"/>
  <c r="K4" i="22" s="1"/>
  <c r="I4" i="22" a="1"/>
  <c r="I4" i="22" s="1"/>
  <c r="K3" i="22" a="1"/>
  <c r="K3" i="22" s="1"/>
  <c r="I3" i="22" a="1"/>
  <c r="I3" i="22" s="1"/>
  <c r="G249" i="22" a="1"/>
  <c r="G249" i="22" s="1"/>
  <c r="G251" i="22" a="1"/>
  <c r="G251" i="22" s="1"/>
  <c r="G253" i="22" a="1"/>
  <c r="G253" i="22" s="1"/>
  <c r="G255" i="22" a="1"/>
  <c r="G255" i="22" s="1"/>
  <c r="G257" i="22" a="1"/>
  <c r="G257" i="22" s="1"/>
  <c r="G259" i="22" a="1"/>
  <c r="G259" i="22" s="1"/>
  <c r="G261" i="22" a="1"/>
  <c r="G261" i="22" s="1"/>
  <c r="G263" i="22" a="1"/>
  <c r="G263" i="22" s="1"/>
  <c r="G265" i="22" a="1"/>
  <c r="G265" i="22" s="1"/>
  <c r="G267" i="22" a="1"/>
  <c r="G267" i="22" s="1"/>
  <c r="G269" i="22" a="1"/>
  <c r="G269" i="22" s="1"/>
  <c r="G271" i="22" a="1"/>
  <c r="G271" i="22" s="1"/>
  <c r="G273" i="22" a="1"/>
  <c r="G273" i="22" s="1"/>
  <c r="G275" i="22" a="1"/>
  <c r="G275" i="22" s="1"/>
  <c r="G277" i="22" a="1"/>
  <c r="G277" i="22" s="1"/>
  <c r="G279" i="22" a="1"/>
  <c r="G279" i="22" s="1"/>
  <c r="G281" i="22" a="1"/>
  <c r="G281" i="22" s="1"/>
  <c r="G283" i="22" a="1"/>
  <c r="G283" i="22" s="1"/>
  <c r="G285" i="22" a="1"/>
  <c r="G285" i="22" s="1"/>
  <c r="G287" i="22" a="1"/>
  <c r="G287" i="22" s="1"/>
  <c r="G289" i="22" a="1"/>
  <c r="G289" i="22" s="1"/>
  <c r="G291" i="22" a="1"/>
  <c r="G291" i="22" s="1"/>
  <c r="G293" i="22" a="1"/>
  <c r="G293" i="22" s="1"/>
  <c r="G295" i="22" a="1"/>
  <c r="G295" i="22" s="1"/>
  <c r="G297" i="22" a="1"/>
  <c r="G297" i="22" s="1"/>
  <c r="G299" i="22" a="1"/>
  <c r="G299" i="22" s="1"/>
  <c r="G301" i="22" a="1"/>
  <c r="G301" i="22" s="1"/>
  <c r="G303" i="22" a="1"/>
  <c r="G303" i="22" s="1"/>
  <c r="G305" i="22" a="1"/>
  <c r="G305" i="22" s="1"/>
  <c r="G307" i="22" a="1"/>
  <c r="G307" i="22" s="1"/>
  <c r="G309" i="22" a="1"/>
  <c r="G309" i="22" s="1"/>
  <c r="G311" i="22" a="1"/>
  <c r="G311" i="22" s="1"/>
  <c r="G313" i="22" a="1"/>
  <c r="G313" i="22" s="1"/>
  <c r="G315" i="22" a="1"/>
  <c r="G315" i="22" s="1"/>
  <c r="G317" i="22" a="1"/>
  <c r="G317" i="22" s="1"/>
  <c r="G319" i="22" a="1"/>
  <c r="G319" i="22" s="1"/>
  <c r="G321" i="22" a="1"/>
  <c r="G321" i="22" s="1"/>
  <c r="G323" i="22" a="1"/>
  <c r="G323" i="22" s="1"/>
  <c r="G325" i="22" a="1"/>
  <c r="G325" i="22" s="1"/>
  <c r="G327" i="22" a="1"/>
  <c r="G327" i="22" s="1"/>
  <c r="G329" i="22" a="1"/>
  <c r="G329" i="22" s="1"/>
  <c r="G331" i="22" a="1"/>
  <c r="G331" i="22" s="1"/>
  <c r="G333" i="22" a="1"/>
  <c r="G333" i="22" s="1"/>
  <c r="I129" i="22" a="1"/>
  <c r="I129" i="22" s="1"/>
  <c r="J128" i="22" a="1"/>
  <c r="J128" i="22" s="1"/>
  <c r="I126" i="22" a="1"/>
  <c r="I126" i="22" s="1"/>
  <c r="K123" i="22" a="1"/>
  <c r="K123" i="22" s="1"/>
  <c r="I122" i="22" a="1"/>
  <c r="I122" i="22" s="1"/>
  <c r="J121" i="22" a="1"/>
  <c r="J121" i="22" s="1"/>
  <c r="K119" i="22" a="1"/>
  <c r="K119" i="22" s="1"/>
  <c r="H119" i="22" a="1"/>
  <c r="H119" i="22" s="1"/>
  <c r="J117" i="22" a="1"/>
  <c r="J117" i="22" s="1"/>
  <c r="K116" i="22" a="1"/>
  <c r="K116" i="22" s="1"/>
  <c r="H116" i="22" a="1"/>
  <c r="H116" i="22" s="1"/>
  <c r="H115" i="22" a="1"/>
  <c r="H115" i="22" s="1"/>
  <c r="K113" i="22" a="1"/>
  <c r="K113" i="22" s="1"/>
  <c r="K112" i="22" a="1"/>
  <c r="K112" i="22" s="1"/>
  <c r="H112" i="22" a="1"/>
  <c r="H112" i="22" s="1"/>
  <c r="I111" i="22" a="1"/>
  <c r="I111" i="22" s="1"/>
  <c r="J110" i="22" a="1"/>
  <c r="J110" i="22" s="1"/>
  <c r="K109" i="22" a="1"/>
  <c r="K109" i="22" s="1"/>
  <c r="H109" i="22" a="1"/>
  <c r="H109" i="22" s="1"/>
  <c r="I108" i="22" a="1"/>
  <c r="I108" i="22" s="1"/>
  <c r="I107" i="22" a="1"/>
  <c r="I107" i="22" s="1"/>
  <c r="J106" i="22" a="1"/>
  <c r="J106" i="22" s="1"/>
  <c r="I105" i="22" a="1"/>
  <c r="I105" i="22" s="1"/>
  <c r="J104" i="22" a="1"/>
  <c r="J104" i="22" s="1"/>
  <c r="H103" i="22" a="1"/>
  <c r="H103" i="22" s="1"/>
  <c r="K102" i="22" a="1"/>
  <c r="K102" i="22" s="1"/>
  <c r="H102" i="22" a="1"/>
  <c r="H102" i="22" s="1"/>
  <c r="J101" i="22" a="1"/>
  <c r="J101" i="22" s="1"/>
  <c r="I101" i="22" a="1"/>
  <c r="I101" i="22" s="1"/>
  <c r="K100" i="22" a="1"/>
  <c r="K100" i="22" s="1"/>
  <c r="J100" i="22" a="1"/>
  <c r="J100" i="22" s="1"/>
  <c r="H100" i="22" a="1"/>
  <c r="H100" i="22" s="1"/>
  <c r="K99" i="22" a="1"/>
  <c r="K99" i="22" s="1"/>
  <c r="I99" i="22" a="1"/>
  <c r="I99" i="22" s="1"/>
  <c r="J98" i="22" a="1"/>
  <c r="J98" i="22" s="1"/>
  <c r="I98" i="22" a="1"/>
  <c r="I98" i="22" s="1"/>
  <c r="I97" i="22" a="1"/>
  <c r="I97" i="22" s="1"/>
  <c r="K96" i="22" a="1"/>
  <c r="K96" i="22" s="1"/>
  <c r="J96" i="22" a="1"/>
  <c r="J96" i="22" s="1"/>
  <c r="H96" i="22" a="1"/>
  <c r="H96" i="22" s="1"/>
  <c r="I95" i="22" a="1"/>
  <c r="I95" i="22" s="1"/>
  <c r="J94" i="22" a="1"/>
  <c r="J94" i="22" s="1"/>
  <c r="I94" i="22" a="1"/>
  <c r="I94" i="22" s="1"/>
  <c r="K93" i="22" a="1"/>
  <c r="K93" i="22" s="1"/>
  <c r="H93" i="22" a="1"/>
  <c r="H93" i="22" s="1"/>
  <c r="I92" i="22" a="1"/>
  <c r="I92" i="22" s="1"/>
  <c r="K91" i="22" a="1"/>
  <c r="K91" i="22" s="1"/>
  <c r="I91" i="22" a="1"/>
  <c r="I91" i="22" s="1"/>
  <c r="J90" i="22" a="1"/>
  <c r="J90" i="22" s="1"/>
  <c r="I90" i="22" a="1"/>
  <c r="I90" i="22" s="1"/>
  <c r="J89" i="22" a="1"/>
  <c r="J89" i="22" s="1"/>
  <c r="H89" i="22" a="1"/>
  <c r="H89" i="22" s="1"/>
  <c r="I88" i="22" a="1"/>
  <c r="I88" i="22" s="1"/>
  <c r="K87" i="22" a="1"/>
  <c r="K87" i="22" s="1"/>
  <c r="J87" i="22" a="1"/>
  <c r="J87" i="22" s="1"/>
  <c r="I87" i="22" a="1"/>
  <c r="I87" i="22" s="1"/>
  <c r="J86" i="22" a="1"/>
  <c r="J86" i="22" s="1"/>
  <c r="I86" i="22" a="1"/>
  <c r="I86" i="22" s="1"/>
  <c r="K85" i="22" a="1"/>
  <c r="K85" i="22" s="1"/>
  <c r="H85" i="22" a="1"/>
  <c r="H85" i="22" s="1"/>
  <c r="I84" i="22" a="1"/>
  <c r="I84" i="22" s="1"/>
  <c r="J83" i="22" a="1"/>
  <c r="J83" i="22" s="1"/>
  <c r="H83" i="22" a="1"/>
  <c r="H83" i="22" s="1"/>
  <c r="K82" i="22" a="1"/>
  <c r="K82" i="22" s="1"/>
  <c r="H82" i="22" a="1"/>
  <c r="H82" i="22" s="1"/>
  <c r="K81" i="22" a="1"/>
  <c r="K81" i="22" s="1"/>
  <c r="I81" i="22" a="1"/>
  <c r="I81" i="22" s="1"/>
  <c r="K80" i="22" a="1"/>
  <c r="K80" i="22" s="1"/>
  <c r="J80" i="22" a="1"/>
  <c r="J80" i="22" s="1"/>
  <c r="H80" i="22" a="1"/>
  <c r="H80" i="22" s="1"/>
  <c r="H79" i="22" a="1"/>
  <c r="H79" i="22" s="1"/>
  <c r="K78" i="22" a="1"/>
  <c r="K78" i="22" s="1"/>
  <c r="H78" i="22" a="1"/>
  <c r="H78" i="22" s="1"/>
  <c r="J77" i="22" a="1"/>
  <c r="J77" i="22" s="1"/>
  <c r="I77" i="22" a="1"/>
  <c r="I77" i="22" s="1"/>
  <c r="K76" i="22" a="1"/>
  <c r="K76" i="22" s="1"/>
  <c r="J76" i="22" a="1"/>
  <c r="J76" i="22" s="1"/>
  <c r="H76" i="22" a="1"/>
  <c r="H76" i="22" s="1"/>
  <c r="K75" i="22" a="1"/>
  <c r="K75" i="22" s="1"/>
  <c r="I75" i="22" a="1"/>
  <c r="I75" i="22" s="1"/>
  <c r="J74" i="22" a="1"/>
  <c r="J74" i="22" s="1"/>
  <c r="I74" i="22" a="1"/>
  <c r="I74" i="22" s="1"/>
  <c r="I73" i="22" a="1"/>
  <c r="I73" i="22" s="1"/>
  <c r="K72" i="22" a="1"/>
  <c r="K72" i="22" s="1"/>
  <c r="J72" i="22" a="1"/>
  <c r="J72" i="22" s="1"/>
  <c r="H72" i="22" a="1"/>
  <c r="H72" i="22" s="1"/>
  <c r="I71" i="22" a="1"/>
  <c r="I71" i="22" s="1"/>
  <c r="J70" i="22" a="1"/>
  <c r="J70" i="22" s="1"/>
  <c r="I70" i="22" a="1"/>
  <c r="I70" i="22" s="1"/>
  <c r="K69" i="22" a="1"/>
  <c r="K69" i="22" s="1"/>
  <c r="H69" i="22" a="1"/>
  <c r="H69" i="22" s="1"/>
  <c r="I68" i="22" a="1"/>
  <c r="I68" i="22" s="1"/>
  <c r="K67" i="22" a="1"/>
  <c r="K67" i="22" s="1"/>
  <c r="I67" i="22" a="1"/>
  <c r="I67" i="22" s="1"/>
  <c r="J66" i="22" a="1"/>
  <c r="J66" i="22" s="1"/>
  <c r="I66" i="22" a="1"/>
  <c r="I66" i="22" s="1"/>
  <c r="J65" i="22" a="1"/>
  <c r="J65" i="22" s="1"/>
  <c r="H65" i="22" a="1"/>
  <c r="H65" i="22" s="1"/>
  <c r="I64" i="22" a="1"/>
  <c r="I64" i="22" s="1"/>
  <c r="K63" i="22" a="1"/>
  <c r="K63" i="22" s="1"/>
  <c r="J63" i="22" a="1"/>
  <c r="J63" i="22" s="1"/>
  <c r="I63" i="22" a="1"/>
  <c r="I63" i="22" s="1"/>
  <c r="J62" i="22" a="1"/>
  <c r="J62" i="22" s="1"/>
  <c r="I62" i="22" a="1"/>
  <c r="I62" i="22" s="1"/>
  <c r="K61" i="22" a="1"/>
  <c r="K61" i="22" s="1"/>
  <c r="H61" i="22" a="1"/>
  <c r="H61" i="22" s="1"/>
  <c r="I60" i="22" a="1"/>
  <c r="I60" i="22" s="1"/>
  <c r="J59" i="22" a="1"/>
  <c r="J59" i="22" s="1"/>
  <c r="H59" i="22" a="1"/>
  <c r="H59" i="22" s="1"/>
  <c r="K58" i="22" a="1"/>
  <c r="K58" i="22" s="1"/>
  <c r="H58" i="22" a="1"/>
  <c r="H58" i="22" s="1"/>
  <c r="K57" i="22" a="1"/>
  <c r="K57" i="22" s="1"/>
  <c r="J57" i="22" a="1"/>
  <c r="J57" i="22" s="1"/>
  <c r="H57" i="22" a="1"/>
  <c r="H57" i="22" s="1"/>
  <c r="I56" i="22" a="1"/>
  <c r="I56" i="22" s="1"/>
  <c r="K55" i="22" a="1"/>
  <c r="K55" i="22" s="1"/>
  <c r="J55" i="22" a="1"/>
  <c r="J55" i="22" s="1"/>
  <c r="I55" i="22" a="1"/>
  <c r="I55" i="22" s="1"/>
  <c r="J54" i="22" a="1"/>
  <c r="J54" i="22" s="1"/>
  <c r="I54" i="22" a="1"/>
  <c r="I54" i="22" s="1"/>
  <c r="K53" i="22" a="1"/>
  <c r="K53" i="22" s="1"/>
  <c r="H53" i="22" a="1"/>
  <c r="H53" i="22" s="1"/>
  <c r="I52" i="22" a="1"/>
  <c r="I52" i="22" s="1"/>
  <c r="J51" i="22" a="1"/>
  <c r="J51" i="22" s="1"/>
  <c r="H51" i="22" a="1"/>
  <c r="H51" i="22" s="1"/>
  <c r="K50" i="22" a="1"/>
  <c r="K50" i="22" s="1"/>
  <c r="H50" i="22" a="1"/>
  <c r="H50" i="22" s="1"/>
  <c r="K49" i="22" a="1"/>
  <c r="K49" i="22" s="1"/>
  <c r="J49" i="22" a="1"/>
  <c r="J49" i="22" s="1"/>
  <c r="H49" i="22" a="1"/>
  <c r="H49" i="22" s="1"/>
  <c r="I48" i="22" a="1"/>
  <c r="I48" i="22" s="1"/>
  <c r="K47" i="22" a="1"/>
  <c r="K47" i="22" s="1"/>
  <c r="J47" i="22" a="1"/>
  <c r="J47" i="22" s="1"/>
  <c r="I47" i="22" a="1"/>
  <c r="I47" i="22" s="1"/>
  <c r="J46" i="22" a="1"/>
  <c r="J46" i="22" s="1"/>
  <c r="I46" i="22" a="1"/>
  <c r="I46" i="22" s="1"/>
  <c r="K45" i="22" a="1"/>
  <c r="K45" i="22" s="1"/>
  <c r="H45" i="22" a="1"/>
  <c r="H45" i="22" s="1"/>
  <c r="I44" i="22" a="1"/>
  <c r="I44" i="22" s="1"/>
  <c r="K43" i="22" a="1"/>
  <c r="K43" i="22" s="1"/>
  <c r="I43" i="22" a="1"/>
  <c r="I43" i="22" s="1"/>
  <c r="J42" i="22" a="1"/>
  <c r="J42" i="22" s="1"/>
  <c r="I42" i="22" a="1"/>
  <c r="I42" i="22" s="1"/>
  <c r="J41" i="22" a="1"/>
  <c r="J41" i="22" s="1"/>
  <c r="H41" i="22" a="1"/>
  <c r="H41" i="22" s="1"/>
  <c r="I40" i="22" a="1"/>
  <c r="I40" i="22" s="1"/>
  <c r="K39" i="22" a="1"/>
  <c r="K39" i="22" s="1"/>
  <c r="J39" i="22" a="1"/>
  <c r="J39" i="22" s="1"/>
  <c r="H39" i="22" a="1"/>
  <c r="H39" i="22" s="1"/>
  <c r="K38" i="22" a="1"/>
  <c r="K38" i="22" s="1"/>
  <c r="H38" i="22" a="1"/>
  <c r="H38" i="22" s="1"/>
  <c r="J37" i="22" a="1"/>
  <c r="J37" i="22" s="1"/>
  <c r="I37" i="22" a="1"/>
  <c r="I37" i="22" s="1"/>
  <c r="K36" i="22" a="1"/>
  <c r="K36" i="22" s="1"/>
  <c r="J36" i="22" a="1"/>
  <c r="J36" i="22" s="1"/>
  <c r="H36" i="22" a="1"/>
  <c r="H36" i="22" s="1"/>
  <c r="K35" i="22" a="1"/>
  <c r="K35" i="22" s="1"/>
  <c r="I35" i="22" a="1"/>
  <c r="I35" i="22" s="1"/>
  <c r="J34" i="22" a="1"/>
  <c r="J34" i="22" s="1"/>
  <c r="I34" i="22" a="1"/>
  <c r="I34" i="22" s="1"/>
  <c r="J33" i="22" a="1"/>
  <c r="J33" i="22" s="1"/>
  <c r="H33" i="22" a="1"/>
  <c r="H33" i="22" s="1"/>
  <c r="I32" i="22" a="1"/>
  <c r="I32" i="22" s="1"/>
  <c r="K31" i="22" a="1"/>
  <c r="K31" i="22" s="1"/>
  <c r="J31" i="22" a="1"/>
  <c r="J31" i="22" s="1"/>
  <c r="I31" i="22" a="1"/>
  <c r="I31" i="22" s="1"/>
  <c r="J30" i="22" a="1"/>
  <c r="J30" i="22" s="1"/>
  <c r="I30" i="22" a="1"/>
  <c r="I30" i="22" s="1"/>
  <c r="K29" i="22" a="1"/>
  <c r="K29" i="22" s="1"/>
  <c r="H29" i="22" a="1"/>
  <c r="H29" i="22" s="1"/>
  <c r="I28" i="22" a="1"/>
  <c r="I28" i="22" s="1"/>
  <c r="J27" i="22" a="1"/>
  <c r="J27" i="22" s="1"/>
  <c r="H27" i="22" a="1"/>
  <c r="H27" i="22" s="1"/>
  <c r="K26" i="22" a="1"/>
  <c r="K26" i="22" s="1"/>
  <c r="H26" i="22" a="1"/>
  <c r="H26" i="22" s="1"/>
  <c r="K25" i="22" a="1"/>
  <c r="K25" i="22" s="1"/>
  <c r="J25" i="22" a="1"/>
  <c r="J25" i="22" s="1"/>
  <c r="H25" i="22" a="1"/>
  <c r="H25" i="22" s="1"/>
  <c r="I24" i="22" a="1"/>
  <c r="I24" i="22" s="1"/>
  <c r="K23" i="22" a="1"/>
  <c r="K23" i="22" s="1"/>
  <c r="J23" i="22" a="1"/>
  <c r="J23" i="22" s="1"/>
  <c r="H23" i="22" a="1"/>
  <c r="H23" i="22" s="1"/>
  <c r="K22" i="22" a="1"/>
  <c r="K22" i="22" s="1"/>
  <c r="H22" i="22" a="1"/>
  <c r="H22" i="22" s="1"/>
  <c r="J21" i="22" a="1"/>
  <c r="J21" i="22" s="1"/>
  <c r="I21" i="22" a="1"/>
  <c r="I21" i="22" s="1"/>
  <c r="K20" i="22" a="1"/>
  <c r="K20" i="22" s="1"/>
  <c r="J20" i="22" a="1"/>
  <c r="J20" i="22" s="1"/>
  <c r="H20" i="22" a="1"/>
  <c r="H20" i="22" s="1"/>
  <c r="J19" i="22" a="1"/>
  <c r="J19" i="22" s="1"/>
  <c r="H19" i="22" a="1"/>
  <c r="H19" i="22" s="1"/>
  <c r="K18" i="22" a="1"/>
  <c r="K18" i="22" s="1"/>
  <c r="H18" i="22" a="1"/>
  <c r="H18" i="22" s="1"/>
  <c r="K17" i="22" a="1"/>
  <c r="K17" i="22" s="1"/>
  <c r="I17" i="22" a="1"/>
  <c r="I17" i="22" s="1"/>
  <c r="K16" i="22" a="1"/>
  <c r="K16" i="22" s="1"/>
  <c r="J16" i="22" a="1"/>
  <c r="J16" i="22" s="1"/>
  <c r="H16" i="22" a="1"/>
  <c r="H16" i="22" s="1"/>
  <c r="I15" i="22" a="1"/>
  <c r="I15" i="22" s="1"/>
  <c r="J14" i="22" a="1"/>
  <c r="J14" i="22" s="1"/>
  <c r="I14" i="22" a="1"/>
  <c r="I14" i="22" s="1"/>
  <c r="K13" i="22" a="1"/>
  <c r="K13" i="22" s="1"/>
  <c r="H13" i="22" a="1"/>
  <c r="H13" i="22" s="1"/>
  <c r="I12" i="22" a="1"/>
  <c r="I12" i="22" s="1"/>
  <c r="K11" i="22" a="1"/>
  <c r="K11" i="22" s="1"/>
  <c r="I11" i="22" a="1"/>
  <c r="I11" i="22" s="1"/>
  <c r="J10" i="22" a="1"/>
  <c r="J10" i="22" s="1"/>
  <c r="I10" i="22" a="1"/>
  <c r="I10" i="22" s="1"/>
  <c r="K9" i="22" a="1"/>
  <c r="K9" i="22" s="1"/>
  <c r="I9" i="22" a="1"/>
  <c r="I9" i="22" s="1"/>
  <c r="K8" i="22" a="1"/>
  <c r="K8" i="22" s="1"/>
  <c r="J8" i="22" a="1"/>
  <c r="J8" i="22" s="1"/>
  <c r="H8" i="22" a="1"/>
  <c r="H8" i="22" s="1"/>
  <c r="J7" i="22" a="1"/>
  <c r="J7" i="22" s="1"/>
  <c r="H7" i="22" a="1"/>
  <c r="H7" i="22" s="1"/>
  <c r="J6" i="22" a="1"/>
  <c r="J6" i="22" s="1"/>
  <c r="H6" i="22" a="1"/>
  <c r="H6" i="22" s="1"/>
  <c r="J5" i="22" a="1"/>
  <c r="J5" i="22" s="1"/>
  <c r="H5" i="22" a="1"/>
  <c r="H5" i="22" s="1"/>
  <c r="J4" i="22" a="1"/>
  <c r="J4" i="22" s="1"/>
  <c r="H4" i="22" a="1"/>
  <c r="H4" i="22" s="1"/>
  <c r="J3" i="22" a="1"/>
  <c r="J3" i="22" s="1"/>
  <c r="H3" i="22" a="1"/>
  <c r="H3" i="22" s="1"/>
  <c r="G250" i="22" a="1"/>
  <c r="G250" i="22" s="1"/>
  <c r="G252" i="22" a="1"/>
  <c r="G252" i="22" s="1"/>
  <c r="G254" i="22" a="1"/>
  <c r="G254" i="22" s="1"/>
  <c r="G256" i="22" a="1"/>
  <c r="G256" i="22" s="1"/>
  <c r="G258" i="22" a="1"/>
  <c r="G258" i="22" s="1"/>
  <c r="G260" i="22" a="1"/>
  <c r="G260" i="22" s="1"/>
  <c r="G262" i="22" a="1"/>
  <c r="G262" i="22" s="1"/>
  <c r="G264" i="22" a="1"/>
  <c r="G264" i="22" s="1"/>
  <c r="G266" i="22" a="1"/>
  <c r="G266" i="22" s="1"/>
  <c r="G268" i="22" a="1"/>
  <c r="G268" i="22" s="1"/>
  <c r="G270" i="22" a="1"/>
  <c r="G270" i="22" s="1"/>
  <c r="G272" i="22" a="1"/>
  <c r="G272" i="22" s="1"/>
  <c r="G274" i="22" a="1"/>
  <c r="G274" i="22" s="1"/>
  <c r="G276" i="22" a="1"/>
  <c r="G276" i="22" s="1"/>
  <c r="G278" i="22" a="1"/>
  <c r="G278" i="22" s="1"/>
  <c r="G280" i="22" a="1"/>
  <c r="G280" i="22" s="1"/>
  <c r="G282" i="22" a="1"/>
  <c r="G282" i="22" s="1"/>
  <c r="G284" i="22" a="1"/>
  <c r="G284" i="22" s="1"/>
  <c r="G286" i="22" a="1"/>
  <c r="G286" i="22" s="1"/>
  <c r="G288" i="22" a="1"/>
  <c r="G288" i="22" s="1"/>
  <c r="G290" i="22" a="1"/>
  <c r="G290" i="22" s="1"/>
  <c r="G292" i="22" a="1"/>
  <c r="G292" i="22" s="1"/>
  <c r="G294" i="22" a="1"/>
  <c r="G294" i="22" s="1"/>
  <c r="G296" i="22" a="1"/>
  <c r="G296" i="22" s="1"/>
  <c r="G298" i="22" a="1"/>
  <c r="G298" i="22" s="1"/>
  <c r="G300" i="22" a="1"/>
  <c r="G300" i="22" s="1"/>
  <c r="G302" i="22" a="1"/>
  <c r="G302" i="22" s="1"/>
  <c r="G304" i="22" a="1"/>
  <c r="G304" i="22" s="1"/>
  <c r="G306" i="22" a="1"/>
  <c r="G306" i="22" s="1"/>
  <c r="G308" i="22" a="1"/>
  <c r="G308" i="22" s="1"/>
  <c r="G310" i="22" a="1"/>
  <c r="G310" i="22" s="1"/>
  <c r="G312" i="22" a="1"/>
  <c r="G312" i="22" s="1"/>
  <c r="G314" i="22" a="1"/>
  <c r="G314" i="22" s="1"/>
  <c r="G316" i="22" a="1"/>
  <c r="G316" i="22" s="1"/>
  <c r="G318" i="22" a="1"/>
  <c r="G318" i="22" s="1"/>
  <c r="G320" i="22" a="1"/>
  <c r="G320" i="22" s="1"/>
  <c r="G322" i="22" a="1"/>
  <c r="G322" i="22" s="1"/>
  <c r="G324" i="22" a="1"/>
  <c r="G324" i="22" s="1"/>
  <c r="G326" i="22" a="1"/>
  <c r="G326" i="22" s="1"/>
  <c r="G328" i="22" a="1"/>
  <c r="G328" i="22" s="1"/>
  <c r="G330" i="22" a="1"/>
  <c r="G330" i="22" s="1"/>
  <c r="G332" i="22" a="1"/>
  <c r="G332" i="22" s="1"/>
  <c r="G334" i="22" a="1"/>
  <c r="G334" i="22" s="1"/>
  <c r="G336" i="22" a="1"/>
  <c r="G336" i="22" s="1"/>
  <c r="G338" i="22" a="1"/>
  <c r="G338" i="22" s="1"/>
  <c r="G340" i="22" a="1"/>
  <c r="G340" i="22" s="1"/>
  <c r="G342" i="22" a="1"/>
  <c r="G342" i="22" s="1"/>
  <c r="G344" i="22" a="1"/>
  <c r="G344" i="22" s="1"/>
  <c r="G346" i="22" a="1"/>
  <c r="G346" i="22" s="1"/>
  <c r="G348" i="22" a="1"/>
  <c r="G348" i="22" s="1"/>
  <c r="G350" i="22" a="1"/>
  <c r="G350" i="22" s="1"/>
  <c r="G352" i="22" a="1"/>
  <c r="G352" i="22" s="1"/>
  <c r="G354" i="22" a="1"/>
  <c r="G354" i="22" s="1"/>
  <c r="G356" i="22" a="1"/>
  <c r="G356" i="22" s="1"/>
  <c r="G358" i="22" a="1"/>
  <c r="G358" i="22" s="1"/>
  <c r="G360" i="22" a="1"/>
  <c r="G360" i="22" s="1"/>
  <c r="G362" i="22" a="1"/>
  <c r="G362" i="22" s="1"/>
  <c r="G364" i="22" a="1"/>
  <c r="G364" i="22" s="1"/>
  <c r="G366" i="22" a="1"/>
  <c r="G366" i="22" s="1"/>
  <c r="G368" i="22" a="1"/>
  <c r="G368" i="22" s="1"/>
  <c r="G370" i="22" a="1"/>
  <c r="G370" i="22" s="1"/>
  <c r="G89" i="22" a="1"/>
  <c r="G89" i="22" s="1"/>
  <c r="G91" i="22" a="1"/>
  <c r="G91" i="22" s="1"/>
  <c r="G93" i="22" a="1"/>
  <c r="G93" i="22" s="1"/>
  <c r="G95" i="22" a="1"/>
  <c r="G95" i="22" s="1"/>
  <c r="G97" i="22" a="1"/>
  <c r="G97" i="22" s="1"/>
  <c r="G99" i="22" a="1"/>
  <c r="G99" i="22" s="1"/>
  <c r="G101" i="22" a="1"/>
  <c r="G101" i="22" s="1"/>
  <c r="G103" i="22" a="1"/>
  <c r="G103" i="22" s="1"/>
  <c r="G105" i="22" a="1"/>
  <c r="G105" i="22" s="1"/>
  <c r="G107" i="22" a="1"/>
  <c r="G107" i="22" s="1"/>
  <c r="G109" i="22" a="1"/>
  <c r="G109" i="22" s="1"/>
  <c r="G111" i="22" a="1"/>
  <c r="G111" i="22" s="1"/>
  <c r="G113" i="22" a="1"/>
  <c r="G113" i="22" s="1"/>
  <c r="G115" i="22" a="1"/>
  <c r="G115" i="22" s="1"/>
  <c r="G117" i="22" a="1"/>
  <c r="G117" i="22" s="1"/>
  <c r="G119" i="22" a="1"/>
  <c r="G119" i="22" s="1"/>
  <c r="G121" i="22" a="1"/>
  <c r="G121" i="22" s="1"/>
  <c r="G123" i="22" a="1"/>
  <c r="G123" i="22" s="1"/>
  <c r="G125" i="22" a="1"/>
  <c r="G125" i="22" s="1"/>
  <c r="G127" i="22" a="1"/>
  <c r="G127" i="22" s="1"/>
  <c r="G129" i="22" a="1"/>
  <c r="G129" i="22" s="1"/>
  <c r="G131" i="22" a="1"/>
  <c r="G131" i="22" s="1"/>
  <c r="G133" i="22" a="1"/>
  <c r="G133" i="22" s="1"/>
  <c r="F3" i="22" a="1"/>
  <c r="F3" i="22" s="1"/>
  <c r="F85" i="22" a="1"/>
  <c r="F85" i="22" s="1"/>
  <c r="F83" i="22" a="1"/>
  <c r="F83" i="22" s="1"/>
  <c r="F81" i="22" a="1"/>
  <c r="F81" i="22" s="1"/>
  <c r="F79" i="22" a="1"/>
  <c r="F79" i="22" s="1"/>
  <c r="F77" i="22" a="1"/>
  <c r="F77" i="22" s="1"/>
  <c r="F75" i="22" a="1"/>
  <c r="F75" i="22" s="1"/>
  <c r="F73" i="22" a="1"/>
  <c r="F73" i="22" s="1"/>
  <c r="F71" i="22" a="1"/>
  <c r="F71" i="22" s="1"/>
  <c r="F69" i="22" a="1"/>
  <c r="F69" i="22" s="1"/>
  <c r="F67" i="22" a="1"/>
  <c r="F67" i="22" s="1"/>
  <c r="F65" i="22" a="1"/>
  <c r="F65" i="22" s="1"/>
  <c r="F63" i="22" a="1"/>
  <c r="F63" i="22" s="1"/>
  <c r="F61" i="22" a="1"/>
  <c r="F61" i="22" s="1"/>
  <c r="F59" i="22" a="1"/>
  <c r="F59" i="22" s="1"/>
  <c r="F57" i="22" a="1"/>
  <c r="F57" i="22" s="1"/>
  <c r="F55" i="22" a="1"/>
  <c r="F55" i="22" s="1"/>
  <c r="F53" i="22" a="1"/>
  <c r="F53" i="22" s="1"/>
  <c r="F51" i="22" a="1"/>
  <c r="F51" i="22" s="1"/>
  <c r="F49" i="22" a="1"/>
  <c r="F49" i="22" s="1"/>
  <c r="F47" i="22" a="1"/>
  <c r="F47" i="22" s="1"/>
  <c r="F45" i="22" a="1"/>
  <c r="F45" i="22" s="1"/>
  <c r="F43" i="22" a="1"/>
  <c r="F43" i="22" s="1"/>
  <c r="F41" i="22" a="1"/>
  <c r="F41" i="22" s="1"/>
  <c r="F39" i="22" a="1"/>
  <c r="F39" i="22" s="1"/>
  <c r="F37" i="22" a="1"/>
  <c r="F37" i="22" s="1"/>
  <c r="F35" i="22" a="1"/>
  <c r="F35" i="22" s="1"/>
  <c r="F33" i="22" a="1"/>
  <c r="F33" i="22" s="1"/>
  <c r="F31" i="22" a="1"/>
  <c r="F31" i="22" s="1"/>
  <c r="F29" i="22" a="1"/>
  <c r="F29" i="22" s="1"/>
  <c r="F27" i="22" a="1"/>
  <c r="F27" i="22" s="1"/>
  <c r="F25" i="22" a="1"/>
  <c r="F25" i="22" s="1"/>
  <c r="F23" i="22" a="1"/>
  <c r="F23" i="22" s="1"/>
  <c r="F21" i="22" a="1"/>
  <c r="F21" i="22" s="1"/>
  <c r="F19" i="22" a="1"/>
  <c r="F19" i="22" s="1"/>
  <c r="F17" i="22" a="1"/>
  <c r="F17" i="22" s="1"/>
  <c r="F15" i="22" a="1"/>
  <c r="F15" i="22" s="1"/>
  <c r="F13" i="22" a="1"/>
  <c r="F13" i="22" s="1"/>
  <c r="F11" i="22" a="1"/>
  <c r="F11" i="22" s="1"/>
  <c r="F9" i="22" a="1"/>
  <c r="F9" i="22" s="1"/>
  <c r="F7" i="22" a="1"/>
  <c r="F7" i="22" s="1"/>
  <c r="F5" i="22" a="1"/>
  <c r="F5" i="22" s="1"/>
  <c r="F4" i="22" a="1"/>
  <c r="F4" i="22" s="1"/>
  <c r="F89" i="22" a="1"/>
  <c r="F89" i="22" s="1"/>
  <c r="F371" i="22" a="1"/>
  <c r="F371" i="22" s="1"/>
  <c r="F369" i="22" a="1"/>
  <c r="F369" i="22" s="1"/>
  <c r="F367" i="22" a="1"/>
  <c r="F367" i="22" s="1"/>
  <c r="F365" i="22" a="1"/>
  <c r="F365" i="22" s="1"/>
  <c r="F363" i="22" a="1"/>
  <c r="F363" i="22" s="1"/>
  <c r="F361" i="22" a="1"/>
  <c r="F361" i="22" s="1"/>
  <c r="F359" i="22" a="1"/>
  <c r="F359" i="22" s="1"/>
  <c r="F357" i="22" a="1"/>
  <c r="F357" i="22" s="1"/>
  <c r="F355" i="22" a="1"/>
  <c r="F355" i="22" s="1"/>
  <c r="F353" i="22" a="1"/>
  <c r="F353" i="22" s="1"/>
  <c r="F351" i="22" a="1"/>
  <c r="F351" i="22" s="1"/>
  <c r="F349" i="22" a="1"/>
  <c r="F349" i="22" s="1"/>
  <c r="F347" i="22" a="1"/>
  <c r="F347" i="22" s="1"/>
  <c r="F345" i="22" a="1"/>
  <c r="F345" i="22" s="1"/>
  <c r="F343" i="22" a="1"/>
  <c r="F343" i="22" s="1"/>
  <c r="F341" i="22" a="1"/>
  <c r="F341" i="22" s="1"/>
  <c r="F339" i="22" a="1"/>
  <c r="F339" i="22" s="1"/>
  <c r="F337" i="22" a="1"/>
  <c r="F337" i="22" s="1"/>
  <c r="F335" i="22" a="1"/>
  <c r="F335" i="22" s="1"/>
  <c r="F333" i="22" a="1"/>
  <c r="F333" i="22" s="1"/>
  <c r="F331" i="22" a="1"/>
  <c r="F331" i="22" s="1"/>
  <c r="F329" i="22" a="1"/>
  <c r="F329" i="22" s="1"/>
  <c r="F327" i="22" a="1"/>
  <c r="F327" i="22" s="1"/>
  <c r="F325" i="22" a="1"/>
  <c r="F325" i="22" s="1"/>
  <c r="F323" i="22" a="1"/>
  <c r="F323" i="22" s="1"/>
  <c r="F321" i="22" a="1"/>
  <c r="F321" i="22" s="1"/>
  <c r="F319" i="22" a="1"/>
  <c r="F319" i="22" s="1"/>
  <c r="F317" i="22" a="1"/>
  <c r="F317" i="22" s="1"/>
  <c r="F315" i="22" a="1"/>
  <c r="F315" i="22" s="1"/>
  <c r="F313" i="22" a="1"/>
  <c r="F313" i="22" s="1"/>
  <c r="F311" i="22" a="1"/>
  <c r="F311" i="22" s="1"/>
  <c r="F309" i="22" a="1"/>
  <c r="F309" i="22" s="1"/>
  <c r="F307" i="22" a="1"/>
  <c r="F307" i="22" s="1"/>
  <c r="F305" i="22" a="1"/>
  <c r="F305" i="22" s="1"/>
  <c r="F303" i="22" a="1"/>
  <c r="F303" i="22" s="1"/>
  <c r="F301" i="22" a="1"/>
  <c r="F301" i="22" s="1"/>
  <c r="F299" i="22" a="1"/>
  <c r="F299" i="22" s="1"/>
  <c r="F297" i="22" a="1"/>
  <c r="F297" i="22" s="1"/>
  <c r="F295" i="22" a="1"/>
  <c r="F295" i="22" s="1"/>
  <c r="F293" i="22" a="1"/>
  <c r="F293" i="22" s="1"/>
  <c r="F291" i="22" a="1"/>
  <c r="F291" i="22" s="1"/>
  <c r="F289" i="22" a="1"/>
  <c r="F289" i="22" s="1"/>
  <c r="F287" i="22" a="1"/>
  <c r="F287" i="22" s="1"/>
  <c r="F285" i="22" a="1"/>
  <c r="F285" i="22" s="1"/>
  <c r="F283" i="22" a="1"/>
  <c r="F283" i="22" s="1"/>
  <c r="F281" i="22" a="1"/>
  <c r="F281" i="22" s="1"/>
  <c r="F279" i="22" a="1"/>
  <c r="F279" i="22" s="1"/>
  <c r="F277" i="22" a="1"/>
  <c r="F277" i="22" s="1"/>
  <c r="F275" i="22" a="1"/>
  <c r="F275" i="22" s="1"/>
  <c r="F273" i="22" a="1"/>
  <c r="F273" i="22" s="1"/>
  <c r="F271" i="22" a="1"/>
  <c r="F271" i="22" s="1"/>
  <c r="F269" i="22" a="1"/>
  <c r="F269" i="22" s="1"/>
  <c r="F267" i="22" a="1"/>
  <c r="F267" i="22" s="1"/>
  <c r="F265" i="22" a="1"/>
  <c r="F265" i="22" s="1"/>
  <c r="F263" i="22" a="1"/>
  <c r="F263" i="22" s="1"/>
  <c r="F261" i="22" a="1"/>
  <c r="F261" i="22" s="1"/>
  <c r="F259" i="22" a="1"/>
  <c r="F259" i="22" s="1"/>
  <c r="F257" i="22" a="1"/>
  <c r="F257" i="22" s="1"/>
  <c r="F255" i="22" a="1"/>
  <c r="F255" i="22" s="1"/>
  <c r="F253" i="22" a="1"/>
  <c r="F253" i="22" s="1"/>
  <c r="F251" i="22" a="1"/>
  <c r="F251" i="22" s="1"/>
  <c r="F249" i="22" a="1"/>
  <c r="F249" i="22" s="1"/>
  <c r="F247" i="22" a="1"/>
  <c r="F247" i="22" s="1"/>
  <c r="F245" i="22" a="1"/>
  <c r="F245" i="22" s="1"/>
  <c r="F243" i="22" a="1"/>
  <c r="F243" i="22" s="1"/>
  <c r="F241" i="22" a="1"/>
  <c r="F241" i="22" s="1"/>
  <c r="F239" i="22" a="1"/>
  <c r="F239" i="22" s="1"/>
  <c r="F237" i="22" a="1"/>
  <c r="F237" i="22" s="1"/>
  <c r="F235" i="22" a="1"/>
  <c r="F235" i="22" s="1"/>
  <c r="F233" i="22" a="1"/>
  <c r="F233" i="22" s="1"/>
  <c r="F231" i="22" a="1"/>
  <c r="F231" i="22" s="1"/>
  <c r="F229" i="22" a="1"/>
  <c r="F229" i="22" s="1"/>
  <c r="F227" i="22" a="1"/>
  <c r="F227" i="22" s="1"/>
  <c r="F225" i="22" a="1"/>
  <c r="F225" i="22" s="1"/>
  <c r="F223" i="22" a="1"/>
  <c r="F223" i="22" s="1"/>
  <c r="F221" i="22" a="1"/>
  <c r="F221" i="22" s="1"/>
  <c r="F219" i="22" a="1"/>
  <c r="F219" i="22" s="1"/>
  <c r="F217" i="22" a="1"/>
  <c r="F217" i="22" s="1"/>
  <c r="F215" i="22" a="1"/>
  <c r="F215" i="22" s="1"/>
  <c r="F213" i="22" a="1"/>
  <c r="F213" i="22" s="1"/>
  <c r="F211" i="22" a="1"/>
  <c r="F211" i="22" s="1"/>
  <c r="F209" i="22" a="1"/>
  <c r="F209" i="22" s="1"/>
  <c r="F207" i="22" a="1"/>
  <c r="F207" i="22" s="1"/>
  <c r="F205" i="22" a="1"/>
  <c r="F205" i="22" s="1"/>
  <c r="F203" i="22" a="1"/>
  <c r="F203" i="22" s="1"/>
  <c r="F201" i="22" a="1"/>
  <c r="F201" i="22" s="1"/>
  <c r="F199" i="22" a="1"/>
  <c r="F199" i="22" s="1"/>
  <c r="F197" i="22" a="1"/>
  <c r="F197" i="22" s="1"/>
  <c r="F195" i="22" a="1"/>
  <c r="F195" i="22" s="1"/>
  <c r="F193" i="22" a="1"/>
  <c r="F193" i="22" s="1"/>
  <c r="F191" i="22" a="1"/>
  <c r="F191" i="22" s="1"/>
  <c r="F189" i="22" a="1"/>
  <c r="F189" i="22" s="1"/>
  <c r="F187" i="22" a="1"/>
  <c r="F187" i="22" s="1"/>
  <c r="F185" i="22" a="1"/>
  <c r="F185" i="22" s="1"/>
  <c r="F183" i="22" a="1"/>
  <c r="F183" i="22" s="1"/>
  <c r="F181" i="22" a="1"/>
  <c r="F181" i="22" s="1"/>
  <c r="F179" i="22" a="1"/>
  <c r="F179" i="22" s="1"/>
  <c r="F177" i="22" a="1"/>
  <c r="F177" i="22" s="1"/>
  <c r="F175" i="22" a="1"/>
  <c r="F175" i="22" s="1"/>
  <c r="F173" i="22" a="1"/>
  <c r="F173" i="22" s="1"/>
  <c r="F171" i="22" a="1"/>
  <c r="F171" i="22" s="1"/>
  <c r="F169" i="22" a="1"/>
  <c r="F169" i="22" s="1"/>
  <c r="F167" i="22" a="1"/>
  <c r="F167" i="22" s="1"/>
  <c r="F165" i="22" a="1"/>
  <c r="F165" i="22" s="1"/>
  <c r="F163" i="22" a="1"/>
  <c r="F163" i="22" s="1"/>
  <c r="F161" i="22" a="1"/>
  <c r="F161" i="22" s="1"/>
  <c r="F159" i="22" a="1"/>
  <c r="F159" i="22" s="1"/>
  <c r="F157" i="22" a="1"/>
  <c r="F157" i="22" s="1"/>
  <c r="F155" i="22" a="1"/>
  <c r="F155" i="22" s="1"/>
  <c r="F153" i="22" a="1"/>
  <c r="F153" i="22" s="1"/>
  <c r="F151" i="22" a="1"/>
  <c r="F151" i="22" s="1"/>
  <c r="F149" i="22" a="1"/>
  <c r="F149" i="22" s="1"/>
  <c r="F147" i="22" a="1"/>
  <c r="F147" i="22" s="1"/>
  <c r="F145" i="22" a="1"/>
  <c r="F145" i="22" s="1"/>
  <c r="F143" i="22" a="1"/>
  <c r="F143" i="22" s="1"/>
  <c r="F141" i="22" a="1"/>
  <c r="F141" i="22" s="1"/>
  <c r="F139" i="22" a="1"/>
  <c r="F139" i="22" s="1"/>
  <c r="F137" i="22" a="1"/>
  <c r="F137" i="22" s="1"/>
  <c r="F135" i="22" a="1"/>
  <c r="F135" i="22" s="1"/>
  <c r="F133" i="22" a="1"/>
  <c r="F133" i="22" s="1"/>
  <c r="F131" i="22" a="1"/>
  <c r="F131" i="22" s="1"/>
  <c r="F129" i="22" a="1"/>
  <c r="F129" i="22" s="1"/>
  <c r="F127" i="22" a="1"/>
  <c r="F127" i="22" s="1"/>
  <c r="F125" i="22" a="1"/>
  <c r="F125" i="22" s="1"/>
  <c r="F123" i="22" a="1"/>
  <c r="F123" i="22" s="1"/>
  <c r="F121" i="22" a="1"/>
  <c r="F121" i="22" s="1"/>
  <c r="F119" i="22" a="1"/>
  <c r="F119" i="22" s="1"/>
  <c r="F117" i="22" a="1"/>
  <c r="F117" i="22" s="1"/>
  <c r="F115" i="22" a="1"/>
  <c r="F115" i="22" s="1"/>
  <c r="F113" i="22" a="1"/>
  <c r="F113" i="22" s="1"/>
  <c r="F111" i="22" a="1"/>
  <c r="F111" i="22" s="1"/>
  <c r="F109" i="22" a="1"/>
  <c r="F109" i="22" s="1"/>
  <c r="F107" i="22" a="1"/>
  <c r="F107" i="22" s="1"/>
  <c r="F105" i="22" a="1"/>
  <c r="F105" i="22" s="1"/>
  <c r="F103" i="22" a="1"/>
  <c r="F103" i="22" s="1"/>
  <c r="F101" i="22" a="1"/>
  <c r="F101" i="22" s="1"/>
  <c r="F99" i="22" a="1"/>
  <c r="F99" i="22" s="1"/>
  <c r="F97" i="22" a="1"/>
  <c r="F97" i="22" s="1"/>
  <c r="F95" i="22" a="1"/>
  <c r="F95" i="22" s="1"/>
  <c r="F93" i="22" a="1"/>
  <c r="F93" i="22" s="1"/>
  <c r="F91" i="22" a="1"/>
  <c r="F91" i="22" s="1"/>
  <c r="G3" i="22" a="1"/>
  <c r="G3" i="22" s="1"/>
  <c r="G5" i="22" a="1"/>
  <c r="G5" i="22" s="1"/>
  <c r="G7" i="22" a="1"/>
  <c r="G7" i="22" s="1"/>
  <c r="G9" i="22" a="1"/>
  <c r="G9" i="22" s="1"/>
  <c r="G11" i="22" a="1"/>
  <c r="G11" i="22" s="1"/>
  <c r="G13" i="22" a="1"/>
  <c r="G13" i="22" s="1"/>
  <c r="G15" i="22" a="1"/>
  <c r="G15" i="22" s="1"/>
  <c r="G17" i="22" a="1"/>
  <c r="G17" i="22" s="1"/>
  <c r="G19" i="22" a="1"/>
  <c r="G19" i="22" s="1"/>
  <c r="G21" i="22" a="1"/>
  <c r="G21" i="22" s="1"/>
  <c r="G23" i="22" a="1"/>
  <c r="G23" i="22" s="1"/>
  <c r="G25" i="22" a="1"/>
  <c r="G25" i="22" s="1"/>
  <c r="G27" i="22" a="1"/>
  <c r="G27" i="22" s="1"/>
  <c r="G29" i="22" a="1"/>
  <c r="G29" i="22" s="1"/>
  <c r="G31" i="22" a="1"/>
  <c r="G31" i="22" s="1"/>
  <c r="G33" i="22" a="1"/>
  <c r="G33" i="22" s="1"/>
  <c r="G35" i="22" a="1"/>
  <c r="G35" i="22" s="1"/>
  <c r="G37" i="22" a="1"/>
  <c r="G37" i="22" s="1"/>
  <c r="G39" i="22" a="1"/>
  <c r="G39" i="22" s="1"/>
  <c r="G41" i="22" a="1"/>
  <c r="G41" i="22" s="1"/>
  <c r="G43" i="22" a="1"/>
  <c r="G43" i="22" s="1"/>
  <c r="G45" i="22" a="1"/>
  <c r="G45" i="22" s="1"/>
  <c r="G47" i="22" a="1"/>
  <c r="G47" i="22" s="1"/>
  <c r="G49" i="22" a="1"/>
  <c r="G49" i="22" s="1"/>
  <c r="G51" i="22" a="1"/>
  <c r="G51" i="22" s="1"/>
  <c r="G53" i="22" a="1"/>
  <c r="G53" i="22" s="1"/>
  <c r="G55" i="22" a="1"/>
  <c r="G55" i="22" s="1"/>
  <c r="G57" i="22" a="1"/>
  <c r="G57" i="22" s="1"/>
  <c r="G59" i="22" a="1"/>
  <c r="G59" i="22" s="1"/>
  <c r="G61" i="22" a="1"/>
  <c r="G61" i="22" s="1"/>
  <c r="G63" i="22" a="1"/>
  <c r="G63" i="22" s="1"/>
  <c r="G65" i="22" a="1"/>
  <c r="G65" i="22" s="1"/>
  <c r="G67" i="22" a="1"/>
  <c r="G67" i="22" s="1"/>
  <c r="G69" i="22" a="1"/>
  <c r="G69" i="22" s="1"/>
  <c r="G71" i="22" a="1"/>
  <c r="G71" i="22" s="1"/>
  <c r="G73" i="22" a="1"/>
  <c r="G73" i="22" s="1"/>
  <c r="G75" i="22" a="1"/>
  <c r="G75" i="22" s="1"/>
  <c r="G77" i="22" a="1"/>
  <c r="G77" i="22" s="1"/>
  <c r="G79" i="22" a="1"/>
  <c r="G79" i="22" s="1"/>
  <c r="G81" i="22" a="1"/>
  <c r="G81" i="22" s="1"/>
  <c r="G83" i="22" a="1"/>
  <c r="G83" i="22" s="1"/>
  <c r="G85" i="22" a="1"/>
  <c r="G85" i="22" s="1"/>
  <c r="G87" i="22" a="1"/>
  <c r="G87" i="22" s="1"/>
  <c r="G248" i="22" a="1"/>
  <c r="G248" i="22" s="1"/>
  <c r="G246" i="22" a="1"/>
  <c r="G246" i="22" s="1"/>
  <c r="G244" i="22" a="1"/>
  <c r="G244" i="22" s="1"/>
  <c r="G242" i="22" a="1"/>
  <c r="G242" i="22" s="1"/>
  <c r="G240" i="22" a="1"/>
  <c r="G240" i="22" s="1"/>
  <c r="G238" i="22" a="1"/>
  <c r="G238" i="22" s="1"/>
  <c r="G236" i="22" a="1"/>
  <c r="G236" i="22" s="1"/>
  <c r="G234" i="22" a="1"/>
  <c r="G234" i="22" s="1"/>
  <c r="G232" i="22" a="1"/>
  <c r="G232" i="22" s="1"/>
  <c r="G230" i="22" a="1"/>
  <c r="G230" i="22" s="1"/>
  <c r="G228" i="22" a="1"/>
  <c r="G228" i="22" s="1"/>
  <c r="G226" i="22" a="1"/>
  <c r="G226" i="22" s="1"/>
  <c r="G224" i="22" a="1"/>
  <c r="G224" i="22" s="1"/>
  <c r="G222" i="22" a="1"/>
  <c r="G222" i="22" s="1"/>
  <c r="G220" i="22" a="1"/>
  <c r="G220" i="22" s="1"/>
  <c r="G218" i="22" a="1"/>
  <c r="G218" i="22" s="1"/>
  <c r="G216" i="22" a="1"/>
  <c r="G216" i="22" s="1"/>
  <c r="G214" i="22" a="1"/>
  <c r="G214" i="22" s="1"/>
  <c r="G212" i="22" a="1"/>
  <c r="G212" i="22" s="1"/>
  <c r="G210" i="22" a="1"/>
  <c r="G210" i="22" s="1"/>
  <c r="G208" i="22" a="1"/>
  <c r="G208" i="22" s="1"/>
  <c r="G206" i="22" a="1"/>
  <c r="G206" i="22" s="1"/>
  <c r="G204" i="22" a="1"/>
  <c r="G204" i="22" s="1"/>
  <c r="G202" i="22" a="1"/>
  <c r="G202" i="22" s="1"/>
  <c r="G200" i="22" a="1"/>
  <c r="G200" i="22" s="1"/>
  <c r="G198" i="22" a="1"/>
  <c r="G198" i="22" s="1"/>
  <c r="G196" i="22" a="1"/>
  <c r="G196" i="22" s="1"/>
  <c r="G194" i="22" a="1"/>
  <c r="G194" i="22" s="1"/>
  <c r="G192" i="22" a="1"/>
  <c r="G192" i="22" s="1"/>
  <c r="G190" i="22" a="1"/>
  <c r="G190" i="22" s="1"/>
  <c r="G188" i="22" a="1"/>
  <c r="G188" i="22" s="1"/>
  <c r="G186" i="22" a="1"/>
  <c r="G186" i="22" s="1"/>
  <c r="G184" i="22" a="1"/>
  <c r="G184" i="22" s="1"/>
  <c r="G182" i="22" a="1"/>
  <c r="G182" i="22" s="1"/>
  <c r="G180" i="22" a="1"/>
  <c r="G180" i="22" s="1"/>
  <c r="G178" i="22" a="1"/>
  <c r="G178" i="22" s="1"/>
  <c r="G176" i="22" a="1"/>
  <c r="G176" i="22" s="1"/>
  <c r="G174" i="22" a="1"/>
  <c r="G174" i="22" s="1"/>
  <c r="G172" i="22" a="1"/>
  <c r="G172" i="22" s="1"/>
  <c r="G170" i="22" a="1"/>
  <c r="G170" i="22" s="1"/>
  <c r="G168" i="22" a="1"/>
  <c r="G168" i="22" s="1"/>
  <c r="G166" i="22" a="1"/>
  <c r="G166" i="22" s="1"/>
  <c r="G164" i="22" a="1"/>
  <c r="G164" i="22" s="1"/>
  <c r="G162" i="22" a="1"/>
  <c r="G162" i="22" s="1"/>
  <c r="G160" i="22" a="1"/>
  <c r="G160" i="22" s="1"/>
  <c r="G158" i="22" a="1"/>
  <c r="G158" i="22" s="1"/>
  <c r="G156" i="22" a="1"/>
  <c r="G156" i="22" s="1"/>
  <c r="G154" i="22" a="1"/>
  <c r="G154" i="22" s="1"/>
  <c r="G152" i="22" a="1"/>
  <c r="G152" i="22" s="1"/>
  <c r="G150" i="22" a="1"/>
  <c r="G150" i="22" s="1"/>
  <c r="G148" i="22" a="1"/>
  <c r="G148" i="22" s="1"/>
  <c r="G146" i="22" a="1"/>
  <c r="G146" i="22" s="1"/>
  <c r="G144" i="22" a="1"/>
  <c r="G144" i="22" s="1"/>
  <c r="G142" i="22" a="1"/>
  <c r="G142" i="22" s="1"/>
  <c r="G140" i="22" a="1"/>
  <c r="G140" i="22" s="1"/>
  <c r="G138" i="22" a="1"/>
  <c r="G138" i="22" s="1"/>
  <c r="G136" i="22" a="1"/>
  <c r="G136" i="22" s="1"/>
  <c r="G134" i="22" a="1"/>
  <c r="G134" i="22" s="1"/>
  <c r="G130" i="22" a="1"/>
  <c r="G130" i="22" s="1"/>
  <c r="G126" i="22" a="1"/>
  <c r="G126" i="22" s="1"/>
  <c r="G122" i="22" a="1"/>
  <c r="G122" i="22" s="1"/>
  <c r="G118" i="22" a="1"/>
  <c r="G118" i="22" s="1"/>
  <c r="G114" i="22" a="1"/>
  <c r="G114" i="22" s="1"/>
  <c r="G110" i="22" a="1"/>
  <c r="G110" i="22" s="1"/>
  <c r="G106" i="22" a="1"/>
  <c r="G106" i="22" s="1"/>
  <c r="G102" i="22" a="1"/>
  <c r="G102" i="22" s="1"/>
  <c r="G98" i="22" a="1"/>
  <c r="G98" i="22" s="1"/>
  <c r="G94" i="22" a="1"/>
  <c r="G94" i="22" s="1"/>
  <c r="G90" i="22" a="1"/>
  <c r="G90" i="22" s="1"/>
  <c r="G369" i="22" a="1"/>
  <c r="G369" i="22" s="1"/>
  <c r="G365" i="22" a="1"/>
  <c r="G365" i="22" s="1"/>
  <c r="G361" i="22" a="1"/>
  <c r="G361" i="22" s="1"/>
  <c r="G357" i="22" a="1"/>
  <c r="G357" i="22" s="1"/>
  <c r="G353" i="22" a="1"/>
  <c r="G353" i="22" s="1"/>
  <c r="G349" i="22" a="1"/>
  <c r="G349" i="22" s="1"/>
  <c r="G345" i="22" a="1"/>
  <c r="G345" i="22" s="1"/>
  <c r="G341" i="22" a="1"/>
  <c r="G341" i="22" s="1"/>
  <c r="G337" i="22" a="1"/>
  <c r="G337" i="22" s="1"/>
  <c r="F86" i="22" a="1"/>
  <c r="F86" i="22" s="1"/>
  <c r="F84" i="22" a="1"/>
  <c r="F84" i="22" s="1"/>
  <c r="F80" i="22" a="1"/>
  <c r="F80" i="22" s="1"/>
  <c r="F78" i="22" a="1"/>
  <c r="F78" i="22" s="1"/>
  <c r="F74" i="22" a="1"/>
  <c r="F74" i="22" s="1"/>
  <c r="F72" i="22" a="1"/>
  <c r="F72" i="22" s="1"/>
  <c r="F66" i="22" a="1"/>
  <c r="F66" i="22" s="1"/>
  <c r="F62" i="22" a="1"/>
  <c r="F62" i="22" s="1"/>
  <c r="F58" i="22" a="1"/>
  <c r="F58" i="22" s="1"/>
  <c r="F52" i="22" a="1"/>
  <c r="F52" i="22" s="1"/>
  <c r="F50" i="22" a="1"/>
  <c r="F50" i="22" s="1"/>
  <c r="F46" i="22" a="1"/>
  <c r="F46" i="22" s="1"/>
  <c r="F42" i="22" a="1"/>
  <c r="F42" i="22" s="1"/>
  <c r="F32" i="22" a="1"/>
  <c r="F32" i="22" s="1"/>
  <c r="F30" i="22" a="1"/>
  <c r="F30" i="22" s="1"/>
  <c r="F28" i="22" a="1"/>
  <c r="F28" i="22" s="1"/>
  <c r="F24" i="22" a="1"/>
  <c r="F24" i="22" s="1"/>
  <c r="F22" i="22" a="1"/>
  <c r="F22" i="22" s="1"/>
  <c r="F18" i="22" a="1"/>
  <c r="F18" i="22" s="1"/>
  <c r="F16" i="22" a="1"/>
  <c r="F16" i="22" s="1"/>
  <c r="F10" i="22" a="1"/>
  <c r="F10" i="22" s="1"/>
  <c r="F8" i="22" a="1"/>
  <c r="F8" i="22" s="1"/>
  <c r="F88" i="22" a="1"/>
  <c r="F88" i="22" s="1"/>
  <c r="F370" i="22" a="1"/>
  <c r="F370" i="22" s="1"/>
  <c r="F366" i="22" a="1"/>
  <c r="F366" i="22" s="1"/>
  <c r="F358" i="22" a="1"/>
  <c r="F358" i="22" s="1"/>
  <c r="F356" i="22" a="1"/>
  <c r="F356" i="22" s="1"/>
  <c r="F352" i="22" a="1"/>
  <c r="F352" i="22" s="1"/>
  <c r="F348" i="22" a="1"/>
  <c r="F348" i="22" s="1"/>
  <c r="F346" i="22" a="1"/>
  <c r="F346" i="22" s="1"/>
  <c r="F340" i="22" a="1"/>
  <c r="F340" i="22" s="1"/>
  <c r="F338" i="22" a="1"/>
  <c r="F338" i="22" s="1"/>
  <c r="F334" i="22" a="1"/>
  <c r="F334" i="22" s="1"/>
  <c r="F332" i="22" a="1"/>
  <c r="F332" i="22" s="1"/>
  <c r="F328" i="22" a="1"/>
  <c r="F328" i="22" s="1"/>
  <c r="F326" i="22" a="1"/>
  <c r="F326" i="22" s="1"/>
  <c r="F322" i="22" a="1"/>
  <c r="F322" i="22" s="1"/>
  <c r="F318" i="22" a="1"/>
  <c r="F318" i="22" s="1"/>
  <c r="F316" i="22" a="1"/>
  <c r="F316" i="22" s="1"/>
  <c r="F310" i="22" a="1"/>
  <c r="F310" i="22" s="1"/>
  <c r="F308" i="22" a="1"/>
  <c r="F308" i="22" s="1"/>
  <c r="F306" i="22" a="1"/>
  <c r="F306" i="22" s="1"/>
  <c r="F302" i="22" a="1"/>
  <c r="F302" i="22" s="1"/>
  <c r="F300" i="22" a="1"/>
  <c r="F300" i="22" s="1"/>
  <c r="F298" i="22" a="1"/>
  <c r="F298" i="22" s="1"/>
  <c r="F296" i="22" a="1"/>
  <c r="F296" i="22" s="1"/>
  <c r="F294" i="22" a="1"/>
  <c r="F294" i="22" s="1"/>
  <c r="F292" i="22" a="1"/>
  <c r="F292" i="22" s="1"/>
  <c r="F290" i="22" a="1"/>
  <c r="F290" i="22" s="1"/>
  <c r="F288" i="22" a="1"/>
  <c r="F288" i="22" s="1"/>
  <c r="F286" i="22" a="1"/>
  <c r="F286" i="22" s="1"/>
  <c r="F284" i="22" a="1"/>
  <c r="F284" i="22" s="1"/>
  <c r="F282" i="22" a="1"/>
  <c r="F282" i="22" s="1"/>
  <c r="F280" i="22" a="1"/>
  <c r="F280" i="22" s="1"/>
  <c r="F278" i="22" a="1"/>
  <c r="F278" i="22" s="1"/>
  <c r="F276" i="22" a="1"/>
  <c r="F276" i="22" s="1"/>
  <c r="F274" i="22" a="1"/>
  <c r="F274" i="22" s="1"/>
  <c r="F272" i="22" a="1"/>
  <c r="F272" i="22" s="1"/>
  <c r="F270" i="22" a="1"/>
  <c r="F270" i="22" s="1"/>
  <c r="F268" i="22" a="1"/>
  <c r="F268" i="22" s="1"/>
  <c r="F266" i="22" a="1"/>
  <c r="F266" i="22" s="1"/>
  <c r="F264" i="22" a="1"/>
  <c r="F264" i="22" s="1"/>
  <c r="F262" i="22" a="1"/>
  <c r="F262" i="22" s="1"/>
  <c r="F260" i="22" a="1"/>
  <c r="F260" i="22" s="1"/>
  <c r="F258" i="22" a="1"/>
  <c r="F258" i="22" s="1"/>
  <c r="F256" i="22" a="1"/>
  <c r="F256" i="22" s="1"/>
  <c r="F254" i="22" a="1"/>
  <c r="F254" i="22" s="1"/>
  <c r="F252" i="22" a="1"/>
  <c r="F252" i="22" s="1"/>
  <c r="F250" i="22" a="1"/>
  <c r="F250" i="22" s="1"/>
  <c r="F248" i="22" a="1"/>
  <c r="F248" i="22" s="1"/>
  <c r="F246" i="22" a="1"/>
  <c r="F246" i="22" s="1"/>
  <c r="F244" i="22" a="1"/>
  <c r="F244" i="22" s="1"/>
  <c r="F242" i="22" a="1"/>
  <c r="F242" i="22" s="1"/>
  <c r="F240" i="22" a="1"/>
  <c r="F240" i="22" s="1"/>
  <c r="F238" i="22" a="1"/>
  <c r="F238" i="22" s="1"/>
  <c r="F236" i="22" a="1"/>
  <c r="F236" i="22" s="1"/>
  <c r="F234" i="22" a="1"/>
  <c r="F234" i="22" s="1"/>
  <c r="F232" i="22" a="1"/>
  <c r="F232" i="22" s="1"/>
  <c r="F230" i="22" a="1"/>
  <c r="F230" i="22" s="1"/>
  <c r="F228" i="22" a="1"/>
  <c r="F228" i="22" s="1"/>
  <c r="F226" i="22" a="1"/>
  <c r="F226" i="22" s="1"/>
  <c r="F224" i="22" a="1"/>
  <c r="F224" i="22" s="1"/>
  <c r="F222" i="22" a="1"/>
  <c r="F222" i="22" s="1"/>
  <c r="F220" i="22" a="1"/>
  <c r="F220" i="22" s="1"/>
  <c r="F218" i="22" a="1"/>
  <c r="F218" i="22" s="1"/>
  <c r="F216" i="22" a="1"/>
  <c r="F216" i="22" s="1"/>
  <c r="F214" i="22" a="1"/>
  <c r="F214" i="22" s="1"/>
  <c r="F212" i="22" a="1"/>
  <c r="F212" i="22" s="1"/>
  <c r="F210" i="22" a="1"/>
  <c r="F210" i="22" s="1"/>
  <c r="F208" i="22" a="1"/>
  <c r="F208" i="22" s="1"/>
  <c r="F206" i="22" a="1"/>
  <c r="F206" i="22" s="1"/>
  <c r="F204" i="22" a="1"/>
  <c r="F204" i="22" s="1"/>
  <c r="F202" i="22" a="1"/>
  <c r="F202" i="22" s="1"/>
  <c r="F200" i="22" a="1"/>
  <c r="F200" i="22" s="1"/>
  <c r="F198" i="22" a="1"/>
  <c r="F198" i="22" s="1"/>
  <c r="F196" i="22" a="1"/>
  <c r="F196" i="22" s="1"/>
  <c r="F194" i="22" a="1"/>
  <c r="F194" i="22" s="1"/>
  <c r="F192" i="22" a="1"/>
  <c r="F192" i="22" s="1"/>
  <c r="F190" i="22" a="1"/>
  <c r="F190" i="22" s="1"/>
  <c r="F188" i="22" a="1"/>
  <c r="F188" i="22" s="1"/>
  <c r="F186" i="22" a="1"/>
  <c r="F186" i="22" s="1"/>
  <c r="F184" i="22" a="1"/>
  <c r="F184" i="22" s="1"/>
  <c r="F182" i="22" a="1"/>
  <c r="F182" i="22" s="1"/>
  <c r="F180" i="22" a="1"/>
  <c r="F180" i="22" s="1"/>
  <c r="F178" i="22" a="1"/>
  <c r="F178" i="22" s="1"/>
  <c r="F176" i="22" a="1"/>
  <c r="F176" i="22" s="1"/>
  <c r="F174" i="22" a="1"/>
  <c r="F174" i="22" s="1"/>
  <c r="F172" i="22" a="1"/>
  <c r="F172" i="22" s="1"/>
  <c r="F170" i="22" a="1"/>
  <c r="F170" i="22" s="1"/>
  <c r="F168" i="22" a="1"/>
  <c r="F168" i="22" s="1"/>
  <c r="F166" i="22" a="1"/>
  <c r="F166" i="22" s="1"/>
  <c r="F164" i="22" a="1"/>
  <c r="F164" i="22" s="1"/>
  <c r="F162" i="22" a="1"/>
  <c r="F162" i="22" s="1"/>
  <c r="F160" i="22" a="1"/>
  <c r="F160" i="22" s="1"/>
  <c r="F158" i="22" a="1"/>
  <c r="F158" i="22" s="1"/>
  <c r="F156" i="22" a="1"/>
  <c r="F156" i="22" s="1"/>
  <c r="F154" i="22" a="1"/>
  <c r="F154" i="22" s="1"/>
  <c r="F152" i="22" a="1"/>
  <c r="F152" i="22" s="1"/>
  <c r="F150" i="22" a="1"/>
  <c r="F150" i="22" s="1"/>
  <c r="F148" i="22" a="1"/>
  <c r="F148" i="22" s="1"/>
  <c r="F146" i="22" a="1"/>
  <c r="F146" i="22" s="1"/>
  <c r="F144" i="22" a="1"/>
  <c r="F144" i="22" s="1"/>
  <c r="F142" i="22" a="1"/>
  <c r="F142" i="22" s="1"/>
  <c r="F140" i="22" a="1"/>
  <c r="F140" i="22" s="1"/>
  <c r="F138" i="22" a="1"/>
  <c r="F138" i="22" s="1"/>
  <c r="F136" i="22" a="1"/>
  <c r="F136" i="22" s="1"/>
  <c r="F134" i="22" a="1"/>
  <c r="F134" i="22" s="1"/>
  <c r="F132" i="22" a="1"/>
  <c r="F132" i="22" s="1"/>
  <c r="F130" i="22" a="1"/>
  <c r="F130" i="22" s="1"/>
  <c r="F128" i="22" a="1"/>
  <c r="F128" i="22" s="1"/>
  <c r="F126" i="22" a="1"/>
  <c r="F126" i="22" s="1"/>
  <c r="F124" i="22" a="1"/>
  <c r="F124" i="22" s="1"/>
  <c r="F122" i="22" a="1"/>
  <c r="F122" i="22" s="1"/>
  <c r="F120" i="22" a="1"/>
  <c r="F120" i="22" s="1"/>
  <c r="F118" i="22" a="1"/>
  <c r="F118" i="22" s="1"/>
  <c r="F116" i="22" a="1"/>
  <c r="F116" i="22" s="1"/>
  <c r="F114" i="22" a="1"/>
  <c r="F114" i="22" s="1"/>
  <c r="F112" i="22" a="1"/>
  <c r="F112" i="22" s="1"/>
  <c r="F110" i="22" a="1"/>
  <c r="F110" i="22" s="1"/>
  <c r="F108" i="22" a="1"/>
  <c r="F108" i="22" s="1"/>
  <c r="F106" i="22" a="1"/>
  <c r="F106" i="22" s="1"/>
  <c r="F104" i="22" a="1"/>
  <c r="F104" i="22" s="1"/>
  <c r="F102" i="22" a="1"/>
  <c r="F102" i="22" s="1"/>
  <c r="F100" i="22" a="1"/>
  <c r="F100" i="22" s="1"/>
  <c r="F98" i="22" a="1"/>
  <c r="F98" i="22" s="1"/>
  <c r="F96" i="22" a="1"/>
  <c r="F96" i="22" s="1"/>
  <c r="F94" i="22" a="1"/>
  <c r="F94" i="22" s="1"/>
  <c r="F92" i="22" a="1"/>
  <c r="F92" i="22" s="1"/>
  <c r="F90" i="22" a="1"/>
  <c r="F90" i="22" s="1"/>
  <c r="G4" i="22" a="1"/>
  <c r="G4" i="22" s="1"/>
  <c r="G6" i="22" a="1"/>
  <c r="G6" i="22" s="1"/>
  <c r="G8" i="22" a="1"/>
  <c r="G8" i="22" s="1"/>
  <c r="G10" i="22" a="1"/>
  <c r="G10" i="22" s="1"/>
  <c r="G12" i="22" a="1"/>
  <c r="G12" i="22" s="1"/>
  <c r="G14" i="22" a="1"/>
  <c r="G14" i="22" s="1"/>
  <c r="G16" i="22" a="1"/>
  <c r="G16" i="22" s="1"/>
  <c r="G18" i="22" a="1"/>
  <c r="G18" i="22" s="1"/>
  <c r="G20" i="22" a="1"/>
  <c r="G20" i="22" s="1"/>
  <c r="G22" i="22" a="1"/>
  <c r="G22" i="22" s="1"/>
  <c r="G24" i="22" a="1"/>
  <c r="G24" i="22" s="1"/>
  <c r="G26" i="22" a="1"/>
  <c r="G26" i="22" s="1"/>
  <c r="G28" i="22" a="1"/>
  <c r="G28" i="22" s="1"/>
  <c r="G30" i="22" a="1"/>
  <c r="G30" i="22" s="1"/>
  <c r="G32" i="22" a="1"/>
  <c r="G32" i="22" s="1"/>
  <c r="G34" i="22" a="1"/>
  <c r="G34" i="22" s="1"/>
  <c r="G36" i="22" a="1"/>
  <c r="G36" i="22" s="1"/>
  <c r="G38" i="22" a="1"/>
  <c r="G38" i="22" s="1"/>
  <c r="G40" i="22" a="1"/>
  <c r="G40" i="22" s="1"/>
  <c r="G42" i="22" a="1"/>
  <c r="G42" i="22" s="1"/>
  <c r="G44" i="22" a="1"/>
  <c r="G44" i="22" s="1"/>
  <c r="G46" i="22" a="1"/>
  <c r="G46" i="22" s="1"/>
  <c r="G48" i="22" a="1"/>
  <c r="G48" i="22" s="1"/>
  <c r="G50" i="22" a="1"/>
  <c r="G50" i="22" s="1"/>
  <c r="G52" i="22" a="1"/>
  <c r="G52" i="22" s="1"/>
  <c r="G54" i="22" a="1"/>
  <c r="G54" i="22" s="1"/>
  <c r="G56" i="22" a="1"/>
  <c r="G56" i="22" s="1"/>
  <c r="G58" i="22" a="1"/>
  <c r="G58" i="22" s="1"/>
  <c r="G60" i="22" a="1"/>
  <c r="G60" i="22" s="1"/>
  <c r="G62" i="22" a="1"/>
  <c r="G62" i="22" s="1"/>
  <c r="G64" i="22" a="1"/>
  <c r="G64" i="22" s="1"/>
  <c r="G66" i="22" a="1"/>
  <c r="G66" i="22" s="1"/>
  <c r="G68" i="22" a="1"/>
  <c r="G68" i="22" s="1"/>
  <c r="G70" i="22" a="1"/>
  <c r="G70" i="22" s="1"/>
  <c r="G72" i="22" a="1"/>
  <c r="G72" i="22" s="1"/>
  <c r="G74" i="22" a="1"/>
  <c r="G74" i="22" s="1"/>
  <c r="G76" i="22" a="1"/>
  <c r="G76" i="22" s="1"/>
  <c r="G78" i="22" a="1"/>
  <c r="G78" i="22" s="1"/>
  <c r="G80" i="22" a="1"/>
  <c r="G80" i="22" s="1"/>
  <c r="G82" i="22" a="1"/>
  <c r="G82" i="22" s="1"/>
  <c r="G84" i="22" a="1"/>
  <c r="G84" i="22" s="1"/>
  <c r="G86" i="22" a="1"/>
  <c r="G86" i="22" s="1"/>
  <c r="G88" i="22" a="1"/>
  <c r="G88" i="22" s="1"/>
  <c r="G247" i="22" a="1"/>
  <c r="G247" i="22" s="1"/>
  <c r="G245" i="22" a="1"/>
  <c r="G245" i="22" s="1"/>
  <c r="G243" i="22" a="1"/>
  <c r="G243" i="22" s="1"/>
  <c r="G241" i="22" a="1"/>
  <c r="G241" i="22" s="1"/>
  <c r="G239" i="22" a="1"/>
  <c r="G239" i="22" s="1"/>
  <c r="G237" i="22" a="1"/>
  <c r="G237" i="22" s="1"/>
  <c r="G235" i="22" a="1"/>
  <c r="G235" i="22" s="1"/>
  <c r="G233" i="22" a="1"/>
  <c r="G233" i="22" s="1"/>
  <c r="G231" i="22" a="1"/>
  <c r="G231" i="22" s="1"/>
  <c r="G229" i="22" a="1"/>
  <c r="G229" i="22" s="1"/>
  <c r="G227" i="22" a="1"/>
  <c r="G227" i="22" s="1"/>
  <c r="G225" i="22" a="1"/>
  <c r="G225" i="22" s="1"/>
  <c r="G223" i="22" a="1"/>
  <c r="G223" i="22" s="1"/>
  <c r="G221" i="22" a="1"/>
  <c r="G221" i="22" s="1"/>
  <c r="G219" i="22" a="1"/>
  <c r="G219" i="22" s="1"/>
  <c r="G217" i="22" a="1"/>
  <c r="G217" i="22" s="1"/>
  <c r="G215" i="22" a="1"/>
  <c r="G215" i="22" s="1"/>
  <c r="G213" i="22" a="1"/>
  <c r="G213" i="22" s="1"/>
  <c r="G211" i="22" a="1"/>
  <c r="G211" i="22" s="1"/>
  <c r="G209" i="22" a="1"/>
  <c r="G209" i="22" s="1"/>
  <c r="G207" i="22" a="1"/>
  <c r="G207" i="22" s="1"/>
  <c r="G205" i="22" a="1"/>
  <c r="G205" i="22" s="1"/>
  <c r="G203" i="22" a="1"/>
  <c r="G203" i="22" s="1"/>
  <c r="G201" i="22" a="1"/>
  <c r="G201" i="22" s="1"/>
  <c r="G199" i="22" a="1"/>
  <c r="G199" i="22" s="1"/>
  <c r="G197" i="22" a="1"/>
  <c r="G197" i="22" s="1"/>
  <c r="G195" i="22" a="1"/>
  <c r="G195" i="22" s="1"/>
  <c r="G193" i="22" a="1"/>
  <c r="G193" i="22" s="1"/>
  <c r="G191" i="22" a="1"/>
  <c r="G191" i="22" s="1"/>
  <c r="G189" i="22" a="1"/>
  <c r="G189" i="22" s="1"/>
  <c r="G187" i="22" a="1"/>
  <c r="G187" i="22" s="1"/>
  <c r="G185" i="22" a="1"/>
  <c r="G185" i="22" s="1"/>
  <c r="G183" i="22" a="1"/>
  <c r="G183" i="22" s="1"/>
  <c r="G181" i="22" a="1"/>
  <c r="G181" i="22" s="1"/>
  <c r="G179" i="22" a="1"/>
  <c r="G179" i="22" s="1"/>
  <c r="G177" i="22" a="1"/>
  <c r="G177" i="22" s="1"/>
  <c r="G175" i="22" a="1"/>
  <c r="G175" i="22" s="1"/>
  <c r="G173" i="22" a="1"/>
  <c r="G173" i="22" s="1"/>
  <c r="G171" i="22" a="1"/>
  <c r="G171" i="22" s="1"/>
  <c r="G169" i="22" a="1"/>
  <c r="G169" i="22" s="1"/>
  <c r="G167" i="22" a="1"/>
  <c r="G167" i="22" s="1"/>
  <c r="G165" i="22" a="1"/>
  <c r="G165" i="22" s="1"/>
  <c r="G163" i="22" a="1"/>
  <c r="G163" i="22" s="1"/>
  <c r="G161" i="22" a="1"/>
  <c r="G161" i="22" s="1"/>
  <c r="G159" i="22" a="1"/>
  <c r="G159" i="22" s="1"/>
  <c r="G157" i="22" a="1"/>
  <c r="G157" i="22" s="1"/>
  <c r="G155" i="22" a="1"/>
  <c r="G155" i="22" s="1"/>
  <c r="G153" i="22" a="1"/>
  <c r="G153" i="22" s="1"/>
  <c r="G151" i="22" a="1"/>
  <c r="G151" i="22" s="1"/>
  <c r="G149" i="22" a="1"/>
  <c r="G149" i="22" s="1"/>
  <c r="G147" i="22" a="1"/>
  <c r="G147" i="22" s="1"/>
  <c r="G145" i="22" a="1"/>
  <c r="G145" i="22" s="1"/>
  <c r="G143" i="22" a="1"/>
  <c r="G143" i="22" s="1"/>
  <c r="G141" i="22" a="1"/>
  <c r="G141" i="22" s="1"/>
  <c r="G139" i="22" a="1"/>
  <c r="G139" i="22" s="1"/>
  <c r="G137" i="22" a="1"/>
  <c r="G137" i="22" s="1"/>
  <c r="G135" i="22" a="1"/>
  <c r="G135" i="22" s="1"/>
  <c r="G132" i="22" a="1"/>
  <c r="G132" i="22" s="1"/>
  <c r="G128" i="22" a="1"/>
  <c r="G128" i="22" s="1"/>
  <c r="G124" i="22" a="1"/>
  <c r="G124" i="22" s="1"/>
  <c r="G120" i="22" a="1"/>
  <c r="G120" i="22" s="1"/>
  <c r="G116" i="22" a="1"/>
  <c r="G116" i="22" s="1"/>
  <c r="G112" i="22" a="1"/>
  <c r="G112" i="22" s="1"/>
  <c r="G108" i="22" a="1"/>
  <c r="G108" i="22" s="1"/>
  <c r="G104" i="22" a="1"/>
  <c r="G104" i="22" s="1"/>
  <c r="G100" i="22" a="1"/>
  <c r="G100" i="22" s="1"/>
  <c r="G96" i="22" a="1"/>
  <c r="G96" i="22" s="1"/>
  <c r="G92" i="22" a="1"/>
  <c r="G92" i="22" s="1"/>
  <c r="G371" i="22" a="1"/>
  <c r="G371" i="22" s="1"/>
  <c r="G367" i="22" a="1"/>
  <c r="G367" i="22" s="1"/>
  <c r="G363" i="22" a="1"/>
  <c r="G363" i="22" s="1"/>
  <c r="G359" i="22" a="1"/>
  <c r="G359" i="22" s="1"/>
  <c r="G355" i="22" a="1"/>
  <c r="G355" i="22" s="1"/>
  <c r="G351" i="22" a="1"/>
  <c r="G351" i="22" s="1"/>
  <c r="G347" i="22" a="1"/>
  <c r="G347" i="22" s="1"/>
  <c r="G343" i="22" a="1"/>
  <c r="G343" i="22" s="1"/>
  <c r="G339" i="22" a="1"/>
  <c r="G339" i="22" s="1"/>
  <c r="G335" i="22" a="1"/>
  <c r="G335" i="22" s="1"/>
  <c r="J5" i="28" l="1"/>
  <c r="AI7" i="28" s="1"/>
  <c r="H374" i="27"/>
  <c r="J5" i="27" s="1"/>
  <c r="K5" i="27" s="1"/>
  <c r="AJ7" i="27" s="1"/>
  <c r="G373" i="22"/>
  <c r="G372" i="22"/>
  <c r="H373" i="22"/>
  <c r="H372" i="22"/>
  <c r="I373" i="22"/>
  <c r="I372" i="22"/>
  <c r="T373" i="22"/>
  <c r="T372" i="22"/>
  <c r="U373" i="22"/>
  <c r="U372" i="22"/>
  <c r="R373" i="22"/>
  <c r="R372" i="22"/>
  <c r="F373" i="22"/>
  <c r="F372" i="22"/>
  <c r="J373" i="22"/>
  <c r="J372" i="22"/>
  <c r="K373" i="22"/>
  <c r="K372" i="22"/>
  <c r="S373" i="22"/>
  <c r="S372" i="22"/>
  <c r="W373" i="22"/>
  <c r="W372" i="22"/>
  <c r="V373" i="22"/>
  <c r="V372" i="22"/>
  <c r="K5" i="28" l="1"/>
  <c r="L8" i="27"/>
  <c r="L36" i="27"/>
  <c r="L68" i="27"/>
  <c r="L26" i="27"/>
  <c r="L58" i="27"/>
  <c r="L90" i="27"/>
  <c r="W90" i="27" s="1"/>
  <c r="L17" i="27"/>
  <c r="L33" i="27"/>
  <c r="L49" i="27"/>
  <c r="L65" i="27"/>
  <c r="L81" i="27"/>
  <c r="L97" i="27"/>
  <c r="L119" i="27"/>
  <c r="L139" i="27"/>
  <c r="W139" i="27" s="1"/>
  <c r="L217" i="27"/>
  <c r="L248" i="27"/>
  <c r="L12" i="27"/>
  <c r="L44" i="27"/>
  <c r="L76" i="27"/>
  <c r="L7" i="27"/>
  <c r="L34" i="27"/>
  <c r="L66" i="27"/>
  <c r="W66" i="27" s="1"/>
  <c r="L98" i="27"/>
  <c r="L21" i="27"/>
  <c r="L37" i="27"/>
  <c r="L53" i="27"/>
  <c r="L69" i="27"/>
  <c r="L85" i="27"/>
  <c r="L103" i="27"/>
  <c r="L123" i="27"/>
  <c r="W123" i="27" s="1"/>
  <c r="L147" i="27"/>
  <c r="L120" i="27"/>
  <c r="L292" i="27"/>
  <c r="L16" i="27"/>
  <c r="L48" i="27"/>
  <c r="L80" i="27"/>
  <c r="L9" i="27"/>
  <c r="L38" i="27"/>
  <c r="W38" i="27" s="1"/>
  <c r="L70" i="27"/>
  <c r="L102" i="27"/>
  <c r="L23" i="27"/>
  <c r="L39" i="27"/>
  <c r="L55" i="27"/>
  <c r="L71" i="27"/>
  <c r="L87" i="27"/>
  <c r="L105" i="27"/>
  <c r="W105" i="27" s="1"/>
  <c r="L127" i="27"/>
  <c r="L153" i="27"/>
  <c r="L136" i="27"/>
  <c r="L312" i="27"/>
  <c r="L20" i="27"/>
  <c r="L84" i="27"/>
  <c r="L42" i="27"/>
  <c r="L74" i="27"/>
  <c r="W74" i="27" s="1"/>
  <c r="L106" i="27"/>
  <c r="L25" i="27"/>
  <c r="L41" i="27"/>
  <c r="L57" i="27"/>
  <c r="L73" i="27"/>
  <c r="L89" i="27"/>
  <c r="L107" i="27"/>
  <c r="L129" i="27"/>
  <c r="W129" i="27" s="1"/>
  <c r="L155" i="27"/>
  <c r="L154" i="27"/>
  <c r="L331" i="27"/>
  <c r="L24" i="27"/>
  <c r="L56" i="27"/>
  <c r="L88" i="27"/>
  <c r="L14" i="27"/>
  <c r="L46" i="27"/>
  <c r="W46" i="27" s="1"/>
  <c r="L78" i="27"/>
  <c r="L6" i="27"/>
  <c r="L27" i="27"/>
  <c r="L43" i="27"/>
  <c r="L59" i="27"/>
  <c r="L75" i="27"/>
  <c r="L91" i="27"/>
  <c r="L111" i="27"/>
  <c r="W111" i="27" s="1"/>
  <c r="L131" i="27"/>
  <c r="L159" i="27"/>
  <c r="L187" i="27"/>
  <c r="L359" i="27"/>
  <c r="L52" i="27"/>
  <c r="L11" i="27"/>
  <c r="L28" i="27"/>
  <c r="L60" i="27"/>
  <c r="O60" i="27" s="1"/>
  <c r="L92" i="27"/>
  <c r="L18" i="27"/>
  <c r="L50" i="27"/>
  <c r="L82" i="27"/>
  <c r="L13" i="27"/>
  <c r="L29" i="27"/>
  <c r="L45" i="27"/>
  <c r="L61" i="27"/>
  <c r="O61" i="27" s="1"/>
  <c r="L77" i="27"/>
  <c r="L93" i="27"/>
  <c r="L113" i="27"/>
  <c r="L135" i="27"/>
  <c r="L163" i="27"/>
  <c r="L251" i="27"/>
  <c r="L5" i="27"/>
  <c r="L32" i="27"/>
  <c r="W32" i="27" s="1"/>
  <c r="L64" i="27"/>
  <c r="L96" i="27"/>
  <c r="L22" i="27"/>
  <c r="L54" i="27"/>
  <c r="L86" i="27"/>
  <c r="L15" i="27"/>
  <c r="L31" i="27"/>
  <c r="L47" i="27"/>
  <c r="W47" i="27" s="1"/>
  <c r="L63" i="27"/>
  <c r="L79" i="27"/>
  <c r="L95" i="27"/>
  <c r="L115" i="27"/>
  <c r="L137" i="27"/>
  <c r="L185" i="27"/>
  <c r="L208" i="27"/>
  <c r="L100" i="27"/>
  <c r="W100" i="27" s="1"/>
  <c r="L10" i="27"/>
  <c r="L40" i="27"/>
  <c r="L72" i="27"/>
  <c r="L104" i="27"/>
  <c r="L30" i="27"/>
  <c r="L62" i="27"/>
  <c r="L94" i="27"/>
  <c r="L19" i="27"/>
  <c r="O19" i="27" s="1"/>
  <c r="L35" i="27"/>
  <c r="L51" i="27"/>
  <c r="L67" i="27"/>
  <c r="L83" i="27"/>
  <c r="L99" i="27"/>
  <c r="L121" i="27"/>
  <c r="L143" i="27"/>
  <c r="L249" i="27"/>
  <c r="O249" i="27" s="1"/>
  <c r="L354" i="27"/>
  <c r="L151" i="27"/>
  <c r="L167" i="27"/>
  <c r="L193" i="27"/>
  <c r="L225" i="27"/>
  <c r="L108" i="27"/>
  <c r="L124" i="27"/>
  <c r="L140" i="27"/>
  <c r="W140" i="27" s="1"/>
  <c r="L158" i="27"/>
  <c r="W158" i="27" s="1"/>
  <c r="L203" i="27"/>
  <c r="L180" i="27"/>
  <c r="L216" i="27"/>
  <c r="L260" i="27"/>
  <c r="L276" i="27"/>
  <c r="L296" i="27"/>
  <c r="L318" i="27"/>
  <c r="W318" i="27" s="1"/>
  <c r="L337" i="27"/>
  <c r="W337" i="27" s="1"/>
  <c r="L363" i="27"/>
  <c r="L169" i="27"/>
  <c r="L197" i="27"/>
  <c r="L229" i="27"/>
  <c r="L110" i="27"/>
  <c r="L126" i="27"/>
  <c r="L142" i="27"/>
  <c r="W142" i="27" s="1"/>
  <c r="L160" i="27"/>
  <c r="W160" i="27" s="1"/>
  <c r="L211" i="27"/>
  <c r="L184" i="27"/>
  <c r="L224" i="27"/>
  <c r="L264" i="27"/>
  <c r="L278" i="27"/>
  <c r="L300" i="27"/>
  <c r="L352" i="27"/>
  <c r="O352" i="27" s="1"/>
  <c r="L339" i="27"/>
  <c r="W339" i="27" s="1"/>
  <c r="L367" i="27"/>
  <c r="L171" i="27"/>
  <c r="L201" i="27"/>
  <c r="L233" i="27"/>
  <c r="L112" i="27"/>
  <c r="L128" i="27"/>
  <c r="L144" i="27"/>
  <c r="W144" i="27" s="1"/>
  <c r="L164" i="27"/>
  <c r="W164" i="27" s="1"/>
  <c r="L219" i="27"/>
  <c r="L188" i="27"/>
  <c r="L228" i="27"/>
  <c r="L350" i="27"/>
  <c r="L280" i="27"/>
  <c r="L302" i="27"/>
  <c r="L321" i="27"/>
  <c r="W321" i="27" s="1"/>
  <c r="L341" i="27"/>
  <c r="W341" i="27" s="1"/>
  <c r="L369" i="27"/>
  <c r="L109" i="27"/>
  <c r="L125" i="27"/>
  <c r="L141" i="27"/>
  <c r="L157" i="27"/>
  <c r="L173" i="27"/>
  <c r="L205" i="27"/>
  <c r="W205" i="27" s="1"/>
  <c r="L237" i="27"/>
  <c r="W237" i="27" s="1"/>
  <c r="L114" i="27"/>
  <c r="L130" i="27"/>
  <c r="L146" i="27"/>
  <c r="L168" i="27"/>
  <c r="L227" i="27"/>
  <c r="L192" i="27"/>
  <c r="L232" i="27"/>
  <c r="W232" i="27" s="1"/>
  <c r="L257" i="27"/>
  <c r="W257" i="27" s="1"/>
  <c r="L284" i="27"/>
  <c r="L304" i="27"/>
  <c r="L323" i="27"/>
  <c r="L345" i="27"/>
  <c r="L371" i="27"/>
  <c r="L177" i="27"/>
  <c r="L209" i="27"/>
  <c r="W209" i="27" s="1"/>
  <c r="L241" i="27"/>
  <c r="W241" i="27" s="1"/>
  <c r="L116" i="27"/>
  <c r="L132" i="27"/>
  <c r="L148" i="27"/>
  <c r="L172" i="27"/>
  <c r="L235" i="27"/>
  <c r="L196" i="27"/>
  <c r="L240" i="27"/>
  <c r="W240" i="27" s="1"/>
  <c r="L261" i="27"/>
  <c r="W261" i="27" s="1"/>
  <c r="L286" i="27"/>
  <c r="L308" i="27"/>
  <c r="L325" i="27"/>
  <c r="L349" i="27"/>
  <c r="L145" i="27"/>
  <c r="L161" i="27"/>
  <c r="L181" i="27"/>
  <c r="O181" i="27" s="1"/>
  <c r="L213" i="27"/>
  <c r="W213" i="27" s="1"/>
  <c r="L245" i="27"/>
  <c r="L118" i="27"/>
  <c r="L134" i="27"/>
  <c r="L152" i="27"/>
  <c r="L179" i="27"/>
  <c r="L243" i="27"/>
  <c r="L200" i="27"/>
  <c r="W200" i="27" s="1"/>
  <c r="L244" i="27"/>
  <c r="W244" i="27" s="1"/>
  <c r="L269" i="27"/>
  <c r="L288" i="27"/>
  <c r="L310" i="27"/>
  <c r="L329" i="27"/>
  <c r="L353" i="27"/>
  <c r="L101" i="27"/>
  <c r="L117" i="27"/>
  <c r="W117" i="27" s="1"/>
  <c r="L133" i="27"/>
  <c r="W133" i="27" s="1"/>
  <c r="L149" i="27"/>
  <c r="L165" i="27"/>
  <c r="L189" i="27"/>
  <c r="L221" i="27"/>
  <c r="L253" i="27"/>
  <c r="L122" i="27"/>
  <c r="L138" i="27"/>
  <c r="O138" i="27" s="1"/>
  <c r="L156" i="27"/>
  <c r="W156" i="27" s="1"/>
  <c r="L195" i="27"/>
  <c r="L176" i="27"/>
  <c r="L212" i="27"/>
  <c r="L256" i="27"/>
  <c r="L272" i="27"/>
  <c r="L294" i="27"/>
  <c r="L316" i="27"/>
  <c r="W316" i="27" s="1"/>
  <c r="L333" i="27"/>
  <c r="W333" i="27" s="1"/>
  <c r="L361" i="27"/>
  <c r="L175" i="27"/>
  <c r="L207" i="27"/>
  <c r="L239" i="27"/>
  <c r="L182" i="27"/>
  <c r="L198" i="27"/>
  <c r="L214" i="27"/>
  <c r="W214" i="27" s="1"/>
  <c r="L230" i="27"/>
  <c r="W230" i="27" s="1"/>
  <c r="L246" i="27"/>
  <c r="L262" i="27"/>
  <c r="L259" i="27"/>
  <c r="L271" i="27"/>
  <c r="L279" i="27"/>
  <c r="L287" i="27"/>
  <c r="L295" i="27"/>
  <c r="W295" i="27" s="1"/>
  <c r="L303" i="27"/>
  <c r="W303" i="27" s="1"/>
  <c r="L311" i="27"/>
  <c r="L348" i="27"/>
  <c r="L324" i="27"/>
  <c r="L332" i="27"/>
  <c r="L340" i="27"/>
  <c r="L351" i="27"/>
  <c r="L362" i="27"/>
  <c r="W362" i="27" s="1"/>
  <c r="L370" i="27"/>
  <c r="W370" i="27" s="1"/>
  <c r="L162" i="27"/>
  <c r="L183" i="27"/>
  <c r="L215" i="27"/>
  <c r="L247" i="27"/>
  <c r="L186" i="27"/>
  <c r="L202" i="27"/>
  <c r="L218" i="27"/>
  <c r="W218" i="27" s="1"/>
  <c r="L234" i="27"/>
  <c r="W234" i="27" s="1"/>
  <c r="L250" i="27"/>
  <c r="L266" i="27"/>
  <c r="L263" i="27"/>
  <c r="L273" i="27"/>
  <c r="L281" i="27"/>
  <c r="L289" i="27"/>
  <c r="L297" i="27"/>
  <c r="W297" i="27" s="1"/>
  <c r="L305" i="27"/>
  <c r="W305" i="27" s="1"/>
  <c r="L313" i="27"/>
  <c r="L356" i="27"/>
  <c r="L326" i="27"/>
  <c r="L334" i="27"/>
  <c r="L342" i="27"/>
  <c r="L355" i="27"/>
  <c r="L364" i="27"/>
  <c r="L372" i="27"/>
  <c r="W372" i="27" s="1"/>
  <c r="L204" i="27"/>
  <c r="L220" i="27"/>
  <c r="L236" i="27"/>
  <c r="L252" i="27"/>
  <c r="L268" i="27"/>
  <c r="L265" i="27"/>
  <c r="L274" i="27"/>
  <c r="W274" i="27" s="1"/>
  <c r="L282" i="27"/>
  <c r="W282" i="27" s="1"/>
  <c r="L290" i="27"/>
  <c r="L298" i="27"/>
  <c r="L306" i="27"/>
  <c r="L314" i="27"/>
  <c r="L319" i="27"/>
  <c r="L327" i="27"/>
  <c r="L335" i="27"/>
  <c r="O335" i="27" s="1"/>
  <c r="L343" i="27"/>
  <c r="W343" i="27" s="1"/>
  <c r="L357" i="27"/>
  <c r="L365" i="27"/>
  <c r="L373" i="27"/>
  <c r="L150" i="27"/>
  <c r="L166" i="27"/>
  <c r="L191" i="27"/>
  <c r="L223" i="27"/>
  <c r="W223" i="27" s="1"/>
  <c r="L174" i="27"/>
  <c r="W174" i="27" s="1"/>
  <c r="L190" i="27"/>
  <c r="L206" i="27"/>
  <c r="L222" i="27"/>
  <c r="L238" i="27"/>
  <c r="L254" i="27"/>
  <c r="L270" i="27"/>
  <c r="L267" i="27"/>
  <c r="W267" i="27" s="1"/>
  <c r="L275" i="27"/>
  <c r="W275" i="27" s="1"/>
  <c r="L283" i="27"/>
  <c r="L291" i="27"/>
  <c r="L299" i="27"/>
  <c r="L307" i="27"/>
  <c r="L315" i="27"/>
  <c r="L320" i="27"/>
  <c r="L328" i="27"/>
  <c r="W328" i="27" s="1"/>
  <c r="L336" i="27"/>
  <c r="W336" i="27" s="1"/>
  <c r="L344" i="27"/>
  <c r="L358" i="27"/>
  <c r="L366" i="27"/>
  <c r="AI7" i="27"/>
  <c r="L170" i="27"/>
  <c r="L199" i="27"/>
  <c r="L231" i="27"/>
  <c r="W231" i="27" s="1"/>
  <c r="L178" i="27"/>
  <c r="W178" i="27" s="1"/>
  <c r="L194" i="27"/>
  <c r="L210" i="27"/>
  <c r="L226" i="27"/>
  <c r="L242" i="27"/>
  <c r="L258" i="27"/>
  <c r="L255" i="27"/>
  <c r="L346" i="27"/>
  <c r="W346" i="27" s="1"/>
  <c r="L277" i="27"/>
  <c r="W277" i="27" s="1"/>
  <c r="L285" i="27"/>
  <c r="L293" i="27"/>
  <c r="L301" i="27"/>
  <c r="L309" i="27"/>
  <c r="L317" i="27"/>
  <c r="L322" i="27"/>
  <c r="L330" i="27"/>
  <c r="O330" i="27" s="1"/>
  <c r="L338" i="27"/>
  <c r="W338" i="27" s="1"/>
  <c r="L347" i="27"/>
  <c r="L360" i="27"/>
  <c r="L368" i="27"/>
  <c r="L373" i="28"/>
  <c r="L372" i="28"/>
  <c r="L371" i="28"/>
  <c r="L370" i="28"/>
  <c r="L369" i="28"/>
  <c r="L368" i="28"/>
  <c r="L367" i="28"/>
  <c r="L366" i="28"/>
  <c r="L365" i="28"/>
  <c r="L364" i="28"/>
  <c r="L363" i="28"/>
  <c r="L362" i="28"/>
  <c r="L361" i="28"/>
  <c r="L360" i="28"/>
  <c r="L359" i="28"/>
  <c r="L358" i="28"/>
  <c r="L357" i="28"/>
  <c r="L355" i="28"/>
  <c r="L353" i="28"/>
  <c r="L351" i="28"/>
  <c r="L349" i="28"/>
  <c r="L347" i="28"/>
  <c r="L345" i="28"/>
  <c r="L343" i="28"/>
  <c r="L341" i="28"/>
  <c r="L339" i="28"/>
  <c r="L337" i="28"/>
  <c r="L335" i="28"/>
  <c r="L354" i="28"/>
  <c r="L350" i="28"/>
  <c r="L346" i="28"/>
  <c r="L342" i="28"/>
  <c r="L338" i="28"/>
  <c r="L334" i="28"/>
  <c r="L332" i="28"/>
  <c r="L330" i="28"/>
  <c r="L328" i="28"/>
  <c r="L326" i="28"/>
  <c r="L324" i="28"/>
  <c r="L322" i="28"/>
  <c r="L320" i="28"/>
  <c r="L318" i="28"/>
  <c r="L316" i="28"/>
  <c r="L314" i="28"/>
  <c r="L312" i="28"/>
  <c r="L310" i="28"/>
  <c r="L308" i="28"/>
  <c r="L306" i="28"/>
  <c r="L304" i="28"/>
  <c r="L302" i="28"/>
  <c r="L300" i="28"/>
  <c r="L298" i="28"/>
  <c r="L296" i="28"/>
  <c r="L294" i="28"/>
  <c r="L292" i="28"/>
  <c r="L290" i="28"/>
  <c r="L288" i="28"/>
  <c r="L286" i="28"/>
  <c r="L356" i="28"/>
  <c r="L348" i="28"/>
  <c r="L340" i="28"/>
  <c r="L333" i="28"/>
  <c r="L329" i="28"/>
  <c r="L325" i="28"/>
  <c r="L321" i="28"/>
  <c r="L317" i="28"/>
  <c r="L313" i="28"/>
  <c r="L309" i="28"/>
  <c r="L305" i="28"/>
  <c r="L301" i="28"/>
  <c r="L297" i="28"/>
  <c r="L293" i="28"/>
  <c r="L289" i="28"/>
  <c r="L284" i="28"/>
  <c r="L282" i="28"/>
  <c r="L280" i="28"/>
  <c r="L278" i="28"/>
  <c r="L276" i="28"/>
  <c r="L274" i="28"/>
  <c r="L272" i="28"/>
  <c r="L270" i="28"/>
  <c r="L268" i="28"/>
  <c r="L266" i="28"/>
  <c r="L264" i="28"/>
  <c r="L262" i="28"/>
  <c r="L260" i="28"/>
  <c r="L258" i="28"/>
  <c r="L256" i="28"/>
  <c r="L254" i="28"/>
  <c r="L252" i="28"/>
  <c r="L250" i="28"/>
  <c r="L248" i="28"/>
  <c r="L246" i="28"/>
  <c r="L244" i="28"/>
  <c r="L242" i="28"/>
  <c r="L240" i="28"/>
  <c r="L238" i="28"/>
  <c r="L236" i="28"/>
  <c r="L234" i="28"/>
  <c r="L232" i="28"/>
  <c r="L230" i="28"/>
  <c r="L228" i="28"/>
  <c r="L226" i="28"/>
  <c r="L224" i="28"/>
  <c r="L222" i="28"/>
  <c r="L220" i="28"/>
  <c r="L218" i="28"/>
  <c r="L216" i="28"/>
  <c r="L214" i="28"/>
  <c r="L212" i="28"/>
  <c r="L210" i="28"/>
  <c r="L208" i="28"/>
  <c r="L206" i="28"/>
  <c r="L204" i="28"/>
  <c r="L202" i="28"/>
  <c r="L200" i="28"/>
  <c r="L198" i="28"/>
  <c r="L196" i="28"/>
  <c r="L194" i="28"/>
  <c r="L192"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L10" i="28"/>
  <c r="L9" i="28"/>
  <c r="L8" i="28"/>
  <c r="L6" i="28"/>
  <c r="L352" i="28"/>
  <c r="L344" i="28"/>
  <c r="L331" i="28"/>
  <c r="L323" i="28"/>
  <c r="L315" i="28"/>
  <c r="L307" i="28"/>
  <c r="L299" i="28"/>
  <c r="L291" i="28"/>
  <c r="L285" i="28"/>
  <c r="L281" i="28"/>
  <c r="L277" i="28"/>
  <c r="L273" i="28"/>
  <c r="L269" i="28"/>
  <c r="L265" i="28"/>
  <c r="L261" i="28"/>
  <c r="L257" i="28"/>
  <c r="L253" i="28"/>
  <c r="L249" i="28"/>
  <c r="L245" i="28"/>
  <c r="L241" i="28"/>
  <c r="L237" i="28"/>
  <c r="L233" i="28"/>
  <c r="L229" i="28"/>
  <c r="L225" i="28"/>
  <c r="L221" i="28"/>
  <c r="L217" i="28"/>
  <c r="L213" i="28"/>
  <c r="L209" i="28"/>
  <c r="L205" i="28"/>
  <c r="L201" i="28"/>
  <c r="L197" i="28"/>
  <c r="L193" i="28"/>
  <c r="L336" i="28"/>
  <c r="L327" i="28"/>
  <c r="L319" i="28"/>
  <c r="L311" i="28"/>
  <c r="L303" i="28"/>
  <c r="L295" i="28"/>
  <c r="L287" i="28"/>
  <c r="L283" i="28"/>
  <c r="L279" i="28"/>
  <c r="L275" i="28"/>
  <c r="L271" i="28"/>
  <c r="L267" i="28"/>
  <c r="L263" i="28"/>
  <c r="L259" i="28"/>
  <c r="L255" i="28"/>
  <c r="L251" i="28"/>
  <c r="L247" i="28"/>
  <c r="L243" i="28"/>
  <c r="L239" i="28"/>
  <c r="L235" i="28"/>
  <c r="L231" i="28"/>
  <c r="L227" i="28"/>
  <c r="L223" i="28"/>
  <c r="L219" i="28"/>
  <c r="L215" i="28"/>
  <c r="L211" i="28"/>
  <c r="L207" i="28"/>
  <c r="L203" i="28"/>
  <c r="L199" i="28"/>
  <c r="L195" i="28"/>
  <c r="L191" i="28"/>
  <c r="L7" i="28"/>
  <c r="L5" i="28"/>
  <c r="AJ7" i="28"/>
  <c r="W5" i="27"/>
  <c r="O5" i="27"/>
  <c r="W10" i="27"/>
  <c r="O10" i="27"/>
  <c r="W16" i="27"/>
  <c r="O16" i="27"/>
  <c r="W24" i="27"/>
  <c r="O24" i="27"/>
  <c r="O32" i="27"/>
  <c r="W40" i="27"/>
  <c r="O40" i="27"/>
  <c r="W48" i="27"/>
  <c r="O48" i="27"/>
  <c r="W56" i="27"/>
  <c r="O56" i="27"/>
  <c r="W64" i="27"/>
  <c r="O64" i="27"/>
  <c r="W72" i="27"/>
  <c r="O72" i="27"/>
  <c r="W80" i="27"/>
  <c r="O80" i="27"/>
  <c r="W88" i="27"/>
  <c r="O88" i="27"/>
  <c r="W96" i="27"/>
  <c r="O96" i="27"/>
  <c r="W104" i="27"/>
  <c r="O104" i="27"/>
  <c r="W9" i="27"/>
  <c r="O9" i="27"/>
  <c r="W14" i="27"/>
  <c r="O14" i="27"/>
  <c r="W22" i="27"/>
  <c r="O22" i="27"/>
  <c r="W30" i="27"/>
  <c r="O30" i="27"/>
  <c r="W54" i="27"/>
  <c r="O54" i="27"/>
  <c r="W62" i="27"/>
  <c r="O62" i="27"/>
  <c r="W70" i="27"/>
  <c r="O70" i="27"/>
  <c r="W78" i="27"/>
  <c r="O78" i="27"/>
  <c r="W86" i="27"/>
  <c r="O86" i="27"/>
  <c r="W94" i="27"/>
  <c r="O94" i="27"/>
  <c r="W102" i="27"/>
  <c r="O102" i="27"/>
  <c r="W6" i="27"/>
  <c r="O6" i="27"/>
  <c r="W15" i="27"/>
  <c r="O15" i="27"/>
  <c r="W23" i="27"/>
  <c r="O23" i="27"/>
  <c r="W27" i="27"/>
  <c r="O27" i="27"/>
  <c r="W31" i="27"/>
  <c r="O31" i="27"/>
  <c r="W35" i="27"/>
  <c r="O35" i="27"/>
  <c r="W39" i="27"/>
  <c r="O39" i="27"/>
  <c r="W43" i="27"/>
  <c r="O43" i="27"/>
  <c r="O47" i="27"/>
  <c r="W51" i="27"/>
  <c r="O51" i="27"/>
  <c r="W55" i="27"/>
  <c r="O55" i="27"/>
  <c r="W59" i="27"/>
  <c r="O59" i="27"/>
  <c r="W63" i="27"/>
  <c r="O63" i="27"/>
  <c r="W67" i="27"/>
  <c r="O67" i="27"/>
  <c r="W71" i="27"/>
  <c r="O71" i="27"/>
  <c r="W75" i="27"/>
  <c r="O75" i="27"/>
  <c r="W79" i="27"/>
  <c r="O79" i="27"/>
  <c r="W83" i="27"/>
  <c r="O83" i="27"/>
  <c r="W87" i="27"/>
  <c r="O87" i="27"/>
  <c r="W91" i="27"/>
  <c r="O91" i="27"/>
  <c r="W95" i="27"/>
  <c r="O95" i="27"/>
  <c r="W99" i="27"/>
  <c r="O99" i="27"/>
  <c r="W103" i="27"/>
  <c r="O103" i="27"/>
  <c r="W107" i="27"/>
  <c r="O107" i="27"/>
  <c r="O111" i="27"/>
  <c r="W115" i="27"/>
  <c r="O115" i="27"/>
  <c r="W119" i="27"/>
  <c r="O119" i="27"/>
  <c r="W127" i="27"/>
  <c r="O127" i="27"/>
  <c r="W131" i="27"/>
  <c r="O131" i="27"/>
  <c r="W135" i="27"/>
  <c r="O135" i="27"/>
  <c r="W143" i="27"/>
  <c r="O143" i="27"/>
  <c r="W147" i="27"/>
  <c r="O147" i="27"/>
  <c r="W151" i="27"/>
  <c r="O151" i="27"/>
  <c r="W155" i="27"/>
  <c r="O155" i="27"/>
  <c r="W159" i="27"/>
  <c r="O159" i="27"/>
  <c r="W163" i="27"/>
  <c r="O163" i="27"/>
  <c r="W167" i="27"/>
  <c r="O167" i="27"/>
  <c r="W171" i="27"/>
  <c r="O171" i="27"/>
  <c r="W177" i="27"/>
  <c r="O177" i="27"/>
  <c r="W185" i="27"/>
  <c r="O185" i="27"/>
  <c r="W193" i="27"/>
  <c r="O193" i="27"/>
  <c r="W201" i="27"/>
  <c r="O201" i="27"/>
  <c r="O209" i="27"/>
  <c r="W217" i="27"/>
  <c r="O217" i="27"/>
  <c r="W225" i="27"/>
  <c r="O225" i="27"/>
  <c r="W233" i="27"/>
  <c r="O233" i="27"/>
  <c r="O241" i="27"/>
  <c r="W249" i="27"/>
  <c r="W108" i="27"/>
  <c r="O108" i="27"/>
  <c r="W112" i="27"/>
  <c r="O112" i="27"/>
  <c r="W116" i="27"/>
  <c r="O116" i="27"/>
  <c r="W120" i="27"/>
  <c r="O120" i="27"/>
  <c r="W124" i="27"/>
  <c r="O124" i="27"/>
  <c r="W128" i="27"/>
  <c r="O128" i="27"/>
  <c r="W132" i="27"/>
  <c r="O132" i="27"/>
  <c r="W136" i="27"/>
  <c r="O136" i="27"/>
  <c r="W148" i="27"/>
  <c r="O148" i="27"/>
  <c r="W152" i="27"/>
  <c r="O152" i="27"/>
  <c r="O164" i="27"/>
  <c r="W168" i="27"/>
  <c r="O168" i="27"/>
  <c r="W172" i="27"/>
  <c r="O172" i="27"/>
  <c r="W179" i="27"/>
  <c r="O179" i="27"/>
  <c r="W187" i="27"/>
  <c r="O187" i="27"/>
  <c r="W195" i="27"/>
  <c r="O195" i="27"/>
  <c r="W203" i="27"/>
  <c r="O203" i="27"/>
  <c r="W211" i="27"/>
  <c r="O211" i="27"/>
  <c r="W219" i="27"/>
  <c r="O219" i="27"/>
  <c r="W227" i="27"/>
  <c r="O227" i="27"/>
  <c r="W235" i="27"/>
  <c r="O235" i="27"/>
  <c r="W243" i="27"/>
  <c r="O243" i="27"/>
  <c r="W251" i="27"/>
  <c r="O251" i="27"/>
  <c r="W176" i="27"/>
  <c r="O176" i="27"/>
  <c r="W180" i="27"/>
  <c r="O180" i="27"/>
  <c r="W184" i="27"/>
  <c r="O184" i="27"/>
  <c r="W188" i="27"/>
  <c r="O188" i="27"/>
  <c r="W192" i="27"/>
  <c r="O192" i="27"/>
  <c r="W196" i="27"/>
  <c r="O196" i="27"/>
  <c r="O200" i="27"/>
  <c r="W204" i="27"/>
  <c r="O204" i="27"/>
  <c r="W208" i="27"/>
  <c r="O208" i="27"/>
  <c r="W212" i="27"/>
  <c r="O212" i="27"/>
  <c r="W216" i="27"/>
  <c r="O216" i="27"/>
  <c r="W220" i="27"/>
  <c r="O220" i="27"/>
  <c r="W224" i="27"/>
  <c r="O224" i="27"/>
  <c r="W228" i="27"/>
  <c r="O228" i="27"/>
  <c r="O232" i="27"/>
  <c r="W236" i="27"/>
  <c r="O236" i="27"/>
  <c r="W248" i="27"/>
  <c r="O248" i="27"/>
  <c r="W252" i="27"/>
  <c r="O252" i="27"/>
  <c r="W256" i="27"/>
  <c r="O256" i="27"/>
  <c r="W260" i="27"/>
  <c r="O260" i="27"/>
  <c r="W264" i="27"/>
  <c r="O264" i="27"/>
  <c r="W268" i="27"/>
  <c r="O268" i="27"/>
  <c r="W350" i="27"/>
  <c r="O350" i="27"/>
  <c r="W265" i="27"/>
  <c r="O265" i="27"/>
  <c r="W269" i="27"/>
  <c r="O269" i="27"/>
  <c r="W354" i="27"/>
  <c r="O354" i="27"/>
  <c r="W272" i="27"/>
  <c r="O272" i="27"/>
  <c r="W276" i="27"/>
  <c r="O276" i="27"/>
  <c r="W278" i="27"/>
  <c r="O278" i="27"/>
  <c r="W280" i="27"/>
  <c r="O280" i="27"/>
  <c r="O282" i="27"/>
  <c r="W284" i="27"/>
  <c r="O284" i="27"/>
  <c r="W286" i="27"/>
  <c r="O286" i="27"/>
  <c r="W288" i="27"/>
  <c r="O288" i="27"/>
  <c r="W290" i="27"/>
  <c r="O290" i="27"/>
  <c r="W292" i="27"/>
  <c r="O292" i="27"/>
  <c r="W294" i="27"/>
  <c r="O294" i="27"/>
  <c r="W296" i="27"/>
  <c r="O296" i="27"/>
  <c r="W298" i="27"/>
  <c r="O298" i="27"/>
  <c r="W300" i="27"/>
  <c r="O300" i="27"/>
  <c r="W302" i="27"/>
  <c r="O302" i="27"/>
  <c r="W304" i="27"/>
  <c r="O304" i="27"/>
  <c r="W306" i="27"/>
  <c r="O306" i="27"/>
  <c r="W308" i="27"/>
  <c r="O308" i="27"/>
  <c r="W310" i="27"/>
  <c r="O310" i="27"/>
  <c r="W312" i="27"/>
  <c r="O312" i="27"/>
  <c r="W314" i="27"/>
  <c r="O314" i="27"/>
  <c r="W352" i="27"/>
  <c r="W319" i="27"/>
  <c r="O319" i="27"/>
  <c r="W323" i="27"/>
  <c r="O323" i="27"/>
  <c r="W325" i="27"/>
  <c r="O325" i="27"/>
  <c r="W327" i="27"/>
  <c r="O327" i="27"/>
  <c r="W329" i="27"/>
  <c r="O329" i="27"/>
  <c r="W331" i="27"/>
  <c r="O331" i="27"/>
  <c r="W335" i="27"/>
  <c r="O343" i="27"/>
  <c r="W345" i="27"/>
  <c r="O345" i="27"/>
  <c r="W349" i="27"/>
  <c r="O349" i="27"/>
  <c r="W353" i="27"/>
  <c r="O353" i="27"/>
  <c r="W357" i="27"/>
  <c r="O357" i="27"/>
  <c r="W359" i="27"/>
  <c r="O359" i="27"/>
  <c r="W361" i="27"/>
  <c r="O361" i="27"/>
  <c r="W363" i="27"/>
  <c r="O363" i="27"/>
  <c r="W365" i="27"/>
  <c r="O365" i="27"/>
  <c r="W367" i="27"/>
  <c r="O367" i="27"/>
  <c r="W369" i="27"/>
  <c r="O369" i="27"/>
  <c r="W371" i="27"/>
  <c r="O371" i="27"/>
  <c r="W373" i="27"/>
  <c r="O373" i="27"/>
  <c r="P373" i="27" s="1"/>
  <c r="W8" i="27"/>
  <c r="O8" i="27"/>
  <c r="W12" i="27"/>
  <c r="O12" i="27"/>
  <c r="W20" i="27"/>
  <c r="O20" i="27"/>
  <c r="W28" i="27"/>
  <c r="O28" i="27"/>
  <c r="W36" i="27"/>
  <c r="O36" i="27"/>
  <c r="W44" i="27"/>
  <c r="O44" i="27"/>
  <c r="W52" i="27"/>
  <c r="O52" i="27"/>
  <c r="W68" i="27"/>
  <c r="O68" i="27"/>
  <c r="W76" i="27"/>
  <c r="O76" i="27"/>
  <c r="W84" i="27"/>
  <c r="O84" i="27"/>
  <c r="W92" i="27"/>
  <c r="O92" i="27"/>
  <c r="W7" i="27"/>
  <c r="O7" i="27"/>
  <c r="W11" i="27"/>
  <c r="O11" i="27"/>
  <c r="W18" i="27"/>
  <c r="O18" i="27"/>
  <c r="W26" i="27"/>
  <c r="O26" i="27"/>
  <c r="W34" i="27"/>
  <c r="O34" i="27"/>
  <c r="W42" i="27"/>
  <c r="O42" i="27"/>
  <c r="W50" i="27"/>
  <c r="O50" i="27"/>
  <c r="W58" i="27"/>
  <c r="O58" i="27"/>
  <c r="O74" i="27"/>
  <c r="W82" i="27"/>
  <c r="O82" i="27"/>
  <c r="W98" i="27"/>
  <c r="O98" i="27"/>
  <c r="W106" i="27"/>
  <c r="O106" i="27"/>
  <c r="W13" i="27"/>
  <c r="O13" i="27"/>
  <c r="W17" i="27"/>
  <c r="O17" i="27"/>
  <c r="W21" i="27"/>
  <c r="O21" i="27"/>
  <c r="W25" i="27"/>
  <c r="O25" i="27"/>
  <c r="W29" i="27"/>
  <c r="O29" i="27"/>
  <c r="W33" i="27"/>
  <c r="O33" i="27"/>
  <c r="W37" i="27"/>
  <c r="O37" i="27"/>
  <c r="W41" i="27"/>
  <c r="O41" i="27"/>
  <c r="W45" i="27"/>
  <c r="O45" i="27"/>
  <c r="W49" i="27"/>
  <c r="O49" i="27"/>
  <c r="W53" i="27"/>
  <c r="O53" i="27"/>
  <c r="W57" i="27"/>
  <c r="O57" i="27"/>
  <c r="W65" i="27"/>
  <c r="O65" i="27"/>
  <c r="W69" i="27"/>
  <c r="O69" i="27"/>
  <c r="W73" i="27"/>
  <c r="O73" i="27"/>
  <c r="W77" i="27"/>
  <c r="O77" i="27"/>
  <c r="W81" i="27"/>
  <c r="O81" i="27"/>
  <c r="W85" i="27"/>
  <c r="O85" i="27"/>
  <c r="W89" i="27"/>
  <c r="O89" i="27"/>
  <c r="W93" i="27"/>
  <c r="O93" i="27"/>
  <c r="W97" i="27"/>
  <c r="O97" i="27"/>
  <c r="W101" i="27"/>
  <c r="O101" i="27"/>
  <c r="O105" i="27"/>
  <c r="W109" i="27"/>
  <c r="O109" i="27"/>
  <c r="W113" i="27"/>
  <c r="O113" i="27"/>
  <c r="W121" i="27"/>
  <c r="O121" i="27"/>
  <c r="W125" i="27"/>
  <c r="O125" i="27"/>
  <c r="W137" i="27"/>
  <c r="O137" i="27"/>
  <c r="W141" i="27"/>
  <c r="O141" i="27"/>
  <c r="W145" i="27"/>
  <c r="O145" i="27"/>
  <c r="W149" i="27"/>
  <c r="O149" i="27"/>
  <c r="W153" i="27"/>
  <c r="O153" i="27"/>
  <c r="W157" i="27"/>
  <c r="O157" i="27"/>
  <c r="W161" i="27"/>
  <c r="O161" i="27"/>
  <c r="W165" i="27"/>
  <c r="O165" i="27"/>
  <c r="W169" i="27"/>
  <c r="O169" i="27"/>
  <c r="W173" i="27"/>
  <c r="O173" i="27"/>
  <c r="W189" i="27"/>
  <c r="O189" i="27"/>
  <c r="W197" i="27"/>
  <c r="O197" i="27"/>
  <c r="O205" i="27"/>
  <c r="W221" i="27"/>
  <c r="O221" i="27"/>
  <c r="W229" i="27"/>
  <c r="O229" i="27"/>
  <c r="O237" i="27"/>
  <c r="W245" i="27"/>
  <c r="O245" i="27"/>
  <c r="W253" i="27"/>
  <c r="O253" i="27"/>
  <c r="W110" i="27"/>
  <c r="O110" i="27"/>
  <c r="W114" i="27"/>
  <c r="O114" i="27"/>
  <c r="W118" i="27"/>
  <c r="O118" i="27"/>
  <c r="W122" i="27"/>
  <c r="O122" i="27"/>
  <c r="W126" i="27"/>
  <c r="O126" i="27"/>
  <c r="W130" i="27"/>
  <c r="O130" i="27"/>
  <c r="W134" i="27"/>
  <c r="O134" i="27"/>
  <c r="W138" i="27"/>
  <c r="W146" i="27"/>
  <c r="O146" i="27"/>
  <c r="W150" i="27"/>
  <c r="O150" i="27"/>
  <c r="W154" i="27"/>
  <c r="O154" i="27"/>
  <c r="W162" i="27"/>
  <c r="O162" i="27"/>
  <c r="W166" i="27"/>
  <c r="O166" i="27"/>
  <c r="W170" i="27"/>
  <c r="O170" i="27"/>
  <c r="W175" i="27"/>
  <c r="O175" i="27"/>
  <c r="W183" i="27"/>
  <c r="O183" i="27"/>
  <c r="W191" i="27"/>
  <c r="O191" i="27"/>
  <c r="W199" i="27"/>
  <c r="O199" i="27"/>
  <c r="W207" i="27"/>
  <c r="O207" i="27"/>
  <c r="W215" i="27"/>
  <c r="O215" i="27"/>
  <c r="W239" i="27"/>
  <c r="O239" i="27"/>
  <c r="W247" i="27"/>
  <c r="O247" i="27"/>
  <c r="W182" i="27"/>
  <c r="O182" i="27"/>
  <c r="W186" i="27"/>
  <c r="O186" i="27"/>
  <c r="W190" i="27"/>
  <c r="O190" i="27"/>
  <c r="W194" i="27"/>
  <c r="O194" i="27"/>
  <c r="W198" i="27"/>
  <c r="O198" i="27"/>
  <c r="W202" i="27"/>
  <c r="O202" i="27"/>
  <c r="W206" i="27"/>
  <c r="O206" i="27"/>
  <c r="W210" i="27"/>
  <c r="O210" i="27"/>
  <c r="W222" i="27"/>
  <c r="O222" i="27"/>
  <c r="W226" i="27"/>
  <c r="O226" i="27"/>
  <c r="O234" i="27"/>
  <c r="W238" i="27"/>
  <c r="O238" i="27"/>
  <c r="W242" i="27"/>
  <c r="O242" i="27"/>
  <c r="W246" i="27"/>
  <c r="O246" i="27"/>
  <c r="W250" i="27"/>
  <c r="O250" i="27"/>
  <c r="W254" i="27"/>
  <c r="O254" i="27"/>
  <c r="W258" i="27"/>
  <c r="O258" i="27"/>
  <c r="W262" i="27"/>
  <c r="O262" i="27"/>
  <c r="W266" i="27"/>
  <c r="O266" i="27"/>
  <c r="W270" i="27"/>
  <c r="O270" i="27"/>
  <c r="W255" i="27"/>
  <c r="O255" i="27"/>
  <c r="W259" i="27"/>
  <c r="O259" i="27"/>
  <c r="W263" i="27"/>
  <c r="O263" i="27"/>
  <c r="O346" i="27"/>
  <c r="W271" i="27"/>
  <c r="O271" i="27"/>
  <c r="W273" i="27"/>
  <c r="O273" i="27"/>
  <c r="W279" i="27"/>
  <c r="O279" i="27"/>
  <c r="W281" i="27"/>
  <c r="O281" i="27"/>
  <c r="W283" i="27"/>
  <c r="O283" i="27"/>
  <c r="W285" i="27"/>
  <c r="O285" i="27"/>
  <c r="W287" i="27"/>
  <c r="O287" i="27"/>
  <c r="W289" i="27"/>
  <c r="O289" i="27"/>
  <c r="W291" i="27"/>
  <c r="O291" i="27"/>
  <c r="W293" i="27"/>
  <c r="O293" i="27"/>
  <c r="O297" i="27"/>
  <c r="W299" i="27"/>
  <c r="O299" i="27"/>
  <c r="W301" i="27"/>
  <c r="O301" i="27"/>
  <c r="O305" i="27"/>
  <c r="W307" i="27"/>
  <c r="O307" i="27"/>
  <c r="W309" i="27"/>
  <c r="O309" i="27"/>
  <c r="W311" i="27"/>
  <c r="O311" i="27"/>
  <c r="W313" i="27"/>
  <c r="O313" i="27"/>
  <c r="W315" i="27"/>
  <c r="O315" i="27"/>
  <c r="W317" i="27"/>
  <c r="O317" i="27"/>
  <c r="W348" i="27"/>
  <c r="O348" i="27"/>
  <c r="W356" i="27"/>
  <c r="O356" i="27"/>
  <c r="W320" i="27"/>
  <c r="O320" i="27"/>
  <c r="W322" i="27"/>
  <c r="O322" i="27"/>
  <c r="W324" i="27"/>
  <c r="O324" i="27"/>
  <c r="W326" i="27"/>
  <c r="O326" i="27"/>
  <c r="W330" i="27"/>
  <c r="W332" i="27"/>
  <c r="O332" i="27"/>
  <c r="W334" i="27"/>
  <c r="O334" i="27"/>
  <c r="W340" i="27"/>
  <c r="O340" i="27"/>
  <c r="W342" i="27"/>
  <c r="O342" i="27"/>
  <c r="W344" i="27"/>
  <c r="O344" i="27"/>
  <c r="W347" i="27"/>
  <c r="O347" i="27"/>
  <c r="W351" i="27"/>
  <c r="O351" i="27"/>
  <c r="W355" i="27"/>
  <c r="O355" i="27"/>
  <c r="W358" i="27"/>
  <c r="O358" i="27"/>
  <c r="W360" i="27"/>
  <c r="O360" i="27"/>
  <c r="W364" i="27"/>
  <c r="O364" i="27"/>
  <c r="W366" i="27"/>
  <c r="O366" i="27"/>
  <c r="W368" i="27"/>
  <c r="O368" i="27"/>
  <c r="O372" i="27"/>
  <c r="S374" i="22"/>
  <c r="F374" i="22"/>
  <c r="B1111" i="22" s="1"/>
  <c r="R374" i="22"/>
  <c r="G374" i="22"/>
  <c r="C1111" i="22" s="1"/>
  <c r="B86" i="20"/>
  <c r="A86" i="20"/>
  <c r="B85" i="20"/>
  <c r="A85" i="20"/>
  <c r="B84" i="20"/>
  <c r="A84" i="20"/>
  <c r="B83" i="20"/>
  <c r="A83" i="20"/>
  <c r="B82" i="20"/>
  <c r="A82" i="20"/>
  <c r="B81" i="20"/>
  <c r="A81" i="20"/>
  <c r="B80" i="20"/>
  <c r="A80" i="20"/>
  <c r="B79" i="20"/>
  <c r="A79" i="20"/>
  <c r="B78" i="20"/>
  <c r="A78" i="20"/>
  <c r="B77" i="20"/>
  <c r="A77" i="20"/>
  <c r="B76" i="20"/>
  <c r="A76" i="20"/>
  <c r="B75" i="20"/>
  <c r="A75" i="20"/>
  <c r="B74" i="20"/>
  <c r="A74" i="20"/>
  <c r="B73" i="20"/>
  <c r="A73" i="20"/>
  <c r="B72" i="20"/>
  <c r="A72" i="20"/>
  <c r="B71" i="20"/>
  <c r="A71" i="20"/>
  <c r="B70" i="20"/>
  <c r="A70" i="20"/>
  <c r="B69" i="20"/>
  <c r="A69" i="20"/>
  <c r="B68" i="20"/>
  <c r="A68" i="20"/>
  <c r="B67" i="20"/>
  <c r="A67" i="20"/>
  <c r="B66" i="20"/>
  <c r="A66" i="20"/>
  <c r="B65" i="20"/>
  <c r="A65" i="20"/>
  <c r="B64" i="20"/>
  <c r="A64" i="20"/>
  <c r="B63" i="20"/>
  <c r="A63" i="20"/>
  <c r="B62" i="20"/>
  <c r="A62" i="20"/>
  <c r="B61" i="20"/>
  <c r="A61" i="20"/>
  <c r="B60" i="20"/>
  <c r="A60" i="20"/>
  <c r="B59" i="20"/>
  <c r="A59" i="20"/>
  <c r="B58" i="20"/>
  <c r="A58" i="20"/>
  <c r="B57" i="20"/>
  <c r="A57" i="20"/>
  <c r="B56" i="20"/>
  <c r="A56" i="20"/>
  <c r="B55" i="20"/>
  <c r="A55" i="20"/>
  <c r="B54" i="20"/>
  <c r="A54" i="20"/>
  <c r="B53" i="20"/>
  <c r="A53" i="20"/>
  <c r="B52" i="20"/>
  <c r="A52" i="20"/>
  <c r="B51" i="20"/>
  <c r="A51" i="20"/>
  <c r="B50" i="20"/>
  <c r="A50" i="20"/>
  <c r="B49" i="20"/>
  <c r="A49" i="20"/>
  <c r="B48" i="20"/>
  <c r="A48" i="20"/>
  <c r="B47" i="20"/>
  <c r="A47" i="20"/>
  <c r="B46" i="20"/>
  <c r="A46" i="20"/>
  <c r="B45" i="20"/>
  <c r="A45" i="20"/>
  <c r="B44" i="20"/>
  <c r="A44" i="20"/>
  <c r="B43" i="20"/>
  <c r="A43" i="20"/>
  <c r="B42" i="20"/>
  <c r="A42" i="20"/>
  <c r="B41" i="20"/>
  <c r="A41" i="20"/>
  <c r="B40" i="20"/>
  <c r="A40" i="20"/>
  <c r="B39" i="20"/>
  <c r="A39" i="20"/>
  <c r="B38" i="20"/>
  <c r="A38" i="20"/>
  <c r="B37" i="20"/>
  <c r="A37" i="20"/>
  <c r="B36" i="20"/>
  <c r="A36" i="20"/>
  <c r="B35" i="20"/>
  <c r="A35" i="20"/>
  <c r="B34" i="20"/>
  <c r="A34" i="20"/>
  <c r="B33" i="20"/>
  <c r="A33" i="20"/>
  <c r="B32" i="20"/>
  <c r="A32" i="20"/>
  <c r="B31" i="20"/>
  <c r="A31" i="20"/>
  <c r="B30" i="20"/>
  <c r="A30" i="20"/>
  <c r="B29" i="20"/>
  <c r="A29" i="20"/>
  <c r="B28" i="20"/>
  <c r="A28" i="20"/>
  <c r="B27" i="20"/>
  <c r="A27" i="20"/>
  <c r="B26" i="20"/>
  <c r="A26" i="20"/>
  <c r="B25" i="20"/>
  <c r="A25" i="20"/>
  <c r="B24" i="20"/>
  <c r="A24" i="20"/>
  <c r="B23" i="20"/>
  <c r="A23" i="20"/>
  <c r="B22" i="20"/>
  <c r="A22" i="20"/>
  <c r="B21" i="20"/>
  <c r="A21" i="20"/>
  <c r="B20" i="20"/>
  <c r="A20" i="20"/>
  <c r="B19" i="20"/>
  <c r="A19" i="20"/>
  <c r="B18" i="20"/>
  <c r="A18" i="20"/>
  <c r="B17" i="20"/>
  <c r="A17" i="20"/>
  <c r="B16" i="20"/>
  <c r="A16" i="20"/>
  <c r="B15" i="20"/>
  <c r="A15" i="20"/>
  <c r="B14" i="20"/>
  <c r="A14" i="20"/>
  <c r="B13" i="20"/>
  <c r="A13" i="20"/>
  <c r="B12" i="20"/>
  <c r="A12" i="20"/>
  <c r="B11" i="20"/>
  <c r="A11" i="20"/>
  <c r="B10" i="20"/>
  <c r="A10" i="20"/>
  <c r="B9" i="20"/>
  <c r="A9" i="20"/>
  <c r="B8" i="20"/>
  <c r="A8" i="20"/>
  <c r="B7" i="20"/>
  <c r="A7" i="20"/>
  <c r="B6" i="20"/>
  <c r="A6" i="20"/>
  <c r="B5" i="20"/>
  <c r="A5" i="20"/>
  <c r="W181" i="27" l="1"/>
  <c r="W61" i="27"/>
  <c r="W60" i="27"/>
  <c r="W19" i="27"/>
  <c r="O362" i="27"/>
  <c r="O328" i="27"/>
  <c r="O218" i="27"/>
  <c r="O231" i="27"/>
  <c r="O318" i="27"/>
  <c r="O295" i="27"/>
  <c r="O267" i="27"/>
  <c r="O117" i="27"/>
  <c r="O66" i="27"/>
  <c r="O139" i="27"/>
  <c r="O123" i="27"/>
  <c r="O46" i="27"/>
  <c r="O214" i="27"/>
  <c r="O223" i="27"/>
  <c r="O321" i="27"/>
  <c r="O316" i="27"/>
  <c r="O144" i="27"/>
  <c r="O129" i="27"/>
  <c r="O90" i="27"/>
  <c r="O100" i="27"/>
  <c r="O274" i="27"/>
  <c r="O240" i="27"/>
  <c r="O38" i="27"/>
  <c r="O142" i="27"/>
  <c r="O140" i="27"/>
  <c r="O370" i="27"/>
  <c r="O303" i="27"/>
  <c r="V304" i="27" s="1"/>
  <c r="O230" i="27"/>
  <c r="O158" i="27"/>
  <c r="O341" i="27"/>
  <c r="O333" i="27"/>
  <c r="O261" i="27"/>
  <c r="O160" i="27"/>
  <c r="L374" i="27"/>
  <c r="O338" i="27"/>
  <c r="O277" i="27"/>
  <c r="O178" i="27"/>
  <c r="O133" i="27"/>
  <c r="O339" i="27"/>
  <c r="O257" i="27"/>
  <c r="O244" i="27"/>
  <c r="O156" i="27"/>
  <c r="O336" i="27"/>
  <c r="O275" i="27"/>
  <c r="O174" i="27"/>
  <c r="O213" i="27"/>
  <c r="O337" i="27"/>
  <c r="J6" i="20"/>
  <c r="E5" i="20"/>
  <c r="K6" i="20"/>
  <c r="C5" i="20"/>
  <c r="C374" i="20" s="1"/>
  <c r="B374" i="20"/>
  <c r="AF7" i="20" a="1"/>
  <c r="AC5" i="20"/>
  <c r="D5" i="20"/>
  <c r="A374" i="20"/>
  <c r="W7" i="28"/>
  <c r="O7" i="28"/>
  <c r="W195" i="28"/>
  <c r="O195" i="28"/>
  <c r="W203" i="28"/>
  <c r="O203" i="28"/>
  <c r="W211" i="28"/>
  <c r="O211" i="28"/>
  <c r="W219" i="28"/>
  <c r="O219" i="28"/>
  <c r="W227" i="28"/>
  <c r="O227" i="28"/>
  <c r="W235" i="28"/>
  <c r="O235" i="28"/>
  <c r="W243" i="28"/>
  <c r="O243" i="28"/>
  <c r="W251" i="28"/>
  <c r="O251" i="28"/>
  <c r="W259" i="28"/>
  <c r="O259" i="28"/>
  <c r="W267" i="28"/>
  <c r="O267" i="28"/>
  <c r="W275" i="28"/>
  <c r="O275" i="28"/>
  <c r="W283" i="28"/>
  <c r="O283" i="28"/>
  <c r="W295" i="28"/>
  <c r="O295" i="28"/>
  <c r="W311" i="28"/>
  <c r="O311" i="28"/>
  <c r="W327" i="28"/>
  <c r="O327" i="28"/>
  <c r="W193" i="28"/>
  <c r="O193" i="28"/>
  <c r="W201" i="28"/>
  <c r="O201" i="28"/>
  <c r="W209" i="28"/>
  <c r="O209" i="28"/>
  <c r="W217" i="28"/>
  <c r="O217" i="28"/>
  <c r="W225" i="28"/>
  <c r="O225" i="28"/>
  <c r="W233" i="28"/>
  <c r="O233" i="28"/>
  <c r="W241" i="28"/>
  <c r="O241" i="28"/>
  <c r="W249" i="28"/>
  <c r="O249" i="28"/>
  <c r="W257" i="28"/>
  <c r="O257" i="28"/>
  <c r="W265" i="28"/>
  <c r="O265" i="28"/>
  <c r="W273" i="28"/>
  <c r="O273" i="28"/>
  <c r="W281" i="28"/>
  <c r="O281" i="28"/>
  <c r="W291" i="28"/>
  <c r="O291" i="28"/>
  <c r="W307" i="28"/>
  <c r="O307" i="28"/>
  <c r="W323" i="28"/>
  <c r="O323" i="28"/>
  <c r="W344" i="28"/>
  <c r="O344" i="28"/>
  <c r="W6" i="28"/>
  <c r="O6" i="28"/>
  <c r="W9" i="28"/>
  <c r="O9" i="28"/>
  <c r="W11" i="28"/>
  <c r="O11" i="28"/>
  <c r="W13" i="28"/>
  <c r="O13" i="28"/>
  <c r="W15" i="28"/>
  <c r="O15" i="28"/>
  <c r="W17" i="28"/>
  <c r="O17" i="28"/>
  <c r="W19" i="28"/>
  <c r="O19" i="28"/>
  <c r="W21" i="28"/>
  <c r="O21" i="28"/>
  <c r="W23" i="28"/>
  <c r="O23" i="28"/>
  <c r="W25" i="28"/>
  <c r="O25" i="28"/>
  <c r="W27" i="28"/>
  <c r="O27" i="28"/>
  <c r="W29" i="28"/>
  <c r="O29" i="28"/>
  <c r="W31" i="28"/>
  <c r="O31" i="28"/>
  <c r="W33" i="28"/>
  <c r="O33" i="28"/>
  <c r="W35" i="28"/>
  <c r="O35" i="28"/>
  <c r="W37" i="28"/>
  <c r="O37" i="28"/>
  <c r="W39" i="28"/>
  <c r="O39" i="28"/>
  <c r="W41" i="28"/>
  <c r="O41" i="28"/>
  <c r="W43" i="28"/>
  <c r="O43" i="28"/>
  <c r="W45" i="28"/>
  <c r="O45" i="28"/>
  <c r="W47" i="28"/>
  <c r="O47" i="28"/>
  <c r="W49" i="28"/>
  <c r="O49" i="28"/>
  <c r="W51" i="28"/>
  <c r="O51" i="28"/>
  <c r="W53" i="28"/>
  <c r="O53" i="28"/>
  <c r="W55" i="28"/>
  <c r="O55" i="28"/>
  <c r="W57" i="28"/>
  <c r="O57" i="28"/>
  <c r="W59" i="28"/>
  <c r="O59" i="28"/>
  <c r="W61" i="28"/>
  <c r="O61" i="28"/>
  <c r="W63" i="28"/>
  <c r="O63" i="28"/>
  <c r="W65" i="28"/>
  <c r="O65" i="28"/>
  <c r="W67" i="28"/>
  <c r="O67" i="28"/>
  <c r="W69" i="28"/>
  <c r="O69" i="28"/>
  <c r="W71" i="28"/>
  <c r="O71" i="28"/>
  <c r="W73" i="28"/>
  <c r="O73" i="28"/>
  <c r="W75" i="28"/>
  <c r="O75" i="28"/>
  <c r="W77" i="28"/>
  <c r="O77" i="28"/>
  <c r="W79" i="28"/>
  <c r="O79" i="28"/>
  <c r="W81" i="28"/>
  <c r="O81" i="28"/>
  <c r="W83" i="28"/>
  <c r="O83" i="28"/>
  <c r="W85" i="28"/>
  <c r="O85" i="28"/>
  <c r="W87" i="28"/>
  <c r="O87" i="28"/>
  <c r="W89" i="28"/>
  <c r="O89" i="28"/>
  <c r="W91" i="28"/>
  <c r="O91" i="28"/>
  <c r="W93" i="28"/>
  <c r="O93" i="28"/>
  <c r="W95" i="28"/>
  <c r="O95" i="28"/>
  <c r="W97" i="28"/>
  <c r="O97" i="28"/>
  <c r="W99" i="28"/>
  <c r="O99" i="28"/>
  <c r="W101" i="28"/>
  <c r="O101" i="28"/>
  <c r="W103" i="28"/>
  <c r="O103" i="28"/>
  <c r="W105" i="28"/>
  <c r="O105" i="28"/>
  <c r="W107" i="28"/>
  <c r="O107" i="28"/>
  <c r="W109" i="28"/>
  <c r="O109" i="28"/>
  <c r="W111" i="28"/>
  <c r="O111" i="28"/>
  <c r="W113" i="28"/>
  <c r="O113" i="28"/>
  <c r="W115" i="28"/>
  <c r="O115" i="28"/>
  <c r="W117" i="28"/>
  <c r="O117" i="28"/>
  <c r="W119" i="28"/>
  <c r="O119" i="28"/>
  <c r="W121" i="28"/>
  <c r="O121" i="28"/>
  <c r="W123" i="28"/>
  <c r="O123" i="28"/>
  <c r="W125" i="28"/>
  <c r="O125" i="28"/>
  <c r="W127" i="28"/>
  <c r="O127" i="28"/>
  <c r="W129" i="28"/>
  <c r="O129" i="28"/>
  <c r="W131" i="28"/>
  <c r="O131" i="28"/>
  <c r="W133" i="28"/>
  <c r="O133" i="28"/>
  <c r="W135" i="28"/>
  <c r="O135" i="28"/>
  <c r="W137" i="28"/>
  <c r="O137" i="28"/>
  <c r="W139" i="28"/>
  <c r="O139" i="28"/>
  <c r="W141" i="28"/>
  <c r="O141" i="28"/>
  <c r="W143" i="28"/>
  <c r="O143" i="28"/>
  <c r="W145" i="28"/>
  <c r="O145" i="28"/>
  <c r="W147" i="28"/>
  <c r="O147" i="28"/>
  <c r="W149" i="28"/>
  <c r="O149" i="28"/>
  <c r="W151" i="28"/>
  <c r="O151" i="28"/>
  <c r="W153" i="28"/>
  <c r="O153" i="28"/>
  <c r="W155" i="28"/>
  <c r="O155" i="28"/>
  <c r="W157" i="28"/>
  <c r="O157" i="28"/>
  <c r="W159" i="28"/>
  <c r="O159" i="28"/>
  <c r="W161" i="28"/>
  <c r="O161" i="28"/>
  <c r="W163" i="28"/>
  <c r="O163" i="28"/>
  <c r="W165" i="28"/>
  <c r="O165" i="28"/>
  <c r="W167" i="28"/>
  <c r="O167" i="28"/>
  <c r="W169" i="28"/>
  <c r="O169" i="28"/>
  <c r="W171" i="28"/>
  <c r="O171" i="28"/>
  <c r="W173" i="28"/>
  <c r="O173" i="28"/>
  <c r="W175" i="28"/>
  <c r="O175" i="28"/>
  <c r="W177" i="28"/>
  <c r="O177" i="28"/>
  <c r="W179" i="28"/>
  <c r="O179" i="28"/>
  <c r="W181" i="28"/>
  <c r="O181" i="28"/>
  <c r="W183" i="28"/>
  <c r="O183" i="28"/>
  <c r="W185" i="28"/>
  <c r="O185" i="28"/>
  <c r="W187" i="28"/>
  <c r="O187" i="28"/>
  <c r="W189" i="28"/>
  <c r="O189" i="28"/>
  <c r="W192" i="28"/>
  <c r="O192" i="28"/>
  <c r="W196" i="28"/>
  <c r="O196" i="28"/>
  <c r="W200" i="28"/>
  <c r="O200" i="28"/>
  <c r="W204" i="28"/>
  <c r="O204" i="28"/>
  <c r="W208" i="28"/>
  <c r="O208" i="28"/>
  <c r="W212" i="28"/>
  <c r="O212" i="28"/>
  <c r="W216" i="28"/>
  <c r="O216" i="28"/>
  <c r="W220" i="28"/>
  <c r="O220" i="28"/>
  <c r="W224" i="28"/>
  <c r="O224" i="28"/>
  <c r="W228" i="28"/>
  <c r="O228" i="28"/>
  <c r="W232" i="28"/>
  <c r="O232" i="28"/>
  <c r="W236" i="28"/>
  <c r="O236" i="28"/>
  <c r="W240" i="28"/>
  <c r="O240" i="28"/>
  <c r="W244" i="28"/>
  <c r="O244" i="28"/>
  <c r="W248" i="28"/>
  <c r="O248" i="28"/>
  <c r="W252" i="28"/>
  <c r="O252" i="28"/>
  <c r="W256" i="28"/>
  <c r="O256" i="28"/>
  <c r="W260" i="28"/>
  <c r="O260" i="28"/>
  <c r="W264" i="28"/>
  <c r="O264" i="28"/>
  <c r="W268" i="28"/>
  <c r="O268" i="28"/>
  <c r="W272" i="28"/>
  <c r="O272" i="28"/>
  <c r="W276" i="28"/>
  <c r="O276" i="28"/>
  <c r="W280" i="28"/>
  <c r="O280" i="28"/>
  <c r="W284" i="28"/>
  <c r="O284" i="28"/>
  <c r="W293" i="28"/>
  <c r="O293" i="28"/>
  <c r="W301" i="28"/>
  <c r="O301" i="28"/>
  <c r="W309" i="28"/>
  <c r="O309" i="28"/>
  <c r="W317" i="28"/>
  <c r="O317" i="28"/>
  <c r="W325" i="28"/>
  <c r="O325" i="28"/>
  <c r="W333" i="28"/>
  <c r="O333" i="28"/>
  <c r="W348" i="28"/>
  <c r="O348" i="28"/>
  <c r="W286" i="28"/>
  <c r="O286" i="28"/>
  <c r="W290" i="28"/>
  <c r="O290" i="28"/>
  <c r="W294" i="28"/>
  <c r="O294" i="28"/>
  <c r="W298" i="28"/>
  <c r="O298" i="28"/>
  <c r="W302" i="28"/>
  <c r="O302" i="28"/>
  <c r="W306" i="28"/>
  <c r="O306" i="28"/>
  <c r="W310" i="28"/>
  <c r="O310" i="28"/>
  <c r="W314" i="28"/>
  <c r="O314" i="28"/>
  <c r="W318" i="28"/>
  <c r="O318" i="28"/>
  <c r="W322" i="28"/>
  <c r="O322" i="28"/>
  <c r="W326" i="28"/>
  <c r="O326" i="28"/>
  <c r="W330" i="28"/>
  <c r="O330" i="28"/>
  <c r="W334" i="28"/>
  <c r="O334" i="28"/>
  <c r="W342" i="28"/>
  <c r="O342" i="28"/>
  <c r="W350" i="28"/>
  <c r="O350" i="28"/>
  <c r="W335" i="28"/>
  <c r="O335" i="28"/>
  <c r="W339" i="28"/>
  <c r="O339" i="28"/>
  <c r="W343" i="28"/>
  <c r="O343" i="28"/>
  <c r="W347" i="28"/>
  <c r="O347" i="28"/>
  <c r="W351" i="28"/>
  <c r="O351" i="28"/>
  <c r="W355" i="28"/>
  <c r="O355" i="28"/>
  <c r="W358" i="28"/>
  <c r="O358" i="28"/>
  <c r="W360" i="28"/>
  <c r="O360" i="28"/>
  <c r="W362" i="28"/>
  <c r="O362" i="28"/>
  <c r="W364" i="28"/>
  <c r="O364" i="28"/>
  <c r="W366" i="28"/>
  <c r="O366" i="28"/>
  <c r="W368" i="28"/>
  <c r="O368" i="28"/>
  <c r="W370" i="28"/>
  <c r="O370" i="28"/>
  <c r="W372" i="28"/>
  <c r="O372" i="28"/>
  <c r="L374" i="28"/>
  <c r="W5" i="28"/>
  <c r="O5" i="28"/>
  <c r="W191" i="28"/>
  <c r="O191" i="28"/>
  <c r="W199" i="28"/>
  <c r="O199" i="28"/>
  <c r="W207" i="28"/>
  <c r="O207" i="28"/>
  <c r="W215" i="28"/>
  <c r="O215" i="28"/>
  <c r="W223" i="28"/>
  <c r="O223" i="28"/>
  <c r="W231" i="28"/>
  <c r="O231" i="28"/>
  <c r="W239" i="28"/>
  <c r="O239" i="28"/>
  <c r="W247" i="28"/>
  <c r="O247" i="28"/>
  <c r="W255" i="28"/>
  <c r="O255" i="28"/>
  <c r="W263" i="28"/>
  <c r="O263" i="28"/>
  <c r="W271" i="28"/>
  <c r="O271" i="28"/>
  <c r="W279" i="28"/>
  <c r="O279" i="28"/>
  <c r="W287" i="28"/>
  <c r="O287" i="28"/>
  <c r="W303" i="28"/>
  <c r="O303" i="28"/>
  <c r="W319" i="28"/>
  <c r="O319" i="28"/>
  <c r="W336" i="28"/>
  <c r="O336" i="28"/>
  <c r="W197" i="28"/>
  <c r="O197" i="28"/>
  <c r="W205" i="28"/>
  <c r="O205" i="28"/>
  <c r="W213" i="28"/>
  <c r="O213" i="28"/>
  <c r="W221" i="28"/>
  <c r="O221" i="28"/>
  <c r="W229" i="28"/>
  <c r="O229" i="28"/>
  <c r="W237" i="28"/>
  <c r="O237" i="28"/>
  <c r="W245" i="28"/>
  <c r="O245" i="28"/>
  <c r="W253" i="28"/>
  <c r="O253" i="28"/>
  <c r="W261" i="28"/>
  <c r="O261" i="28"/>
  <c r="W269" i="28"/>
  <c r="O269" i="28"/>
  <c r="W277" i="28"/>
  <c r="O277" i="28"/>
  <c r="W285" i="28"/>
  <c r="O285" i="28"/>
  <c r="W299" i="28"/>
  <c r="O299" i="28"/>
  <c r="W315" i="28"/>
  <c r="O315" i="28"/>
  <c r="W331" i="28"/>
  <c r="O331" i="28"/>
  <c r="W352" i="28"/>
  <c r="O352" i="28"/>
  <c r="W8" i="28"/>
  <c r="O8" i="28"/>
  <c r="W10" i="28"/>
  <c r="O10" i="28"/>
  <c r="W12" i="28"/>
  <c r="O12" i="28"/>
  <c r="W14" i="28"/>
  <c r="O14" i="28"/>
  <c r="W16" i="28"/>
  <c r="O16" i="28"/>
  <c r="W18" i="28"/>
  <c r="O18" i="28"/>
  <c r="W20" i="28"/>
  <c r="O20" i="28"/>
  <c r="W22" i="28"/>
  <c r="O22" i="28"/>
  <c r="W24" i="28"/>
  <c r="O24" i="28"/>
  <c r="W26" i="28"/>
  <c r="O26" i="28"/>
  <c r="W28" i="28"/>
  <c r="O28" i="28"/>
  <c r="W30" i="28"/>
  <c r="O30" i="28"/>
  <c r="W32" i="28"/>
  <c r="O32" i="28"/>
  <c r="W34" i="28"/>
  <c r="O34" i="28"/>
  <c r="W36" i="28"/>
  <c r="O36" i="28"/>
  <c r="W38" i="28"/>
  <c r="O38" i="28"/>
  <c r="W40" i="28"/>
  <c r="O40" i="28"/>
  <c r="W42" i="28"/>
  <c r="O42" i="28"/>
  <c r="W44" i="28"/>
  <c r="O44" i="28"/>
  <c r="W46" i="28"/>
  <c r="O46" i="28"/>
  <c r="W48" i="28"/>
  <c r="O48" i="28"/>
  <c r="W50" i="28"/>
  <c r="O50" i="28"/>
  <c r="W52" i="28"/>
  <c r="O52" i="28"/>
  <c r="W54" i="28"/>
  <c r="O54" i="28"/>
  <c r="W56" i="28"/>
  <c r="O56" i="28"/>
  <c r="W58" i="28"/>
  <c r="O58" i="28"/>
  <c r="W60" i="28"/>
  <c r="O60" i="28"/>
  <c r="W62" i="28"/>
  <c r="O62" i="28"/>
  <c r="W64" i="28"/>
  <c r="O64" i="28"/>
  <c r="W66" i="28"/>
  <c r="O66" i="28"/>
  <c r="W68" i="28"/>
  <c r="O68" i="28"/>
  <c r="W70" i="28"/>
  <c r="O70" i="28"/>
  <c r="W72" i="28"/>
  <c r="O72" i="28"/>
  <c r="W74" i="28"/>
  <c r="O74" i="28"/>
  <c r="W76" i="28"/>
  <c r="O76" i="28"/>
  <c r="W78" i="28"/>
  <c r="O78" i="28"/>
  <c r="W80" i="28"/>
  <c r="O80" i="28"/>
  <c r="W82" i="28"/>
  <c r="O82" i="28"/>
  <c r="W84" i="28"/>
  <c r="O84" i="28"/>
  <c r="W86" i="28"/>
  <c r="O86" i="28"/>
  <c r="W88" i="28"/>
  <c r="O88" i="28"/>
  <c r="W90" i="28"/>
  <c r="O90" i="28"/>
  <c r="W92" i="28"/>
  <c r="O92" i="28"/>
  <c r="W94" i="28"/>
  <c r="O94" i="28"/>
  <c r="W96" i="28"/>
  <c r="O96" i="28"/>
  <c r="W98" i="28"/>
  <c r="O98" i="28"/>
  <c r="W100" i="28"/>
  <c r="O100" i="28"/>
  <c r="W102" i="28"/>
  <c r="O102" i="28"/>
  <c r="W104" i="28"/>
  <c r="O104" i="28"/>
  <c r="W106" i="28"/>
  <c r="O106" i="28"/>
  <c r="W108" i="28"/>
  <c r="O108" i="28"/>
  <c r="W110" i="28"/>
  <c r="O110" i="28"/>
  <c r="W112" i="28"/>
  <c r="O112" i="28"/>
  <c r="W114" i="28"/>
  <c r="O114" i="28"/>
  <c r="W116" i="28"/>
  <c r="O116" i="28"/>
  <c r="W118" i="28"/>
  <c r="O118" i="28"/>
  <c r="W120" i="28"/>
  <c r="O120" i="28"/>
  <c r="W122" i="28"/>
  <c r="O122" i="28"/>
  <c r="W124" i="28"/>
  <c r="O124" i="28"/>
  <c r="W126" i="28"/>
  <c r="O126" i="28"/>
  <c r="W128" i="28"/>
  <c r="O128" i="28"/>
  <c r="W130" i="28"/>
  <c r="O130" i="28"/>
  <c r="W132" i="28"/>
  <c r="O132" i="28"/>
  <c r="W134" i="28"/>
  <c r="O134" i="28"/>
  <c r="W136" i="28"/>
  <c r="O136" i="28"/>
  <c r="W138" i="28"/>
  <c r="O138" i="28"/>
  <c r="W140" i="28"/>
  <c r="O140" i="28"/>
  <c r="W142" i="28"/>
  <c r="O142" i="28"/>
  <c r="W144" i="28"/>
  <c r="O144" i="28"/>
  <c r="W146" i="28"/>
  <c r="O146" i="28"/>
  <c r="W148" i="28"/>
  <c r="O148" i="28"/>
  <c r="W150" i="28"/>
  <c r="O150" i="28"/>
  <c r="W152" i="28"/>
  <c r="O152" i="28"/>
  <c r="W154" i="28"/>
  <c r="O154" i="28"/>
  <c r="W156" i="28"/>
  <c r="O156" i="28"/>
  <c r="W158" i="28"/>
  <c r="O158" i="28"/>
  <c r="W160" i="28"/>
  <c r="O160" i="28"/>
  <c r="W162" i="28"/>
  <c r="O162" i="28"/>
  <c r="W164" i="28"/>
  <c r="O164" i="28"/>
  <c r="W166" i="28"/>
  <c r="O166" i="28"/>
  <c r="W168" i="28"/>
  <c r="O168" i="28"/>
  <c r="W170" i="28"/>
  <c r="O170" i="28"/>
  <c r="W172" i="28"/>
  <c r="O172" i="28"/>
  <c r="W174" i="28"/>
  <c r="O174" i="28"/>
  <c r="W176" i="28"/>
  <c r="O176" i="28"/>
  <c r="W178" i="28"/>
  <c r="O178" i="28"/>
  <c r="W180" i="28"/>
  <c r="O180" i="28"/>
  <c r="W182" i="28"/>
  <c r="O182" i="28"/>
  <c r="W184" i="28"/>
  <c r="O184" i="28"/>
  <c r="W186" i="28"/>
  <c r="O186" i="28"/>
  <c r="W188" i="28"/>
  <c r="O188" i="28"/>
  <c r="W190" i="28"/>
  <c r="O190" i="28"/>
  <c r="W194" i="28"/>
  <c r="O194" i="28"/>
  <c r="W198" i="28"/>
  <c r="O198" i="28"/>
  <c r="W202" i="28"/>
  <c r="O202" i="28"/>
  <c r="W206" i="28"/>
  <c r="O206" i="28"/>
  <c r="W210" i="28"/>
  <c r="O210" i="28"/>
  <c r="W214" i="28"/>
  <c r="O214" i="28"/>
  <c r="W218" i="28"/>
  <c r="O218" i="28"/>
  <c r="W222" i="28"/>
  <c r="O222" i="28"/>
  <c r="W226" i="28"/>
  <c r="O226" i="28"/>
  <c r="W230" i="28"/>
  <c r="O230" i="28"/>
  <c r="W234" i="28"/>
  <c r="O234" i="28"/>
  <c r="W238" i="28"/>
  <c r="O238" i="28"/>
  <c r="W242" i="28"/>
  <c r="O242" i="28"/>
  <c r="W246" i="28"/>
  <c r="O246" i="28"/>
  <c r="W250" i="28"/>
  <c r="O250" i="28"/>
  <c r="W254" i="28"/>
  <c r="O254" i="28"/>
  <c r="W258" i="28"/>
  <c r="O258" i="28"/>
  <c r="W262" i="28"/>
  <c r="O262" i="28"/>
  <c r="W266" i="28"/>
  <c r="O266" i="28"/>
  <c r="W270" i="28"/>
  <c r="O270" i="28"/>
  <c r="W274" i="28"/>
  <c r="O274" i="28"/>
  <c r="W278" i="28"/>
  <c r="O278" i="28"/>
  <c r="W282" i="28"/>
  <c r="O282" i="28"/>
  <c r="W289" i="28"/>
  <c r="O289" i="28"/>
  <c r="W297" i="28"/>
  <c r="O297" i="28"/>
  <c r="W305" i="28"/>
  <c r="O305" i="28"/>
  <c r="W313" i="28"/>
  <c r="O313" i="28"/>
  <c r="W321" i="28"/>
  <c r="O321" i="28"/>
  <c r="W329" i="28"/>
  <c r="O329" i="28"/>
  <c r="W340" i="28"/>
  <c r="O340" i="28"/>
  <c r="W356" i="28"/>
  <c r="O356" i="28"/>
  <c r="W288" i="28"/>
  <c r="O288" i="28"/>
  <c r="W292" i="28"/>
  <c r="O292" i="28"/>
  <c r="W296" i="28"/>
  <c r="O296" i="28"/>
  <c r="W300" i="28"/>
  <c r="O300" i="28"/>
  <c r="W304" i="28"/>
  <c r="O304" i="28"/>
  <c r="W308" i="28"/>
  <c r="O308" i="28"/>
  <c r="W312" i="28"/>
  <c r="O312" i="28"/>
  <c r="W316" i="28"/>
  <c r="O316" i="28"/>
  <c r="W320" i="28"/>
  <c r="O320" i="28"/>
  <c r="W324" i="28"/>
  <c r="O324" i="28"/>
  <c r="W328" i="28"/>
  <c r="O328" i="28"/>
  <c r="W332" i="28"/>
  <c r="O332" i="28"/>
  <c r="W338" i="28"/>
  <c r="O338" i="28"/>
  <c r="W346" i="28"/>
  <c r="O346" i="28"/>
  <c r="W354" i="28"/>
  <c r="O354" i="28"/>
  <c r="W337" i="28"/>
  <c r="O337" i="28"/>
  <c r="W341" i="28"/>
  <c r="O341" i="28"/>
  <c r="W345" i="28"/>
  <c r="O345" i="28"/>
  <c r="W349" i="28"/>
  <c r="O349" i="28"/>
  <c r="W353" i="28"/>
  <c r="O353" i="28"/>
  <c r="W357" i="28"/>
  <c r="O357" i="28"/>
  <c r="W359" i="28"/>
  <c r="O359" i="28"/>
  <c r="W361" i="28"/>
  <c r="O361" i="28"/>
  <c r="W363" i="28"/>
  <c r="O363" i="28"/>
  <c r="W365" i="28"/>
  <c r="O365" i="28"/>
  <c r="W367" i="28"/>
  <c r="O367" i="28"/>
  <c r="W369" i="28"/>
  <c r="O369" i="28"/>
  <c r="W371" i="28"/>
  <c r="O371" i="28"/>
  <c r="W373" i="28"/>
  <c r="O373" i="28"/>
  <c r="P373" i="28" s="1"/>
  <c r="P372" i="27"/>
  <c r="V373" i="27"/>
  <c r="P370" i="27"/>
  <c r="V371" i="27"/>
  <c r="P368" i="27"/>
  <c r="V369" i="27"/>
  <c r="P366" i="27"/>
  <c r="V367" i="27"/>
  <c r="P364" i="27"/>
  <c r="V365" i="27"/>
  <c r="P362" i="27"/>
  <c r="V363" i="27"/>
  <c r="P360" i="27"/>
  <c r="V361" i="27"/>
  <c r="P358" i="27"/>
  <c r="V359" i="27"/>
  <c r="V356" i="27"/>
  <c r="P355" i="27"/>
  <c r="V352" i="27"/>
  <c r="P351" i="27"/>
  <c r="V348" i="27"/>
  <c r="P347" i="27"/>
  <c r="V345" i="27"/>
  <c r="P344" i="27"/>
  <c r="P342" i="27"/>
  <c r="V343" i="27"/>
  <c r="P340" i="27"/>
  <c r="V341" i="27"/>
  <c r="P338" i="27"/>
  <c r="V339" i="27"/>
  <c r="P336" i="27"/>
  <c r="V337" i="27"/>
  <c r="P334" i="27"/>
  <c r="V335" i="27"/>
  <c r="P332" i="27"/>
  <c r="V333" i="27"/>
  <c r="P330" i="27"/>
  <c r="V331" i="27"/>
  <c r="P328" i="27"/>
  <c r="V329" i="27"/>
  <c r="P326" i="27"/>
  <c r="V327" i="27"/>
  <c r="P324" i="27"/>
  <c r="V325" i="27"/>
  <c r="P322" i="27"/>
  <c r="V323" i="27"/>
  <c r="P320" i="27"/>
  <c r="V321" i="27"/>
  <c r="V357" i="27"/>
  <c r="P356" i="27"/>
  <c r="V349" i="27"/>
  <c r="P348" i="27"/>
  <c r="P317" i="27"/>
  <c r="V318" i="27"/>
  <c r="P315" i="27"/>
  <c r="V316" i="27"/>
  <c r="P313" i="27"/>
  <c r="V314" i="27"/>
  <c r="P311" i="27"/>
  <c r="V312" i="27"/>
  <c r="P309" i="27"/>
  <c r="V310" i="27"/>
  <c r="P307" i="27"/>
  <c r="V308" i="27"/>
  <c r="P305" i="27"/>
  <c r="V306" i="27"/>
  <c r="P303" i="27"/>
  <c r="P301" i="27"/>
  <c r="V302" i="27"/>
  <c r="P299" i="27"/>
  <c r="V300" i="27"/>
  <c r="P297" i="27"/>
  <c r="V298" i="27"/>
  <c r="P295" i="27"/>
  <c r="V296" i="27"/>
  <c r="P293" i="27"/>
  <c r="V294" i="27"/>
  <c r="P291" i="27"/>
  <c r="V292" i="27"/>
  <c r="P289" i="27"/>
  <c r="V290" i="27"/>
  <c r="P287" i="27"/>
  <c r="V288" i="27"/>
  <c r="P285" i="27"/>
  <c r="V286" i="27"/>
  <c r="P283" i="27"/>
  <c r="V284" i="27"/>
  <c r="P281" i="27"/>
  <c r="V282" i="27"/>
  <c r="P279" i="27"/>
  <c r="V280" i="27"/>
  <c r="P277" i="27"/>
  <c r="V278" i="27"/>
  <c r="P275" i="27"/>
  <c r="V276" i="27"/>
  <c r="P273" i="27"/>
  <c r="V274" i="27"/>
  <c r="P271" i="27"/>
  <c r="V272" i="27"/>
  <c r="V347" i="27"/>
  <c r="P346" i="27"/>
  <c r="V268" i="27"/>
  <c r="P267" i="27"/>
  <c r="V264" i="27"/>
  <c r="P263" i="27"/>
  <c r="V260" i="27"/>
  <c r="P259" i="27"/>
  <c r="V256" i="27"/>
  <c r="P255" i="27"/>
  <c r="V271" i="27"/>
  <c r="P270" i="27"/>
  <c r="V267" i="27"/>
  <c r="P266" i="27"/>
  <c r="V263" i="27"/>
  <c r="P262" i="27"/>
  <c r="V259" i="27"/>
  <c r="P258" i="27"/>
  <c r="V255" i="27"/>
  <c r="P254" i="27"/>
  <c r="V251" i="27"/>
  <c r="P250" i="27"/>
  <c r="V247" i="27"/>
  <c r="P246" i="27"/>
  <c r="V243" i="27"/>
  <c r="P242" i="27"/>
  <c r="V239" i="27"/>
  <c r="P238" i="27"/>
  <c r="V235" i="27"/>
  <c r="P234" i="27"/>
  <c r="V231" i="27"/>
  <c r="P230" i="27"/>
  <c r="V227" i="27"/>
  <c r="P226" i="27"/>
  <c r="V223" i="27"/>
  <c r="P222" i="27"/>
  <c r="V219" i="27"/>
  <c r="P218" i="27"/>
  <c r="V215" i="27"/>
  <c r="P214" i="27"/>
  <c r="V211" i="27"/>
  <c r="P210" i="27"/>
  <c r="V207" i="27"/>
  <c r="P206" i="27"/>
  <c r="V203" i="27"/>
  <c r="P202" i="27"/>
  <c r="V199" i="27"/>
  <c r="P198" i="27"/>
  <c r="V195" i="27"/>
  <c r="P194" i="27"/>
  <c r="V191" i="27"/>
  <c r="P190" i="27"/>
  <c r="V187" i="27"/>
  <c r="P186" i="27"/>
  <c r="V183" i="27"/>
  <c r="P182" i="27"/>
  <c r="V179" i="27"/>
  <c r="P178" i="27"/>
  <c r="V175" i="27"/>
  <c r="P174" i="27"/>
  <c r="V248" i="27"/>
  <c r="P247" i="27"/>
  <c r="V240" i="27"/>
  <c r="P239" i="27"/>
  <c r="V232" i="27"/>
  <c r="P231" i="27"/>
  <c r="V224" i="27"/>
  <c r="P223" i="27"/>
  <c r="V216" i="27"/>
  <c r="P215" i="27"/>
  <c r="V208" i="27"/>
  <c r="P207" i="27"/>
  <c r="V200" i="27"/>
  <c r="P199" i="27"/>
  <c r="V192" i="27"/>
  <c r="P191" i="27"/>
  <c r="V184" i="27"/>
  <c r="P183" i="27"/>
  <c r="V176" i="27"/>
  <c r="P175" i="27"/>
  <c r="V171" i="27"/>
  <c r="P170" i="27"/>
  <c r="V167" i="27"/>
  <c r="P166" i="27"/>
  <c r="V163" i="27"/>
  <c r="P162" i="27"/>
  <c r="V159" i="27"/>
  <c r="P158" i="27"/>
  <c r="V155" i="27"/>
  <c r="P154" i="27"/>
  <c r="V151" i="27"/>
  <c r="P150" i="27"/>
  <c r="V147" i="27"/>
  <c r="P146" i="27"/>
  <c r="V143" i="27"/>
  <c r="P142" i="27"/>
  <c r="V139" i="27"/>
  <c r="P138" i="27"/>
  <c r="V135" i="27"/>
  <c r="P134" i="27"/>
  <c r="V131" i="27"/>
  <c r="P130" i="27"/>
  <c r="V127" i="27"/>
  <c r="P126" i="27"/>
  <c r="V123" i="27"/>
  <c r="P122" i="27"/>
  <c r="V119" i="27"/>
  <c r="P118" i="27"/>
  <c r="V115" i="27"/>
  <c r="P114" i="27"/>
  <c r="V111" i="27"/>
  <c r="P110" i="27"/>
  <c r="V254" i="27"/>
  <c r="P253" i="27"/>
  <c r="V246" i="27"/>
  <c r="P245" i="27"/>
  <c r="V238" i="27"/>
  <c r="P237" i="27"/>
  <c r="V230" i="27"/>
  <c r="P229" i="27"/>
  <c r="V222" i="27"/>
  <c r="P221" i="27"/>
  <c r="V214" i="27"/>
  <c r="P213" i="27"/>
  <c r="V206" i="27"/>
  <c r="P205" i="27"/>
  <c r="V198" i="27"/>
  <c r="P197" i="27"/>
  <c r="V190" i="27"/>
  <c r="P189" i="27"/>
  <c r="V182" i="27"/>
  <c r="P181" i="27"/>
  <c r="V174" i="27"/>
  <c r="P173" i="27"/>
  <c r="V170" i="27"/>
  <c r="P169" i="27"/>
  <c r="V166" i="27"/>
  <c r="P165" i="27"/>
  <c r="V162" i="27"/>
  <c r="P161" i="27"/>
  <c r="V158" i="27"/>
  <c r="P157" i="27"/>
  <c r="V154" i="27"/>
  <c r="P153" i="27"/>
  <c r="V150" i="27"/>
  <c r="P149" i="27"/>
  <c r="V146" i="27"/>
  <c r="P145" i="27"/>
  <c r="V142" i="27"/>
  <c r="P141" i="27"/>
  <c r="V138" i="27"/>
  <c r="P137" i="27"/>
  <c r="V134" i="27"/>
  <c r="P133" i="27"/>
  <c r="V130" i="27"/>
  <c r="P129" i="27"/>
  <c r="V126" i="27"/>
  <c r="P125" i="27"/>
  <c r="V122" i="27"/>
  <c r="P121" i="27"/>
  <c r="V118" i="27"/>
  <c r="P117" i="27"/>
  <c r="V114" i="27"/>
  <c r="P113" i="27"/>
  <c r="V110" i="27"/>
  <c r="P109" i="27"/>
  <c r="V106" i="27"/>
  <c r="P105" i="27"/>
  <c r="V102" i="27"/>
  <c r="P101" i="27"/>
  <c r="V98" i="27"/>
  <c r="P97" i="27"/>
  <c r="V94" i="27"/>
  <c r="P93" i="27"/>
  <c r="V90" i="27"/>
  <c r="P89" i="27"/>
  <c r="V86" i="27"/>
  <c r="P85" i="27"/>
  <c r="V82" i="27"/>
  <c r="P81" i="27"/>
  <c r="V78" i="27"/>
  <c r="P77" i="27"/>
  <c r="V74" i="27"/>
  <c r="P73" i="27"/>
  <c r="V70" i="27"/>
  <c r="P69" i="27"/>
  <c r="V66" i="27"/>
  <c r="P65" i="27"/>
  <c r="V62" i="27"/>
  <c r="P61" i="27"/>
  <c r="V58" i="27"/>
  <c r="P57" i="27"/>
  <c r="V54" i="27"/>
  <c r="P53" i="27"/>
  <c r="V50" i="27"/>
  <c r="P49" i="27"/>
  <c r="V46" i="27"/>
  <c r="P45" i="27"/>
  <c r="V42" i="27"/>
  <c r="P41" i="27"/>
  <c r="V38" i="27"/>
  <c r="P37" i="27"/>
  <c r="V34" i="27"/>
  <c r="P33" i="27"/>
  <c r="V30" i="27"/>
  <c r="P29" i="27"/>
  <c r="V26" i="27"/>
  <c r="P25" i="27"/>
  <c r="V22" i="27"/>
  <c r="P21" i="27"/>
  <c r="V18" i="27"/>
  <c r="P17" i="27"/>
  <c r="V14" i="27"/>
  <c r="P13" i="27"/>
  <c r="V107" i="27"/>
  <c r="P106" i="27"/>
  <c r="V99" i="27"/>
  <c r="P98" i="27"/>
  <c r="V91" i="27"/>
  <c r="P90" i="27"/>
  <c r="V83" i="27"/>
  <c r="P82" i="27"/>
  <c r="V75" i="27"/>
  <c r="P74" i="27"/>
  <c r="V67" i="27"/>
  <c r="P66" i="27"/>
  <c r="V59" i="27"/>
  <c r="P58" i="27"/>
  <c r="V51" i="27"/>
  <c r="P50" i="27"/>
  <c r="V43" i="27"/>
  <c r="P42" i="27"/>
  <c r="V35" i="27"/>
  <c r="P34" i="27"/>
  <c r="V27" i="27"/>
  <c r="P26" i="27"/>
  <c r="V19" i="27"/>
  <c r="P18" i="27"/>
  <c r="V12" i="27"/>
  <c r="P11" i="27"/>
  <c r="V8" i="27"/>
  <c r="P7" i="27"/>
  <c r="V101" i="27"/>
  <c r="P100" i="27"/>
  <c r="V93" i="27"/>
  <c r="P92" i="27"/>
  <c r="V85" i="27"/>
  <c r="P84" i="27"/>
  <c r="V77" i="27"/>
  <c r="P76" i="27"/>
  <c r="V69" i="27"/>
  <c r="P68" i="27"/>
  <c r="V61" i="27"/>
  <c r="P60" i="27"/>
  <c r="V53" i="27"/>
  <c r="P52" i="27"/>
  <c r="V45" i="27"/>
  <c r="P44" i="27"/>
  <c r="V37" i="27"/>
  <c r="P36" i="27"/>
  <c r="V29" i="27"/>
  <c r="P28" i="27"/>
  <c r="V21" i="27"/>
  <c r="P20" i="27"/>
  <c r="V13" i="27"/>
  <c r="P12" i="27"/>
  <c r="V9" i="27"/>
  <c r="P8" i="27"/>
  <c r="P371" i="27"/>
  <c r="V372" i="27"/>
  <c r="P369" i="27"/>
  <c r="V370" i="27"/>
  <c r="P367" i="27"/>
  <c r="V368" i="27"/>
  <c r="P365" i="27"/>
  <c r="V366" i="27"/>
  <c r="P363" i="27"/>
  <c r="V364" i="27"/>
  <c r="P361" i="27"/>
  <c r="V362" i="27"/>
  <c r="P359" i="27"/>
  <c r="V360" i="27"/>
  <c r="V358" i="27"/>
  <c r="P357" i="27"/>
  <c r="V354" i="27"/>
  <c r="P353" i="27"/>
  <c r="V350" i="27"/>
  <c r="P349" i="27"/>
  <c r="V346" i="27"/>
  <c r="P345" i="27"/>
  <c r="V344" i="27"/>
  <c r="P343" i="27"/>
  <c r="P341" i="27"/>
  <c r="V342" i="27"/>
  <c r="P339" i="27"/>
  <c r="V340" i="27"/>
  <c r="P337" i="27"/>
  <c r="V338" i="27"/>
  <c r="P335" i="27"/>
  <c r="V336" i="27"/>
  <c r="P333" i="27"/>
  <c r="V334" i="27"/>
  <c r="P331" i="27"/>
  <c r="V332" i="27"/>
  <c r="P329" i="27"/>
  <c r="V330" i="27"/>
  <c r="P327" i="27"/>
  <c r="V328" i="27"/>
  <c r="P325" i="27"/>
  <c r="V326" i="27"/>
  <c r="P323" i="27"/>
  <c r="V324" i="27"/>
  <c r="P321" i="27"/>
  <c r="V322" i="27"/>
  <c r="P319" i="27"/>
  <c r="V320" i="27"/>
  <c r="V353" i="27"/>
  <c r="P352" i="27"/>
  <c r="V319" i="27"/>
  <c r="P318" i="27"/>
  <c r="P316" i="27"/>
  <c r="V317" i="27"/>
  <c r="P314" i="27"/>
  <c r="V315" i="27"/>
  <c r="P312" i="27"/>
  <c r="V313" i="27"/>
  <c r="P310" i="27"/>
  <c r="V311" i="27"/>
  <c r="P308" i="27"/>
  <c r="V309" i="27"/>
  <c r="P306" i="27"/>
  <c r="V307" i="27"/>
  <c r="P304" i="27"/>
  <c r="V305" i="27"/>
  <c r="P302" i="27"/>
  <c r="V303" i="27"/>
  <c r="P300" i="27"/>
  <c r="V301" i="27"/>
  <c r="P298" i="27"/>
  <c r="V299" i="27"/>
  <c r="P296" i="27"/>
  <c r="V297" i="27"/>
  <c r="P294" i="27"/>
  <c r="V295" i="27"/>
  <c r="P292" i="27"/>
  <c r="V293" i="27"/>
  <c r="P290" i="27"/>
  <c r="V291" i="27"/>
  <c r="P288" i="27"/>
  <c r="V289" i="27"/>
  <c r="P286" i="27"/>
  <c r="V287" i="27"/>
  <c r="P284" i="27"/>
  <c r="V285" i="27"/>
  <c r="P282" i="27"/>
  <c r="V283" i="27"/>
  <c r="P280" i="27"/>
  <c r="V281" i="27"/>
  <c r="P278" i="27"/>
  <c r="V279" i="27"/>
  <c r="P276" i="27"/>
  <c r="V277" i="27"/>
  <c r="P274" i="27"/>
  <c r="V275" i="27"/>
  <c r="P272" i="27"/>
  <c r="V273" i="27"/>
  <c r="V355" i="27"/>
  <c r="P354" i="27"/>
  <c r="V270" i="27"/>
  <c r="P269" i="27"/>
  <c r="V266" i="27"/>
  <c r="P265" i="27"/>
  <c r="V262" i="27"/>
  <c r="P261" i="27"/>
  <c r="V258" i="27"/>
  <c r="P257" i="27"/>
  <c r="V351" i="27"/>
  <c r="P350" i="27"/>
  <c r="V269" i="27"/>
  <c r="P268" i="27"/>
  <c r="V265" i="27"/>
  <c r="P264" i="27"/>
  <c r="V261" i="27"/>
  <c r="P260" i="27"/>
  <c r="V257" i="27"/>
  <c r="P256" i="27"/>
  <c r="V253" i="27"/>
  <c r="P252" i="27"/>
  <c r="V249" i="27"/>
  <c r="P248" i="27"/>
  <c r="V245" i="27"/>
  <c r="P244" i="27"/>
  <c r="V241" i="27"/>
  <c r="P240" i="27"/>
  <c r="V237" i="27"/>
  <c r="P236" i="27"/>
  <c r="V233" i="27"/>
  <c r="P232" i="27"/>
  <c r="V229" i="27"/>
  <c r="P228" i="27"/>
  <c r="V225" i="27"/>
  <c r="P224" i="27"/>
  <c r="V221" i="27"/>
  <c r="P220" i="27"/>
  <c r="V217" i="27"/>
  <c r="P216" i="27"/>
  <c r="V213" i="27"/>
  <c r="P212" i="27"/>
  <c r="V209" i="27"/>
  <c r="P208" i="27"/>
  <c r="V205" i="27"/>
  <c r="P204" i="27"/>
  <c r="V201" i="27"/>
  <c r="P200" i="27"/>
  <c r="V197" i="27"/>
  <c r="P196" i="27"/>
  <c r="V193" i="27"/>
  <c r="P192" i="27"/>
  <c r="V189" i="27"/>
  <c r="P188" i="27"/>
  <c r="V185" i="27"/>
  <c r="P184" i="27"/>
  <c r="V181" i="27"/>
  <c r="P180" i="27"/>
  <c r="V177" i="27"/>
  <c r="P176" i="27"/>
  <c r="V252" i="27"/>
  <c r="P251" i="27"/>
  <c r="V244" i="27"/>
  <c r="P243" i="27"/>
  <c r="V236" i="27"/>
  <c r="P235" i="27"/>
  <c r="V228" i="27"/>
  <c r="P227" i="27"/>
  <c r="V220" i="27"/>
  <c r="P219" i="27"/>
  <c r="V212" i="27"/>
  <c r="P211" i="27"/>
  <c r="V204" i="27"/>
  <c r="P203" i="27"/>
  <c r="V196" i="27"/>
  <c r="P195" i="27"/>
  <c r="V188" i="27"/>
  <c r="P187" i="27"/>
  <c r="V180" i="27"/>
  <c r="P179" i="27"/>
  <c r="V173" i="27"/>
  <c r="P172" i="27"/>
  <c r="V169" i="27"/>
  <c r="P168" i="27"/>
  <c r="V165" i="27"/>
  <c r="P164" i="27"/>
  <c r="V161" i="27"/>
  <c r="P160" i="27"/>
  <c r="V157" i="27"/>
  <c r="P156" i="27"/>
  <c r="V153" i="27"/>
  <c r="P152" i="27"/>
  <c r="V149" i="27"/>
  <c r="P148" i="27"/>
  <c r="V145" i="27"/>
  <c r="P144" i="27"/>
  <c r="V141" i="27"/>
  <c r="P140" i="27"/>
  <c r="V137" i="27"/>
  <c r="P136" i="27"/>
  <c r="V133" i="27"/>
  <c r="P132" i="27"/>
  <c r="V129" i="27"/>
  <c r="P128" i="27"/>
  <c r="V125" i="27"/>
  <c r="P124" i="27"/>
  <c r="V121" i="27"/>
  <c r="P120" i="27"/>
  <c r="V117" i="27"/>
  <c r="P116" i="27"/>
  <c r="V113" i="27"/>
  <c r="P112" i="27"/>
  <c r="V109" i="27"/>
  <c r="P108" i="27"/>
  <c r="V250" i="27"/>
  <c r="P249" i="27"/>
  <c r="V242" i="27"/>
  <c r="P241" i="27"/>
  <c r="V234" i="27"/>
  <c r="P233" i="27"/>
  <c r="V226" i="27"/>
  <c r="P225" i="27"/>
  <c r="V218" i="27"/>
  <c r="P217" i="27"/>
  <c r="V210" i="27"/>
  <c r="P209" i="27"/>
  <c r="V202" i="27"/>
  <c r="P201" i="27"/>
  <c r="V194" i="27"/>
  <c r="P193" i="27"/>
  <c r="V186" i="27"/>
  <c r="P185" i="27"/>
  <c r="V178" i="27"/>
  <c r="P177" i="27"/>
  <c r="V172" i="27"/>
  <c r="P171" i="27"/>
  <c r="V168" i="27"/>
  <c r="P167" i="27"/>
  <c r="V164" i="27"/>
  <c r="P163" i="27"/>
  <c r="V160" i="27"/>
  <c r="P159" i="27"/>
  <c r="V156" i="27"/>
  <c r="P155" i="27"/>
  <c r="V152" i="27"/>
  <c r="P151" i="27"/>
  <c r="V148" i="27"/>
  <c r="P147" i="27"/>
  <c r="V144" i="27"/>
  <c r="P143" i="27"/>
  <c r="V140" i="27"/>
  <c r="P139" i="27"/>
  <c r="V136" i="27"/>
  <c r="P135" i="27"/>
  <c r="V132" i="27"/>
  <c r="P131" i="27"/>
  <c r="V128" i="27"/>
  <c r="P127" i="27"/>
  <c r="V124" i="27"/>
  <c r="P123" i="27"/>
  <c r="V120" i="27"/>
  <c r="P119" i="27"/>
  <c r="V116" i="27"/>
  <c r="P115" i="27"/>
  <c r="V112" i="27"/>
  <c r="P111" i="27"/>
  <c r="V108" i="27"/>
  <c r="P107" i="27"/>
  <c r="V104" i="27"/>
  <c r="P103" i="27"/>
  <c r="V100" i="27"/>
  <c r="P99" i="27"/>
  <c r="V96" i="27"/>
  <c r="P95" i="27"/>
  <c r="V92" i="27"/>
  <c r="P91" i="27"/>
  <c r="V88" i="27"/>
  <c r="P87" i="27"/>
  <c r="V84" i="27"/>
  <c r="P83" i="27"/>
  <c r="V80" i="27"/>
  <c r="P79" i="27"/>
  <c r="V76" i="27"/>
  <c r="P75" i="27"/>
  <c r="V72" i="27"/>
  <c r="P71" i="27"/>
  <c r="V68" i="27"/>
  <c r="P67" i="27"/>
  <c r="V64" i="27"/>
  <c r="P63" i="27"/>
  <c r="V60" i="27"/>
  <c r="P59" i="27"/>
  <c r="V56" i="27"/>
  <c r="P55" i="27"/>
  <c r="V52" i="27"/>
  <c r="P51" i="27"/>
  <c r="V48" i="27"/>
  <c r="P47" i="27"/>
  <c r="V44" i="27"/>
  <c r="P43" i="27"/>
  <c r="V40" i="27"/>
  <c r="P39" i="27"/>
  <c r="V36" i="27"/>
  <c r="P35" i="27"/>
  <c r="V32" i="27"/>
  <c r="P31" i="27"/>
  <c r="V28" i="27"/>
  <c r="P27" i="27"/>
  <c r="V24" i="27"/>
  <c r="P23" i="27"/>
  <c r="V20" i="27"/>
  <c r="P19" i="27"/>
  <c r="V16" i="27"/>
  <c r="P15" i="27"/>
  <c r="V7" i="27"/>
  <c r="P6" i="27"/>
  <c r="V103" i="27"/>
  <c r="P102" i="27"/>
  <c r="V95" i="27"/>
  <c r="P94" i="27"/>
  <c r="V87" i="27"/>
  <c r="P86" i="27"/>
  <c r="V79" i="27"/>
  <c r="P78" i="27"/>
  <c r="V71" i="27"/>
  <c r="P70" i="27"/>
  <c r="V63" i="27"/>
  <c r="P62" i="27"/>
  <c r="V55" i="27"/>
  <c r="P54" i="27"/>
  <c r="V47" i="27"/>
  <c r="P46" i="27"/>
  <c r="V39" i="27"/>
  <c r="P38" i="27"/>
  <c r="V31" i="27"/>
  <c r="P30" i="27"/>
  <c r="V23" i="27"/>
  <c r="P22" i="27"/>
  <c r="V15" i="27"/>
  <c r="P14" i="27"/>
  <c r="V10" i="27"/>
  <c r="P9" i="27"/>
  <c r="V105" i="27"/>
  <c r="P104" i="27"/>
  <c r="V97" i="27"/>
  <c r="P96" i="27"/>
  <c r="V89" i="27"/>
  <c r="P88" i="27"/>
  <c r="V81" i="27"/>
  <c r="P80" i="27"/>
  <c r="V73" i="27"/>
  <c r="P72" i="27"/>
  <c r="V65" i="27"/>
  <c r="P64" i="27"/>
  <c r="V57" i="27"/>
  <c r="P56" i="27"/>
  <c r="V49" i="27"/>
  <c r="P48" i="27"/>
  <c r="V41" i="27"/>
  <c r="P40" i="27"/>
  <c r="V33" i="27"/>
  <c r="P32" i="27"/>
  <c r="V25" i="27"/>
  <c r="P24" i="27"/>
  <c r="V17" i="27"/>
  <c r="P16" i="27"/>
  <c r="V11" i="27"/>
  <c r="P10" i="27"/>
  <c r="O374" i="27"/>
  <c r="V6" i="27"/>
  <c r="M5" i="27"/>
  <c r="P5" i="27"/>
  <c r="N5" i="27"/>
  <c r="W374" i="27"/>
  <c r="X5" i="27" s="1"/>
  <c r="A5" i="25"/>
  <c r="A7" i="25"/>
  <c r="A9" i="25"/>
  <c r="A12" i="25"/>
  <c r="A14" i="25"/>
  <c r="A16" i="25"/>
  <c r="A18" i="25"/>
  <c r="A20" i="25"/>
  <c r="A22" i="25"/>
  <c r="A23" i="25"/>
  <c r="A25" i="25"/>
  <c r="A27" i="25"/>
  <c r="A29" i="25"/>
  <c r="A31" i="25"/>
  <c r="A33" i="25"/>
  <c r="A36" i="25"/>
  <c r="A38" i="25"/>
  <c r="A40" i="25"/>
  <c r="A42" i="25"/>
  <c r="A44" i="25"/>
  <c r="A46" i="25"/>
  <c r="A47" i="25"/>
  <c r="A49" i="25"/>
  <c r="A51" i="25"/>
  <c r="A54" i="25"/>
  <c r="A56" i="25"/>
  <c r="A58" i="25"/>
  <c r="A60" i="25"/>
  <c r="A62" i="25"/>
  <c r="A65" i="25"/>
  <c r="A67" i="25"/>
  <c r="A68" i="25"/>
  <c r="A70" i="25"/>
  <c r="A72" i="25"/>
  <c r="A75" i="25"/>
  <c r="A77" i="25"/>
  <c r="A79" i="25"/>
  <c r="A82" i="25"/>
  <c r="A84" i="25"/>
  <c r="A3" i="25"/>
  <c r="A4" i="25"/>
  <c r="A6" i="25"/>
  <c r="A8" i="25"/>
  <c r="A10" i="25"/>
  <c r="A11" i="25"/>
  <c r="A13" i="25"/>
  <c r="A15" i="25"/>
  <c r="A17" i="25"/>
  <c r="A19" i="25"/>
  <c r="A21" i="25"/>
  <c r="A24" i="25"/>
  <c r="A26" i="25"/>
  <c r="A28" i="25"/>
  <c r="A30" i="25"/>
  <c r="A32" i="25"/>
  <c r="A34" i="25"/>
  <c r="A35" i="25"/>
  <c r="A37" i="25"/>
  <c r="A39" i="25"/>
  <c r="A41" i="25"/>
  <c r="A43" i="25"/>
  <c r="A45" i="25"/>
  <c r="A48" i="25"/>
  <c r="A50" i="25"/>
  <c r="A52" i="25"/>
  <c r="A53" i="25"/>
  <c r="A55" i="25"/>
  <c r="A57" i="25"/>
  <c r="A59" i="25"/>
  <c r="A61" i="25"/>
  <c r="A63" i="25"/>
  <c r="A64" i="25"/>
  <c r="A66" i="25"/>
  <c r="A69" i="25"/>
  <c r="A71" i="25"/>
  <c r="A73" i="25"/>
  <c r="A74" i="25"/>
  <c r="A76" i="25"/>
  <c r="A78" i="25"/>
  <c r="A80" i="25"/>
  <c r="A81" i="25"/>
  <c r="A83" i="25"/>
  <c r="B3" i="25"/>
  <c r="B4" i="25"/>
  <c r="G62" i="20"/>
  <c r="B5" i="25"/>
  <c r="B6" i="25"/>
  <c r="B7" i="25"/>
  <c r="B8"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B36" i="25"/>
  <c r="B37" i="25"/>
  <c r="B38" i="25"/>
  <c r="B39" i="25"/>
  <c r="B40" i="25"/>
  <c r="B41" i="25"/>
  <c r="B42" i="25"/>
  <c r="B43" i="25"/>
  <c r="B44" i="25"/>
  <c r="B45" i="25"/>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B77" i="25"/>
  <c r="B78" i="25"/>
  <c r="B79" i="25"/>
  <c r="B80" i="25"/>
  <c r="B81" i="25"/>
  <c r="B82" i="25"/>
  <c r="B83" i="25"/>
  <c r="B84" i="25"/>
  <c r="F86" i="20"/>
  <c r="G58" i="20"/>
  <c r="Z70" i="20"/>
  <c r="Z14" i="20"/>
  <c r="G34" i="20"/>
  <c r="Z30" i="20"/>
  <c r="F83" i="20"/>
  <c r="F73" i="20"/>
  <c r="F46" i="20"/>
  <c r="F14" i="20"/>
  <c r="F49" i="20"/>
  <c r="F17" i="20"/>
  <c r="F59" i="20"/>
  <c r="F52" i="20"/>
  <c r="F20" i="20"/>
  <c r="Z54" i="20"/>
  <c r="Z10" i="20"/>
  <c r="Z26" i="20"/>
  <c r="Z42" i="20"/>
  <c r="Z50" i="20"/>
  <c r="Z77" i="20"/>
  <c r="G66" i="20"/>
  <c r="G22" i="20"/>
  <c r="G38" i="20"/>
  <c r="Z66" i="20"/>
  <c r="F43" i="20"/>
  <c r="G10" i="20"/>
  <c r="G26" i="20"/>
  <c r="G42" i="20"/>
  <c r="F27" i="20"/>
  <c r="Z86" i="20"/>
  <c r="Z82" i="20"/>
  <c r="G85" i="20"/>
  <c r="Z84" i="20"/>
  <c r="Z83" i="20"/>
  <c r="Z7" i="20"/>
  <c r="G81" i="20"/>
  <c r="Z69" i="20"/>
  <c r="Z65" i="20"/>
  <c r="Z61" i="20"/>
  <c r="Z57" i="20"/>
  <c r="Z53" i="20"/>
  <c r="Z49" i="20"/>
  <c r="Z45" i="20"/>
  <c r="Z41" i="20"/>
  <c r="Z37" i="20"/>
  <c r="Z33" i="20"/>
  <c r="Z29" i="20"/>
  <c r="Z25" i="20"/>
  <c r="Z21" i="20"/>
  <c r="Z17" i="20"/>
  <c r="Z13" i="20"/>
  <c r="Z9" i="20"/>
  <c r="G83" i="20"/>
  <c r="Z6" i="20"/>
  <c r="G72" i="20"/>
  <c r="G68" i="20"/>
  <c r="G64" i="20"/>
  <c r="G60" i="20"/>
  <c r="G56" i="20"/>
  <c r="G52" i="20"/>
  <c r="G48" i="20"/>
  <c r="G44" i="20"/>
  <c r="G40" i="20"/>
  <c r="G36" i="20"/>
  <c r="G32" i="20"/>
  <c r="G28" i="20"/>
  <c r="G24" i="20"/>
  <c r="G20" i="20"/>
  <c r="G16" i="20"/>
  <c r="G12" i="20"/>
  <c r="G8" i="20"/>
  <c r="G82" i="20"/>
  <c r="Z73" i="20"/>
  <c r="G71" i="20"/>
  <c r="G67" i="20"/>
  <c r="G63" i="20"/>
  <c r="G59" i="20"/>
  <c r="G55" i="20"/>
  <c r="G51" i="20"/>
  <c r="G47" i="20"/>
  <c r="G43" i="20"/>
  <c r="G39" i="20"/>
  <c r="G35" i="20"/>
  <c r="G31" i="20"/>
  <c r="G27" i="20"/>
  <c r="G23" i="20"/>
  <c r="G19" i="20"/>
  <c r="G15" i="20"/>
  <c r="G11" i="20"/>
  <c r="G79" i="20"/>
  <c r="Z76" i="20"/>
  <c r="Z74" i="20"/>
  <c r="G75" i="20"/>
  <c r="Z72" i="20"/>
  <c r="F5" i="20"/>
  <c r="Z62" i="20"/>
  <c r="A946" i="22"/>
  <c r="A1110" i="22" s="1"/>
  <c r="F94" i="20" l="1"/>
  <c r="F108" i="20"/>
  <c r="F122" i="20"/>
  <c r="F90" i="20"/>
  <c r="F104" i="20"/>
  <c r="F118" i="20"/>
  <c r="F372" i="20"/>
  <c r="F368" i="20"/>
  <c r="F364" i="20"/>
  <c r="F360" i="20"/>
  <c r="F356" i="20"/>
  <c r="F352" i="20"/>
  <c r="F348" i="20"/>
  <c r="F344" i="20"/>
  <c r="F340" i="20"/>
  <c r="F336" i="20"/>
  <c r="F332" i="20"/>
  <c r="F328" i="20"/>
  <c r="F324" i="20"/>
  <c r="F320" i="20"/>
  <c r="F316" i="20"/>
  <c r="F312" i="20"/>
  <c r="F308" i="20"/>
  <c r="F304" i="20"/>
  <c r="F300" i="20"/>
  <c r="F296" i="20"/>
  <c r="F292" i="20"/>
  <c r="F288" i="20"/>
  <c r="F284" i="20"/>
  <c r="F280" i="20"/>
  <c r="F276" i="20"/>
  <c r="F272" i="20"/>
  <c r="F268" i="20"/>
  <c r="F264" i="20"/>
  <c r="F260" i="20"/>
  <c r="F256" i="20"/>
  <c r="F252" i="20"/>
  <c r="F248" i="20"/>
  <c r="F244" i="20"/>
  <c r="F240" i="20"/>
  <c r="F236" i="20"/>
  <c r="F232" i="20"/>
  <c r="F228" i="20"/>
  <c r="F224" i="20"/>
  <c r="F220" i="20"/>
  <c r="F216" i="20"/>
  <c r="F212" i="20"/>
  <c r="F208" i="20"/>
  <c r="F204" i="20"/>
  <c r="F200" i="20"/>
  <c r="F196" i="20"/>
  <c r="F192" i="20"/>
  <c r="F188" i="20"/>
  <c r="F184" i="20"/>
  <c r="F180" i="20"/>
  <c r="F176" i="20"/>
  <c r="F172" i="20"/>
  <c r="F168" i="20"/>
  <c r="F164" i="20"/>
  <c r="F160" i="20"/>
  <c r="F156" i="20"/>
  <c r="F152" i="20"/>
  <c r="F148" i="20"/>
  <c r="F144" i="20"/>
  <c r="F140" i="20"/>
  <c r="F136" i="20"/>
  <c r="F130" i="20"/>
  <c r="F124" i="20"/>
  <c r="F114" i="20"/>
  <c r="F106" i="20"/>
  <c r="F96" i="20"/>
  <c r="F88" i="20"/>
  <c r="F373" i="20"/>
  <c r="I373" i="20" s="1"/>
  <c r="F369" i="20"/>
  <c r="I369" i="20" s="1"/>
  <c r="F365" i="20"/>
  <c r="I365" i="20" s="1"/>
  <c r="F361" i="20"/>
  <c r="I361" i="20" s="1"/>
  <c r="F357" i="20"/>
  <c r="I357" i="20" s="1"/>
  <c r="F353" i="20"/>
  <c r="I353" i="20" s="1"/>
  <c r="F349" i="20"/>
  <c r="I349" i="20" s="1"/>
  <c r="F345" i="20"/>
  <c r="I345" i="20" s="1"/>
  <c r="F341" i="20"/>
  <c r="I341" i="20" s="1"/>
  <c r="F337" i="20"/>
  <c r="I337" i="20" s="1"/>
  <c r="F333" i="20"/>
  <c r="I333" i="20" s="1"/>
  <c r="F329" i="20"/>
  <c r="I329" i="20" s="1"/>
  <c r="F325" i="20"/>
  <c r="I325" i="20" s="1"/>
  <c r="F321" i="20"/>
  <c r="I321" i="20" s="1"/>
  <c r="F317" i="20"/>
  <c r="I317" i="20" s="1"/>
  <c r="F313" i="20"/>
  <c r="I313" i="20" s="1"/>
  <c r="F309" i="20"/>
  <c r="I309" i="20" s="1"/>
  <c r="F305" i="20"/>
  <c r="I305" i="20" s="1"/>
  <c r="F301" i="20"/>
  <c r="I301" i="20" s="1"/>
  <c r="F297" i="20"/>
  <c r="I297" i="20" s="1"/>
  <c r="F293" i="20"/>
  <c r="I293" i="20" s="1"/>
  <c r="F289" i="20"/>
  <c r="I289" i="20" s="1"/>
  <c r="F285" i="20"/>
  <c r="I285" i="20" s="1"/>
  <c r="F281" i="20"/>
  <c r="F277" i="20"/>
  <c r="F273" i="20"/>
  <c r="F269" i="20"/>
  <c r="F265" i="20"/>
  <c r="F261" i="20"/>
  <c r="F257" i="20"/>
  <c r="F253" i="20"/>
  <c r="F249" i="20"/>
  <c r="F245" i="20"/>
  <c r="F241" i="20"/>
  <c r="F237" i="20"/>
  <c r="F233" i="20"/>
  <c r="F229" i="20"/>
  <c r="F225" i="20"/>
  <c r="F221" i="20"/>
  <c r="F217" i="20"/>
  <c r="F213" i="20"/>
  <c r="F209" i="20"/>
  <c r="F205" i="20"/>
  <c r="F201" i="20"/>
  <c r="F197" i="20"/>
  <c r="I197" i="20" s="1"/>
  <c r="F193" i="20"/>
  <c r="I193" i="20" s="1"/>
  <c r="F189" i="20"/>
  <c r="F185" i="20"/>
  <c r="I185" i="20" s="1"/>
  <c r="F181" i="20"/>
  <c r="F177" i="20"/>
  <c r="I177" i="20" s="1"/>
  <c r="F173" i="20"/>
  <c r="F169" i="20"/>
  <c r="I169" i="20" s="1"/>
  <c r="F165" i="20"/>
  <c r="F161" i="20"/>
  <c r="I161" i="20" s="1"/>
  <c r="F157" i="20"/>
  <c r="F153" i="20"/>
  <c r="I153" i="20" s="1"/>
  <c r="F149" i="20"/>
  <c r="F145" i="20"/>
  <c r="I145" i="20" s="1"/>
  <c r="F141" i="20"/>
  <c r="I141" i="20" s="1"/>
  <c r="F137" i="20"/>
  <c r="I137" i="20" s="1"/>
  <c r="F133" i="20"/>
  <c r="I133" i="20" s="1"/>
  <c r="F129" i="20"/>
  <c r="I129" i="20" s="1"/>
  <c r="F125" i="20"/>
  <c r="I125" i="20" s="1"/>
  <c r="F121" i="20"/>
  <c r="I121" i="20" s="1"/>
  <c r="F117" i="20"/>
  <c r="I117" i="20" s="1"/>
  <c r="F113" i="20"/>
  <c r="I113" i="20" s="1"/>
  <c r="F109" i="20"/>
  <c r="I109" i="20" s="1"/>
  <c r="F105" i="20"/>
  <c r="I105" i="20" s="1"/>
  <c r="F101" i="20"/>
  <c r="I101" i="20" s="1"/>
  <c r="F97" i="20"/>
  <c r="I97" i="20" s="1"/>
  <c r="F93" i="20"/>
  <c r="I93" i="20" s="1"/>
  <c r="F89" i="20"/>
  <c r="I89" i="20" s="1"/>
  <c r="F100" i="20"/>
  <c r="F116" i="20"/>
  <c r="F126" i="20"/>
  <c r="F98" i="20"/>
  <c r="F112" i="20"/>
  <c r="F132" i="20"/>
  <c r="F370" i="20"/>
  <c r="F366" i="20"/>
  <c r="F362" i="20"/>
  <c r="F358" i="20"/>
  <c r="F354" i="20"/>
  <c r="F350" i="20"/>
  <c r="F346" i="20"/>
  <c r="F342" i="20"/>
  <c r="F338" i="20"/>
  <c r="F334" i="20"/>
  <c r="F330" i="20"/>
  <c r="F326" i="20"/>
  <c r="F322" i="20"/>
  <c r="F318" i="20"/>
  <c r="F314" i="20"/>
  <c r="F310" i="20"/>
  <c r="F306" i="20"/>
  <c r="F302" i="20"/>
  <c r="F298" i="20"/>
  <c r="F294" i="20"/>
  <c r="F290" i="20"/>
  <c r="F286" i="20"/>
  <c r="F282" i="20"/>
  <c r="F278" i="20"/>
  <c r="F274" i="20"/>
  <c r="F270" i="20"/>
  <c r="F266" i="20"/>
  <c r="F262" i="20"/>
  <c r="F258" i="20"/>
  <c r="F254" i="20"/>
  <c r="F250" i="20"/>
  <c r="F246" i="20"/>
  <c r="F242" i="20"/>
  <c r="F238" i="20"/>
  <c r="F234" i="20"/>
  <c r="F230" i="20"/>
  <c r="F226" i="20"/>
  <c r="F222" i="20"/>
  <c r="F218" i="20"/>
  <c r="F214" i="20"/>
  <c r="F210" i="20"/>
  <c r="F206" i="20"/>
  <c r="F202" i="20"/>
  <c r="F198" i="20"/>
  <c r="F194" i="20"/>
  <c r="F190" i="20"/>
  <c r="F186" i="20"/>
  <c r="F182" i="20"/>
  <c r="F178" i="20"/>
  <c r="F174" i="20"/>
  <c r="F170" i="20"/>
  <c r="F166" i="20"/>
  <c r="F162" i="20"/>
  <c r="F158" i="20"/>
  <c r="F154" i="20"/>
  <c r="F150" i="20"/>
  <c r="F146" i="20"/>
  <c r="F142" i="20"/>
  <c r="F138" i="20"/>
  <c r="F134" i="20"/>
  <c r="F128" i="20"/>
  <c r="F120" i="20"/>
  <c r="F110" i="20"/>
  <c r="F102" i="20"/>
  <c r="F92" i="20"/>
  <c r="F371" i="20"/>
  <c r="I371" i="20" s="1"/>
  <c r="F367" i="20"/>
  <c r="I367" i="20" s="1"/>
  <c r="F363" i="20"/>
  <c r="I363" i="20" s="1"/>
  <c r="F359" i="20"/>
  <c r="I359" i="20" s="1"/>
  <c r="F355" i="20"/>
  <c r="I355" i="20" s="1"/>
  <c r="F351" i="20"/>
  <c r="I351" i="20" s="1"/>
  <c r="F347" i="20"/>
  <c r="I347" i="20" s="1"/>
  <c r="F343" i="20"/>
  <c r="I343" i="20" s="1"/>
  <c r="F339" i="20"/>
  <c r="I339" i="20" s="1"/>
  <c r="F335" i="20"/>
  <c r="I335" i="20" s="1"/>
  <c r="F331" i="20"/>
  <c r="I331" i="20" s="1"/>
  <c r="F327" i="20"/>
  <c r="I327" i="20" s="1"/>
  <c r="F323" i="20"/>
  <c r="I323" i="20" s="1"/>
  <c r="F319" i="20"/>
  <c r="I319" i="20" s="1"/>
  <c r="F315" i="20"/>
  <c r="I315" i="20" s="1"/>
  <c r="F311" i="20"/>
  <c r="I311" i="20" s="1"/>
  <c r="F307" i="20"/>
  <c r="I307" i="20" s="1"/>
  <c r="F303" i="20"/>
  <c r="I303" i="20" s="1"/>
  <c r="F299" i="20"/>
  <c r="I299" i="20" s="1"/>
  <c r="F295" i="20"/>
  <c r="I295" i="20" s="1"/>
  <c r="F291" i="20"/>
  <c r="I291" i="20" s="1"/>
  <c r="F287" i="20"/>
  <c r="I287" i="20" s="1"/>
  <c r="F283" i="20"/>
  <c r="I283" i="20" s="1"/>
  <c r="F279" i="20"/>
  <c r="F275" i="20"/>
  <c r="F271" i="20"/>
  <c r="F267" i="20"/>
  <c r="F263" i="20"/>
  <c r="F259" i="20"/>
  <c r="F255" i="20"/>
  <c r="F251" i="20"/>
  <c r="F247" i="20"/>
  <c r="F243" i="20"/>
  <c r="F239" i="20"/>
  <c r="F235" i="20"/>
  <c r="F231" i="20"/>
  <c r="F227" i="20"/>
  <c r="F223" i="20"/>
  <c r="F219" i="20"/>
  <c r="F215" i="20"/>
  <c r="F211" i="20"/>
  <c r="F207" i="20"/>
  <c r="F203" i="20"/>
  <c r="F199" i="20"/>
  <c r="F195" i="20"/>
  <c r="F191" i="20"/>
  <c r="F187" i="20"/>
  <c r="F183" i="20"/>
  <c r="F179" i="20"/>
  <c r="F175" i="20"/>
  <c r="F171" i="20"/>
  <c r="F167" i="20"/>
  <c r="F163" i="20"/>
  <c r="F159" i="20"/>
  <c r="F155" i="20"/>
  <c r="F151" i="20"/>
  <c r="F147" i="20"/>
  <c r="F143" i="20"/>
  <c r="F139" i="20"/>
  <c r="F135" i="20"/>
  <c r="F131" i="20"/>
  <c r="F127" i="20"/>
  <c r="F123" i="20"/>
  <c r="F119" i="20"/>
  <c r="F115" i="20"/>
  <c r="F111" i="20"/>
  <c r="F107" i="20"/>
  <c r="F103" i="20"/>
  <c r="F99" i="20"/>
  <c r="F95" i="20"/>
  <c r="F91" i="20"/>
  <c r="F87" i="20"/>
  <c r="I87" i="20" s="1"/>
  <c r="F19" i="20"/>
  <c r="I19" i="20" s="1"/>
  <c r="F36" i="20"/>
  <c r="H36" i="20" s="1"/>
  <c r="F68" i="20"/>
  <c r="I68" i="20" s="1"/>
  <c r="F75" i="20"/>
  <c r="I75" i="20" s="1"/>
  <c r="F33" i="20"/>
  <c r="I33" i="20" s="1"/>
  <c r="F65" i="20"/>
  <c r="F30" i="20"/>
  <c r="F62" i="20"/>
  <c r="H62" i="20" s="1"/>
  <c r="F74" i="20"/>
  <c r="I74" i="20" s="1"/>
  <c r="Z6" i="25"/>
  <c r="Z9" i="25"/>
  <c r="Y6" i="25"/>
  <c r="Y9" i="25"/>
  <c r="AF7" i="20"/>
  <c r="AG11" i="20"/>
  <c r="AG9" i="20"/>
  <c r="AG7" i="20"/>
  <c r="AF10" i="20"/>
  <c r="AF8" i="20"/>
  <c r="AG10" i="20"/>
  <c r="AJ10" i="20" s="1"/>
  <c r="AG8" i="20"/>
  <c r="AF11" i="20"/>
  <c r="AF9" i="20"/>
  <c r="G89" i="20"/>
  <c r="G87" i="20"/>
  <c r="G314" i="20"/>
  <c r="G306" i="20"/>
  <c r="G300" i="20"/>
  <c r="G292" i="20"/>
  <c r="G284" i="20"/>
  <c r="G278" i="20"/>
  <c r="G270" i="20"/>
  <c r="G264" i="20"/>
  <c r="G256" i="20"/>
  <c r="G248" i="20"/>
  <c r="G240" i="20"/>
  <c r="G232" i="20"/>
  <c r="G224" i="20"/>
  <c r="G216" i="20"/>
  <c r="G206" i="20"/>
  <c r="G312" i="20"/>
  <c r="G302" i="20"/>
  <c r="G294" i="20"/>
  <c r="G286" i="20"/>
  <c r="G276" i="20"/>
  <c r="G268" i="20"/>
  <c r="G258" i="20"/>
  <c r="G250" i="20"/>
  <c r="G242" i="20"/>
  <c r="G234" i="20"/>
  <c r="G226" i="20"/>
  <c r="G218" i="20"/>
  <c r="G210" i="20"/>
  <c r="G204" i="20"/>
  <c r="G200" i="20"/>
  <c r="G196" i="20"/>
  <c r="G192" i="20"/>
  <c r="G188" i="20"/>
  <c r="G182" i="20"/>
  <c r="G178" i="20"/>
  <c r="G174" i="20"/>
  <c r="G170" i="20"/>
  <c r="G166" i="20"/>
  <c r="G162" i="20"/>
  <c r="G158" i="20"/>
  <c r="G154" i="20"/>
  <c r="G150" i="20"/>
  <c r="G146" i="20"/>
  <c r="G138" i="20"/>
  <c r="G130" i="20"/>
  <c r="G122" i="20"/>
  <c r="G114" i="20"/>
  <c r="G106" i="20"/>
  <c r="G98" i="20"/>
  <c r="G90" i="20"/>
  <c r="Z371" i="20"/>
  <c r="Z367" i="20"/>
  <c r="Z363" i="20"/>
  <c r="Z359" i="20"/>
  <c r="Z355" i="20"/>
  <c r="Z351" i="20"/>
  <c r="Z347" i="20"/>
  <c r="Z343" i="20"/>
  <c r="Z339" i="20"/>
  <c r="Z335" i="20"/>
  <c r="Z331" i="20"/>
  <c r="Z327" i="20"/>
  <c r="Z323" i="20"/>
  <c r="Z319" i="20"/>
  <c r="Z315" i="20"/>
  <c r="Z313" i="20"/>
  <c r="Z311" i="20"/>
  <c r="Z309" i="20"/>
  <c r="Z307" i="20"/>
  <c r="Z305" i="20"/>
  <c r="Z303" i="20"/>
  <c r="Z301" i="20"/>
  <c r="Z299" i="20"/>
  <c r="Z297" i="20"/>
  <c r="Z295" i="20"/>
  <c r="Z293" i="20"/>
  <c r="Z291" i="20"/>
  <c r="Z289" i="20"/>
  <c r="Z287" i="20"/>
  <c r="Z285" i="20"/>
  <c r="Z283" i="20"/>
  <c r="Z281" i="20"/>
  <c r="Z279" i="20"/>
  <c r="Z277" i="20"/>
  <c r="Z275" i="20"/>
  <c r="Z273" i="20"/>
  <c r="Z271" i="20"/>
  <c r="Z269" i="20"/>
  <c r="Z267" i="20"/>
  <c r="Z265" i="20"/>
  <c r="Z263" i="20"/>
  <c r="Z261" i="20"/>
  <c r="Z259" i="20"/>
  <c r="Z257" i="20"/>
  <c r="Z255" i="20"/>
  <c r="Z253" i="20"/>
  <c r="Z251" i="20"/>
  <c r="Z249" i="20"/>
  <c r="Z247" i="20"/>
  <c r="Z245" i="20"/>
  <c r="Z243" i="20"/>
  <c r="Z241" i="20"/>
  <c r="Z239" i="20"/>
  <c r="Z237" i="20"/>
  <c r="Z235" i="20"/>
  <c r="Z233" i="20"/>
  <c r="Z231" i="20"/>
  <c r="Z229" i="20"/>
  <c r="Z227" i="20"/>
  <c r="Z225" i="20"/>
  <c r="Z223" i="20"/>
  <c r="Z221" i="20"/>
  <c r="Z219" i="20"/>
  <c r="Z217" i="20"/>
  <c r="Z215" i="20"/>
  <c r="Z213" i="20"/>
  <c r="Z211" i="20"/>
  <c r="Z209" i="20"/>
  <c r="Z207" i="20"/>
  <c r="Z205" i="20"/>
  <c r="Z203" i="20"/>
  <c r="Z201" i="20"/>
  <c r="Z199" i="20"/>
  <c r="Z197" i="20"/>
  <c r="Z195" i="20"/>
  <c r="Z193" i="20"/>
  <c r="Z191" i="20"/>
  <c r="Z189" i="20"/>
  <c r="Z187" i="20"/>
  <c r="Z185" i="20"/>
  <c r="Z183" i="20"/>
  <c r="Z181" i="20"/>
  <c r="Z179" i="20"/>
  <c r="Z177" i="20"/>
  <c r="Z175" i="20"/>
  <c r="Z173" i="20"/>
  <c r="Z171" i="20"/>
  <c r="Z169" i="20"/>
  <c r="Z167" i="20"/>
  <c r="Z165" i="20"/>
  <c r="Z163" i="20"/>
  <c r="Z161" i="20"/>
  <c r="Z159" i="20"/>
  <c r="Z157" i="20"/>
  <c r="Z155" i="20"/>
  <c r="Z153" i="20"/>
  <c r="Z151" i="20"/>
  <c r="Z149" i="20"/>
  <c r="Z147" i="20"/>
  <c r="Z145" i="20"/>
  <c r="Z143" i="20"/>
  <c r="Z141" i="20"/>
  <c r="Z139" i="20"/>
  <c r="Z137" i="20"/>
  <c r="Z135" i="20"/>
  <c r="Z133" i="20"/>
  <c r="Z131" i="20"/>
  <c r="Z129" i="20"/>
  <c r="Z127" i="20"/>
  <c r="Z125" i="20"/>
  <c r="Z123" i="20"/>
  <c r="Z121" i="20"/>
  <c r="Z119" i="20"/>
  <c r="Z117" i="20"/>
  <c r="Z115" i="20"/>
  <c r="Z113" i="20"/>
  <c r="Z111" i="20"/>
  <c r="Z109" i="20"/>
  <c r="Z107" i="20"/>
  <c r="Z105" i="20"/>
  <c r="Z103" i="20"/>
  <c r="Z101" i="20"/>
  <c r="Z99" i="20"/>
  <c r="Z97" i="20"/>
  <c r="Z95" i="20"/>
  <c r="Z93" i="20"/>
  <c r="Z91" i="20"/>
  <c r="Z89" i="20"/>
  <c r="G370" i="20"/>
  <c r="G366" i="20"/>
  <c r="G362" i="20"/>
  <c r="G358" i="20"/>
  <c r="G354" i="20"/>
  <c r="G350" i="20"/>
  <c r="G346" i="20"/>
  <c r="G342" i="20"/>
  <c r="G338" i="20"/>
  <c r="G334" i="20"/>
  <c r="G330" i="20"/>
  <c r="G326" i="20"/>
  <c r="G322" i="20"/>
  <c r="G318" i="20"/>
  <c r="Z87" i="20"/>
  <c r="Z370" i="20"/>
  <c r="Z366" i="20"/>
  <c r="Z362" i="20"/>
  <c r="Z358" i="20"/>
  <c r="Z354" i="20"/>
  <c r="Z350" i="20"/>
  <c r="Z346" i="20"/>
  <c r="Z342" i="20"/>
  <c r="Z338" i="20"/>
  <c r="Z334" i="20"/>
  <c r="Z330" i="20"/>
  <c r="Z326" i="20"/>
  <c r="Z322" i="20"/>
  <c r="Z318" i="20"/>
  <c r="Z316" i="20"/>
  <c r="Z314" i="20"/>
  <c r="Z312" i="20"/>
  <c r="Z310" i="20"/>
  <c r="Z308" i="20"/>
  <c r="Z306" i="20"/>
  <c r="Z304" i="20"/>
  <c r="Z302" i="20"/>
  <c r="Z300" i="20"/>
  <c r="Z298" i="20"/>
  <c r="Z296" i="20"/>
  <c r="Z294" i="20"/>
  <c r="Z292" i="20"/>
  <c r="Z290" i="20"/>
  <c r="Z288" i="20"/>
  <c r="Z286" i="20"/>
  <c r="Z284" i="20"/>
  <c r="Z282" i="20"/>
  <c r="Z280" i="20"/>
  <c r="Z278" i="20"/>
  <c r="Z276" i="20"/>
  <c r="Z274" i="20"/>
  <c r="Z272" i="20"/>
  <c r="Z270" i="20"/>
  <c r="Z268" i="20"/>
  <c r="Z266" i="20"/>
  <c r="Z264" i="20"/>
  <c r="Z262" i="20"/>
  <c r="Z260" i="20"/>
  <c r="Z258" i="20"/>
  <c r="Z256" i="20"/>
  <c r="Z254" i="20"/>
  <c r="Z252" i="20"/>
  <c r="Z250" i="20"/>
  <c r="Z248" i="20"/>
  <c r="Z246" i="20"/>
  <c r="Z244" i="20"/>
  <c r="Z242" i="20"/>
  <c r="Z240" i="20"/>
  <c r="Z238" i="20"/>
  <c r="Z236" i="20"/>
  <c r="Z234" i="20"/>
  <c r="Z232" i="20"/>
  <c r="Z230" i="20"/>
  <c r="Z228" i="20"/>
  <c r="Z226" i="20"/>
  <c r="Z224" i="20"/>
  <c r="Z222" i="20"/>
  <c r="Z220" i="20"/>
  <c r="Z218" i="20"/>
  <c r="Z216" i="20"/>
  <c r="Z214" i="20"/>
  <c r="Z212" i="20"/>
  <c r="Z210" i="20"/>
  <c r="Z208" i="20"/>
  <c r="Z206" i="20"/>
  <c r="Z204" i="20"/>
  <c r="Z202" i="20"/>
  <c r="Z200" i="20"/>
  <c r="Z198" i="20"/>
  <c r="Z196" i="20"/>
  <c r="Z194" i="20"/>
  <c r="Z192" i="20"/>
  <c r="Z190" i="20"/>
  <c r="Z188" i="20"/>
  <c r="Z186" i="20"/>
  <c r="Z184" i="20"/>
  <c r="Z182" i="20"/>
  <c r="Z180" i="20"/>
  <c r="Z178" i="20"/>
  <c r="Z176" i="20"/>
  <c r="Z174" i="20"/>
  <c r="Z172" i="20"/>
  <c r="Z170" i="20"/>
  <c r="Z168" i="20"/>
  <c r="Z166" i="20"/>
  <c r="Z164" i="20"/>
  <c r="Z162" i="20"/>
  <c r="Z160" i="20"/>
  <c r="Z158" i="20"/>
  <c r="Z156" i="20"/>
  <c r="Z154" i="20"/>
  <c r="Z152" i="20"/>
  <c r="Z150" i="20"/>
  <c r="Z148" i="20"/>
  <c r="Z146" i="20"/>
  <c r="Z144" i="20"/>
  <c r="Z142" i="20"/>
  <c r="Z140" i="20"/>
  <c r="Z138" i="20"/>
  <c r="Z136" i="20"/>
  <c r="Z134" i="20"/>
  <c r="Z132" i="20"/>
  <c r="Z130" i="20"/>
  <c r="Z128" i="20"/>
  <c r="Z126" i="20"/>
  <c r="Z124" i="20"/>
  <c r="Z122" i="20"/>
  <c r="Z120" i="20"/>
  <c r="Z118" i="20"/>
  <c r="Z116" i="20"/>
  <c r="Z114" i="20"/>
  <c r="Z112" i="20"/>
  <c r="Z110" i="20"/>
  <c r="Z108" i="20"/>
  <c r="Z106" i="20"/>
  <c r="Z104" i="20"/>
  <c r="Z102" i="20"/>
  <c r="Z100" i="20"/>
  <c r="Z98" i="20"/>
  <c r="Z96" i="20"/>
  <c r="Z94" i="20"/>
  <c r="Z92" i="20"/>
  <c r="Z90" i="20"/>
  <c r="G373" i="20"/>
  <c r="G369" i="20"/>
  <c r="G365" i="20"/>
  <c r="G361" i="20"/>
  <c r="G357" i="20"/>
  <c r="G353" i="20"/>
  <c r="G349" i="20"/>
  <c r="G345" i="20"/>
  <c r="G341" i="20"/>
  <c r="G337" i="20"/>
  <c r="G333" i="20"/>
  <c r="G329" i="20"/>
  <c r="G325" i="20"/>
  <c r="G321" i="20"/>
  <c r="G317" i="20"/>
  <c r="G313" i="20"/>
  <c r="G309" i="20"/>
  <c r="G305" i="20"/>
  <c r="G301" i="20"/>
  <c r="G297" i="20"/>
  <c r="G293" i="20"/>
  <c r="G289" i="20"/>
  <c r="G285" i="20"/>
  <c r="G281" i="20"/>
  <c r="G277" i="20"/>
  <c r="G273" i="20"/>
  <c r="G269" i="20"/>
  <c r="G265" i="20"/>
  <c r="G261" i="20"/>
  <c r="G257" i="20"/>
  <c r="G253" i="20"/>
  <c r="G249" i="20"/>
  <c r="G245" i="20"/>
  <c r="G241" i="20"/>
  <c r="G237" i="20"/>
  <c r="G233" i="20"/>
  <c r="G229" i="20"/>
  <c r="G225" i="20"/>
  <c r="G221" i="20"/>
  <c r="G217" i="20"/>
  <c r="G213" i="20"/>
  <c r="G209" i="20"/>
  <c r="G205" i="20"/>
  <c r="G201" i="20"/>
  <c r="G197" i="20"/>
  <c r="G193" i="20"/>
  <c r="G189" i="20"/>
  <c r="G185" i="20"/>
  <c r="G181" i="20"/>
  <c r="G177" i="20"/>
  <c r="G173" i="20"/>
  <c r="G169" i="20"/>
  <c r="G165" i="20"/>
  <c r="G161" i="20"/>
  <c r="G157" i="20"/>
  <c r="G153" i="20"/>
  <c r="G149" i="20"/>
  <c r="G144" i="20"/>
  <c r="G136" i="20"/>
  <c r="G128" i="20"/>
  <c r="G120" i="20"/>
  <c r="G112" i="20"/>
  <c r="G104" i="20"/>
  <c r="G96" i="20"/>
  <c r="G88" i="20"/>
  <c r="G143" i="20"/>
  <c r="G139" i="20"/>
  <c r="G135" i="20"/>
  <c r="G131" i="20"/>
  <c r="G127" i="20"/>
  <c r="G123" i="20"/>
  <c r="G119" i="20"/>
  <c r="G115" i="20"/>
  <c r="G111" i="20"/>
  <c r="G107" i="20"/>
  <c r="G103" i="20"/>
  <c r="G99" i="20"/>
  <c r="G95" i="20"/>
  <c r="G91" i="20"/>
  <c r="G310" i="20"/>
  <c r="G304" i="20"/>
  <c r="G296" i="20"/>
  <c r="G288" i="20"/>
  <c r="G282" i="20"/>
  <c r="G274" i="20"/>
  <c r="G266" i="20"/>
  <c r="G260" i="20"/>
  <c r="G252" i="20"/>
  <c r="G244" i="20"/>
  <c r="G236" i="20"/>
  <c r="G228" i="20"/>
  <c r="G220" i="20"/>
  <c r="G212" i="20"/>
  <c r="G184" i="20"/>
  <c r="G316" i="20"/>
  <c r="G308" i="20"/>
  <c r="G298" i="20"/>
  <c r="G290" i="20"/>
  <c r="G280" i="20"/>
  <c r="G272" i="20"/>
  <c r="G262" i="20"/>
  <c r="G254" i="20"/>
  <c r="G246" i="20"/>
  <c r="G238" i="20"/>
  <c r="G230" i="20"/>
  <c r="G222" i="20"/>
  <c r="G214" i="20"/>
  <c r="G208" i="20"/>
  <c r="G202" i="20"/>
  <c r="G198" i="20"/>
  <c r="G194" i="20"/>
  <c r="G190" i="20"/>
  <c r="G186" i="20"/>
  <c r="G180" i="20"/>
  <c r="G176" i="20"/>
  <c r="G172" i="20"/>
  <c r="G168" i="20"/>
  <c r="G164" i="20"/>
  <c r="G160" i="20"/>
  <c r="G156" i="20"/>
  <c r="G152" i="20"/>
  <c r="G148" i="20"/>
  <c r="G142" i="20"/>
  <c r="G134" i="20"/>
  <c r="G126" i="20"/>
  <c r="G118" i="20"/>
  <c r="G110" i="20"/>
  <c r="G102" i="20"/>
  <c r="G94" i="20"/>
  <c r="Z373" i="20"/>
  <c r="Z369" i="20"/>
  <c r="Z365" i="20"/>
  <c r="Z361" i="20"/>
  <c r="Z357" i="20"/>
  <c r="Z353" i="20"/>
  <c r="Z349" i="20"/>
  <c r="Z345" i="20"/>
  <c r="Z341" i="20"/>
  <c r="Z337" i="20"/>
  <c r="Z333" i="20"/>
  <c r="Z329" i="20"/>
  <c r="Z325" i="20"/>
  <c r="Z321" i="20"/>
  <c r="Z317" i="20"/>
  <c r="G372" i="20"/>
  <c r="G368" i="20"/>
  <c r="G364" i="20"/>
  <c r="G360" i="20"/>
  <c r="G356" i="20"/>
  <c r="G352" i="20"/>
  <c r="G348" i="20"/>
  <c r="G344" i="20"/>
  <c r="G340" i="20"/>
  <c r="G336" i="20"/>
  <c r="G332" i="20"/>
  <c r="G328" i="20"/>
  <c r="G324" i="20"/>
  <c r="G320" i="20"/>
  <c r="Z372" i="20"/>
  <c r="Z368" i="20"/>
  <c r="Z364" i="20"/>
  <c r="Z360" i="20"/>
  <c r="Z356" i="20"/>
  <c r="Z352" i="20"/>
  <c r="Z348" i="20"/>
  <c r="Z344" i="20"/>
  <c r="Z340" i="20"/>
  <c r="Z336" i="20"/>
  <c r="Z332" i="20"/>
  <c r="Z328" i="20"/>
  <c r="Z324" i="20"/>
  <c r="Z320" i="20"/>
  <c r="Z88" i="20"/>
  <c r="G371" i="20"/>
  <c r="G367" i="20"/>
  <c r="G363" i="20"/>
  <c r="G359" i="20"/>
  <c r="G355" i="20"/>
  <c r="G351" i="20"/>
  <c r="G347" i="20"/>
  <c r="G343" i="20"/>
  <c r="G339" i="20"/>
  <c r="G335" i="20"/>
  <c r="G331" i="20"/>
  <c r="G327" i="20"/>
  <c r="G323" i="20"/>
  <c r="G319" i="20"/>
  <c r="G315" i="20"/>
  <c r="G311" i="20"/>
  <c r="G307" i="20"/>
  <c r="G303" i="20"/>
  <c r="G299" i="20"/>
  <c r="G295" i="20"/>
  <c r="G291" i="20"/>
  <c r="G287" i="20"/>
  <c r="G283" i="20"/>
  <c r="G279" i="20"/>
  <c r="G275" i="20"/>
  <c r="G271" i="20"/>
  <c r="G267" i="20"/>
  <c r="G263" i="20"/>
  <c r="G259" i="20"/>
  <c r="G255" i="20"/>
  <c r="G251" i="20"/>
  <c r="G247" i="20"/>
  <c r="G243" i="20"/>
  <c r="G239" i="20"/>
  <c r="G235" i="20"/>
  <c r="G231" i="20"/>
  <c r="G227" i="20"/>
  <c r="G223" i="20"/>
  <c r="G219" i="20"/>
  <c r="G215" i="20"/>
  <c r="G211" i="20"/>
  <c r="G207" i="20"/>
  <c r="G203" i="20"/>
  <c r="G199" i="20"/>
  <c r="G195" i="20"/>
  <c r="G191" i="20"/>
  <c r="G187" i="20"/>
  <c r="G183" i="20"/>
  <c r="G179" i="20"/>
  <c r="G175" i="20"/>
  <c r="G171" i="20"/>
  <c r="G167" i="20"/>
  <c r="G163" i="20"/>
  <c r="G159" i="20"/>
  <c r="G155" i="20"/>
  <c r="G151" i="20"/>
  <c r="G147" i="20"/>
  <c r="G140" i="20"/>
  <c r="G132" i="20"/>
  <c r="G124" i="20"/>
  <c r="G116" i="20"/>
  <c r="G108" i="20"/>
  <c r="G100" i="20"/>
  <c r="G92" i="20"/>
  <c r="G145" i="20"/>
  <c r="G141" i="20"/>
  <c r="G137" i="20"/>
  <c r="G133" i="20"/>
  <c r="G129" i="20"/>
  <c r="G125" i="20"/>
  <c r="G121" i="20"/>
  <c r="G117" i="20"/>
  <c r="G113" i="20"/>
  <c r="G109" i="20"/>
  <c r="G105" i="20"/>
  <c r="G101" i="20"/>
  <c r="G97" i="20"/>
  <c r="G93" i="20"/>
  <c r="B372" i="25"/>
  <c r="A372" i="25"/>
  <c r="W374" i="28"/>
  <c r="X5" i="28" s="1"/>
  <c r="P372" i="28"/>
  <c r="V373" i="28"/>
  <c r="P370" i="28"/>
  <c r="V371" i="28"/>
  <c r="P368" i="28"/>
  <c r="V369" i="28"/>
  <c r="P366" i="28"/>
  <c r="V367" i="28"/>
  <c r="P364" i="28"/>
  <c r="V365" i="28"/>
  <c r="P362" i="28"/>
  <c r="V363" i="28"/>
  <c r="P360" i="28"/>
  <c r="V361" i="28"/>
  <c r="P358" i="28"/>
  <c r="V359" i="28"/>
  <c r="V356" i="28"/>
  <c r="P355" i="28"/>
  <c r="V352" i="28"/>
  <c r="P351" i="28"/>
  <c r="V348" i="28"/>
  <c r="P347" i="28"/>
  <c r="V344" i="28"/>
  <c r="P343" i="28"/>
  <c r="V340" i="28"/>
  <c r="P339" i="28"/>
  <c r="V336" i="28"/>
  <c r="P335" i="28"/>
  <c r="V351" i="28"/>
  <c r="P350" i="28"/>
  <c r="V343" i="28"/>
  <c r="P342" i="28"/>
  <c r="V335" i="28"/>
  <c r="P334" i="28"/>
  <c r="V331" i="28"/>
  <c r="P330" i="28"/>
  <c r="V327" i="28"/>
  <c r="P326" i="28"/>
  <c r="V323" i="28"/>
  <c r="P322" i="28"/>
  <c r="V319" i="28"/>
  <c r="P318" i="28"/>
  <c r="V315" i="28"/>
  <c r="P314" i="28"/>
  <c r="V311" i="28"/>
  <c r="P310" i="28"/>
  <c r="V307" i="28"/>
  <c r="P306" i="28"/>
  <c r="V303" i="28"/>
  <c r="P302" i="28"/>
  <c r="V299" i="28"/>
  <c r="P298" i="28"/>
  <c r="V295" i="28"/>
  <c r="P294" i="28"/>
  <c r="V291" i="28"/>
  <c r="P290" i="28"/>
  <c r="V287" i="28"/>
  <c r="P286" i="28"/>
  <c r="V349" i="28"/>
  <c r="P348" i="28"/>
  <c r="V334" i="28"/>
  <c r="P333" i="28"/>
  <c r="V326" i="28"/>
  <c r="P325" i="28"/>
  <c r="V318" i="28"/>
  <c r="P317" i="28"/>
  <c r="V310" i="28"/>
  <c r="P309" i="28"/>
  <c r="V302" i="28"/>
  <c r="P301" i="28"/>
  <c r="V294" i="28"/>
  <c r="P293" i="28"/>
  <c r="V285" i="28"/>
  <c r="P284" i="28"/>
  <c r="V281" i="28"/>
  <c r="P280" i="28"/>
  <c r="V277" i="28"/>
  <c r="P276" i="28"/>
  <c r="V273" i="28"/>
  <c r="P272" i="28"/>
  <c r="V269" i="28"/>
  <c r="P268" i="28"/>
  <c r="V265" i="28"/>
  <c r="P264" i="28"/>
  <c r="V261" i="28"/>
  <c r="P260" i="28"/>
  <c r="V257" i="28"/>
  <c r="P256" i="28"/>
  <c r="V253" i="28"/>
  <c r="P252" i="28"/>
  <c r="V249" i="28"/>
  <c r="P248" i="28"/>
  <c r="V245" i="28"/>
  <c r="P244" i="28"/>
  <c r="V241" i="28"/>
  <c r="P240" i="28"/>
  <c r="V237" i="28"/>
  <c r="P236" i="28"/>
  <c r="V233" i="28"/>
  <c r="P232" i="28"/>
  <c r="V229" i="28"/>
  <c r="P228" i="28"/>
  <c r="V225" i="28"/>
  <c r="P224" i="28"/>
  <c r="V221" i="28"/>
  <c r="P220" i="28"/>
  <c r="V217" i="28"/>
  <c r="P216" i="28"/>
  <c r="V213" i="28"/>
  <c r="P212" i="28"/>
  <c r="V209" i="28"/>
  <c r="P208" i="28"/>
  <c r="V205" i="28"/>
  <c r="P204" i="28"/>
  <c r="V201" i="28"/>
  <c r="P200" i="28"/>
  <c r="V197" i="28"/>
  <c r="P196" i="28"/>
  <c r="V193" i="28"/>
  <c r="P192" i="28"/>
  <c r="V190" i="28"/>
  <c r="P189" i="28"/>
  <c r="P187" i="28"/>
  <c r="V188" i="28"/>
  <c r="P185" i="28"/>
  <c r="V186" i="28"/>
  <c r="P183" i="28"/>
  <c r="V184" i="28"/>
  <c r="P181" i="28"/>
  <c r="V182" i="28"/>
  <c r="P179" i="28"/>
  <c r="V180" i="28"/>
  <c r="P177" i="28"/>
  <c r="V178" i="28"/>
  <c r="P175" i="28"/>
  <c r="V176" i="28"/>
  <c r="P173" i="28"/>
  <c r="V174" i="28"/>
  <c r="P171" i="28"/>
  <c r="V172" i="28"/>
  <c r="P169" i="28"/>
  <c r="V170" i="28"/>
  <c r="P167" i="28"/>
  <c r="V168" i="28"/>
  <c r="P165" i="28"/>
  <c r="V166" i="28"/>
  <c r="P163" i="28"/>
  <c r="V164" i="28"/>
  <c r="P161" i="28"/>
  <c r="V162" i="28"/>
  <c r="P159" i="28"/>
  <c r="V160" i="28"/>
  <c r="P157" i="28"/>
  <c r="V158" i="28"/>
  <c r="P155" i="28"/>
  <c r="V156" i="28"/>
  <c r="P153" i="28"/>
  <c r="V154" i="28"/>
  <c r="P151" i="28"/>
  <c r="V152" i="28"/>
  <c r="P149" i="28"/>
  <c r="V150" i="28"/>
  <c r="P147" i="28"/>
  <c r="V148" i="28"/>
  <c r="P145" i="28"/>
  <c r="V146" i="28"/>
  <c r="P143" i="28"/>
  <c r="V144" i="28"/>
  <c r="P141" i="28"/>
  <c r="V142" i="28"/>
  <c r="P139" i="28"/>
  <c r="V140" i="28"/>
  <c r="P137" i="28"/>
  <c r="V138" i="28"/>
  <c r="P135" i="28"/>
  <c r="V136" i="28"/>
  <c r="P133" i="28"/>
  <c r="V134" i="28"/>
  <c r="P131" i="28"/>
  <c r="V132" i="28"/>
  <c r="P129" i="28"/>
  <c r="V130" i="28"/>
  <c r="P127" i="28"/>
  <c r="V128" i="28"/>
  <c r="P125" i="28"/>
  <c r="V126" i="28"/>
  <c r="P123" i="28"/>
  <c r="V124" i="28"/>
  <c r="P121" i="28"/>
  <c r="V122" i="28"/>
  <c r="P119" i="28"/>
  <c r="V120" i="28"/>
  <c r="P117" i="28"/>
  <c r="V118" i="28"/>
  <c r="P115" i="28"/>
  <c r="V116" i="28"/>
  <c r="P113" i="28"/>
  <c r="V114" i="28"/>
  <c r="P111" i="28"/>
  <c r="V112" i="28"/>
  <c r="P109" i="28"/>
  <c r="V110" i="28"/>
  <c r="P107" i="28"/>
  <c r="V108" i="28"/>
  <c r="P105" i="28"/>
  <c r="V106" i="28"/>
  <c r="P103" i="28"/>
  <c r="V104" i="28"/>
  <c r="P101" i="28"/>
  <c r="V102" i="28"/>
  <c r="P99" i="28"/>
  <c r="V100" i="28"/>
  <c r="P97" i="28"/>
  <c r="V98" i="28"/>
  <c r="P95" i="28"/>
  <c r="V96" i="28"/>
  <c r="P93" i="28"/>
  <c r="V94" i="28"/>
  <c r="P91" i="28"/>
  <c r="V92" i="28"/>
  <c r="P89" i="28"/>
  <c r="V90" i="28"/>
  <c r="P87" i="28"/>
  <c r="V88" i="28"/>
  <c r="P85" i="28"/>
  <c r="V86" i="28"/>
  <c r="P83" i="28"/>
  <c r="V84" i="28"/>
  <c r="P81" i="28"/>
  <c r="V82" i="28"/>
  <c r="P79" i="28"/>
  <c r="V80" i="28"/>
  <c r="P77" i="28"/>
  <c r="V78" i="28"/>
  <c r="P75" i="28"/>
  <c r="V76" i="28"/>
  <c r="P73" i="28"/>
  <c r="V74" i="28"/>
  <c r="P71" i="28"/>
  <c r="V72" i="28"/>
  <c r="P69" i="28"/>
  <c r="V70" i="28"/>
  <c r="P67" i="28"/>
  <c r="V68" i="28"/>
  <c r="P65" i="28"/>
  <c r="V66" i="28"/>
  <c r="P63" i="28"/>
  <c r="V64" i="28"/>
  <c r="P61" i="28"/>
  <c r="V62" i="28"/>
  <c r="P59" i="28"/>
  <c r="V60" i="28"/>
  <c r="P57" i="28"/>
  <c r="V58" i="28"/>
  <c r="P55" i="28"/>
  <c r="V56" i="28"/>
  <c r="P53" i="28"/>
  <c r="V54" i="28"/>
  <c r="P51" i="28"/>
  <c r="V52" i="28"/>
  <c r="P49" i="28"/>
  <c r="V50" i="28"/>
  <c r="P47" i="28"/>
  <c r="V48" i="28"/>
  <c r="P45" i="28"/>
  <c r="V46" i="28"/>
  <c r="P43" i="28"/>
  <c r="V44" i="28"/>
  <c r="P41" i="28"/>
  <c r="V42" i="28"/>
  <c r="P39" i="28"/>
  <c r="V40" i="28"/>
  <c r="P37" i="28"/>
  <c r="V38" i="28"/>
  <c r="P35" i="28"/>
  <c r="V36" i="28"/>
  <c r="P33" i="28"/>
  <c r="V34" i="28"/>
  <c r="P31" i="28"/>
  <c r="V32" i="28"/>
  <c r="P29" i="28"/>
  <c r="V30" i="28"/>
  <c r="P27" i="28"/>
  <c r="V28" i="28"/>
  <c r="P25" i="28"/>
  <c r="V26" i="28"/>
  <c r="P23" i="28"/>
  <c r="V24" i="28"/>
  <c r="P21" i="28"/>
  <c r="V22" i="28"/>
  <c r="P19" i="28"/>
  <c r="V20" i="28"/>
  <c r="P17" i="28"/>
  <c r="V18" i="28"/>
  <c r="P15" i="28"/>
  <c r="V16" i="28"/>
  <c r="P13" i="28"/>
  <c r="V14" i="28"/>
  <c r="P11" i="28"/>
  <c r="V12" i="28"/>
  <c r="P9" i="28"/>
  <c r="V10" i="28"/>
  <c r="V7" i="28"/>
  <c r="P6" i="28"/>
  <c r="V345" i="28"/>
  <c r="P344" i="28"/>
  <c r="V324" i="28"/>
  <c r="P323" i="28"/>
  <c r="V308" i="28"/>
  <c r="P307" i="28"/>
  <c r="V292" i="28"/>
  <c r="P291" i="28"/>
  <c r="V282" i="28"/>
  <c r="P281" i="28"/>
  <c r="V274" i="28"/>
  <c r="P273" i="28"/>
  <c r="V266" i="28"/>
  <c r="P265" i="28"/>
  <c r="V258" i="28"/>
  <c r="P257" i="28"/>
  <c r="V250" i="28"/>
  <c r="P249" i="28"/>
  <c r="V242" i="28"/>
  <c r="P241" i="28"/>
  <c r="V234" i="28"/>
  <c r="P233" i="28"/>
  <c r="V226" i="28"/>
  <c r="P225" i="28"/>
  <c r="V218" i="28"/>
  <c r="P217" i="28"/>
  <c r="V210" i="28"/>
  <c r="P209" i="28"/>
  <c r="V202" i="28"/>
  <c r="P201" i="28"/>
  <c r="V194" i="28"/>
  <c r="P193" i="28"/>
  <c r="V328" i="28"/>
  <c r="P327" i="28"/>
  <c r="V312" i="28"/>
  <c r="P311" i="28"/>
  <c r="V296" i="28"/>
  <c r="P295" i="28"/>
  <c r="V284" i="28"/>
  <c r="P283" i="28"/>
  <c r="V276" i="28"/>
  <c r="P275" i="28"/>
  <c r="V268" i="28"/>
  <c r="P267" i="28"/>
  <c r="V260" i="28"/>
  <c r="P259" i="28"/>
  <c r="V252" i="28"/>
  <c r="P251" i="28"/>
  <c r="V244" i="28"/>
  <c r="P243" i="28"/>
  <c r="V236" i="28"/>
  <c r="P235" i="28"/>
  <c r="V228" i="28"/>
  <c r="P227" i="28"/>
  <c r="V220" i="28"/>
  <c r="P219" i="28"/>
  <c r="V212" i="28"/>
  <c r="P211" i="28"/>
  <c r="V204" i="28"/>
  <c r="P203" i="28"/>
  <c r="V196" i="28"/>
  <c r="P195" i="28"/>
  <c r="V8" i="28"/>
  <c r="P7" i="28"/>
  <c r="P371" i="28"/>
  <c r="V372" i="28"/>
  <c r="P369" i="28"/>
  <c r="V370" i="28"/>
  <c r="P367" i="28"/>
  <c r="V368" i="28"/>
  <c r="P365" i="28"/>
  <c r="V366" i="28"/>
  <c r="P363" i="28"/>
  <c r="V364" i="28"/>
  <c r="P361" i="28"/>
  <c r="V362" i="28"/>
  <c r="P359" i="28"/>
  <c r="V360" i="28"/>
  <c r="V358" i="28"/>
  <c r="P357" i="28"/>
  <c r="V354" i="28"/>
  <c r="P353" i="28"/>
  <c r="V350" i="28"/>
  <c r="P349" i="28"/>
  <c r="V346" i="28"/>
  <c r="P345" i="28"/>
  <c r="V342" i="28"/>
  <c r="P341" i="28"/>
  <c r="V338" i="28"/>
  <c r="P337" i="28"/>
  <c r="V355" i="28"/>
  <c r="P354" i="28"/>
  <c r="V347" i="28"/>
  <c r="P346" i="28"/>
  <c r="V339" i="28"/>
  <c r="P338" i="28"/>
  <c r="V333" i="28"/>
  <c r="P332" i="28"/>
  <c r="V329" i="28"/>
  <c r="P328" i="28"/>
  <c r="V325" i="28"/>
  <c r="P324" i="28"/>
  <c r="V321" i="28"/>
  <c r="P320" i="28"/>
  <c r="V317" i="28"/>
  <c r="P316" i="28"/>
  <c r="V313" i="28"/>
  <c r="P312" i="28"/>
  <c r="V309" i="28"/>
  <c r="P308" i="28"/>
  <c r="V305" i="28"/>
  <c r="P304" i="28"/>
  <c r="V301" i="28"/>
  <c r="P300" i="28"/>
  <c r="V297" i="28"/>
  <c r="P296" i="28"/>
  <c r="V293" i="28"/>
  <c r="P292" i="28"/>
  <c r="V289" i="28"/>
  <c r="P288" i="28"/>
  <c r="V357" i="28"/>
  <c r="P356" i="28"/>
  <c r="V341" i="28"/>
  <c r="P340" i="28"/>
  <c r="V330" i="28"/>
  <c r="P329" i="28"/>
  <c r="V322" i="28"/>
  <c r="P321" i="28"/>
  <c r="V314" i="28"/>
  <c r="P313" i="28"/>
  <c r="V306" i="28"/>
  <c r="P305" i="28"/>
  <c r="V298" i="28"/>
  <c r="P297" i="28"/>
  <c r="V290" i="28"/>
  <c r="P289" i="28"/>
  <c r="V283" i="28"/>
  <c r="P282" i="28"/>
  <c r="V279" i="28"/>
  <c r="P278" i="28"/>
  <c r="V275" i="28"/>
  <c r="P274" i="28"/>
  <c r="V271" i="28"/>
  <c r="P270" i="28"/>
  <c r="V267" i="28"/>
  <c r="P266" i="28"/>
  <c r="V263" i="28"/>
  <c r="P262" i="28"/>
  <c r="V259" i="28"/>
  <c r="P258" i="28"/>
  <c r="V255" i="28"/>
  <c r="P254" i="28"/>
  <c r="V251" i="28"/>
  <c r="P250" i="28"/>
  <c r="V247" i="28"/>
  <c r="P246" i="28"/>
  <c r="V243" i="28"/>
  <c r="P242" i="28"/>
  <c r="V239" i="28"/>
  <c r="P238" i="28"/>
  <c r="V235" i="28"/>
  <c r="P234" i="28"/>
  <c r="V231" i="28"/>
  <c r="P230" i="28"/>
  <c r="V227" i="28"/>
  <c r="P226" i="28"/>
  <c r="V223" i="28"/>
  <c r="P222" i="28"/>
  <c r="V219" i="28"/>
  <c r="P218" i="28"/>
  <c r="V215" i="28"/>
  <c r="P214" i="28"/>
  <c r="V211" i="28"/>
  <c r="P210" i="28"/>
  <c r="V207" i="28"/>
  <c r="P206" i="28"/>
  <c r="V203" i="28"/>
  <c r="P202" i="28"/>
  <c r="V199" i="28"/>
  <c r="P198" i="28"/>
  <c r="V195" i="28"/>
  <c r="P194" i="28"/>
  <c r="V191" i="28"/>
  <c r="P190" i="28"/>
  <c r="V189" i="28"/>
  <c r="P188" i="28"/>
  <c r="P186" i="28"/>
  <c r="V187" i="28"/>
  <c r="P184" i="28"/>
  <c r="V185" i="28"/>
  <c r="P182" i="28"/>
  <c r="V183" i="28"/>
  <c r="P180" i="28"/>
  <c r="V181" i="28"/>
  <c r="P178" i="28"/>
  <c r="V179" i="28"/>
  <c r="P176" i="28"/>
  <c r="V177" i="28"/>
  <c r="P174" i="28"/>
  <c r="V175" i="28"/>
  <c r="P172" i="28"/>
  <c r="V173" i="28"/>
  <c r="P170" i="28"/>
  <c r="V171" i="28"/>
  <c r="P168" i="28"/>
  <c r="V169" i="28"/>
  <c r="P166" i="28"/>
  <c r="V167" i="28"/>
  <c r="P164" i="28"/>
  <c r="V165" i="28"/>
  <c r="P162" i="28"/>
  <c r="V163" i="28"/>
  <c r="P160" i="28"/>
  <c r="V161" i="28"/>
  <c r="P158" i="28"/>
  <c r="V159" i="28"/>
  <c r="P156" i="28"/>
  <c r="V157" i="28"/>
  <c r="P154" i="28"/>
  <c r="V155" i="28"/>
  <c r="P152" i="28"/>
  <c r="V153" i="28"/>
  <c r="P150" i="28"/>
  <c r="V151" i="28"/>
  <c r="P148" i="28"/>
  <c r="V149" i="28"/>
  <c r="P146" i="28"/>
  <c r="V147" i="28"/>
  <c r="P144" i="28"/>
  <c r="V145" i="28"/>
  <c r="P142" i="28"/>
  <c r="V143" i="28"/>
  <c r="P140" i="28"/>
  <c r="V141" i="28"/>
  <c r="P138" i="28"/>
  <c r="V139" i="28"/>
  <c r="P136" i="28"/>
  <c r="V137" i="28"/>
  <c r="P134" i="28"/>
  <c r="V135" i="28"/>
  <c r="P132" i="28"/>
  <c r="V133" i="28"/>
  <c r="P130" i="28"/>
  <c r="V131" i="28"/>
  <c r="P128" i="28"/>
  <c r="V129" i="28"/>
  <c r="P126" i="28"/>
  <c r="V127" i="28"/>
  <c r="P124" i="28"/>
  <c r="V125" i="28"/>
  <c r="P122" i="28"/>
  <c r="V123" i="28"/>
  <c r="P120" i="28"/>
  <c r="V121" i="28"/>
  <c r="P118" i="28"/>
  <c r="V119" i="28"/>
  <c r="P116" i="28"/>
  <c r="V117" i="28"/>
  <c r="P114" i="28"/>
  <c r="V115" i="28"/>
  <c r="P112" i="28"/>
  <c r="V113" i="28"/>
  <c r="P110" i="28"/>
  <c r="V111" i="28"/>
  <c r="P108" i="28"/>
  <c r="V109" i="28"/>
  <c r="P106" i="28"/>
  <c r="V107" i="28"/>
  <c r="P104" i="28"/>
  <c r="V105" i="28"/>
  <c r="P102" i="28"/>
  <c r="V103" i="28"/>
  <c r="P100" i="28"/>
  <c r="V101" i="28"/>
  <c r="P98" i="28"/>
  <c r="V99" i="28"/>
  <c r="P96" i="28"/>
  <c r="V97" i="28"/>
  <c r="P94" i="28"/>
  <c r="V95" i="28"/>
  <c r="P92" i="28"/>
  <c r="V93" i="28"/>
  <c r="P90" i="28"/>
  <c r="V91" i="28"/>
  <c r="P88" i="28"/>
  <c r="V89" i="28"/>
  <c r="P86" i="28"/>
  <c r="V87" i="28"/>
  <c r="P84" i="28"/>
  <c r="V85" i="28"/>
  <c r="P82" i="28"/>
  <c r="V83" i="28"/>
  <c r="P80" i="28"/>
  <c r="V81" i="28"/>
  <c r="P78" i="28"/>
  <c r="V79" i="28"/>
  <c r="P76" i="28"/>
  <c r="V77" i="28"/>
  <c r="P74" i="28"/>
  <c r="V75" i="28"/>
  <c r="P72" i="28"/>
  <c r="V73" i="28"/>
  <c r="P70" i="28"/>
  <c r="V71" i="28"/>
  <c r="P68" i="28"/>
  <c r="V69" i="28"/>
  <c r="P66" i="28"/>
  <c r="V67" i="28"/>
  <c r="P64" i="28"/>
  <c r="V65" i="28"/>
  <c r="P62" i="28"/>
  <c r="V63" i="28"/>
  <c r="P60" i="28"/>
  <c r="V61" i="28"/>
  <c r="P58" i="28"/>
  <c r="V59" i="28"/>
  <c r="P56" i="28"/>
  <c r="V57" i="28"/>
  <c r="P54" i="28"/>
  <c r="V55" i="28"/>
  <c r="P52" i="28"/>
  <c r="V53" i="28"/>
  <c r="P50" i="28"/>
  <c r="V51" i="28"/>
  <c r="P48" i="28"/>
  <c r="V49" i="28"/>
  <c r="P46" i="28"/>
  <c r="V47" i="28"/>
  <c r="P44" i="28"/>
  <c r="V45" i="28"/>
  <c r="P42" i="28"/>
  <c r="V43" i="28"/>
  <c r="P40" i="28"/>
  <c r="V41" i="28"/>
  <c r="P38" i="28"/>
  <c r="V39" i="28"/>
  <c r="P36" i="28"/>
  <c r="V37" i="28"/>
  <c r="P34" i="28"/>
  <c r="V35" i="28"/>
  <c r="P32" i="28"/>
  <c r="V33" i="28"/>
  <c r="P30" i="28"/>
  <c r="V31" i="28"/>
  <c r="P28" i="28"/>
  <c r="V29" i="28"/>
  <c r="P26" i="28"/>
  <c r="V27" i="28"/>
  <c r="P24" i="28"/>
  <c r="V25" i="28"/>
  <c r="P22" i="28"/>
  <c r="V23" i="28"/>
  <c r="P20" i="28"/>
  <c r="V21" i="28"/>
  <c r="P18" i="28"/>
  <c r="V19" i="28"/>
  <c r="P16" i="28"/>
  <c r="V17" i="28"/>
  <c r="P14" i="28"/>
  <c r="V15" i="28"/>
  <c r="P12" i="28"/>
  <c r="V13" i="28"/>
  <c r="P10" i="28"/>
  <c r="V11" i="28"/>
  <c r="P8" i="28"/>
  <c r="V9" i="28"/>
  <c r="V353" i="28"/>
  <c r="P352" i="28"/>
  <c r="V332" i="28"/>
  <c r="P331" i="28"/>
  <c r="V316" i="28"/>
  <c r="P315" i="28"/>
  <c r="V300" i="28"/>
  <c r="P299" i="28"/>
  <c r="V286" i="28"/>
  <c r="P285" i="28"/>
  <c r="V278" i="28"/>
  <c r="P277" i="28"/>
  <c r="V270" i="28"/>
  <c r="P269" i="28"/>
  <c r="V262" i="28"/>
  <c r="P261" i="28"/>
  <c r="V254" i="28"/>
  <c r="P253" i="28"/>
  <c r="V246" i="28"/>
  <c r="P245" i="28"/>
  <c r="V238" i="28"/>
  <c r="P237" i="28"/>
  <c r="V230" i="28"/>
  <c r="P229" i="28"/>
  <c r="V222" i="28"/>
  <c r="P221" i="28"/>
  <c r="V214" i="28"/>
  <c r="P213" i="28"/>
  <c r="V206" i="28"/>
  <c r="P205" i="28"/>
  <c r="V198" i="28"/>
  <c r="P197" i="28"/>
  <c r="V337" i="28"/>
  <c r="P336" i="28"/>
  <c r="V320" i="28"/>
  <c r="P319" i="28"/>
  <c r="V304" i="28"/>
  <c r="P303" i="28"/>
  <c r="V288" i="28"/>
  <c r="P287" i="28"/>
  <c r="V280" i="28"/>
  <c r="P279" i="28"/>
  <c r="V272" i="28"/>
  <c r="P271" i="28"/>
  <c r="V264" i="28"/>
  <c r="P263" i="28"/>
  <c r="V256" i="28"/>
  <c r="P255" i="28"/>
  <c r="V248" i="28"/>
  <c r="P247" i="28"/>
  <c r="V240" i="28"/>
  <c r="P239" i="28"/>
  <c r="V232" i="28"/>
  <c r="P231" i="28"/>
  <c r="V224" i="28"/>
  <c r="P223" i="28"/>
  <c r="V216" i="28"/>
  <c r="P215" i="28"/>
  <c r="V208" i="28"/>
  <c r="P207" i="28"/>
  <c r="V200" i="28"/>
  <c r="P199" i="28"/>
  <c r="V192" i="28"/>
  <c r="P191" i="28"/>
  <c r="O374" i="28"/>
  <c r="V6" i="28"/>
  <c r="M5" i="28"/>
  <c r="N5" i="28"/>
  <c r="P5" i="28"/>
  <c r="R3" i="25"/>
  <c r="Y5" i="27"/>
  <c r="AI9" i="27" s="1"/>
  <c r="AI11" i="27"/>
  <c r="P374" i="27"/>
  <c r="Q5" i="27" s="1"/>
  <c r="V5" i="27"/>
  <c r="V374" i="27" s="1"/>
  <c r="F23" i="20"/>
  <c r="H23" i="20" s="1"/>
  <c r="F31" i="20"/>
  <c r="I31" i="20" s="1"/>
  <c r="F12" i="20"/>
  <c r="H12" i="20" s="1"/>
  <c r="F28" i="20"/>
  <c r="I28" i="20" s="1"/>
  <c r="F44" i="20"/>
  <c r="H44" i="20" s="1"/>
  <c r="F60" i="20"/>
  <c r="I60" i="20" s="1"/>
  <c r="F51" i="20"/>
  <c r="H51" i="20" s="1"/>
  <c r="F67" i="20"/>
  <c r="I67" i="20" s="1"/>
  <c r="F9" i="20"/>
  <c r="I9" i="20" s="1"/>
  <c r="F25" i="20"/>
  <c r="I25" i="20" s="1"/>
  <c r="F41" i="20"/>
  <c r="F57" i="20"/>
  <c r="I57" i="20" s="1"/>
  <c r="F7" i="20"/>
  <c r="I7" i="20" s="1"/>
  <c r="F22" i="20"/>
  <c r="I22" i="20" s="1"/>
  <c r="F38" i="20"/>
  <c r="H38" i="20" s="1"/>
  <c r="F54" i="20"/>
  <c r="I54" i="20" s="1"/>
  <c r="F70" i="20"/>
  <c r="I70" i="20" s="1"/>
  <c r="F81" i="20"/>
  <c r="H81" i="20" s="1"/>
  <c r="F82" i="20"/>
  <c r="I82" i="20" s="1"/>
  <c r="G50" i="20"/>
  <c r="G74" i="20"/>
  <c r="H74" i="20" s="1"/>
  <c r="G76" i="20"/>
  <c r="Z75" i="20"/>
  <c r="G78" i="20"/>
  <c r="G6" i="20"/>
  <c r="Z11" i="20"/>
  <c r="Z15" i="20"/>
  <c r="Z19" i="20"/>
  <c r="Z23" i="20"/>
  <c r="Z27" i="20"/>
  <c r="Z31" i="20"/>
  <c r="Z35" i="20"/>
  <c r="Z39" i="20"/>
  <c r="Z43" i="20"/>
  <c r="Z47" i="20"/>
  <c r="Z51" i="20"/>
  <c r="Z55" i="20"/>
  <c r="Z59" i="20"/>
  <c r="Z63" i="20"/>
  <c r="Z67" i="20"/>
  <c r="Z71" i="20"/>
  <c r="G77" i="20"/>
  <c r="Z5" i="20"/>
  <c r="Z8" i="20"/>
  <c r="Z12" i="20"/>
  <c r="Z16" i="20"/>
  <c r="Z20" i="20"/>
  <c r="Z24" i="20"/>
  <c r="Z28" i="20"/>
  <c r="Z32" i="20"/>
  <c r="Z36" i="20"/>
  <c r="Z40" i="20"/>
  <c r="Z44" i="20"/>
  <c r="Z48" i="20"/>
  <c r="Z52" i="20"/>
  <c r="Z56" i="20"/>
  <c r="Z60" i="20"/>
  <c r="Z64" i="20"/>
  <c r="Z68" i="20"/>
  <c r="G73" i="20"/>
  <c r="H73" i="20" s="1"/>
  <c r="Z80" i="20"/>
  <c r="G9" i="20"/>
  <c r="G13" i="20"/>
  <c r="G17" i="20"/>
  <c r="H17" i="20" s="1"/>
  <c r="G21" i="20"/>
  <c r="G25" i="20"/>
  <c r="H25" i="20" s="1"/>
  <c r="G29" i="20"/>
  <c r="G33" i="20"/>
  <c r="G37" i="20"/>
  <c r="G41" i="20"/>
  <c r="G45" i="20"/>
  <c r="G49" i="20"/>
  <c r="H49" i="20" s="1"/>
  <c r="G53" i="20"/>
  <c r="G57" i="20"/>
  <c r="G61" i="20"/>
  <c r="G65" i="20"/>
  <c r="G69" i="20"/>
  <c r="Z79" i="20"/>
  <c r="G7" i="20"/>
  <c r="Z78" i="20"/>
  <c r="G84" i="20"/>
  <c r="Z81" i="20"/>
  <c r="Z85" i="20"/>
  <c r="G86" i="20"/>
  <c r="H86" i="20" s="1"/>
  <c r="Z38" i="20"/>
  <c r="Z22" i="20"/>
  <c r="G54" i="20"/>
  <c r="Z34" i="20"/>
  <c r="Z18" i="20"/>
  <c r="G70" i="20"/>
  <c r="G46" i="20"/>
  <c r="H46" i="20" s="1"/>
  <c r="G30" i="20"/>
  <c r="G14" i="20"/>
  <c r="H14" i="20" s="1"/>
  <c r="G5" i="20"/>
  <c r="G18" i="20"/>
  <c r="G80" i="20"/>
  <c r="Z58" i="20"/>
  <c r="Z46" i="20"/>
  <c r="F39" i="20"/>
  <c r="H39" i="20" s="1"/>
  <c r="F6" i="20"/>
  <c r="I6" i="20" s="1"/>
  <c r="F11" i="20"/>
  <c r="H11" i="20" s="1"/>
  <c r="F79" i="20"/>
  <c r="H79" i="20" s="1"/>
  <c r="F84" i="20"/>
  <c r="F47" i="20"/>
  <c r="H47" i="20" s="1"/>
  <c r="F15" i="20"/>
  <c r="H15" i="20" s="1"/>
  <c r="F35" i="20"/>
  <c r="H35" i="20" s="1"/>
  <c r="F8" i="20"/>
  <c r="I8" i="20" s="1"/>
  <c r="F16" i="20"/>
  <c r="I16" i="20" s="1"/>
  <c r="F24" i="20"/>
  <c r="H24" i="20" s="1"/>
  <c r="F32" i="20"/>
  <c r="I32" i="20" s="1"/>
  <c r="F40" i="20"/>
  <c r="I40" i="20" s="1"/>
  <c r="F48" i="20"/>
  <c r="I48" i="20" s="1"/>
  <c r="F56" i="20"/>
  <c r="I56" i="20" s="1"/>
  <c r="F64" i="20"/>
  <c r="I64" i="20" s="1"/>
  <c r="F72" i="20"/>
  <c r="I72" i="20" s="1"/>
  <c r="F55" i="20"/>
  <c r="H55" i="20" s="1"/>
  <c r="F63" i="20"/>
  <c r="H63" i="20" s="1"/>
  <c r="F71" i="20"/>
  <c r="I71" i="20" s="1"/>
  <c r="F76" i="20"/>
  <c r="F13" i="20"/>
  <c r="I13" i="20" s="1"/>
  <c r="F21" i="20"/>
  <c r="H21" i="20" s="1"/>
  <c r="F29" i="20"/>
  <c r="F37" i="20"/>
  <c r="I37" i="20" s="1"/>
  <c r="F45" i="20"/>
  <c r="I45" i="20" s="1"/>
  <c r="F53" i="20"/>
  <c r="F61" i="20"/>
  <c r="I61" i="20" s="1"/>
  <c r="F69" i="20"/>
  <c r="I69" i="20" s="1"/>
  <c r="F10" i="20"/>
  <c r="H10" i="20" s="1"/>
  <c r="F18" i="20"/>
  <c r="H18" i="20" s="1"/>
  <c r="F26" i="20"/>
  <c r="I26" i="20" s="1"/>
  <c r="F34" i="20"/>
  <c r="I34" i="20" s="1"/>
  <c r="F42" i="20"/>
  <c r="H42" i="20" s="1"/>
  <c r="F50" i="20"/>
  <c r="F58" i="20"/>
  <c r="I58" i="20" s="1"/>
  <c r="F66" i="20"/>
  <c r="H66" i="20" s="1"/>
  <c r="F80" i="20"/>
  <c r="I80" i="20" s="1"/>
  <c r="F77" i="20"/>
  <c r="F85" i="20"/>
  <c r="H85" i="20" s="1"/>
  <c r="F78" i="20"/>
  <c r="I78" i="20" s="1"/>
  <c r="R4" i="25"/>
  <c r="R8" i="25"/>
  <c r="R12" i="25"/>
  <c r="R16" i="25"/>
  <c r="R20" i="25"/>
  <c r="R24" i="25"/>
  <c r="R28" i="25"/>
  <c r="R32" i="25"/>
  <c r="R6" i="25"/>
  <c r="R10" i="25"/>
  <c r="R14" i="25"/>
  <c r="R18" i="25"/>
  <c r="R22" i="25"/>
  <c r="R26" i="25"/>
  <c r="R30" i="25"/>
  <c r="R34" i="25"/>
  <c r="R5" i="25"/>
  <c r="R7" i="25"/>
  <c r="R9" i="25"/>
  <c r="R11" i="25"/>
  <c r="R13" i="25"/>
  <c r="R15" i="25"/>
  <c r="R17" i="25"/>
  <c r="R19" i="25"/>
  <c r="R21" i="25"/>
  <c r="R23" i="25"/>
  <c r="R25" i="25"/>
  <c r="R27" i="25"/>
  <c r="R29" i="25"/>
  <c r="R31" i="25"/>
  <c r="R33" i="25"/>
  <c r="R35" i="25"/>
  <c r="R37" i="25"/>
  <c r="R39" i="25"/>
  <c r="R41" i="25"/>
  <c r="R43" i="25"/>
  <c r="R45" i="25"/>
  <c r="R47" i="25"/>
  <c r="R49" i="25"/>
  <c r="R51" i="25"/>
  <c r="R53" i="25"/>
  <c r="R55" i="25"/>
  <c r="R57" i="25"/>
  <c r="R59" i="25"/>
  <c r="R61" i="25"/>
  <c r="R63" i="25"/>
  <c r="R65" i="25"/>
  <c r="R67" i="25"/>
  <c r="R69" i="25"/>
  <c r="R71" i="25"/>
  <c r="R73" i="25"/>
  <c r="R75" i="25"/>
  <c r="R77" i="25"/>
  <c r="R79" i="25"/>
  <c r="R81" i="25"/>
  <c r="R83" i="25"/>
  <c r="R36" i="25"/>
  <c r="R38" i="25"/>
  <c r="R40" i="25"/>
  <c r="R42" i="25"/>
  <c r="R44" i="25"/>
  <c r="R46" i="25"/>
  <c r="R48" i="25"/>
  <c r="R50" i="25"/>
  <c r="R52" i="25"/>
  <c r="R54" i="25"/>
  <c r="R56" i="25"/>
  <c r="R58" i="25"/>
  <c r="R60" i="25"/>
  <c r="R62" i="25"/>
  <c r="R64" i="25"/>
  <c r="R66" i="25"/>
  <c r="R68" i="25"/>
  <c r="R70" i="25"/>
  <c r="R72" i="25"/>
  <c r="R74" i="25"/>
  <c r="R76" i="25"/>
  <c r="R78" i="25"/>
  <c r="R80" i="25"/>
  <c r="R82" i="25"/>
  <c r="R84" i="25"/>
  <c r="I51" i="20"/>
  <c r="H75" i="20"/>
  <c r="I30" i="20"/>
  <c r="I62" i="20"/>
  <c r="I73" i="20"/>
  <c r="I20" i="20"/>
  <c r="H20" i="20"/>
  <c r="I38" i="20"/>
  <c r="I27" i="20"/>
  <c r="H27" i="20"/>
  <c r="H19" i="20"/>
  <c r="H60" i="20"/>
  <c r="I59" i="20"/>
  <c r="H59" i="20"/>
  <c r="I41" i="20"/>
  <c r="I83" i="20"/>
  <c r="H83" i="20"/>
  <c r="I52" i="20"/>
  <c r="H52" i="20"/>
  <c r="I14" i="20"/>
  <c r="I46" i="20"/>
  <c r="I65" i="20"/>
  <c r="I36" i="20"/>
  <c r="H68" i="20"/>
  <c r="H67" i="20"/>
  <c r="I17" i="20"/>
  <c r="I49" i="20"/>
  <c r="I5" i="20"/>
  <c r="H71" i="20"/>
  <c r="H22" i="20"/>
  <c r="H54" i="20"/>
  <c r="I86" i="20"/>
  <c r="I43" i="20"/>
  <c r="H43" i="20"/>
  <c r="H58" i="20"/>
  <c r="B50" i="21"/>
  <c r="B49" i="21"/>
  <c r="B48" i="21"/>
  <c r="B47" i="21"/>
  <c r="B46" i="21"/>
  <c r="B45" i="21"/>
  <c r="B44" i="21"/>
  <c r="B43" i="21"/>
  <c r="B42" i="21"/>
  <c r="B41" i="21"/>
  <c r="B40" i="21"/>
  <c r="B39" i="21"/>
  <c r="B38" i="21"/>
  <c r="B37" i="21"/>
  <c r="B36" i="21"/>
  <c r="B35" i="21"/>
  <c r="B34" i="21"/>
  <c r="B33" i="21"/>
  <c r="B32" i="21"/>
  <c r="B31" i="21"/>
  <c r="B30" i="21"/>
  <c r="B29" i="21"/>
  <c r="B28" i="21"/>
  <c r="B27" i="21"/>
  <c r="B26" i="21"/>
  <c r="B25" i="21"/>
  <c r="B24" i="21"/>
  <c r="B23" i="21"/>
  <c r="B22" i="21"/>
  <c r="B21" i="21"/>
  <c r="B20" i="21"/>
  <c r="B19" i="21"/>
  <c r="B18" i="21"/>
  <c r="B17" i="21"/>
  <c r="B16" i="21"/>
  <c r="B15" i="21"/>
  <c r="B14" i="21"/>
  <c r="B13" i="21"/>
  <c r="B12" i="21"/>
  <c r="B11" i="21"/>
  <c r="B10" i="21"/>
  <c r="B9" i="21"/>
  <c r="B8" i="21"/>
  <c r="B7" i="21"/>
  <c r="B6" i="21"/>
  <c r="B5" i="21"/>
  <c r="B4" i="21"/>
  <c r="B3" i="21"/>
  <c r="B2" i="21"/>
  <c r="H57" i="20" l="1"/>
  <c r="I44" i="20"/>
  <c r="I12" i="20"/>
  <c r="I81" i="20"/>
  <c r="I39" i="20"/>
  <c r="H82" i="20"/>
  <c r="H84" i="20"/>
  <c r="H7" i="20"/>
  <c r="I42" i="20"/>
  <c r="I23" i="20"/>
  <c r="H48" i="20"/>
  <c r="H65" i="20"/>
  <c r="H64" i="20"/>
  <c r="H53" i="20"/>
  <c r="H31" i="20"/>
  <c r="H26" i="20"/>
  <c r="H32" i="20"/>
  <c r="I85" i="20"/>
  <c r="H28" i="20"/>
  <c r="I47" i="20"/>
  <c r="P374" i="28"/>
  <c r="Q5" i="28" s="1"/>
  <c r="H93" i="20"/>
  <c r="H101" i="20"/>
  <c r="H109" i="20"/>
  <c r="H117" i="20"/>
  <c r="H125" i="20"/>
  <c r="H133" i="20"/>
  <c r="H141" i="20"/>
  <c r="H287" i="20"/>
  <c r="H295" i="20"/>
  <c r="H303" i="20"/>
  <c r="H311" i="20"/>
  <c r="H319" i="20"/>
  <c r="H327" i="20"/>
  <c r="H335" i="20"/>
  <c r="H343" i="20"/>
  <c r="H351" i="20"/>
  <c r="H359" i="20"/>
  <c r="H367" i="20"/>
  <c r="H197" i="20"/>
  <c r="H285" i="20"/>
  <c r="H293" i="20"/>
  <c r="H301" i="20"/>
  <c r="H309" i="20"/>
  <c r="H317" i="20"/>
  <c r="H325" i="20"/>
  <c r="H333" i="20"/>
  <c r="H341" i="20"/>
  <c r="H349" i="20"/>
  <c r="H357" i="20"/>
  <c r="H365" i="20"/>
  <c r="H373" i="20"/>
  <c r="H87" i="20"/>
  <c r="H30" i="20"/>
  <c r="I53" i="20"/>
  <c r="H72" i="20"/>
  <c r="I11" i="20"/>
  <c r="I66" i="20"/>
  <c r="H34" i="20"/>
  <c r="H8" i="20"/>
  <c r="H69" i="20"/>
  <c r="I18" i="20"/>
  <c r="H6" i="20"/>
  <c r="H70" i="20"/>
  <c r="H41" i="20"/>
  <c r="H33" i="20"/>
  <c r="H9" i="20"/>
  <c r="H97" i="20"/>
  <c r="H105" i="20"/>
  <c r="H113" i="20"/>
  <c r="H121" i="20"/>
  <c r="H129" i="20"/>
  <c r="H137" i="20"/>
  <c r="H145" i="20"/>
  <c r="H283" i="20"/>
  <c r="H291" i="20"/>
  <c r="H299" i="20"/>
  <c r="H307" i="20"/>
  <c r="H315" i="20"/>
  <c r="H323" i="20"/>
  <c r="H331" i="20"/>
  <c r="H339" i="20"/>
  <c r="H347" i="20"/>
  <c r="H355" i="20"/>
  <c r="H363" i="20"/>
  <c r="H371" i="20"/>
  <c r="H153" i="20"/>
  <c r="H161" i="20"/>
  <c r="H169" i="20"/>
  <c r="H177" i="20"/>
  <c r="H185" i="20"/>
  <c r="H193" i="20"/>
  <c r="H289" i="20"/>
  <c r="H297" i="20"/>
  <c r="H305" i="20"/>
  <c r="H313" i="20"/>
  <c r="H321" i="20"/>
  <c r="H329" i="20"/>
  <c r="H337" i="20"/>
  <c r="H345" i="20"/>
  <c r="H353" i="20"/>
  <c r="H361" i="20"/>
  <c r="H369" i="20"/>
  <c r="H89" i="20"/>
  <c r="H80" i="20"/>
  <c r="I10" i="20"/>
  <c r="K316" i="25"/>
  <c r="K296" i="25"/>
  <c r="K280" i="25"/>
  <c r="K264" i="25"/>
  <c r="K248" i="25"/>
  <c r="K232" i="25"/>
  <c r="K216" i="25"/>
  <c r="K200" i="25"/>
  <c r="K183" i="25"/>
  <c r="K311" i="25"/>
  <c r="K279" i="25"/>
  <c r="K247" i="25"/>
  <c r="K215" i="25"/>
  <c r="K364" i="25"/>
  <c r="K322" i="25"/>
  <c r="K290" i="25"/>
  <c r="K258" i="25"/>
  <c r="K226" i="25"/>
  <c r="K194" i="25"/>
  <c r="K177" i="25"/>
  <c r="K169" i="25"/>
  <c r="K164" i="25"/>
  <c r="K160" i="25"/>
  <c r="K156" i="25"/>
  <c r="K152" i="25"/>
  <c r="K148" i="25"/>
  <c r="K144" i="25"/>
  <c r="K140" i="25"/>
  <c r="K136" i="25"/>
  <c r="K132" i="25"/>
  <c r="K128" i="25"/>
  <c r="K124" i="25"/>
  <c r="K120" i="25"/>
  <c r="K116" i="25"/>
  <c r="K112" i="25"/>
  <c r="K108" i="25"/>
  <c r="K104" i="25"/>
  <c r="K100" i="25"/>
  <c r="K96" i="25"/>
  <c r="K92" i="25"/>
  <c r="K88" i="25"/>
  <c r="K84" i="25"/>
  <c r="K80" i="25"/>
  <c r="K76" i="25"/>
  <c r="K72" i="25"/>
  <c r="K68" i="25"/>
  <c r="K64" i="25"/>
  <c r="K60" i="25"/>
  <c r="K56" i="25"/>
  <c r="K52" i="25"/>
  <c r="K48" i="25"/>
  <c r="K44" i="25"/>
  <c r="K40" i="25"/>
  <c r="K36" i="25"/>
  <c r="K32" i="25"/>
  <c r="K28" i="25"/>
  <c r="K24" i="25"/>
  <c r="K20" i="25"/>
  <c r="K16" i="25"/>
  <c r="K12" i="25"/>
  <c r="K8" i="25"/>
  <c r="K4" i="25"/>
  <c r="K333" i="25"/>
  <c r="K304" i="25"/>
  <c r="K288" i="25"/>
  <c r="K272" i="25"/>
  <c r="K256" i="25"/>
  <c r="K240" i="25"/>
  <c r="K224" i="25"/>
  <c r="K208" i="25"/>
  <c r="K192" i="25"/>
  <c r="K329" i="25"/>
  <c r="K295" i="25"/>
  <c r="K263" i="25"/>
  <c r="K231" i="25"/>
  <c r="K199" i="25"/>
  <c r="K338" i="25"/>
  <c r="K306" i="25"/>
  <c r="K274" i="25"/>
  <c r="K242" i="25"/>
  <c r="K182" i="25"/>
  <c r="K166" i="25"/>
  <c r="K158" i="25"/>
  <c r="K150" i="25"/>
  <c r="K142" i="25"/>
  <c r="K134" i="25"/>
  <c r="K126" i="25"/>
  <c r="K118" i="25"/>
  <c r="K110" i="25"/>
  <c r="K102" i="25"/>
  <c r="K94" i="25"/>
  <c r="K86" i="25"/>
  <c r="K78" i="25"/>
  <c r="K70" i="25"/>
  <c r="K62" i="25"/>
  <c r="K54" i="25"/>
  <c r="K46" i="25"/>
  <c r="K38" i="25"/>
  <c r="K30" i="25"/>
  <c r="K22" i="25"/>
  <c r="K14" i="25"/>
  <c r="K6" i="25"/>
  <c r="K210" i="25"/>
  <c r="K173" i="25"/>
  <c r="K162" i="25"/>
  <c r="K154" i="25"/>
  <c r="K146" i="25"/>
  <c r="K138" i="25"/>
  <c r="K130" i="25"/>
  <c r="K122" i="25"/>
  <c r="K114" i="25"/>
  <c r="K106" i="25"/>
  <c r="K98" i="25"/>
  <c r="K90" i="25"/>
  <c r="K82" i="25"/>
  <c r="K74" i="25"/>
  <c r="K66" i="25"/>
  <c r="K58" i="25"/>
  <c r="K50" i="25"/>
  <c r="K42" i="25"/>
  <c r="K34" i="25"/>
  <c r="K26" i="25"/>
  <c r="K18" i="25"/>
  <c r="K10" i="25"/>
  <c r="K348" i="25"/>
  <c r="K328" i="25"/>
  <c r="K312" i="25"/>
  <c r="K301" i="25"/>
  <c r="K293" i="25"/>
  <c r="K285" i="25"/>
  <c r="K277" i="25"/>
  <c r="K269" i="25"/>
  <c r="K261" i="25"/>
  <c r="K253" i="25"/>
  <c r="K245" i="25"/>
  <c r="K237" i="25"/>
  <c r="K229" i="25"/>
  <c r="K221" i="25"/>
  <c r="K213" i="25"/>
  <c r="K205" i="25"/>
  <c r="K197" i="25"/>
  <c r="K189" i="25"/>
  <c r="K181" i="25"/>
  <c r="K323" i="25"/>
  <c r="K307" i="25"/>
  <c r="K291" i="25"/>
  <c r="K275" i="25"/>
  <c r="K259" i="25"/>
  <c r="K243" i="25"/>
  <c r="K227" i="25"/>
  <c r="K211" i="25"/>
  <c r="K195" i="25"/>
  <c r="K354" i="25"/>
  <c r="K334" i="25"/>
  <c r="K318" i="25"/>
  <c r="K302" i="25"/>
  <c r="K286" i="25"/>
  <c r="K270" i="25"/>
  <c r="K254" i="25"/>
  <c r="K238" i="25"/>
  <c r="K222" i="25"/>
  <c r="K206" i="25"/>
  <c r="K190" i="25"/>
  <c r="K180" i="25"/>
  <c r="K176" i="25"/>
  <c r="K172" i="25"/>
  <c r="K168" i="25"/>
  <c r="K7" i="25"/>
  <c r="K11" i="25"/>
  <c r="K15" i="25"/>
  <c r="K19" i="25"/>
  <c r="K23" i="25"/>
  <c r="K27" i="25"/>
  <c r="K31" i="25"/>
  <c r="K35" i="25"/>
  <c r="K39" i="25"/>
  <c r="K43" i="25"/>
  <c r="K47" i="25"/>
  <c r="K51" i="25"/>
  <c r="K55" i="25"/>
  <c r="K59" i="25"/>
  <c r="K63" i="25"/>
  <c r="K67" i="25"/>
  <c r="K71" i="25"/>
  <c r="K75" i="25"/>
  <c r="K79" i="25"/>
  <c r="K83" i="25"/>
  <c r="K87" i="25"/>
  <c r="K91" i="25"/>
  <c r="K95" i="25"/>
  <c r="K99" i="25"/>
  <c r="K103" i="25"/>
  <c r="K107" i="25"/>
  <c r="K111" i="25"/>
  <c r="K115" i="25"/>
  <c r="K119" i="25"/>
  <c r="K123" i="25"/>
  <c r="K127" i="25"/>
  <c r="K131" i="25"/>
  <c r="K135" i="25"/>
  <c r="K139" i="25"/>
  <c r="K143" i="25"/>
  <c r="K147" i="25"/>
  <c r="K151" i="25"/>
  <c r="K155" i="25"/>
  <c r="K159" i="25"/>
  <c r="K163" i="25"/>
  <c r="K167" i="25"/>
  <c r="K175" i="25"/>
  <c r="K186" i="25"/>
  <c r="K218" i="25"/>
  <c r="K250" i="25"/>
  <c r="K282" i="25"/>
  <c r="K314" i="25"/>
  <c r="K346" i="25"/>
  <c r="K207" i="25"/>
  <c r="K239" i="25"/>
  <c r="K271" i="25"/>
  <c r="K303" i="25"/>
  <c r="K368" i="25"/>
  <c r="K196" i="25"/>
  <c r="K212" i="25"/>
  <c r="K228" i="25"/>
  <c r="K244" i="25"/>
  <c r="K260" i="25"/>
  <c r="K276" i="25"/>
  <c r="K292" i="25"/>
  <c r="K308" i="25"/>
  <c r="K358" i="25"/>
  <c r="K313" i="25"/>
  <c r="K321" i="25"/>
  <c r="K332" i="25"/>
  <c r="K370" i="25"/>
  <c r="K350" i="25"/>
  <c r="K327" i="25"/>
  <c r="K335" i="25"/>
  <c r="K337" i="25"/>
  <c r="K345" i="25"/>
  <c r="K360" i="25"/>
  <c r="K349" i="25"/>
  <c r="K353" i="25"/>
  <c r="K357" i="25"/>
  <c r="K362" i="25"/>
  <c r="K371" i="25"/>
  <c r="K363" i="25"/>
  <c r="K367" i="25"/>
  <c r="K340" i="25"/>
  <c r="K320" i="25"/>
  <c r="K305" i="25"/>
  <c r="K297" i="25"/>
  <c r="K289" i="25"/>
  <c r="K281" i="25"/>
  <c r="K273" i="25"/>
  <c r="K265" i="25"/>
  <c r="K257" i="25"/>
  <c r="K249" i="25"/>
  <c r="K241" i="25"/>
  <c r="K233" i="25"/>
  <c r="K225" i="25"/>
  <c r="K217" i="25"/>
  <c r="K209" i="25"/>
  <c r="K201" i="25"/>
  <c r="K193" i="25"/>
  <c r="K185" i="25"/>
  <c r="K339" i="25"/>
  <c r="K315" i="25"/>
  <c r="K299" i="25"/>
  <c r="K283" i="25"/>
  <c r="K267" i="25"/>
  <c r="K251" i="25"/>
  <c r="K235" i="25"/>
  <c r="K219" i="25"/>
  <c r="K203" i="25"/>
  <c r="K187" i="25"/>
  <c r="K342" i="25"/>
  <c r="K326" i="25"/>
  <c r="K310" i="25"/>
  <c r="K294" i="25"/>
  <c r="K278" i="25"/>
  <c r="K262" i="25"/>
  <c r="K246" i="25"/>
  <c r="K230" i="25"/>
  <c r="K214" i="25"/>
  <c r="K198" i="25"/>
  <c r="K184" i="25"/>
  <c r="K178" i="25"/>
  <c r="K174" i="25"/>
  <c r="K170" i="25"/>
  <c r="K5" i="25"/>
  <c r="K9" i="25"/>
  <c r="K13" i="25"/>
  <c r="K17" i="25"/>
  <c r="K21" i="25"/>
  <c r="K29" i="25"/>
  <c r="K37" i="25"/>
  <c r="K45" i="25"/>
  <c r="K53" i="25"/>
  <c r="K61" i="25"/>
  <c r="K69" i="25"/>
  <c r="K77" i="25"/>
  <c r="K85" i="25"/>
  <c r="K93" i="25"/>
  <c r="K101" i="25"/>
  <c r="K109" i="25"/>
  <c r="K117" i="25"/>
  <c r="K125" i="25"/>
  <c r="K133" i="25"/>
  <c r="K141" i="25"/>
  <c r="K149" i="25"/>
  <c r="K157" i="25"/>
  <c r="K165" i="25"/>
  <c r="K179" i="25"/>
  <c r="K234" i="25"/>
  <c r="K298" i="25"/>
  <c r="K191" i="25"/>
  <c r="K255" i="25"/>
  <c r="K319" i="25"/>
  <c r="K204" i="25"/>
  <c r="K236" i="25"/>
  <c r="K268" i="25"/>
  <c r="K300" i="25"/>
  <c r="K309" i="25"/>
  <c r="K325" i="25"/>
  <c r="K344" i="25"/>
  <c r="K331" i="25"/>
  <c r="K341" i="25"/>
  <c r="K347" i="25"/>
  <c r="K355" i="25"/>
  <c r="K366" i="25"/>
  <c r="K365" i="25"/>
  <c r="K25" i="25"/>
  <c r="K33" i="25"/>
  <c r="K41" i="25"/>
  <c r="K49" i="25"/>
  <c r="K57" i="25"/>
  <c r="K65" i="25"/>
  <c r="K73" i="25"/>
  <c r="K81" i="25"/>
  <c r="K89" i="25"/>
  <c r="K97" i="25"/>
  <c r="K105" i="25"/>
  <c r="K113" i="25"/>
  <c r="K121" i="25"/>
  <c r="K129" i="25"/>
  <c r="K137" i="25"/>
  <c r="K145" i="25"/>
  <c r="K153" i="25"/>
  <c r="K161" i="25"/>
  <c r="K171" i="25"/>
  <c r="K202" i="25"/>
  <c r="K266" i="25"/>
  <c r="K330" i="25"/>
  <c r="K223" i="25"/>
  <c r="K287" i="25"/>
  <c r="K188" i="25"/>
  <c r="K220" i="25"/>
  <c r="K252" i="25"/>
  <c r="K284" i="25"/>
  <c r="K324" i="25"/>
  <c r="K317" i="25"/>
  <c r="K336" i="25"/>
  <c r="K356" i="25"/>
  <c r="K343" i="25"/>
  <c r="K352" i="25"/>
  <c r="K351" i="25"/>
  <c r="K359" i="25"/>
  <c r="K361" i="25"/>
  <c r="K369" i="25"/>
  <c r="I91" i="20"/>
  <c r="H91" i="20"/>
  <c r="I99" i="20"/>
  <c r="H99" i="20"/>
  <c r="I107" i="20"/>
  <c r="H107" i="20"/>
  <c r="I115" i="20"/>
  <c r="H115" i="20"/>
  <c r="I123" i="20"/>
  <c r="H123" i="20"/>
  <c r="I131" i="20"/>
  <c r="H131" i="20"/>
  <c r="I139" i="20"/>
  <c r="H139" i="20"/>
  <c r="I147" i="20"/>
  <c r="H147" i="20"/>
  <c r="I155" i="20"/>
  <c r="H155" i="20"/>
  <c r="I163" i="20"/>
  <c r="H163" i="20"/>
  <c r="I171" i="20"/>
  <c r="H171" i="20"/>
  <c r="I179" i="20"/>
  <c r="H179" i="20"/>
  <c r="I187" i="20"/>
  <c r="H187" i="20"/>
  <c r="I195" i="20"/>
  <c r="H195" i="20"/>
  <c r="H203" i="20"/>
  <c r="I203" i="20"/>
  <c r="H211" i="20"/>
  <c r="I211" i="20"/>
  <c r="H219" i="20"/>
  <c r="I219" i="20"/>
  <c r="H227" i="20"/>
  <c r="I227" i="20"/>
  <c r="H235" i="20"/>
  <c r="I235" i="20"/>
  <c r="H243" i="20"/>
  <c r="I243" i="20"/>
  <c r="H251" i="20"/>
  <c r="I251" i="20"/>
  <c r="H259" i="20"/>
  <c r="I259" i="20"/>
  <c r="H267" i="20"/>
  <c r="I267" i="20"/>
  <c r="H275" i="20"/>
  <c r="I275" i="20"/>
  <c r="H102" i="20"/>
  <c r="I102" i="20"/>
  <c r="H120" i="20"/>
  <c r="I120" i="20"/>
  <c r="H134" i="20"/>
  <c r="I134" i="20"/>
  <c r="H142" i="20"/>
  <c r="I142" i="20"/>
  <c r="H150" i="20"/>
  <c r="I150" i="20"/>
  <c r="H158" i="20"/>
  <c r="I158" i="20"/>
  <c r="H166" i="20"/>
  <c r="I166" i="20"/>
  <c r="H174" i="20"/>
  <c r="I174" i="20"/>
  <c r="H182" i="20"/>
  <c r="I182" i="20"/>
  <c r="H190" i="20"/>
  <c r="I190" i="20"/>
  <c r="H198" i="20"/>
  <c r="I198" i="20"/>
  <c r="H206" i="20"/>
  <c r="I206" i="20"/>
  <c r="H214" i="20"/>
  <c r="I214" i="20"/>
  <c r="H222" i="20"/>
  <c r="I222" i="20"/>
  <c r="H230" i="20"/>
  <c r="I230" i="20"/>
  <c r="H238" i="20"/>
  <c r="I238" i="20"/>
  <c r="H246" i="20"/>
  <c r="I246" i="20"/>
  <c r="H254" i="20"/>
  <c r="I254" i="20"/>
  <c r="H262" i="20"/>
  <c r="I262" i="20"/>
  <c r="H270" i="20"/>
  <c r="I270" i="20"/>
  <c r="H278" i="20"/>
  <c r="I278" i="20"/>
  <c r="I286" i="20"/>
  <c r="H286" i="20"/>
  <c r="I294" i="20"/>
  <c r="H294" i="20"/>
  <c r="I302" i="20"/>
  <c r="H302" i="20"/>
  <c r="I310" i="20"/>
  <c r="H310" i="20"/>
  <c r="I318" i="20"/>
  <c r="H318" i="20"/>
  <c r="I326" i="20"/>
  <c r="H326" i="20"/>
  <c r="I334" i="20"/>
  <c r="H334" i="20"/>
  <c r="I342" i="20"/>
  <c r="H342" i="20"/>
  <c r="I350" i="20"/>
  <c r="H350" i="20"/>
  <c r="I358" i="20"/>
  <c r="H358" i="20"/>
  <c r="I366" i="20"/>
  <c r="H366" i="20"/>
  <c r="H132" i="20"/>
  <c r="I132" i="20"/>
  <c r="H98" i="20"/>
  <c r="I98" i="20"/>
  <c r="H116" i="20"/>
  <c r="I116" i="20"/>
  <c r="H201" i="20"/>
  <c r="I201" i="20"/>
  <c r="H209" i="20"/>
  <c r="I209" i="20"/>
  <c r="H217" i="20"/>
  <c r="I217" i="20"/>
  <c r="H225" i="20"/>
  <c r="I225" i="20"/>
  <c r="H233" i="20"/>
  <c r="I233" i="20"/>
  <c r="H241" i="20"/>
  <c r="I241" i="20"/>
  <c r="H249" i="20"/>
  <c r="I249" i="20"/>
  <c r="H257" i="20"/>
  <c r="I257" i="20"/>
  <c r="H265" i="20"/>
  <c r="I265" i="20"/>
  <c r="H273" i="20"/>
  <c r="I273" i="20"/>
  <c r="H281" i="20"/>
  <c r="I281" i="20"/>
  <c r="H88" i="20"/>
  <c r="I88" i="20"/>
  <c r="H106" i="20"/>
  <c r="I106" i="20"/>
  <c r="H124" i="20"/>
  <c r="I124" i="20"/>
  <c r="H136" i="20"/>
  <c r="I136" i="20"/>
  <c r="H144" i="20"/>
  <c r="I144" i="20"/>
  <c r="H152" i="20"/>
  <c r="I152" i="20"/>
  <c r="H160" i="20"/>
  <c r="I160" i="20"/>
  <c r="H168" i="20"/>
  <c r="I168" i="20"/>
  <c r="H176" i="20"/>
  <c r="I176" i="20"/>
  <c r="H184" i="20"/>
  <c r="I184" i="20"/>
  <c r="H192" i="20"/>
  <c r="I192" i="20"/>
  <c r="H200" i="20"/>
  <c r="I200" i="20"/>
  <c r="H208" i="20"/>
  <c r="I208" i="20"/>
  <c r="H216" i="20"/>
  <c r="I216" i="20"/>
  <c r="H224" i="20"/>
  <c r="I224" i="20"/>
  <c r="H232" i="20"/>
  <c r="I232" i="20"/>
  <c r="H240" i="20"/>
  <c r="I240" i="20"/>
  <c r="H248" i="20"/>
  <c r="I248" i="20"/>
  <c r="H256" i="20"/>
  <c r="I256" i="20"/>
  <c r="H264" i="20"/>
  <c r="I264" i="20"/>
  <c r="H272" i="20"/>
  <c r="I272" i="20"/>
  <c r="H280" i="20"/>
  <c r="I280" i="20"/>
  <c r="I288" i="20"/>
  <c r="H288" i="20"/>
  <c r="I296" i="20"/>
  <c r="H296" i="20"/>
  <c r="I304" i="20"/>
  <c r="H304" i="20"/>
  <c r="I312" i="20"/>
  <c r="H312" i="20"/>
  <c r="I320" i="20"/>
  <c r="H320" i="20"/>
  <c r="I328" i="20"/>
  <c r="H328" i="20"/>
  <c r="I336" i="20"/>
  <c r="H336" i="20"/>
  <c r="I344" i="20"/>
  <c r="H344" i="20"/>
  <c r="I352" i="20"/>
  <c r="H352" i="20"/>
  <c r="I360" i="20"/>
  <c r="H360" i="20"/>
  <c r="I368" i="20"/>
  <c r="H368" i="20"/>
  <c r="H118" i="20"/>
  <c r="I118" i="20"/>
  <c r="H90" i="20"/>
  <c r="I90" i="20"/>
  <c r="H108" i="20"/>
  <c r="I108" i="20"/>
  <c r="I95" i="20"/>
  <c r="H95" i="20"/>
  <c r="I103" i="20"/>
  <c r="H103" i="20"/>
  <c r="I111" i="20"/>
  <c r="H111" i="20"/>
  <c r="I119" i="20"/>
  <c r="H119" i="20"/>
  <c r="I127" i="20"/>
  <c r="H127" i="20"/>
  <c r="I135" i="20"/>
  <c r="H135" i="20"/>
  <c r="I143" i="20"/>
  <c r="H143" i="20"/>
  <c r="I151" i="20"/>
  <c r="H151" i="20"/>
  <c r="I159" i="20"/>
  <c r="H159" i="20"/>
  <c r="I167" i="20"/>
  <c r="H167" i="20"/>
  <c r="I175" i="20"/>
  <c r="H175" i="20"/>
  <c r="I183" i="20"/>
  <c r="H183" i="20"/>
  <c r="I191" i="20"/>
  <c r="H191" i="20"/>
  <c r="H199" i="20"/>
  <c r="I199" i="20"/>
  <c r="H207" i="20"/>
  <c r="I207" i="20"/>
  <c r="H215" i="20"/>
  <c r="I215" i="20"/>
  <c r="H223" i="20"/>
  <c r="I223" i="20"/>
  <c r="H231" i="20"/>
  <c r="I231" i="20"/>
  <c r="H239" i="20"/>
  <c r="I239" i="20"/>
  <c r="H247" i="20"/>
  <c r="I247" i="20"/>
  <c r="H255" i="20"/>
  <c r="I255" i="20"/>
  <c r="H263" i="20"/>
  <c r="I263" i="20"/>
  <c r="H271" i="20"/>
  <c r="I271" i="20"/>
  <c r="H279" i="20"/>
  <c r="I279" i="20"/>
  <c r="H92" i="20"/>
  <c r="I92" i="20"/>
  <c r="H110" i="20"/>
  <c r="I110" i="20"/>
  <c r="H128" i="20"/>
  <c r="I128" i="20"/>
  <c r="H138" i="20"/>
  <c r="I138" i="20"/>
  <c r="H146" i="20"/>
  <c r="I146" i="20"/>
  <c r="H154" i="20"/>
  <c r="I154" i="20"/>
  <c r="H162" i="20"/>
  <c r="I162" i="20"/>
  <c r="H170" i="20"/>
  <c r="I170" i="20"/>
  <c r="H178" i="20"/>
  <c r="I178" i="20"/>
  <c r="H186" i="20"/>
  <c r="I186" i="20"/>
  <c r="H194" i="20"/>
  <c r="I194" i="20"/>
  <c r="H202" i="20"/>
  <c r="I202" i="20"/>
  <c r="H210" i="20"/>
  <c r="I210" i="20"/>
  <c r="H218" i="20"/>
  <c r="I218" i="20"/>
  <c r="H226" i="20"/>
  <c r="I226" i="20"/>
  <c r="H234" i="20"/>
  <c r="I234" i="20"/>
  <c r="H242" i="20"/>
  <c r="I242" i="20"/>
  <c r="H250" i="20"/>
  <c r="I250" i="20"/>
  <c r="H258" i="20"/>
  <c r="I258" i="20"/>
  <c r="H266" i="20"/>
  <c r="I266" i="20"/>
  <c r="H274" i="20"/>
  <c r="I274" i="20"/>
  <c r="H282" i="20"/>
  <c r="I282" i="20"/>
  <c r="I290" i="20"/>
  <c r="H290" i="20"/>
  <c r="I298" i="20"/>
  <c r="H298" i="20"/>
  <c r="I306" i="20"/>
  <c r="H306" i="20"/>
  <c r="I314" i="20"/>
  <c r="H314" i="20"/>
  <c r="I322" i="20"/>
  <c r="H322" i="20"/>
  <c r="I330" i="20"/>
  <c r="H330" i="20"/>
  <c r="I338" i="20"/>
  <c r="H338" i="20"/>
  <c r="I346" i="20"/>
  <c r="H346" i="20"/>
  <c r="I354" i="20"/>
  <c r="H354" i="20"/>
  <c r="I362" i="20"/>
  <c r="H362" i="20"/>
  <c r="I370" i="20"/>
  <c r="H370" i="20"/>
  <c r="H112" i="20"/>
  <c r="I112" i="20"/>
  <c r="H126" i="20"/>
  <c r="I126" i="20"/>
  <c r="H100" i="20"/>
  <c r="I100" i="20"/>
  <c r="I149" i="20"/>
  <c r="H149" i="20"/>
  <c r="I157" i="20"/>
  <c r="H157" i="20"/>
  <c r="I165" i="20"/>
  <c r="H165" i="20"/>
  <c r="I173" i="20"/>
  <c r="H173" i="20"/>
  <c r="I181" i="20"/>
  <c r="H181" i="20"/>
  <c r="I189" i="20"/>
  <c r="H189" i="20"/>
  <c r="H205" i="20"/>
  <c r="I205" i="20"/>
  <c r="H213" i="20"/>
  <c r="I213" i="20"/>
  <c r="H221" i="20"/>
  <c r="I221" i="20"/>
  <c r="H229" i="20"/>
  <c r="I229" i="20"/>
  <c r="H237" i="20"/>
  <c r="I237" i="20"/>
  <c r="H245" i="20"/>
  <c r="I245" i="20"/>
  <c r="H253" i="20"/>
  <c r="I253" i="20"/>
  <c r="H261" i="20"/>
  <c r="I261" i="20"/>
  <c r="H269" i="20"/>
  <c r="I269" i="20"/>
  <c r="H277" i="20"/>
  <c r="I277" i="20"/>
  <c r="H96" i="20"/>
  <c r="I96" i="20"/>
  <c r="H114" i="20"/>
  <c r="I114" i="20"/>
  <c r="H130" i="20"/>
  <c r="I130" i="20"/>
  <c r="H140" i="20"/>
  <c r="I140" i="20"/>
  <c r="H148" i="20"/>
  <c r="I148" i="20"/>
  <c r="H156" i="20"/>
  <c r="I156" i="20"/>
  <c r="H164" i="20"/>
  <c r="I164" i="20"/>
  <c r="H172" i="20"/>
  <c r="I172" i="20"/>
  <c r="H180" i="20"/>
  <c r="I180" i="20"/>
  <c r="H188" i="20"/>
  <c r="I188" i="20"/>
  <c r="H196" i="20"/>
  <c r="I196" i="20"/>
  <c r="H204" i="20"/>
  <c r="I204" i="20"/>
  <c r="H212" i="20"/>
  <c r="I212" i="20"/>
  <c r="H220" i="20"/>
  <c r="I220" i="20"/>
  <c r="H228" i="20"/>
  <c r="I228" i="20"/>
  <c r="H236" i="20"/>
  <c r="I236" i="20"/>
  <c r="H244" i="20"/>
  <c r="I244" i="20"/>
  <c r="H252" i="20"/>
  <c r="I252" i="20"/>
  <c r="H260" i="20"/>
  <c r="I260" i="20"/>
  <c r="H268" i="20"/>
  <c r="I268" i="20"/>
  <c r="H276" i="20"/>
  <c r="I276" i="20"/>
  <c r="I284" i="20"/>
  <c r="H284" i="20"/>
  <c r="I292" i="20"/>
  <c r="H292" i="20"/>
  <c r="I300" i="20"/>
  <c r="H300" i="20"/>
  <c r="I308" i="20"/>
  <c r="H308" i="20"/>
  <c r="I316" i="20"/>
  <c r="H316" i="20"/>
  <c r="I324" i="20"/>
  <c r="H324" i="20"/>
  <c r="I332" i="20"/>
  <c r="H332" i="20"/>
  <c r="I340" i="20"/>
  <c r="H340" i="20"/>
  <c r="I348" i="20"/>
  <c r="H348" i="20"/>
  <c r="I356" i="20"/>
  <c r="H356" i="20"/>
  <c r="I364" i="20"/>
  <c r="H364" i="20"/>
  <c r="I372" i="20"/>
  <c r="H372" i="20"/>
  <c r="H104" i="20"/>
  <c r="I104" i="20"/>
  <c r="H122" i="20"/>
  <c r="I122" i="20"/>
  <c r="H94" i="20"/>
  <c r="I94" i="20"/>
  <c r="S5" i="28"/>
  <c r="R5" i="28"/>
  <c r="S6" i="28" s="1"/>
  <c r="AJ11" i="28"/>
  <c r="V5" i="28"/>
  <c r="V374" i="28" s="1"/>
  <c r="Y5" i="28"/>
  <c r="AI9" i="28" s="1"/>
  <c r="AI11" i="28"/>
  <c r="S5" i="27"/>
  <c r="R5" i="27"/>
  <c r="AJ11" i="27"/>
  <c r="H61" i="20"/>
  <c r="H45" i="20"/>
  <c r="H29" i="20"/>
  <c r="H13" i="20"/>
  <c r="H5" i="20"/>
  <c r="G374" i="20"/>
  <c r="F374" i="20"/>
  <c r="I55" i="20"/>
  <c r="I29" i="20"/>
  <c r="H16" i="20"/>
  <c r="I35" i="20"/>
  <c r="I79" i="20"/>
  <c r="H78" i="20"/>
  <c r="H77" i="20"/>
  <c r="H50" i="20"/>
  <c r="H76" i="20"/>
  <c r="H56" i="20"/>
  <c r="I76" i="20"/>
  <c r="I21" i="20"/>
  <c r="H40" i="20"/>
  <c r="I24" i="20"/>
  <c r="I50" i="20"/>
  <c r="I15" i="20"/>
  <c r="I63" i="20"/>
  <c r="I84" i="20"/>
  <c r="I77" i="20"/>
  <c r="H37" i="20"/>
  <c r="R372" i="25"/>
  <c r="AB5" i="28" l="1"/>
  <c r="AI10" i="28" s="1"/>
  <c r="I374" i="20"/>
  <c r="U5" i="28"/>
  <c r="AJ8" i="28" s="1"/>
  <c r="T5" i="28"/>
  <c r="AI8" i="28" s="1"/>
  <c r="AJ9" i="28"/>
  <c r="U5" i="27"/>
  <c r="AJ8" i="27" s="1"/>
  <c r="T5" i="27"/>
  <c r="AI8" i="27" s="1"/>
  <c r="AJ9" i="27"/>
  <c r="S6" i="27"/>
  <c r="AB5" i="27"/>
  <c r="H374" i="20"/>
  <c r="Z374" i="20"/>
  <c r="AA5" i="20" s="1"/>
  <c r="AD5" i="28" l="1"/>
  <c r="J5" i="20"/>
  <c r="AI7" i="20" s="1"/>
  <c r="AD5" i="27"/>
  <c r="AI10" i="27"/>
  <c r="K5" i="20" l="1"/>
  <c r="L50" i="20" s="1"/>
  <c r="L309" i="20" l="1"/>
  <c r="L311" i="20"/>
  <c r="L57" i="20"/>
  <c r="L56" i="20"/>
  <c r="W56" i="20" s="1"/>
  <c r="L185" i="20"/>
  <c r="L109" i="20"/>
  <c r="L25" i="20"/>
  <c r="W25" i="20" s="1"/>
  <c r="L372" i="20"/>
  <c r="L328" i="20"/>
  <c r="L45" i="20"/>
  <c r="L319" i="20"/>
  <c r="L356" i="20"/>
  <c r="L312" i="20"/>
  <c r="L77" i="20"/>
  <c r="W77" i="20" s="1"/>
  <c r="L129" i="20"/>
  <c r="W129" i="20" s="1"/>
  <c r="L340" i="20"/>
  <c r="L286" i="20"/>
  <c r="L254" i="20"/>
  <c r="L80" i="20"/>
  <c r="L113" i="20"/>
  <c r="L277" i="20"/>
  <c r="L191" i="20"/>
  <c r="W191" i="20" s="1"/>
  <c r="L23" i="20"/>
  <c r="W23" i="20" s="1"/>
  <c r="L343" i="20"/>
  <c r="L237" i="20"/>
  <c r="L240" i="20"/>
  <c r="L14" i="20"/>
  <c r="L283" i="20"/>
  <c r="L173" i="20"/>
  <c r="L112" i="20"/>
  <c r="W112" i="20" s="1"/>
  <c r="O56" i="20"/>
  <c r="V57" i="20" s="1"/>
  <c r="L32" i="20"/>
  <c r="L361" i="20"/>
  <c r="L359" i="20"/>
  <c r="L364" i="20"/>
  <c r="L261" i="20"/>
  <c r="L320" i="20"/>
  <c r="L127" i="20"/>
  <c r="W127" i="20" s="1"/>
  <c r="L82" i="20"/>
  <c r="W82" i="20" s="1"/>
  <c r="L66" i="20"/>
  <c r="L255" i="20"/>
  <c r="L315" i="20"/>
  <c r="L348" i="20"/>
  <c r="L205" i="20"/>
  <c r="L302" i="20"/>
  <c r="L208" i="20"/>
  <c r="W208" i="20" s="1"/>
  <c r="L176" i="20"/>
  <c r="W176" i="20" s="1"/>
  <c r="L39" i="20"/>
  <c r="L44" i="20"/>
  <c r="O44" i="20" s="1"/>
  <c r="L357" i="20"/>
  <c r="L249" i="20"/>
  <c r="L325" i="20"/>
  <c r="L141" i="20"/>
  <c r="L270" i="20"/>
  <c r="W270" i="20" s="1"/>
  <c r="L144" i="20"/>
  <c r="L22" i="20"/>
  <c r="L19" i="20"/>
  <c r="W19" i="20" s="1"/>
  <c r="L241" i="20"/>
  <c r="L121" i="20"/>
  <c r="L293" i="20"/>
  <c r="L336" i="20"/>
  <c r="L223" i="20"/>
  <c r="W223" i="20" s="1"/>
  <c r="L73" i="20"/>
  <c r="W73" i="20" s="1"/>
  <c r="W50" i="20"/>
  <c r="O50" i="20"/>
  <c r="L159" i="20"/>
  <c r="L95" i="20"/>
  <c r="L224" i="20"/>
  <c r="L192" i="20"/>
  <c r="W192" i="20" s="1"/>
  <c r="L160" i="20"/>
  <c r="L128" i="20"/>
  <c r="W128" i="20" s="1"/>
  <c r="L96" i="20"/>
  <c r="W44" i="20"/>
  <c r="L38" i="20"/>
  <c r="L86" i="20"/>
  <c r="L70" i="20"/>
  <c r="L5" i="20"/>
  <c r="AJ7" i="20"/>
  <c r="L60" i="20"/>
  <c r="L10" i="20"/>
  <c r="L59" i="20"/>
  <c r="L6" i="20"/>
  <c r="L15" i="20"/>
  <c r="L52" i="20"/>
  <c r="L42" i="20"/>
  <c r="L90" i="20"/>
  <c r="W90" i="20" s="1"/>
  <c r="L94" i="20"/>
  <c r="W94" i="20" s="1"/>
  <c r="L98" i="20"/>
  <c r="W98" i="20" s="1"/>
  <c r="L102" i="20"/>
  <c r="O102" i="20" s="1"/>
  <c r="L106" i="20"/>
  <c r="W106" i="20" s="1"/>
  <c r="L110" i="20"/>
  <c r="W110" i="20" s="1"/>
  <c r="L114" i="20"/>
  <c r="W114" i="20" s="1"/>
  <c r="L118" i="20"/>
  <c r="O118" i="20" s="1"/>
  <c r="L122" i="20"/>
  <c r="W122" i="20" s="1"/>
  <c r="L126" i="20"/>
  <c r="W126" i="20" s="1"/>
  <c r="L130" i="20"/>
  <c r="W130" i="20" s="1"/>
  <c r="L134" i="20"/>
  <c r="O134" i="20" s="1"/>
  <c r="L138" i="20"/>
  <c r="W138" i="20" s="1"/>
  <c r="L142" i="20"/>
  <c r="W142" i="20" s="1"/>
  <c r="L146" i="20"/>
  <c r="W146" i="20" s="1"/>
  <c r="L150" i="20"/>
  <c r="O150" i="20" s="1"/>
  <c r="L154" i="20"/>
  <c r="W154" i="20" s="1"/>
  <c r="L158" i="20"/>
  <c r="W158" i="20" s="1"/>
  <c r="L162" i="20"/>
  <c r="W162" i="20" s="1"/>
  <c r="L166" i="20"/>
  <c r="O166" i="20" s="1"/>
  <c r="L170" i="20"/>
  <c r="W170" i="20" s="1"/>
  <c r="L174" i="20"/>
  <c r="W174" i="20" s="1"/>
  <c r="L178" i="20"/>
  <c r="W178" i="20" s="1"/>
  <c r="L182" i="20"/>
  <c r="O182" i="20" s="1"/>
  <c r="L186" i="20"/>
  <c r="W186" i="20" s="1"/>
  <c r="L190" i="20"/>
  <c r="W190" i="20" s="1"/>
  <c r="L194" i="20"/>
  <c r="W194" i="20" s="1"/>
  <c r="L198" i="20"/>
  <c r="O198" i="20" s="1"/>
  <c r="L202" i="20"/>
  <c r="W202" i="20" s="1"/>
  <c r="L206" i="20"/>
  <c r="W206" i="20" s="1"/>
  <c r="L210" i="20"/>
  <c r="W210" i="20" s="1"/>
  <c r="L214" i="20"/>
  <c r="O214" i="20" s="1"/>
  <c r="L218" i="20"/>
  <c r="W218" i="20" s="1"/>
  <c r="L222" i="20"/>
  <c r="W222" i="20" s="1"/>
  <c r="L226" i="20"/>
  <c r="W226" i="20" s="1"/>
  <c r="L230" i="20"/>
  <c r="O230" i="20" s="1"/>
  <c r="L234" i="20"/>
  <c r="W234" i="20" s="1"/>
  <c r="L238" i="20"/>
  <c r="W238" i="20" s="1"/>
  <c r="L242" i="20"/>
  <c r="W242" i="20" s="1"/>
  <c r="L246" i="20"/>
  <c r="O246" i="20" s="1"/>
  <c r="L250" i="20"/>
  <c r="W250" i="20" s="1"/>
  <c r="L91" i="20"/>
  <c r="W91" i="20" s="1"/>
  <c r="L99" i="20"/>
  <c r="W99" i="20" s="1"/>
  <c r="L107" i="20"/>
  <c r="O107" i="20" s="1"/>
  <c r="L115" i="20"/>
  <c r="W115" i="20" s="1"/>
  <c r="L123" i="20"/>
  <c r="W123" i="20" s="1"/>
  <c r="L131" i="20"/>
  <c r="W131" i="20" s="1"/>
  <c r="L139" i="20"/>
  <c r="O139" i="20" s="1"/>
  <c r="L147" i="20"/>
  <c r="W147" i="20" s="1"/>
  <c r="L155" i="20"/>
  <c r="W155" i="20" s="1"/>
  <c r="L163" i="20"/>
  <c r="W163" i="20" s="1"/>
  <c r="L171" i="20"/>
  <c r="O171" i="20" s="1"/>
  <c r="L179" i="20"/>
  <c r="W179" i="20" s="1"/>
  <c r="L187" i="20"/>
  <c r="W187" i="20" s="1"/>
  <c r="L195" i="20"/>
  <c r="W195" i="20" s="1"/>
  <c r="L203" i="20"/>
  <c r="O203" i="20" s="1"/>
  <c r="L211" i="20"/>
  <c r="W211" i="20" s="1"/>
  <c r="L219" i="20"/>
  <c r="W219" i="20" s="1"/>
  <c r="L227" i="20"/>
  <c r="W227" i="20" s="1"/>
  <c r="L235" i="20"/>
  <c r="O235" i="20" s="1"/>
  <c r="L243" i="20"/>
  <c r="W243" i="20" s="1"/>
  <c r="L251" i="20"/>
  <c r="W251" i="20" s="1"/>
  <c r="L256" i="20"/>
  <c r="W256" i="20" s="1"/>
  <c r="L260" i="20"/>
  <c r="O260" i="20" s="1"/>
  <c r="L264" i="20"/>
  <c r="W264" i="20" s="1"/>
  <c r="L268" i="20"/>
  <c r="W268" i="20" s="1"/>
  <c r="L272" i="20"/>
  <c r="W272" i="20" s="1"/>
  <c r="L276" i="20"/>
  <c r="O276" i="20" s="1"/>
  <c r="L280" i="20"/>
  <c r="W280" i="20" s="1"/>
  <c r="L284" i="20"/>
  <c r="W284" i="20" s="1"/>
  <c r="L288" i="20"/>
  <c r="W288" i="20" s="1"/>
  <c r="L292" i="20"/>
  <c r="O292" i="20" s="1"/>
  <c r="L296" i="20"/>
  <c r="W296" i="20" s="1"/>
  <c r="L300" i="20"/>
  <c r="W300" i="20" s="1"/>
  <c r="L304" i="20"/>
  <c r="W304" i="20" s="1"/>
  <c r="L34" i="20"/>
  <c r="L69" i="20"/>
  <c r="L37" i="20"/>
  <c r="L58" i="20"/>
  <c r="L41" i="20"/>
  <c r="L92" i="20"/>
  <c r="W92" i="20" s="1"/>
  <c r="L100" i="20"/>
  <c r="W100" i="20" s="1"/>
  <c r="L108" i="20"/>
  <c r="W108" i="20" s="1"/>
  <c r="L116" i="20"/>
  <c r="L124" i="20"/>
  <c r="W124" i="20" s="1"/>
  <c r="L132" i="20"/>
  <c r="L140" i="20"/>
  <c r="W140" i="20" s="1"/>
  <c r="L148" i="20"/>
  <c r="L156" i="20"/>
  <c r="W156" i="20" s="1"/>
  <c r="L164" i="20"/>
  <c r="L172" i="20"/>
  <c r="W172" i="20" s="1"/>
  <c r="L180" i="20"/>
  <c r="L188" i="20"/>
  <c r="W188" i="20" s="1"/>
  <c r="L196" i="20"/>
  <c r="L204" i="20"/>
  <c r="W204" i="20" s="1"/>
  <c r="L212" i="20"/>
  <c r="L220" i="20"/>
  <c r="W220" i="20" s="1"/>
  <c r="L228" i="20"/>
  <c r="W228" i="20" s="1"/>
  <c r="L236" i="20"/>
  <c r="W236" i="20" s="1"/>
  <c r="L244" i="20"/>
  <c r="L252" i="20"/>
  <c r="W252" i="20" s="1"/>
  <c r="L103" i="20"/>
  <c r="L119" i="20"/>
  <c r="W119" i="20" s="1"/>
  <c r="L135" i="20"/>
  <c r="L151" i="20"/>
  <c r="W151" i="20" s="1"/>
  <c r="L167" i="20"/>
  <c r="W167" i="20" s="1"/>
  <c r="L183" i="20"/>
  <c r="W183" i="20" s="1"/>
  <c r="L199" i="20"/>
  <c r="L215" i="20"/>
  <c r="W215" i="20" s="1"/>
  <c r="L231" i="20"/>
  <c r="L247" i="20"/>
  <c r="W247" i="20" s="1"/>
  <c r="L258" i="20"/>
  <c r="L266" i="20"/>
  <c r="W266" i="20" s="1"/>
  <c r="L274" i="20"/>
  <c r="W274" i="20" s="1"/>
  <c r="L282" i="20"/>
  <c r="W282" i="20" s="1"/>
  <c r="L290" i="20"/>
  <c r="L298" i="20"/>
  <c r="W298" i="20" s="1"/>
  <c r="L306" i="20"/>
  <c r="L310" i="20"/>
  <c r="W310" i="20" s="1"/>
  <c r="L314" i="20"/>
  <c r="L318" i="20"/>
  <c r="W318" i="20" s="1"/>
  <c r="L322" i="20"/>
  <c r="W322" i="20" s="1"/>
  <c r="L326" i="20"/>
  <c r="W326" i="20" s="1"/>
  <c r="L330" i="20"/>
  <c r="L334" i="20"/>
  <c r="W334" i="20" s="1"/>
  <c r="L338" i="20"/>
  <c r="L101" i="20"/>
  <c r="W101" i="20" s="1"/>
  <c r="L117" i="20"/>
  <c r="W117" i="20" s="1"/>
  <c r="L133" i="20"/>
  <c r="W133" i="20" s="1"/>
  <c r="L149" i="20"/>
  <c r="O149" i="20" s="1"/>
  <c r="L165" i="20"/>
  <c r="W165" i="20" s="1"/>
  <c r="L181" i="20"/>
  <c r="W181" i="20" s="1"/>
  <c r="L197" i="20"/>
  <c r="W197" i="20" s="1"/>
  <c r="L213" i="20"/>
  <c r="O213" i="20" s="1"/>
  <c r="L229" i="20"/>
  <c r="W229" i="20" s="1"/>
  <c r="L245" i="20"/>
  <c r="W245" i="20" s="1"/>
  <c r="L257" i="20"/>
  <c r="W257" i="20" s="1"/>
  <c r="L265" i="20"/>
  <c r="O265" i="20" s="1"/>
  <c r="L273" i="20"/>
  <c r="W273" i="20" s="1"/>
  <c r="L281" i="20"/>
  <c r="W281" i="20" s="1"/>
  <c r="L289" i="20"/>
  <c r="W289" i="20" s="1"/>
  <c r="L297" i="20"/>
  <c r="O297" i="20" s="1"/>
  <c r="L305" i="20"/>
  <c r="W305" i="20" s="1"/>
  <c r="L313" i="20"/>
  <c r="W313" i="20" s="1"/>
  <c r="L321" i="20"/>
  <c r="W321" i="20" s="1"/>
  <c r="L329" i="20"/>
  <c r="O329" i="20" s="1"/>
  <c r="L337" i="20"/>
  <c r="W337" i="20" s="1"/>
  <c r="L342" i="20"/>
  <c r="W342" i="20" s="1"/>
  <c r="L346" i="20"/>
  <c r="W346" i="20" s="1"/>
  <c r="L350" i="20"/>
  <c r="O350" i="20" s="1"/>
  <c r="L354" i="20"/>
  <c r="W354" i="20" s="1"/>
  <c r="L358" i="20"/>
  <c r="W358" i="20" s="1"/>
  <c r="L362" i="20"/>
  <c r="W362" i="20" s="1"/>
  <c r="L366" i="20"/>
  <c r="O366" i="20" s="1"/>
  <c r="L370" i="20"/>
  <c r="W370" i="20" s="1"/>
  <c r="L87" i="20"/>
  <c r="W87" i="20" s="1"/>
  <c r="L105" i="20"/>
  <c r="W105" i="20" s="1"/>
  <c r="L137" i="20"/>
  <c r="O137" i="20" s="1"/>
  <c r="L169" i="20"/>
  <c r="W169" i="20" s="1"/>
  <c r="L201" i="20"/>
  <c r="W201" i="20" s="1"/>
  <c r="L233" i="20"/>
  <c r="W233" i="20" s="1"/>
  <c r="L259" i="20"/>
  <c r="O259" i="20" s="1"/>
  <c r="L275" i="20"/>
  <c r="W275" i="20" s="1"/>
  <c r="L291" i="20"/>
  <c r="W291" i="20" s="1"/>
  <c r="L307" i="20"/>
  <c r="W307" i="20" s="1"/>
  <c r="L323" i="20"/>
  <c r="O323" i="20" s="1"/>
  <c r="L339" i="20"/>
  <c r="W339" i="20" s="1"/>
  <c r="L347" i="20"/>
  <c r="W347" i="20" s="1"/>
  <c r="L355" i="20"/>
  <c r="W355" i="20" s="1"/>
  <c r="L363" i="20"/>
  <c r="O363" i="20" s="1"/>
  <c r="L371" i="20"/>
  <c r="W371" i="20" s="1"/>
  <c r="L145" i="20"/>
  <c r="W145" i="20" s="1"/>
  <c r="L209" i="20"/>
  <c r="W209" i="20" s="1"/>
  <c r="L263" i="20"/>
  <c r="O263" i="20" s="1"/>
  <c r="L295" i="20"/>
  <c r="W295" i="20" s="1"/>
  <c r="L327" i="20"/>
  <c r="W327" i="20" s="1"/>
  <c r="L349" i="20"/>
  <c r="W349" i="20" s="1"/>
  <c r="L365" i="20"/>
  <c r="O365" i="20" s="1"/>
  <c r="L97" i="20"/>
  <c r="W97" i="20" s="1"/>
  <c r="L161" i="20"/>
  <c r="W161" i="20" s="1"/>
  <c r="L225" i="20"/>
  <c r="W225" i="20" s="1"/>
  <c r="L271" i="20"/>
  <c r="O271" i="20" s="1"/>
  <c r="L303" i="20"/>
  <c r="W303" i="20" s="1"/>
  <c r="L335" i="20"/>
  <c r="W335" i="20" s="1"/>
  <c r="L353" i="20"/>
  <c r="W353" i="20" s="1"/>
  <c r="L369" i="20"/>
  <c r="O369" i="20" s="1"/>
  <c r="L7" i="20"/>
  <c r="L55" i="20"/>
  <c r="L64" i="20"/>
  <c r="L33" i="20"/>
  <c r="L54" i="20"/>
  <c r="L11" i="20"/>
  <c r="L48" i="20"/>
  <c r="L78" i="20"/>
  <c r="L16" i="20"/>
  <c r="L53" i="20"/>
  <c r="L49" i="20"/>
  <c r="W49" i="20" s="1"/>
  <c r="L75" i="20"/>
  <c r="L27" i="20"/>
  <c r="O27" i="20" s="1"/>
  <c r="L29" i="20"/>
  <c r="W29" i="20" s="1"/>
  <c r="L36" i="20"/>
  <c r="O36" i="20" s="1"/>
  <c r="L62" i="20"/>
  <c r="W62" i="20" s="1"/>
  <c r="L84" i="20"/>
  <c r="O84" i="20" s="1"/>
  <c r="L51" i="20"/>
  <c r="O51" i="20" s="1"/>
  <c r="L26" i="20"/>
  <c r="W26" i="20" s="1"/>
  <c r="L28" i="20"/>
  <c r="L61" i="20"/>
  <c r="O61" i="20" s="1"/>
  <c r="L76" i="20"/>
  <c r="O76" i="20" s="1"/>
  <c r="L43" i="20"/>
  <c r="W43" i="20" s="1"/>
  <c r="L18" i="20"/>
  <c r="W18" i="20" s="1"/>
  <c r="L63" i="20"/>
  <c r="W63" i="20" s="1"/>
  <c r="L21" i="20"/>
  <c r="L12" i="20"/>
  <c r="W12" i="20" s="1"/>
  <c r="L35" i="20"/>
  <c r="L9" i="20"/>
  <c r="O9" i="20" s="1"/>
  <c r="L72" i="20"/>
  <c r="O72" i="20" s="1"/>
  <c r="L67" i="20"/>
  <c r="W67" i="20" s="1"/>
  <c r="L85" i="20"/>
  <c r="O85" i="20" s="1"/>
  <c r="L71" i="20"/>
  <c r="L31" i="20"/>
  <c r="L46" i="20"/>
  <c r="L83" i="20"/>
  <c r="L24" i="20"/>
  <c r="W24" i="20" s="1"/>
  <c r="L47" i="20"/>
  <c r="O47" i="20" s="1"/>
  <c r="L65" i="20"/>
  <c r="W65" i="20" s="1"/>
  <c r="L13" i="20"/>
  <c r="W13" i="20" s="1"/>
  <c r="L81" i="20"/>
  <c r="L8" i="20"/>
  <c r="L20" i="20"/>
  <c r="L17" i="20"/>
  <c r="L74" i="20"/>
  <c r="L30" i="20"/>
  <c r="L40" i="20"/>
  <c r="L345" i="20"/>
  <c r="O345" i="20" s="1"/>
  <c r="L287" i="20"/>
  <c r="W287" i="20" s="1"/>
  <c r="L193" i="20"/>
  <c r="O193" i="20" s="1"/>
  <c r="L373" i="20"/>
  <c r="W373" i="20" s="1"/>
  <c r="L341" i="20"/>
  <c r="W341" i="20" s="1"/>
  <c r="L279" i="20"/>
  <c r="W279" i="20" s="1"/>
  <c r="L177" i="20"/>
  <c r="W177" i="20" s="1"/>
  <c r="L367" i="20"/>
  <c r="W367" i="20" s="1"/>
  <c r="L351" i="20"/>
  <c r="O351" i="20" s="1"/>
  <c r="L331" i="20"/>
  <c r="W331" i="20" s="1"/>
  <c r="L299" i="20"/>
  <c r="O299" i="20" s="1"/>
  <c r="L267" i="20"/>
  <c r="W267" i="20" s="1"/>
  <c r="L217" i="20"/>
  <c r="W217" i="20" s="1"/>
  <c r="L153" i="20"/>
  <c r="W153" i="20" s="1"/>
  <c r="L89" i="20"/>
  <c r="W89" i="20" s="1"/>
  <c r="L368" i="20"/>
  <c r="W368" i="20" s="1"/>
  <c r="L360" i="20"/>
  <c r="O360" i="20" s="1"/>
  <c r="L352" i="20"/>
  <c r="W352" i="20" s="1"/>
  <c r="L344" i="20"/>
  <c r="O344" i="20" s="1"/>
  <c r="L333" i="20"/>
  <c r="W333" i="20" s="1"/>
  <c r="L317" i="20"/>
  <c r="W317" i="20" s="1"/>
  <c r="L301" i="20"/>
  <c r="W301" i="20" s="1"/>
  <c r="L285" i="20"/>
  <c r="W285" i="20" s="1"/>
  <c r="L269" i="20"/>
  <c r="W269" i="20" s="1"/>
  <c r="L253" i="20"/>
  <c r="O253" i="20" s="1"/>
  <c r="L221" i="20"/>
  <c r="W221" i="20" s="1"/>
  <c r="L189" i="20"/>
  <c r="O189" i="20" s="1"/>
  <c r="L157" i="20"/>
  <c r="W157" i="20" s="1"/>
  <c r="L125" i="20"/>
  <c r="W125" i="20" s="1"/>
  <c r="L93" i="20"/>
  <c r="W93" i="20" s="1"/>
  <c r="L332" i="20"/>
  <c r="W332" i="20" s="1"/>
  <c r="L324" i="20"/>
  <c r="W324" i="20" s="1"/>
  <c r="L316" i="20"/>
  <c r="O316" i="20" s="1"/>
  <c r="L308" i="20"/>
  <c r="W308" i="20" s="1"/>
  <c r="L294" i="20"/>
  <c r="W294" i="20" s="1"/>
  <c r="L278" i="20"/>
  <c r="W278" i="20" s="1"/>
  <c r="L262" i="20"/>
  <c r="O262" i="20" s="1"/>
  <c r="L239" i="20"/>
  <c r="W239" i="20" s="1"/>
  <c r="L207" i="20"/>
  <c r="W207" i="20" s="1"/>
  <c r="L175" i="20"/>
  <c r="W175" i="20" s="1"/>
  <c r="L143" i="20"/>
  <c r="O143" i="20" s="1"/>
  <c r="L111" i="20"/>
  <c r="W111" i="20" s="1"/>
  <c r="L248" i="20"/>
  <c r="W248" i="20" s="1"/>
  <c r="L232" i="20"/>
  <c r="W232" i="20" s="1"/>
  <c r="L216" i="20"/>
  <c r="O216" i="20" s="1"/>
  <c r="L200" i="20"/>
  <c r="W200" i="20" s="1"/>
  <c r="L184" i="20"/>
  <c r="W184" i="20" s="1"/>
  <c r="L168" i="20"/>
  <c r="W168" i="20" s="1"/>
  <c r="L152" i="20"/>
  <c r="O152" i="20" s="1"/>
  <c r="L136" i="20"/>
  <c r="W136" i="20" s="1"/>
  <c r="L120" i="20"/>
  <c r="W120" i="20" s="1"/>
  <c r="L104" i="20"/>
  <c r="W104" i="20" s="1"/>
  <c r="L88" i="20"/>
  <c r="O88" i="20" s="1"/>
  <c r="L68" i="20"/>
  <c r="L79" i="20"/>
  <c r="W361" i="20"/>
  <c r="O361" i="20"/>
  <c r="W319" i="20"/>
  <c r="O319" i="20"/>
  <c r="W255" i="20"/>
  <c r="O255" i="20"/>
  <c r="O373" i="20"/>
  <c r="P373" i="20" s="1"/>
  <c r="W357" i="20"/>
  <c r="O357" i="20"/>
  <c r="W311" i="20"/>
  <c r="O311" i="20"/>
  <c r="W241" i="20"/>
  <c r="O241" i="20"/>
  <c r="W113" i="20"/>
  <c r="O113" i="20"/>
  <c r="W359" i="20"/>
  <c r="O359" i="20"/>
  <c r="W343" i="20"/>
  <c r="O343" i="20"/>
  <c r="W315" i="20"/>
  <c r="O315" i="20"/>
  <c r="W283" i="20"/>
  <c r="O283" i="20"/>
  <c r="O267" i="20"/>
  <c r="W249" i="20"/>
  <c r="O249" i="20"/>
  <c r="W185" i="20"/>
  <c r="O185" i="20"/>
  <c r="W121" i="20"/>
  <c r="O121" i="20"/>
  <c r="W372" i="20"/>
  <c r="O372" i="20"/>
  <c r="W364" i="20"/>
  <c r="O364" i="20"/>
  <c r="W356" i="20"/>
  <c r="O356" i="20"/>
  <c r="W348" i="20"/>
  <c r="O348" i="20"/>
  <c r="W340" i="20"/>
  <c r="O340" i="20"/>
  <c r="O333" i="20"/>
  <c r="W325" i="20"/>
  <c r="O325" i="20"/>
  <c r="W309" i="20"/>
  <c r="O309" i="20"/>
  <c r="W293" i="20"/>
  <c r="O293" i="20"/>
  <c r="W277" i="20"/>
  <c r="O277" i="20"/>
  <c r="W261" i="20"/>
  <c r="O261" i="20"/>
  <c r="W237" i="20"/>
  <c r="O237" i="20"/>
  <c r="W205" i="20"/>
  <c r="O205" i="20"/>
  <c r="W173" i="20"/>
  <c r="O173" i="20"/>
  <c r="W141" i="20"/>
  <c r="O141" i="20"/>
  <c r="W109" i="20"/>
  <c r="O109" i="20"/>
  <c r="W336" i="20"/>
  <c r="O336" i="20"/>
  <c r="W328" i="20"/>
  <c r="O328" i="20"/>
  <c r="W320" i="20"/>
  <c r="O320" i="20"/>
  <c r="W312" i="20"/>
  <c r="O312" i="20"/>
  <c r="O304" i="20"/>
  <c r="O296" i="20"/>
  <c r="W292" i="20"/>
  <c r="O284" i="20"/>
  <c r="O280" i="20"/>
  <c r="W276" i="20"/>
  <c r="O272" i="20"/>
  <c r="O264" i="20"/>
  <c r="W260" i="20"/>
  <c r="O251" i="20"/>
  <c r="O243" i="20"/>
  <c r="W235" i="20"/>
  <c r="O227" i="20"/>
  <c r="O219" i="20"/>
  <c r="O211" i="20"/>
  <c r="W203" i="20"/>
  <c r="O187" i="20"/>
  <c r="O179" i="20"/>
  <c r="W171" i="20"/>
  <c r="O163" i="20"/>
  <c r="O155" i="20"/>
  <c r="O147" i="20"/>
  <c r="W139" i="20"/>
  <c r="O123" i="20"/>
  <c r="O115" i="20"/>
  <c r="W107" i="20"/>
  <c r="O99" i="20"/>
  <c r="O250" i="20"/>
  <c r="W246" i="20"/>
  <c r="O238" i="20"/>
  <c r="O234" i="20"/>
  <c r="W230" i="20"/>
  <c r="O226" i="20"/>
  <c r="O218" i="20"/>
  <c r="W214" i="20"/>
  <c r="O206" i="20"/>
  <c r="O202" i="20"/>
  <c r="W198" i="20"/>
  <c r="O194" i="20"/>
  <c r="O186" i="20"/>
  <c r="W182" i="20"/>
  <c r="O174" i="20"/>
  <c r="O170" i="20"/>
  <c r="W166" i="20"/>
  <c r="O162" i="20"/>
  <c r="O154" i="20"/>
  <c r="W150" i="20"/>
  <c r="O142" i="20"/>
  <c r="O138" i="20"/>
  <c r="W134" i="20"/>
  <c r="O130" i="20"/>
  <c r="O122" i="20"/>
  <c r="W118" i="20"/>
  <c r="O110" i="20"/>
  <c r="O106" i="20"/>
  <c r="W102" i="20"/>
  <c r="O98" i="20"/>
  <c r="O90" i="20"/>
  <c r="O353" i="20"/>
  <c r="O335" i="20"/>
  <c r="W271" i="20"/>
  <c r="O225" i="20"/>
  <c r="O161" i="20"/>
  <c r="O97" i="20"/>
  <c r="O349" i="20"/>
  <c r="O327" i="20"/>
  <c r="W263" i="20"/>
  <c r="O209" i="20"/>
  <c r="O145" i="20"/>
  <c r="O371" i="20"/>
  <c r="O355" i="20"/>
  <c r="O347" i="20"/>
  <c r="W323" i="20"/>
  <c r="O307" i="20"/>
  <c r="O291" i="20"/>
  <c r="O275" i="20"/>
  <c r="W259" i="20"/>
  <c r="O233" i="20"/>
  <c r="O201" i="20"/>
  <c r="W137" i="20"/>
  <c r="O105" i="20"/>
  <c r="O87" i="20"/>
  <c r="O370" i="20"/>
  <c r="W366" i="20"/>
  <c r="O362" i="20"/>
  <c r="O358" i="20"/>
  <c r="W350" i="20"/>
  <c r="O346" i="20"/>
  <c r="O342" i="20"/>
  <c r="O337" i="20"/>
  <c r="O321" i="20"/>
  <c r="O313" i="20"/>
  <c r="W297" i="20"/>
  <c r="O289" i="20"/>
  <c r="O281" i="20"/>
  <c r="O273" i="20"/>
  <c r="O257" i="20"/>
  <c r="O245" i="20"/>
  <c r="W213" i="20"/>
  <c r="O197" i="20"/>
  <c r="O181" i="20"/>
  <c r="O165" i="20"/>
  <c r="O133" i="20"/>
  <c r="O117" i="20"/>
  <c r="W338" i="20"/>
  <c r="O338" i="20"/>
  <c r="O334" i="20"/>
  <c r="W330" i="20"/>
  <c r="O330" i="20"/>
  <c r="O326" i="20"/>
  <c r="O318" i="20"/>
  <c r="W314" i="20"/>
  <c r="O314" i="20"/>
  <c r="W306" i="20"/>
  <c r="O306" i="20"/>
  <c r="W302" i="20"/>
  <c r="O302" i="20"/>
  <c r="O298" i="20"/>
  <c r="O294" i="20"/>
  <c r="W290" i="20"/>
  <c r="O290" i="20"/>
  <c r="W286" i="20"/>
  <c r="O286" i="20"/>
  <c r="O282" i="20"/>
  <c r="O278" i="20"/>
  <c r="O274" i="20"/>
  <c r="O266" i="20"/>
  <c r="W258" i="20"/>
  <c r="O258" i="20"/>
  <c r="W254" i="20"/>
  <c r="O254" i="20"/>
  <c r="O239" i="20"/>
  <c r="W231" i="20"/>
  <c r="O231" i="20"/>
  <c r="O215" i="20"/>
  <c r="O207" i="20"/>
  <c r="W199" i="20"/>
  <c r="O199" i="20"/>
  <c r="O183" i="20"/>
  <c r="O167" i="20"/>
  <c r="W159" i="20"/>
  <c r="O159" i="20"/>
  <c r="O151" i="20"/>
  <c r="W135" i="20"/>
  <c r="O135" i="20"/>
  <c r="O127" i="20"/>
  <c r="O111" i="20"/>
  <c r="W103" i="20"/>
  <c r="O103" i="20"/>
  <c r="W95" i="20"/>
  <c r="O95" i="20"/>
  <c r="O252" i="20"/>
  <c r="O248" i="20"/>
  <c r="W244" i="20"/>
  <c r="O244" i="20"/>
  <c r="W240" i="20"/>
  <c r="O240" i="20"/>
  <c r="O236" i="20"/>
  <c r="O232" i="20"/>
  <c r="W224" i="20"/>
  <c r="O224" i="20"/>
  <c r="O220" i="20"/>
  <c r="W212" i="20"/>
  <c r="O212" i="20"/>
  <c r="O208" i="20"/>
  <c r="O200" i="20"/>
  <c r="W196" i="20"/>
  <c r="O196" i="20"/>
  <c r="O188" i="20"/>
  <c r="O184" i="20"/>
  <c r="W180" i="20"/>
  <c r="O180" i="20"/>
  <c r="O172" i="20"/>
  <c r="W164" i="20"/>
  <c r="O164" i="20"/>
  <c r="W160" i="20"/>
  <c r="O160" i="20"/>
  <c r="O156" i="20"/>
  <c r="W148" i="20"/>
  <c r="O148" i="20"/>
  <c r="W144" i="20"/>
  <c r="O144" i="20"/>
  <c r="O136" i="20"/>
  <c r="W132" i="20"/>
  <c r="O132" i="20"/>
  <c r="O124" i="20"/>
  <c r="O120" i="20"/>
  <c r="W116" i="20"/>
  <c r="O116" i="20"/>
  <c r="O108" i="20"/>
  <c r="O104" i="20"/>
  <c r="W96" i="20"/>
  <c r="O96" i="20"/>
  <c r="O92" i="20"/>
  <c r="O42" i="20"/>
  <c r="W42" i="20"/>
  <c r="O29" i="20"/>
  <c r="V30" i="20" s="1"/>
  <c r="W76" i="20"/>
  <c r="W72" i="20"/>
  <c r="W51" i="20"/>
  <c r="W45" i="20"/>
  <c r="O45" i="20"/>
  <c r="O39" i="20"/>
  <c r="W39" i="20"/>
  <c r="O57" i="20"/>
  <c r="W57" i="20"/>
  <c r="O22" i="20"/>
  <c r="W22" i="20"/>
  <c r="W80" i="20"/>
  <c r="O80" i="20"/>
  <c r="W32" i="20"/>
  <c r="O32" i="20"/>
  <c r="O23" i="20"/>
  <c r="O66" i="20"/>
  <c r="W66" i="20"/>
  <c r="W47" i="20"/>
  <c r="O67" i="20"/>
  <c r="W35" i="20"/>
  <c r="O35" i="20"/>
  <c r="O12" i="20"/>
  <c r="O63" i="20"/>
  <c r="O43" i="20"/>
  <c r="O26" i="20"/>
  <c r="W84" i="20"/>
  <c r="W36" i="20"/>
  <c r="W75" i="20"/>
  <c r="O75" i="20"/>
  <c r="O25" i="20" l="1"/>
  <c r="W329" i="20"/>
  <c r="O91" i="20"/>
  <c r="O129" i="20"/>
  <c r="O322" i="20"/>
  <c r="O82" i="20"/>
  <c r="O100" i="20"/>
  <c r="O128" i="20"/>
  <c r="O228" i="20"/>
  <c r="O175" i="20"/>
  <c r="V176" i="20" s="1"/>
  <c r="W265" i="20"/>
  <c r="O222" i="20"/>
  <c r="O168" i="20"/>
  <c r="V169" i="20" s="1"/>
  <c r="O65" i="20"/>
  <c r="V66" i="20" s="1"/>
  <c r="W152" i="20"/>
  <c r="W149" i="20"/>
  <c r="O190" i="20"/>
  <c r="O269" i="20"/>
  <c r="W360" i="20"/>
  <c r="P56" i="20"/>
  <c r="W85" i="20"/>
  <c r="O18" i="20"/>
  <c r="O176" i="20"/>
  <c r="W143" i="20"/>
  <c r="W369" i="20"/>
  <c r="O158" i="20"/>
  <c r="W365" i="20"/>
  <c r="O126" i="20"/>
  <c r="O300" i="20"/>
  <c r="O62" i="20"/>
  <c r="W363" i="20"/>
  <c r="O94" i="20"/>
  <c r="O268" i="20"/>
  <c r="O368" i="20"/>
  <c r="W351" i="20"/>
  <c r="W316" i="20"/>
  <c r="O324" i="20"/>
  <c r="W253" i="20"/>
  <c r="O157" i="20"/>
  <c r="O367" i="20"/>
  <c r="W345" i="20"/>
  <c r="O19" i="20"/>
  <c r="V20" i="20" s="1"/>
  <c r="O332" i="20"/>
  <c r="O89" i="20"/>
  <c r="O192" i="20"/>
  <c r="V193" i="20" s="1"/>
  <c r="O223" i="20"/>
  <c r="V224" i="20" s="1"/>
  <c r="O101" i="20"/>
  <c r="O229" i="20"/>
  <c r="O305" i="20"/>
  <c r="V306" i="20" s="1"/>
  <c r="O354" i="20"/>
  <c r="V355" i="20" s="1"/>
  <c r="O169" i="20"/>
  <c r="O339" i="20"/>
  <c r="O295" i="20"/>
  <c r="V296" i="20" s="1"/>
  <c r="O303" i="20"/>
  <c r="W61" i="20"/>
  <c r="W9" i="20"/>
  <c r="O14" i="20"/>
  <c r="W14" i="20"/>
  <c r="L374" i="20"/>
  <c r="W88" i="20"/>
  <c r="O112" i="20"/>
  <c r="V113" i="20" s="1"/>
  <c r="W216" i="20"/>
  <c r="O191" i="20"/>
  <c r="W262" i="20"/>
  <c r="O114" i="20"/>
  <c r="V115" i="20" s="1"/>
  <c r="O146" i="20"/>
  <c r="O178" i="20"/>
  <c r="O210" i="20"/>
  <c r="P210" i="20" s="1"/>
  <c r="O242" i="20"/>
  <c r="O131" i="20"/>
  <c r="O195" i="20"/>
  <c r="O256" i="20"/>
  <c r="O288" i="20"/>
  <c r="O77" i="20"/>
  <c r="O285" i="20"/>
  <c r="O177" i="20"/>
  <c r="O270" i="20"/>
  <c r="V271" i="20" s="1"/>
  <c r="O310" i="20"/>
  <c r="W27" i="20"/>
  <c r="O140" i="20"/>
  <c r="O204" i="20"/>
  <c r="O119" i="20"/>
  <c r="O247" i="20"/>
  <c r="V45" i="20"/>
  <c r="P44" i="20"/>
  <c r="O49" i="20"/>
  <c r="V50" i="20" s="1"/>
  <c r="O73" i="20"/>
  <c r="O13" i="20"/>
  <c r="P13" i="20" s="1"/>
  <c r="O125" i="20"/>
  <c r="V126" i="20" s="1"/>
  <c r="W189" i="20"/>
  <c r="O317" i="20"/>
  <c r="V318" i="20" s="1"/>
  <c r="W344" i="20"/>
  <c r="O217" i="20"/>
  <c r="V218" i="20" s="1"/>
  <c r="W299" i="20"/>
  <c r="O341" i="20"/>
  <c r="V342" i="20" s="1"/>
  <c r="W193" i="20"/>
  <c r="P50" i="20"/>
  <c r="V51" i="20"/>
  <c r="O308" i="20"/>
  <c r="V309" i="20" s="1"/>
  <c r="O93" i="20"/>
  <c r="O221" i="20"/>
  <c r="V222" i="20" s="1"/>
  <c r="O301" i="20"/>
  <c r="O352" i="20"/>
  <c r="V353" i="20" s="1"/>
  <c r="O153" i="20"/>
  <c r="O331" i="20"/>
  <c r="V332" i="20" s="1"/>
  <c r="O279" i="20"/>
  <c r="O287" i="20"/>
  <c r="V288" i="20" s="1"/>
  <c r="O68" i="20"/>
  <c r="W68" i="20"/>
  <c r="W40" i="20"/>
  <c r="O40" i="20"/>
  <c r="W74" i="20"/>
  <c r="O74" i="20"/>
  <c r="W20" i="20"/>
  <c r="O20" i="20"/>
  <c r="W81" i="20"/>
  <c r="O81" i="20"/>
  <c r="W46" i="20"/>
  <c r="O46" i="20"/>
  <c r="O71" i="20"/>
  <c r="W71" i="20"/>
  <c r="O16" i="20"/>
  <c r="W16" i="20"/>
  <c r="O48" i="20"/>
  <c r="W48" i="20"/>
  <c r="W54" i="20"/>
  <c r="O54" i="20"/>
  <c r="W64" i="20"/>
  <c r="O64" i="20"/>
  <c r="O7" i="20"/>
  <c r="W7" i="20"/>
  <c r="W58" i="20"/>
  <c r="O58" i="20"/>
  <c r="W69" i="20"/>
  <c r="O69" i="20"/>
  <c r="O52" i="20"/>
  <c r="W52" i="20"/>
  <c r="W6" i="20"/>
  <c r="O6" i="20"/>
  <c r="W10" i="20"/>
  <c r="O10" i="20"/>
  <c r="W70" i="20"/>
  <c r="O70" i="20"/>
  <c r="W38" i="20"/>
  <c r="O38" i="20"/>
  <c r="O24" i="20"/>
  <c r="V25" i="20" s="1"/>
  <c r="O79" i="20"/>
  <c r="W79" i="20"/>
  <c r="W30" i="20"/>
  <c r="O30" i="20"/>
  <c r="W17" i="20"/>
  <c r="O17" i="20"/>
  <c r="W8" i="20"/>
  <c r="O8" i="20"/>
  <c r="P47" i="20"/>
  <c r="V48" i="20"/>
  <c r="O83" i="20"/>
  <c r="W83" i="20"/>
  <c r="W31" i="20"/>
  <c r="O31" i="20"/>
  <c r="V73" i="20"/>
  <c r="P72" i="20"/>
  <c r="W21" i="20"/>
  <c r="O21" i="20"/>
  <c r="V77" i="20"/>
  <c r="P76" i="20"/>
  <c r="O28" i="20"/>
  <c r="W28" i="20"/>
  <c r="P51" i="20"/>
  <c r="V52" i="20"/>
  <c r="O53" i="20"/>
  <c r="W53" i="20"/>
  <c r="O78" i="20"/>
  <c r="W78" i="20"/>
  <c r="O11" i="20"/>
  <c r="W11" i="20"/>
  <c r="W33" i="20"/>
  <c r="O33" i="20"/>
  <c r="O55" i="20"/>
  <c r="W55" i="20"/>
  <c r="W41" i="20"/>
  <c r="O41" i="20"/>
  <c r="W37" i="20"/>
  <c r="O37" i="20"/>
  <c r="O34" i="20"/>
  <c r="W34" i="20"/>
  <c r="O15" i="20"/>
  <c r="W15" i="20"/>
  <c r="W59" i="20"/>
  <c r="O59" i="20"/>
  <c r="W60" i="20"/>
  <c r="O60" i="20"/>
  <c r="W5" i="20"/>
  <c r="O5" i="20"/>
  <c r="O86" i="20"/>
  <c r="W86" i="20"/>
  <c r="V89" i="20"/>
  <c r="P88" i="20"/>
  <c r="V93" i="20"/>
  <c r="P92" i="20"/>
  <c r="V97" i="20"/>
  <c r="P96" i="20"/>
  <c r="V101" i="20"/>
  <c r="P100" i="20"/>
  <c r="V105" i="20"/>
  <c r="P104" i="20"/>
  <c r="V109" i="20"/>
  <c r="P108" i="20"/>
  <c r="V117" i="20"/>
  <c r="P116" i="20"/>
  <c r="V121" i="20"/>
  <c r="P120" i="20"/>
  <c r="V125" i="20"/>
  <c r="P124" i="20"/>
  <c r="V129" i="20"/>
  <c r="P128" i="20"/>
  <c r="V133" i="20"/>
  <c r="P132" i="20"/>
  <c r="V137" i="20"/>
  <c r="P136" i="20"/>
  <c r="V141" i="20"/>
  <c r="P140" i="20"/>
  <c r="V145" i="20"/>
  <c r="P144" i="20"/>
  <c r="V149" i="20"/>
  <c r="P148" i="20"/>
  <c r="V153" i="20"/>
  <c r="P152" i="20"/>
  <c r="V157" i="20"/>
  <c r="P156" i="20"/>
  <c r="V161" i="20"/>
  <c r="P160" i="20"/>
  <c r="V165" i="20"/>
  <c r="P164" i="20"/>
  <c r="V173" i="20"/>
  <c r="P172" i="20"/>
  <c r="V177" i="20"/>
  <c r="P176" i="20"/>
  <c r="V181" i="20"/>
  <c r="P180" i="20"/>
  <c r="V185" i="20"/>
  <c r="P184" i="20"/>
  <c r="V189" i="20"/>
  <c r="P188" i="20"/>
  <c r="V197" i="20"/>
  <c r="P196" i="20"/>
  <c r="V201" i="20"/>
  <c r="P200" i="20"/>
  <c r="V205" i="20"/>
  <c r="P204" i="20"/>
  <c r="V209" i="20"/>
  <c r="P208" i="20"/>
  <c r="V213" i="20"/>
  <c r="P212" i="20"/>
  <c r="V217" i="20"/>
  <c r="P216" i="20"/>
  <c r="V221" i="20"/>
  <c r="P220" i="20"/>
  <c r="V225" i="20"/>
  <c r="P224" i="20"/>
  <c r="V229" i="20"/>
  <c r="P228" i="20"/>
  <c r="V233" i="20"/>
  <c r="P232" i="20"/>
  <c r="V237" i="20"/>
  <c r="P236" i="20"/>
  <c r="V241" i="20"/>
  <c r="P240" i="20"/>
  <c r="V245" i="20"/>
  <c r="P244" i="20"/>
  <c r="V249" i="20"/>
  <c r="P248" i="20"/>
  <c r="V253" i="20"/>
  <c r="P252" i="20"/>
  <c r="V96" i="20"/>
  <c r="P95" i="20"/>
  <c r="V104" i="20"/>
  <c r="P103" i="20"/>
  <c r="V112" i="20"/>
  <c r="P111" i="20"/>
  <c r="V120" i="20"/>
  <c r="P119" i="20"/>
  <c r="V128" i="20"/>
  <c r="P127" i="20"/>
  <c r="V136" i="20"/>
  <c r="P135" i="20"/>
  <c r="V144" i="20"/>
  <c r="P143" i="20"/>
  <c r="V152" i="20"/>
  <c r="P151" i="20"/>
  <c r="V160" i="20"/>
  <c r="P159" i="20"/>
  <c r="V168" i="20"/>
  <c r="P167" i="20"/>
  <c r="V184" i="20"/>
  <c r="P183" i="20"/>
  <c r="V192" i="20"/>
  <c r="P191" i="20"/>
  <c r="V200" i="20"/>
  <c r="P199" i="20"/>
  <c r="V208" i="20"/>
  <c r="P207" i="20"/>
  <c r="V216" i="20"/>
  <c r="P215" i="20"/>
  <c r="V232" i="20"/>
  <c r="P231" i="20"/>
  <c r="V240" i="20"/>
  <c r="P239" i="20"/>
  <c r="V248" i="20"/>
  <c r="P247" i="20"/>
  <c r="V255" i="20"/>
  <c r="P254" i="20"/>
  <c r="V259" i="20"/>
  <c r="P258" i="20"/>
  <c r="V263" i="20"/>
  <c r="P262" i="20"/>
  <c r="V267" i="20"/>
  <c r="P266" i="20"/>
  <c r="V275" i="20"/>
  <c r="P274" i="20"/>
  <c r="V279" i="20"/>
  <c r="P278" i="20"/>
  <c r="V283" i="20"/>
  <c r="P282" i="20"/>
  <c r="V287" i="20"/>
  <c r="P286" i="20"/>
  <c r="V291" i="20"/>
  <c r="P290" i="20"/>
  <c r="V295" i="20"/>
  <c r="P294" i="20"/>
  <c r="V299" i="20"/>
  <c r="P298" i="20"/>
  <c r="V303" i="20"/>
  <c r="P302" i="20"/>
  <c r="V307" i="20"/>
  <c r="P306" i="20"/>
  <c r="V311" i="20"/>
  <c r="P310" i="20"/>
  <c r="V315" i="20"/>
  <c r="P314" i="20"/>
  <c r="V319" i="20"/>
  <c r="P318" i="20"/>
  <c r="V323" i="20"/>
  <c r="P322" i="20"/>
  <c r="V327" i="20"/>
  <c r="P326" i="20"/>
  <c r="V331" i="20"/>
  <c r="P330" i="20"/>
  <c r="V335" i="20"/>
  <c r="P334" i="20"/>
  <c r="V339" i="20"/>
  <c r="P338" i="20"/>
  <c r="V102" i="20"/>
  <c r="P101" i="20"/>
  <c r="V118" i="20"/>
  <c r="P117" i="20"/>
  <c r="V134" i="20"/>
  <c r="P133" i="20"/>
  <c r="V150" i="20"/>
  <c r="P149" i="20"/>
  <c r="V166" i="20"/>
  <c r="P165" i="20"/>
  <c r="V182" i="20"/>
  <c r="P181" i="20"/>
  <c r="V198" i="20"/>
  <c r="P197" i="20"/>
  <c r="V214" i="20"/>
  <c r="P213" i="20"/>
  <c r="V230" i="20"/>
  <c r="P229" i="20"/>
  <c r="V246" i="20"/>
  <c r="P245" i="20"/>
  <c r="V258" i="20"/>
  <c r="P257" i="20"/>
  <c r="V266" i="20"/>
  <c r="P265" i="20"/>
  <c r="V274" i="20"/>
  <c r="P273" i="20"/>
  <c r="V282" i="20"/>
  <c r="P281" i="20"/>
  <c r="V290" i="20"/>
  <c r="P289" i="20"/>
  <c r="V298" i="20"/>
  <c r="P297" i="20"/>
  <c r="V314" i="20"/>
  <c r="P313" i="20"/>
  <c r="V322" i="20"/>
  <c r="P321" i="20"/>
  <c r="V330" i="20"/>
  <c r="P329" i="20"/>
  <c r="V338" i="20"/>
  <c r="P337" i="20"/>
  <c r="V343" i="20"/>
  <c r="P342" i="20"/>
  <c r="V347" i="20"/>
  <c r="P346" i="20"/>
  <c r="V351" i="20"/>
  <c r="P350" i="20"/>
  <c r="V359" i="20"/>
  <c r="P358" i="20"/>
  <c r="V363" i="20"/>
  <c r="P362" i="20"/>
  <c r="V367" i="20"/>
  <c r="P366" i="20"/>
  <c r="V371" i="20"/>
  <c r="P370" i="20"/>
  <c r="V88" i="20"/>
  <c r="P87" i="20"/>
  <c r="V106" i="20"/>
  <c r="P105" i="20"/>
  <c r="V138" i="20"/>
  <c r="P137" i="20"/>
  <c r="V170" i="20"/>
  <c r="P169" i="20"/>
  <c r="V202" i="20"/>
  <c r="P201" i="20"/>
  <c r="V234" i="20"/>
  <c r="P233" i="20"/>
  <c r="V260" i="20"/>
  <c r="P259" i="20"/>
  <c r="V276" i="20"/>
  <c r="P275" i="20"/>
  <c r="V292" i="20"/>
  <c r="P291" i="20"/>
  <c r="V308" i="20"/>
  <c r="P307" i="20"/>
  <c r="V324" i="20"/>
  <c r="P323" i="20"/>
  <c r="V340" i="20"/>
  <c r="P339" i="20"/>
  <c r="V348" i="20"/>
  <c r="P347" i="20"/>
  <c r="V356" i="20"/>
  <c r="P355" i="20"/>
  <c r="V364" i="20"/>
  <c r="P363" i="20"/>
  <c r="V372" i="20"/>
  <c r="P371" i="20"/>
  <c r="V146" i="20"/>
  <c r="P145" i="20"/>
  <c r="V210" i="20"/>
  <c r="P209" i="20"/>
  <c r="V264" i="20"/>
  <c r="P263" i="20"/>
  <c r="V328" i="20"/>
  <c r="P327" i="20"/>
  <c r="V350" i="20"/>
  <c r="P349" i="20"/>
  <c r="V366" i="20"/>
  <c r="P365" i="20"/>
  <c r="V98" i="20"/>
  <c r="P97" i="20"/>
  <c r="V162" i="20"/>
  <c r="P161" i="20"/>
  <c r="V226" i="20"/>
  <c r="P225" i="20"/>
  <c r="V272" i="20"/>
  <c r="P271" i="20"/>
  <c r="V304" i="20"/>
  <c r="P303" i="20"/>
  <c r="V336" i="20"/>
  <c r="P335" i="20"/>
  <c r="V354" i="20"/>
  <c r="P353" i="20"/>
  <c r="V370" i="20"/>
  <c r="P369" i="20"/>
  <c r="V91" i="20"/>
  <c r="P90" i="20"/>
  <c r="V95" i="20"/>
  <c r="P94" i="20"/>
  <c r="V99" i="20"/>
  <c r="P98" i="20"/>
  <c r="V103" i="20"/>
  <c r="P102" i="20"/>
  <c r="V107" i="20"/>
  <c r="P106" i="20"/>
  <c r="V111" i="20"/>
  <c r="P110" i="20"/>
  <c r="V119" i="20"/>
  <c r="P118" i="20"/>
  <c r="V123" i="20"/>
  <c r="P122" i="20"/>
  <c r="V127" i="20"/>
  <c r="P126" i="20"/>
  <c r="V131" i="20"/>
  <c r="P130" i="20"/>
  <c r="V135" i="20"/>
  <c r="P134" i="20"/>
  <c r="V139" i="20"/>
  <c r="P138" i="20"/>
  <c r="V143" i="20"/>
  <c r="P142" i="20"/>
  <c r="V147" i="20"/>
  <c r="P146" i="20"/>
  <c r="V151" i="20"/>
  <c r="P150" i="20"/>
  <c r="V155" i="20"/>
  <c r="P154" i="20"/>
  <c r="V159" i="20"/>
  <c r="P158" i="20"/>
  <c r="V163" i="20"/>
  <c r="P162" i="20"/>
  <c r="V167" i="20"/>
  <c r="P166" i="20"/>
  <c r="V171" i="20"/>
  <c r="P170" i="20"/>
  <c r="V175" i="20"/>
  <c r="P174" i="20"/>
  <c r="V179" i="20"/>
  <c r="P178" i="20"/>
  <c r="V183" i="20"/>
  <c r="P182" i="20"/>
  <c r="V187" i="20"/>
  <c r="P186" i="20"/>
  <c r="V191" i="20"/>
  <c r="P190" i="20"/>
  <c r="V195" i="20"/>
  <c r="P194" i="20"/>
  <c r="V199" i="20"/>
  <c r="P198" i="20"/>
  <c r="V203" i="20"/>
  <c r="P202" i="20"/>
  <c r="V207" i="20"/>
  <c r="P206" i="20"/>
  <c r="V211" i="20"/>
  <c r="V215" i="20"/>
  <c r="P214" i="20"/>
  <c r="V219" i="20"/>
  <c r="P218" i="20"/>
  <c r="V223" i="20"/>
  <c r="P222" i="20"/>
  <c r="V227" i="20"/>
  <c r="P226" i="20"/>
  <c r="V231" i="20"/>
  <c r="P230" i="20"/>
  <c r="V235" i="20"/>
  <c r="P234" i="20"/>
  <c r="V239" i="20"/>
  <c r="P238" i="20"/>
  <c r="V243" i="20"/>
  <c r="P242" i="20"/>
  <c r="V247" i="20"/>
  <c r="P246" i="20"/>
  <c r="V251" i="20"/>
  <c r="P250" i="20"/>
  <c r="V92" i="20"/>
  <c r="P91" i="20"/>
  <c r="V100" i="20"/>
  <c r="P99" i="20"/>
  <c r="V108" i="20"/>
  <c r="P107" i="20"/>
  <c r="V116" i="20"/>
  <c r="P115" i="20"/>
  <c r="V124" i="20"/>
  <c r="P123" i="20"/>
  <c r="V132" i="20"/>
  <c r="P131" i="20"/>
  <c r="V140" i="20"/>
  <c r="P139" i="20"/>
  <c r="V148" i="20"/>
  <c r="P147" i="20"/>
  <c r="V156" i="20"/>
  <c r="P155" i="20"/>
  <c r="V164" i="20"/>
  <c r="P163" i="20"/>
  <c r="V172" i="20"/>
  <c r="P171" i="20"/>
  <c r="V180" i="20"/>
  <c r="P179" i="20"/>
  <c r="V188" i="20"/>
  <c r="P187" i="20"/>
  <c r="V196" i="20"/>
  <c r="P195" i="20"/>
  <c r="V204" i="20"/>
  <c r="P203" i="20"/>
  <c r="V212" i="20"/>
  <c r="P211" i="20"/>
  <c r="V220" i="20"/>
  <c r="P219" i="20"/>
  <c r="V228" i="20"/>
  <c r="P227" i="20"/>
  <c r="V236" i="20"/>
  <c r="P235" i="20"/>
  <c r="V244" i="20"/>
  <c r="P243" i="20"/>
  <c r="V252" i="20"/>
  <c r="P251" i="20"/>
  <c r="V257" i="20"/>
  <c r="P256" i="20"/>
  <c r="V261" i="20"/>
  <c r="P260" i="20"/>
  <c r="V265" i="20"/>
  <c r="P264" i="20"/>
  <c r="V269" i="20"/>
  <c r="P268" i="20"/>
  <c r="V273" i="20"/>
  <c r="P272" i="20"/>
  <c r="V277" i="20"/>
  <c r="P276" i="20"/>
  <c r="V281" i="20"/>
  <c r="P280" i="20"/>
  <c r="V285" i="20"/>
  <c r="P284" i="20"/>
  <c r="V289" i="20"/>
  <c r="P288" i="20"/>
  <c r="V293" i="20"/>
  <c r="P292" i="20"/>
  <c r="V297" i="20"/>
  <c r="P296" i="20"/>
  <c r="V301" i="20"/>
  <c r="P300" i="20"/>
  <c r="V305" i="20"/>
  <c r="P304" i="20"/>
  <c r="P308" i="20"/>
  <c r="V313" i="20"/>
  <c r="P312" i="20"/>
  <c r="V317" i="20"/>
  <c r="P316" i="20"/>
  <c r="V321" i="20"/>
  <c r="P320" i="20"/>
  <c r="V325" i="20"/>
  <c r="P324" i="20"/>
  <c r="V329" i="20"/>
  <c r="P328" i="20"/>
  <c r="V333" i="20"/>
  <c r="P332" i="20"/>
  <c r="V337" i="20"/>
  <c r="P336" i="20"/>
  <c r="V94" i="20"/>
  <c r="P93" i="20"/>
  <c r="V110" i="20"/>
  <c r="P109" i="20"/>
  <c r="P125" i="20"/>
  <c r="V142" i="20"/>
  <c r="P141" i="20"/>
  <c r="V158" i="20"/>
  <c r="P157" i="20"/>
  <c r="V174" i="20"/>
  <c r="P173" i="20"/>
  <c r="V190" i="20"/>
  <c r="P189" i="20"/>
  <c r="V206" i="20"/>
  <c r="P205" i="20"/>
  <c r="P221" i="20"/>
  <c r="V238" i="20"/>
  <c r="P237" i="20"/>
  <c r="V254" i="20"/>
  <c r="P253" i="20"/>
  <c r="V262" i="20"/>
  <c r="P261" i="20"/>
  <c r="V270" i="20"/>
  <c r="P269" i="20"/>
  <c r="V278" i="20"/>
  <c r="P277" i="20"/>
  <c r="V286" i="20"/>
  <c r="P285" i="20"/>
  <c r="V294" i="20"/>
  <c r="P293" i="20"/>
  <c r="V302" i="20"/>
  <c r="P301" i="20"/>
  <c r="V310" i="20"/>
  <c r="P309" i="20"/>
  <c r="P317" i="20"/>
  <c r="V326" i="20"/>
  <c r="P325" i="20"/>
  <c r="V334" i="20"/>
  <c r="P333" i="20"/>
  <c r="V341" i="20"/>
  <c r="P340" i="20"/>
  <c r="V345" i="20"/>
  <c r="P344" i="20"/>
  <c r="V349" i="20"/>
  <c r="P348" i="20"/>
  <c r="P352" i="20"/>
  <c r="V357" i="20"/>
  <c r="P356" i="20"/>
  <c r="V361" i="20"/>
  <c r="P360" i="20"/>
  <c r="V365" i="20"/>
  <c r="P364" i="20"/>
  <c r="V369" i="20"/>
  <c r="P368" i="20"/>
  <c r="V373" i="20"/>
  <c r="P372" i="20"/>
  <c r="V90" i="20"/>
  <c r="P89" i="20"/>
  <c r="V122" i="20"/>
  <c r="P121" i="20"/>
  <c r="V154" i="20"/>
  <c r="P153" i="20"/>
  <c r="V186" i="20"/>
  <c r="P185" i="20"/>
  <c r="P217" i="20"/>
  <c r="V250" i="20"/>
  <c r="P249" i="20"/>
  <c r="V268" i="20"/>
  <c r="P267" i="20"/>
  <c r="V284" i="20"/>
  <c r="P283" i="20"/>
  <c r="V300" i="20"/>
  <c r="P299" i="20"/>
  <c r="V316" i="20"/>
  <c r="P315" i="20"/>
  <c r="P331" i="20"/>
  <c r="V344" i="20"/>
  <c r="P343" i="20"/>
  <c r="V352" i="20"/>
  <c r="P351" i="20"/>
  <c r="V360" i="20"/>
  <c r="P359" i="20"/>
  <c r="V368" i="20"/>
  <c r="P367" i="20"/>
  <c r="V114" i="20"/>
  <c r="P113" i="20"/>
  <c r="V178" i="20"/>
  <c r="P177" i="20"/>
  <c r="V242" i="20"/>
  <c r="P241" i="20"/>
  <c r="V280" i="20"/>
  <c r="P279" i="20"/>
  <c r="V312" i="20"/>
  <c r="P311" i="20"/>
  <c r="P341" i="20"/>
  <c r="V358" i="20"/>
  <c r="P357" i="20"/>
  <c r="V130" i="20"/>
  <c r="P129" i="20"/>
  <c r="V194" i="20"/>
  <c r="P193" i="20"/>
  <c r="V256" i="20"/>
  <c r="P255" i="20"/>
  <c r="P287" i="20"/>
  <c r="V320" i="20"/>
  <c r="P319" i="20"/>
  <c r="V346" i="20"/>
  <c r="P345" i="20"/>
  <c r="V362" i="20"/>
  <c r="P361" i="20"/>
  <c r="P42" i="20"/>
  <c r="V43" i="20"/>
  <c r="P29" i="20"/>
  <c r="V63" i="20"/>
  <c r="P62" i="20"/>
  <c r="P27" i="20"/>
  <c r="V28" i="20"/>
  <c r="P36" i="20"/>
  <c r="V37" i="20"/>
  <c r="V85" i="20"/>
  <c r="P84" i="20"/>
  <c r="P61" i="20"/>
  <c r="V62" i="20"/>
  <c r="P9" i="20"/>
  <c r="V10" i="20"/>
  <c r="P66" i="20"/>
  <c r="V67" i="20"/>
  <c r="P23" i="20"/>
  <c r="V24" i="20"/>
  <c r="V23" i="20"/>
  <c r="P22" i="20"/>
  <c r="P57" i="20"/>
  <c r="V58" i="20"/>
  <c r="V40" i="20"/>
  <c r="P39" i="20"/>
  <c r="P24" i="20"/>
  <c r="V14" i="20"/>
  <c r="V76" i="20"/>
  <c r="P75" i="20"/>
  <c r="V27" i="20"/>
  <c r="P26" i="20"/>
  <c r="V44" i="20"/>
  <c r="P43" i="20"/>
  <c r="V19" i="20"/>
  <c r="P18" i="20"/>
  <c r="P63" i="20"/>
  <c r="V64" i="20"/>
  <c r="V13" i="20"/>
  <c r="P12" i="20"/>
  <c r="P35" i="20"/>
  <c r="V36" i="20"/>
  <c r="P67" i="20"/>
  <c r="V68" i="20"/>
  <c r="V33" i="20"/>
  <c r="P32" i="20"/>
  <c r="P80" i="20"/>
  <c r="V81" i="20"/>
  <c r="V78" i="20"/>
  <c r="P77" i="20"/>
  <c r="P82" i="20"/>
  <c r="V83" i="20"/>
  <c r="V46" i="20"/>
  <c r="P45" i="20"/>
  <c r="V86" i="20"/>
  <c r="P85" i="20"/>
  <c r="P295" i="20" l="1"/>
  <c r="P354" i="20"/>
  <c r="P305" i="20"/>
  <c r="P175" i="20"/>
  <c r="P168" i="20"/>
  <c r="P114" i="20"/>
  <c r="P270" i="20"/>
  <c r="P223" i="20"/>
  <c r="P192" i="20"/>
  <c r="P112" i="20"/>
  <c r="P19" i="20"/>
  <c r="P65" i="20"/>
  <c r="V26" i="20"/>
  <c r="P25" i="20"/>
  <c r="V15" i="20"/>
  <c r="P14" i="20"/>
  <c r="P73" i="20"/>
  <c r="V74" i="20"/>
  <c r="O374" i="20"/>
  <c r="P49" i="20"/>
  <c r="V6" i="20"/>
  <c r="P5" i="20"/>
  <c r="V61" i="20"/>
  <c r="P60" i="20"/>
  <c r="P59" i="20"/>
  <c r="V60" i="20"/>
  <c r="P37" i="20"/>
  <c r="V38" i="20"/>
  <c r="P41" i="20"/>
  <c r="V42" i="20"/>
  <c r="P33" i="20"/>
  <c r="V34" i="20"/>
  <c r="V22" i="20"/>
  <c r="P21" i="20"/>
  <c r="P31" i="20"/>
  <c r="V32" i="20"/>
  <c r="P8" i="20"/>
  <c r="V9" i="20"/>
  <c r="V18" i="20"/>
  <c r="P17" i="20"/>
  <c r="P30" i="20"/>
  <c r="V31" i="20"/>
  <c r="V39" i="20"/>
  <c r="P38" i="20"/>
  <c r="P70" i="20"/>
  <c r="V71" i="20"/>
  <c r="V11" i="20"/>
  <c r="P10" i="20"/>
  <c r="V7" i="20"/>
  <c r="P6" i="20"/>
  <c r="P69" i="20"/>
  <c r="V70" i="20"/>
  <c r="P58" i="20"/>
  <c r="V59" i="20"/>
  <c r="V65" i="20"/>
  <c r="P64" i="20"/>
  <c r="P54" i="20"/>
  <c r="V55" i="20"/>
  <c r="P46" i="20"/>
  <c r="V47" i="20"/>
  <c r="V82" i="20"/>
  <c r="P81" i="20"/>
  <c r="V21" i="20"/>
  <c r="P20" i="20"/>
  <c r="P74" i="20"/>
  <c r="V75" i="20"/>
  <c r="V41" i="20"/>
  <c r="P40" i="20"/>
  <c r="N5" i="20"/>
  <c r="M5" i="20"/>
  <c r="V87" i="20"/>
  <c r="P86" i="20"/>
  <c r="V16" i="20"/>
  <c r="P15" i="20"/>
  <c r="P34" i="20"/>
  <c r="V35" i="20"/>
  <c r="V56" i="20"/>
  <c r="P55" i="20"/>
  <c r="V12" i="20"/>
  <c r="P11" i="20"/>
  <c r="P78" i="20"/>
  <c r="V79" i="20"/>
  <c r="P53" i="20"/>
  <c r="V54" i="20"/>
  <c r="V29" i="20"/>
  <c r="P28" i="20"/>
  <c r="V84" i="20"/>
  <c r="P83" i="20"/>
  <c r="P79" i="20"/>
  <c r="V80" i="20"/>
  <c r="V53" i="20"/>
  <c r="P52" i="20"/>
  <c r="V8" i="20"/>
  <c r="P7" i="20"/>
  <c r="P48" i="20"/>
  <c r="V49" i="20"/>
  <c r="P16" i="20"/>
  <c r="V17" i="20"/>
  <c r="V72" i="20"/>
  <c r="P71" i="20"/>
  <c r="P68" i="20"/>
  <c r="V69" i="20"/>
  <c r="L319" i="25"/>
  <c r="M319" i="25" s="1"/>
  <c r="S319" i="25"/>
  <c r="L335" i="25"/>
  <c r="M335" i="25" s="1"/>
  <c r="S335" i="25"/>
  <c r="L343" i="25"/>
  <c r="M343" i="25" s="1"/>
  <c r="S343" i="25"/>
  <c r="S348" i="25"/>
  <c r="L348" i="25"/>
  <c r="M348" i="25" s="1"/>
  <c r="L353" i="25"/>
  <c r="M353" i="25" s="1"/>
  <c r="S353" i="25"/>
  <c r="L359" i="25"/>
  <c r="M359" i="25" s="1"/>
  <c r="S359" i="25"/>
  <c r="S364" i="25"/>
  <c r="L364" i="25"/>
  <c r="M364" i="25" s="1"/>
  <c r="L369" i="25"/>
  <c r="M369" i="25" s="1"/>
  <c r="S369" i="25"/>
  <c r="L306" i="25"/>
  <c r="M306" i="25" s="1"/>
  <c r="S306" i="25"/>
  <c r="L312" i="25"/>
  <c r="M312" i="25" s="1"/>
  <c r="S312" i="25"/>
  <c r="S317" i="25"/>
  <c r="L317" i="25"/>
  <c r="M317" i="25" s="1"/>
  <c r="L322" i="25"/>
  <c r="M322" i="25" s="1"/>
  <c r="S322" i="25"/>
  <c r="L328" i="25"/>
  <c r="M328" i="25" s="1"/>
  <c r="S328" i="25"/>
  <c r="S333" i="25"/>
  <c r="L333" i="25"/>
  <c r="M333" i="25" s="1"/>
  <c r="L338" i="25"/>
  <c r="M338" i="25" s="1"/>
  <c r="S338" i="25"/>
  <c r="L354" i="25"/>
  <c r="M354" i="25" s="1"/>
  <c r="S354" i="25"/>
  <c r="L370" i="25"/>
  <c r="M370" i="25" s="1"/>
  <c r="S370" i="25"/>
  <c r="L285" i="25"/>
  <c r="M285" i="25" s="1"/>
  <c r="S285" i="25"/>
  <c r="L269" i="25"/>
  <c r="M269" i="25" s="1"/>
  <c r="S269" i="25"/>
  <c r="L253" i="25"/>
  <c r="M253" i="25" s="1"/>
  <c r="S253" i="25"/>
  <c r="L237" i="25"/>
  <c r="M237" i="25" s="1"/>
  <c r="S237" i="25"/>
  <c r="L221" i="25"/>
  <c r="M221" i="25" s="1"/>
  <c r="S221" i="25"/>
  <c r="L205" i="25"/>
  <c r="M205" i="25" s="1"/>
  <c r="S205" i="25"/>
  <c r="L189" i="25"/>
  <c r="M189" i="25" s="1"/>
  <c r="S189" i="25"/>
  <c r="S166" i="25"/>
  <c r="L166" i="25"/>
  <c r="M166" i="25" s="1"/>
  <c r="L157" i="25"/>
  <c r="M157" i="25" s="1"/>
  <c r="S157" i="25"/>
  <c r="S150" i="25"/>
  <c r="L150" i="25"/>
  <c r="M150" i="25" s="1"/>
  <c r="L141" i="25"/>
  <c r="M141" i="25" s="1"/>
  <c r="S141" i="25"/>
  <c r="S134" i="25"/>
  <c r="L134" i="25"/>
  <c r="M134" i="25" s="1"/>
  <c r="L125" i="25"/>
  <c r="M125" i="25" s="1"/>
  <c r="S125" i="25"/>
  <c r="S118" i="25"/>
  <c r="L118" i="25"/>
  <c r="M118" i="25" s="1"/>
  <c r="L109" i="25"/>
  <c r="M109" i="25" s="1"/>
  <c r="S109" i="25"/>
  <c r="S102" i="25"/>
  <c r="L102" i="25"/>
  <c r="M102" i="25" s="1"/>
  <c r="L93" i="25"/>
  <c r="M93" i="25" s="1"/>
  <c r="S93" i="25"/>
  <c r="S86" i="25"/>
  <c r="L86" i="25"/>
  <c r="M86" i="25" s="1"/>
  <c r="S170" i="25"/>
  <c r="L170" i="25"/>
  <c r="M170" i="25" s="1"/>
  <c r="S182" i="25"/>
  <c r="L182" i="25"/>
  <c r="M182" i="25" s="1"/>
  <c r="S190" i="25"/>
  <c r="L190" i="25"/>
  <c r="M190" i="25" s="1"/>
  <c r="S198" i="25"/>
  <c r="L198" i="25"/>
  <c r="M198" i="25" s="1"/>
  <c r="S206" i="25"/>
  <c r="L206" i="25"/>
  <c r="M206" i="25" s="1"/>
  <c r="S214" i="25"/>
  <c r="L214" i="25"/>
  <c r="M214" i="25" s="1"/>
  <c r="S222" i="25"/>
  <c r="L222" i="25"/>
  <c r="M222" i="25" s="1"/>
  <c r="S230" i="25"/>
  <c r="L230" i="25"/>
  <c r="M230" i="25" s="1"/>
  <c r="S238" i="25"/>
  <c r="L238" i="25"/>
  <c r="M238" i="25" s="1"/>
  <c r="S246" i="25"/>
  <c r="L246" i="25"/>
  <c r="M246" i="25" s="1"/>
  <c r="S254" i="25"/>
  <c r="L254" i="25"/>
  <c r="M254" i="25" s="1"/>
  <c r="S262" i="25"/>
  <c r="L262" i="25"/>
  <c r="M262" i="25" s="1"/>
  <c r="S270" i="25"/>
  <c r="L270" i="25"/>
  <c r="M270" i="25" s="1"/>
  <c r="S278" i="25"/>
  <c r="L278" i="25"/>
  <c r="M278" i="25" s="1"/>
  <c r="S288" i="25"/>
  <c r="L288" i="25"/>
  <c r="M288" i="25" s="1"/>
  <c r="S296" i="25"/>
  <c r="L296" i="25"/>
  <c r="M296" i="25" s="1"/>
  <c r="L277" i="25"/>
  <c r="M277" i="25" s="1"/>
  <c r="S277" i="25"/>
  <c r="L261" i="25"/>
  <c r="M261" i="25" s="1"/>
  <c r="S261" i="25"/>
  <c r="L245" i="25"/>
  <c r="M245" i="25" s="1"/>
  <c r="S245" i="25"/>
  <c r="L229" i="25"/>
  <c r="M229" i="25" s="1"/>
  <c r="S229" i="25"/>
  <c r="L213" i="25"/>
  <c r="M213" i="25" s="1"/>
  <c r="S213" i="25"/>
  <c r="L197" i="25"/>
  <c r="M197" i="25" s="1"/>
  <c r="S197" i="25"/>
  <c r="L181" i="25"/>
  <c r="M181" i="25" s="1"/>
  <c r="S181" i="25"/>
  <c r="L167" i="25"/>
  <c r="M167" i="25" s="1"/>
  <c r="S167" i="25"/>
  <c r="L159" i="25"/>
  <c r="M159" i="25" s="1"/>
  <c r="S159" i="25"/>
  <c r="L151" i="25"/>
  <c r="M151" i="25" s="1"/>
  <c r="S151" i="25"/>
  <c r="L143" i="25"/>
  <c r="M143" i="25" s="1"/>
  <c r="S143" i="25"/>
  <c r="L135" i="25"/>
  <c r="M135" i="25" s="1"/>
  <c r="S135" i="25"/>
  <c r="L127" i="25"/>
  <c r="M127" i="25" s="1"/>
  <c r="S127" i="25"/>
  <c r="L119" i="25"/>
  <c r="M119" i="25" s="1"/>
  <c r="S119" i="25"/>
  <c r="L111" i="25"/>
  <c r="M111" i="25" s="1"/>
  <c r="S111" i="25"/>
  <c r="L103" i="25"/>
  <c r="M103" i="25" s="1"/>
  <c r="S103" i="25"/>
  <c r="L95" i="25"/>
  <c r="M95" i="25" s="1"/>
  <c r="S95" i="25"/>
  <c r="L87" i="25"/>
  <c r="M87" i="25" s="1"/>
  <c r="S87" i="25"/>
  <c r="L293" i="25"/>
  <c r="M293" i="25" s="1"/>
  <c r="S293" i="25"/>
  <c r="S172" i="25"/>
  <c r="L172" i="25"/>
  <c r="M172" i="25" s="1"/>
  <c r="L315" i="25"/>
  <c r="M315" i="25" s="1"/>
  <c r="S315" i="25"/>
  <c r="L331" i="25"/>
  <c r="M331" i="25" s="1"/>
  <c r="S331" i="25"/>
  <c r="S341" i="25"/>
  <c r="L341" i="25"/>
  <c r="M341" i="25" s="1"/>
  <c r="S347" i="25"/>
  <c r="L347" i="25"/>
  <c r="M347" i="25" s="1"/>
  <c r="S352" i="25"/>
  <c r="L352" i="25"/>
  <c r="M352" i="25" s="1"/>
  <c r="S357" i="25"/>
  <c r="L357" i="25"/>
  <c r="M357" i="25" s="1"/>
  <c r="S363" i="25"/>
  <c r="L363" i="25"/>
  <c r="M363" i="25" s="1"/>
  <c r="S368" i="25"/>
  <c r="L368" i="25"/>
  <c r="M368" i="25" s="1"/>
  <c r="L305" i="25"/>
  <c r="M305" i="25" s="1"/>
  <c r="S305" i="25"/>
  <c r="S310" i="25"/>
  <c r="L310" i="25"/>
  <c r="M310" i="25" s="1"/>
  <c r="S316" i="25"/>
  <c r="L316" i="25"/>
  <c r="M316" i="25" s="1"/>
  <c r="L321" i="25"/>
  <c r="M321" i="25" s="1"/>
  <c r="S321" i="25"/>
  <c r="S326" i="25"/>
  <c r="L326" i="25"/>
  <c r="M326" i="25" s="1"/>
  <c r="S332" i="25"/>
  <c r="L332" i="25"/>
  <c r="M332" i="25" s="1"/>
  <c r="L337" i="25"/>
  <c r="M337" i="25" s="1"/>
  <c r="S337" i="25"/>
  <c r="L350" i="25"/>
  <c r="M350" i="25" s="1"/>
  <c r="S350" i="25"/>
  <c r="L366" i="25"/>
  <c r="M366" i="25" s="1"/>
  <c r="S366" i="25"/>
  <c r="S284" i="25"/>
  <c r="L284" i="25"/>
  <c r="M284" i="25" s="1"/>
  <c r="L268" i="25"/>
  <c r="M268" i="25" s="1"/>
  <c r="S268" i="25"/>
  <c r="S252" i="25"/>
  <c r="L252" i="25"/>
  <c r="M252" i="25" s="1"/>
  <c r="S236" i="25"/>
  <c r="L236" i="25"/>
  <c r="M236" i="25" s="1"/>
  <c r="S220" i="25"/>
  <c r="L220" i="25"/>
  <c r="M220" i="25" s="1"/>
  <c r="L204" i="25"/>
  <c r="M204" i="25" s="1"/>
  <c r="S204" i="25"/>
  <c r="S188" i="25"/>
  <c r="L188" i="25"/>
  <c r="M188" i="25" s="1"/>
  <c r="L165" i="25"/>
  <c r="M165" i="25" s="1"/>
  <c r="S165" i="25"/>
  <c r="L158" i="25"/>
  <c r="M158" i="25" s="1"/>
  <c r="S158" i="25"/>
  <c r="L149" i="25"/>
  <c r="M149" i="25" s="1"/>
  <c r="S149" i="25"/>
  <c r="L142" i="25"/>
  <c r="M142" i="25" s="1"/>
  <c r="S142" i="25"/>
  <c r="L133" i="25"/>
  <c r="M133" i="25" s="1"/>
  <c r="S133" i="25"/>
  <c r="L126" i="25"/>
  <c r="M126" i="25" s="1"/>
  <c r="S126" i="25"/>
  <c r="L117" i="25"/>
  <c r="M117" i="25" s="1"/>
  <c r="S117" i="25"/>
  <c r="L110" i="25"/>
  <c r="M110" i="25" s="1"/>
  <c r="S110" i="25"/>
  <c r="L101" i="25"/>
  <c r="M101" i="25" s="1"/>
  <c r="S101" i="25"/>
  <c r="L94" i="25"/>
  <c r="M94" i="25" s="1"/>
  <c r="S94" i="25"/>
  <c r="L85" i="25"/>
  <c r="M85" i="25" s="1"/>
  <c r="S85" i="25"/>
  <c r="L175" i="25"/>
  <c r="M175" i="25" s="1"/>
  <c r="S175" i="25"/>
  <c r="L183" i="25"/>
  <c r="M183" i="25" s="1"/>
  <c r="S183" i="25"/>
  <c r="L191" i="25"/>
  <c r="M191" i="25" s="1"/>
  <c r="S191" i="25"/>
  <c r="L199" i="25"/>
  <c r="M199" i="25" s="1"/>
  <c r="S199" i="25"/>
  <c r="L207" i="25"/>
  <c r="M207" i="25" s="1"/>
  <c r="S207" i="25"/>
  <c r="L215" i="25"/>
  <c r="M215" i="25" s="1"/>
  <c r="S215" i="25"/>
  <c r="L223" i="25"/>
  <c r="M223" i="25" s="1"/>
  <c r="S223" i="25"/>
  <c r="L231" i="25"/>
  <c r="M231" i="25" s="1"/>
  <c r="S231" i="25"/>
  <c r="L239" i="25"/>
  <c r="M239" i="25" s="1"/>
  <c r="S239" i="25"/>
  <c r="L247" i="25"/>
  <c r="M247" i="25" s="1"/>
  <c r="S247" i="25"/>
  <c r="L255" i="25"/>
  <c r="M255" i="25" s="1"/>
  <c r="S255" i="25"/>
  <c r="L263" i="25"/>
  <c r="M263" i="25" s="1"/>
  <c r="S263" i="25"/>
  <c r="L271" i="25"/>
  <c r="M271" i="25" s="1"/>
  <c r="S271" i="25"/>
  <c r="L279" i="25"/>
  <c r="M279" i="25" s="1"/>
  <c r="S279" i="25"/>
  <c r="L289" i="25"/>
  <c r="M289" i="25" s="1"/>
  <c r="S289" i="25"/>
  <c r="L297" i="25"/>
  <c r="M297" i="25" s="1"/>
  <c r="S297" i="25"/>
  <c r="L299" i="25"/>
  <c r="M299" i="25" s="1"/>
  <c r="S299" i="25"/>
  <c r="L274" i="25"/>
  <c r="M274" i="25" s="1"/>
  <c r="S274" i="25"/>
  <c r="L258" i="25"/>
  <c r="M258" i="25" s="1"/>
  <c r="S258" i="25"/>
  <c r="L242" i="25"/>
  <c r="M242" i="25" s="1"/>
  <c r="S242" i="25"/>
  <c r="S226" i="25"/>
  <c r="L226" i="25"/>
  <c r="M226" i="25" s="1"/>
  <c r="S210" i="25"/>
  <c r="L210" i="25"/>
  <c r="M210" i="25" s="1"/>
  <c r="S194" i="25"/>
  <c r="L194" i="25"/>
  <c r="M194" i="25" s="1"/>
  <c r="S178" i="25"/>
  <c r="L178" i="25"/>
  <c r="M178" i="25" s="1"/>
  <c r="S160" i="25"/>
  <c r="L160" i="25"/>
  <c r="M160" i="25" s="1"/>
  <c r="S152" i="25"/>
  <c r="L152" i="25"/>
  <c r="M152" i="25" s="1"/>
  <c r="S144" i="25"/>
  <c r="L144" i="25"/>
  <c r="M144" i="25" s="1"/>
  <c r="S136" i="25"/>
  <c r="L136" i="25"/>
  <c r="M136" i="25" s="1"/>
  <c r="S128" i="25"/>
  <c r="L128" i="25"/>
  <c r="M128" i="25" s="1"/>
  <c r="S120" i="25"/>
  <c r="L120" i="25"/>
  <c r="M120" i="25" s="1"/>
  <c r="S112" i="25"/>
  <c r="L112" i="25"/>
  <c r="M112" i="25" s="1"/>
  <c r="S104" i="25"/>
  <c r="L104" i="25"/>
  <c r="M104" i="25" s="1"/>
  <c r="S96" i="25"/>
  <c r="L96" i="25"/>
  <c r="M96" i="25" s="1"/>
  <c r="S88" i="25"/>
  <c r="L88" i="25"/>
  <c r="M88" i="25" s="1"/>
  <c r="S294" i="25"/>
  <c r="L294" i="25"/>
  <c r="M294" i="25" s="1"/>
  <c r="L173" i="25"/>
  <c r="M173" i="25" s="1"/>
  <c r="S173" i="25"/>
  <c r="S302" i="25"/>
  <c r="L302" i="25"/>
  <c r="M302" i="25" s="1"/>
  <c r="L311" i="25"/>
  <c r="M311" i="25" s="1"/>
  <c r="S311" i="25"/>
  <c r="L327" i="25"/>
  <c r="M327" i="25" s="1"/>
  <c r="S327" i="25"/>
  <c r="S340" i="25"/>
  <c r="L340" i="25"/>
  <c r="M340" i="25" s="1"/>
  <c r="L345" i="25"/>
  <c r="M345" i="25" s="1"/>
  <c r="S345" i="25"/>
  <c r="L351" i="25"/>
  <c r="M351" i="25" s="1"/>
  <c r="S351" i="25"/>
  <c r="S356" i="25"/>
  <c r="L356" i="25"/>
  <c r="M356" i="25" s="1"/>
  <c r="L361" i="25"/>
  <c r="M361" i="25" s="1"/>
  <c r="S361" i="25"/>
  <c r="L367" i="25"/>
  <c r="M367" i="25" s="1"/>
  <c r="S367" i="25"/>
  <c r="L304" i="25"/>
  <c r="M304" i="25" s="1"/>
  <c r="S304" i="25"/>
  <c r="S309" i="25"/>
  <c r="L309" i="25"/>
  <c r="M309" i="25" s="1"/>
  <c r="L314" i="25"/>
  <c r="M314" i="25" s="1"/>
  <c r="S314" i="25"/>
  <c r="L320" i="25"/>
  <c r="M320" i="25" s="1"/>
  <c r="S320" i="25"/>
  <c r="S325" i="25"/>
  <c r="L325" i="25"/>
  <c r="M325" i="25" s="1"/>
  <c r="L330" i="25"/>
  <c r="M330" i="25" s="1"/>
  <c r="S330" i="25"/>
  <c r="L336" i="25"/>
  <c r="M336" i="25" s="1"/>
  <c r="S336" i="25"/>
  <c r="L346" i="25"/>
  <c r="M346" i="25" s="1"/>
  <c r="S346" i="25"/>
  <c r="L362" i="25"/>
  <c r="M362" i="25" s="1"/>
  <c r="S362" i="25"/>
  <c r="L287" i="25"/>
  <c r="M287" i="25" s="1"/>
  <c r="S287" i="25"/>
  <c r="L283" i="25"/>
  <c r="M283" i="25" s="1"/>
  <c r="S283" i="25"/>
  <c r="L267" i="25"/>
  <c r="M267" i="25" s="1"/>
  <c r="S267" i="25"/>
  <c r="L251" i="25"/>
  <c r="M251" i="25" s="1"/>
  <c r="S251" i="25"/>
  <c r="L235" i="25"/>
  <c r="M235" i="25" s="1"/>
  <c r="S235" i="25"/>
  <c r="L219" i="25"/>
  <c r="M219" i="25" s="1"/>
  <c r="S219" i="25"/>
  <c r="L203" i="25"/>
  <c r="M203" i="25" s="1"/>
  <c r="S203" i="25"/>
  <c r="L187" i="25"/>
  <c r="M187" i="25" s="1"/>
  <c r="S187" i="25"/>
  <c r="S164" i="25"/>
  <c r="L164" i="25"/>
  <c r="M164" i="25" s="1"/>
  <c r="L155" i="25"/>
  <c r="M155" i="25" s="1"/>
  <c r="S155" i="25"/>
  <c r="S148" i="25"/>
  <c r="L148" i="25"/>
  <c r="M148" i="25" s="1"/>
  <c r="L139" i="25"/>
  <c r="M139" i="25" s="1"/>
  <c r="S139" i="25"/>
  <c r="S132" i="25"/>
  <c r="L132" i="25"/>
  <c r="M132" i="25" s="1"/>
  <c r="L123" i="25"/>
  <c r="M123" i="25" s="1"/>
  <c r="S123" i="25"/>
  <c r="S116" i="25"/>
  <c r="L116" i="25"/>
  <c r="M116" i="25" s="1"/>
  <c r="L107" i="25"/>
  <c r="M107" i="25" s="1"/>
  <c r="S107" i="25"/>
  <c r="S100" i="25"/>
  <c r="L100" i="25"/>
  <c r="M100" i="25" s="1"/>
  <c r="L91" i="25"/>
  <c r="M91" i="25" s="1"/>
  <c r="S91" i="25"/>
  <c r="S168" i="25"/>
  <c r="L168" i="25"/>
  <c r="M168" i="25" s="1"/>
  <c r="S176" i="25"/>
  <c r="L176" i="25"/>
  <c r="M176" i="25" s="1"/>
  <c r="S184" i="25"/>
  <c r="L184" i="25"/>
  <c r="M184" i="25" s="1"/>
  <c r="S192" i="25"/>
  <c r="L192" i="25"/>
  <c r="M192" i="25" s="1"/>
  <c r="S200" i="25"/>
  <c r="L200" i="25"/>
  <c r="M200" i="25" s="1"/>
  <c r="S208" i="25"/>
  <c r="L208" i="25"/>
  <c r="M208" i="25" s="1"/>
  <c r="S216" i="25"/>
  <c r="L216" i="25"/>
  <c r="M216" i="25" s="1"/>
  <c r="S224" i="25"/>
  <c r="L224" i="25"/>
  <c r="M224" i="25" s="1"/>
  <c r="S232" i="25"/>
  <c r="L232" i="25"/>
  <c r="M232" i="25" s="1"/>
  <c r="S240" i="25"/>
  <c r="L240" i="25"/>
  <c r="M240" i="25" s="1"/>
  <c r="S248" i="25"/>
  <c r="L248" i="25"/>
  <c r="M248" i="25" s="1"/>
  <c r="S256" i="25"/>
  <c r="L256" i="25"/>
  <c r="M256" i="25" s="1"/>
  <c r="S264" i="25"/>
  <c r="L264" i="25"/>
  <c r="M264" i="25" s="1"/>
  <c r="S272" i="25"/>
  <c r="L272" i="25"/>
  <c r="M272" i="25" s="1"/>
  <c r="S280" i="25"/>
  <c r="L280" i="25"/>
  <c r="M280" i="25" s="1"/>
  <c r="S290" i="25"/>
  <c r="L290" i="25"/>
  <c r="M290" i="25" s="1"/>
  <c r="S298" i="25"/>
  <c r="L298" i="25"/>
  <c r="M298" i="25" s="1"/>
  <c r="L275" i="25"/>
  <c r="M275" i="25" s="1"/>
  <c r="S275" i="25"/>
  <c r="L259" i="25"/>
  <c r="M259" i="25" s="1"/>
  <c r="S259" i="25"/>
  <c r="L243" i="25"/>
  <c r="M243" i="25" s="1"/>
  <c r="S243" i="25"/>
  <c r="L227" i="25"/>
  <c r="M227" i="25" s="1"/>
  <c r="S227" i="25"/>
  <c r="L211" i="25"/>
  <c r="M211" i="25" s="1"/>
  <c r="S211" i="25"/>
  <c r="L195" i="25"/>
  <c r="M195" i="25" s="1"/>
  <c r="S195" i="25"/>
  <c r="L179" i="25"/>
  <c r="M179" i="25" s="1"/>
  <c r="S179" i="25"/>
  <c r="L161" i="25"/>
  <c r="M161" i="25" s="1"/>
  <c r="S161" i="25"/>
  <c r="L153" i="25"/>
  <c r="M153" i="25" s="1"/>
  <c r="S153" i="25"/>
  <c r="L145" i="25"/>
  <c r="M145" i="25" s="1"/>
  <c r="S145" i="25"/>
  <c r="L137" i="25"/>
  <c r="M137" i="25" s="1"/>
  <c r="S137" i="25"/>
  <c r="L129" i="25"/>
  <c r="M129" i="25" s="1"/>
  <c r="S129" i="25"/>
  <c r="L121" i="25"/>
  <c r="M121" i="25" s="1"/>
  <c r="S121" i="25"/>
  <c r="L113" i="25"/>
  <c r="M113" i="25" s="1"/>
  <c r="S113" i="25"/>
  <c r="L105" i="25"/>
  <c r="M105" i="25" s="1"/>
  <c r="S105" i="25"/>
  <c r="L97" i="25"/>
  <c r="M97" i="25" s="1"/>
  <c r="S97" i="25"/>
  <c r="L89" i="25"/>
  <c r="M89" i="25" s="1"/>
  <c r="S89" i="25"/>
  <c r="L295" i="25"/>
  <c r="M295" i="25" s="1"/>
  <c r="S295" i="25"/>
  <c r="L174" i="25"/>
  <c r="M174" i="25" s="1"/>
  <c r="S174" i="25"/>
  <c r="L307" i="25"/>
  <c r="M307" i="25" s="1"/>
  <c r="S307" i="25"/>
  <c r="L323" i="25"/>
  <c r="M323" i="25" s="1"/>
  <c r="S323" i="25"/>
  <c r="S339" i="25"/>
  <c r="L339" i="25"/>
  <c r="M339" i="25" s="1"/>
  <c r="L344" i="25"/>
  <c r="M344" i="25" s="1"/>
  <c r="S344" i="25"/>
  <c r="S349" i="25"/>
  <c r="L349" i="25"/>
  <c r="M349" i="25" s="1"/>
  <c r="S355" i="25"/>
  <c r="L355" i="25"/>
  <c r="M355" i="25" s="1"/>
  <c r="L360" i="25"/>
  <c r="M360" i="25" s="1"/>
  <c r="S360" i="25"/>
  <c r="S365" i="25"/>
  <c r="L365" i="25"/>
  <c r="M365" i="25" s="1"/>
  <c r="S371" i="25"/>
  <c r="L371" i="25"/>
  <c r="M371" i="25" s="1"/>
  <c r="S308" i="25"/>
  <c r="L308" i="25"/>
  <c r="M308" i="25" s="1"/>
  <c r="L313" i="25"/>
  <c r="M313" i="25" s="1"/>
  <c r="S313" i="25"/>
  <c r="S318" i="25"/>
  <c r="L318" i="25"/>
  <c r="M318" i="25" s="1"/>
  <c r="S324" i="25"/>
  <c r="L324" i="25"/>
  <c r="M324" i="25" s="1"/>
  <c r="L329" i="25"/>
  <c r="M329" i="25" s="1"/>
  <c r="S329" i="25"/>
  <c r="S334" i="25"/>
  <c r="L334" i="25"/>
  <c r="M334" i="25" s="1"/>
  <c r="L342" i="25"/>
  <c r="M342" i="25" s="1"/>
  <c r="S342" i="25"/>
  <c r="L358" i="25"/>
  <c r="M358" i="25" s="1"/>
  <c r="S358" i="25"/>
  <c r="S286" i="25"/>
  <c r="L286" i="25"/>
  <c r="M286" i="25" s="1"/>
  <c r="S282" i="25"/>
  <c r="L282" i="25"/>
  <c r="M282" i="25" s="1"/>
  <c r="S266" i="25"/>
  <c r="L266" i="25"/>
  <c r="M266" i="25" s="1"/>
  <c r="S250" i="25"/>
  <c r="L250" i="25"/>
  <c r="M250" i="25" s="1"/>
  <c r="S234" i="25"/>
  <c r="L234" i="25"/>
  <c r="M234" i="25" s="1"/>
  <c r="S218" i="25"/>
  <c r="L218" i="25"/>
  <c r="M218" i="25" s="1"/>
  <c r="S202" i="25"/>
  <c r="L202" i="25"/>
  <c r="M202" i="25" s="1"/>
  <c r="S186" i="25"/>
  <c r="L186" i="25"/>
  <c r="M186" i="25" s="1"/>
  <c r="L163" i="25"/>
  <c r="M163" i="25" s="1"/>
  <c r="S163" i="25"/>
  <c r="S156" i="25"/>
  <c r="L156" i="25"/>
  <c r="M156" i="25" s="1"/>
  <c r="L147" i="25"/>
  <c r="M147" i="25" s="1"/>
  <c r="S147" i="25"/>
  <c r="S140" i="25"/>
  <c r="L140" i="25"/>
  <c r="M140" i="25" s="1"/>
  <c r="L131" i="25"/>
  <c r="M131" i="25" s="1"/>
  <c r="S131" i="25"/>
  <c r="S124" i="25"/>
  <c r="L124" i="25"/>
  <c r="M124" i="25" s="1"/>
  <c r="L115" i="25"/>
  <c r="M115" i="25" s="1"/>
  <c r="S115" i="25"/>
  <c r="S108" i="25"/>
  <c r="L108" i="25"/>
  <c r="M108" i="25" s="1"/>
  <c r="L99" i="25"/>
  <c r="M99" i="25" s="1"/>
  <c r="S99" i="25"/>
  <c r="S92" i="25"/>
  <c r="L92" i="25"/>
  <c r="M92" i="25" s="1"/>
  <c r="L169" i="25"/>
  <c r="M169" i="25" s="1"/>
  <c r="S169" i="25"/>
  <c r="L177" i="25"/>
  <c r="M177" i="25" s="1"/>
  <c r="S177" i="25"/>
  <c r="L185" i="25"/>
  <c r="M185" i="25" s="1"/>
  <c r="S185" i="25"/>
  <c r="L193" i="25"/>
  <c r="M193" i="25" s="1"/>
  <c r="S193" i="25"/>
  <c r="L201" i="25"/>
  <c r="M201" i="25" s="1"/>
  <c r="S201" i="25"/>
  <c r="L209" i="25"/>
  <c r="M209" i="25" s="1"/>
  <c r="S209" i="25"/>
  <c r="L217" i="25"/>
  <c r="M217" i="25" s="1"/>
  <c r="S217" i="25"/>
  <c r="L225" i="25"/>
  <c r="M225" i="25" s="1"/>
  <c r="S225" i="25"/>
  <c r="L233" i="25"/>
  <c r="M233" i="25" s="1"/>
  <c r="S233" i="25"/>
  <c r="L241" i="25"/>
  <c r="M241" i="25" s="1"/>
  <c r="S241" i="25"/>
  <c r="L249" i="25"/>
  <c r="M249" i="25" s="1"/>
  <c r="S249" i="25"/>
  <c r="L257" i="25"/>
  <c r="M257" i="25" s="1"/>
  <c r="S257" i="25"/>
  <c r="L265" i="25"/>
  <c r="M265" i="25" s="1"/>
  <c r="S265" i="25"/>
  <c r="L273" i="25"/>
  <c r="M273" i="25" s="1"/>
  <c r="S273" i="25"/>
  <c r="L281" i="25"/>
  <c r="M281" i="25" s="1"/>
  <c r="S281" i="25"/>
  <c r="L291" i="25"/>
  <c r="M291" i="25" s="1"/>
  <c r="S291" i="25"/>
  <c r="L303" i="25"/>
  <c r="M303" i="25" s="1"/>
  <c r="S303" i="25"/>
  <c r="S276" i="25"/>
  <c r="L276" i="25"/>
  <c r="M276" i="25" s="1"/>
  <c r="S260" i="25"/>
  <c r="L260" i="25"/>
  <c r="M260" i="25" s="1"/>
  <c r="S244" i="25"/>
  <c r="L244" i="25"/>
  <c r="M244" i="25" s="1"/>
  <c r="S228" i="25"/>
  <c r="L228" i="25"/>
  <c r="M228" i="25" s="1"/>
  <c r="S212" i="25"/>
  <c r="L212" i="25"/>
  <c r="M212" i="25" s="1"/>
  <c r="S196" i="25"/>
  <c r="L196" i="25"/>
  <c r="M196" i="25" s="1"/>
  <c r="S180" i="25"/>
  <c r="L180" i="25"/>
  <c r="M180" i="25" s="1"/>
  <c r="S162" i="25"/>
  <c r="L162" i="25"/>
  <c r="M162" i="25" s="1"/>
  <c r="S154" i="25"/>
  <c r="L154" i="25"/>
  <c r="M154" i="25" s="1"/>
  <c r="S146" i="25"/>
  <c r="L146" i="25"/>
  <c r="M146" i="25" s="1"/>
  <c r="S138" i="25"/>
  <c r="L138" i="25"/>
  <c r="M138" i="25" s="1"/>
  <c r="S130" i="25"/>
  <c r="L130" i="25"/>
  <c r="M130" i="25" s="1"/>
  <c r="S122" i="25"/>
  <c r="L122" i="25"/>
  <c r="M122" i="25" s="1"/>
  <c r="S114" i="25"/>
  <c r="L114" i="25"/>
  <c r="M114" i="25" s="1"/>
  <c r="S106" i="25"/>
  <c r="L106" i="25"/>
  <c r="M106" i="25" s="1"/>
  <c r="S98" i="25"/>
  <c r="L98" i="25"/>
  <c r="M98" i="25" s="1"/>
  <c r="S90" i="25"/>
  <c r="L90" i="25"/>
  <c r="M90" i="25" s="1"/>
  <c r="S300" i="25"/>
  <c r="L300" i="25"/>
  <c r="M300" i="25" s="1"/>
  <c r="S292" i="25"/>
  <c r="L292" i="25"/>
  <c r="M292" i="25" s="1"/>
  <c r="L171" i="25"/>
  <c r="M171" i="25" s="1"/>
  <c r="S171" i="25"/>
  <c r="L301" i="25"/>
  <c r="M301" i="25" s="1"/>
  <c r="S301" i="25"/>
  <c r="W374" i="20"/>
  <c r="X5" i="20" s="1"/>
  <c r="AI11" i="20" s="1"/>
  <c r="S84" i="25"/>
  <c r="L84" i="25"/>
  <c r="M84" i="25" s="1"/>
  <c r="S80" i="25"/>
  <c r="L80" i="25"/>
  <c r="M80" i="25" s="1"/>
  <c r="S76" i="25"/>
  <c r="L76" i="25"/>
  <c r="M76" i="25" s="1"/>
  <c r="S72" i="25"/>
  <c r="L72" i="25"/>
  <c r="M72" i="25" s="1"/>
  <c r="S68" i="25"/>
  <c r="L68" i="25"/>
  <c r="M68" i="25" s="1"/>
  <c r="S64" i="25"/>
  <c r="L64" i="25"/>
  <c r="M64" i="25" s="1"/>
  <c r="S60" i="25"/>
  <c r="L60" i="25"/>
  <c r="M60" i="25" s="1"/>
  <c r="S56" i="25"/>
  <c r="L56" i="25"/>
  <c r="M56" i="25" s="1"/>
  <c r="S52" i="25"/>
  <c r="L52" i="25"/>
  <c r="M52" i="25" s="1"/>
  <c r="S48" i="25"/>
  <c r="L48" i="25"/>
  <c r="M48" i="25" s="1"/>
  <c r="S44" i="25"/>
  <c r="L44" i="25"/>
  <c r="M44" i="25" s="1"/>
  <c r="S40" i="25"/>
  <c r="L40" i="25"/>
  <c r="M40" i="25" s="1"/>
  <c r="S36" i="25"/>
  <c r="L36" i="25"/>
  <c r="M36" i="25" s="1"/>
  <c r="S32" i="25"/>
  <c r="L32" i="25"/>
  <c r="M32" i="25" s="1"/>
  <c r="S28" i="25"/>
  <c r="L28" i="25"/>
  <c r="M28" i="25" s="1"/>
  <c r="S24" i="25"/>
  <c r="L24" i="25"/>
  <c r="M24" i="25" s="1"/>
  <c r="S20" i="25"/>
  <c r="L20" i="25"/>
  <c r="M20" i="25" s="1"/>
  <c r="S16" i="25"/>
  <c r="L16" i="25"/>
  <c r="M16" i="25" s="1"/>
  <c r="S12" i="25"/>
  <c r="L12" i="25"/>
  <c r="M12" i="25" s="1"/>
  <c r="S8" i="25"/>
  <c r="L8" i="25"/>
  <c r="M8" i="25" s="1"/>
  <c r="S4" i="25"/>
  <c r="L4" i="25"/>
  <c r="M4" i="25" s="1"/>
  <c r="S81" i="25"/>
  <c r="L81" i="25"/>
  <c r="M81" i="25" s="1"/>
  <c r="S77" i="25"/>
  <c r="L77" i="25"/>
  <c r="M77" i="25" s="1"/>
  <c r="S73" i="25"/>
  <c r="L73" i="25"/>
  <c r="M73" i="25" s="1"/>
  <c r="S69" i="25"/>
  <c r="L69" i="25"/>
  <c r="M69" i="25" s="1"/>
  <c r="S65" i="25"/>
  <c r="L65" i="25"/>
  <c r="M65" i="25" s="1"/>
  <c r="S61" i="25"/>
  <c r="L61" i="25"/>
  <c r="M61" i="25" s="1"/>
  <c r="S57" i="25"/>
  <c r="L57" i="25"/>
  <c r="M57" i="25" s="1"/>
  <c r="S53" i="25"/>
  <c r="L53" i="25"/>
  <c r="M53" i="25" s="1"/>
  <c r="S49" i="25"/>
  <c r="L49" i="25"/>
  <c r="M49" i="25" s="1"/>
  <c r="S45" i="25"/>
  <c r="L45" i="25"/>
  <c r="M45" i="25" s="1"/>
  <c r="S41" i="25"/>
  <c r="L41" i="25"/>
  <c r="M41" i="25" s="1"/>
  <c r="S37" i="25"/>
  <c r="L37" i="25"/>
  <c r="M37" i="25" s="1"/>
  <c r="S33" i="25"/>
  <c r="L33" i="25"/>
  <c r="M33" i="25" s="1"/>
  <c r="S29" i="25"/>
  <c r="L29" i="25"/>
  <c r="M29" i="25" s="1"/>
  <c r="S25" i="25"/>
  <c r="L25" i="25"/>
  <c r="M25" i="25" s="1"/>
  <c r="S21" i="25"/>
  <c r="L21" i="25"/>
  <c r="M21" i="25" s="1"/>
  <c r="S17" i="25"/>
  <c r="L17" i="25"/>
  <c r="M17" i="25" s="1"/>
  <c r="S13" i="25"/>
  <c r="L13" i="25"/>
  <c r="M13" i="25" s="1"/>
  <c r="S9" i="25"/>
  <c r="L9" i="25"/>
  <c r="M9" i="25" s="1"/>
  <c r="S5" i="25"/>
  <c r="L5" i="25"/>
  <c r="M5" i="25" s="1"/>
  <c r="S82" i="25"/>
  <c r="L82" i="25"/>
  <c r="M82" i="25" s="1"/>
  <c r="S78" i="25"/>
  <c r="L78" i="25"/>
  <c r="M78" i="25" s="1"/>
  <c r="S74" i="25"/>
  <c r="L74" i="25"/>
  <c r="M74" i="25" s="1"/>
  <c r="S70" i="25"/>
  <c r="L70" i="25"/>
  <c r="M70" i="25" s="1"/>
  <c r="S66" i="25"/>
  <c r="L66" i="25"/>
  <c r="M66" i="25" s="1"/>
  <c r="S62" i="25"/>
  <c r="L62" i="25"/>
  <c r="M62" i="25" s="1"/>
  <c r="S58" i="25"/>
  <c r="L58" i="25"/>
  <c r="M58" i="25" s="1"/>
  <c r="S54" i="25"/>
  <c r="L54" i="25"/>
  <c r="M54" i="25" s="1"/>
  <c r="S50" i="25"/>
  <c r="L50" i="25"/>
  <c r="M50" i="25" s="1"/>
  <c r="S46" i="25"/>
  <c r="L46" i="25"/>
  <c r="M46" i="25" s="1"/>
  <c r="S42" i="25"/>
  <c r="L42" i="25"/>
  <c r="M42" i="25" s="1"/>
  <c r="S38" i="25"/>
  <c r="L38" i="25"/>
  <c r="M38" i="25" s="1"/>
  <c r="S34" i="25"/>
  <c r="L34" i="25"/>
  <c r="M34" i="25" s="1"/>
  <c r="S30" i="25"/>
  <c r="L30" i="25"/>
  <c r="M30" i="25" s="1"/>
  <c r="S26" i="25"/>
  <c r="L26" i="25"/>
  <c r="M26" i="25" s="1"/>
  <c r="S22" i="25"/>
  <c r="L22" i="25"/>
  <c r="M22" i="25" s="1"/>
  <c r="S18" i="25"/>
  <c r="L18" i="25"/>
  <c r="M18" i="25" s="1"/>
  <c r="S14" i="25"/>
  <c r="L14" i="25"/>
  <c r="M14" i="25" s="1"/>
  <c r="S10" i="25"/>
  <c r="L10" i="25"/>
  <c r="M10" i="25" s="1"/>
  <c r="S6" i="25"/>
  <c r="L6" i="25"/>
  <c r="M6" i="25" s="1"/>
  <c r="S83" i="25"/>
  <c r="L83" i="25"/>
  <c r="M83" i="25" s="1"/>
  <c r="S79" i="25"/>
  <c r="L79" i="25"/>
  <c r="M79" i="25" s="1"/>
  <c r="S75" i="25"/>
  <c r="L75" i="25"/>
  <c r="M75" i="25" s="1"/>
  <c r="S71" i="25"/>
  <c r="L71" i="25"/>
  <c r="M71" i="25" s="1"/>
  <c r="S67" i="25"/>
  <c r="L67" i="25"/>
  <c r="M67" i="25" s="1"/>
  <c r="S63" i="25"/>
  <c r="L63" i="25"/>
  <c r="M63" i="25" s="1"/>
  <c r="S59" i="25"/>
  <c r="L59" i="25"/>
  <c r="M59" i="25" s="1"/>
  <c r="S55" i="25"/>
  <c r="L55" i="25"/>
  <c r="M55" i="25" s="1"/>
  <c r="S51" i="25"/>
  <c r="L51" i="25"/>
  <c r="M51" i="25" s="1"/>
  <c r="S47" i="25"/>
  <c r="L47" i="25"/>
  <c r="M47" i="25" s="1"/>
  <c r="S43" i="25"/>
  <c r="L43" i="25"/>
  <c r="M43" i="25" s="1"/>
  <c r="S39" i="25"/>
  <c r="L39" i="25"/>
  <c r="M39" i="25" s="1"/>
  <c r="S35" i="25"/>
  <c r="L35" i="25"/>
  <c r="M35" i="25" s="1"/>
  <c r="S31" i="25"/>
  <c r="L31" i="25"/>
  <c r="M31" i="25" s="1"/>
  <c r="S27" i="25"/>
  <c r="L27" i="25"/>
  <c r="M27" i="25" s="1"/>
  <c r="S23" i="25"/>
  <c r="L23" i="25"/>
  <c r="M23" i="25" s="1"/>
  <c r="S19" i="25"/>
  <c r="L19" i="25"/>
  <c r="M19" i="25" s="1"/>
  <c r="S15" i="25"/>
  <c r="L15" i="25"/>
  <c r="M15" i="25" s="1"/>
  <c r="S11" i="25"/>
  <c r="L11" i="25"/>
  <c r="M11" i="25" s="1"/>
  <c r="S7" i="25"/>
  <c r="L7" i="25"/>
  <c r="M7" i="25" s="1"/>
  <c r="S3" i="25"/>
  <c r="K372" i="25"/>
  <c r="L3" i="25"/>
  <c r="V5" i="20" l="1"/>
  <c r="Y5" i="20"/>
  <c r="AI9" i="20" s="1"/>
  <c r="N292" i="25"/>
  <c r="O292" i="25"/>
  <c r="O300" i="25"/>
  <c r="N300" i="25"/>
  <c r="N90" i="25"/>
  <c r="O90" i="25"/>
  <c r="N98" i="25"/>
  <c r="O98" i="25"/>
  <c r="O106" i="25"/>
  <c r="N106" i="25"/>
  <c r="N114" i="25"/>
  <c r="O114" i="25"/>
  <c r="O122" i="25"/>
  <c r="N122" i="25"/>
  <c r="N130" i="25"/>
  <c r="O130" i="25"/>
  <c r="N138" i="25"/>
  <c r="O138" i="25"/>
  <c r="N146" i="25"/>
  <c r="O146" i="25"/>
  <c r="O154" i="25"/>
  <c r="N154" i="25"/>
  <c r="N162" i="25"/>
  <c r="O162" i="25"/>
  <c r="O180" i="25"/>
  <c r="N180" i="25"/>
  <c r="O196" i="25"/>
  <c r="N196" i="25"/>
  <c r="O212" i="25"/>
  <c r="N212" i="25"/>
  <c r="O228" i="25"/>
  <c r="N228" i="25"/>
  <c r="O244" i="25"/>
  <c r="N244" i="25"/>
  <c r="O260" i="25"/>
  <c r="N260" i="25"/>
  <c r="O276" i="25"/>
  <c r="N276" i="25"/>
  <c r="O92" i="25"/>
  <c r="N92" i="25"/>
  <c r="O108" i="25"/>
  <c r="N108" i="25"/>
  <c r="O124" i="25"/>
  <c r="N124" i="25"/>
  <c r="O140" i="25"/>
  <c r="N140" i="25"/>
  <c r="O156" i="25"/>
  <c r="N156" i="25"/>
  <c r="O186" i="25"/>
  <c r="N186" i="25"/>
  <c r="N202" i="25"/>
  <c r="O202" i="25"/>
  <c r="O218" i="25"/>
  <c r="N218" i="25"/>
  <c r="N234" i="25"/>
  <c r="O234" i="25"/>
  <c r="O250" i="25"/>
  <c r="N250" i="25"/>
  <c r="O266" i="25"/>
  <c r="N266" i="25"/>
  <c r="N282" i="25"/>
  <c r="O282" i="25"/>
  <c r="O286" i="25"/>
  <c r="N286" i="25"/>
  <c r="N334" i="25"/>
  <c r="O334" i="25"/>
  <c r="N324" i="25"/>
  <c r="O324" i="25"/>
  <c r="N318" i="25"/>
  <c r="O318" i="25"/>
  <c r="N308" i="25"/>
  <c r="O308" i="25"/>
  <c r="N371" i="25"/>
  <c r="O371" i="25"/>
  <c r="O365" i="25"/>
  <c r="N365" i="25"/>
  <c r="N355" i="25"/>
  <c r="O355" i="25"/>
  <c r="O349" i="25"/>
  <c r="N349" i="25"/>
  <c r="N339" i="25"/>
  <c r="O339" i="25"/>
  <c r="O298" i="25"/>
  <c r="N298" i="25"/>
  <c r="N290" i="25"/>
  <c r="O290" i="25"/>
  <c r="O280" i="25"/>
  <c r="N280" i="25"/>
  <c r="O272" i="25"/>
  <c r="N272" i="25"/>
  <c r="O264" i="25"/>
  <c r="N264" i="25"/>
  <c r="O256" i="25"/>
  <c r="N256" i="25"/>
  <c r="O248" i="25"/>
  <c r="N248" i="25"/>
  <c r="O240" i="25"/>
  <c r="N240" i="25"/>
  <c r="O232" i="25"/>
  <c r="N232" i="25"/>
  <c r="O224" i="25"/>
  <c r="N224" i="25"/>
  <c r="O216" i="25"/>
  <c r="N216" i="25"/>
  <c r="O208" i="25"/>
  <c r="N208" i="25"/>
  <c r="O200" i="25"/>
  <c r="N200" i="25"/>
  <c r="O192" i="25"/>
  <c r="N192" i="25"/>
  <c r="O184" i="25"/>
  <c r="N184" i="25"/>
  <c r="N176" i="25"/>
  <c r="O176" i="25"/>
  <c r="N168" i="25"/>
  <c r="O168" i="25"/>
  <c r="N100" i="25"/>
  <c r="O100" i="25"/>
  <c r="N116" i="25"/>
  <c r="O116" i="25"/>
  <c r="N132" i="25"/>
  <c r="O132" i="25"/>
  <c r="O148" i="25"/>
  <c r="N148" i="25"/>
  <c r="N164" i="25"/>
  <c r="O164" i="25"/>
  <c r="O325" i="25"/>
  <c r="N325" i="25"/>
  <c r="O309" i="25"/>
  <c r="N309" i="25"/>
  <c r="O356" i="25"/>
  <c r="N356" i="25"/>
  <c r="O340" i="25"/>
  <c r="N340" i="25"/>
  <c r="N302" i="25"/>
  <c r="O302" i="25"/>
  <c r="N294" i="25"/>
  <c r="O294" i="25"/>
  <c r="N88" i="25"/>
  <c r="O88" i="25"/>
  <c r="N96" i="25"/>
  <c r="O96" i="25"/>
  <c r="N104" i="25"/>
  <c r="O104" i="25"/>
  <c r="N112" i="25"/>
  <c r="O112" i="25"/>
  <c r="N120" i="25"/>
  <c r="O120" i="25"/>
  <c r="O128" i="25"/>
  <c r="N128" i="25"/>
  <c r="N136" i="25"/>
  <c r="O136" i="25"/>
  <c r="N144" i="25"/>
  <c r="O144" i="25"/>
  <c r="N152" i="25"/>
  <c r="O152" i="25"/>
  <c r="N160" i="25"/>
  <c r="O160" i="25"/>
  <c r="N178" i="25"/>
  <c r="O178" i="25"/>
  <c r="N194" i="25"/>
  <c r="O194" i="25"/>
  <c r="O210" i="25"/>
  <c r="N210" i="25"/>
  <c r="O226" i="25"/>
  <c r="N226" i="25"/>
  <c r="O188" i="25"/>
  <c r="N188" i="25"/>
  <c r="N220" i="25"/>
  <c r="O220" i="25"/>
  <c r="N236" i="25"/>
  <c r="O236" i="25"/>
  <c r="O252" i="25"/>
  <c r="N252" i="25"/>
  <c r="O284" i="25"/>
  <c r="N284" i="25"/>
  <c r="N332" i="25"/>
  <c r="O332" i="25"/>
  <c r="N326" i="25"/>
  <c r="O326" i="25"/>
  <c r="N316" i="25"/>
  <c r="O316" i="25"/>
  <c r="N310" i="25"/>
  <c r="O310" i="25"/>
  <c r="N368" i="25"/>
  <c r="O368" i="25"/>
  <c r="N363" i="25"/>
  <c r="O363" i="25"/>
  <c r="O357" i="25"/>
  <c r="N357" i="25"/>
  <c r="N352" i="25"/>
  <c r="O352" i="25"/>
  <c r="N347" i="25"/>
  <c r="O347" i="25"/>
  <c r="O341" i="25"/>
  <c r="N341" i="25"/>
  <c r="N172" i="25"/>
  <c r="O172" i="25"/>
  <c r="N296" i="25"/>
  <c r="O296" i="25"/>
  <c r="O288" i="25"/>
  <c r="N288" i="25"/>
  <c r="O278" i="25"/>
  <c r="N278" i="25"/>
  <c r="O270" i="25"/>
  <c r="N270" i="25"/>
  <c r="N262" i="25"/>
  <c r="O262" i="25"/>
  <c r="O254" i="25"/>
  <c r="N254" i="25"/>
  <c r="N246" i="25"/>
  <c r="O246" i="25"/>
  <c r="N238" i="25"/>
  <c r="O238" i="25"/>
  <c r="O230" i="25"/>
  <c r="N230" i="25"/>
  <c r="N222" i="25"/>
  <c r="O222" i="25"/>
  <c r="N214" i="25"/>
  <c r="O214" i="25"/>
  <c r="N206" i="25"/>
  <c r="O206" i="25"/>
  <c r="O198" i="25"/>
  <c r="N198" i="25"/>
  <c r="N190" i="25"/>
  <c r="O190" i="25"/>
  <c r="N182" i="25"/>
  <c r="O182" i="25"/>
  <c r="O170" i="25"/>
  <c r="N170" i="25"/>
  <c r="O86" i="25"/>
  <c r="N86" i="25"/>
  <c r="O102" i="25"/>
  <c r="N102" i="25"/>
  <c r="O118" i="25"/>
  <c r="N118" i="25"/>
  <c r="O134" i="25"/>
  <c r="N134" i="25"/>
  <c r="O150" i="25"/>
  <c r="N150" i="25"/>
  <c r="O166" i="25"/>
  <c r="N166" i="25"/>
  <c r="O333" i="25"/>
  <c r="N333" i="25"/>
  <c r="O317" i="25"/>
  <c r="N317" i="25"/>
  <c r="N364" i="25"/>
  <c r="O364" i="25"/>
  <c r="N348" i="25"/>
  <c r="O348" i="25"/>
  <c r="O301" i="25"/>
  <c r="N301" i="25"/>
  <c r="N171" i="25"/>
  <c r="O171" i="25"/>
  <c r="O303" i="25"/>
  <c r="N303" i="25"/>
  <c r="O291" i="25"/>
  <c r="N291" i="25"/>
  <c r="N281" i="25"/>
  <c r="O281" i="25"/>
  <c r="N273" i="25"/>
  <c r="O273" i="25"/>
  <c r="N265" i="25"/>
  <c r="O265" i="25"/>
  <c r="N257" i="25"/>
  <c r="O257" i="25"/>
  <c r="N249" i="25"/>
  <c r="O249" i="25"/>
  <c r="N241" i="25"/>
  <c r="O241" i="25"/>
  <c r="N233" i="25"/>
  <c r="O233" i="25"/>
  <c r="N225" i="25"/>
  <c r="O225" i="25"/>
  <c r="N217" i="25"/>
  <c r="O217" i="25"/>
  <c r="N209" i="25"/>
  <c r="O209" i="25"/>
  <c r="N201" i="25"/>
  <c r="O201" i="25"/>
  <c r="N193" i="25"/>
  <c r="O193" i="25"/>
  <c r="O185" i="25"/>
  <c r="N185" i="25"/>
  <c r="O177" i="25"/>
  <c r="N177" i="25"/>
  <c r="N169" i="25"/>
  <c r="O169" i="25"/>
  <c r="O99" i="25"/>
  <c r="N99" i="25"/>
  <c r="O115" i="25"/>
  <c r="N115" i="25"/>
  <c r="O131" i="25"/>
  <c r="N131" i="25"/>
  <c r="O147" i="25"/>
  <c r="N147" i="25"/>
  <c r="O163" i="25"/>
  <c r="N163" i="25"/>
  <c r="N358" i="25"/>
  <c r="O358" i="25"/>
  <c r="N342" i="25"/>
  <c r="O342" i="25"/>
  <c r="O329" i="25"/>
  <c r="N329" i="25"/>
  <c r="O313" i="25"/>
  <c r="N313" i="25"/>
  <c r="N360" i="25"/>
  <c r="O360" i="25"/>
  <c r="N344" i="25"/>
  <c r="O344" i="25"/>
  <c r="O323" i="25"/>
  <c r="N323" i="25"/>
  <c r="O307" i="25"/>
  <c r="N307" i="25"/>
  <c r="N174" i="25"/>
  <c r="O174" i="25"/>
  <c r="O295" i="25"/>
  <c r="N295" i="25"/>
  <c r="N89" i="25"/>
  <c r="O89" i="25"/>
  <c r="O97" i="25"/>
  <c r="N97" i="25"/>
  <c r="N105" i="25"/>
  <c r="O105" i="25"/>
  <c r="O113" i="25"/>
  <c r="N113" i="25"/>
  <c r="O121" i="25"/>
  <c r="N121" i="25"/>
  <c r="N129" i="25"/>
  <c r="O129" i="25"/>
  <c r="O137" i="25"/>
  <c r="N137" i="25"/>
  <c r="N145" i="25"/>
  <c r="O145" i="25"/>
  <c r="N153" i="25"/>
  <c r="O153" i="25"/>
  <c r="O161" i="25"/>
  <c r="N161" i="25"/>
  <c r="O179" i="25"/>
  <c r="N179" i="25"/>
  <c r="N195" i="25"/>
  <c r="O195" i="25"/>
  <c r="O211" i="25"/>
  <c r="N211" i="25"/>
  <c r="N227" i="25"/>
  <c r="O227" i="25"/>
  <c r="O243" i="25"/>
  <c r="N243" i="25"/>
  <c r="N259" i="25"/>
  <c r="O259" i="25"/>
  <c r="O275" i="25"/>
  <c r="N275" i="25"/>
  <c r="O91" i="25"/>
  <c r="N91" i="25"/>
  <c r="O107" i="25"/>
  <c r="N107" i="25"/>
  <c r="O123" i="25"/>
  <c r="N123" i="25"/>
  <c r="O139" i="25"/>
  <c r="N139" i="25"/>
  <c r="O155" i="25"/>
  <c r="N155" i="25"/>
  <c r="N187" i="25"/>
  <c r="O187" i="25"/>
  <c r="N203" i="25"/>
  <c r="O203" i="25"/>
  <c r="N219" i="25"/>
  <c r="O219" i="25"/>
  <c r="N235" i="25"/>
  <c r="O235" i="25"/>
  <c r="N251" i="25"/>
  <c r="O251" i="25"/>
  <c r="N267" i="25"/>
  <c r="O267" i="25"/>
  <c r="N283" i="25"/>
  <c r="O283" i="25"/>
  <c r="O287" i="25"/>
  <c r="N287" i="25"/>
  <c r="O362" i="25"/>
  <c r="N362" i="25"/>
  <c r="O346" i="25"/>
  <c r="N346" i="25"/>
  <c r="N336" i="25"/>
  <c r="O336" i="25"/>
  <c r="N330" i="25"/>
  <c r="O330" i="25"/>
  <c r="N320" i="25"/>
  <c r="O320" i="25"/>
  <c r="N314" i="25"/>
  <c r="O314" i="25"/>
  <c r="N304" i="25"/>
  <c r="O304" i="25"/>
  <c r="N367" i="25"/>
  <c r="O367" i="25"/>
  <c r="O361" i="25"/>
  <c r="N361" i="25"/>
  <c r="N351" i="25"/>
  <c r="O351" i="25"/>
  <c r="O345" i="25"/>
  <c r="N345" i="25"/>
  <c r="O327" i="25"/>
  <c r="N327" i="25"/>
  <c r="O311" i="25"/>
  <c r="N311" i="25"/>
  <c r="O173" i="25"/>
  <c r="N173" i="25"/>
  <c r="N242" i="25"/>
  <c r="O242" i="25"/>
  <c r="N258" i="25"/>
  <c r="O258" i="25"/>
  <c r="N274" i="25"/>
  <c r="O274" i="25"/>
  <c r="O299" i="25"/>
  <c r="N299" i="25"/>
  <c r="N297" i="25"/>
  <c r="O297" i="25"/>
  <c r="N289" i="25"/>
  <c r="O289" i="25"/>
  <c r="O279" i="25"/>
  <c r="N279" i="25"/>
  <c r="O271" i="25"/>
  <c r="N271" i="25"/>
  <c r="O263" i="25"/>
  <c r="N263" i="25"/>
  <c r="O255" i="25"/>
  <c r="N255" i="25"/>
  <c r="O247" i="25"/>
  <c r="N247" i="25"/>
  <c r="O239" i="25"/>
  <c r="N239" i="25"/>
  <c r="O231" i="25"/>
  <c r="N231" i="25"/>
  <c r="O223" i="25"/>
  <c r="N223" i="25"/>
  <c r="O215" i="25"/>
  <c r="N215" i="25"/>
  <c r="O207" i="25"/>
  <c r="N207" i="25"/>
  <c r="O199" i="25"/>
  <c r="N199" i="25"/>
  <c r="O191" i="25"/>
  <c r="N191" i="25"/>
  <c r="O183" i="25"/>
  <c r="N183" i="25"/>
  <c r="O175" i="25"/>
  <c r="N175" i="25"/>
  <c r="N85" i="25"/>
  <c r="O85" i="25"/>
  <c r="O94" i="25"/>
  <c r="N94" i="25"/>
  <c r="N101" i="25"/>
  <c r="O101" i="25"/>
  <c r="O110" i="25"/>
  <c r="N110" i="25"/>
  <c r="O117" i="25"/>
  <c r="N117" i="25"/>
  <c r="O126" i="25"/>
  <c r="N126" i="25"/>
  <c r="O133" i="25"/>
  <c r="N133" i="25"/>
  <c r="O142" i="25"/>
  <c r="N142" i="25"/>
  <c r="O149" i="25"/>
  <c r="N149" i="25"/>
  <c r="O158" i="25"/>
  <c r="N158" i="25"/>
  <c r="N165" i="25"/>
  <c r="O165" i="25"/>
  <c r="N204" i="25"/>
  <c r="O204" i="25"/>
  <c r="N268" i="25"/>
  <c r="O268" i="25"/>
  <c r="O366" i="25"/>
  <c r="N366" i="25"/>
  <c r="O350" i="25"/>
  <c r="N350" i="25"/>
  <c r="O337" i="25"/>
  <c r="N337" i="25"/>
  <c r="O321" i="25"/>
  <c r="N321" i="25"/>
  <c r="O305" i="25"/>
  <c r="N305" i="25"/>
  <c r="O331" i="25"/>
  <c r="N331" i="25"/>
  <c r="O315" i="25"/>
  <c r="N315" i="25"/>
  <c r="N293" i="25"/>
  <c r="O293" i="25"/>
  <c r="O87" i="25"/>
  <c r="N87" i="25"/>
  <c r="N95" i="25"/>
  <c r="O95" i="25"/>
  <c r="O103" i="25"/>
  <c r="N103" i="25"/>
  <c r="N111" i="25"/>
  <c r="O111" i="25"/>
  <c r="O119" i="25"/>
  <c r="N119" i="25"/>
  <c r="N127" i="25"/>
  <c r="O127" i="25"/>
  <c r="O135" i="25"/>
  <c r="N135" i="25"/>
  <c r="N143" i="25"/>
  <c r="O143" i="25"/>
  <c r="O151" i="25"/>
  <c r="N151" i="25"/>
  <c r="N159" i="25"/>
  <c r="O159" i="25"/>
  <c r="O167" i="25"/>
  <c r="N167" i="25"/>
  <c r="N181" i="25"/>
  <c r="O181" i="25"/>
  <c r="O197" i="25"/>
  <c r="N197" i="25"/>
  <c r="N213" i="25"/>
  <c r="O213" i="25"/>
  <c r="N229" i="25"/>
  <c r="O229" i="25"/>
  <c r="N245" i="25"/>
  <c r="O245" i="25"/>
  <c r="N261" i="25"/>
  <c r="O261" i="25"/>
  <c r="N277" i="25"/>
  <c r="O277" i="25"/>
  <c r="O93" i="25"/>
  <c r="N93" i="25"/>
  <c r="N109" i="25"/>
  <c r="O109" i="25"/>
  <c r="O125" i="25"/>
  <c r="N125" i="25"/>
  <c r="N141" i="25"/>
  <c r="O141" i="25"/>
  <c r="O157" i="25"/>
  <c r="N157" i="25"/>
  <c r="N189" i="25"/>
  <c r="O189" i="25"/>
  <c r="N205" i="25"/>
  <c r="O205" i="25"/>
  <c r="N221" i="25"/>
  <c r="O221" i="25"/>
  <c r="N237" i="25"/>
  <c r="O237" i="25"/>
  <c r="N253" i="25"/>
  <c r="O253" i="25"/>
  <c r="N269" i="25"/>
  <c r="O269" i="25"/>
  <c r="N285" i="25"/>
  <c r="O285" i="25"/>
  <c r="O370" i="25"/>
  <c r="N370" i="25"/>
  <c r="O354" i="25"/>
  <c r="N354" i="25"/>
  <c r="O338" i="25"/>
  <c r="N338" i="25"/>
  <c r="N328" i="25"/>
  <c r="O328" i="25"/>
  <c r="N322" i="25"/>
  <c r="O322" i="25"/>
  <c r="N312" i="25"/>
  <c r="O312" i="25"/>
  <c r="N306" i="25"/>
  <c r="O306" i="25"/>
  <c r="O369" i="25"/>
  <c r="N369" i="25"/>
  <c r="N359" i="25"/>
  <c r="O359" i="25"/>
  <c r="O353" i="25"/>
  <c r="N353" i="25"/>
  <c r="N343" i="25"/>
  <c r="O343" i="25"/>
  <c r="O335" i="25"/>
  <c r="N335" i="25"/>
  <c r="O319" i="25"/>
  <c r="N319" i="25"/>
  <c r="P374" i="20"/>
  <c r="Q5" i="20" s="1"/>
  <c r="O7" i="25"/>
  <c r="N7" i="25"/>
  <c r="O11" i="25"/>
  <c r="N11" i="25"/>
  <c r="O15" i="25"/>
  <c r="N15" i="25"/>
  <c r="O19" i="25"/>
  <c r="N19" i="25"/>
  <c r="O23" i="25"/>
  <c r="N23" i="25"/>
  <c r="O27" i="25"/>
  <c r="N27" i="25"/>
  <c r="O31" i="25"/>
  <c r="N31" i="25"/>
  <c r="O35" i="25"/>
  <c r="N35" i="25"/>
  <c r="O39" i="25"/>
  <c r="N39" i="25"/>
  <c r="O43" i="25"/>
  <c r="N43" i="25"/>
  <c r="O47" i="25"/>
  <c r="N47" i="25"/>
  <c r="O51" i="25"/>
  <c r="N51" i="25"/>
  <c r="O55" i="25"/>
  <c r="N55" i="25"/>
  <c r="O59" i="25"/>
  <c r="N59" i="25"/>
  <c r="O63" i="25"/>
  <c r="N63" i="25"/>
  <c r="O67" i="25"/>
  <c r="N67" i="25"/>
  <c r="O71" i="25"/>
  <c r="N71" i="25"/>
  <c r="O75" i="25"/>
  <c r="N75" i="25"/>
  <c r="O79" i="25"/>
  <c r="N79" i="25"/>
  <c r="O83" i="25"/>
  <c r="N83" i="25"/>
  <c r="N6" i="25"/>
  <c r="O6" i="25"/>
  <c r="O10" i="25"/>
  <c r="N10" i="25"/>
  <c r="N14" i="25"/>
  <c r="O14" i="25"/>
  <c r="O18" i="25"/>
  <c r="N18" i="25"/>
  <c r="O22" i="25"/>
  <c r="N22" i="25"/>
  <c r="O26" i="25"/>
  <c r="N26" i="25"/>
  <c r="O30" i="25"/>
  <c r="N30" i="25"/>
  <c r="O34" i="25"/>
  <c r="N34" i="25"/>
  <c r="O38" i="25"/>
  <c r="N38" i="25"/>
  <c r="O42" i="25"/>
  <c r="N42" i="25"/>
  <c r="N46" i="25"/>
  <c r="O46" i="25"/>
  <c r="O50" i="25"/>
  <c r="N50" i="25"/>
  <c r="N54" i="25"/>
  <c r="O54" i="25"/>
  <c r="O58" i="25"/>
  <c r="N58" i="25"/>
  <c r="O62" i="25"/>
  <c r="N62" i="25"/>
  <c r="O66" i="25"/>
  <c r="N66" i="25"/>
  <c r="O70" i="25"/>
  <c r="N70" i="25"/>
  <c r="O74" i="25"/>
  <c r="N74" i="25"/>
  <c r="O78" i="25"/>
  <c r="N78" i="25"/>
  <c r="O82" i="25"/>
  <c r="N82" i="25"/>
  <c r="O5" i="25"/>
  <c r="N5" i="25"/>
  <c r="N9" i="25"/>
  <c r="O9" i="25"/>
  <c r="O13" i="25"/>
  <c r="N13" i="25"/>
  <c r="N17" i="25"/>
  <c r="O17" i="25"/>
  <c r="O21" i="25"/>
  <c r="N21" i="25"/>
  <c r="N25" i="25"/>
  <c r="O25" i="25"/>
  <c r="O29" i="25"/>
  <c r="N29" i="25"/>
  <c r="N33" i="25"/>
  <c r="O33" i="25"/>
  <c r="O37" i="25"/>
  <c r="N37" i="25"/>
  <c r="N41" i="25"/>
  <c r="O41" i="25"/>
  <c r="O45" i="25"/>
  <c r="N45" i="25"/>
  <c r="N49" i="25"/>
  <c r="O49" i="25"/>
  <c r="O53" i="25"/>
  <c r="N53" i="25"/>
  <c r="N57" i="25"/>
  <c r="O57" i="25"/>
  <c r="O61" i="25"/>
  <c r="N61" i="25"/>
  <c r="N65" i="25"/>
  <c r="O65" i="25"/>
  <c r="O69" i="25"/>
  <c r="N69" i="25"/>
  <c r="N73" i="25"/>
  <c r="O73" i="25"/>
  <c r="O77" i="25"/>
  <c r="N77" i="25"/>
  <c r="N81" i="25"/>
  <c r="O81" i="25"/>
  <c r="O4" i="25"/>
  <c r="N4" i="25"/>
  <c r="N8" i="25"/>
  <c r="O8" i="25"/>
  <c r="O12" i="25"/>
  <c r="N12" i="25"/>
  <c r="N16" i="25"/>
  <c r="O16" i="25"/>
  <c r="O20" i="25"/>
  <c r="N20" i="25"/>
  <c r="O24" i="25"/>
  <c r="N24" i="25"/>
  <c r="O28" i="25"/>
  <c r="N28" i="25"/>
  <c r="N32" i="25"/>
  <c r="O32" i="25"/>
  <c r="O36" i="25"/>
  <c r="N36" i="25"/>
  <c r="N40" i="25"/>
  <c r="O40" i="25"/>
  <c r="O44" i="25"/>
  <c r="N44" i="25"/>
  <c r="N48" i="25"/>
  <c r="O48" i="25"/>
  <c r="O52" i="25"/>
  <c r="N52" i="25"/>
  <c r="N56" i="25"/>
  <c r="O56" i="25"/>
  <c r="O60" i="25"/>
  <c r="N60" i="25"/>
  <c r="O64" i="25"/>
  <c r="N64" i="25"/>
  <c r="O68" i="25"/>
  <c r="N68" i="25"/>
  <c r="N72" i="25"/>
  <c r="O72" i="25"/>
  <c r="O76" i="25"/>
  <c r="N76" i="25"/>
  <c r="N80" i="25"/>
  <c r="O80" i="25"/>
  <c r="O84" i="25"/>
  <c r="N84" i="25"/>
  <c r="L372" i="25"/>
  <c r="M3" i="25"/>
  <c r="O3" i="25" s="1"/>
  <c r="J7" i="6"/>
  <c r="S5" i="20" l="1"/>
  <c r="AJ9" i="20" s="1"/>
  <c r="AJ11" i="20"/>
  <c r="S372" i="25"/>
  <c r="T3" i="25" s="1"/>
  <c r="R5" i="20"/>
  <c r="S6" i="20" s="1"/>
  <c r="AB5" i="20"/>
  <c r="AI10" i="20" s="1"/>
  <c r="P3" i="25"/>
  <c r="M372" i="25"/>
  <c r="N3" i="25"/>
  <c r="T5" i="20" l="1"/>
  <c r="AI8" i="20" s="1"/>
  <c r="U5" i="20"/>
  <c r="AJ8" i="20" s="1"/>
  <c r="N372" i="25"/>
  <c r="AD5" i="20"/>
  <c r="O372" i="25"/>
  <c r="Z25" i="25" l="1"/>
  <c r="Q3" i="25"/>
  <c r="C6" i="6" l="1"/>
  <c r="Y25" i="25" l="1"/>
  <c r="AI8" i="6" a="1"/>
  <c r="AI8" i="6" s="1"/>
  <c r="AI10" i="6" l="1"/>
  <c r="AI9" i="6"/>
  <c r="AJ11" i="6"/>
  <c r="AI11" i="6"/>
  <c r="AJ10" i="6"/>
  <c r="AJ9" i="6"/>
  <c r="AJ12" i="6"/>
  <c r="AJ8" i="6"/>
  <c r="AI12" i="6"/>
  <c r="K7" i="6" l="1"/>
  <c r="AF6" i="6" l="1"/>
  <c r="A1113" i="6" l="1"/>
  <c r="B1113" i="6" l="1"/>
  <c r="E6" i="6" l="1"/>
  <c r="D6" i="6"/>
  <c r="F1110" i="6" s="1"/>
  <c r="G6" i="6" l="1"/>
  <c r="AC6" i="6"/>
  <c r="F53" i="6"/>
  <c r="I53" i="6" s="1"/>
  <c r="F117" i="6"/>
  <c r="I117" i="6" s="1"/>
  <c r="F200" i="6"/>
  <c r="I200" i="6" s="1"/>
  <c r="F288" i="6"/>
  <c r="I288" i="6" s="1"/>
  <c r="F388" i="6"/>
  <c r="I388" i="6" s="1"/>
  <c r="F483" i="6"/>
  <c r="I483" i="6" s="1"/>
  <c r="F581" i="6"/>
  <c r="I581" i="6" s="1"/>
  <c r="F655" i="6"/>
  <c r="I655" i="6" s="1"/>
  <c r="F840" i="6"/>
  <c r="I840" i="6" s="1"/>
  <c r="F944" i="6"/>
  <c r="I944" i="6" s="1"/>
  <c r="F13" i="6"/>
  <c r="I13" i="6" s="1"/>
  <c r="F96" i="6"/>
  <c r="I96" i="6" s="1"/>
  <c r="F182" i="6"/>
  <c r="F246" i="6"/>
  <c r="I246" i="6" s="1"/>
  <c r="F316" i="6"/>
  <c r="I316" i="6" s="1"/>
  <c r="F389" i="6"/>
  <c r="I389" i="6" s="1"/>
  <c r="F437" i="6"/>
  <c r="F510" i="6"/>
  <c r="I510" i="6" s="1"/>
  <c r="F583" i="6"/>
  <c r="I583" i="6" s="1"/>
  <c r="F658" i="6"/>
  <c r="I658" i="6" s="1"/>
  <c r="F730" i="6"/>
  <c r="I730" i="6" s="1"/>
  <c r="F853" i="6"/>
  <c r="I853" i="6" s="1"/>
  <c r="F1061" i="6"/>
  <c r="I1061" i="6" s="1"/>
  <c r="F14" i="6"/>
  <c r="I14" i="6" s="1"/>
  <c r="F37" i="6"/>
  <c r="I37" i="6" s="1"/>
  <c r="F56" i="6"/>
  <c r="I56" i="6" s="1"/>
  <c r="F78" i="6"/>
  <c r="I78" i="6" s="1"/>
  <c r="F101" i="6"/>
  <c r="I101" i="6" s="1"/>
  <c r="F120" i="6"/>
  <c r="I120" i="6" s="1"/>
  <c r="F142" i="6"/>
  <c r="I142" i="6" s="1"/>
  <c r="F165" i="6"/>
  <c r="I165" i="6" s="1"/>
  <c r="F184" i="6"/>
  <c r="I184" i="6" s="1"/>
  <c r="F206" i="6"/>
  <c r="I206" i="6" s="1"/>
  <c r="F229" i="6"/>
  <c r="I229" i="6" s="1"/>
  <c r="F248" i="6"/>
  <c r="F270" i="6"/>
  <c r="I270" i="6" s="1"/>
  <c r="F296" i="6"/>
  <c r="I296" i="6" s="1"/>
  <c r="F318" i="6"/>
  <c r="I318" i="6" s="1"/>
  <c r="F343" i="6"/>
  <c r="I343" i="6" s="1"/>
  <c r="F370" i="6"/>
  <c r="I370" i="6" s="1"/>
  <c r="F391" i="6"/>
  <c r="I391" i="6" s="1"/>
  <c r="F416" i="6"/>
  <c r="I416" i="6" s="1"/>
  <c r="F443" i="6"/>
  <c r="I443" i="6" s="1"/>
  <c r="F464" i="6"/>
  <c r="I464" i="6" s="1"/>
  <c r="F490" i="6"/>
  <c r="I490" i="6" s="1"/>
  <c r="F516" i="6"/>
  <c r="F538" i="6"/>
  <c r="I538" i="6" s="1"/>
  <c r="F563" i="6"/>
  <c r="I563" i="6" s="1"/>
  <c r="F589" i="6"/>
  <c r="I589" i="6" s="1"/>
  <c r="F611" i="6"/>
  <c r="I611" i="6" s="1"/>
  <c r="F636" i="6"/>
  <c r="I636" i="6" s="1"/>
  <c r="F666" i="6"/>
  <c r="I666" i="6" s="1"/>
  <c r="F696" i="6"/>
  <c r="I696" i="6" s="1"/>
  <c r="F733" i="6"/>
  <c r="I733" i="6" s="1"/>
  <c r="F773" i="6"/>
  <c r="I773" i="6" s="1"/>
  <c r="F808" i="6"/>
  <c r="I808" i="6" s="1"/>
  <c r="F854" i="6"/>
  <c r="I854" i="6" s="1"/>
  <c r="F902" i="6"/>
  <c r="I902" i="6" s="1"/>
  <c r="F952" i="6"/>
  <c r="F1013" i="6"/>
  <c r="I1013" i="6" s="1"/>
  <c r="F1072" i="6"/>
  <c r="F30" i="6"/>
  <c r="I30" i="6" s="1"/>
  <c r="F136" i="6"/>
  <c r="I136" i="6" s="1"/>
  <c r="F222" i="6"/>
  <c r="I222" i="6" s="1"/>
  <c r="F315" i="6"/>
  <c r="I315" i="6" s="1"/>
  <c r="F410" i="6"/>
  <c r="I410" i="6" s="1"/>
  <c r="F508" i="6"/>
  <c r="I508" i="6" s="1"/>
  <c r="F607" i="6"/>
  <c r="I607" i="6" s="1"/>
  <c r="F722" i="6"/>
  <c r="I722" i="6" s="1"/>
  <c r="F805" i="6"/>
  <c r="I805" i="6" s="1"/>
  <c r="F997" i="6"/>
  <c r="F54" i="6"/>
  <c r="I54" i="6" s="1"/>
  <c r="F118" i="6"/>
  <c r="I118" i="6" s="1"/>
  <c r="F160" i="6"/>
  <c r="I160" i="6" s="1"/>
  <c r="F224" i="6"/>
  <c r="I224" i="6" s="1"/>
  <c r="F291" i="6"/>
  <c r="I291" i="6" s="1"/>
  <c r="F364" i="6"/>
  <c r="F462" i="6"/>
  <c r="I462" i="6" s="1"/>
  <c r="F535" i="6"/>
  <c r="I535" i="6" s="1"/>
  <c r="F608" i="6"/>
  <c r="I608" i="6" s="1"/>
  <c r="F694" i="6"/>
  <c r="I694" i="6" s="1"/>
  <c r="F806" i="6"/>
  <c r="I806" i="6" s="1"/>
  <c r="F888" i="6"/>
  <c r="I888" i="6" s="1"/>
  <c r="F1008" i="6"/>
  <c r="I1008" i="6" s="1"/>
  <c r="F16" i="6"/>
  <c r="I16" i="6" s="1"/>
  <c r="F38" i="6"/>
  <c r="I38" i="6" s="1"/>
  <c r="F61" i="6"/>
  <c r="I61" i="6" s="1"/>
  <c r="F80" i="6"/>
  <c r="I80" i="6" s="1"/>
  <c r="F102" i="6"/>
  <c r="I102" i="6" s="1"/>
  <c r="F125" i="6"/>
  <c r="I125" i="6" s="1"/>
  <c r="F144" i="6"/>
  <c r="I144" i="6" s="1"/>
  <c r="F166" i="6"/>
  <c r="I166" i="6" s="1"/>
  <c r="F189" i="6"/>
  <c r="I189" i="6" s="1"/>
  <c r="F208" i="6"/>
  <c r="I208" i="6" s="1"/>
  <c r="F230" i="6"/>
  <c r="I230" i="6" s="1"/>
  <c r="F253" i="6"/>
  <c r="F272" i="6"/>
  <c r="I272" i="6" s="1"/>
  <c r="F298" i="6"/>
  <c r="I298" i="6" s="1"/>
  <c r="F324" i="6"/>
  <c r="I324" i="6" s="1"/>
  <c r="F346" i="6"/>
  <c r="F371" i="6"/>
  <c r="I371" i="6" s="1"/>
  <c r="F397" i="6"/>
  <c r="I397" i="6" s="1"/>
  <c r="F419" i="6"/>
  <c r="I419" i="6" s="1"/>
  <c r="F444" i="6"/>
  <c r="I444" i="6" s="1"/>
  <c r="F470" i="6"/>
  <c r="F492" i="6"/>
  <c r="I492" i="6" s="1"/>
  <c r="F517" i="6"/>
  <c r="I517" i="6" s="1"/>
  <c r="F543" i="6"/>
  <c r="I543" i="6" s="1"/>
  <c r="F565" i="6"/>
  <c r="I565" i="6" s="1"/>
  <c r="F590" i="6"/>
  <c r="I590" i="6" s="1"/>
  <c r="F616" i="6"/>
  <c r="F638" i="6"/>
  <c r="I638" i="6" s="1"/>
  <c r="F669" i="6"/>
  <c r="I669" i="6" s="1"/>
  <c r="F704" i="6"/>
  <c r="I704" i="6" s="1"/>
  <c r="F735" i="6"/>
  <c r="I735" i="6" s="1"/>
  <c r="F774" i="6"/>
  <c r="I774" i="6" s="1"/>
  <c r="F821" i="6"/>
  <c r="I821" i="6" s="1"/>
  <c r="F856" i="6"/>
  <c r="I856" i="6" s="1"/>
  <c r="F904" i="6"/>
  <c r="I904" i="6" s="1"/>
  <c r="F966" i="6"/>
  <c r="F1016" i="6"/>
  <c r="I1016" i="6" s="1"/>
  <c r="F1077" i="6"/>
  <c r="I1077" i="6" s="1"/>
  <c r="F8" i="6"/>
  <c r="I8" i="6" s="1"/>
  <c r="F94" i="6"/>
  <c r="I94" i="6" s="1"/>
  <c r="F181" i="6"/>
  <c r="I181" i="6" s="1"/>
  <c r="F245" i="6"/>
  <c r="I245" i="6" s="1"/>
  <c r="F336" i="6"/>
  <c r="I336" i="6" s="1"/>
  <c r="F435" i="6"/>
  <c r="I435" i="6" s="1"/>
  <c r="F534" i="6"/>
  <c r="I534" i="6" s="1"/>
  <c r="F629" i="6"/>
  <c r="F758" i="6"/>
  <c r="I758" i="6" s="1"/>
  <c r="F886" i="6"/>
  <c r="I886" i="6" s="1"/>
  <c r="F32" i="6"/>
  <c r="I32" i="6" s="1"/>
  <c r="F141" i="6"/>
  <c r="I141" i="6" s="1"/>
  <c r="F205" i="6"/>
  <c r="I205" i="6" s="1"/>
  <c r="F269" i="6"/>
  <c r="I269" i="6" s="1"/>
  <c r="F342" i="6"/>
  <c r="F415" i="6"/>
  <c r="I415" i="6" s="1"/>
  <c r="F488" i="6"/>
  <c r="I488" i="6" s="1"/>
  <c r="F562" i="6"/>
  <c r="I562" i="6" s="1"/>
  <c r="F635" i="6"/>
  <c r="I635" i="6" s="1"/>
  <c r="F760" i="6"/>
  <c r="F949" i="6"/>
  <c r="I949" i="6" s="1"/>
  <c r="F21" i="6"/>
  <c r="I21" i="6" s="1"/>
  <c r="F40" i="6"/>
  <c r="I40" i="6" s="1"/>
  <c r="F62" i="6"/>
  <c r="F85" i="6"/>
  <c r="I85" i="6" s="1"/>
  <c r="F104" i="6"/>
  <c r="I104" i="6" s="1"/>
  <c r="F126" i="6"/>
  <c r="I126" i="6" s="1"/>
  <c r="F149" i="6"/>
  <c r="I149" i="6" s="1"/>
  <c r="F168" i="6"/>
  <c r="I168" i="6" s="1"/>
  <c r="F190" i="6"/>
  <c r="F213" i="6"/>
  <c r="I213" i="6" s="1"/>
  <c r="F232" i="6"/>
  <c r="I232" i="6" s="1"/>
  <c r="F254" i="6"/>
  <c r="I254" i="6" s="1"/>
  <c r="F278" i="6"/>
  <c r="I278" i="6" s="1"/>
  <c r="F300" i="6"/>
  <c r="I300" i="6" s="1"/>
  <c r="F325" i="6"/>
  <c r="I325" i="6" s="1"/>
  <c r="F351" i="6"/>
  <c r="I351" i="6" s="1"/>
  <c r="F373" i="6"/>
  <c r="I373" i="6" s="1"/>
  <c r="F398" i="6"/>
  <c r="F424" i="6"/>
  <c r="I424" i="6" s="1"/>
  <c r="F446" i="6"/>
  <c r="I446" i="6" s="1"/>
  <c r="F471" i="6"/>
  <c r="I471" i="6" s="1"/>
  <c r="F498" i="6"/>
  <c r="I498" i="6" s="1"/>
  <c r="F519" i="6"/>
  <c r="F544" i="6"/>
  <c r="I544" i="6" s="1"/>
  <c r="F571" i="6"/>
  <c r="I571" i="6" s="1"/>
  <c r="F592" i="6"/>
  <c r="I592" i="6" s="1"/>
  <c r="F618" i="6"/>
  <c r="I618" i="6" s="1"/>
  <c r="F644" i="6"/>
  <c r="I644" i="6" s="1"/>
  <c r="F671" i="6"/>
  <c r="I671" i="6" s="1"/>
  <c r="F706" i="6"/>
  <c r="I706" i="6" s="1"/>
  <c r="F743" i="6"/>
  <c r="I743" i="6" s="1"/>
  <c r="F776" i="6"/>
  <c r="I776" i="6" s="1"/>
  <c r="F822" i="6"/>
  <c r="I822" i="6" s="1"/>
  <c r="F869" i="6"/>
  <c r="I869" i="6" s="1"/>
  <c r="F910" i="6"/>
  <c r="I910" i="6" s="1"/>
  <c r="F968" i="6"/>
  <c r="I968" i="6" s="1"/>
  <c r="F1030" i="6"/>
  <c r="I1030" i="6" s="1"/>
  <c r="F1080" i="6"/>
  <c r="I1080" i="6" s="1"/>
  <c r="F22" i="6"/>
  <c r="I22" i="6" s="1"/>
  <c r="F45" i="6"/>
  <c r="I45" i="6" s="1"/>
  <c r="F64" i="6"/>
  <c r="I64" i="6" s="1"/>
  <c r="F86" i="6"/>
  <c r="I86" i="6" s="1"/>
  <c r="F109" i="6"/>
  <c r="I109" i="6" s="1"/>
  <c r="F128" i="6"/>
  <c r="I128" i="6" s="1"/>
  <c r="F150" i="6"/>
  <c r="I150" i="6" s="1"/>
  <c r="F173" i="6"/>
  <c r="I173" i="6" s="1"/>
  <c r="F192" i="6"/>
  <c r="I192" i="6" s="1"/>
  <c r="F214" i="6"/>
  <c r="I214" i="6" s="1"/>
  <c r="F237" i="6"/>
  <c r="I237" i="6" s="1"/>
  <c r="F256" i="6"/>
  <c r="I256" i="6" s="1"/>
  <c r="F279" i="6"/>
  <c r="I279" i="6" s="1"/>
  <c r="F306" i="6"/>
  <c r="I306" i="6" s="1"/>
  <c r="F327" i="6"/>
  <c r="I327" i="6" s="1"/>
  <c r="F352" i="6"/>
  <c r="I352" i="6" s="1"/>
  <c r="F379" i="6"/>
  <c r="I379" i="6" s="1"/>
  <c r="F400" i="6"/>
  <c r="I400" i="6" s="1"/>
  <c r="F426" i="6"/>
  <c r="I426" i="6" s="1"/>
  <c r="F452" i="6"/>
  <c r="I452" i="6" s="1"/>
  <c r="F474" i="6"/>
  <c r="I474" i="6" s="1"/>
  <c r="F499" i="6"/>
  <c r="I499" i="6" s="1"/>
  <c r="F525" i="6"/>
  <c r="I525" i="6" s="1"/>
  <c r="F547" i="6"/>
  <c r="I547" i="6" s="1"/>
  <c r="F572" i="6"/>
  <c r="F598" i="6"/>
  <c r="I598" i="6" s="1"/>
  <c r="F620" i="6"/>
  <c r="I620" i="6" s="1"/>
  <c r="F645" i="6"/>
  <c r="F679" i="6"/>
  <c r="I679" i="6" s="1"/>
  <c r="F710" i="6"/>
  <c r="I710" i="6" s="1"/>
  <c r="F744" i="6"/>
  <c r="I744" i="6" s="1"/>
  <c r="F789" i="6"/>
  <c r="I789" i="6" s="1"/>
  <c r="F824" i="6"/>
  <c r="I824" i="6" s="1"/>
  <c r="F870" i="6"/>
  <c r="I870" i="6" s="1"/>
  <c r="F925" i="6"/>
  <c r="I925" i="6" s="1"/>
  <c r="F974" i="6"/>
  <c r="I974" i="6" s="1"/>
  <c r="F1032" i="6"/>
  <c r="I1032" i="6" s="1"/>
  <c r="F1094" i="6"/>
  <c r="I1094" i="6" s="1"/>
  <c r="F24" i="6"/>
  <c r="I24" i="6" s="1"/>
  <c r="F46" i="6"/>
  <c r="I46" i="6" s="1"/>
  <c r="F69" i="6"/>
  <c r="I69" i="6" s="1"/>
  <c r="F88" i="6"/>
  <c r="I88" i="6" s="1"/>
  <c r="F110" i="6"/>
  <c r="I110" i="6" s="1"/>
  <c r="F133" i="6"/>
  <c r="I133" i="6" s="1"/>
  <c r="F152" i="6"/>
  <c r="F174" i="6"/>
  <c r="I174" i="6" s="1"/>
  <c r="F197" i="6"/>
  <c r="I197" i="6" s="1"/>
  <c r="F216" i="6"/>
  <c r="I216" i="6" s="1"/>
  <c r="F238" i="6"/>
  <c r="I238" i="6" s="1"/>
  <c r="F261" i="6"/>
  <c r="I261" i="6" s="1"/>
  <c r="F282" i="6"/>
  <c r="I282" i="6" s="1"/>
  <c r="F307" i="6"/>
  <c r="I307" i="6" s="1"/>
  <c r="F333" i="6"/>
  <c r="I333" i="6" s="1"/>
  <c r="F355" i="6"/>
  <c r="I355" i="6" s="1"/>
  <c r="F380" i="6"/>
  <c r="I380" i="6" s="1"/>
  <c r="F406" i="6"/>
  <c r="I406" i="6" s="1"/>
  <c r="F428" i="6"/>
  <c r="I428" i="6" s="1"/>
  <c r="F453" i="6"/>
  <c r="I453" i="6" s="1"/>
  <c r="F479" i="6"/>
  <c r="F501" i="6"/>
  <c r="I501" i="6" s="1"/>
  <c r="F526" i="6"/>
  <c r="I526" i="6" s="1"/>
  <c r="F552" i="6"/>
  <c r="I552" i="6" s="1"/>
  <c r="F574" i="6"/>
  <c r="I574" i="6" s="1"/>
  <c r="F599" i="6"/>
  <c r="I599" i="6" s="1"/>
  <c r="F626" i="6"/>
  <c r="I626" i="6" s="1"/>
  <c r="F647" i="6"/>
  <c r="I647" i="6" s="1"/>
  <c r="F680" i="6"/>
  <c r="I680" i="6" s="1"/>
  <c r="F718" i="6"/>
  <c r="I718" i="6" s="1"/>
  <c r="F749" i="6"/>
  <c r="I749" i="6" s="1"/>
  <c r="F790" i="6"/>
  <c r="I790" i="6" s="1"/>
  <c r="F837" i="6"/>
  <c r="I837" i="6" s="1"/>
  <c r="F872" i="6"/>
  <c r="I872" i="6" s="1"/>
  <c r="F926" i="6"/>
  <c r="I926" i="6" s="1"/>
  <c r="F989" i="6"/>
  <c r="I989" i="6" s="1"/>
  <c r="F1038" i="6"/>
  <c r="F1096" i="6"/>
  <c r="I1096" i="6" s="1"/>
  <c r="F72" i="6"/>
  <c r="I72" i="6" s="1"/>
  <c r="F158" i="6"/>
  <c r="I158" i="6" s="1"/>
  <c r="F264" i="6"/>
  <c r="I264" i="6" s="1"/>
  <c r="F362" i="6"/>
  <c r="I362" i="6" s="1"/>
  <c r="F461" i="6"/>
  <c r="I461" i="6" s="1"/>
  <c r="F556" i="6"/>
  <c r="I556" i="6" s="1"/>
  <c r="F693" i="6"/>
  <c r="I693" i="6" s="1"/>
  <c r="F1054" i="6"/>
  <c r="I1054" i="6" s="1"/>
  <c r="F77" i="6"/>
  <c r="I77" i="6" s="1"/>
  <c r="F6" i="6"/>
  <c r="I6" i="6" s="1"/>
  <c r="F29" i="6"/>
  <c r="I29" i="6" s="1"/>
  <c r="F48" i="6"/>
  <c r="F70" i="6"/>
  <c r="F93" i="6"/>
  <c r="I93" i="6" s="1"/>
  <c r="F112" i="6"/>
  <c r="I112" i="6" s="1"/>
  <c r="F134" i="6"/>
  <c r="I134" i="6" s="1"/>
  <c r="F157" i="6"/>
  <c r="I157" i="6" s="1"/>
  <c r="F176" i="6"/>
  <c r="I176" i="6" s="1"/>
  <c r="F198" i="6"/>
  <c r="F221" i="6"/>
  <c r="I221" i="6" s="1"/>
  <c r="F240" i="6"/>
  <c r="I240" i="6" s="1"/>
  <c r="F262" i="6"/>
  <c r="I262" i="6" s="1"/>
  <c r="F287" i="6"/>
  <c r="I287" i="6" s="1"/>
  <c r="F309" i="6"/>
  <c r="I309" i="6" s="1"/>
  <c r="F334" i="6"/>
  <c r="I334" i="6" s="1"/>
  <c r="F360" i="6"/>
  <c r="I360" i="6" s="1"/>
  <c r="F382" i="6"/>
  <c r="I382" i="6" s="1"/>
  <c r="F407" i="6"/>
  <c r="I407" i="6" s="1"/>
  <c r="F434" i="6"/>
  <c r="I434" i="6" s="1"/>
  <c r="F455" i="6"/>
  <c r="I455" i="6" s="1"/>
  <c r="F480" i="6"/>
  <c r="I480" i="6" s="1"/>
  <c r="F507" i="6"/>
  <c r="I507" i="6" s="1"/>
  <c r="F528" i="6"/>
  <c r="I528" i="6" s="1"/>
  <c r="F554" i="6"/>
  <c r="I554" i="6" s="1"/>
  <c r="F580" i="6"/>
  <c r="I580" i="6" s="1"/>
  <c r="F602" i="6"/>
  <c r="I602" i="6" s="1"/>
  <c r="F627" i="6"/>
  <c r="I627" i="6" s="1"/>
  <c r="F654" i="6"/>
  <c r="F685" i="6"/>
  <c r="I685" i="6" s="1"/>
  <c r="F719" i="6"/>
  <c r="F757" i="6"/>
  <c r="I757" i="6" s="1"/>
  <c r="F792" i="6"/>
  <c r="I792" i="6" s="1"/>
  <c r="F838" i="6"/>
  <c r="I838" i="6" s="1"/>
  <c r="F885" i="6"/>
  <c r="I885" i="6" s="1"/>
  <c r="F933" i="6"/>
  <c r="I933" i="6" s="1"/>
  <c r="F990" i="6"/>
  <c r="I990" i="6" s="1"/>
  <c r="F1053" i="6"/>
  <c r="I1053" i="6" s="1"/>
  <c r="F1102" i="6"/>
  <c r="I1102" i="6" s="1"/>
  <c r="I62" i="6"/>
  <c r="AC1105" i="6"/>
  <c r="AC1097" i="6"/>
  <c r="AC1089" i="6"/>
  <c r="AC1081" i="6"/>
  <c r="AC1073" i="6"/>
  <c r="AC1065" i="6"/>
  <c r="AC1057" i="6"/>
  <c r="AC1049" i="6"/>
  <c r="AC1041" i="6"/>
  <c r="AC1033" i="6"/>
  <c r="AC1025" i="6"/>
  <c r="AC1017" i="6"/>
  <c r="AC1009" i="6"/>
  <c r="AC1001" i="6"/>
  <c r="AC993" i="6"/>
  <c r="AC985" i="6"/>
  <c r="AC977" i="6"/>
  <c r="AC969" i="6"/>
  <c r="AC961" i="6"/>
  <c r="AC953" i="6"/>
  <c r="AC945" i="6"/>
  <c r="AC937" i="6"/>
  <c r="AC929" i="6"/>
  <c r="AC921" i="6"/>
  <c r="AC913" i="6"/>
  <c r="AC905" i="6"/>
  <c r="AC897" i="6"/>
  <c r="AC889" i="6"/>
  <c r="AC881" i="6"/>
  <c r="AC873" i="6"/>
  <c r="AC865" i="6"/>
  <c r="AC857" i="6"/>
  <c r="AC849" i="6"/>
  <c r="AC841" i="6"/>
  <c r="AC833" i="6"/>
  <c r="AC825" i="6"/>
  <c r="AC817" i="6"/>
  <c r="AC809" i="6"/>
  <c r="AC801" i="6"/>
  <c r="AC793" i="6"/>
  <c r="AC785" i="6"/>
  <c r="AC777" i="6"/>
  <c r="AC769" i="6"/>
  <c r="AC761" i="6"/>
  <c r="AC753" i="6"/>
  <c r="AC745" i="6"/>
  <c r="AC737" i="6"/>
  <c r="AC729" i="6"/>
  <c r="AC721" i="6"/>
  <c r="AC713" i="6"/>
  <c r="AC705" i="6"/>
  <c r="AC697" i="6"/>
  <c r="AC689" i="6"/>
  <c r="AC681" i="6"/>
  <c r="AC673" i="6"/>
  <c r="AC665" i="6"/>
  <c r="AC657" i="6"/>
  <c r="AC649" i="6"/>
  <c r="AC641" i="6"/>
  <c r="AC633" i="6"/>
  <c r="AC625" i="6"/>
  <c r="AC617" i="6"/>
  <c r="AC609" i="6"/>
  <c r="AC1112" i="6"/>
  <c r="AC1104" i="6"/>
  <c r="AC1096" i="6"/>
  <c r="AC1088" i="6"/>
  <c r="AC1080" i="6"/>
  <c r="AC1072" i="6"/>
  <c r="AC1064" i="6"/>
  <c r="AC1056" i="6"/>
  <c r="AC1048" i="6"/>
  <c r="AC1040" i="6"/>
  <c r="AC1032" i="6"/>
  <c r="AC1024" i="6"/>
  <c r="AC1016" i="6"/>
  <c r="AC1008" i="6"/>
  <c r="AC1000" i="6"/>
  <c r="AC992" i="6"/>
  <c r="AC984" i="6"/>
  <c r="AC976" i="6"/>
  <c r="AC968" i="6"/>
  <c r="AC960" i="6"/>
  <c r="AC952" i="6"/>
  <c r="AC944" i="6"/>
  <c r="AC936" i="6"/>
  <c r="AC928" i="6"/>
  <c r="AC920" i="6"/>
  <c r="AC912" i="6"/>
  <c r="AC904" i="6"/>
  <c r="AC896" i="6"/>
  <c r="AC888" i="6"/>
  <c r="AC880" i="6"/>
  <c r="AC872" i="6"/>
  <c r="AC864" i="6"/>
  <c r="AC856" i="6"/>
  <c r="AC848" i="6"/>
  <c r="AC840" i="6"/>
  <c r="AC832" i="6"/>
  <c r="AC824" i="6"/>
  <c r="AC816" i="6"/>
  <c r="AC808" i="6"/>
  <c r="AC800" i="6"/>
  <c r="AC792" i="6"/>
  <c r="AC784" i="6"/>
  <c r="AC776" i="6"/>
  <c r="AC768" i="6"/>
  <c r="AC760" i="6"/>
  <c r="AC752" i="6"/>
  <c r="AC744" i="6"/>
  <c r="AC736" i="6"/>
  <c r="AC728" i="6"/>
  <c r="AC720" i="6"/>
  <c r="AC712" i="6"/>
  <c r="AC704" i="6"/>
  <c r="AC696" i="6"/>
  <c r="AC688" i="6"/>
  <c r="AC680" i="6"/>
  <c r="AC672" i="6"/>
  <c r="AC1111" i="6"/>
  <c r="AC1103" i="6"/>
  <c r="AC1095" i="6"/>
  <c r="AC1087" i="6"/>
  <c r="AC1079" i="6"/>
  <c r="AC1071" i="6"/>
  <c r="AC1063" i="6"/>
  <c r="AC1055" i="6"/>
  <c r="AC1047" i="6"/>
  <c r="AC1039" i="6"/>
  <c r="AC1031" i="6"/>
  <c r="AC1023" i="6"/>
  <c r="AC1015" i="6"/>
  <c r="AC1007" i="6"/>
  <c r="AC999" i="6"/>
  <c r="AC991" i="6"/>
  <c r="AC983" i="6"/>
  <c r="AC975" i="6"/>
  <c r="AC967" i="6"/>
  <c r="AC959" i="6"/>
  <c r="AC951" i="6"/>
  <c r="AC943" i="6"/>
  <c r="AC935" i="6"/>
  <c r="AC927" i="6"/>
  <c r="AC919" i="6"/>
  <c r="AC911" i="6"/>
  <c r="AC903" i="6"/>
  <c r="AC895" i="6"/>
  <c r="AC887" i="6"/>
  <c r="AC879" i="6"/>
  <c r="AC871" i="6"/>
  <c r="AC863" i="6"/>
  <c r="AC855" i="6"/>
  <c r="AC847" i="6"/>
  <c r="AC839" i="6"/>
  <c r="AC831" i="6"/>
  <c r="AC823" i="6"/>
  <c r="AC815" i="6"/>
  <c r="AC807" i="6"/>
  <c r="AC799" i="6"/>
  <c r="AC791" i="6"/>
  <c r="AC783" i="6"/>
  <c r="AC775" i="6"/>
  <c r="AC767" i="6"/>
  <c r="AC759" i="6"/>
  <c r="AC751" i="6"/>
  <c r="AC743" i="6"/>
  <c r="AC735" i="6"/>
  <c r="AC727" i="6"/>
  <c r="AC719" i="6"/>
  <c r="AC711" i="6"/>
  <c r="AC703" i="6"/>
  <c r="AC695" i="6"/>
  <c r="AC687" i="6"/>
  <c r="AC679" i="6"/>
  <c r="AC671" i="6"/>
  <c r="AC663" i="6"/>
  <c r="AC655" i="6"/>
  <c r="AC647" i="6"/>
  <c r="AC639" i="6"/>
  <c r="AC631" i="6"/>
  <c r="AC623" i="6"/>
  <c r="AC615" i="6"/>
  <c r="AC1110" i="6"/>
  <c r="AC1102" i="6"/>
  <c r="AC1094" i="6"/>
  <c r="AC1086" i="6"/>
  <c r="AC1078" i="6"/>
  <c r="AC1070" i="6"/>
  <c r="AC1062" i="6"/>
  <c r="AC1054" i="6"/>
  <c r="AC1046" i="6"/>
  <c r="AC1038" i="6"/>
  <c r="AC1030" i="6"/>
  <c r="AC1022" i="6"/>
  <c r="AC1014" i="6"/>
  <c r="AC1006" i="6"/>
  <c r="AC998" i="6"/>
  <c r="AC990" i="6"/>
  <c r="AC982" i="6"/>
  <c r="AC974" i="6"/>
  <c r="AC966" i="6"/>
  <c r="AC958" i="6"/>
  <c r="AC950" i="6"/>
  <c r="AC942" i="6"/>
  <c r="AC934" i="6"/>
  <c r="AC926" i="6"/>
  <c r="AC918" i="6"/>
  <c r="AC910" i="6"/>
  <c r="AC902" i="6"/>
  <c r="AC894" i="6"/>
  <c r="AC886" i="6"/>
  <c r="AC878" i="6"/>
  <c r="AC870" i="6"/>
  <c r="AC862" i="6"/>
  <c r="AC854" i="6"/>
  <c r="AC846" i="6"/>
  <c r="AC838" i="6"/>
  <c r="AC830" i="6"/>
  <c r="AC822" i="6"/>
  <c r="AC814" i="6"/>
  <c r="AC806" i="6"/>
  <c r="AC798" i="6"/>
  <c r="AC790" i="6"/>
  <c r="AC782" i="6"/>
  <c r="AC774" i="6"/>
  <c r="AC766" i="6"/>
  <c r="AC758" i="6"/>
  <c r="AC750" i="6"/>
  <c r="AC742" i="6"/>
  <c r="AC734" i="6"/>
  <c r="AC726" i="6"/>
  <c r="AC718" i="6"/>
  <c r="AC710" i="6"/>
  <c r="AC702" i="6"/>
  <c r="AC694" i="6"/>
  <c r="AC686" i="6"/>
  <c r="AC678" i="6"/>
  <c r="AC670" i="6"/>
  <c r="AC662" i="6"/>
  <c r="AC654" i="6"/>
  <c r="AC646" i="6"/>
  <c r="AC638" i="6"/>
  <c r="AC630" i="6"/>
  <c r="AC622" i="6"/>
  <c r="AC614" i="6"/>
  <c r="AC1109" i="6"/>
  <c r="AC1101" i="6"/>
  <c r="AC1093" i="6"/>
  <c r="AC1085" i="6"/>
  <c r="AC1077" i="6"/>
  <c r="AC1069" i="6"/>
  <c r="AC1061" i="6"/>
  <c r="AC1053" i="6"/>
  <c r="AC1045" i="6"/>
  <c r="AC1037" i="6"/>
  <c r="AC1029" i="6"/>
  <c r="AC1021" i="6"/>
  <c r="AC1013" i="6"/>
  <c r="AC1005" i="6"/>
  <c r="AC997" i="6"/>
  <c r="AC989" i="6"/>
  <c r="AC981" i="6"/>
  <c r="AC973" i="6"/>
  <c r="AC965" i="6"/>
  <c r="AC957" i="6"/>
  <c r="AC949" i="6"/>
  <c r="AC941" i="6"/>
  <c r="AC933" i="6"/>
  <c r="AC925" i="6"/>
  <c r="AC917" i="6"/>
  <c r="AC909" i="6"/>
  <c r="AC901" i="6"/>
  <c r="AC893" i="6"/>
  <c r="AC885" i="6"/>
  <c r="AC877" i="6"/>
  <c r="AC869" i="6"/>
  <c r="AC861" i="6"/>
  <c r="AC853" i="6"/>
  <c r="AC845" i="6"/>
  <c r="AC837" i="6"/>
  <c r="AC829" i="6"/>
  <c r="AC821" i="6"/>
  <c r="AC813" i="6"/>
  <c r="AC805" i="6"/>
  <c r="AC797" i="6"/>
  <c r="AC789" i="6"/>
  <c r="AC781" i="6"/>
  <c r="AC773" i="6"/>
  <c r="AC765" i="6"/>
  <c r="AC757" i="6"/>
  <c r="AC749" i="6"/>
  <c r="AC741" i="6"/>
  <c r="AC733" i="6"/>
  <c r="AC725" i="6"/>
  <c r="AC717" i="6"/>
  <c r="AC709" i="6"/>
  <c r="AC701" i="6"/>
  <c r="AC693" i="6"/>
  <c r="AC685" i="6"/>
  <c r="AC677" i="6"/>
  <c r="AC669" i="6"/>
  <c r="AC661" i="6"/>
  <c r="AC653" i="6"/>
  <c r="AC645" i="6"/>
  <c r="AC637" i="6"/>
  <c r="AC629" i="6"/>
  <c r="AC621" i="6"/>
  <c r="AC613" i="6"/>
  <c r="AC1108" i="6"/>
  <c r="AC1100" i="6"/>
  <c r="AC1092" i="6"/>
  <c r="AC1084" i="6"/>
  <c r="AC1076" i="6"/>
  <c r="AC1068" i="6"/>
  <c r="AC1060" i="6"/>
  <c r="AC1052" i="6"/>
  <c r="AC1044" i="6"/>
  <c r="AC1036" i="6"/>
  <c r="AC1028" i="6"/>
  <c r="AC1020" i="6"/>
  <c r="AC1012" i="6"/>
  <c r="AC1004" i="6"/>
  <c r="AC996" i="6"/>
  <c r="AC988" i="6"/>
  <c r="AC980" i="6"/>
  <c r="AC972" i="6"/>
  <c r="AC964" i="6"/>
  <c r="AC956" i="6"/>
  <c r="AC948" i="6"/>
  <c r="AC940" i="6"/>
  <c r="AC932" i="6"/>
  <c r="AC924" i="6"/>
  <c r="AC916" i="6"/>
  <c r="AC908" i="6"/>
  <c r="AC900" i="6"/>
  <c r="AC892" i="6"/>
  <c r="AC884" i="6"/>
  <c r="AC876" i="6"/>
  <c r="AC868" i="6"/>
  <c r="AC860" i="6"/>
  <c r="AC852" i="6"/>
  <c r="AC844" i="6"/>
  <c r="AC836" i="6"/>
  <c r="AC828" i="6"/>
  <c r="AC820" i="6"/>
  <c r="AC812" i="6"/>
  <c r="AC804" i="6"/>
  <c r="AC796" i="6"/>
  <c r="AC788" i="6"/>
  <c r="AC780" i="6"/>
  <c r="AC772" i="6"/>
  <c r="AC764" i="6"/>
  <c r="AC756" i="6"/>
  <c r="AC748" i="6"/>
  <c r="AC740" i="6"/>
  <c r="AC732" i="6"/>
  <c r="AC724" i="6"/>
  <c r="AC716" i="6"/>
  <c r="AC708" i="6"/>
  <c r="AC700" i="6"/>
  <c r="AC692" i="6"/>
  <c r="AC684" i="6"/>
  <c r="AC676" i="6"/>
  <c r="AC668" i="6"/>
  <c r="AC660" i="6"/>
  <c r="AC652" i="6"/>
  <c r="AC644" i="6"/>
  <c r="AC636" i="6"/>
  <c r="AC628" i="6"/>
  <c r="AC620" i="6"/>
  <c r="AC612" i="6"/>
  <c r="AC1098" i="6"/>
  <c r="AC1066" i="6"/>
  <c r="AC1034" i="6"/>
  <c r="AC1002" i="6"/>
  <c r="AC970" i="6"/>
  <c r="AC938" i="6"/>
  <c r="AC906" i="6"/>
  <c r="AC874" i="6"/>
  <c r="AC842" i="6"/>
  <c r="AC810" i="6"/>
  <c r="AC778" i="6"/>
  <c r="AC746" i="6"/>
  <c r="AC714" i="6"/>
  <c r="AC682" i="6"/>
  <c r="AC656" i="6"/>
  <c r="AC634" i="6"/>
  <c r="AC611" i="6"/>
  <c r="AC602" i="6"/>
  <c r="AC594" i="6"/>
  <c r="AC586" i="6"/>
  <c r="AC578" i="6"/>
  <c r="AC570" i="6"/>
  <c r="AC562" i="6"/>
  <c r="AC554" i="6"/>
  <c r="AC546" i="6"/>
  <c r="AC538" i="6"/>
  <c r="AC530" i="6"/>
  <c r="AC522" i="6"/>
  <c r="AC514" i="6"/>
  <c r="AC506" i="6"/>
  <c r="AC498" i="6"/>
  <c r="AC490" i="6"/>
  <c r="AC482" i="6"/>
  <c r="AC474" i="6"/>
  <c r="AC466" i="6"/>
  <c r="AC458" i="6"/>
  <c r="AC450" i="6"/>
  <c r="AC442" i="6"/>
  <c r="AC434" i="6"/>
  <c r="AC426" i="6"/>
  <c r="AC418" i="6"/>
  <c r="AC410" i="6"/>
  <c r="AC402" i="6"/>
  <c r="AC394" i="6"/>
  <c r="AC386" i="6"/>
  <c r="AC378" i="6"/>
  <c r="AC370" i="6"/>
  <c r="AC362" i="6"/>
  <c r="AC354" i="6"/>
  <c r="AC346" i="6"/>
  <c r="AC338" i="6"/>
  <c r="AC330" i="6"/>
  <c r="AC322" i="6"/>
  <c r="AC314" i="6"/>
  <c r="AC306" i="6"/>
  <c r="AC298" i="6"/>
  <c r="AC290" i="6"/>
  <c r="AC282" i="6"/>
  <c r="AC274" i="6"/>
  <c r="AC266" i="6"/>
  <c r="AC258" i="6"/>
  <c r="AC250" i="6"/>
  <c r="AC242" i="6"/>
  <c r="AC234" i="6"/>
  <c r="AC226" i="6"/>
  <c r="AC218" i="6"/>
  <c r="AC210" i="6"/>
  <c r="AC202" i="6"/>
  <c r="AC194" i="6"/>
  <c r="AC186" i="6"/>
  <c r="AC178" i="6"/>
  <c r="AC170" i="6"/>
  <c r="AC162" i="6"/>
  <c r="AC154" i="6"/>
  <c r="AC146" i="6"/>
  <c r="AC138" i="6"/>
  <c r="AC130" i="6"/>
  <c r="AC122" i="6"/>
  <c r="AC114" i="6"/>
  <c r="AC106" i="6"/>
  <c r="AC1091" i="6"/>
  <c r="AC1059" i="6"/>
  <c r="AC1027" i="6"/>
  <c r="AC995" i="6"/>
  <c r="AC963" i="6"/>
  <c r="AC931" i="6"/>
  <c r="AC899" i="6"/>
  <c r="AC867" i="6"/>
  <c r="AC835" i="6"/>
  <c r="AC803" i="6"/>
  <c r="AC771" i="6"/>
  <c r="AC739" i="6"/>
  <c r="AC707" i="6"/>
  <c r="AC675" i="6"/>
  <c r="AC651" i="6"/>
  <c r="AC632" i="6"/>
  <c r="AC610" i="6"/>
  <c r="AC601" i="6"/>
  <c r="AC593" i="6"/>
  <c r="AC585" i="6"/>
  <c r="AC577" i="6"/>
  <c r="AC569" i="6"/>
  <c r="AC561" i="6"/>
  <c r="AC553" i="6"/>
  <c r="AC545" i="6"/>
  <c r="AC537" i="6"/>
  <c r="AC529" i="6"/>
  <c r="AC521" i="6"/>
  <c r="AC513" i="6"/>
  <c r="AC505" i="6"/>
  <c r="AC497" i="6"/>
  <c r="AC489" i="6"/>
  <c r="AC481" i="6"/>
  <c r="AC473" i="6"/>
  <c r="AC465" i="6"/>
  <c r="AC457" i="6"/>
  <c r="AC449" i="6"/>
  <c r="AC441" i="6"/>
  <c r="AC433" i="6"/>
  <c r="AC425" i="6"/>
  <c r="AC417" i="6"/>
  <c r="AC409" i="6"/>
  <c r="AC401" i="6"/>
  <c r="AC393" i="6"/>
  <c r="AC385" i="6"/>
  <c r="AC377" i="6"/>
  <c r="AC369" i="6"/>
  <c r="AC361" i="6"/>
  <c r="AC353" i="6"/>
  <c r="AC345" i="6"/>
  <c r="AC337" i="6"/>
  <c r="AC329" i="6"/>
  <c r="AC321" i="6"/>
  <c r="AC313" i="6"/>
  <c r="AC305" i="6"/>
  <c r="AC297" i="6"/>
  <c r="AC289" i="6"/>
  <c r="AC281" i="6"/>
  <c r="AC273" i="6"/>
  <c r="AC265" i="6"/>
  <c r="AC257" i="6"/>
  <c r="AC249" i="6"/>
  <c r="AC241" i="6"/>
  <c r="AC233" i="6"/>
  <c r="AC225" i="6"/>
  <c r="AC217" i="6"/>
  <c r="AC209" i="6"/>
  <c r="AC201" i="6"/>
  <c r="AC193" i="6"/>
  <c r="AC185" i="6"/>
  <c r="AC177" i="6"/>
  <c r="AC169" i="6"/>
  <c r="AC161" i="6"/>
  <c r="AC153" i="6"/>
  <c r="AC145" i="6"/>
  <c r="AC137" i="6"/>
  <c r="AC129" i="6"/>
  <c r="AC121" i="6"/>
  <c r="AC113" i="6"/>
  <c r="AC1090" i="6"/>
  <c r="AC1058" i="6"/>
  <c r="AC1026" i="6"/>
  <c r="AC994" i="6"/>
  <c r="AC962" i="6"/>
  <c r="AC930" i="6"/>
  <c r="AC898" i="6"/>
  <c r="AC866" i="6"/>
  <c r="AC834" i="6"/>
  <c r="AC802" i="6"/>
  <c r="AC770" i="6"/>
  <c r="AC738" i="6"/>
  <c r="AC706" i="6"/>
  <c r="AC674" i="6"/>
  <c r="AC650" i="6"/>
  <c r="AC627" i="6"/>
  <c r="AC608" i="6"/>
  <c r="AC600" i="6"/>
  <c r="AC592" i="6"/>
  <c r="AC584" i="6"/>
  <c r="AC576" i="6"/>
  <c r="AC568" i="6"/>
  <c r="AC560" i="6"/>
  <c r="AC552" i="6"/>
  <c r="AC544" i="6"/>
  <c r="AC536" i="6"/>
  <c r="AC528" i="6"/>
  <c r="AC520" i="6"/>
  <c r="AC512" i="6"/>
  <c r="AC504" i="6"/>
  <c r="AC496" i="6"/>
  <c r="AC488" i="6"/>
  <c r="AC480" i="6"/>
  <c r="AC472" i="6"/>
  <c r="AC464" i="6"/>
  <c r="AC456" i="6"/>
  <c r="AC448" i="6"/>
  <c r="AC440" i="6"/>
  <c r="AC432" i="6"/>
  <c r="AC424" i="6"/>
  <c r="AC416" i="6"/>
  <c r="AC408" i="6"/>
  <c r="AC400" i="6"/>
  <c r="AC392" i="6"/>
  <c r="AC384" i="6"/>
  <c r="AC376" i="6"/>
  <c r="AC368" i="6"/>
  <c r="AC360" i="6"/>
  <c r="AC352" i="6"/>
  <c r="AC344" i="6"/>
  <c r="AC336" i="6"/>
  <c r="AC328" i="6"/>
  <c r="AC320" i="6"/>
  <c r="AC312" i="6"/>
  <c r="AC304" i="6"/>
  <c r="AC296" i="6"/>
  <c r="AC288" i="6"/>
  <c r="AC280" i="6"/>
  <c r="AC272" i="6"/>
  <c r="AC264" i="6"/>
  <c r="AC256" i="6"/>
  <c r="AC248" i="6"/>
  <c r="AC240" i="6"/>
  <c r="AC232" i="6"/>
  <c r="AC224" i="6"/>
  <c r="AC216" i="6"/>
  <c r="AC208" i="6"/>
  <c r="AC200" i="6"/>
  <c r="AC192" i="6"/>
  <c r="AC184" i="6"/>
  <c r="AC176" i="6"/>
  <c r="AC168" i="6"/>
  <c r="AC160" i="6"/>
  <c r="AC152" i="6"/>
  <c r="AC144" i="6"/>
  <c r="AC136" i="6"/>
  <c r="AC128" i="6"/>
  <c r="AC120" i="6"/>
  <c r="AC112" i="6"/>
  <c r="AC104" i="6"/>
  <c r="AC1083" i="6"/>
  <c r="AC1051" i="6"/>
  <c r="AC1019" i="6"/>
  <c r="AC987" i="6"/>
  <c r="AC955" i="6"/>
  <c r="AC923" i="6"/>
  <c r="AC891" i="6"/>
  <c r="AC859" i="6"/>
  <c r="AC827" i="6"/>
  <c r="AC795" i="6"/>
  <c r="AC763" i="6"/>
  <c r="AC731" i="6"/>
  <c r="AC699" i="6"/>
  <c r="AC667" i="6"/>
  <c r="AC648" i="6"/>
  <c r="AC626" i="6"/>
  <c r="AC607" i="6"/>
  <c r="AC599" i="6"/>
  <c r="AC591" i="6"/>
  <c r="AC583" i="6"/>
  <c r="AC575" i="6"/>
  <c r="AC567" i="6"/>
  <c r="AC559" i="6"/>
  <c r="AC551" i="6"/>
  <c r="AC543" i="6"/>
  <c r="AC535" i="6"/>
  <c r="AC527" i="6"/>
  <c r="AC519" i="6"/>
  <c r="AC511" i="6"/>
  <c r="AC503" i="6"/>
  <c r="AC495" i="6"/>
  <c r="AC487" i="6"/>
  <c r="AC479" i="6"/>
  <c r="AC471" i="6"/>
  <c r="AC463" i="6"/>
  <c r="AC455" i="6"/>
  <c r="AC447" i="6"/>
  <c r="AC439" i="6"/>
  <c r="AC431" i="6"/>
  <c r="AC423" i="6"/>
  <c r="AC415" i="6"/>
  <c r="AC407" i="6"/>
  <c r="AC399" i="6"/>
  <c r="AC391" i="6"/>
  <c r="AC383" i="6"/>
  <c r="AC375" i="6"/>
  <c r="AC367" i="6"/>
  <c r="AC359" i="6"/>
  <c r="AC351" i="6"/>
  <c r="AC343" i="6"/>
  <c r="AC335" i="6"/>
  <c r="AC327" i="6"/>
  <c r="AC319" i="6"/>
  <c r="AC311" i="6"/>
  <c r="AC303" i="6"/>
  <c r="AC295" i="6"/>
  <c r="AC287" i="6"/>
  <c r="AC279" i="6"/>
  <c r="AC271" i="6"/>
  <c r="AC263" i="6"/>
  <c r="AC255" i="6"/>
  <c r="AC247" i="6"/>
  <c r="AC239" i="6"/>
  <c r="AC231" i="6"/>
  <c r="AC223" i="6"/>
  <c r="AC215" i="6"/>
  <c r="AC207" i="6"/>
  <c r="AC199" i="6"/>
  <c r="AC191" i="6"/>
  <c r="AC183" i="6"/>
  <c r="AC175" i="6"/>
  <c r="AC167" i="6"/>
  <c r="AC159" i="6"/>
  <c r="AC151" i="6"/>
  <c r="AC143" i="6"/>
  <c r="AC135" i="6"/>
  <c r="AC127" i="6"/>
  <c r="AC119" i="6"/>
  <c r="AC111" i="6"/>
  <c r="AC1082" i="6"/>
  <c r="AC1050" i="6"/>
  <c r="AC1018" i="6"/>
  <c r="AC986" i="6"/>
  <c r="AC954" i="6"/>
  <c r="AC922" i="6"/>
  <c r="AC890" i="6"/>
  <c r="AC858" i="6"/>
  <c r="AC826" i="6"/>
  <c r="AC794" i="6"/>
  <c r="AC762" i="6"/>
  <c r="AC730" i="6"/>
  <c r="AC698" i="6"/>
  <c r="AC666" i="6"/>
  <c r="AC643" i="6"/>
  <c r="AC624" i="6"/>
  <c r="AC606" i="6"/>
  <c r="AC598" i="6"/>
  <c r="AC590" i="6"/>
  <c r="AC582" i="6"/>
  <c r="AC574" i="6"/>
  <c r="AC566" i="6"/>
  <c r="AC558" i="6"/>
  <c r="AC550" i="6"/>
  <c r="AC542" i="6"/>
  <c r="AC534" i="6"/>
  <c r="AC526" i="6"/>
  <c r="AC518" i="6"/>
  <c r="AC510" i="6"/>
  <c r="AC502" i="6"/>
  <c r="AC494" i="6"/>
  <c r="AC486" i="6"/>
  <c r="AC478" i="6"/>
  <c r="AC470" i="6"/>
  <c r="AC462" i="6"/>
  <c r="AC454" i="6"/>
  <c r="AC446" i="6"/>
  <c r="AC438" i="6"/>
  <c r="AC430" i="6"/>
  <c r="AC422" i="6"/>
  <c r="AC414" i="6"/>
  <c r="AC406" i="6"/>
  <c r="AC398" i="6"/>
  <c r="AC390" i="6"/>
  <c r="AC382" i="6"/>
  <c r="AC374" i="6"/>
  <c r="AC366" i="6"/>
  <c r="AC358" i="6"/>
  <c r="AC350" i="6"/>
  <c r="AC342" i="6"/>
  <c r="AC334" i="6"/>
  <c r="AC326" i="6"/>
  <c r="AC318" i="6"/>
  <c r="AC310" i="6"/>
  <c r="AC302" i="6"/>
  <c r="AC294" i="6"/>
  <c r="AC286" i="6"/>
  <c r="AC278" i="6"/>
  <c r="AC270" i="6"/>
  <c r="AC262" i="6"/>
  <c r="AC254" i="6"/>
  <c r="AC246" i="6"/>
  <c r="AC238" i="6"/>
  <c r="AC230" i="6"/>
  <c r="AC222" i="6"/>
  <c r="AC214" i="6"/>
  <c r="AC206" i="6"/>
  <c r="AC198" i="6"/>
  <c r="AC190" i="6"/>
  <c r="AC182" i="6"/>
  <c r="AC174" i="6"/>
  <c r="AC166" i="6"/>
  <c r="AC158" i="6"/>
  <c r="AC150" i="6"/>
  <c r="AC142" i="6"/>
  <c r="AC134" i="6"/>
  <c r="AC126" i="6"/>
  <c r="AC118" i="6"/>
  <c r="AC110" i="6"/>
  <c r="AC1099" i="6"/>
  <c r="AC1067" i="6"/>
  <c r="AC1035" i="6"/>
  <c r="AC1003" i="6"/>
  <c r="AC971" i="6"/>
  <c r="AC939" i="6"/>
  <c r="AC907" i="6"/>
  <c r="AC875" i="6"/>
  <c r="AC843" i="6"/>
  <c r="AC811" i="6"/>
  <c r="AC779" i="6"/>
  <c r="AC747" i="6"/>
  <c r="AC715" i="6"/>
  <c r="AC683" i="6"/>
  <c r="AC658" i="6"/>
  <c r="AC635" i="6"/>
  <c r="AC616" i="6"/>
  <c r="AC603" i="6"/>
  <c r="AC595" i="6"/>
  <c r="AC587" i="6"/>
  <c r="AC579" i="6"/>
  <c r="AC571" i="6"/>
  <c r="AC563" i="6"/>
  <c r="AC555" i="6"/>
  <c r="AC547" i="6"/>
  <c r="AC539" i="6"/>
  <c r="AC531" i="6"/>
  <c r="AC523" i="6"/>
  <c r="AC515" i="6"/>
  <c r="AC507" i="6"/>
  <c r="AC499" i="6"/>
  <c r="AC491" i="6"/>
  <c r="AC483" i="6"/>
  <c r="AC475" i="6"/>
  <c r="AC467" i="6"/>
  <c r="AC459" i="6"/>
  <c r="AC451" i="6"/>
  <c r="AC443" i="6"/>
  <c r="AC435" i="6"/>
  <c r="AC427" i="6"/>
  <c r="AC419" i="6"/>
  <c r="AC411" i="6"/>
  <c r="AC403" i="6"/>
  <c r="AC395" i="6"/>
  <c r="AC387" i="6"/>
  <c r="AC379" i="6"/>
  <c r="AC371" i="6"/>
  <c r="AC363" i="6"/>
  <c r="AC355" i="6"/>
  <c r="AC347" i="6"/>
  <c r="AC339" i="6"/>
  <c r="AC331" i="6"/>
  <c r="AC323" i="6"/>
  <c r="AC315" i="6"/>
  <c r="AC307" i="6"/>
  <c r="AC299" i="6"/>
  <c r="AC291" i="6"/>
  <c r="AC283" i="6"/>
  <c r="AC275" i="6"/>
  <c r="AC267" i="6"/>
  <c r="AC259" i="6"/>
  <c r="AC251" i="6"/>
  <c r="AC243" i="6"/>
  <c r="AC235" i="6"/>
  <c r="AC227" i="6"/>
  <c r="AC219" i="6"/>
  <c r="AC211" i="6"/>
  <c r="AC203" i="6"/>
  <c r="AC195" i="6"/>
  <c r="AC187" i="6"/>
  <c r="AC179" i="6"/>
  <c r="AC171" i="6"/>
  <c r="AC163" i="6"/>
  <c r="AC155" i="6"/>
  <c r="AC147" i="6"/>
  <c r="AC139" i="6"/>
  <c r="AC131" i="6"/>
  <c r="AC123" i="6"/>
  <c r="AC115" i="6"/>
  <c r="AC107" i="6"/>
  <c r="AC1042" i="6"/>
  <c r="AC914" i="6"/>
  <c r="AC786" i="6"/>
  <c r="AC659" i="6"/>
  <c r="AC596" i="6"/>
  <c r="AC564" i="6"/>
  <c r="AC532" i="6"/>
  <c r="AC500" i="6"/>
  <c r="AC468" i="6"/>
  <c r="AC436" i="6"/>
  <c r="AC404" i="6"/>
  <c r="AC372" i="6"/>
  <c r="AC340" i="6"/>
  <c r="AC308" i="6"/>
  <c r="AC276" i="6"/>
  <c r="AC244" i="6"/>
  <c r="AC212" i="6"/>
  <c r="AC180" i="6"/>
  <c r="AC148" i="6"/>
  <c r="AC116" i="6"/>
  <c r="AC99" i="6"/>
  <c r="AC91" i="6"/>
  <c r="AC83" i="6"/>
  <c r="AC75" i="6"/>
  <c r="AC67" i="6"/>
  <c r="AC59" i="6"/>
  <c r="AC51" i="6"/>
  <c r="AC43" i="6"/>
  <c r="AC35" i="6"/>
  <c r="AC27" i="6"/>
  <c r="AC19" i="6"/>
  <c r="AC11" i="6"/>
  <c r="AC1011" i="6"/>
  <c r="AC883" i="6"/>
  <c r="AC755" i="6"/>
  <c r="AC642" i="6"/>
  <c r="AC589" i="6"/>
  <c r="AC557" i="6"/>
  <c r="AC525" i="6"/>
  <c r="AC493" i="6"/>
  <c r="AC461" i="6"/>
  <c r="AC429" i="6"/>
  <c r="AC397" i="6"/>
  <c r="AC365" i="6"/>
  <c r="AC333" i="6"/>
  <c r="AC301" i="6"/>
  <c r="AC269" i="6"/>
  <c r="AC237" i="6"/>
  <c r="AC205" i="6"/>
  <c r="AC173" i="6"/>
  <c r="AC141" i="6"/>
  <c r="AC109" i="6"/>
  <c r="AC98" i="6"/>
  <c r="AC90" i="6"/>
  <c r="AC82" i="6"/>
  <c r="AC74" i="6"/>
  <c r="AC66" i="6"/>
  <c r="AC58" i="6"/>
  <c r="AC50" i="6"/>
  <c r="AC42" i="6"/>
  <c r="AC34" i="6"/>
  <c r="AC26" i="6"/>
  <c r="AC18" i="6"/>
  <c r="AC10" i="6"/>
  <c r="AC1010" i="6"/>
  <c r="AC882" i="6"/>
  <c r="AC754" i="6"/>
  <c r="AC640" i="6"/>
  <c r="AC588" i="6"/>
  <c r="AC556" i="6"/>
  <c r="AC524" i="6"/>
  <c r="AC492" i="6"/>
  <c r="AC460" i="6"/>
  <c r="AC428" i="6"/>
  <c r="AC396" i="6"/>
  <c r="AC364" i="6"/>
  <c r="AC332" i="6"/>
  <c r="AC300" i="6"/>
  <c r="AC268" i="6"/>
  <c r="AC236" i="6"/>
  <c r="AC204" i="6"/>
  <c r="AC172" i="6"/>
  <c r="AC140" i="6"/>
  <c r="AC108" i="6"/>
  <c r="AC97" i="6"/>
  <c r="AC89" i="6"/>
  <c r="AC81" i="6"/>
  <c r="AC73" i="6"/>
  <c r="AC65" i="6"/>
  <c r="AC57" i="6"/>
  <c r="AC49" i="6"/>
  <c r="AC41" i="6"/>
  <c r="AC33" i="6"/>
  <c r="AC25" i="6"/>
  <c r="AC17" i="6"/>
  <c r="AC9" i="6"/>
  <c r="AC1107" i="6"/>
  <c r="AC979" i="6"/>
  <c r="AC851" i="6"/>
  <c r="AC723" i="6"/>
  <c r="AC619" i="6"/>
  <c r="AC581" i="6"/>
  <c r="AC549" i="6"/>
  <c r="AC517" i="6"/>
  <c r="AC485" i="6"/>
  <c r="AC453" i="6"/>
  <c r="AC421" i="6"/>
  <c r="AC389" i="6"/>
  <c r="AC357" i="6"/>
  <c r="AC325" i="6"/>
  <c r="AC293" i="6"/>
  <c r="AC261" i="6"/>
  <c r="AC229" i="6"/>
  <c r="AC197" i="6"/>
  <c r="AC165" i="6"/>
  <c r="AC133" i="6"/>
  <c r="AC105" i="6"/>
  <c r="AC96" i="6"/>
  <c r="AC88" i="6"/>
  <c r="AC80" i="6"/>
  <c r="AC72" i="6"/>
  <c r="AC64" i="6"/>
  <c r="AC56" i="6"/>
  <c r="AC48" i="6"/>
  <c r="AC40" i="6"/>
  <c r="AC32" i="6"/>
  <c r="AC24" i="6"/>
  <c r="AC16" i="6"/>
  <c r="AC8" i="6"/>
  <c r="AC1106" i="6"/>
  <c r="AC978" i="6"/>
  <c r="AC850" i="6"/>
  <c r="AC722" i="6"/>
  <c r="AC618" i="6"/>
  <c r="AC580" i="6"/>
  <c r="AC548" i="6"/>
  <c r="AC516" i="6"/>
  <c r="AC484" i="6"/>
  <c r="AC452" i="6"/>
  <c r="AC420" i="6"/>
  <c r="AC388" i="6"/>
  <c r="AC356" i="6"/>
  <c r="AC324" i="6"/>
  <c r="AC292" i="6"/>
  <c r="AC260" i="6"/>
  <c r="AC228" i="6"/>
  <c r="AC196" i="6"/>
  <c r="AC164" i="6"/>
  <c r="AC132" i="6"/>
  <c r="AC103" i="6"/>
  <c r="AC95" i="6"/>
  <c r="AC87" i="6"/>
  <c r="AC79" i="6"/>
  <c r="AC71" i="6"/>
  <c r="AC63" i="6"/>
  <c r="AC55" i="6"/>
  <c r="AC47" i="6"/>
  <c r="AC39" i="6"/>
  <c r="AC31" i="6"/>
  <c r="AC23" i="6"/>
  <c r="AC15" i="6"/>
  <c r="AC7" i="6"/>
  <c r="AC1075" i="6"/>
  <c r="AC947" i="6"/>
  <c r="AC819" i="6"/>
  <c r="AC691" i="6"/>
  <c r="AC605" i="6"/>
  <c r="AC573" i="6"/>
  <c r="AC541" i="6"/>
  <c r="AC509" i="6"/>
  <c r="AC477" i="6"/>
  <c r="AC445" i="6"/>
  <c r="AC413" i="6"/>
  <c r="AC381" i="6"/>
  <c r="AC349" i="6"/>
  <c r="AC317" i="6"/>
  <c r="AC285" i="6"/>
  <c r="AC253" i="6"/>
  <c r="AC221" i="6"/>
  <c r="AC189" i="6"/>
  <c r="AC157" i="6"/>
  <c r="AC125" i="6"/>
  <c r="AC102" i="6"/>
  <c r="AC94" i="6"/>
  <c r="AC86" i="6"/>
  <c r="AC78" i="6"/>
  <c r="AC70" i="6"/>
  <c r="AC62" i="6"/>
  <c r="AC54" i="6"/>
  <c r="AC46" i="6"/>
  <c r="AC38" i="6"/>
  <c r="AC30" i="6"/>
  <c r="AC22" i="6"/>
  <c r="AC14" i="6"/>
  <c r="AC787" i="6"/>
  <c r="AC533" i="6"/>
  <c r="AC405" i="6"/>
  <c r="AC277" i="6"/>
  <c r="AC149" i="6"/>
  <c r="AC84" i="6"/>
  <c r="AC52" i="6"/>
  <c r="AC20" i="6"/>
  <c r="AC690" i="6"/>
  <c r="AC508" i="6"/>
  <c r="AC380" i="6"/>
  <c r="AC252" i="6"/>
  <c r="AC124" i="6"/>
  <c r="AC77" i="6"/>
  <c r="AC45" i="6"/>
  <c r="AC13" i="6"/>
  <c r="AC664" i="6"/>
  <c r="AC501" i="6"/>
  <c r="AC373" i="6"/>
  <c r="AC245" i="6"/>
  <c r="AC117" i="6"/>
  <c r="AC76" i="6"/>
  <c r="AC44" i="6"/>
  <c r="AC12" i="6"/>
  <c r="AC1074" i="6"/>
  <c r="AC604" i="6"/>
  <c r="AC476" i="6"/>
  <c r="AC348" i="6"/>
  <c r="AC220" i="6"/>
  <c r="AC101" i="6"/>
  <c r="AC69" i="6"/>
  <c r="AC37" i="6"/>
  <c r="AC946" i="6"/>
  <c r="AC572" i="6"/>
  <c r="AC444" i="6"/>
  <c r="AC316" i="6"/>
  <c r="AC188" i="6"/>
  <c r="AC93" i="6"/>
  <c r="AC61" i="6"/>
  <c r="AC29" i="6"/>
  <c r="AC915" i="6"/>
  <c r="AC565" i="6"/>
  <c r="AC437" i="6"/>
  <c r="AC309" i="6"/>
  <c r="AC181" i="6"/>
  <c r="AC92" i="6"/>
  <c r="AC60" i="6"/>
  <c r="AC28" i="6"/>
  <c r="AC284" i="6"/>
  <c r="AC21" i="6"/>
  <c r="AC1043" i="6"/>
  <c r="AC213" i="6"/>
  <c r="AC818" i="6"/>
  <c r="AC156" i="6"/>
  <c r="AC597" i="6"/>
  <c r="AC100" i="6"/>
  <c r="AC540" i="6"/>
  <c r="AC85" i="6"/>
  <c r="AC341" i="6"/>
  <c r="AC36" i="6"/>
  <c r="AC469" i="6"/>
  <c r="AC412" i="6"/>
  <c r="AC68" i="6"/>
  <c r="AC53" i="6"/>
  <c r="G1110" i="6"/>
  <c r="H1110" i="6" s="1"/>
  <c r="G1102" i="6"/>
  <c r="G1094" i="6"/>
  <c r="G1086" i="6"/>
  <c r="G1078" i="6"/>
  <c r="G1070" i="6"/>
  <c r="G1062" i="6"/>
  <c r="G1054" i="6"/>
  <c r="G1046" i="6"/>
  <c r="G1038" i="6"/>
  <c r="G1030" i="6"/>
  <c r="G1022" i="6"/>
  <c r="G1014" i="6"/>
  <c r="G1006" i="6"/>
  <c r="G998" i="6"/>
  <c r="G990" i="6"/>
  <c r="G982" i="6"/>
  <c r="G974" i="6"/>
  <c r="G966" i="6"/>
  <c r="G958" i="6"/>
  <c r="G950" i="6"/>
  <c r="G942" i="6"/>
  <c r="G934" i="6"/>
  <c r="G926" i="6"/>
  <c r="H926" i="6" s="1"/>
  <c r="G918" i="6"/>
  <c r="G910" i="6"/>
  <c r="H910" i="6" s="1"/>
  <c r="G902" i="6"/>
  <c r="G894" i="6"/>
  <c r="G886" i="6"/>
  <c r="G878" i="6"/>
  <c r="G870" i="6"/>
  <c r="G862" i="6"/>
  <c r="G854" i="6"/>
  <c r="G846" i="6"/>
  <c r="G838" i="6"/>
  <c r="G830" i="6"/>
  <c r="G822" i="6"/>
  <c r="G814" i="6"/>
  <c r="G806" i="6"/>
  <c r="G798" i="6"/>
  <c r="G790" i="6"/>
  <c r="G782" i="6"/>
  <c r="G774" i="6"/>
  <c r="G766" i="6"/>
  <c r="G1107" i="6"/>
  <c r="G1099" i="6"/>
  <c r="G1091" i="6"/>
  <c r="G1083" i="6"/>
  <c r="G1075" i="6"/>
  <c r="G1067" i="6"/>
  <c r="G1059" i="6"/>
  <c r="G1051" i="6"/>
  <c r="G1106" i="6"/>
  <c r="G1096" i="6"/>
  <c r="G1085" i="6"/>
  <c r="G1074" i="6"/>
  <c r="G1064" i="6"/>
  <c r="G1053" i="6"/>
  <c r="G1043" i="6"/>
  <c r="G1034" i="6"/>
  <c r="G1025" i="6"/>
  <c r="G1016" i="6"/>
  <c r="G1007" i="6"/>
  <c r="G997" i="6"/>
  <c r="G988" i="6"/>
  <c r="G979" i="6"/>
  <c r="G970" i="6"/>
  <c r="G961" i="6"/>
  <c r="G952" i="6"/>
  <c r="G943" i="6"/>
  <c r="G933" i="6"/>
  <c r="G924" i="6"/>
  <c r="G915" i="6"/>
  <c r="G906" i="6"/>
  <c r="G897" i="6"/>
  <c r="G888" i="6"/>
  <c r="G879" i="6"/>
  <c r="G869" i="6"/>
  <c r="G860" i="6"/>
  <c r="G851" i="6"/>
  <c r="G842" i="6"/>
  <c r="G833" i="6"/>
  <c r="G824" i="6"/>
  <c r="G815" i="6"/>
  <c r="G805" i="6"/>
  <c r="G796" i="6"/>
  <c r="G787" i="6"/>
  <c r="G778" i="6"/>
  <c r="G769" i="6"/>
  <c r="G760" i="6"/>
  <c r="H760" i="6" s="1"/>
  <c r="G752" i="6"/>
  <c r="G744" i="6"/>
  <c r="G736" i="6"/>
  <c r="G728" i="6"/>
  <c r="G720" i="6"/>
  <c r="G712" i="6"/>
  <c r="G704" i="6"/>
  <c r="G696" i="6"/>
  <c r="G688" i="6"/>
  <c r="G680" i="6"/>
  <c r="G672" i="6"/>
  <c r="G664" i="6"/>
  <c r="G656" i="6"/>
  <c r="G648" i="6"/>
  <c r="G640" i="6"/>
  <c r="G632" i="6"/>
  <c r="G624" i="6"/>
  <c r="G616" i="6"/>
  <c r="G608" i="6"/>
  <c r="G600" i="6"/>
  <c r="G592" i="6"/>
  <c r="G584" i="6"/>
  <c r="G576" i="6"/>
  <c r="G568" i="6"/>
  <c r="G1105" i="6"/>
  <c r="G1095" i="6"/>
  <c r="G1084" i="6"/>
  <c r="G1073" i="6"/>
  <c r="G1063" i="6"/>
  <c r="G1052" i="6"/>
  <c r="G1042" i="6"/>
  <c r="G1033" i="6"/>
  <c r="G1024" i="6"/>
  <c r="G1015" i="6"/>
  <c r="G1005" i="6"/>
  <c r="G996" i="6"/>
  <c r="G987" i="6"/>
  <c r="G978" i="6"/>
  <c r="G969" i="6"/>
  <c r="G960" i="6"/>
  <c r="G951" i="6"/>
  <c r="G941" i="6"/>
  <c r="G932" i="6"/>
  <c r="G923" i="6"/>
  <c r="G914" i="6"/>
  <c r="G905" i="6"/>
  <c r="G896" i="6"/>
  <c r="G887" i="6"/>
  <c r="G877" i="6"/>
  <c r="G868" i="6"/>
  <c r="G859" i="6"/>
  <c r="G850" i="6"/>
  <c r="G841" i="6"/>
  <c r="G832" i="6"/>
  <c r="G823" i="6"/>
  <c r="G813" i="6"/>
  <c r="G804" i="6"/>
  <c r="G795" i="6"/>
  <c r="G786" i="6"/>
  <c r="G777" i="6"/>
  <c r="G768" i="6"/>
  <c r="G759" i="6"/>
  <c r="G751" i="6"/>
  <c r="G743" i="6"/>
  <c r="H743" i="6" s="1"/>
  <c r="G735" i="6"/>
  <c r="G727" i="6"/>
  <c r="G719" i="6"/>
  <c r="G711" i="6"/>
  <c r="G703" i="6"/>
  <c r="G695" i="6"/>
  <c r="G687" i="6"/>
  <c r="G679" i="6"/>
  <c r="H679" i="6" s="1"/>
  <c r="G671" i="6"/>
  <c r="G663" i="6"/>
  <c r="G655" i="6"/>
  <c r="G647" i="6"/>
  <c r="G639" i="6"/>
  <c r="G631" i="6"/>
  <c r="G623" i="6"/>
  <c r="G615" i="6"/>
  <c r="G1104" i="6"/>
  <c r="G1093" i="6"/>
  <c r="G1082" i="6"/>
  <c r="G1072" i="6"/>
  <c r="G1061" i="6"/>
  <c r="G1050" i="6"/>
  <c r="G1041" i="6"/>
  <c r="G1032" i="6"/>
  <c r="H1032" i="6" s="1"/>
  <c r="G1023" i="6"/>
  <c r="G1013" i="6"/>
  <c r="G1004" i="6"/>
  <c r="G995" i="6"/>
  <c r="G986" i="6"/>
  <c r="G977" i="6"/>
  <c r="G968" i="6"/>
  <c r="G959" i="6"/>
  <c r="G949" i="6"/>
  <c r="G940" i="6"/>
  <c r="G931" i="6"/>
  <c r="G922" i="6"/>
  <c r="G913" i="6"/>
  <c r="G904" i="6"/>
  <c r="G895" i="6"/>
  <c r="G885" i="6"/>
  <c r="G876" i="6"/>
  <c r="G867" i="6"/>
  <c r="G858" i="6"/>
  <c r="G849" i="6"/>
  <c r="G840" i="6"/>
  <c r="G831" i="6"/>
  <c r="G821" i="6"/>
  <c r="G812" i="6"/>
  <c r="G803" i="6"/>
  <c r="G794" i="6"/>
  <c r="G785" i="6"/>
  <c r="G776" i="6"/>
  <c r="G767" i="6"/>
  <c r="G758" i="6"/>
  <c r="G750" i="6"/>
  <c r="G742" i="6"/>
  <c r="G734" i="6"/>
  <c r="G726" i="6"/>
  <c r="G718" i="6"/>
  <c r="G710" i="6"/>
  <c r="G702" i="6"/>
  <c r="G694" i="6"/>
  <c r="G686" i="6"/>
  <c r="G678" i="6"/>
  <c r="G670" i="6"/>
  <c r="G662" i="6"/>
  <c r="G654" i="6"/>
  <c r="G646" i="6"/>
  <c r="G638" i="6"/>
  <c r="G630" i="6"/>
  <c r="G622" i="6"/>
  <c r="G614" i="6"/>
  <c r="G606" i="6"/>
  <c r="G598" i="6"/>
  <c r="G590" i="6"/>
  <c r="G582" i="6"/>
  <c r="G574" i="6"/>
  <c r="G1103" i="6"/>
  <c r="G1092" i="6"/>
  <c r="G1081" i="6"/>
  <c r="G1071" i="6"/>
  <c r="G1060" i="6"/>
  <c r="G1049" i="6"/>
  <c r="G1040" i="6"/>
  <c r="G1031" i="6"/>
  <c r="G1021" i="6"/>
  <c r="G1012" i="6"/>
  <c r="G1003" i="6"/>
  <c r="G994" i="6"/>
  <c r="G985" i="6"/>
  <c r="G976" i="6"/>
  <c r="G967" i="6"/>
  <c r="G957" i="6"/>
  <c r="G948" i="6"/>
  <c r="G939" i="6"/>
  <c r="G930" i="6"/>
  <c r="G921" i="6"/>
  <c r="G912" i="6"/>
  <c r="G903" i="6"/>
  <c r="G893" i="6"/>
  <c r="G884" i="6"/>
  <c r="G875" i="6"/>
  <c r="G866" i="6"/>
  <c r="G857" i="6"/>
  <c r="G848" i="6"/>
  <c r="G839" i="6"/>
  <c r="G829" i="6"/>
  <c r="G820" i="6"/>
  <c r="G811" i="6"/>
  <c r="G802" i="6"/>
  <c r="G793" i="6"/>
  <c r="G784" i="6"/>
  <c r="G775" i="6"/>
  <c r="G765" i="6"/>
  <c r="G757" i="6"/>
  <c r="G749" i="6"/>
  <c r="H749" i="6" s="1"/>
  <c r="G741" i="6"/>
  <c r="G733" i="6"/>
  <c r="H733" i="6" s="1"/>
  <c r="G725" i="6"/>
  <c r="G717" i="6"/>
  <c r="G709" i="6"/>
  <c r="G701" i="6"/>
  <c r="G693" i="6"/>
  <c r="G685" i="6"/>
  <c r="G677" i="6"/>
  <c r="G669" i="6"/>
  <c r="G661" i="6"/>
  <c r="G653" i="6"/>
  <c r="G645" i="6"/>
  <c r="G637" i="6"/>
  <c r="G629" i="6"/>
  <c r="G621" i="6"/>
  <c r="G613" i="6"/>
  <c r="G605" i="6"/>
  <c r="G597" i="6"/>
  <c r="G589" i="6"/>
  <c r="G581" i="6"/>
  <c r="G573" i="6"/>
  <c r="G565" i="6"/>
  <c r="G1112" i="6"/>
  <c r="G1101" i="6"/>
  <c r="G1090" i="6"/>
  <c r="G1080" i="6"/>
  <c r="G1069" i="6"/>
  <c r="G1058" i="6"/>
  <c r="G1048" i="6"/>
  <c r="G1039" i="6"/>
  <c r="G1029" i="6"/>
  <c r="G1020" i="6"/>
  <c r="G1011" i="6"/>
  <c r="G1002" i="6"/>
  <c r="G993" i="6"/>
  <c r="G984" i="6"/>
  <c r="G975" i="6"/>
  <c r="G965" i="6"/>
  <c r="G956" i="6"/>
  <c r="G947" i="6"/>
  <c r="G938" i="6"/>
  <c r="G929" i="6"/>
  <c r="G920" i="6"/>
  <c r="G911" i="6"/>
  <c r="G901" i="6"/>
  <c r="G892" i="6"/>
  <c r="G883" i="6"/>
  <c r="G874" i="6"/>
  <c r="G865" i="6"/>
  <c r="G856" i="6"/>
  <c r="G847" i="6"/>
  <c r="G837" i="6"/>
  <c r="G828" i="6"/>
  <c r="G819" i="6"/>
  <c r="G810" i="6"/>
  <c r="G801" i="6"/>
  <c r="G792" i="6"/>
  <c r="G783" i="6"/>
  <c r="G773" i="6"/>
  <c r="G764" i="6"/>
  <c r="G756" i="6"/>
  <c r="G748" i="6"/>
  <c r="G740" i="6"/>
  <c r="G732" i="6"/>
  <c r="G724" i="6"/>
  <c r="G716" i="6"/>
  <c r="G708" i="6"/>
  <c r="G700" i="6"/>
  <c r="G692" i="6"/>
  <c r="G684" i="6"/>
  <c r="G676" i="6"/>
  <c r="G668" i="6"/>
  <c r="G660" i="6"/>
  <c r="G652" i="6"/>
  <c r="G644" i="6"/>
  <c r="G636" i="6"/>
  <c r="G628" i="6"/>
  <c r="G620" i="6"/>
  <c r="G612" i="6"/>
  <c r="G604" i="6"/>
  <c r="G596" i="6"/>
  <c r="G588" i="6"/>
  <c r="G580" i="6"/>
  <c r="G572" i="6"/>
  <c r="G564" i="6"/>
  <c r="G556" i="6"/>
  <c r="G548" i="6"/>
  <c r="G540" i="6"/>
  <c r="G532" i="6"/>
  <c r="G524" i="6"/>
  <c r="G516" i="6"/>
  <c r="H516" i="6" s="1"/>
  <c r="G508" i="6"/>
  <c r="G500" i="6"/>
  <c r="G492" i="6"/>
  <c r="G484" i="6"/>
  <c r="G476" i="6"/>
  <c r="G468" i="6"/>
  <c r="G460" i="6"/>
  <c r="G452" i="6"/>
  <c r="G444" i="6"/>
  <c r="G436" i="6"/>
  <c r="G428" i="6"/>
  <c r="G420" i="6"/>
  <c r="G412" i="6"/>
  <c r="G404" i="6"/>
  <c r="G396" i="6"/>
  <c r="G388" i="6"/>
  <c r="G380" i="6"/>
  <c r="G372" i="6"/>
  <c r="G364" i="6"/>
  <c r="G356" i="6"/>
  <c r="G348" i="6"/>
  <c r="G340" i="6"/>
  <c r="G332" i="6"/>
  <c r="G324" i="6"/>
  <c r="G316" i="6"/>
  <c r="G308" i="6"/>
  <c r="G300" i="6"/>
  <c r="G292" i="6"/>
  <c r="G284" i="6"/>
  <c r="G276" i="6"/>
  <c r="G268" i="6"/>
  <c r="G260" i="6"/>
  <c r="G252" i="6"/>
  <c r="G244" i="6"/>
  <c r="G236" i="6"/>
  <c r="G228" i="6"/>
  <c r="G220" i="6"/>
  <c r="G1111" i="6"/>
  <c r="G1087" i="6"/>
  <c r="G1056" i="6"/>
  <c r="G1028" i="6"/>
  <c r="G1008" i="6"/>
  <c r="G981" i="6"/>
  <c r="G955" i="6"/>
  <c r="G935" i="6"/>
  <c r="G908" i="6"/>
  <c r="G882" i="6"/>
  <c r="G861" i="6"/>
  <c r="G835" i="6"/>
  <c r="G809" i="6"/>
  <c r="G788" i="6"/>
  <c r="G762" i="6"/>
  <c r="G739" i="6"/>
  <c r="G721" i="6"/>
  <c r="G698" i="6"/>
  <c r="G675" i="6"/>
  <c r="G657" i="6"/>
  <c r="G634" i="6"/>
  <c r="G611" i="6"/>
  <c r="G595" i="6"/>
  <c r="G579" i="6"/>
  <c r="G566" i="6"/>
  <c r="G555" i="6"/>
  <c r="G546" i="6"/>
  <c r="G537" i="6"/>
  <c r="G528" i="6"/>
  <c r="H528" i="6" s="1"/>
  <c r="G519" i="6"/>
  <c r="G510" i="6"/>
  <c r="H510" i="6" s="1"/>
  <c r="G501" i="6"/>
  <c r="G491" i="6"/>
  <c r="G482" i="6"/>
  <c r="G473" i="6"/>
  <c r="G464" i="6"/>
  <c r="G455" i="6"/>
  <c r="G446" i="6"/>
  <c r="G437" i="6"/>
  <c r="G427" i="6"/>
  <c r="G418" i="6"/>
  <c r="G409" i="6"/>
  <c r="G400" i="6"/>
  <c r="G391" i="6"/>
  <c r="G382" i="6"/>
  <c r="G373" i="6"/>
  <c r="G363" i="6"/>
  <c r="G354" i="6"/>
  <c r="G345" i="6"/>
  <c r="G336" i="6"/>
  <c r="G327" i="6"/>
  <c r="G318" i="6"/>
  <c r="G309" i="6"/>
  <c r="G299" i="6"/>
  <c r="G290" i="6"/>
  <c r="G281" i="6"/>
  <c r="G272" i="6"/>
  <c r="G263" i="6"/>
  <c r="G254" i="6"/>
  <c r="G245" i="6"/>
  <c r="G235" i="6"/>
  <c r="G226" i="6"/>
  <c r="G217" i="6"/>
  <c r="G209" i="6"/>
  <c r="G201" i="6"/>
  <c r="G193" i="6"/>
  <c r="G185" i="6"/>
  <c r="G177" i="6"/>
  <c r="G169" i="6"/>
  <c r="G161" i="6"/>
  <c r="G153" i="6"/>
  <c r="G145" i="6"/>
  <c r="G137" i="6"/>
  <c r="G129" i="6"/>
  <c r="G121" i="6"/>
  <c r="G113" i="6"/>
  <c r="G105" i="6"/>
  <c r="G97" i="6"/>
  <c r="G89" i="6"/>
  <c r="G81" i="6"/>
  <c r="G73" i="6"/>
  <c r="G65" i="6"/>
  <c r="G57" i="6"/>
  <c r="G49" i="6"/>
  <c r="G41" i="6"/>
  <c r="G33" i="6"/>
  <c r="G25" i="6"/>
  <c r="G17" i="6"/>
  <c r="G9" i="6"/>
  <c r="G1109" i="6"/>
  <c r="G1079" i="6"/>
  <c r="G1055" i="6"/>
  <c r="G1027" i="6"/>
  <c r="G1001" i="6"/>
  <c r="G980" i="6"/>
  <c r="G954" i="6"/>
  <c r="G928" i="6"/>
  <c r="G907" i="6"/>
  <c r="G881" i="6"/>
  <c r="G855" i="6"/>
  <c r="G834" i="6"/>
  <c r="G808" i="6"/>
  <c r="G781" i="6"/>
  <c r="G761" i="6"/>
  <c r="G738" i="6"/>
  <c r="G715" i="6"/>
  <c r="G697" i="6"/>
  <c r="G674" i="6"/>
  <c r="G651" i="6"/>
  <c r="G633" i="6"/>
  <c r="G610" i="6"/>
  <c r="G594" i="6"/>
  <c r="G578" i="6"/>
  <c r="G563" i="6"/>
  <c r="G554" i="6"/>
  <c r="G545" i="6"/>
  <c r="G536" i="6"/>
  <c r="G527" i="6"/>
  <c r="G518" i="6"/>
  <c r="G509" i="6"/>
  <c r="G499" i="6"/>
  <c r="G490" i="6"/>
  <c r="G481" i="6"/>
  <c r="G472" i="6"/>
  <c r="G463" i="6"/>
  <c r="G454" i="6"/>
  <c r="G445" i="6"/>
  <c r="G435" i="6"/>
  <c r="G426" i="6"/>
  <c r="G417" i="6"/>
  <c r="G408" i="6"/>
  <c r="G399" i="6"/>
  <c r="G390" i="6"/>
  <c r="G381" i="6"/>
  <c r="G371" i="6"/>
  <c r="G362" i="6"/>
  <c r="G353" i="6"/>
  <c r="G344" i="6"/>
  <c r="G335" i="6"/>
  <c r="G326" i="6"/>
  <c r="G317" i="6"/>
  <c r="G307" i="6"/>
  <c r="G298" i="6"/>
  <c r="H298" i="6" s="1"/>
  <c r="G289" i="6"/>
  <c r="G280" i="6"/>
  <c r="G271" i="6"/>
  <c r="G262" i="6"/>
  <c r="G253" i="6"/>
  <c r="G243" i="6"/>
  <c r="G234" i="6"/>
  <c r="G225" i="6"/>
  <c r="G216" i="6"/>
  <c r="G208" i="6"/>
  <c r="H208" i="6" s="1"/>
  <c r="G200" i="6"/>
  <c r="G192" i="6"/>
  <c r="H192" i="6" s="1"/>
  <c r="G184" i="6"/>
  <c r="G176" i="6"/>
  <c r="G168" i="6"/>
  <c r="G160" i="6"/>
  <c r="H160" i="6" s="1"/>
  <c r="G152" i="6"/>
  <c r="G144" i="6"/>
  <c r="G136" i="6"/>
  <c r="G128" i="6"/>
  <c r="G120" i="6"/>
  <c r="G112" i="6"/>
  <c r="H112" i="6" s="1"/>
  <c r="G104" i="6"/>
  <c r="G96" i="6"/>
  <c r="G88" i="6"/>
  <c r="G80" i="6"/>
  <c r="G72" i="6"/>
  <c r="G64" i="6"/>
  <c r="H64" i="6" s="1"/>
  <c r="G56" i="6"/>
  <c r="G48" i="6"/>
  <c r="G40" i="6"/>
  <c r="G32" i="6"/>
  <c r="G24" i="6"/>
  <c r="G16" i="6"/>
  <c r="G8" i="6"/>
  <c r="G1108" i="6"/>
  <c r="G1077" i="6"/>
  <c r="G1047" i="6"/>
  <c r="G1026" i="6"/>
  <c r="G1000" i="6"/>
  <c r="G973" i="6"/>
  <c r="G953" i="6"/>
  <c r="G927" i="6"/>
  <c r="G900" i="6"/>
  <c r="G880" i="6"/>
  <c r="G853" i="6"/>
  <c r="H853" i="6" s="1"/>
  <c r="G827" i="6"/>
  <c r="G807" i="6"/>
  <c r="G780" i="6"/>
  <c r="G755" i="6"/>
  <c r="G737" i="6"/>
  <c r="G714" i="6"/>
  <c r="G691" i="6"/>
  <c r="G673" i="6"/>
  <c r="G650" i="6"/>
  <c r="G627" i="6"/>
  <c r="H627" i="6" s="1"/>
  <c r="G609" i="6"/>
  <c r="G593" i="6"/>
  <c r="G577" i="6"/>
  <c r="G562" i="6"/>
  <c r="G553" i="6"/>
  <c r="G544" i="6"/>
  <c r="G535" i="6"/>
  <c r="G526" i="6"/>
  <c r="H526" i="6" s="1"/>
  <c r="G517" i="6"/>
  <c r="G507" i="6"/>
  <c r="G498" i="6"/>
  <c r="G489" i="6"/>
  <c r="G480" i="6"/>
  <c r="G471" i="6"/>
  <c r="G462" i="6"/>
  <c r="G453" i="6"/>
  <c r="G443" i="6"/>
  <c r="G434" i="6"/>
  <c r="H434" i="6" s="1"/>
  <c r="G425" i="6"/>
  <c r="G416" i="6"/>
  <c r="H416" i="6" s="1"/>
  <c r="G407" i="6"/>
  <c r="G398" i="6"/>
  <c r="G389" i="6"/>
  <c r="G379" i="6"/>
  <c r="H379" i="6" s="1"/>
  <c r="G370" i="6"/>
  <c r="G361" i="6"/>
  <c r="G352" i="6"/>
  <c r="G343" i="6"/>
  <c r="G334" i="6"/>
  <c r="G325" i="6"/>
  <c r="H325" i="6" s="1"/>
  <c r="G315" i="6"/>
  <c r="G306" i="6"/>
  <c r="G297" i="6"/>
  <c r="G288" i="6"/>
  <c r="G279" i="6"/>
  <c r="G270" i="6"/>
  <c r="G261" i="6"/>
  <c r="G251" i="6"/>
  <c r="G242" i="6"/>
  <c r="G233" i="6"/>
  <c r="G224" i="6"/>
  <c r="G215" i="6"/>
  <c r="G207" i="6"/>
  <c r="G199" i="6"/>
  <c r="G191" i="6"/>
  <c r="G183" i="6"/>
  <c r="G175" i="6"/>
  <c r="G167" i="6"/>
  <c r="G159" i="6"/>
  <c r="G151" i="6"/>
  <c r="G143" i="6"/>
  <c r="G135" i="6"/>
  <c r="G127" i="6"/>
  <c r="G119" i="6"/>
  <c r="G111" i="6"/>
  <c r="G103" i="6"/>
  <c r="G95" i="6"/>
  <c r="G87" i="6"/>
  <c r="G79" i="6"/>
  <c r="G71" i="6"/>
  <c r="G63" i="6"/>
  <c r="G55" i="6"/>
  <c r="G47" i="6"/>
  <c r="G39" i="6"/>
  <c r="G31" i="6"/>
  <c r="G23" i="6"/>
  <c r="G15" i="6"/>
  <c r="G7" i="6"/>
  <c r="G1100" i="6"/>
  <c r="G1076" i="6"/>
  <c r="G1045" i="6"/>
  <c r="G1019" i="6"/>
  <c r="G999" i="6"/>
  <c r="G972" i="6"/>
  <c r="G946" i="6"/>
  <c r="G925" i="6"/>
  <c r="H925" i="6" s="1"/>
  <c r="G899" i="6"/>
  <c r="G873" i="6"/>
  <c r="G852" i="6"/>
  <c r="G826" i="6"/>
  <c r="G800" i="6"/>
  <c r="G779" i="6"/>
  <c r="G754" i="6"/>
  <c r="G731" i="6"/>
  <c r="G713" i="6"/>
  <c r="G690" i="6"/>
  <c r="G667" i="6"/>
  <c r="G649" i="6"/>
  <c r="G626" i="6"/>
  <c r="G607" i="6"/>
  <c r="G591" i="6"/>
  <c r="G575" i="6"/>
  <c r="G561" i="6"/>
  <c r="G552" i="6"/>
  <c r="G543" i="6"/>
  <c r="G534" i="6"/>
  <c r="G525" i="6"/>
  <c r="G515" i="6"/>
  <c r="G506" i="6"/>
  <c r="G497" i="6"/>
  <c r="G488" i="6"/>
  <c r="G479" i="6"/>
  <c r="G470" i="6"/>
  <c r="G461" i="6"/>
  <c r="H461" i="6" s="1"/>
  <c r="G451" i="6"/>
  <c r="G442" i="6"/>
  <c r="G433" i="6"/>
  <c r="G424" i="6"/>
  <c r="H424" i="6" s="1"/>
  <c r="G415" i="6"/>
  <c r="G406" i="6"/>
  <c r="G397" i="6"/>
  <c r="G387" i="6"/>
  <c r="G378" i="6"/>
  <c r="G369" i="6"/>
  <c r="G360" i="6"/>
  <c r="G351" i="6"/>
  <c r="G342" i="6"/>
  <c r="G333" i="6"/>
  <c r="H333" i="6" s="1"/>
  <c r="G323" i="6"/>
  <c r="G314" i="6"/>
  <c r="G305" i="6"/>
  <c r="G296" i="6"/>
  <c r="G287" i="6"/>
  <c r="G278" i="6"/>
  <c r="G269" i="6"/>
  <c r="G259" i="6"/>
  <c r="G250" i="6"/>
  <c r="G241" i="6"/>
  <c r="G232" i="6"/>
  <c r="G223" i="6"/>
  <c r="G214" i="6"/>
  <c r="G206" i="6"/>
  <c r="G198" i="6"/>
  <c r="G190" i="6"/>
  <c r="G182" i="6"/>
  <c r="G174" i="6"/>
  <c r="G166" i="6"/>
  <c r="G158" i="6"/>
  <c r="G150" i="6"/>
  <c r="G142" i="6"/>
  <c r="H142" i="6" s="1"/>
  <c r="G134" i="6"/>
  <c r="G126" i="6"/>
  <c r="G118" i="6"/>
  <c r="G110" i="6"/>
  <c r="G102" i="6"/>
  <c r="G94" i="6"/>
  <c r="G86" i="6"/>
  <c r="G78" i="6"/>
  <c r="G70" i="6"/>
  <c r="G62" i="6"/>
  <c r="H62" i="6" s="1"/>
  <c r="G54" i="6"/>
  <c r="G46" i="6"/>
  <c r="G38" i="6"/>
  <c r="G30" i="6"/>
  <c r="H30" i="6" s="1"/>
  <c r="G22" i="6"/>
  <c r="G14" i="6"/>
  <c r="H14" i="6" s="1"/>
  <c r="G1097" i="6"/>
  <c r="G1066" i="6"/>
  <c r="G1037" i="6"/>
  <c r="G1017" i="6"/>
  <c r="G991" i="6"/>
  <c r="G964" i="6"/>
  <c r="G944" i="6"/>
  <c r="G917" i="6"/>
  <c r="G891" i="6"/>
  <c r="G871" i="6"/>
  <c r="G844" i="6"/>
  <c r="G818" i="6"/>
  <c r="G797" i="6"/>
  <c r="G771" i="6"/>
  <c r="G747" i="6"/>
  <c r="G729" i="6"/>
  <c r="G706" i="6"/>
  <c r="G683" i="6"/>
  <c r="G665" i="6"/>
  <c r="G642" i="6"/>
  <c r="G619" i="6"/>
  <c r="G602" i="6"/>
  <c r="G586" i="6"/>
  <c r="G570" i="6"/>
  <c r="G559" i="6"/>
  <c r="G550" i="6"/>
  <c r="G541" i="6"/>
  <c r="G531" i="6"/>
  <c r="G522" i="6"/>
  <c r="G513" i="6"/>
  <c r="G504" i="6"/>
  <c r="G495" i="6"/>
  <c r="G486" i="6"/>
  <c r="G477" i="6"/>
  <c r="G467" i="6"/>
  <c r="G458" i="6"/>
  <c r="G449" i="6"/>
  <c r="G440" i="6"/>
  <c r="G431" i="6"/>
  <c r="G422" i="6"/>
  <c r="G413" i="6"/>
  <c r="G403" i="6"/>
  <c r="G394" i="6"/>
  <c r="G385" i="6"/>
  <c r="G376" i="6"/>
  <c r="G367" i="6"/>
  <c r="G358" i="6"/>
  <c r="G349" i="6"/>
  <c r="G339" i="6"/>
  <c r="G330" i="6"/>
  <c r="G321" i="6"/>
  <c r="G312" i="6"/>
  <c r="G303" i="6"/>
  <c r="G294" i="6"/>
  <c r="G285" i="6"/>
  <c r="G275" i="6"/>
  <c r="G266" i="6"/>
  <c r="G257" i="6"/>
  <c r="G248" i="6"/>
  <c r="G239" i="6"/>
  <c r="G230" i="6"/>
  <c r="G221" i="6"/>
  <c r="G212" i="6"/>
  <c r="G204" i="6"/>
  <c r="G196" i="6"/>
  <c r="G188" i="6"/>
  <c r="G180" i="6"/>
  <c r="G172" i="6"/>
  <c r="G164" i="6"/>
  <c r="G156" i="6"/>
  <c r="G148" i="6"/>
  <c r="G140" i="6"/>
  <c r="G132" i="6"/>
  <c r="G124" i="6"/>
  <c r="G116" i="6"/>
  <c r="G108" i="6"/>
  <c r="G100" i="6"/>
  <c r="G92" i="6"/>
  <c r="G84" i="6"/>
  <c r="G76" i="6"/>
  <c r="G68" i="6"/>
  <c r="G60" i="6"/>
  <c r="G52" i="6"/>
  <c r="G44" i="6"/>
  <c r="G36" i="6"/>
  <c r="G28" i="6"/>
  <c r="G20" i="6"/>
  <c r="G12" i="6"/>
  <c r="G1098" i="6"/>
  <c r="G1035" i="6"/>
  <c r="G963" i="6"/>
  <c r="G898" i="6"/>
  <c r="G836" i="6"/>
  <c r="G770" i="6"/>
  <c r="G707" i="6"/>
  <c r="G658" i="6"/>
  <c r="G601" i="6"/>
  <c r="G560" i="6"/>
  <c r="G538" i="6"/>
  <c r="G512" i="6"/>
  <c r="G487" i="6"/>
  <c r="G465" i="6"/>
  <c r="G439" i="6"/>
  <c r="G414" i="6"/>
  <c r="G392" i="6"/>
  <c r="G366" i="6"/>
  <c r="G341" i="6"/>
  <c r="G319" i="6"/>
  <c r="G293" i="6"/>
  <c r="G267" i="6"/>
  <c r="G246" i="6"/>
  <c r="G219" i="6"/>
  <c r="G197" i="6"/>
  <c r="G178" i="6"/>
  <c r="G155" i="6"/>
  <c r="G133" i="6"/>
  <c r="G114" i="6"/>
  <c r="G91" i="6"/>
  <c r="G69" i="6"/>
  <c r="G50" i="6"/>
  <c r="G27" i="6"/>
  <c r="G1089" i="6"/>
  <c r="G1018" i="6"/>
  <c r="G962" i="6"/>
  <c r="G890" i="6"/>
  <c r="G825" i="6"/>
  <c r="G763" i="6"/>
  <c r="G705" i="6"/>
  <c r="G643" i="6"/>
  <c r="G599" i="6"/>
  <c r="G558" i="6"/>
  <c r="G533" i="6"/>
  <c r="G511" i="6"/>
  <c r="G485" i="6"/>
  <c r="G459" i="6"/>
  <c r="G438" i="6"/>
  <c r="G411" i="6"/>
  <c r="G386" i="6"/>
  <c r="G365" i="6"/>
  <c r="G338" i="6"/>
  <c r="G313" i="6"/>
  <c r="G291" i="6"/>
  <c r="G265" i="6"/>
  <c r="G240" i="6"/>
  <c r="H240" i="6" s="1"/>
  <c r="G218" i="6"/>
  <c r="G195" i="6"/>
  <c r="G173" i="6"/>
  <c r="G154" i="6"/>
  <c r="G131" i="6"/>
  <c r="G109" i="6"/>
  <c r="H109" i="6" s="1"/>
  <c r="G90" i="6"/>
  <c r="G67" i="6"/>
  <c r="G45" i="6"/>
  <c r="G26" i="6"/>
  <c r="G1088" i="6"/>
  <c r="G1010" i="6"/>
  <c r="G945" i="6"/>
  <c r="G889" i="6"/>
  <c r="G817" i="6"/>
  <c r="G753" i="6"/>
  <c r="G699" i="6"/>
  <c r="G641" i="6"/>
  <c r="G587" i="6"/>
  <c r="G557" i="6"/>
  <c r="G530" i="6"/>
  <c r="G505" i="6"/>
  <c r="G483" i="6"/>
  <c r="G457" i="6"/>
  <c r="G432" i="6"/>
  <c r="G410" i="6"/>
  <c r="H410" i="6" s="1"/>
  <c r="G384" i="6"/>
  <c r="G359" i="6"/>
  <c r="G337" i="6"/>
  <c r="G311" i="6"/>
  <c r="G286" i="6"/>
  <c r="G264" i="6"/>
  <c r="G238" i="6"/>
  <c r="G213" i="6"/>
  <c r="G194" i="6"/>
  <c r="G171" i="6"/>
  <c r="G149" i="6"/>
  <c r="G130" i="6"/>
  <c r="G107" i="6"/>
  <c r="G85" i="6"/>
  <c r="G66" i="6"/>
  <c r="G43" i="6"/>
  <c r="G21" i="6"/>
  <c r="G1068" i="6"/>
  <c r="G1009" i="6"/>
  <c r="G937" i="6"/>
  <c r="G872" i="6"/>
  <c r="G816" i="6"/>
  <c r="G746" i="6"/>
  <c r="G689" i="6"/>
  <c r="G635" i="6"/>
  <c r="G585" i="6"/>
  <c r="G551" i="6"/>
  <c r="G529" i="6"/>
  <c r="G503" i="6"/>
  <c r="G478" i="6"/>
  <c r="G456" i="6"/>
  <c r="G430" i="6"/>
  <c r="G405" i="6"/>
  <c r="G383" i="6"/>
  <c r="G357" i="6"/>
  <c r="G331" i="6"/>
  <c r="G310" i="6"/>
  <c r="G283" i="6"/>
  <c r="G258" i="6"/>
  <c r="G237" i="6"/>
  <c r="G211" i="6"/>
  <c r="G189" i="6"/>
  <c r="G170" i="6"/>
  <c r="G147" i="6"/>
  <c r="G125" i="6"/>
  <c r="G106" i="6"/>
  <c r="G83" i="6"/>
  <c r="G61" i="6"/>
  <c r="G42" i="6"/>
  <c r="G19" i="6"/>
  <c r="G1057" i="6"/>
  <c r="G989" i="6"/>
  <c r="G919" i="6"/>
  <c r="G863" i="6"/>
  <c r="G791" i="6"/>
  <c r="G730" i="6"/>
  <c r="G681" i="6"/>
  <c r="G618" i="6"/>
  <c r="H618" i="6" s="1"/>
  <c r="G571" i="6"/>
  <c r="G547" i="6"/>
  <c r="G521" i="6"/>
  <c r="G496" i="6"/>
  <c r="G474" i="6"/>
  <c r="G448" i="6"/>
  <c r="G423" i="6"/>
  <c r="G401" i="6"/>
  <c r="G375" i="6"/>
  <c r="G350" i="6"/>
  <c r="G328" i="6"/>
  <c r="G302" i="6"/>
  <c r="G277" i="6"/>
  <c r="G255" i="6"/>
  <c r="G229" i="6"/>
  <c r="G205" i="6"/>
  <c r="G186" i="6"/>
  <c r="G163" i="6"/>
  <c r="G141" i="6"/>
  <c r="G122" i="6"/>
  <c r="G99" i="6"/>
  <c r="G77" i="6"/>
  <c r="H77" i="6" s="1"/>
  <c r="G58" i="6"/>
  <c r="G35" i="6"/>
  <c r="G13" i="6"/>
  <c r="G1044" i="6"/>
  <c r="G983" i="6"/>
  <c r="G916" i="6"/>
  <c r="G845" i="6"/>
  <c r="G789" i="6"/>
  <c r="G723" i="6"/>
  <c r="G666" i="6"/>
  <c r="G617" i="6"/>
  <c r="G569" i="6"/>
  <c r="G542" i="6"/>
  <c r="G520" i="6"/>
  <c r="G494" i="6"/>
  <c r="G469" i="6"/>
  <c r="G447" i="6"/>
  <c r="G421" i="6"/>
  <c r="G395" i="6"/>
  <c r="G374" i="6"/>
  <c r="G51" i="6"/>
  <c r="G101" i="6"/>
  <c r="G162" i="6"/>
  <c r="G222" i="6"/>
  <c r="G282" i="6"/>
  <c r="G347" i="6"/>
  <c r="G441" i="6"/>
  <c r="G539" i="6"/>
  <c r="G722" i="6"/>
  <c r="G971" i="6"/>
  <c r="G146" i="6"/>
  <c r="G273" i="6"/>
  <c r="G514" i="6"/>
  <c r="G909" i="6"/>
  <c r="I1110" i="6"/>
  <c r="G37" i="6"/>
  <c r="G210" i="6"/>
  <c r="G523" i="6"/>
  <c r="G936" i="6"/>
  <c r="G53" i="6"/>
  <c r="G227" i="6"/>
  <c r="G450" i="6"/>
  <c r="G745" i="6"/>
  <c r="I629" i="6"/>
  <c r="G10" i="6"/>
  <c r="G59" i="6"/>
  <c r="G117" i="6"/>
  <c r="G179" i="6"/>
  <c r="G231" i="6"/>
  <c r="G301" i="6"/>
  <c r="G368" i="6"/>
  <c r="G466" i="6"/>
  <c r="G567" i="6"/>
  <c r="G772" i="6"/>
  <c r="G1036" i="6"/>
  <c r="G203" i="6"/>
  <c r="G419" i="6"/>
  <c r="I572" i="6"/>
  <c r="G98" i="6"/>
  <c r="G346" i="6"/>
  <c r="G115" i="6"/>
  <c r="G355" i="6"/>
  <c r="G549" i="6"/>
  <c r="I760" i="6"/>
  <c r="G11" i="6"/>
  <c r="G74" i="6"/>
  <c r="G123" i="6"/>
  <c r="G181" i="6"/>
  <c r="G247" i="6"/>
  <c r="G304" i="6"/>
  <c r="G377" i="6"/>
  <c r="G475" i="6"/>
  <c r="G583" i="6"/>
  <c r="G799" i="6"/>
  <c r="G1065" i="6"/>
  <c r="I519" i="6"/>
  <c r="G93" i="6"/>
  <c r="G659" i="6"/>
  <c r="G157" i="6"/>
  <c r="G429" i="6"/>
  <c r="G682" i="6"/>
  <c r="G165" i="6"/>
  <c r="G992" i="6"/>
  <c r="I516" i="6"/>
  <c r="G18" i="6"/>
  <c r="G75" i="6"/>
  <c r="G138" i="6"/>
  <c r="G187" i="6"/>
  <c r="G249" i="6"/>
  <c r="G320" i="6"/>
  <c r="G393" i="6"/>
  <c r="G493" i="6"/>
  <c r="G603" i="6"/>
  <c r="G843" i="6"/>
  <c r="G34" i="6"/>
  <c r="G329" i="6"/>
  <c r="G274" i="6"/>
  <c r="G295" i="6"/>
  <c r="I253" i="6"/>
  <c r="G29" i="6"/>
  <c r="G82" i="6"/>
  <c r="G139" i="6"/>
  <c r="G202" i="6"/>
  <c r="G256" i="6"/>
  <c r="G322" i="6"/>
  <c r="G402" i="6"/>
  <c r="G502" i="6"/>
  <c r="G625" i="6"/>
  <c r="G864" i="6"/>
  <c r="F7" i="6"/>
  <c r="F15" i="6"/>
  <c r="F23" i="6"/>
  <c r="F31" i="6"/>
  <c r="F39" i="6"/>
  <c r="F47" i="6"/>
  <c r="F55" i="6"/>
  <c r="F63" i="6"/>
  <c r="F71" i="6"/>
  <c r="F79" i="6"/>
  <c r="F87" i="6"/>
  <c r="F95" i="6"/>
  <c r="F103" i="6"/>
  <c r="F111" i="6"/>
  <c r="F119" i="6"/>
  <c r="F127" i="6"/>
  <c r="F135" i="6"/>
  <c r="F143" i="6"/>
  <c r="F151" i="6"/>
  <c r="F159" i="6"/>
  <c r="F167" i="6"/>
  <c r="F175" i="6"/>
  <c r="F183" i="6"/>
  <c r="F191" i="6"/>
  <c r="F199" i="6"/>
  <c r="F207" i="6"/>
  <c r="F215" i="6"/>
  <c r="F223" i="6"/>
  <c r="F231" i="6"/>
  <c r="F239" i="6"/>
  <c r="F247" i="6"/>
  <c r="F255" i="6"/>
  <c r="F263" i="6"/>
  <c r="F271" i="6"/>
  <c r="F280" i="6"/>
  <c r="F290" i="6"/>
  <c r="F299" i="6"/>
  <c r="F308" i="6"/>
  <c r="F317" i="6"/>
  <c r="F326" i="6"/>
  <c r="F335" i="6"/>
  <c r="F344" i="6"/>
  <c r="F354" i="6"/>
  <c r="F363" i="6"/>
  <c r="F372" i="6"/>
  <c r="F381" i="6"/>
  <c r="F390" i="6"/>
  <c r="F399" i="6"/>
  <c r="F408" i="6"/>
  <c r="F418" i="6"/>
  <c r="F427" i="6"/>
  <c r="F436" i="6"/>
  <c r="F445" i="6"/>
  <c r="F454" i="6"/>
  <c r="F463" i="6"/>
  <c r="F472" i="6"/>
  <c r="F482" i="6"/>
  <c r="F491" i="6"/>
  <c r="F500" i="6"/>
  <c r="F509" i="6"/>
  <c r="F518" i="6"/>
  <c r="F527" i="6"/>
  <c r="F536" i="6"/>
  <c r="F546" i="6"/>
  <c r="F555" i="6"/>
  <c r="F564" i="6"/>
  <c r="F573" i="6"/>
  <c r="F582" i="6"/>
  <c r="F591" i="6"/>
  <c r="F600" i="6"/>
  <c r="F610" i="6"/>
  <c r="F619" i="6"/>
  <c r="F628" i="6"/>
  <c r="F637" i="6"/>
  <c r="F646" i="6"/>
  <c r="F656" i="6"/>
  <c r="F670" i="6"/>
  <c r="F682" i="6"/>
  <c r="F695" i="6"/>
  <c r="F709" i="6"/>
  <c r="F720" i="6"/>
  <c r="F734" i="6"/>
  <c r="F746" i="6"/>
  <c r="F759" i="6"/>
  <c r="F775" i="6"/>
  <c r="F791" i="6"/>
  <c r="F807" i="6"/>
  <c r="F823" i="6"/>
  <c r="F839" i="6"/>
  <c r="F855" i="6"/>
  <c r="F871" i="6"/>
  <c r="F887" i="6"/>
  <c r="F909" i="6"/>
  <c r="F928" i="6"/>
  <c r="F950" i="6"/>
  <c r="F973" i="6"/>
  <c r="F992" i="6"/>
  <c r="F1014" i="6"/>
  <c r="F1037" i="6"/>
  <c r="F1056" i="6"/>
  <c r="F1078" i="6"/>
  <c r="F1101" i="6"/>
  <c r="F9" i="6"/>
  <c r="F17" i="6"/>
  <c r="F25" i="6"/>
  <c r="F33" i="6"/>
  <c r="F41" i="6"/>
  <c r="F49" i="6"/>
  <c r="F57" i="6"/>
  <c r="F65" i="6"/>
  <c r="F73" i="6"/>
  <c r="F81" i="6"/>
  <c r="F89" i="6"/>
  <c r="F97" i="6"/>
  <c r="F105" i="6"/>
  <c r="F113" i="6"/>
  <c r="F121" i="6"/>
  <c r="F129" i="6"/>
  <c r="F137" i="6"/>
  <c r="F145" i="6"/>
  <c r="F153" i="6"/>
  <c r="F161" i="6"/>
  <c r="F169" i="6"/>
  <c r="F177" i="6"/>
  <c r="F185" i="6"/>
  <c r="F193" i="6"/>
  <c r="F201" i="6"/>
  <c r="F209" i="6"/>
  <c r="F217" i="6"/>
  <c r="F225" i="6"/>
  <c r="F233" i="6"/>
  <c r="F241" i="6"/>
  <c r="F249" i="6"/>
  <c r="F257" i="6"/>
  <c r="F265" i="6"/>
  <c r="F274" i="6"/>
  <c r="F283" i="6"/>
  <c r="F292" i="6"/>
  <c r="F301" i="6"/>
  <c r="F310" i="6"/>
  <c r="F319" i="6"/>
  <c r="F328" i="6"/>
  <c r="F338" i="6"/>
  <c r="F347" i="6"/>
  <c r="F356" i="6"/>
  <c r="F365" i="6"/>
  <c r="F374" i="6"/>
  <c r="F383" i="6"/>
  <c r="F392" i="6"/>
  <c r="F402" i="6"/>
  <c r="F411" i="6"/>
  <c r="F420" i="6"/>
  <c r="F429" i="6"/>
  <c r="F438" i="6"/>
  <c r="F447" i="6"/>
  <c r="F456" i="6"/>
  <c r="F466" i="6"/>
  <c r="F475" i="6"/>
  <c r="F484" i="6"/>
  <c r="F493" i="6"/>
  <c r="F502" i="6"/>
  <c r="F511" i="6"/>
  <c r="F520" i="6"/>
  <c r="F530" i="6"/>
  <c r="F539" i="6"/>
  <c r="F548" i="6"/>
  <c r="F557" i="6"/>
  <c r="F566" i="6"/>
  <c r="F575" i="6"/>
  <c r="F584" i="6"/>
  <c r="F594" i="6"/>
  <c r="F603" i="6"/>
  <c r="F612" i="6"/>
  <c r="F621" i="6"/>
  <c r="F630" i="6"/>
  <c r="F639" i="6"/>
  <c r="F648" i="6"/>
  <c r="F661" i="6"/>
  <c r="F672" i="6"/>
  <c r="F686" i="6"/>
  <c r="F698" i="6"/>
  <c r="F711" i="6"/>
  <c r="F725" i="6"/>
  <c r="F736" i="6"/>
  <c r="F750" i="6"/>
  <c r="F765" i="6"/>
  <c r="F781" i="6"/>
  <c r="F797" i="6"/>
  <c r="F813" i="6"/>
  <c r="F829" i="6"/>
  <c r="F845" i="6"/>
  <c r="F861" i="6"/>
  <c r="F877" i="6"/>
  <c r="F893" i="6"/>
  <c r="F912" i="6"/>
  <c r="F934" i="6"/>
  <c r="F957" i="6"/>
  <c r="F976" i="6"/>
  <c r="F998" i="6"/>
  <c r="F1021" i="6"/>
  <c r="F1040" i="6"/>
  <c r="F1062" i="6"/>
  <c r="F1085" i="6"/>
  <c r="F1104" i="6"/>
  <c r="F18" i="6"/>
  <c r="F34" i="6"/>
  <c r="F50" i="6"/>
  <c r="F58" i="6"/>
  <c r="F66" i="6"/>
  <c r="F74" i="6"/>
  <c r="F82" i="6"/>
  <c r="F90" i="6"/>
  <c r="F98" i="6"/>
  <c r="F106" i="6"/>
  <c r="F114" i="6"/>
  <c r="F122" i="6"/>
  <c r="F130" i="6"/>
  <c r="F138" i="6"/>
  <c r="F146" i="6"/>
  <c r="F154" i="6"/>
  <c r="F162" i="6"/>
  <c r="F170" i="6"/>
  <c r="F178" i="6"/>
  <c r="F186" i="6"/>
  <c r="F194" i="6"/>
  <c r="F202" i="6"/>
  <c r="F210" i="6"/>
  <c r="F218" i="6"/>
  <c r="F226" i="6"/>
  <c r="F234" i="6"/>
  <c r="F242" i="6"/>
  <c r="F250" i="6"/>
  <c r="F258" i="6"/>
  <c r="F266" i="6"/>
  <c r="F275" i="6"/>
  <c r="F284" i="6"/>
  <c r="F293" i="6"/>
  <c r="F302" i="6"/>
  <c r="F311" i="6"/>
  <c r="F320" i="6"/>
  <c r="F330" i="6"/>
  <c r="F339" i="6"/>
  <c r="F348" i="6"/>
  <c r="F357" i="6"/>
  <c r="F366" i="6"/>
  <c r="F375" i="6"/>
  <c r="F384" i="6"/>
  <c r="F394" i="6"/>
  <c r="F403" i="6"/>
  <c r="F412" i="6"/>
  <c r="F421" i="6"/>
  <c r="F430" i="6"/>
  <c r="F439" i="6"/>
  <c r="F448" i="6"/>
  <c r="F458" i="6"/>
  <c r="F467" i="6"/>
  <c r="F476" i="6"/>
  <c r="F485" i="6"/>
  <c r="F494" i="6"/>
  <c r="F503" i="6"/>
  <c r="F512" i="6"/>
  <c r="F522" i="6"/>
  <c r="F531" i="6"/>
  <c r="F540" i="6"/>
  <c r="F549" i="6"/>
  <c r="F558" i="6"/>
  <c r="F567" i="6"/>
  <c r="F576" i="6"/>
  <c r="F586" i="6"/>
  <c r="F595" i="6"/>
  <c r="F604" i="6"/>
  <c r="F613" i="6"/>
  <c r="F622" i="6"/>
  <c r="F631" i="6"/>
  <c r="F640" i="6"/>
  <c r="F650" i="6"/>
  <c r="F662" i="6"/>
  <c r="F674" i="6"/>
  <c r="F687" i="6"/>
  <c r="F701" i="6"/>
  <c r="F712" i="6"/>
  <c r="F726" i="6"/>
  <c r="F738" i="6"/>
  <c r="F751" i="6"/>
  <c r="F766" i="6"/>
  <c r="F782" i="6"/>
  <c r="F798" i="6"/>
  <c r="F814" i="6"/>
  <c r="F830" i="6"/>
  <c r="F846" i="6"/>
  <c r="F862" i="6"/>
  <c r="F878" i="6"/>
  <c r="F894" i="6"/>
  <c r="F917" i="6"/>
  <c r="F936" i="6"/>
  <c r="F958" i="6"/>
  <c r="F981" i="6"/>
  <c r="F1000" i="6"/>
  <c r="F1022" i="6"/>
  <c r="F1045" i="6"/>
  <c r="F1064" i="6"/>
  <c r="F1086" i="6"/>
  <c r="F1109" i="6"/>
  <c r="F10" i="6"/>
  <c r="F26" i="6"/>
  <c r="F42" i="6"/>
  <c r="F11" i="6"/>
  <c r="F19" i="6"/>
  <c r="F27" i="6"/>
  <c r="F35" i="6"/>
  <c r="F43" i="6"/>
  <c r="F51" i="6"/>
  <c r="F59" i="6"/>
  <c r="F67" i="6"/>
  <c r="F75" i="6"/>
  <c r="F83" i="6"/>
  <c r="F91" i="6"/>
  <c r="F99" i="6"/>
  <c r="F107" i="6"/>
  <c r="F115" i="6"/>
  <c r="F123" i="6"/>
  <c r="F131" i="6"/>
  <c r="F139" i="6"/>
  <c r="F147" i="6"/>
  <c r="F155" i="6"/>
  <c r="F163" i="6"/>
  <c r="F171" i="6"/>
  <c r="F179" i="6"/>
  <c r="F187" i="6"/>
  <c r="F195" i="6"/>
  <c r="F203" i="6"/>
  <c r="F211" i="6"/>
  <c r="F219" i="6"/>
  <c r="F227" i="6"/>
  <c r="F235" i="6"/>
  <c r="F243" i="6"/>
  <c r="F251" i="6"/>
  <c r="F259" i="6"/>
  <c r="F267" i="6"/>
  <c r="F276" i="6"/>
  <c r="F285" i="6"/>
  <c r="F294" i="6"/>
  <c r="F303" i="6"/>
  <c r="F312" i="6"/>
  <c r="F322" i="6"/>
  <c r="F331" i="6"/>
  <c r="F340" i="6"/>
  <c r="F349" i="6"/>
  <c r="F358" i="6"/>
  <c r="F367" i="6"/>
  <c r="F376" i="6"/>
  <c r="F386" i="6"/>
  <c r="F395" i="6"/>
  <c r="F404" i="6"/>
  <c r="F413" i="6"/>
  <c r="F422" i="6"/>
  <c r="F431" i="6"/>
  <c r="F440" i="6"/>
  <c r="F450" i="6"/>
  <c r="F459" i="6"/>
  <c r="F468" i="6"/>
  <c r="F477" i="6"/>
  <c r="F486" i="6"/>
  <c r="F495" i="6"/>
  <c r="F504" i="6"/>
  <c r="F514" i="6"/>
  <c r="F523" i="6"/>
  <c r="F532" i="6"/>
  <c r="F541" i="6"/>
  <c r="F550" i="6"/>
  <c r="F559" i="6"/>
  <c r="F568" i="6"/>
  <c r="F578" i="6"/>
  <c r="F587" i="6"/>
  <c r="F596" i="6"/>
  <c r="F605" i="6"/>
  <c r="F614" i="6"/>
  <c r="F623" i="6"/>
  <c r="F632" i="6"/>
  <c r="F642" i="6"/>
  <c r="F651" i="6"/>
  <c r="F663" i="6"/>
  <c r="F677" i="6"/>
  <c r="F688" i="6"/>
  <c r="F702" i="6"/>
  <c r="F714" i="6"/>
  <c r="F727" i="6"/>
  <c r="F741" i="6"/>
  <c r="F752" i="6"/>
  <c r="F767" i="6"/>
  <c r="F783" i="6"/>
  <c r="F799" i="6"/>
  <c r="F815" i="6"/>
  <c r="F831" i="6"/>
  <c r="F847" i="6"/>
  <c r="F863" i="6"/>
  <c r="F879" i="6"/>
  <c r="F896" i="6"/>
  <c r="F918" i="6"/>
  <c r="F941" i="6"/>
  <c r="F960" i="6"/>
  <c r="F982" i="6"/>
  <c r="F1005" i="6"/>
  <c r="F1024" i="6"/>
  <c r="F1046" i="6"/>
  <c r="F1069" i="6"/>
  <c r="F1088" i="6"/>
  <c r="F1108" i="6"/>
  <c r="F1100" i="6"/>
  <c r="F1092" i="6"/>
  <c r="F1084" i="6"/>
  <c r="F1076" i="6"/>
  <c r="F1068" i="6"/>
  <c r="F1060" i="6"/>
  <c r="F1052" i="6"/>
  <c r="F1044" i="6"/>
  <c r="F1036" i="6"/>
  <c r="F1028" i="6"/>
  <c r="F1020" i="6"/>
  <c r="F1012" i="6"/>
  <c r="F1004" i="6"/>
  <c r="F996" i="6"/>
  <c r="F988" i="6"/>
  <c r="F980" i="6"/>
  <c r="F972" i="6"/>
  <c r="F964" i="6"/>
  <c r="F956" i="6"/>
  <c r="F948" i="6"/>
  <c r="F940" i="6"/>
  <c r="F932" i="6"/>
  <c r="F924" i="6"/>
  <c r="F916" i="6"/>
  <c r="F908" i="6"/>
  <c r="F900" i="6"/>
  <c r="F892" i="6"/>
  <c r="F884" i="6"/>
  <c r="F876" i="6"/>
  <c r="F868" i="6"/>
  <c r="F860" i="6"/>
  <c r="F852" i="6"/>
  <c r="F844" i="6"/>
  <c r="F836" i="6"/>
  <c r="F828" i="6"/>
  <c r="F820" i="6"/>
  <c r="F812" i="6"/>
  <c r="F804" i="6"/>
  <c r="F796" i="6"/>
  <c r="F788" i="6"/>
  <c r="F780" i="6"/>
  <c r="F772" i="6"/>
  <c r="F764" i="6"/>
  <c r="F756" i="6"/>
  <c r="F748" i="6"/>
  <c r="F740" i="6"/>
  <c r="F732" i="6"/>
  <c r="F724" i="6"/>
  <c r="F716" i="6"/>
  <c r="F708" i="6"/>
  <c r="F700" i="6"/>
  <c r="F692" i="6"/>
  <c r="F684" i="6"/>
  <c r="F676" i="6"/>
  <c r="F668" i="6"/>
  <c r="F660" i="6"/>
  <c r="F652" i="6"/>
  <c r="F1107" i="6"/>
  <c r="F1099" i="6"/>
  <c r="F1091" i="6"/>
  <c r="F1083" i="6"/>
  <c r="F1075" i="6"/>
  <c r="F1067" i="6"/>
  <c r="F1059" i="6"/>
  <c r="F1051" i="6"/>
  <c r="F1043" i="6"/>
  <c r="F1035" i="6"/>
  <c r="F1027" i="6"/>
  <c r="F1019" i="6"/>
  <c r="F1011" i="6"/>
  <c r="F1003" i="6"/>
  <c r="F995" i="6"/>
  <c r="F987" i="6"/>
  <c r="F979" i="6"/>
  <c r="F971" i="6"/>
  <c r="F963" i="6"/>
  <c r="F955" i="6"/>
  <c r="F947" i="6"/>
  <c r="F939" i="6"/>
  <c r="F931" i="6"/>
  <c r="F923" i="6"/>
  <c r="F915" i="6"/>
  <c r="F907" i="6"/>
  <c r="F899" i="6"/>
  <c r="F891" i="6"/>
  <c r="F883" i="6"/>
  <c r="F875" i="6"/>
  <c r="F867" i="6"/>
  <c r="F859" i="6"/>
  <c r="F851" i="6"/>
  <c r="F843" i="6"/>
  <c r="F835" i="6"/>
  <c r="F827" i="6"/>
  <c r="F819" i="6"/>
  <c r="F811" i="6"/>
  <c r="F803" i="6"/>
  <c r="F795" i="6"/>
  <c r="F787" i="6"/>
  <c r="F779" i="6"/>
  <c r="F771" i="6"/>
  <c r="F763" i="6"/>
  <c r="F755" i="6"/>
  <c r="F747" i="6"/>
  <c r="F739" i="6"/>
  <c r="F731" i="6"/>
  <c r="F723" i="6"/>
  <c r="F715" i="6"/>
  <c r="F707" i="6"/>
  <c r="F699" i="6"/>
  <c r="F691" i="6"/>
  <c r="F683" i="6"/>
  <c r="F675" i="6"/>
  <c r="F667" i="6"/>
  <c r="F659" i="6"/>
  <c r="F1106" i="6"/>
  <c r="F1098" i="6"/>
  <c r="F1090" i="6"/>
  <c r="F1082" i="6"/>
  <c r="F1074" i="6"/>
  <c r="F1066" i="6"/>
  <c r="F1058" i="6"/>
  <c r="F1050" i="6"/>
  <c r="F1042" i="6"/>
  <c r="F1034" i="6"/>
  <c r="F1026" i="6"/>
  <c r="F1018" i="6"/>
  <c r="F1010" i="6"/>
  <c r="F1002" i="6"/>
  <c r="F994" i="6"/>
  <c r="F986" i="6"/>
  <c r="F978" i="6"/>
  <c r="F970" i="6"/>
  <c r="F962" i="6"/>
  <c r="F954" i="6"/>
  <c r="F946" i="6"/>
  <c r="F938" i="6"/>
  <c r="F930" i="6"/>
  <c r="F922" i="6"/>
  <c r="F914" i="6"/>
  <c r="F906" i="6"/>
  <c r="F898" i="6"/>
  <c r="F890" i="6"/>
  <c r="F882" i="6"/>
  <c r="F874" i="6"/>
  <c r="F866" i="6"/>
  <c r="F858" i="6"/>
  <c r="F850" i="6"/>
  <c r="F842" i="6"/>
  <c r="F834" i="6"/>
  <c r="F826" i="6"/>
  <c r="F818" i="6"/>
  <c r="F810" i="6"/>
  <c r="F802" i="6"/>
  <c r="F794" i="6"/>
  <c r="F786" i="6"/>
  <c r="F778" i="6"/>
  <c r="F770" i="6"/>
  <c r="F762" i="6"/>
  <c r="F1105" i="6"/>
  <c r="F1097" i="6"/>
  <c r="F1089" i="6"/>
  <c r="F1081" i="6"/>
  <c r="F1073" i="6"/>
  <c r="F1065" i="6"/>
  <c r="F1057" i="6"/>
  <c r="F1049" i="6"/>
  <c r="F1041" i="6"/>
  <c r="F1033" i="6"/>
  <c r="F1025" i="6"/>
  <c r="F1017" i="6"/>
  <c r="F1009" i="6"/>
  <c r="F1001" i="6"/>
  <c r="F993" i="6"/>
  <c r="F985" i="6"/>
  <c r="F977" i="6"/>
  <c r="F969" i="6"/>
  <c r="F961" i="6"/>
  <c r="F953" i="6"/>
  <c r="F945" i="6"/>
  <c r="F937" i="6"/>
  <c r="F929" i="6"/>
  <c r="F921" i="6"/>
  <c r="F913" i="6"/>
  <c r="F905" i="6"/>
  <c r="F897" i="6"/>
  <c r="F889" i="6"/>
  <c r="F881" i="6"/>
  <c r="F873" i="6"/>
  <c r="F865" i="6"/>
  <c r="F857" i="6"/>
  <c r="F849" i="6"/>
  <c r="F841" i="6"/>
  <c r="F833" i="6"/>
  <c r="F825" i="6"/>
  <c r="F817" i="6"/>
  <c r="F809" i="6"/>
  <c r="F801" i="6"/>
  <c r="F793" i="6"/>
  <c r="F785" i="6"/>
  <c r="F777" i="6"/>
  <c r="F769" i="6"/>
  <c r="F761" i="6"/>
  <c r="F753" i="6"/>
  <c r="F745" i="6"/>
  <c r="F737" i="6"/>
  <c r="F729" i="6"/>
  <c r="F721" i="6"/>
  <c r="F713" i="6"/>
  <c r="F705" i="6"/>
  <c r="F697" i="6"/>
  <c r="F689" i="6"/>
  <c r="F681" i="6"/>
  <c r="F673" i="6"/>
  <c r="F665" i="6"/>
  <c r="F657" i="6"/>
  <c r="F649" i="6"/>
  <c r="F641" i="6"/>
  <c r="F633" i="6"/>
  <c r="F625" i="6"/>
  <c r="F617" i="6"/>
  <c r="F609" i="6"/>
  <c r="F601" i="6"/>
  <c r="F593" i="6"/>
  <c r="F585" i="6"/>
  <c r="F577" i="6"/>
  <c r="F569" i="6"/>
  <c r="F561" i="6"/>
  <c r="F553" i="6"/>
  <c r="F545" i="6"/>
  <c r="F537" i="6"/>
  <c r="F529" i="6"/>
  <c r="F521" i="6"/>
  <c r="F513" i="6"/>
  <c r="F505" i="6"/>
  <c r="F497" i="6"/>
  <c r="F489" i="6"/>
  <c r="F481" i="6"/>
  <c r="F473" i="6"/>
  <c r="F465" i="6"/>
  <c r="F457" i="6"/>
  <c r="F449" i="6"/>
  <c r="F441" i="6"/>
  <c r="F433" i="6"/>
  <c r="F425" i="6"/>
  <c r="F417" i="6"/>
  <c r="F409" i="6"/>
  <c r="F401" i="6"/>
  <c r="F393" i="6"/>
  <c r="F385" i="6"/>
  <c r="F377" i="6"/>
  <c r="F369" i="6"/>
  <c r="F361" i="6"/>
  <c r="F353" i="6"/>
  <c r="F345" i="6"/>
  <c r="F337" i="6"/>
  <c r="F329" i="6"/>
  <c r="F321" i="6"/>
  <c r="F313" i="6"/>
  <c r="F305" i="6"/>
  <c r="F297" i="6"/>
  <c r="F289" i="6"/>
  <c r="F281" i="6"/>
  <c r="F273" i="6"/>
  <c r="F1111" i="6"/>
  <c r="F1103" i="6"/>
  <c r="F1095" i="6"/>
  <c r="F1087" i="6"/>
  <c r="F1079" i="6"/>
  <c r="F1071" i="6"/>
  <c r="F1063" i="6"/>
  <c r="F1055" i="6"/>
  <c r="F1047" i="6"/>
  <c r="F1039" i="6"/>
  <c r="F1031" i="6"/>
  <c r="F1023" i="6"/>
  <c r="F1015" i="6"/>
  <c r="F1007" i="6"/>
  <c r="F999" i="6"/>
  <c r="F991" i="6"/>
  <c r="F983" i="6"/>
  <c r="F975" i="6"/>
  <c r="F967" i="6"/>
  <c r="F959" i="6"/>
  <c r="F951" i="6"/>
  <c r="F943" i="6"/>
  <c r="F935" i="6"/>
  <c r="F927" i="6"/>
  <c r="F919" i="6"/>
  <c r="F911" i="6"/>
  <c r="F903" i="6"/>
  <c r="F895" i="6"/>
  <c r="F12" i="6"/>
  <c r="F20" i="6"/>
  <c r="F28" i="6"/>
  <c r="F36" i="6"/>
  <c r="F44" i="6"/>
  <c r="F52" i="6"/>
  <c r="F60" i="6"/>
  <c r="F68" i="6"/>
  <c r="F76" i="6"/>
  <c r="F84" i="6"/>
  <c r="F92" i="6"/>
  <c r="F100" i="6"/>
  <c r="F108" i="6"/>
  <c r="F116" i="6"/>
  <c r="F124" i="6"/>
  <c r="F132" i="6"/>
  <c r="F140" i="6"/>
  <c r="F148" i="6"/>
  <c r="F156" i="6"/>
  <c r="F164" i="6"/>
  <c r="F172" i="6"/>
  <c r="F180" i="6"/>
  <c r="F188" i="6"/>
  <c r="F196" i="6"/>
  <c r="F204" i="6"/>
  <c r="F212" i="6"/>
  <c r="F220" i="6"/>
  <c r="F228" i="6"/>
  <c r="F236" i="6"/>
  <c r="F244" i="6"/>
  <c r="F252" i="6"/>
  <c r="F260" i="6"/>
  <c r="F268" i="6"/>
  <c r="F277" i="6"/>
  <c r="F286" i="6"/>
  <c r="F295" i="6"/>
  <c r="F304" i="6"/>
  <c r="F314" i="6"/>
  <c r="F323" i="6"/>
  <c r="F332" i="6"/>
  <c r="F341" i="6"/>
  <c r="F350" i="6"/>
  <c r="F359" i="6"/>
  <c r="F368" i="6"/>
  <c r="F378" i="6"/>
  <c r="F387" i="6"/>
  <c r="F396" i="6"/>
  <c r="F405" i="6"/>
  <c r="F414" i="6"/>
  <c r="F423" i="6"/>
  <c r="F432" i="6"/>
  <c r="F442" i="6"/>
  <c r="F451" i="6"/>
  <c r="F460" i="6"/>
  <c r="F469" i="6"/>
  <c r="F478" i="6"/>
  <c r="F487" i="6"/>
  <c r="F496" i="6"/>
  <c r="F506" i="6"/>
  <c r="F515" i="6"/>
  <c r="F524" i="6"/>
  <c r="F533" i="6"/>
  <c r="F542" i="6"/>
  <c r="F551" i="6"/>
  <c r="F560" i="6"/>
  <c r="F570" i="6"/>
  <c r="F579" i="6"/>
  <c r="F588" i="6"/>
  <c r="F597" i="6"/>
  <c r="F606" i="6"/>
  <c r="F615" i="6"/>
  <c r="F624" i="6"/>
  <c r="F634" i="6"/>
  <c r="F643" i="6"/>
  <c r="F653" i="6"/>
  <c r="F664" i="6"/>
  <c r="F678" i="6"/>
  <c r="F690" i="6"/>
  <c r="F703" i="6"/>
  <c r="F717" i="6"/>
  <c r="F728" i="6"/>
  <c r="F742" i="6"/>
  <c r="F754" i="6"/>
  <c r="F768" i="6"/>
  <c r="F784" i="6"/>
  <c r="F800" i="6"/>
  <c r="F816" i="6"/>
  <c r="F832" i="6"/>
  <c r="F848" i="6"/>
  <c r="F864" i="6"/>
  <c r="F880" i="6"/>
  <c r="F901" i="6"/>
  <c r="F920" i="6"/>
  <c r="F942" i="6"/>
  <c r="F965" i="6"/>
  <c r="F984" i="6"/>
  <c r="F1006" i="6"/>
  <c r="F1029" i="6"/>
  <c r="F1048" i="6"/>
  <c r="F1070" i="6"/>
  <c r="F1093" i="6"/>
  <c r="F1112" i="6"/>
  <c r="H70" i="6" l="1"/>
  <c r="H152" i="6"/>
  <c r="H519" i="6"/>
  <c r="H629" i="6"/>
  <c r="H117" i="6"/>
  <c r="I70" i="6"/>
  <c r="I152" i="6"/>
  <c r="H157" i="6"/>
  <c r="H141" i="6"/>
  <c r="H229" i="6"/>
  <c r="H474" i="6"/>
  <c r="H125" i="6"/>
  <c r="H149" i="6"/>
  <c r="H238" i="6"/>
  <c r="H483" i="6"/>
  <c r="H69" i="6"/>
  <c r="H246" i="6"/>
  <c r="H944" i="6"/>
  <c r="H22" i="6"/>
  <c r="H38" i="6"/>
  <c r="H54" i="6"/>
  <c r="H166" i="6"/>
  <c r="H232" i="6"/>
  <c r="H397" i="6"/>
  <c r="H415" i="6"/>
  <c r="H525" i="6"/>
  <c r="H626" i="6"/>
  <c r="H279" i="6"/>
  <c r="H334" i="6"/>
  <c r="H462" i="6"/>
  <c r="H1077" i="6"/>
  <c r="H24" i="6"/>
  <c r="H56" i="6"/>
  <c r="H72" i="6"/>
  <c r="H184" i="6"/>
  <c r="H245" i="6"/>
  <c r="H318" i="6"/>
  <c r="H611" i="6"/>
  <c r="H428" i="6"/>
  <c r="H492" i="6"/>
  <c r="H572" i="6"/>
  <c r="H856" i="6"/>
  <c r="H757" i="6"/>
  <c r="H574" i="6"/>
  <c r="H590" i="6"/>
  <c r="H704" i="6"/>
  <c r="H805" i="6"/>
  <c r="H824" i="6"/>
  <c r="H933" i="6"/>
  <c r="H806" i="6"/>
  <c r="H902" i="6"/>
  <c r="H6" i="6"/>
  <c r="H547" i="6"/>
  <c r="H133" i="6"/>
  <c r="H221" i="6"/>
  <c r="H602" i="6"/>
  <c r="H78" i="6"/>
  <c r="H158" i="6"/>
  <c r="H174" i="6"/>
  <c r="H206" i="6"/>
  <c r="H296" i="6"/>
  <c r="H552" i="6"/>
  <c r="H507" i="6"/>
  <c r="H16" i="6"/>
  <c r="H128" i="6"/>
  <c r="H144" i="6"/>
  <c r="H499" i="6"/>
  <c r="H554" i="6"/>
  <c r="H254" i="6"/>
  <c r="H272" i="6"/>
  <c r="H324" i="6"/>
  <c r="H452" i="6"/>
  <c r="H644" i="6"/>
  <c r="H792" i="6"/>
  <c r="H589" i="6"/>
  <c r="H669" i="6"/>
  <c r="H694" i="6"/>
  <c r="H758" i="6"/>
  <c r="H1054" i="6"/>
  <c r="H1102" i="6"/>
  <c r="H213" i="6"/>
  <c r="H13" i="6"/>
  <c r="H391" i="6"/>
  <c r="H974" i="6"/>
  <c r="H869" i="6"/>
  <c r="H198" i="6"/>
  <c r="H346" i="6"/>
  <c r="I346" i="6"/>
  <c r="H96" i="6"/>
  <c r="H774" i="6"/>
  <c r="H1030" i="6"/>
  <c r="H837" i="6"/>
  <c r="H291" i="6"/>
  <c r="H94" i="6"/>
  <c r="H607" i="6"/>
  <c r="H288" i="6"/>
  <c r="H666" i="6"/>
  <c r="H29" i="6"/>
  <c r="H380" i="6"/>
  <c r="H543" i="6"/>
  <c r="H104" i="6"/>
  <c r="H671" i="6"/>
  <c r="I198" i="6"/>
  <c r="H838" i="6"/>
  <c r="H471" i="6"/>
  <c r="H382" i="6"/>
  <c r="H1008" i="6"/>
  <c r="H1013" i="6"/>
  <c r="H744" i="6"/>
  <c r="H197" i="6"/>
  <c r="H464" i="6"/>
  <c r="H101" i="6"/>
  <c r="H886" i="6"/>
  <c r="H264" i="6"/>
  <c r="H658" i="6"/>
  <c r="H278" i="6"/>
  <c r="H270" i="6"/>
  <c r="H562" i="6"/>
  <c r="H327" i="6"/>
  <c r="H580" i="6"/>
  <c r="H150" i="6"/>
  <c r="H189" i="6"/>
  <c r="H789" i="6"/>
  <c r="H730" i="6"/>
  <c r="H599" i="6"/>
  <c r="H126" i="6"/>
  <c r="H32" i="6"/>
  <c r="H388" i="6"/>
  <c r="H885" i="6"/>
  <c r="H696" i="6"/>
  <c r="H719" i="6"/>
  <c r="H307" i="6"/>
  <c r="H1094" i="6"/>
  <c r="H645" i="6"/>
  <c r="H488" i="6"/>
  <c r="H342" i="6"/>
  <c r="H470" i="6"/>
  <c r="H364" i="6"/>
  <c r="H952" i="6"/>
  <c r="H636" i="6"/>
  <c r="H248" i="6"/>
  <c r="H182" i="6"/>
  <c r="I248" i="6"/>
  <c r="H120" i="6"/>
  <c r="H309" i="6"/>
  <c r="H706" i="6"/>
  <c r="H205" i="6"/>
  <c r="H508" i="6"/>
  <c r="H315" i="6"/>
  <c r="H306" i="6"/>
  <c r="H398" i="6"/>
  <c r="H1072" i="6"/>
  <c r="H1016" i="6"/>
  <c r="H735" i="6"/>
  <c r="H565" i="6"/>
  <c r="I470" i="6"/>
  <c r="H371" i="6"/>
  <c r="H176" i="6"/>
  <c r="I398" i="6"/>
  <c r="I1072" i="6"/>
  <c r="I952" i="6"/>
  <c r="I645" i="6"/>
  <c r="H181" i="6"/>
  <c r="H888" i="6"/>
  <c r="I364" i="6"/>
  <c r="H118" i="6"/>
  <c r="H407" i="6"/>
  <c r="H134" i="6"/>
  <c r="H48" i="6"/>
  <c r="H46" i="6"/>
  <c r="H710" i="6"/>
  <c r="H85" i="6"/>
  <c r="H437" i="6"/>
  <c r="H256" i="6"/>
  <c r="H592" i="6"/>
  <c r="I437" i="6"/>
  <c r="I342" i="6"/>
  <c r="I182" i="6"/>
  <c r="H534" i="6"/>
  <c r="I719" i="6"/>
  <c r="I48" i="6"/>
  <c r="H37" i="6"/>
  <c r="H1096" i="6"/>
  <c r="H406" i="6"/>
  <c r="H583" i="6"/>
  <c r="H355" i="6"/>
  <c r="H53" i="6"/>
  <c r="H722" i="6"/>
  <c r="H635" i="6"/>
  <c r="H872" i="6"/>
  <c r="H173" i="6"/>
  <c r="H86" i="6"/>
  <c r="H102" i="6"/>
  <c r="H360" i="6"/>
  <c r="H224" i="6"/>
  <c r="H352" i="6"/>
  <c r="H443" i="6"/>
  <c r="H498" i="6"/>
  <c r="H517" i="6"/>
  <c r="H8" i="6"/>
  <c r="H40" i="6"/>
  <c r="H200" i="6"/>
  <c r="H216" i="6"/>
  <c r="H362" i="6"/>
  <c r="H490" i="6"/>
  <c r="H446" i="6"/>
  <c r="H501" i="6"/>
  <c r="H300" i="6"/>
  <c r="H1080" i="6"/>
  <c r="H718" i="6"/>
  <c r="H821" i="6"/>
  <c r="H840" i="6"/>
  <c r="H968" i="6"/>
  <c r="H790" i="6"/>
  <c r="H854" i="6"/>
  <c r="H654" i="6"/>
  <c r="H616" i="6"/>
  <c r="H997" i="6"/>
  <c r="I616" i="6"/>
  <c r="H343" i="6"/>
  <c r="H262" i="6"/>
  <c r="H400" i="6"/>
  <c r="H773" i="6"/>
  <c r="H1053" i="6"/>
  <c r="H685" i="6"/>
  <c r="H1038" i="6"/>
  <c r="H479" i="6"/>
  <c r="H190" i="6"/>
  <c r="H966" i="6"/>
  <c r="H253" i="6"/>
  <c r="H336" i="6"/>
  <c r="H455" i="6"/>
  <c r="H316" i="6"/>
  <c r="H261" i="6"/>
  <c r="H136" i="6"/>
  <c r="H776" i="6"/>
  <c r="I654" i="6"/>
  <c r="H45" i="6"/>
  <c r="I966" i="6"/>
  <c r="H165" i="6"/>
  <c r="H93" i="6"/>
  <c r="H214" i="6"/>
  <c r="H389" i="6"/>
  <c r="H581" i="6"/>
  <c r="H222" i="6"/>
  <c r="I479" i="6"/>
  <c r="H571" i="6"/>
  <c r="H230" i="6"/>
  <c r="H80" i="6"/>
  <c r="H426" i="6"/>
  <c r="H904" i="6"/>
  <c r="H990" i="6"/>
  <c r="H444" i="6"/>
  <c r="H480" i="6"/>
  <c r="H620" i="6"/>
  <c r="H563" i="6"/>
  <c r="I190" i="6"/>
  <c r="H608" i="6"/>
  <c r="I997" i="6"/>
  <c r="H435" i="6"/>
  <c r="H21" i="6"/>
  <c r="I1038" i="6"/>
  <c r="H370" i="6"/>
  <c r="H88" i="6"/>
  <c r="H638" i="6"/>
  <c r="H1061" i="6"/>
  <c r="H870" i="6"/>
  <c r="H822" i="6"/>
  <c r="H269" i="6"/>
  <c r="H419" i="6"/>
  <c r="H598" i="6"/>
  <c r="H544" i="6"/>
  <c r="H282" i="6"/>
  <c r="H538" i="6"/>
  <c r="H110" i="6"/>
  <c r="H453" i="6"/>
  <c r="H949" i="6"/>
  <c r="H373" i="6"/>
  <c r="H287" i="6"/>
  <c r="H989" i="6"/>
  <c r="H61" i="6"/>
  <c r="H237" i="6"/>
  <c r="H535" i="6"/>
  <c r="H168" i="6"/>
  <c r="H808" i="6"/>
  <c r="H556" i="6"/>
  <c r="H693" i="6"/>
  <c r="H655" i="6"/>
  <c r="H351" i="6"/>
  <c r="H647" i="6"/>
  <c r="H680" i="6"/>
  <c r="I366" i="6"/>
  <c r="H366" i="6"/>
  <c r="I359" i="6"/>
  <c r="H359" i="6"/>
  <c r="H999" i="6"/>
  <c r="I999" i="6"/>
  <c r="I601" i="6"/>
  <c r="H601" i="6"/>
  <c r="I890" i="6"/>
  <c r="H890" i="6"/>
  <c r="I1011" i="6"/>
  <c r="H1011" i="6"/>
  <c r="I1060" i="6"/>
  <c r="H1060" i="6"/>
  <c r="I514" i="6"/>
  <c r="H514" i="6"/>
  <c r="I917" i="6"/>
  <c r="H917" i="6"/>
  <c r="I234" i="6"/>
  <c r="H234" i="6"/>
  <c r="I475" i="6"/>
  <c r="H475" i="6"/>
  <c r="I1101" i="6"/>
  <c r="H1101" i="6"/>
  <c r="I239" i="6"/>
  <c r="H239" i="6"/>
  <c r="I277" i="6"/>
  <c r="H277" i="6"/>
  <c r="H1071" i="6"/>
  <c r="I1071" i="6"/>
  <c r="I609" i="6"/>
  <c r="H609" i="6"/>
  <c r="I1057" i="6"/>
  <c r="H1057" i="6"/>
  <c r="I1090" i="6"/>
  <c r="H1090" i="6"/>
  <c r="I1083" i="6"/>
  <c r="H1083" i="6"/>
  <c r="I1068" i="6"/>
  <c r="H1068" i="6"/>
  <c r="I504" i="6"/>
  <c r="H504" i="6"/>
  <c r="I155" i="6"/>
  <c r="H155" i="6"/>
  <c r="I662" i="6"/>
  <c r="H662" i="6"/>
  <c r="I162" i="6"/>
  <c r="H162" i="6"/>
  <c r="I698" i="6"/>
  <c r="H698" i="6"/>
  <c r="I249" i="6"/>
  <c r="H249" i="6"/>
  <c r="I670" i="6"/>
  <c r="H670" i="6"/>
  <c r="I231" i="6"/>
  <c r="H231" i="6"/>
  <c r="I848" i="6"/>
  <c r="H848" i="6"/>
  <c r="I487" i="6"/>
  <c r="H487" i="6"/>
  <c r="I414" i="6"/>
  <c r="H414" i="6"/>
  <c r="I341" i="6"/>
  <c r="H341" i="6"/>
  <c r="I268" i="6"/>
  <c r="H268" i="6"/>
  <c r="I204" i="6"/>
  <c r="H204" i="6"/>
  <c r="H951" i="6"/>
  <c r="I951" i="6"/>
  <c r="H1015" i="6"/>
  <c r="I1015" i="6"/>
  <c r="H1079" i="6"/>
  <c r="I1079" i="6"/>
  <c r="I297" i="6"/>
  <c r="H297" i="6"/>
  <c r="I361" i="6"/>
  <c r="H361" i="6"/>
  <c r="I425" i="6"/>
  <c r="H425" i="6"/>
  <c r="I489" i="6"/>
  <c r="H489" i="6"/>
  <c r="I553" i="6"/>
  <c r="H553" i="6"/>
  <c r="I617" i="6"/>
  <c r="H617" i="6"/>
  <c r="I681" i="6"/>
  <c r="H681" i="6"/>
  <c r="I745" i="6"/>
  <c r="H745" i="6"/>
  <c r="I809" i="6"/>
  <c r="H809" i="6"/>
  <c r="I873" i="6"/>
  <c r="H873" i="6"/>
  <c r="I937" i="6"/>
  <c r="H937" i="6"/>
  <c r="I1001" i="6"/>
  <c r="H1001" i="6"/>
  <c r="I1065" i="6"/>
  <c r="H1065" i="6"/>
  <c r="I778" i="6"/>
  <c r="H778" i="6"/>
  <c r="I842" i="6"/>
  <c r="H842" i="6"/>
  <c r="I906" i="6"/>
  <c r="H906" i="6"/>
  <c r="I970" i="6"/>
  <c r="H970" i="6"/>
  <c r="I1034" i="6"/>
  <c r="H1034" i="6"/>
  <c r="I1098" i="6"/>
  <c r="H1098" i="6"/>
  <c r="I707" i="6"/>
  <c r="H707" i="6"/>
  <c r="I771" i="6"/>
  <c r="H771" i="6"/>
  <c r="I835" i="6"/>
  <c r="H835" i="6"/>
  <c r="I899" i="6"/>
  <c r="H899" i="6"/>
  <c r="I963" i="6"/>
  <c r="H963" i="6"/>
  <c r="I1027" i="6"/>
  <c r="H1027" i="6"/>
  <c r="I1091" i="6"/>
  <c r="H1091" i="6"/>
  <c r="I692" i="6"/>
  <c r="H692" i="6"/>
  <c r="I756" i="6"/>
  <c r="H756" i="6"/>
  <c r="I820" i="6"/>
  <c r="H820" i="6"/>
  <c r="I884" i="6"/>
  <c r="H884" i="6"/>
  <c r="I948" i="6"/>
  <c r="H948" i="6"/>
  <c r="I1012" i="6"/>
  <c r="H1012" i="6"/>
  <c r="I1076" i="6"/>
  <c r="H1076" i="6"/>
  <c r="I1024" i="6"/>
  <c r="H1024" i="6"/>
  <c r="I863" i="6"/>
  <c r="H863" i="6"/>
  <c r="I741" i="6"/>
  <c r="H741" i="6"/>
  <c r="I642" i="6"/>
  <c r="H642" i="6"/>
  <c r="I568" i="6"/>
  <c r="H568" i="6"/>
  <c r="I495" i="6"/>
  <c r="H495" i="6"/>
  <c r="H422" i="6"/>
  <c r="I422" i="6"/>
  <c r="H349" i="6"/>
  <c r="I349" i="6"/>
  <c r="I276" i="6"/>
  <c r="H276" i="6"/>
  <c r="I211" i="6"/>
  <c r="H211" i="6"/>
  <c r="I147" i="6"/>
  <c r="H147" i="6"/>
  <c r="I83" i="6"/>
  <c r="H83" i="6"/>
  <c r="I19" i="6"/>
  <c r="H19" i="6"/>
  <c r="I1045" i="6"/>
  <c r="H1045" i="6"/>
  <c r="H878" i="6"/>
  <c r="I878" i="6"/>
  <c r="I751" i="6"/>
  <c r="H751" i="6"/>
  <c r="I650" i="6"/>
  <c r="H650" i="6"/>
  <c r="I576" i="6"/>
  <c r="H576" i="6"/>
  <c r="I503" i="6"/>
  <c r="H503" i="6"/>
  <c r="I430" i="6"/>
  <c r="H430" i="6"/>
  <c r="I357" i="6"/>
  <c r="H357" i="6"/>
  <c r="I284" i="6"/>
  <c r="H284" i="6"/>
  <c r="I218" i="6"/>
  <c r="H218" i="6"/>
  <c r="I154" i="6"/>
  <c r="H154" i="6"/>
  <c r="I90" i="6"/>
  <c r="H90" i="6"/>
  <c r="I1104" i="6"/>
  <c r="H1104" i="6"/>
  <c r="I934" i="6"/>
  <c r="H934" i="6"/>
  <c r="H797" i="6"/>
  <c r="I797" i="6"/>
  <c r="I686" i="6"/>
  <c r="H686" i="6"/>
  <c r="I603" i="6"/>
  <c r="H603" i="6"/>
  <c r="I530" i="6"/>
  <c r="H530" i="6"/>
  <c r="I456" i="6"/>
  <c r="H456" i="6"/>
  <c r="I383" i="6"/>
  <c r="H383" i="6"/>
  <c r="I310" i="6"/>
  <c r="H310" i="6"/>
  <c r="I241" i="6"/>
  <c r="H241" i="6"/>
  <c r="I177" i="6"/>
  <c r="H177" i="6"/>
  <c r="I113" i="6"/>
  <c r="H113" i="6"/>
  <c r="I49" i="6"/>
  <c r="H49" i="6"/>
  <c r="I1056" i="6"/>
  <c r="H1056" i="6"/>
  <c r="H887" i="6"/>
  <c r="I887" i="6"/>
  <c r="I759" i="6"/>
  <c r="H759" i="6"/>
  <c r="I656" i="6"/>
  <c r="H656" i="6"/>
  <c r="I582" i="6"/>
  <c r="H582" i="6"/>
  <c r="I509" i="6"/>
  <c r="H509" i="6"/>
  <c r="I436" i="6"/>
  <c r="H436" i="6"/>
  <c r="I363" i="6"/>
  <c r="H363" i="6"/>
  <c r="I290" i="6"/>
  <c r="H290" i="6"/>
  <c r="I223" i="6"/>
  <c r="H223" i="6"/>
  <c r="I159" i="6"/>
  <c r="H159" i="6"/>
  <c r="I95" i="6"/>
  <c r="H95" i="6"/>
  <c r="I31" i="6"/>
  <c r="H31" i="6"/>
  <c r="I880" i="6"/>
  <c r="H880" i="6"/>
  <c r="I579" i="6"/>
  <c r="H579" i="6"/>
  <c r="I220" i="6"/>
  <c r="H220" i="6"/>
  <c r="H1063" i="6"/>
  <c r="I1063" i="6"/>
  <c r="I409" i="6"/>
  <c r="H409" i="6"/>
  <c r="I729" i="6"/>
  <c r="H729" i="6"/>
  <c r="I985" i="6"/>
  <c r="H985" i="6"/>
  <c r="I1018" i="6"/>
  <c r="H1018" i="6"/>
  <c r="I819" i="6"/>
  <c r="H819" i="6"/>
  <c r="I740" i="6"/>
  <c r="H740" i="6"/>
  <c r="I932" i="6"/>
  <c r="H932" i="6"/>
  <c r="I767" i="6"/>
  <c r="H767" i="6"/>
  <c r="I367" i="6"/>
  <c r="H367" i="6"/>
  <c r="I35" i="6"/>
  <c r="H35" i="6"/>
  <c r="I595" i="6"/>
  <c r="H595" i="6"/>
  <c r="I170" i="6"/>
  <c r="H170" i="6"/>
  <c r="H829" i="6"/>
  <c r="I829" i="6"/>
  <c r="I328" i="6"/>
  <c r="H328" i="6"/>
  <c r="I65" i="6"/>
  <c r="H65" i="6"/>
  <c r="I600" i="6"/>
  <c r="H600" i="6"/>
  <c r="H381" i="6"/>
  <c r="I381" i="6"/>
  <c r="I47" i="6"/>
  <c r="H47" i="6"/>
  <c r="I1029" i="6"/>
  <c r="H1029" i="6"/>
  <c r="I570" i="6"/>
  <c r="H570" i="6"/>
  <c r="H350" i="6"/>
  <c r="I350" i="6"/>
  <c r="I84" i="6"/>
  <c r="H84" i="6"/>
  <c r="H943" i="6"/>
  <c r="I943" i="6"/>
  <c r="I353" i="6"/>
  <c r="H353" i="6"/>
  <c r="I545" i="6"/>
  <c r="H545" i="6"/>
  <c r="I801" i="6"/>
  <c r="H801" i="6"/>
  <c r="I770" i="6"/>
  <c r="H770" i="6"/>
  <c r="I962" i="6"/>
  <c r="H962" i="6"/>
  <c r="I763" i="6"/>
  <c r="H763" i="6"/>
  <c r="I955" i="6"/>
  <c r="H955" i="6"/>
  <c r="I748" i="6"/>
  <c r="H748" i="6"/>
  <c r="I940" i="6"/>
  <c r="H940" i="6"/>
  <c r="H879" i="6"/>
  <c r="I879" i="6"/>
  <c r="I578" i="6"/>
  <c r="H578" i="6"/>
  <c r="H285" i="6"/>
  <c r="I285" i="6"/>
  <c r="I27" i="6"/>
  <c r="H27" i="6"/>
  <c r="H894" i="6"/>
  <c r="I894" i="6"/>
  <c r="I586" i="6"/>
  <c r="H586" i="6"/>
  <c r="I293" i="6"/>
  <c r="H293" i="6"/>
  <c r="H18" i="6"/>
  <c r="I18" i="6"/>
  <c r="I612" i="6"/>
  <c r="H612" i="6"/>
  <c r="I392" i="6"/>
  <c r="H392" i="6"/>
  <c r="I121" i="6"/>
  <c r="H121" i="6"/>
  <c r="H1078" i="6"/>
  <c r="I1078" i="6"/>
  <c r="I591" i="6"/>
  <c r="H591" i="6"/>
  <c r="I372" i="6"/>
  <c r="H372" i="6"/>
  <c r="I103" i="6"/>
  <c r="H103" i="6"/>
  <c r="H1006" i="6"/>
  <c r="I1006" i="6"/>
  <c r="I560" i="6"/>
  <c r="H560" i="6"/>
  <c r="I140" i="6"/>
  <c r="H140" i="6"/>
  <c r="I717" i="6"/>
  <c r="H717" i="6"/>
  <c r="I551" i="6"/>
  <c r="H551" i="6"/>
  <c r="I332" i="6"/>
  <c r="H332" i="6"/>
  <c r="I132" i="6"/>
  <c r="H132" i="6"/>
  <c r="H959" i="6"/>
  <c r="I959" i="6"/>
  <c r="I305" i="6"/>
  <c r="H305" i="6"/>
  <c r="I433" i="6"/>
  <c r="H433" i="6"/>
  <c r="I625" i="6"/>
  <c r="H625" i="6"/>
  <c r="I817" i="6"/>
  <c r="H817" i="6"/>
  <c r="I1009" i="6"/>
  <c r="H1009" i="6"/>
  <c r="I786" i="6"/>
  <c r="H786" i="6"/>
  <c r="I850" i="6"/>
  <c r="H850" i="6"/>
  <c r="I1042" i="6"/>
  <c r="H1042" i="6"/>
  <c r="I1106" i="6"/>
  <c r="H1106" i="6"/>
  <c r="I715" i="6"/>
  <c r="H715" i="6"/>
  <c r="I779" i="6"/>
  <c r="H779" i="6"/>
  <c r="I843" i="6"/>
  <c r="H843" i="6"/>
  <c r="I907" i="6"/>
  <c r="H907" i="6"/>
  <c r="I971" i="6"/>
  <c r="H971" i="6"/>
  <c r="I1035" i="6"/>
  <c r="H1035" i="6"/>
  <c r="I1099" i="6"/>
  <c r="H1099" i="6"/>
  <c r="I700" i="6"/>
  <c r="H700" i="6"/>
  <c r="I764" i="6"/>
  <c r="H764" i="6"/>
  <c r="I828" i="6"/>
  <c r="H828" i="6"/>
  <c r="I956" i="6"/>
  <c r="H956" i="6"/>
  <c r="I1084" i="6"/>
  <c r="H1084" i="6"/>
  <c r="H1005" i="6"/>
  <c r="I1005" i="6"/>
  <c r="I847" i="6"/>
  <c r="H847" i="6"/>
  <c r="I727" i="6"/>
  <c r="H727" i="6"/>
  <c r="I632" i="6"/>
  <c r="H632" i="6"/>
  <c r="I559" i="6"/>
  <c r="H559" i="6"/>
  <c r="H486" i="6"/>
  <c r="I486" i="6"/>
  <c r="I413" i="6"/>
  <c r="H413" i="6"/>
  <c r="I340" i="6"/>
  <c r="H340" i="6"/>
  <c r="I267" i="6"/>
  <c r="H267" i="6"/>
  <c r="I203" i="6"/>
  <c r="H203" i="6"/>
  <c r="I139" i="6"/>
  <c r="H139" i="6"/>
  <c r="I75" i="6"/>
  <c r="H75" i="6"/>
  <c r="I11" i="6"/>
  <c r="H11" i="6"/>
  <c r="H1022" i="6"/>
  <c r="I1022" i="6"/>
  <c r="H862" i="6"/>
  <c r="I862" i="6"/>
  <c r="I738" i="6"/>
  <c r="H738" i="6"/>
  <c r="I640" i="6"/>
  <c r="H640" i="6"/>
  <c r="I567" i="6"/>
  <c r="H567" i="6"/>
  <c r="I494" i="6"/>
  <c r="H494" i="6"/>
  <c r="I421" i="6"/>
  <c r="H421" i="6"/>
  <c r="I348" i="6"/>
  <c r="H348" i="6"/>
  <c r="I275" i="6"/>
  <c r="H275" i="6"/>
  <c r="I210" i="6"/>
  <c r="H210" i="6"/>
  <c r="I146" i="6"/>
  <c r="H146" i="6"/>
  <c r="H82" i="6"/>
  <c r="I82" i="6"/>
  <c r="H1085" i="6"/>
  <c r="I1085" i="6"/>
  <c r="I912" i="6"/>
  <c r="H912" i="6"/>
  <c r="I781" i="6"/>
  <c r="H781" i="6"/>
  <c r="I672" i="6"/>
  <c r="H672" i="6"/>
  <c r="I594" i="6"/>
  <c r="H594" i="6"/>
  <c r="I520" i="6"/>
  <c r="H520" i="6"/>
  <c r="I447" i="6"/>
  <c r="H447" i="6"/>
  <c r="I374" i="6"/>
  <c r="H374" i="6"/>
  <c r="I301" i="6"/>
  <c r="H301" i="6"/>
  <c r="I233" i="6"/>
  <c r="H233" i="6"/>
  <c r="I169" i="6"/>
  <c r="H169" i="6"/>
  <c r="I105" i="6"/>
  <c r="H105" i="6"/>
  <c r="I41" i="6"/>
  <c r="H41" i="6"/>
  <c r="I1037" i="6"/>
  <c r="H1037" i="6"/>
  <c r="H871" i="6"/>
  <c r="I871" i="6"/>
  <c r="I746" i="6"/>
  <c r="H746" i="6"/>
  <c r="I646" i="6"/>
  <c r="H646" i="6"/>
  <c r="H573" i="6"/>
  <c r="I573" i="6"/>
  <c r="I500" i="6"/>
  <c r="H500" i="6"/>
  <c r="I427" i="6"/>
  <c r="H427" i="6"/>
  <c r="I354" i="6"/>
  <c r="H354" i="6"/>
  <c r="I280" i="6"/>
  <c r="H280" i="6"/>
  <c r="I215" i="6"/>
  <c r="H215" i="6"/>
  <c r="I151" i="6"/>
  <c r="H151" i="6"/>
  <c r="I87" i="6"/>
  <c r="H87" i="6"/>
  <c r="I23" i="6"/>
  <c r="H23" i="6"/>
  <c r="I653" i="6"/>
  <c r="H653" i="6"/>
  <c r="H286" i="6"/>
  <c r="I286" i="6"/>
  <c r="H935" i="6"/>
  <c r="I935" i="6"/>
  <c r="I281" i="6"/>
  <c r="H281" i="6"/>
  <c r="I665" i="6"/>
  <c r="H665" i="6"/>
  <c r="I921" i="6"/>
  <c r="H921" i="6"/>
  <c r="I954" i="6"/>
  <c r="H954" i="6"/>
  <c r="I755" i="6"/>
  <c r="H755" i="6"/>
  <c r="I676" i="6"/>
  <c r="H676" i="6"/>
  <c r="I868" i="6"/>
  <c r="H868" i="6"/>
  <c r="I896" i="6"/>
  <c r="H896" i="6"/>
  <c r="I440" i="6"/>
  <c r="H440" i="6"/>
  <c r="I99" i="6"/>
  <c r="H99" i="6"/>
  <c r="I674" i="6"/>
  <c r="H674" i="6"/>
  <c r="I302" i="6"/>
  <c r="H302" i="6"/>
  <c r="I976" i="6"/>
  <c r="H976" i="6"/>
  <c r="I402" i="6"/>
  <c r="H402" i="6"/>
  <c r="I129" i="6"/>
  <c r="H129" i="6"/>
  <c r="I682" i="6"/>
  <c r="H682" i="6"/>
  <c r="I454" i="6"/>
  <c r="H454" i="6"/>
  <c r="I175" i="6"/>
  <c r="H175" i="6"/>
  <c r="I864" i="6"/>
  <c r="H864" i="6"/>
  <c r="I496" i="6"/>
  <c r="H496" i="6"/>
  <c r="I212" i="6"/>
  <c r="H212" i="6"/>
  <c r="I20" i="6"/>
  <c r="H20" i="6"/>
  <c r="I289" i="6"/>
  <c r="H289" i="6"/>
  <c r="I481" i="6"/>
  <c r="H481" i="6"/>
  <c r="I737" i="6"/>
  <c r="H737" i="6"/>
  <c r="I993" i="6"/>
  <c r="H993" i="6"/>
  <c r="I898" i="6"/>
  <c r="H898" i="6"/>
  <c r="I699" i="6"/>
  <c r="H699" i="6"/>
  <c r="I891" i="6"/>
  <c r="H891" i="6"/>
  <c r="I684" i="6"/>
  <c r="H684" i="6"/>
  <c r="I876" i="6"/>
  <c r="H876" i="6"/>
  <c r="H1046" i="6"/>
  <c r="I1046" i="6"/>
  <c r="I651" i="6"/>
  <c r="H651" i="6"/>
  <c r="H358" i="6"/>
  <c r="I358" i="6"/>
  <c r="I91" i="6"/>
  <c r="H91" i="6"/>
  <c r="I1064" i="6"/>
  <c r="H1064" i="6"/>
  <c r="I512" i="6"/>
  <c r="H512" i="6"/>
  <c r="I226" i="6"/>
  <c r="H226" i="6"/>
  <c r="H957" i="6"/>
  <c r="I957" i="6"/>
  <c r="I539" i="6"/>
  <c r="H539" i="6"/>
  <c r="I319" i="6"/>
  <c r="H319" i="6"/>
  <c r="I57" i="6"/>
  <c r="H57" i="6"/>
  <c r="H909" i="6"/>
  <c r="I909" i="6"/>
  <c r="H518" i="6"/>
  <c r="I518" i="6"/>
  <c r="I299" i="6"/>
  <c r="H299" i="6"/>
  <c r="I39" i="6"/>
  <c r="H39" i="6"/>
  <c r="I634" i="6"/>
  <c r="H634" i="6"/>
  <c r="I76" i="6"/>
  <c r="H76" i="6"/>
  <c r="I984" i="6"/>
  <c r="H984" i="6"/>
  <c r="I624" i="6"/>
  <c r="H624" i="6"/>
  <c r="I405" i="6"/>
  <c r="H405" i="6"/>
  <c r="I260" i="6"/>
  <c r="H260" i="6"/>
  <c r="I68" i="6"/>
  <c r="H68" i="6"/>
  <c r="H1023" i="6"/>
  <c r="I1023" i="6"/>
  <c r="I369" i="6"/>
  <c r="H369" i="6"/>
  <c r="I561" i="6"/>
  <c r="H561" i="6"/>
  <c r="I689" i="6"/>
  <c r="H689" i="6"/>
  <c r="I881" i="6"/>
  <c r="H881" i="6"/>
  <c r="I1073" i="6"/>
  <c r="H1073" i="6"/>
  <c r="I914" i="6"/>
  <c r="H914" i="6"/>
  <c r="I892" i="6"/>
  <c r="H892" i="6"/>
  <c r="I816" i="6"/>
  <c r="H816" i="6"/>
  <c r="H542" i="6"/>
  <c r="I542" i="6"/>
  <c r="I323" i="6"/>
  <c r="H323" i="6"/>
  <c r="I60" i="6"/>
  <c r="H60" i="6"/>
  <c r="H1031" i="6"/>
  <c r="I1031" i="6"/>
  <c r="I377" i="6"/>
  <c r="H377" i="6"/>
  <c r="I569" i="6"/>
  <c r="H569" i="6"/>
  <c r="I761" i="6"/>
  <c r="H761" i="6"/>
  <c r="I953" i="6"/>
  <c r="H953" i="6"/>
  <c r="I794" i="6"/>
  <c r="H794" i="6"/>
  <c r="I986" i="6"/>
  <c r="H986" i="6"/>
  <c r="I723" i="6"/>
  <c r="H723" i="6"/>
  <c r="I915" i="6"/>
  <c r="H915" i="6"/>
  <c r="I1107" i="6"/>
  <c r="H1107" i="6"/>
  <c r="I772" i="6"/>
  <c r="H772" i="6"/>
  <c r="I900" i="6"/>
  <c r="H900" i="6"/>
  <c r="I964" i="6"/>
  <c r="H964" i="6"/>
  <c r="I1092" i="6"/>
  <c r="H1092" i="6"/>
  <c r="I982" i="6"/>
  <c r="H982" i="6"/>
  <c r="I831" i="6"/>
  <c r="H831" i="6"/>
  <c r="I714" i="6"/>
  <c r="H714" i="6"/>
  <c r="I623" i="6"/>
  <c r="H623" i="6"/>
  <c r="H550" i="6"/>
  <c r="I550" i="6"/>
  <c r="I477" i="6"/>
  <c r="H477" i="6"/>
  <c r="I404" i="6"/>
  <c r="H404" i="6"/>
  <c r="I331" i="6"/>
  <c r="H331" i="6"/>
  <c r="I259" i="6"/>
  <c r="H259" i="6"/>
  <c r="I195" i="6"/>
  <c r="H195" i="6"/>
  <c r="I67" i="6"/>
  <c r="H67" i="6"/>
  <c r="I42" i="6"/>
  <c r="H42" i="6"/>
  <c r="I1000" i="6"/>
  <c r="H1000" i="6"/>
  <c r="I846" i="6"/>
  <c r="H846" i="6"/>
  <c r="I726" i="6"/>
  <c r="H726" i="6"/>
  <c r="I631" i="6"/>
  <c r="H631" i="6"/>
  <c r="I558" i="6"/>
  <c r="H558" i="6"/>
  <c r="I485" i="6"/>
  <c r="H485" i="6"/>
  <c r="I412" i="6"/>
  <c r="H412" i="6"/>
  <c r="I339" i="6"/>
  <c r="H339" i="6"/>
  <c r="I266" i="6"/>
  <c r="H266" i="6"/>
  <c r="I202" i="6"/>
  <c r="H202" i="6"/>
  <c r="I138" i="6"/>
  <c r="H138" i="6"/>
  <c r="H74" i="6"/>
  <c r="I74" i="6"/>
  <c r="H1062" i="6"/>
  <c r="I1062" i="6"/>
  <c r="H893" i="6"/>
  <c r="I893" i="6"/>
  <c r="I765" i="6"/>
  <c r="H765" i="6"/>
  <c r="I661" i="6"/>
  <c r="H661" i="6"/>
  <c r="I584" i="6"/>
  <c r="H584" i="6"/>
  <c r="I511" i="6"/>
  <c r="H511" i="6"/>
  <c r="I438" i="6"/>
  <c r="H438" i="6"/>
  <c r="I365" i="6"/>
  <c r="H365" i="6"/>
  <c r="I292" i="6"/>
  <c r="H292" i="6"/>
  <c r="I225" i="6"/>
  <c r="H225" i="6"/>
  <c r="I161" i="6"/>
  <c r="H161" i="6"/>
  <c r="I97" i="6"/>
  <c r="H97" i="6"/>
  <c r="I33" i="6"/>
  <c r="H33" i="6"/>
  <c r="H1014" i="6"/>
  <c r="I1014" i="6"/>
  <c r="I855" i="6"/>
  <c r="H855" i="6"/>
  <c r="I734" i="6"/>
  <c r="H734" i="6"/>
  <c r="H637" i="6"/>
  <c r="I637" i="6"/>
  <c r="I564" i="6"/>
  <c r="H564" i="6"/>
  <c r="I491" i="6"/>
  <c r="H491" i="6"/>
  <c r="I418" i="6"/>
  <c r="H418" i="6"/>
  <c r="I344" i="6"/>
  <c r="H344" i="6"/>
  <c r="I271" i="6"/>
  <c r="H271" i="6"/>
  <c r="I207" i="6"/>
  <c r="H207" i="6"/>
  <c r="I143" i="6"/>
  <c r="H143" i="6"/>
  <c r="I79" i="6"/>
  <c r="H79" i="6"/>
  <c r="I15" i="6"/>
  <c r="H15" i="6"/>
  <c r="AC1113" i="6"/>
  <c r="AD6" i="6" s="1"/>
  <c r="I432" i="6"/>
  <c r="H432" i="6"/>
  <c r="I28" i="6"/>
  <c r="H28" i="6"/>
  <c r="I473" i="6"/>
  <c r="H473" i="6"/>
  <c r="I857" i="6"/>
  <c r="H857" i="6"/>
  <c r="I826" i="6"/>
  <c r="H826" i="6"/>
  <c r="I691" i="6"/>
  <c r="H691" i="6"/>
  <c r="I1075" i="6"/>
  <c r="H1075" i="6"/>
  <c r="I996" i="6"/>
  <c r="H996" i="6"/>
  <c r="I587" i="6"/>
  <c r="H587" i="6"/>
  <c r="I227" i="6"/>
  <c r="H227" i="6"/>
  <c r="I782" i="6"/>
  <c r="H782" i="6"/>
  <c r="I375" i="6"/>
  <c r="H375" i="6"/>
  <c r="H34" i="6"/>
  <c r="I34" i="6"/>
  <c r="I548" i="6"/>
  <c r="H548" i="6"/>
  <c r="I193" i="6"/>
  <c r="H193" i="6"/>
  <c r="I527" i="6"/>
  <c r="H527" i="6"/>
  <c r="I111" i="6"/>
  <c r="H111" i="6"/>
  <c r="H742" i="6"/>
  <c r="I742" i="6"/>
  <c r="I423" i="6"/>
  <c r="H423" i="6"/>
  <c r="I148" i="6"/>
  <c r="H148" i="6"/>
  <c r="H1007" i="6"/>
  <c r="I1007" i="6"/>
  <c r="I417" i="6"/>
  <c r="H417" i="6"/>
  <c r="I673" i="6"/>
  <c r="H673" i="6"/>
  <c r="I929" i="6"/>
  <c r="H929" i="6"/>
  <c r="I834" i="6"/>
  <c r="H834" i="6"/>
  <c r="I1026" i="6"/>
  <c r="H1026" i="6"/>
  <c r="I827" i="6"/>
  <c r="H827" i="6"/>
  <c r="I1019" i="6"/>
  <c r="H1019" i="6"/>
  <c r="I812" i="6"/>
  <c r="H812" i="6"/>
  <c r="I1004" i="6"/>
  <c r="H1004" i="6"/>
  <c r="I752" i="6"/>
  <c r="H752" i="6"/>
  <c r="I431" i="6"/>
  <c r="H431" i="6"/>
  <c r="I219" i="6"/>
  <c r="H219" i="6"/>
  <c r="H766" i="6"/>
  <c r="I766" i="6"/>
  <c r="I439" i="6"/>
  <c r="H439" i="6"/>
  <c r="I98" i="6"/>
  <c r="H98" i="6"/>
  <c r="I813" i="6"/>
  <c r="H813" i="6"/>
  <c r="I466" i="6"/>
  <c r="H466" i="6"/>
  <c r="I185" i="6"/>
  <c r="H185" i="6"/>
  <c r="I775" i="6"/>
  <c r="H775" i="6"/>
  <c r="H445" i="6"/>
  <c r="I445" i="6"/>
  <c r="I167" i="6"/>
  <c r="H167" i="6"/>
  <c r="I728" i="6"/>
  <c r="H728" i="6"/>
  <c r="I12" i="6"/>
  <c r="H12" i="6"/>
  <c r="I832" i="6"/>
  <c r="H832" i="6"/>
  <c r="I478" i="6"/>
  <c r="H478" i="6"/>
  <c r="I196" i="6"/>
  <c r="H196" i="6"/>
  <c r="H895" i="6"/>
  <c r="I895" i="6"/>
  <c r="H1087" i="6"/>
  <c r="I1087" i="6"/>
  <c r="I497" i="6"/>
  <c r="H497" i="6"/>
  <c r="I753" i="6"/>
  <c r="H753" i="6"/>
  <c r="I945" i="6"/>
  <c r="H945" i="6"/>
  <c r="I978" i="6"/>
  <c r="H978" i="6"/>
  <c r="I1020" i="6"/>
  <c r="H1020" i="6"/>
  <c r="H965" i="6"/>
  <c r="I965" i="6"/>
  <c r="I703" i="6"/>
  <c r="H703" i="6"/>
  <c r="I615" i="6"/>
  <c r="H615" i="6"/>
  <c r="I469" i="6"/>
  <c r="H469" i="6"/>
  <c r="I396" i="6"/>
  <c r="H396" i="6"/>
  <c r="I252" i="6"/>
  <c r="H252" i="6"/>
  <c r="I188" i="6"/>
  <c r="H188" i="6"/>
  <c r="I124" i="6"/>
  <c r="H124" i="6"/>
  <c r="H903" i="6"/>
  <c r="I903" i="6"/>
  <c r="H967" i="6"/>
  <c r="I967" i="6"/>
  <c r="H1095" i="6"/>
  <c r="I1095" i="6"/>
  <c r="I313" i="6"/>
  <c r="H313" i="6"/>
  <c r="I441" i="6"/>
  <c r="H441" i="6"/>
  <c r="I505" i="6"/>
  <c r="H505" i="6"/>
  <c r="I633" i="6"/>
  <c r="H633" i="6"/>
  <c r="I697" i="6"/>
  <c r="H697" i="6"/>
  <c r="I825" i="6"/>
  <c r="H825" i="6"/>
  <c r="I889" i="6"/>
  <c r="H889" i="6"/>
  <c r="I1017" i="6"/>
  <c r="H1017" i="6"/>
  <c r="I1081" i="6"/>
  <c r="H1081" i="6"/>
  <c r="I858" i="6"/>
  <c r="H858" i="6"/>
  <c r="I922" i="6"/>
  <c r="H922" i="6"/>
  <c r="I1050" i="6"/>
  <c r="H1050" i="6"/>
  <c r="I659" i="6"/>
  <c r="H659" i="6"/>
  <c r="I787" i="6"/>
  <c r="H787" i="6"/>
  <c r="I851" i="6"/>
  <c r="H851" i="6"/>
  <c r="I979" i="6"/>
  <c r="H979" i="6"/>
  <c r="I1043" i="6"/>
  <c r="H1043" i="6"/>
  <c r="I708" i="6"/>
  <c r="H708" i="6"/>
  <c r="I836" i="6"/>
  <c r="H836" i="6"/>
  <c r="I1028" i="6"/>
  <c r="H1028" i="6"/>
  <c r="I131" i="6"/>
  <c r="H131" i="6"/>
  <c r="I1112" i="6"/>
  <c r="H1112" i="6"/>
  <c r="H942" i="6"/>
  <c r="I942" i="6"/>
  <c r="I800" i="6"/>
  <c r="H800" i="6"/>
  <c r="I690" i="6"/>
  <c r="H690" i="6"/>
  <c r="H606" i="6"/>
  <c r="I606" i="6"/>
  <c r="I533" i="6"/>
  <c r="H533" i="6"/>
  <c r="I460" i="6"/>
  <c r="H460" i="6"/>
  <c r="I387" i="6"/>
  <c r="H387" i="6"/>
  <c r="I314" i="6"/>
  <c r="H314" i="6"/>
  <c r="I244" i="6"/>
  <c r="H244" i="6"/>
  <c r="I180" i="6"/>
  <c r="H180" i="6"/>
  <c r="I116" i="6"/>
  <c r="H116" i="6"/>
  <c r="I52" i="6"/>
  <c r="H52" i="6"/>
  <c r="H911" i="6"/>
  <c r="I911" i="6"/>
  <c r="H975" i="6"/>
  <c r="I975" i="6"/>
  <c r="H1039" i="6"/>
  <c r="I1039" i="6"/>
  <c r="H1103" i="6"/>
  <c r="I1103" i="6"/>
  <c r="I321" i="6"/>
  <c r="H321" i="6"/>
  <c r="I385" i="6"/>
  <c r="H385" i="6"/>
  <c r="I449" i="6"/>
  <c r="H449" i="6"/>
  <c r="I513" i="6"/>
  <c r="H513" i="6"/>
  <c r="I577" i="6"/>
  <c r="H577" i="6"/>
  <c r="I641" i="6"/>
  <c r="H641" i="6"/>
  <c r="I705" i="6"/>
  <c r="H705" i="6"/>
  <c r="I769" i="6"/>
  <c r="H769" i="6"/>
  <c r="I833" i="6"/>
  <c r="H833" i="6"/>
  <c r="I897" i="6"/>
  <c r="H897" i="6"/>
  <c r="I961" i="6"/>
  <c r="H961" i="6"/>
  <c r="I1025" i="6"/>
  <c r="H1025" i="6"/>
  <c r="I1089" i="6"/>
  <c r="H1089" i="6"/>
  <c r="I802" i="6"/>
  <c r="H802" i="6"/>
  <c r="I866" i="6"/>
  <c r="H866" i="6"/>
  <c r="I930" i="6"/>
  <c r="H930" i="6"/>
  <c r="I994" i="6"/>
  <c r="H994" i="6"/>
  <c r="I1058" i="6"/>
  <c r="H1058" i="6"/>
  <c r="I667" i="6"/>
  <c r="H667" i="6"/>
  <c r="I731" i="6"/>
  <c r="H731" i="6"/>
  <c r="I795" i="6"/>
  <c r="H795" i="6"/>
  <c r="I859" i="6"/>
  <c r="H859" i="6"/>
  <c r="I923" i="6"/>
  <c r="H923" i="6"/>
  <c r="I987" i="6"/>
  <c r="H987" i="6"/>
  <c r="I1051" i="6"/>
  <c r="H1051" i="6"/>
  <c r="I652" i="6"/>
  <c r="H652" i="6"/>
  <c r="I716" i="6"/>
  <c r="H716" i="6"/>
  <c r="I780" i="6"/>
  <c r="H780" i="6"/>
  <c r="I844" i="6"/>
  <c r="H844" i="6"/>
  <c r="I908" i="6"/>
  <c r="H908" i="6"/>
  <c r="I972" i="6"/>
  <c r="H972" i="6"/>
  <c r="I1036" i="6"/>
  <c r="H1036" i="6"/>
  <c r="I1100" i="6"/>
  <c r="H1100" i="6"/>
  <c r="I960" i="6"/>
  <c r="H960" i="6"/>
  <c r="I815" i="6"/>
  <c r="H815" i="6"/>
  <c r="H702" i="6"/>
  <c r="I702" i="6"/>
  <c r="H614" i="6"/>
  <c r="I614" i="6"/>
  <c r="H541" i="6"/>
  <c r="I541" i="6"/>
  <c r="I468" i="6"/>
  <c r="H468" i="6"/>
  <c r="I395" i="6"/>
  <c r="H395" i="6"/>
  <c r="I322" i="6"/>
  <c r="H322" i="6"/>
  <c r="I251" i="6"/>
  <c r="H251" i="6"/>
  <c r="I187" i="6"/>
  <c r="H187" i="6"/>
  <c r="I123" i="6"/>
  <c r="H123" i="6"/>
  <c r="I59" i="6"/>
  <c r="H59" i="6"/>
  <c r="I26" i="6"/>
  <c r="H26" i="6"/>
  <c r="I981" i="6"/>
  <c r="H981" i="6"/>
  <c r="I830" i="6"/>
  <c r="H830" i="6"/>
  <c r="I712" i="6"/>
  <c r="H712" i="6"/>
  <c r="I622" i="6"/>
  <c r="H622" i="6"/>
  <c r="I549" i="6"/>
  <c r="H549" i="6"/>
  <c r="I476" i="6"/>
  <c r="H476" i="6"/>
  <c r="I403" i="6"/>
  <c r="H403" i="6"/>
  <c r="I330" i="6"/>
  <c r="H330" i="6"/>
  <c r="I258" i="6"/>
  <c r="H258" i="6"/>
  <c r="I194" i="6"/>
  <c r="H194" i="6"/>
  <c r="I130" i="6"/>
  <c r="H130" i="6"/>
  <c r="I66" i="6"/>
  <c r="H66" i="6"/>
  <c r="I1040" i="6"/>
  <c r="H1040" i="6"/>
  <c r="H877" i="6"/>
  <c r="I877" i="6"/>
  <c r="I750" i="6"/>
  <c r="H750" i="6"/>
  <c r="I648" i="6"/>
  <c r="H648" i="6"/>
  <c r="I575" i="6"/>
  <c r="H575" i="6"/>
  <c r="I502" i="6"/>
  <c r="H502" i="6"/>
  <c r="I429" i="6"/>
  <c r="H429" i="6"/>
  <c r="I356" i="6"/>
  <c r="H356" i="6"/>
  <c r="I283" i="6"/>
  <c r="H283" i="6"/>
  <c r="I217" i="6"/>
  <c r="H217" i="6"/>
  <c r="I153" i="6"/>
  <c r="H153" i="6"/>
  <c r="I89" i="6"/>
  <c r="H89" i="6"/>
  <c r="I25" i="6"/>
  <c r="H25" i="6"/>
  <c r="I992" i="6"/>
  <c r="H992" i="6"/>
  <c r="I839" i="6"/>
  <c r="H839" i="6"/>
  <c r="I720" i="6"/>
  <c r="H720" i="6"/>
  <c r="I628" i="6"/>
  <c r="H628" i="6"/>
  <c r="I555" i="6"/>
  <c r="H555" i="6"/>
  <c r="I482" i="6"/>
  <c r="H482" i="6"/>
  <c r="I408" i="6"/>
  <c r="H408" i="6"/>
  <c r="I335" i="6"/>
  <c r="H335" i="6"/>
  <c r="I263" i="6"/>
  <c r="H263" i="6"/>
  <c r="I199" i="6"/>
  <c r="H199" i="6"/>
  <c r="I135" i="6"/>
  <c r="H135" i="6"/>
  <c r="I71" i="6"/>
  <c r="H71" i="6"/>
  <c r="I7" i="6"/>
  <c r="H7" i="6"/>
  <c r="G1113" i="6"/>
  <c r="I754" i="6"/>
  <c r="H754" i="6"/>
  <c r="I156" i="6"/>
  <c r="H156" i="6"/>
  <c r="I537" i="6"/>
  <c r="H537" i="6"/>
  <c r="I762" i="6"/>
  <c r="H762" i="6"/>
  <c r="I947" i="6"/>
  <c r="H947" i="6"/>
  <c r="H1069" i="6"/>
  <c r="I1069" i="6"/>
  <c r="I163" i="6"/>
  <c r="H163" i="6"/>
  <c r="I448" i="6"/>
  <c r="H448" i="6"/>
  <c r="I621" i="6"/>
  <c r="H621" i="6"/>
  <c r="I791" i="6"/>
  <c r="H791" i="6"/>
  <c r="I1093" i="6"/>
  <c r="H1093" i="6"/>
  <c r="I995" i="6"/>
  <c r="H995" i="6"/>
  <c r="I1048" i="6"/>
  <c r="H1048" i="6"/>
  <c r="I506" i="6"/>
  <c r="H506" i="6"/>
  <c r="I92" i="6"/>
  <c r="H92" i="6"/>
  <c r="I345" i="6"/>
  <c r="H345" i="6"/>
  <c r="I793" i="6"/>
  <c r="H793" i="6"/>
  <c r="I1049" i="6"/>
  <c r="H1049" i="6"/>
  <c r="I1082" i="6"/>
  <c r="H1082" i="6"/>
  <c r="I883" i="6"/>
  <c r="H883" i="6"/>
  <c r="I804" i="6"/>
  <c r="H804" i="6"/>
  <c r="I663" i="6"/>
  <c r="H663" i="6"/>
  <c r="H294" i="6"/>
  <c r="I294" i="6"/>
  <c r="H1086" i="6"/>
  <c r="I1086" i="6"/>
  <c r="I522" i="6"/>
  <c r="H522" i="6"/>
  <c r="I106" i="6"/>
  <c r="H106" i="6"/>
  <c r="I711" i="6"/>
  <c r="H711" i="6"/>
  <c r="I257" i="6"/>
  <c r="H257" i="6"/>
  <c r="I928" i="6"/>
  <c r="H928" i="6"/>
  <c r="I308" i="6"/>
  <c r="H308" i="6"/>
  <c r="I643" i="6"/>
  <c r="H643" i="6"/>
  <c r="I865" i="6"/>
  <c r="H865" i="6"/>
  <c r="I920" i="6"/>
  <c r="H920" i="6"/>
  <c r="I784" i="6"/>
  <c r="H784" i="6"/>
  <c r="H678" i="6"/>
  <c r="I678" i="6"/>
  <c r="I597" i="6"/>
  <c r="H597" i="6"/>
  <c r="I524" i="6"/>
  <c r="H524" i="6"/>
  <c r="I451" i="6"/>
  <c r="H451" i="6"/>
  <c r="I378" i="6"/>
  <c r="H378" i="6"/>
  <c r="I304" i="6"/>
  <c r="H304" i="6"/>
  <c r="I236" i="6"/>
  <c r="H236" i="6"/>
  <c r="I172" i="6"/>
  <c r="H172" i="6"/>
  <c r="I108" i="6"/>
  <c r="H108" i="6"/>
  <c r="I44" i="6"/>
  <c r="H44" i="6"/>
  <c r="H919" i="6"/>
  <c r="I919" i="6"/>
  <c r="H983" i="6"/>
  <c r="I983" i="6"/>
  <c r="H1047" i="6"/>
  <c r="I1047" i="6"/>
  <c r="H1111" i="6"/>
  <c r="I1111" i="6"/>
  <c r="I329" i="6"/>
  <c r="H329" i="6"/>
  <c r="I393" i="6"/>
  <c r="H393" i="6"/>
  <c r="I457" i="6"/>
  <c r="H457" i="6"/>
  <c r="I521" i="6"/>
  <c r="H521" i="6"/>
  <c r="I585" i="6"/>
  <c r="H585" i="6"/>
  <c r="I649" i="6"/>
  <c r="H649" i="6"/>
  <c r="I713" i="6"/>
  <c r="H713" i="6"/>
  <c r="I777" i="6"/>
  <c r="H777" i="6"/>
  <c r="I841" i="6"/>
  <c r="H841" i="6"/>
  <c r="I905" i="6"/>
  <c r="H905" i="6"/>
  <c r="I969" i="6"/>
  <c r="H969" i="6"/>
  <c r="I1033" i="6"/>
  <c r="H1033" i="6"/>
  <c r="I1097" i="6"/>
  <c r="H1097" i="6"/>
  <c r="I810" i="6"/>
  <c r="H810" i="6"/>
  <c r="I874" i="6"/>
  <c r="H874" i="6"/>
  <c r="I938" i="6"/>
  <c r="H938" i="6"/>
  <c r="I1002" i="6"/>
  <c r="H1002" i="6"/>
  <c r="I1066" i="6"/>
  <c r="H1066" i="6"/>
  <c r="I675" i="6"/>
  <c r="H675" i="6"/>
  <c r="I739" i="6"/>
  <c r="H739" i="6"/>
  <c r="I803" i="6"/>
  <c r="H803" i="6"/>
  <c r="I867" i="6"/>
  <c r="H867" i="6"/>
  <c r="I931" i="6"/>
  <c r="H931" i="6"/>
  <c r="I1059" i="6"/>
  <c r="H1059" i="6"/>
  <c r="I660" i="6"/>
  <c r="H660" i="6"/>
  <c r="I724" i="6"/>
  <c r="H724" i="6"/>
  <c r="I788" i="6"/>
  <c r="H788" i="6"/>
  <c r="I852" i="6"/>
  <c r="H852" i="6"/>
  <c r="I916" i="6"/>
  <c r="H916" i="6"/>
  <c r="I980" i="6"/>
  <c r="H980" i="6"/>
  <c r="I1044" i="6"/>
  <c r="H1044" i="6"/>
  <c r="I1108" i="6"/>
  <c r="H1108" i="6"/>
  <c r="H941" i="6"/>
  <c r="I941" i="6"/>
  <c r="I799" i="6"/>
  <c r="H799" i="6"/>
  <c r="I688" i="6"/>
  <c r="H688" i="6"/>
  <c r="H605" i="6"/>
  <c r="I605" i="6"/>
  <c r="I532" i="6"/>
  <c r="H532" i="6"/>
  <c r="I459" i="6"/>
  <c r="H459" i="6"/>
  <c r="I386" i="6"/>
  <c r="H386" i="6"/>
  <c r="I312" i="6"/>
  <c r="H312" i="6"/>
  <c r="I243" i="6"/>
  <c r="H243" i="6"/>
  <c r="I179" i="6"/>
  <c r="H179" i="6"/>
  <c r="I115" i="6"/>
  <c r="H115" i="6"/>
  <c r="I51" i="6"/>
  <c r="H51" i="6"/>
  <c r="H10" i="6"/>
  <c r="I10" i="6"/>
  <c r="H958" i="6"/>
  <c r="I958" i="6"/>
  <c r="I814" i="6"/>
  <c r="H814" i="6"/>
  <c r="H701" i="6"/>
  <c r="I701" i="6"/>
  <c r="I613" i="6"/>
  <c r="H613" i="6"/>
  <c r="I540" i="6"/>
  <c r="H540" i="6"/>
  <c r="I467" i="6"/>
  <c r="H467" i="6"/>
  <c r="I394" i="6"/>
  <c r="H394" i="6"/>
  <c r="I320" i="6"/>
  <c r="H320" i="6"/>
  <c r="I250" i="6"/>
  <c r="H250" i="6"/>
  <c r="I186" i="6"/>
  <c r="H186" i="6"/>
  <c r="I122" i="6"/>
  <c r="H122" i="6"/>
  <c r="H58" i="6"/>
  <c r="I58" i="6"/>
  <c r="H1021" i="6"/>
  <c r="I1021" i="6"/>
  <c r="H861" i="6"/>
  <c r="I861" i="6"/>
  <c r="I736" i="6"/>
  <c r="H736" i="6"/>
  <c r="I639" i="6"/>
  <c r="H639" i="6"/>
  <c r="I566" i="6"/>
  <c r="H566" i="6"/>
  <c r="I493" i="6"/>
  <c r="H493" i="6"/>
  <c r="I420" i="6"/>
  <c r="H420" i="6"/>
  <c r="I347" i="6"/>
  <c r="H347" i="6"/>
  <c r="I274" i="6"/>
  <c r="H274" i="6"/>
  <c r="I209" i="6"/>
  <c r="H209" i="6"/>
  <c r="I145" i="6"/>
  <c r="H145" i="6"/>
  <c r="I81" i="6"/>
  <c r="H81" i="6"/>
  <c r="I17" i="6"/>
  <c r="H17" i="6"/>
  <c r="H973" i="6"/>
  <c r="I973" i="6"/>
  <c r="I823" i="6"/>
  <c r="H823" i="6"/>
  <c r="I709" i="6"/>
  <c r="H709" i="6"/>
  <c r="I619" i="6"/>
  <c r="H619" i="6"/>
  <c r="I546" i="6"/>
  <c r="H546" i="6"/>
  <c r="I472" i="6"/>
  <c r="H472" i="6"/>
  <c r="I399" i="6"/>
  <c r="H399" i="6"/>
  <c r="I326" i="6"/>
  <c r="H326" i="6"/>
  <c r="I255" i="6"/>
  <c r="H255" i="6"/>
  <c r="I191" i="6"/>
  <c r="H191" i="6"/>
  <c r="I127" i="6"/>
  <c r="H127" i="6"/>
  <c r="I63" i="6"/>
  <c r="H63" i="6"/>
  <c r="H1070" i="6"/>
  <c r="I1070" i="6"/>
  <c r="H901" i="6"/>
  <c r="I901" i="6"/>
  <c r="I768" i="6"/>
  <c r="H768" i="6"/>
  <c r="I664" i="6"/>
  <c r="H664" i="6"/>
  <c r="I588" i="6"/>
  <c r="H588" i="6"/>
  <c r="I515" i="6"/>
  <c r="H515" i="6"/>
  <c r="I442" i="6"/>
  <c r="H442" i="6"/>
  <c r="I368" i="6"/>
  <c r="H368" i="6"/>
  <c r="I295" i="6"/>
  <c r="H295" i="6"/>
  <c r="I228" i="6"/>
  <c r="H228" i="6"/>
  <c r="I164" i="6"/>
  <c r="H164" i="6"/>
  <c r="I100" i="6"/>
  <c r="H100" i="6"/>
  <c r="I36" i="6"/>
  <c r="H36" i="6"/>
  <c r="H927" i="6"/>
  <c r="I927" i="6"/>
  <c r="H991" i="6"/>
  <c r="I991" i="6"/>
  <c r="H1055" i="6"/>
  <c r="I1055" i="6"/>
  <c r="I273" i="6"/>
  <c r="H273" i="6"/>
  <c r="I337" i="6"/>
  <c r="H337" i="6"/>
  <c r="I401" i="6"/>
  <c r="H401" i="6"/>
  <c r="I465" i="6"/>
  <c r="H465" i="6"/>
  <c r="I529" i="6"/>
  <c r="H529" i="6"/>
  <c r="I593" i="6"/>
  <c r="H593" i="6"/>
  <c r="I657" i="6"/>
  <c r="H657" i="6"/>
  <c r="I721" i="6"/>
  <c r="H721" i="6"/>
  <c r="I785" i="6"/>
  <c r="H785" i="6"/>
  <c r="I849" i="6"/>
  <c r="H849" i="6"/>
  <c r="I913" i="6"/>
  <c r="H913" i="6"/>
  <c r="I977" i="6"/>
  <c r="H977" i="6"/>
  <c r="I1041" i="6"/>
  <c r="H1041" i="6"/>
  <c r="I1105" i="6"/>
  <c r="H1105" i="6"/>
  <c r="I818" i="6"/>
  <c r="H818" i="6"/>
  <c r="I882" i="6"/>
  <c r="H882" i="6"/>
  <c r="I946" i="6"/>
  <c r="H946" i="6"/>
  <c r="I1010" i="6"/>
  <c r="H1010" i="6"/>
  <c r="I1074" i="6"/>
  <c r="H1074" i="6"/>
  <c r="I683" i="6"/>
  <c r="H683" i="6"/>
  <c r="I747" i="6"/>
  <c r="H747" i="6"/>
  <c r="I811" i="6"/>
  <c r="H811" i="6"/>
  <c r="I875" i="6"/>
  <c r="H875" i="6"/>
  <c r="I939" i="6"/>
  <c r="H939" i="6"/>
  <c r="I1003" i="6"/>
  <c r="H1003" i="6"/>
  <c r="I1067" i="6"/>
  <c r="H1067" i="6"/>
  <c r="I668" i="6"/>
  <c r="H668" i="6"/>
  <c r="I732" i="6"/>
  <c r="H732" i="6"/>
  <c r="I796" i="6"/>
  <c r="H796" i="6"/>
  <c r="I860" i="6"/>
  <c r="H860" i="6"/>
  <c r="I924" i="6"/>
  <c r="H924" i="6"/>
  <c r="I988" i="6"/>
  <c r="H988" i="6"/>
  <c r="I1052" i="6"/>
  <c r="H1052" i="6"/>
  <c r="I1088" i="6"/>
  <c r="H1088" i="6"/>
  <c r="I918" i="6"/>
  <c r="H918" i="6"/>
  <c r="I783" i="6"/>
  <c r="H783" i="6"/>
  <c r="I677" i="6"/>
  <c r="H677" i="6"/>
  <c r="I596" i="6"/>
  <c r="H596" i="6"/>
  <c r="I523" i="6"/>
  <c r="H523" i="6"/>
  <c r="I450" i="6"/>
  <c r="H450" i="6"/>
  <c r="I376" i="6"/>
  <c r="H376" i="6"/>
  <c r="I303" i="6"/>
  <c r="H303" i="6"/>
  <c r="I235" i="6"/>
  <c r="H235" i="6"/>
  <c r="I171" i="6"/>
  <c r="H171" i="6"/>
  <c r="I107" i="6"/>
  <c r="H107" i="6"/>
  <c r="I43" i="6"/>
  <c r="H43" i="6"/>
  <c r="I1109" i="6"/>
  <c r="H1109" i="6"/>
  <c r="I936" i="6"/>
  <c r="H936" i="6"/>
  <c r="H798" i="6"/>
  <c r="I798" i="6"/>
  <c r="I687" i="6"/>
  <c r="H687" i="6"/>
  <c r="I604" i="6"/>
  <c r="H604" i="6"/>
  <c r="I531" i="6"/>
  <c r="H531" i="6"/>
  <c r="I458" i="6"/>
  <c r="H458" i="6"/>
  <c r="I384" i="6"/>
  <c r="H384" i="6"/>
  <c r="I311" i="6"/>
  <c r="H311" i="6"/>
  <c r="I242" i="6"/>
  <c r="H242" i="6"/>
  <c r="I178" i="6"/>
  <c r="H178" i="6"/>
  <c r="I114" i="6"/>
  <c r="H114" i="6"/>
  <c r="H50" i="6"/>
  <c r="I50" i="6"/>
  <c r="I998" i="6"/>
  <c r="H998" i="6"/>
  <c r="I845" i="6"/>
  <c r="H845" i="6"/>
  <c r="I725" i="6"/>
  <c r="H725" i="6"/>
  <c r="I630" i="6"/>
  <c r="H630" i="6"/>
  <c r="I557" i="6"/>
  <c r="H557" i="6"/>
  <c r="I484" i="6"/>
  <c r="H484" i="6"/>
  <c r="I411" i="6"/>
  <c r="H411" i="6"/>
  <c r="I338" i="6"/>
  <c r="H338" i="6"/>
  <c r="I265" i="6"/>
  <c r="H265" i="6"/>
  <c r="I201" i="6"/>
  <c r="H201" i="6"/>
  <c r="I137" i="6"/>
  <c r="H137" i="6"/>
  <c r="I73" i="6"/>
  <c r="H73" i="6"/>
  <c r="I9" i="6"/>
  <c r="H9" i="6"/>
  <c r="I950" i="6"/>
  <c r="H950" i="6"/>
  <c r="I807" i="6"/>
  <c r="H807" i="6"/>
  <c r="I695" i="6"/>
  <c r="H695" i="6"/>
  <c r="I610" i="6"/>
  <c r="H610" i="6"/>
  <c r="I536" i="6"/>
  <c r="H536" i="6"/>
  <c r="I463" i="6"/>
  <c r="H463" i="6"/>
  <c r="I390" i="6"/>
  <c r="H390" i="6"/>
  <c r="H317" i="6"/>
  <c r="I317" i="6"/>
  <c r="I247" i="6"/>
  <c r="H247" i="6"/>
  <c r="I183" i="6"/>
  <c r="H183" i="6"/>
  <c r="I119" i="6"/>
  <c r="H119" i="6"/>
  <c r="I55" i="6"/>
  <c r="H55" i="6"/>
  <c r="F1113" i="6"/>
  <c r="H1113" i="6" l="1"/>
  <c r="I1113" i="6"/>
  <c r="J6" i="6" l="1"/>
  <c r="K6" i="6" s="1"/>
  <c r="L791" i="6" l="1"/>
  <c r="L1073" i="6"/>
  <c r="P1073" i="6" s="1"/>
  <c r="W1073" i="6" s="1"/>
  <c r="X1073" i="6" s="1"/>
  <c r="L769" i="6"/>
  <c r="L689" i="6"/>
  <c r="Z689" i="6" s="1"/>
  <c r="L106" i="6"/>
  <c r="P106" i="6" s="1"/>
  <c r="W106" i="6" s="1"/>
  <c r="X106" i="6" s="1"/>
  <c r="L149" i="6"/>
  <c r="P149" i="6" s="1"/>
  <c r="W149" i="6" s="1"/>
  <c r="X149" i="6" s="1"/>
  <c r="L537" i="6"/>
  <c r="L397" i="6"/>
  <c r="L424" i="6"/>
  <c r="L53" i="6"/>
  <c r="Z53" i="6" s="1"/>
  <c r="L750" i="6"/>
  <c r="L533" i="6"/>
  <c r="P533" i="6" s="1"/>
  <c r="W533" i="6" s="1"/>
  <c r="X533" i="6" s="1"/>
  <c r="L364" i="6"/>
  <c r="L530" i="6"/>
  <c r="Z530" i="6" s="1"/>
  <c r="L410" i="6"/>
  <c r="L325" i="6"/>
  <c r="L494" i="6"/>
  <c r="L645" i="6"/>
  <c r="P645" i="6" s="1"/>
  <c r="W645" i="6" s="1"/>
  <c r="X645" i="6" s="1"/>
  <c r="L799" i="6"/>
  <c r="L722" i="6"/>
  <c r="L557" i="6"/>
  <c r="L13" i="6"/>
  <c r="Z13" i="6" s="1"/>
  <c r="L61" i="6"/>
  <c r="Z61" i="6" s="1"/>
  <c r="L20" i="6"/>
  <c r="Z20" i="6" s="1"/>
  <c r="L508" i="6"/>
  <c r="L109" i="6"/>
  <c r="Z109" i="6" s="1"/>
  <c r="L337" i="6"/>
  <c r="L213" i="6"/>
  <c r="P213" i="6" s="1"/>
  <c r="W213" i="6" s="1"/>
  <c r="X213" i="6" s="1"/>
  <c r="L188" i="6"/>
  <c r="P188" i="6" s="1"/>
  <c r="W188" i="6" s="1"/>
  <c r="X188" i="6" s="1"/>
  <c r="L25" i="6"/>
  <c r="P25" i="6" s="1"/>
  <c r="W25" i="6" s="1"/>
  <c r="X25" i="6" s="1"/>
  <c r="L529" i="6"/>
  <c r="L1044" i="6"/>
  <c r="Z1044" i="6" s="1"/>
  <c r="L572" i="6"/>
  <c r="L425" i="6"/>
  <c r="L625" i="6"/>
  <c r="L789" i="6"/>
  <c r="Z789" i="6" s="1"/>
  <c r="L1017" i="6"/>
  <c r="L110" i="6"/>
  <c r="Z110" i="6" s="1"/>
  <c r="L428" i="6"/>
  <c r="L593" i="6"/>
  <c r="L788" i="6"/>
  <c r="L457" i="6"/>
  <c r="Z457" i="6" s="1"/>
  <c r="L945" i="6"/>
  <c r="L1036" i="6"/>
  <c r="L785" i="6"/>
  <c r="L601" i="6"/>
  <c r="Z601" i="6" s="1"/>
  <c r="L591" i="6"/>
  <c r="L141" i="6"/>
  <c r="P141" i="6" s="1"/>
  <c r="W141" i="6" s="1"/>
  <c r="X141" i="6" s="1"/>
  <c r="L93" i="6"/>
  <c r="P93" i="6" s="1"/>
  <c r="W93" i="6" s="1"/>
  <c r="X93" i="6" s="1"/>
  <c r="L380" i="6"/>
  <c r="Z380" i="6" s="1"/>
  <c r="L657" i="6"/>
  <c r="L998" i="6"/>
  <c r="Z998" i="6" s="1"/>
  <c r="L756" i="6"/>
  <c r="L281" i="6"/>
  <c r="P281" i="6" s="1"/>
  <c r="W281" i="6" s="1"/>
  <c r="X281" i="6" s="1"/>
  <c r="L532" i="6"/>
  <c r="L781" i="6"/>
  <c r="L633" i="6"/>
  <c r="L620" i="6"/>
  <c r="P620" i="6" s="1"/>
  <c r="W620" i="6" s="1"/>
  <c r="X620" i="6" s="1"/>
  <c r="L228" i="6"/>
  <c r="P228" i="6" s="1"/>
  <c r="W228" i="6" s="1"/>
  <c r="X228" i="6" s="1"/>
  <c r="L357" i="6"/>
  <c r="P357" i="6" s="1"/>
  <c r="W357" i="6" s="1"/>
  <c r="X357" i="6" s="1"/>
  <c r="L825" i="6"/>
  <c r="L261" i="6"/>
  <c r="L716" i="6"/>
  <c r="L229" i="6"/>
  <c r="Z229" i="6" s="1"/>
  <c r="L941" i="6"/>
  <c r="L84" i="6"/>
  <c r="Z84" i="6" s="1"/>
  <c r="L765" i="6"/>
  <c r="L284" i="6"/>
  <c r="Z284" i="6" s="1"/>
  <c r="L1100" i="6"/>
  <c r="L628" i="6"/>
  <c r="L9" i="6"/>
  <c r="P9" i="6" s="1"/>
  <c r="L737" i="6"/>
  <c r="L90" i="6"/>
  <c r="Z90" i="6" s="1"/>
  <c r="L587" i="6"/>
  <c r="Z587" i="6" s="1"/>
  <c r="L1077" i="6"/>
  <c r="L41" i="6"/>
  <c r="P41" i="6" s="1"/>
  <c r="W41" i="6" s="1"/>
  <c r="X41" i="6" s="1"/>
  <c r="L777" i="6"/>
  <c r="L505" i="6"/>
  <c r="L1004" i="6"/>
  <c r="L445" i="6"/>
  <c r="L964" i="6"/>
  <c r="L44" i="6"/>
  <c r="Z44" i="6" s="1"/>
  <c r="L108" i="6"/>
  <c r="P108" i="6" s="1"/>
  <c r="W108" i="6" s="1"/>
  <c r="X108" i="6" s="1"/>
  <c r="L97" i="6"/>
  <c r="P97" i="6" s="1"/>
  <c r="W97" i="6" s="1"/>
  <c r="X97" i="6" s="1"/>
  <c r="L250" i="6"/>
  <c r="Z250" i="6" s="1"/>
  <c r="L653" i="6"/>
  <c r="Z653" i="6" s="1"/>
  <c r="L102" i="6"/>
  <c r="P102" i="6" s="1"/>
  <c r="W102" i="6" s="1"/>
  <c r="X102" i="6" s="1"/>
  <c r="L525" i="6"/>
  <c r="L125" i="6"/>
  <c r="Z125" i="6" s="1"/>
  <c r="L172" i="6"/>
  <c r="Z172" i="6" s="1"/>
  <c r="L801" i="6"/>
  <c r="L230" i="6"/>
  <c r="P230" i="6" s="1"/>
  <c r="W230" i="6" s="1"/>
  <c r="X230" i="6" s="1"/>
  <c r="L233" i="6"/>
  <c r="P233" i="6" s="1"/>
  <c r="W233" i="6" s="1"/>
  <c r="X233" i="6" s="1"/>
  <c r="L940" i="6"/>
  <c r="L489" i="6"/>
  <c r="L868" i="6"/>
  <c r="L1057" i="6"/>
  <c r="Z1057" i="6" s="1"/>
  <c r="L982" i="6"/>
  <c r="L661" i="6"/>
  <c r="L548" i="6"/>
  <c r="Z548" i="6" s="1"/>
  <c r="L516" i="6"/>
  <c r="L594" i="6"/>
  <c r="P594" i="6" s="1"/>
  <c r="W594" i="6" s="1"/>
  <c r="X594" i="6" s="1"/>
  <c r="L469" i="6"/>
  <c r="L916" i="6"/>
  <c r="L187" i="6"/>
  <c r="P187" i="6" s="1"/>
  <c r="W187" i="6" s="1"/>
  <c r="X187" i="6" s="1"/>
  <c r="L701" i="6"/>
  <c r="L556" i="6"/>
  <c r="L1060" i="6"/>
  <c r="L884" i="6"/>
  <c r="L165" i="6"/>
  <c r="Z165" i="6" s="1"/>
  <c r="L361" i="6"/>
  <c r="L849" i="6"/>
  <c r="L580" i="6"/>
  <c r="L804" i="6"/>
  <c r="L677" i="6"/>
  <c r="L36" i="6"/>
  <c r="Z36" i="6" s="1"/>
  <c r="L333" i="6"/>
  <c r="L377" i="6"/>
  <c r="Z377" i="6" s="1"/>
  <c r="L589" i="6"/>
  <c r="L189" i="6"/>
  <c r="P189" i="6" s="1"/>
  <c r="W189" i="6" s="1"/>
  <c r="X189" i="6" s="1"/>
  <c r="L269" i="6"/>
  <c r="L721" i="6"/>
  <c r="L745" i="6"/>
  <c r="L748" i="6"/>
  <c r="Z748" i="6" s="1"/>
  <c r="L177" i="6"/>
  <c r="L194" i="6"/>
  <c r="P194" i="6" s="1"/>
  <c r="W194" i="6" s="1"/>
  <c r="X194" i="6" s="1"/>
  <c r="L461" i="6"/>
  <c r="L401" i="6"/>
  <c r="L741" i="6"/>
  <c r="L513" i="6"/>
  <c r="L356" i="6"/>
  <c r="L253" i="6"/>
  <c r="L596" i="6"/>
  <c r="L1012" i="6"/>
  <c r="P1012" i="6" s="1"/>
  <c r="W1012" i="6" s="1"/>
  <c r="X1012" i="6" s="1"/>
  <c r="L793" i="6"/>
  <c r="L453" i="6"/>
  <c r="L796" i="6"/>
  <c r="L833" i="6"/>
  <c r="L413" i="6"/>
  <c r="L1101" i="6"/>
  <c r="L493" i="6"/>
  <c r="L265" i="6"/>
  <c r="L524" i="6"/>
  <c r="L1108" i="6"/>
  <c r="L1105" i="6"/>
  <c r="L418" i="6"/>
  <c r="Z418" i="6" s="1"/>
  <c r="L1034" i="6"/>
  <c r="L955" i="6"/>
  <c r="Z955" i="6" s="1"/>
  <c r="L854" i="6"/>
  <c r="L463" i="6"/>
  <c r="P463" i="6" s="1"/>
  <c r="W463" i="6" s="1"/>
  <c r="X463" i="6" s="1"/>
  <c r="L700" i="6"/>
  <c r="L37" i="6"/>
  <c r="Z37" i="6" s="1"/>
  <c r="L573" i="6"/>
  <c r="L501" i="6"/>
  <c r="L853" i="6"/>
  <c r="L81" i="6"/>
  <c r="Z81" i="6" s="1"/>
  <c r="L764" i="6"/>
  <c r="L57" i="6"/>
  <c r="P57" i="6" s="1"/>
  <c r="W57" i="6" s="1"/>
  <c r="X57" i="6" s="1"/>
  <c r="L105" i="6"/>
  <c r="L617" i="6"/>
  <c r="L237" i="6"/>
  <c r="L305" i="6"/>
  <c r="P305" i="6" s="1"/>
  <c r="W305" i="6" s="1"/>
  <c r="X305" i="6" s="1"/>
  <c r="L817" i="6"/>
  <c r="L621" i="6"/>
  <c r="Z621" i="6" s="1"/>
  <c r="L649" i="6"/>
  <c r="L1084" i="6"/>
  <c r="P1084" i="6" s="1"/>
  <c r="W1084" i="6" s="1"/>
  <c r="X1084" i="6" s="1"/>
  <c r="L52" i="6"/>
  <c r="L332" i="6"/>
  <c r="L98" i="6"/>
  <c r="L315" i="6"/>
  <c r="P315" i="6" s="1"/>
  <c r="W315" i="6" s="1"/>
  <c r="X315" i="6" s="1"/>
  <c r="L991" i="6"/>
  <c r="L549" i="6"/>
  <c r="Z549" i="6" s="1"/>
  <c r="L929" i="6"/>
  <c r="L676" i="6"/>
  <c r="P676" i="6" s="1"/>
  <c r="W676" i="6" s="1"/>
  <c r="X676" i="6" s="1"/>
  <c r="L252" i="6"/>
  <c r="L273" i="6"/>
  <c r="L1068" i="6"/>
  <c r="L809" i="6"/>
  <c r="L837" i="6"/>
  <c r="L669" i="6"/>
  <c r="L117" i="6"/>
  <c r="L873" i="6"/>
  <c r="L1058" i="6"/>
  <c r="L95" i="6"/>
  <c r="P95" i="6" s="1"/>
  <c r="W95" i="6" s="1"/>
  <c r="X95" i="6" s="1"/>
  <c r="L321" i="6"/>
  <c r="L860" i="6"/>
  <c r="P860" i="6" s="1"/>
  <c r="W860" i="6" s="1"/>
  <c r="X860" i="6" s="1"/>
  <c r="L571" i="6"/>
  <c r="L636" i="6"/>
  <c r="L317" i="6"/>
  <c r="L429" i="6"/>
  <c r="P429" i="6" s="1"/>
  <c r="W429" i="6" s="1"/>
  <c r="X429" i="6" s="1"/>
  <c r="L749" i="6"/>
  <c r="L300" i="6"/>
  <c r="L609" i="6"/>
  <c r="L298" i="6"/>
  <c r="Z298" i="6" s="1"/>
  <c r="L715" i="6"/>
  <c r="L880" i="6"/>
  <c r="L313" i="6"/>
  <c r="L930" i="6"/>
  <c r="Z930" i="6" s="1"/>
  <c r="L68" i="6"/>
  <c r="L292" i="6"/>
  <c r="L509" i="6"/>
  <c r="L709" i="6"/>
  <c r="L629" i="6"/>
  <c r="L723" i="6"/>
  <c r="P723" i="6" s="1"/>
  <c r="W723" i="6" s="1"/>
  <c r="X723" i="6" s="1"/>
  <c r="L732" i="6"/>
  <c r="L673" i="6"/>
  <c r="P673" i="6" s="1"/>
  <c r="W673" i="6" s="1"/>
  <c r="X673" i="6" s="1"/>
  <c r="L610" i="6"/>
  <c r="L641" i="6"/>
  <c r="L813" i="6"/>
  <c r="L86" i="6"/>
  <c r="Z86" i="6" s="1"/>
  <c r="L6" i="6"/>
  <c r="L797" i="6"/>
  <c r="L289" i="6"/>
  <c r="Z289" i="6" s="1"/>
  <c r="L234" i="6"/>
  <c r="Z234" i="6" s="1"/>
  <c r="L486" i="6"/>
  <c r="L705" i="6"/>
  <c r="P705" i="6" s="1"/>
  <c r="W705" i="6" s="1"/>
  <c r="X705" i="6" s="1"/>
  <c r="L65" i="6"/>
  <c r="L597" i="6"/>
  <c r="P597" i="6" s="1"/>
  <c r="W597" i="6" s="1"/>
  <c r="X597" i="6" s="1"/>
  <c r="L1076" i="6"/>
  <c r="L956" i="6"/>
  <c r="Z956" i="6" s="1"/>
  <c r="L924" i="6"/>
  <c r="L1050" i="6"/>
  <c r="L708" i="6"/>
  <c r="L876" i="6"/>
  <c r="P876" i="6" s="1"/>
  <c r="W876" i="6" s="1"/>
  <c r="X876" i="6" s="1"/>
  <c r="L441" i="6"/>
  <c r="L500" i="6"/>
  <c r="L26" i="6"/>
  <c r="Z26" i="6" s="1"/>
  <c r="L17" i="6"/>
  <c r="P17" i="6" s="1"/>
  <c r="L249" i="6"/>
  <c r="P249" i="6" s="1"/>
  <c r="W249" i="6" s="1"/>
  <c r="X249" i="6" s="1"/>
  <c r="L236" i="6"/>
  <c r="P236" i="6" s="1"/>
  <c r="W236" i="6" s="1"/>
  <c r="X236" i="6" s="1"/>
  <c r="L28" i="6"/>
  <c r="Z28" i="6" s="1"/>
  <c r="L339" i="6"/>
  <c r="P339" i="6" s="1"/>
  <c r="W339" i="6" s="1"/>
  <c r="X339" i="6" s="1"/>
  <c r="L473" i="6"/>
  <c r="L173" i="6"/>
  <c r="L836" i="6"/>
  <c r="L936" i="6"/>
  <c r="L827" i="6"/>
  <c r="L225" i="6"/>
  <c r="Z225" i="6" s="1"/>
  <c r="L1006" i="6"/>
  <c r="L913" i="6"/>
  <c r="L214" i="6"/>
  <c r="P214" i="6" s="1"/>
  <c r="W214" i="6" s="1"/>
  <c r="X214" i="6" s="1"/>
  <c r="L33" i="6"/>
  <c r="L205" i="6"/>
  <c r="P205" i="6" s="1"/>
  <c r="W205" i="6" s="1"/>
  <c r="X205" i="6" s="1"/>
  <c r="L637" i="6"/>
  <c r="L45" i="6"/>
  <c r="P45" i="6" s="1"/>
  <c r="W45" i="6" s="1"/>
  <c r="X45" i="6" s="1"/>
  <c r="L794" i="6"/>
  <c r="L909" i="6"/>
  <c r="L465" i="6"/>
  <c r="L517" i="6"/>
  <c r="L373" i="6"/>
  <c r="L614" i="6"/>
  <c r="L1097" i="6"/>
  <c r="L996" i="6"/>
  <c r="L116" i="6"/>
  <c r="P116" i="6" s="1"/>
  <c r="W116" i="6" s="1"/>
  <c r="X116" i="6" s="1"/>
  <c r="L1028" i="6"/>
  <c r="L877" i="6"/>
  <c r="L186" i="6"/>
  <c r="Z186" i="6" s="1"/>
  <c r="L892" i="6"/>
  <c r="L937" i="6"/>
  <c r="L211" i="6"/>
  <c r="Z211" i="6" s="1"/>
  <c r="L927" i="6"/>
  <c r="L604" i="6"/>
  <c r="L421" i="6"/>
  <c r="L276" i="6"/>
  <c r="Z276" i="6" s="1"/>
  <c r="L476" i="6"/>
  <c r="L820" i="6"/>
  <c r="P820" i="6" s="1"/>
  <c r="W820" i="6" s="1"/>
  <c r="X820" i="6" s="1"/>
  <c r="L865" i="6"/>
  <c r="L471" i="6"/>
  <c r="Z471" i="6" s="1"/>
  <c r="L203" i="6"/>
  <c r="L101" i="6"/>
  <c r="P101" i="6" s="1"/>
  <c r="W101" i="6" s="1"/>
  <c r="X101" i="6" s="1"/>
  <c r="L92" i="6"/>
  <c r="Z92" i="6" s="1"/>
  <c r="L308" i="6"/>
  <c r="P308" i="6" s="1"/>
  <c r="W308" i="6" s="1"/>
  <c r="X308" i="6" s="1"/>
  <c r="L979" i="6"/>
  <c r="L329" i="6"/>
  <c r="L812" i="6"/>
  <c r="L196" i="6"/>
  <c r="Z196" i="6" s="1"/>
  <c r="L969" i="6"/>
  <c r="L48" i="6"/>
  <c r="Z48" i="6" s="1"/>
  <c r="L1069" i="6"/>
  <c r="L185" i="6"/>
  <c r="Z185" i="6" s="1"/>
  <c r="L1065" i="6"/>
  <c r="Z1065" i="6" s="1"/>
  <c r="L180" i="6"/>
  <c r="L412" i="6"/>
  <c r="L366" i="6"/>
  <c r="L545" i="6"/>
  <c r="L482" i="6"/>
  <c r="P482" i="6" s="1"/>
  <c r="W482" i="6" s="1"/>
  <c r="X482" i="6" s="1"/>
  <c r="L870" i="6"/>
  <c r="L324" i="6"/>
  <c r="L82" i="6"/>
  <c r="Z82" i="6" s="1"/>
  <c r="L164" i="6"/>
  <c r="L717" i="6"/>
  <c r="L725" i="6"/>
  <c r="P725" i="6" s="1"/>
  <c r="W725" i="6" s="1"/>
  <c r="X725" i="6" s="1"/>
  <c r="L85" i="6"/>
  <c r="L89" i="6"/>
  <c r="P89" i="6" s="1"/>
  <c r="W89" i="6" s="1"/>
  <c r="X89" i="6" s="1"/>
  <c r="L1092" i="6"/>
  <c r="L953" i="6"/>
  <c r="L331" i="6"/>
  <c r="P331" i="6" s="1"/>
  <c r="W331" i="6" s="1"/>
  <c r="X331" i="6" s="1"/>
  <c r="L1047" i="6"/>
  <c r="L917" i="6"/>
  <c r="L407" i="6"/>
  <c r="Z407" i="6" s="1"/>
  <c r="L805" i="6"/>
  <c r="L660" i="6"/>
  <c r="P660" i="6" s="1"/>
  <c r="W660" i="6" s="1"/>
  <c r="X660" i="6" s="1"/>
  <c r="L861" i="6"/>
  <c r="L132" i="6"/>
  <c r="Z132" i="6" s="1"/>
  <c r="L844" i="6"/>
  <c r="L810" i="6"/>
  <c r="L143" i="6"/>
  <c r="Z143" i="6" s="1"/>
  <c r="L948" i="6"/>
  <c r="P948" i="6" s="1"/>
  <c r="W948" i="6" s="1"/>
  <c r="X948" i="6" s="1"/>
  <c r="L851" i="6"/>
  <c r="L740" i="6"/>
  <c r="Z740" i="6" s="1"/>
  <c r="L316" i="6"/>
  <c r="L169" i="6"/>
  <c r="P169" i="6" s="1"/>
  <c r="W169" i="6" s="1"/>
  <c r="X169" i="6" s="1"/>
  <c r="L369" i="6"/>
  <c r="L713" i="6"/>
  <c r="L181" i="6"/>
  <c r="Z181" i="6" s="1"/>
  <c r="L130" i="6"/>
  <c r="P130" i="6" s="1"/>
  <c r="W130" i="6" s="1"/>
  <c r="X130" i="6" s="1"/>
  <c r="L342" i="6"/>
  <c r="L389" i="6"/>
  <c r="P389" i="6" s="1"/>
  <c r="W389" i="6" s="1"/>
  <c r="X389" i="6" s="1"/>
  <c r="L733" i="6"/>
  <c r="L204" i="6"/>
  <c r="Z204" i="6" s="1"/>
  <c r="L170" i="6"/>
  <c r="L358" i="6"/>
  <c r="L553" i="6"/>
  <c r="L753" i="6"/>
  <c r="P753" i="6" s="1"/>
  <c r="W753" i="6" s="1"/>
  <c r="X753" i="6" s="1"/>
  <c r="L577" i="6"/>
  <c r="L693" i="6"/>
  <c r="Z693" i="6" s="1"/>
  <c r="L618" i="6"/>
  <c r="L973" i="6"/>
  <c r="P973" i="6" s="1"/>
  <c r="W973" i="6" s="1"/>
  <c r="X973" i="6" s="1"/>
  <c r="L780" i="6"/>
  <c r="L730" i="6"/>
  <c r="L79" i="6"/>
  <c r="Z79" i="6" s="1"/>
  <c r="L404" i="6"/>
  <c r="Z404" i="6" s="1"/>
  <c r="L682" i="6"/>
  <c r="L697" i="6"/>
  <c r="Z697" i="6" s="1"/>
  <c r="L908" i="6"/>
  <c r="L100" i="6"/>
  <c r="Z100" i="6" s="1"/>
  <c r="L365" i="6"/>
  <c r="L685" i="6"/>
  <c r="L73" i="6"/>
  <c r="Z73" i="6" s="1"/>
  <c r="L1041" i="6"/>
  <c r="P1041" i="6" s="1"/>
  <c r="W1041" i="6" s="1"/>
  <c r="X1041" i="6" s="1"/>
  <c r="L699" i="6"/>
  <c r="L680" i="6"/>
  <c r="Z680" i="6" s="1"/>
  <c r="L773" i="6"/>
  <c r="L845" i="6"/>
  <c r="L21" i="6"/>
  <c r="Z21" i="6" s="1"/>
  <c r="L829" i="6"/>
  <c r="L277" i="6"/>
  <c r="L665" i="6"/>
  <c r="Z665" i="6" s="1"/>
  <c r="L881" i="6"/>
  <c r="L59" i="6"/>
  <c r="Z59" i="6" s="1"/>
  <c r="L607" i="6"/>
  <c r="L433" i="6"/>
  <c r="L470" i="6"/>
  <c r="L449" i="6"/>
  <c r="L485" i="6"/>
  <c r="L340" i="6"/>
  <c r="P340" i="6" s="1"/>
  <c r="W340" i="6" s="1"/>
  <c r="X340" i="6" s="1"/>
  <c r="L540" i="6"/>
  <c r="L900" i="6"/>
  <c r="P900" i="6" s="1"/>
  <c r="W900" i="6" s="1"/>
  <c r="X900" i="6" s="1"/>
  <c r="L396" i="6"/>
  <c r="L330" i="6"/>
  <c r="L622" i="6"/>
  <c r="L561" i="6"/>
  <c r="L932" i="6"/>
  <c r="L437" i="6"/>
  <c r="P437" i="6" s="1"/>
  <c r="W437" i="6" s="1"/>
  <c r="X437" i="6" s="1"/>
  <c r="L338" i="6"/>
  <c r="Z338" i="6" s="1"/>
  <c r="L726" i="6"/>
  <c r="P726" i="6" s="1"/>
  <c r="W726" i="6" s="1"/>
  <c r="X726" i="6" s="1"/>
  <c r="L724" i="6"/>
  <c r="L972" i="6"/>
  <c r="L388" i="6"/>
  <c r="L933" i="6"/>
  <c r="L922" i="6"/>
  <c r="L287" i="6"/>
  <c r="P287" i="6" s="1"/>
  <c r="W287" i="6" s="1"/>
  <c r="X287" i="6" s="1"/>
  <c r="L828" i="6"/>
  <c r="L681" i="6"/>
  <c r="P681" i="6" s="1"/>
  <c r="W681" i="6" s="1"/>
  <c r="X681" i="6" s="1"/>
  <c r="L893" i="6"/>
  <c r="L217" i="6"/>
  <c r="P217" i="6" s="1"/>
  <c r="W217" i="6" s="1"/>
  <c r="X217" i="6" s="1"/>
  <c r="L869" i="6"/>
  <c r="L842" i="6"/>
  <c r="L223" i="6"/>
  <c r="P223" i="6" s="1"/>
  <c r="W223" i="6" s="1"/>
  <c r="X223" i="6" s="1"/>
  <c r="L925" i="6"/>
  <c r="Z925" i="6" s="1"/>
  <c r="L301" i="6"/>
  <c r="L901" i="6"/>
  <c r="P901" i="6" s="1"/>
  <c r="W901" i="6" s="1"/>
  <c r="X901" i="6" s="1"/>
  <c r="L906" i="6"/>
  <c r="L279" i="6"/>
  <c r="L684" i="6"/>
  <c r="L409" i="6"/>
  <c r="L113" i="6"/>
  <c r="P113" i="6" s="1"/>
  <c r="W113" i="6" s="1"/>
  <c r="X113" i="6" s="1"/>
  <c r="L1001" i="6"/>
  <c r="Z1001" i="6" s="1"/>
  <c r="L467" i="6"/>
  <c r="L304" i="6"/>
  <c r="P304" i="6" s="1"/>
  <c r="W304" i="6" s="1"/>
  <c r="X304" i="6" s="1"/>
  <c r="L1033" i="6"/>
  <c r="L595" i="6"/>
  <c r="Z595" i="6" s="1"/>
  <c r="L624" i="6"/>
  <c r="L605" i="6"/>
  <c r="L368" i="6"/>
  <c r="L257" i="6"/>
  <c r="L444" i="6"/>
  <c r="L297" i="6"/>
  <c r="L497" i="6"/>
  <c r="L841" i="6"/>
  <c r="L353" i="6"/>
  <c r="L258" i="6"/>
  <c r="L598" i="6"/>
  <c r="L77" i="6"/>
  <c r="Z77" i="6" s="1"/>
  <c r="L268" i="6"/>
  <c r="L124" i="6"/>
  <c r="P124" i="6" s="1"/>
  <c r="W124" i="6" s="1"/>
  <c r="X124" i="6" s="1"/>
  <c r="L484" i="6"/>
  <c r="L156" i="6"/>
  <c r="P156" i="6" s="1"/>
  <c r="W156" i="6" s="1"/>
  <c r="X156" i="6" s="1"/>
  <c r="L521" i="6"/>
  <c r="L372" i="6"/>
  <c r="L34" i="6"/>
  <c r="P34" i="6" s="1"/>
  <c r="W34" i="6" s="1"/>
  <c r="X34" i="6" s="1"/>
  <c r="L1083" i="6"/>
  <c r="L212" i="6"/>
  <c r="L244" i="6"/>
  <c r="Z244" i="6" s="1"/>
  <c r="L60" i="6"/>
  <c r="Z60" i="6" s="1"/>
  <c r="L569" i="6"/>
  <c r="L129" i="6"/>
  <c r="Z129" i="6" s="1"/>
  <c r="L852" i="6"/>
  <c r="L385" i="6"/>
  <c r="L729" i="6"/>
  <c r="L889" i="6"/>
  <c r="L75" i="6"/>
  <c r="P75" i="6" s="1"/>
  <c r="W75" i="6" s="1"/>
  <c r="X75" i="6" s="1"/>
  <c r="L655" i="6"/>
  <c r="L492" i="6"/>
  <c r="L772" i="6"/>
  <c r="L905" i="6"/>
  <c r="L83" i="6"/>
  <c r="Z83" i="6" s="1"/>
  <c r="L735" i="6"/>
  <c r="L644" i="6"/>
  <c r="P644" i="6" s="1"/>
  <c r="W644" i="6" s="1"/>
  <c r="X644" i="6" s="1"/>
  <c r="L157" i="6"/>
  <c r="P157" i="6" s="1"/>
  <c r="W157" i="6" s="1"/>
  <c r="X157" i="6" s="1"/>
  <c r="L201" i="6"/>
  <c r="P201" i="6" s="1"/>
  <c r="W201" i="6" s="1"/>
  <c r="X201" i="6" s="1"/>
  <c r="L1081" i="6"/>
  <c r="L843" i="6"/>
  <c r="L872" i="6"/>
  <c r="L285" i="6"/>
  <c r="L18" i="6"/>
  <c r="P18" i="6" s="1"/>
  <c r="W18" i="6" s="1"/>
  <c r="X18" i="6" s="1"/>
  <c r="L971" i="6"/>
  <c r="L381" i="6"/>
  <c r="L452" i="6"/>
  <c r="L121" i="6"/>
  <c r="Z121" i="6" s="1"/>
  <c r="L885" i="6"/>
  <c r="L613" i="6"/>
  <c r="L468" i="6"/>
  <c r="L668" i="6"/>
  <c r="L193" i="6"/>
  <c r="Z193" i="6" s="1"/>
  <c r="L565" i="6"/>
  <c r="L522" i="6"/>
  <c r="L878" i="6"/>
  <c r="L209" i="6"/>
  <c r="P209" i="6" s="1"/>
  <c r="W209" i="6" s="1"/>
  <c r="X209" i="6" s="1"/>
  <c r="L1009" i="6"/>
  <c r="L293" i="6"/>
  <c r="L148" i="6"/>
  <c r="Z148" i="6" s="1"/>
  <c r="L348" i="6"/>
  <c r="L692" i="6"/>
  <c r="L161" i="6"/>
  <c r="Z161" i="6" s="1"/>
  <c r="L122" i="6"/>
  <c r="P122" i="6" s="1"/>
  <c r="W122" i="6" s="1"/>
  <c r="X122" i="6" s="1"/>
  <c r="L238" i="6"/>
  <c r="Z238" i="6" s="1"/>
  <c r="L420" i="6"/>
  <c r="L1052" i="6"/>
  <c r="L341" i="6"/>
  <c r="L761" i="6"/>
  <c r="L1020" i="6"/>
  <c r="L405" i="6"/>
  <c r="L260" i="6"/>
  <c r="L49" i="6"/>
  <c r="Z49" i="6" s="1"/>
  <c r="L977" i="6"/>
  <c r="L443" i="6"/>
  <c r="L112" i="6"/>
  <c r="Z112" i="6" s="1"/>
  <c r="L345" i="6"/>
  <c r="L69" i="6"/>
  <c r="P69" i="6" s="1"/>
  <c r="W69" i="6" s="1"/>
  <c r="X69" i="6" s="1"/>
  <c r="L993" i="6"/>
  <c r="L459" i="6"/>
  <c r="Z459" i="6" s="1"/>
  <c r="L168" i="6"/>
  <c r="P168" i="6" s="1"/>
  <c r="W168" i="6" s="1"/>
  <c r="X168" i="6" s="1"/>
  <c r="L241" i="6"/>
  <c r="L585" i="6"/>
  <c r="L12" i="6"/>
  <c r="P12" i="6" s="1"/>
  <c r="L66" i="6"/>
  <c r="Z66" i="6" s="1"/>
  <c r="L857" i="6"/>
  <c r="L266" i="6"/>
  <c r="L1098" i="6"/>
  <c r="L1019" i="6"/>
  <c r="L918" i="6"/>
  <c r="L1055" i="6"/>
  <c r="L354" i="6"/>
  <c r="L131" i="6"/>
  <c r="L1029" i="6"/>
  <c r="L1062" i="6"/>
  <c r="L232" i="6"/>
  <c r="L466" i="6"/>
  <c r="L267" i="6"/>
  <c r="L166" i="6"/>
  <c r="L23" i="6"/>
  <c r="L496" i="6"/>
  <c r="L586" i="6"/>
  <c r="L403" i="6"/>
  <c r="L302" i="6"/>
  <c r="L215" i="6"/>
  <c r="L808" i="6"/>
  <c r="L76" i="6"/>
  <c r="L1025" i="6"/>
  <c r="L490" i="6"/>
  <c r="L323" i="6"/>
  <c r="L222" i="6"/>
  <c r="L87" i="6"/>
  <c r="L616" i="6"/>
  <c r="L608" i="6"/>
  <c r="L96" i="6"/>
  <c r="L984" i="6"/>
  <c r="L472" i="6"/>
  <c r="L1095" i="6"/>
  <c r="L583" i="6"/>
  <c r="L71" i="6"/>
  <c r="L912" i="6"/>
  <c r="L400" i="6"/>
  <c r="L1023" i="6"/>
  <c r="L511" i="6"/>
  <c r="L62" i="6"/>
  <c r="L718" i="6"/>
  <c r="L206" i="6"/>
  <c r="L819" i="6"/>
  <c r="L307" i="6"/>
  <c r="L898" i="6"/>
  <c r="L1096" i="6"/>
  <c r="L584" i="6"/>
  <c r="L72" i="6"/>
  <c r="L695" i="6"/>
  <c r="L183" i="6"/>
  <c r="L902" i="6"/>
  <c r="L390" i="6"/>
  <c r="L221" i="6"/>
  <c r="L921" i="6"/>
  <c r="L346" i="6"/>
  <c r="L123" i="6"/>
  <c r="L1013" i="6"/>
  <c r="L1054" i="6"/>
  <c r="L176" i="6"/>
  <c r="L458" i="6"/>
  <c r="L259" i="6"/>
  <c r="L158" i="6"/>
  <c r="L15" i="6"/>
  <c r="L488" i="6"/>
  <c r="L554" i="6"/>
  <c r="L395" i="6"/>
  <c r="L294" i="6"/>
  <c r="L207" i="6"/>
  <c r="L752" i="6"/>
  <c r="L674" i="6"/>
  <c r="L531" i="6"/>
  <c r="L430" i="6"/>
  <c r="L399" i="6"/>
  <c r="L1064" i="6"/>
  <c r="L245" i="6"/>
  <c r="L1089" i="6"/>
  <c r="L602" i="6"/>
  <c r="L451" i="6"/>
  <c r="L350" i="6"/>
  <c r="L271" i="6"/>
  <c r="L1056" i="6"/>
  <c r="L544" i="6"/>
  <c r="L32" i="6"/>
  <c r="L920" i="6"/>
  <c r="L408" i="6"/>
  <c r="L1031" i="6"/>
  <c r="L436" i="6"/>
  <c r="L985" i="6"/>
  <c r="L426" i="6"/>
  <c r="L251" i="6"/>
  <c r="L150" i="6"/>
  <c r="L1085" i="6"/>
  <c r="L432" i="6"/>
  <c r="L546" i="6"/>
  <c r="L387" i="6"/>
  <c r="L286" i="6"/>
  <c r="L159" i="6"/>
  <c r="L744" i="6"/>
  <c r="L666" i="6"/>
  <c r="L523" i="6"/>
  <c r="L422" i="6"/>
  <c r="L351" i="6"/>
  <c r="L1008" i="6"/>
  <c r="L140" i="6"/>
  <c r="L1049" i="6"/>
  <c r="L538" i="6"/>
  <c r="L379" i="6"/>
  <c r="L278" i="6"/>
  <c r="L151" i="6"/>
  <c r="L688" i="6"/>
  <c r="L658" i="6"/>
  <c r="L515" i="6"/>
  <c r="L414" i="6"/>
  <c r="L343" i="6"/>
  <c r="L1000" i="6"/>
  <c r="L778" i="6"/>
  <c r="L651" i="6"/>
  <c r="L550" i="6"/>
  <c r="L535" i="6"/>
  <c r="L162" i="6"/>
  <c r="L874" i="6"/>
  <c r="L787" i="6"/>
  <c r="L686" i="6"/>
  <c r="L727" i="6"/>
  <c r="L816" i="6"/>
  <c r="L588" i="6"/>
  <c r="L114" i="6"/>
  <c r="L802" i="6"/>
  <c r="L707" i="6"/>
  <c r="L606" i="6"/>
  <c r="L599" i="6"/>
  <c r="L928" i="6"/>
  <c r="L416" i="6"/>
  <c r="L1039" i="6"/>
  <c r="L792" i="6"/>
  <c r="L280" i="6"/>
  <c r="L903" i="6"/>
  <c r="L391" i="6"/>
  <c r="L1110" i="6"/>
  <c r="L720" i="6"/>
  <c r="L208" i="6"/>
  <c r="L831" i="6"/>
  <c r="L319" i="6"/>
  <c r="L1038" i="6"/>
  <c r="L526" i="6"/>
  <c r="L997" i="6"/>
  <c r="L627" i="6"/>
  <c r="L115" i="6"/>
  <c r="L706" i="6"/>
  <c r="L904" i="6"/>
  <c r="L392" i="6"/>
  <c r="L1015" i="6"/>
  <c r="L503" i="6"/>
  <c r="L38" i="6"/>
  <c r="L710" i="6"/>
  <c r="L198" i="6"/>
  <c r="L811" i="6"/>
  <c r="L299" i="6"/>
  <c r="L890" i="6"/>
  <c r="L378" i="6"/>
  <c r="L704" i="6"/>
  <c r="L192" i="6"/>
  <c r="L815" i="6"/>
  <c r="L303" i="6"/>
  <c r="L1022" i="6"/>
  <c r="L510" i="6"/>
  <c r="L965" i="6"/>
  <c r="L611" i="6"/>
  <c r="L99" i="6"/>
  <c r="L690" i="6"/>
  <c r="L1016" i="6"/>
  <c r="L504" i="6"/>
  <c r="L30" i="6"/>
  <c r="L615" i="6"/>
  <c r="L103" i="6"/>
  <c r="L822" i="6"/>
  <c r="L310" i="6"/>
  <c r="L923" i="6"/>
  <c r="L411" i="6"/>
  <c r="L1002" i="6"/>
  <c r="L309" i="6"/>
  <c r="L10" i="6"/>
  <c r="Z10" i="6" s="1"/>
  <c r="L650" i="6"/>
  <c r="L507" i="6"/>
  <c r="L406" i="6"/>
  <c r="L335" i="6"/>
  <c r="L944" i="6"/>
  <c r="L746" i="6"/>
  <c r="L643" i="6"/>
  <c r="L542" i="6"/>
  <c r="L527" i="6"/>
  <c r="L154" i="6"/>
  <c r="L866" i="6"/>
  <c r="L779" i="6"/>
  <c r="L678" i="6"/>
  <c r="L719" i="6"/>
  <c r="L226" i="6"/>
  <c r="L994" i="6"/>
  <c r="L915" i="6"/>
  <c r="L814" i="6"/>
  <c r="L919" i="6"/>
  <c r="L1072" i="6"/>
  <c r="L757" i="6"/>
  <c r="L178" i="6"/>
  <c r="L914" i="6"/>
  <c r="L835" i="6"/>
  <c r="L734" i="6"/>
  <c r="L783" i="6"/>
  <c r="L864" i="6"/>
  <c r="L352" i="6"/>
  <c r="L975" i="6"/>
  <c r="L728" i="6"/>
  <c r="L216" i="6"/>
  <c r="L839" i="6"/>
  <c r="L327" i="6"/>
  <c r="L1046" i="6"/>
  <c r="L656" i="6"/>
  <c r="L144" i="6"/>
  <c r="L767" i="6"/>
  <c r="L255" i="6"/>
  <c r="L974" i="6"/>
  <c r="L462" i="6"/>
  <c r="L1075" i="6"/>
  <c r="L563" i="6"/>
  <c r="L51" i="6"/>
  <c r="L642" i="6"/>
  <c r="L840" i="6"/>
  <c r="L328" i="6"/>
  <c r="L951" i="6"/>
  <c r="L439" i="6"/>
  <c r="L1037" i="6"/>
  <c r="L646" i="6"/>
  <c r="L134" i="6"/>
  <c r="L481" i="6"/>
  <c r="L74" i="6"/>
  <c r="L738" i="6"/>
  <c r="L635" i="6"/>
  <c r="L534" i="6"/>
  <c r="L479" i="6"/>
  <c r="L146" i="6"/>
  <c r="L858" i="6"/>
  <c r="L771" i="6"/>
  <c r="L670" i="6"/>
  <c r="L671" i="6"/>
  <c r="L218" i="6"/>
  <c r="L986" i="6"/>
  <c r="L907" i="6"/>
  <c r="L806" i="6"/>
  <c r="L863" i="6"/>
  <c r="L290" i="6"/>
  <c r="L19" i="6"/>
  <c r="L1043" i="6"/>
  <c r="L942" i="6"/>
  <c r="L40" i="6"/>
  <c r="L133" i="6"/>
  <c r="L988" i="6"/>
  <c r="L242" i="6"/>
  <c r="L1042" i="6"/>
  <c r="L963" i="6"/>
  <c r="L862" i="6"/>
  <c r="L983" i="6"/>
  <c r="L800" i="6"/>
  <c r="L288" i="6"/>
  <c r="L911" i="6"/>
  <c r="L664" i="6"/>
  <c r="L152" i="6"/>
  <c r="L652" i="6"/>
  <c r="L138" i="6"/>
  <c r="L850" i="6"/>
  <c r="L763" i="6"/>
  <c r="L662" i="6"/>
  <c r="L663" i="6"/>
  <c r="L210" i="6"/>
  <c r="L978" i="6"/>
  <c r="L899" i="6"/>
  <c r="L798" i="6"/>
  <c r="L855" i="6"/>
  <c r="L282" i="6"/>
  <c r="L11" i="6"/>
  <c r="L1035" i="6"/>
  <c r="L934" i="6"/>
  <c r="L821" i="6"/>
  <c r="L202" i="6"/>
  <c r="L970" i="6"/>
  <c r="L891" i="6"/>
  <c r="L790" i="6"/>
  <c r="L847" i="6"/>
  <c r="L274" i="6"/>
  <c r="L1106" i="6"/>
  <c r="L1027" i="6"/>
  <c r="L926" i="6"/>
  <c r="L1111" i="6"/>
  <c r="L362" i="6"/>
  <c r="L139" i="6"/>
  <c r="L1053" i="6"/>
  <c r="L1070" i="6"/>
  <c r="L240" i="6"/>
  <c r="L474" i="6"/>
  <c r="L275" i="6"/>
  <c r="L174" i="6"/>
  <c r="L31" i="6"/>
  <c r="L552" i="6"/>
  <c r="L349" i="6"/>
  <c r="L961" i="6"/>
  <c r="L402" i="6"/>
  <c r="L195" i="6"/>
  <c r="L94" i="6"/>
  <c r="L989" i="6"/>
  <c r="L360" i="6"/>
  <c r="L672" i="6"/>
  <c r="L160" i="6"/>
  <c r="L1048" i="6"/>
  <c r="L536" i="6"/>
  <c r="L24" i="6"/>
  <c r="L647" i="6"/>
  <c r="L135" i="6"/>
  <c r="L976" i="6"/>
  <c r="L464" i="6"/>
  <c r="L1087" i="6"/>
  <c r="L575" i="6"/>
  <c r="L63" i="6"/>
  <c r="L782" i="6"/>
  <c r="L270" i="6"/>
  <c r="L883" i="6"/>
  <c r="L371" i="6"/>
  <c r="L962" i="6"/>
  <c r="L450" i="6"/>
  <c r="L648" i="6"/>
  <c r="L136" i="6"/>
  <c r="L759" i="6"/>
  <c r="L247" i="6"/>
  <c r="L966" i="6"/>
  <c r="L454" i="6"/>
  <c r="L1067" i="6"/>
  <c r="L555" i="6"/>
  <c r="L43" i="6"/>
  <c r="L634" i="6"/>
  <c r="L960" i="6"/>
  <c r="L448" i="6"/>
  <c r="L1071" i="6"/>
  <c r="L559" i="6"/>
  <c r="L47" i="6"/>
  <c r="L766" i="6"/>
  <c r="L254" i="6"/>
  <c r="L867" i="6"/>
  <c r="L355" i="6"/>
  <c r="L946" i="6"/>
  <c r="L434" i="6"/>
  <c r="L760" i="6"/>
  <c r="L248" i="6"/>
  <c r="L871" i="6"/>
  <c r="L359" i="6"/>
  <c r="L1078" i="6"/>
  <c r="L566" i="6"/>
  <c r="L14" i="6"/>
  <c r="L667" i="6"/>
  <c r="L155" i="6"/>
  <c r="L543" i="6"/>
  <c r="L714" i="6"/>
  <c r="L992" i="6"/>
  <c r="L344" i="6"/>
  <c r="L199" i="6"/>
  <c r="L528" i="6"/>
  <c r="L639" i="6"/>
  <c r="L846" i="6"/>
  <c r="L947" i="6"/>
  <c r="L1026" i="6"/>
  <c r="L712" i="6"/>
  <c r="L823" i="6"/>
  <c r="L1030" i="6"/>
  <c r="L981" i="6"/>
  <c r="L427" i="6"/>
  <c r="L826" i="6"/>
  <c r="L1024" i="6"/>
  <c r="L320" i="6"/>
  <c r="L751" i="6"/>
  <c r="L111" i="6"/>
  <c r="L638" i="6"/>
  <c r="L1059" i="6"/>
  <c r="L419" i="6"/>
  <c r="L818" i="6"/>
  <c r="L952" i="6"/>
  <c r="L312" i="6"/>
  <c r="L743" i="6"/>
  <c r="L39" i="6"/>
  <c r="L630" i="6"/>
  <c r="L1051" i="6"/>
  <c r="L347" i="6"/>
  <c r="L386" i="6"/>
  <c r="L296" i="6"/>
  <c r="L67" i="6"/>
  <c r="L736" i="6"/>
  <c r="L88" i="6"/>
  <c r="L7" i="6"/>
  <c r="L336" i="6"/>
  <c r="L447" i="6"/>
  <c r="L654" i="6"/>
  <c r="L755" i="6"/>
  <c r="L834" i="6"/>
  <c r="L520" i="6"/>
  <c r="L631" i="6"/>
  <c r="L838" i="6"/>
  <c r="L1003" i="6"/>
  <c r="L363" i="6"/>
  <c r="L762" i="6"/>
  <c r="L896" i="6"/>
  <c r="L256" i="6"/>
  <c r="L687" i="6"/>
  <c r="L22" i="6"/>
  <c r="L574" i="6"/>
  <c r="L995" i="6"/>
  <c r="L291" i="6"/>
  <c r="L754" i="6"/>
  <c r="L888" i="6"/>
  <c r="L184" i="6"/>
  <c r="L679" i="6"/>
  <c r="L1109" i="6"/>
  <c r="L502" i="6"/>
  <c r="L786" i="6"/>
  <c r="L560" i="6"/>
  <c r="L579" i="6"/>
  <c r="L480" i="6"/>
  <c r="L967" i="6"/>
  <c r="L1061" i="6"/>
  <c r="L272" i="6"/>
  <c r="L383" i="6"/>
  <c r="L590" i="6"/>
  <c r="L691" i="6"/>
  <c r="L770" i="6"/>
  <c r="L456" i="6"/>
  <c r="L567" i="6"/>
  <c r="L774" i="6"/>
  <c r="L939" i="6"/>
  <c r="L235" i="6"/>
  <c r="L698" i="6"/>
  <c r="L832" i="6"/>
  <c r="L128" i="6"/>
  <c r="L623" i="6"/>
  <c r="L1021" i="6"/>
  <c r="L446" i="6"/>
  <c r="L931" i="6"/>
  <c r="L227" i="6"/>
  <c r="L626" i="6"/>
  <c r="L824" i="6"/>
  <c r="L120" i="6"/>
  <c r="L551" i="6"/>
  <c r="L1005" i="6"/>
  <c r="L438" i="6"/>
  <c r="L859" i="6"/>
  <c r="L147" i="6"/>
  <c r="L137" i="6"/>
  <c r="L1091" i="6"/>
  <c r="L224" i="6"/>
  <c r="L775" i="6"/>
  <c r="L1104" i="6"/>
  <c r="L80" i="6"/>
  <c r="L191" i="6"/>
  <c r="L398" i="6"/>
  <c r="L499" i="6"/>
  <c r="L578" i="6"/>
  <c r="L264" i="6"/>
  <c r="L375" i="6"/>
  <c r="L582" i="6"/>
  <c r="L875" i="6"/>
  <c r="L171" i="6"/>
  <c r="L570" i="6"/>
  <c r="L768" i="6"/>
  <c r="L64" i="6"/>
  <c r="L495" i="6"/>
  <c r="L1086" i="6"/>
  <c r="L382" i="6"/>
  <c r="L803" i="6"/>
  <c r="L163" i="6"/>
  <c r="L562" i="6"/>
  <c r="L696" i="6"/>
  <c r="L56" i="6"/>
  <c r="L487" i="6"/>
  <c r="L1014" i="6"/>
  <c r="L374" i="6"/>
  <c r="L795" i="6"/>
  <c r="L91" i="6"/>
  <c r="L659" i="6"/>
  <c r="L417" i="6"/>
  <c r="L478" i="6"/>
  <c r="L1103" i="6"/>
  <c r="L711" i="6"/>
  <c r="L1040" i="6"/>
  <c r="L16" i="6"/>
  <c r="L127" i="6"/>
  <c r="L334" i="6"/>
  <c r="L435" i="6"/>
  <c r="L514" i="6"/>
  <c r="L200" i="6"/>
  <c r="L311" i="6"/>
  <c r="L518" i="6"/>
  <c r="L747" i="6"/>
  <c r="L107" i="6"/>
  <c r="L506" i="6"/>
  <c r="L640" i="6"/>
  <c r="L54" i="6"/>
  <c r="L431" i="6"/>
  <c r="L958" i="6"/>
  <c r="L318" i="6"/>
  <c r="L739" i="6"/>
  <c r="L35" i="6"/>
  <c r="L498" i="6"/>
  <c r="L632" i="6"/>
  <c r="L1063" i="6"/>
  <c r="L423" i="6"/>
  <c r="L950" i="6"/>
  <c r="L246" i="6"/>
  <c r="L731" i="6"/>
  <c r="L27" i="6"/>
  <c r="L1093" i="6"/>
  <c r="L897" i="6"/>
  <c r="L990" i="6"/>
  <c r="L1112" i="6"/>
  <c r="L519" i="6"/>
  <c r="L848" i="6"/>
  <c r="L959" i="6"/>
  <c r="L1045" i="6"/>
  <c r="L142" i="6"/>
  <c r="L243" i="6"/>
  <c r="L1032" i="6"/>
  <c r="L8" i="6"/>
  <c r="L119" i="6"/>
  <c r="L326" i="6"/>
  <c r="L683" i="6"/>
  <c r="L1082" i="6"/>
  <c r="L442" i="6"/>
  <c r="L576" i="6"/>
  <c r="L1007" i="6"/>
  <c r="L367" i="6"/>
  <c r="L894" i="6"/>
  <c r="L190" i="6"/>
  <c r="L675" i="6"/>
  <c r="L1074" i="6"/>
  <c r="L370" i="6"/>
  <c r="L568" i="6"/>
  <c r="L999" i="6"/>
  <c r="L295" i="6"/>
  <c r="L886" i="6"/>
  <c r="L182" i="6"/>
  <c r="L558" i="6"/>
  <c r="L50" i="6"/>
  <c r="L415" i="6"/>
  <c r="L856" i="6"/>
  <c r="L455" i="6"/>
  <c r="L784" i="6"/>
  <c r="L895" i="6"/>
  <c r="L1102" i="6"/>
  <c r="L78" i="6"/>
  <c r="L179" i="6"/>
  <c r="L968" i="6"/>
  <c r="L1079" i="6"/>
  <c r="L55" i="6"/>
  <c r="L262" i="6"/>
  <c r="L619" i="6"/>
  <c r="L1018" i="6"/>
  <c r="L314" i="6"/>
  <c r="L512" i="6"/>
  <c r="L943" i="6"/>
  <c r="L239" i="6"/>
  <c r="L830" i="6"/>
  <c r="L126" i="6"/>
  <c r="L547" i="6"/>
  <c r="L1010" i="6"/>
  <c r="L306" i="6"/>
  <c r="L440" i="6"/>
  <c r="L935" i="6"/>
  <c r="L231" i="6"/>
  <c r="L758" i="6"/>
  <c r="L118" i="6"/>
  <c r="L957" i="6"/>
  <c r="L322" i="6"/>
  <c r="L104" i="6"/>
  <c r="L600" i="6"/>
  <c r="L263" i="6"/>
  <c r="L592" i="6"/>
  <c r="L703" i="6"/>
  <c r="L910" i="6"/>
  <c r="L1011" i="6"/>
  <c r="L1090" i="6"/>
  <c r="L776" i="6"/>
  <c r="L887" i="6"/>
  <c r="L1094" i="6"/>
  <c r="L70" i="6"/>
  <c r="L491" i="6"/>
  <c r="L954" i="6"/>
  <c r="L1088" i="6"/>
  <c r="L384" i="6"/>
  <c r="L879" i="6"/>
  <c r="L175" i="6"/>
  <c r="L702" i="6"/>
  <c r="L46" i="6"/>
  <c r="L483" i="6"/>
  <c r="L882" i="6"/>
  <c r="L1080" i="6"/>
  <c r="L376" i="6"/>
  <c r="L807" i="6"/>
  <c r="L167" i="6"/>
  <c r="L694" i="6"/>
  <c r="L949" i="6"/>
  <c r="L475" i="6"/>
  <c r="L987" i="6"/>
  <c r="L603" i="6"/>
  <c r="L539" i="6"/>
  <c r="L283" i="6"/>
  <c r="L219" i="6"/>
  <c r="L1066" i="6"/>
  <c r="L938" i="6"/>
  <c r="L145" i="6"/>
  <c r="L612" i="6"/>
  <c r="Z612" i="6" s="1"/>
  <c r="L197" i="6"/>
  <c r="L541" i="6"/>
  <c r="L393" i="6"/>
  <c r="Z393" i="6" s="1"/>
  <c r="L42" i="6"/>
  <c r="Z42" i="6" s="1"/>
  <c r="L1099" i="6"/>
  <c r="P1099" i="6" s="1"/>
  <c r="W1099" i="6" s="1"/>
  <c r="X1099" i="6" s="1"/>
  <c r="L220" i="6"/>
  <c r="P220" i="6" s="1"/>
  <c r="W220" i="6" s="1"/>
  <c r="X220" i="6" s="1"/>
  <c r="L564" i="6"/>
  <c r="L477" i="6"/>
  <c r="Z477" i="6" s="1"/>
  <c r="L58" i="6"/>
  <c r="P58" i="6" s="1"/>
  <c r="W58" i="6" s="1"/>
  <c r="X58" i="6" s="1"/>
  <c r="L1107" i="6"/>
  <c r="Z1107" i="6" s="1"/>
  <c r="L153" i="6"/>
  <c r="Z153" i="6" s="1"/>
  <c r="L581" i="6"/>
  <c r="L980" i="6"/>
  <c r="L460" i="6"/>
  <c r="P460" i="6" s="1"/>
  <c r="W460" i="6" s="1"/>
  <c r="X460" i="6" s="1"/>
  <c r="L394" i="6"/>
  <c r="L742" i="6"/>
  <c r="L29" i="6"/>
  <c r="Z833" i="6"/>
  <c r="P750" i="6"/>
  <c r="W750" i="6" s="1"/>
  <c r="X750" i="6" s="1"/>
  <c r="P557" i="6"/>
  <c r="W557" i="6" s="1"/>
  <c r="X557" i="6" s="1"/>
  <c r="Z424" i="6"/>
  <c r="P577" i="6"/>
  <c r="W577" i="6" s="1"/>
  <c r="X577" i="6" s="1"/>
  <c r="Z313" i="6"/>
  <c r="P365" i="6"/>
  <c r="W365" i="6" s="1"/>
  <c r="X365" i="6" s="1"/>
  <c r="Z1060" i="6"/>
  <c r="P125" i="6"/>
  <c r="W125" i="6" s="1"/>
  <c r="X125" i="6" s="1"/>
  <c r="P661" i="6"/>
  <c r="W661" i="6" s="1"/>
  <c r="X661" i="6" s="1"/>
  <c r="Z213" i="6"/>
  <c r="Z494" i="6"/>
  <c r="Z505" i="6"/>
  <c r="P348" i="6"/>
  <c r="W348" i="6" s="1"/>
  <c r="X348" i="6" s="1"/>
  <c r="Z41" i="6"/>
  <c r="Z657" i="6"/>
  <c r="Z228" i="6"/>
  <c r="Z837" i="6"/>
  <c r="Z996" i="6"/>
  <c r="P238" i="6" l="1"/>
  <c r="W238" i="6" s="1"/>
  <c r="X238" i="6" s="1"/>
  <c r="Z97" i="6"/>
  <c r="Z149" i="6"/>
  <c r="P59" i="6"/>
  <c r="W59" i="6" s="1"/>
  <c r="X59" i="6" s="1"/>
  <c r="P109" i="6"/>
  <c r="W109" i="6" s="1"/>
  <c r="X109" i="6" s="1"/>
  <c r="P81" i="6"/>
  <c r="W81" i="6" s="1"/>
  <c r="X81" i="6" s="1"/>
  <c r="Z122" i="6"/>
  <c r="P121" i="6"/>
  <c r="W121" i="6" s="1"/>
  <c r="X121" i="6" s="1"/>
  <c r="P44" i="6"/>
  <c r="W44" i="6" s="1"/>
  <c r="X44" i="6" s="1"/>
  <c r="P185" i="6"/>
  <c r="W185" i="6" s="1"/>
  <c r="X185" i="6" s="1"/>
  <c r="Z101" i="6"/>
  <c r="P53" i="6"/>
  <c r="W53" i="6" s="1"/>
  <c r="X53" i="6" s="1"/>
  <c r="P84" i="6"/>
  <c r="W84" i="6" s="1"/>
  <c r="X84" i="6" s="1"/>
  <c r="Z194" i="6"/>
  <c r="Z156" i="6"/>
  <c r="P172" i="6"/>
  <c r="W172" i="6" s="1"/>
  <c r="X172" i="6" s="1"/>
  <c r="W9" i="6"/>
  <c r="X9" i="6" s="1"/>
  <c r="W12" i="6"/>
  <c r="X12" i="6" s="1"/>
  <c r="W17" i="6"/>
  <c r="X17" i="6" s="1"/>
  <c r="P186" i="6"/>
  <c r="W186" i="6" s="1"/>
  <c r="X186" i="6" s="1"/>
  <c r="Z801" i="6"/>
  <c r="Z493" i="6"/>
  <c r="P364" i="6"/>
  <c r="W364" i="6" s="1"/>
  <c r="X364" i="6" s="1"/>
  <c r="Z473" i="6"/>
  <c r="Z249" i="6"/>
  <c r="P66" i="6"/>
  <c r="W66" i="6" s="1"/>
  <c r="X66" i="6" s="1"/>
  <c r="P49" i="6"/>
  <c r="W49" i="6" s="1"/>
  <c r="X49" i="6" s="1"/>
  <c r="P193" i="6"/>
  <c r="W193" i="6" s="1"/>
  <c r="X193" i="6" s="1"/>
  <c r="Z971" i="6"/>
  <c r="P796" i="6"/>
  <c r="W796" i="6" s="1"/>
  <c r="X796" i="6" s="1"/>
  <c r="P129" i="6"/>
  <c r="W129" i="6" s="1"/>
  <c r="X129" i="6" s="1"/>
  <c r="Z444" i="6"/>
  <c r="Z625" i="6"/>
  <c r="Z467" i="6"/>
  <c r="P769" i="6"/>
  <c r="W769" i="6" s="1"/>
  <c r="X769" i="6" s="1"/>
  <c r="Z106" i="6"/>
  <c r="P791" i="6"/>
  <c r="W791" i="6" s="1"/>
  <c r="X791" i="6" s="1"/>
  <c r="Z969" i="6"/>
  <c r="Z799" i="6"/>
  <c r="P337" i="6"/>
  <c r="W337" i="6" s="1"/>
  <c r="X337" i="6" s="1"/>
  <c r="P508" i="6"/>
  <c r="W508" i="6" s="1"/>
  <c r="X508" i="6" s="1"/>
  <c r="P843" i="6"/>
  <c r="P772" i="6"/>
  <c r="Z889" i="6"/>
  <c r="P212" i="6"/>
  <c r="W212" i="6" s="1"/>
  <c r="X212" i="6" s="1"/>
  <c r="Z212" i="6"/>
  <c r="P353" i="6"/>
  <c r="Q353" i="6" s="1"/>
  <c r="Z624" i="6"/>
  <c r="P684" i="6"/>
  <c r="Q684" i="6" s="1"/>
  <c r="Z869" i="6"/>
  <c r="P828" i="6"/>
  <c r="P388" i="6"/>
  <c r="Z622" i="6"/>
  <c r="Z470" i="6"/>
  <c r="P881" i="6"/>
  <c r="P699" i="6"/>
  <c r="Z682" i="6"/>
  <c r="P618" i="6"/>
  <c r="Q618" i="6" s="1"/>
  <c r="P170" i="6"/>
  <c r="W170" i="6" s="1"/>
  <c r="X170" i="6" s="1"/>
  <c r="Z170" i="6"/>
  <c r="Z369" i="6"/>
  <c r="Z851" i="6"/>
  <c r="Z805" i="6"/>
  <c r="Z85" i="6"/>
  <c r="P85" i="6"/>
  <c r="Q85" i="6" s="1"/>
  <c r="P545" i="6"/>
  <c r="Z979" i="6"/>
  <c r="Z203" i="6"/>
  <c r="P203" i="6"/>
  <c r="Q203" i="6" s="1"/>
  <c r="Z476" i="6"/>
  <c r="Z65" i="6"/>
  <c r="P65" i="6"/>
  <c r="P709" i="6"/>
  <c r="P930" i="6"/>
  <c r="Z880" i="6"/>
  <c r="Z429" i="6"/>
  <c r="P636" i="6"/>
  <c r="Q636" i="6" s="1"/>
  <c r="Z860" i="6"/>
  <c r="Z873" i="6"/>
  <c r="P669" i="6"/>
  <c r="Q669" i="6" s="1"/>
  <c r="P809" i="6"/>
  <c r="P549" i="6"/>
  <c r="Z315" i="6"/>
  <c r="Z1084" i="6"/>
  <c r="P621" i="6"/>
  <c r="P501" i="6"/>
  <c r="Q501" i="6" s="1"/>
  <c r="P955" i="6"/>
  <c r="Q955" i="6" s="1"/>
  <c r="P418" i="6"/>
  <c r="P265" i="6"/>
  <c r="Q265" i="6" s="1"/>
  <c r="P1101" i="6"/>
  <c r="P833" i="6"/>
  <c r="Q833" i="6" s="1"/>
  <c r="Z1012" i="6"/>
  <c r="Z253" i="6"/>
  <c r="Z513" i="6"/>
  <c r="P748" i="6"/>
  <c r="Q748" i="6" s="1"/>
  <c r="Z721" i="6"/>
  <c r="P804" i="6"/>
  <c r="P1060" i="6"/>
  <c r="P701" i="6"/>
  <c r="P548" i="6"/>
  <c r="P982" i="6"/>
  <c r="Q982" i="6" s="1"/>
  <c r="Z940" i="6"/>
  <c r="P587" i="6"/>
  <c r="Q587" i="6" s="1"/>
  <c r="Z628" i="6"/>
  <c r="P284" i="6"/>
  <c r="Q284" i="6" s="1"/>
  <c r="Z261" i="6"/>
  <c r="Z620" i="6"/>
  <c r="P998" i="6"/>
  <c r="P601" i="6"/>
  <c r="Z1036" i="6"/>
  <c r="P789" i="6"/>
  <c r="Q789" i="6" s="1"/>
  <c r="Z425" i="6"/>
  <c r="Z722" i="6"/>
  <c r="Z645" i="6"/>
  <c r="P530" i="6"/>
  <c r="Z533" i="6"/>
  <c r="P689" i="6"/>
  <c r="Q689" i="6" s="1"/>
  <c r="P827" i="6"/>
  <c r="W827" i="6" s="1"/>
  <c r="X827" i="6" s="1"/>
  <c r="Z1073" i="6"/>
  <c r="Z723" i="6"/>
  <c r="P380" i="6"/>
  <c r="Q380" i="6" s="1"/>
  <c r="P298" i="6"/>
  <c r="W298" i="6" s="1"/>
  <c r="X298" i="6" s="1"/>
  <c r="Z517" i="6"/>
  <c r="Z45" i="6"/>
  <c r="Z676" i="6"/>
  <c r="P653" i="6"/>
  <c r="W653" i="6" s="1"/>
  <c r="X653" i="6" s="1"/>
  <c r="Z214" i="6"/>
  <c r="Z305" i="6"/>
  <c r="Z463" i="6"/>
  <c r="Z673" i="6"/>
  <c r="Z594" i="6"/>
  <c r="Z357" i="6"/>
  <c r="Z281" i="6"/>
  <c r="P377" i="6"/>
  <c r="W377" i="6" s="1"/>
  <c r="X377" i="6" s="1"/>
  <c r="Z168" i="6"/>
  <c r="P345" i="6"/>
  <c r="W345" i="6" s="1"/>
  <c r="X345" i="6" s="1"/>
  <c r="Z761" i="6"/>
  <c r="Z209" i="6"/>
  <c r="P885" i="6"/>
  <c r="Q885" i="6" s="1"/>
  <c r="Z452" i="6"/>
  <c r="P457" i="6"/>
  <c r="P505" i="6"/>
  <c r="W505" i="6" s="1"/>
  <c r="X505" i="6" s="1"/>
  <c r="P722" i="6"/>
  <c r="Q722" i="6" s="1"/>
  <c r="P110" i="6"/>
  <c r="W110" i="6" s="1"/>
  <c r="X110" i="6" s="1"/>
  <c r="Z701" i="6"/>
  <c r="P655" i="6"/>
  <c r="W655" i="6" s="1"/>
  <c r="X655" i="6" s="1"/>
  <c r="Z521" i="6"/>
  <c r="Z268" i="6"/>
  <c r="Z57" i="6"/>
  <c r="Z1101" i="6"/>
  <c r="P425" i="6"/>
  <c r="Z25" i="6"/>
  <c r="P628" i="6"/>
  <c r="Q628" i="6" s="1"/>
  <c r="P721" i="6"/>
  <c r="W721" i="6" s="1"/>
  <c r="X721" i="6" s="1"/>
  <c r="Z301" i="6"/>
  <c r="P880" i="6"/>
  <c r="W880" i="6" s="1"/>
  <c r="X880" i="6" s="1"/>
  <c r="P940" i="6"/>
  <c r="Z230" i="6"/>
  <c r="Z669" i="6"/>
  <c r="P1036" i="6"/>
  <c r="W1036" i="6" s="1"/>
  <c r="X1036" i="6" s="1"/>
  <c r="Z924" i="6"/>
  <c r="P253" i="6"/>
  <c r="W253" i="6" s="1"/>
  <c r="X253" i="6" s="1"/>
  <c r="P36" i="6"/>
  <c r="Z709" i="6"/>
  <c r="Z441" i="6"/>
  <c r="P261" i="6"/>
  <c r="W261" i="6" s="1"/>
  <c r="X261" i="6" s="1"/>
  <c r="P513" i="6"/>
  <c r="P540" i="6"/>
  <c r="W540" i="6" s="1"/>
  <c r="X540" i="6" s="1"/>
  <c r="P21" i="6"/>
  <c r="Q21" i="6" s="1"/>
  <c r="P780" i="6"/>
  <c r="W780" i="6" s="1"/>
  <c r="X780" i="6" s="1"/>
  <c r="Z501" i="6"/>
  <c r="Z265" i="6"/>
  <c r="P873" i="6"/>
  <c r="Q873" i="6" s="1"/>
  <c r="P927" i="6"/>
  <c r="W927" i="6" s="1"/>
  <c r="X927" i="6" s="1"/>
  <c r="Z804" i="6"/>
  <c r="Z342" i="6"/>
  <c r="Z844" i="6"/>
  <c r="P82" i="6"/>
  <c r="W82" i="6" s="1"/>
  <c r="X82" i="6" s="1"/>
  <c r="P13" i="6"/>
  <c r="W13" i="6" s="1"/>
  <c r="Z982" i="6"/>
  <c r="Z636" i="6"/>
  <c r="Z809" i="6"/>
  <c r="P165" i="6"/>
  <c r="Q165" i="6" s="1"/>
  <c r="P756" i="6"/>
  <c r="Z465" i="6"/>
  <c r="P785" i="6"/>
  <c r="Z649" i="6"/>
  <c r="Z765" i="6"/>
  <c r="Z732" i="6"/>
  <c r="Z364" i="6"/>
  <c r="Z788" i="6"/>
  <c r="P260" i="6"/>
  <c r="Q260" i="6" s="1"/>
  <c r="P878" i="6"/>
  <c r="Q878" i="6" s="1"/>
  <c r="Z964" i="6"/>
  <c r="Z884" i="6"/>
  <c r="P494" i="6"/>
  <c r="Q494" i="6" s="1"/>
  <c r="P569" i="6"/>
  <c r="Q569" i="6" s="1"/>
  <c r="P841" i="6"/>
  <c r="P854" i="6"/>
  <c r="Q854" i="6" s="1"/>
  <c r="Z572" i="6"/>
  <c r="Z769" i="6"/>
  <c r="P945" i="6"/>
  <c r="Z791" i="6"/>
  <c r="P799" i="6"/>
  <c r="Q799" i="6" s="1"/>
  <c r="P90" i="6"/>
  <c r="Q90" i="6" s="1"/>
  <c r="Z89" i="6"/>
  <c r="P424" i="6"/>
  <c r="P1017" i="6"/>
  <c r="Q1017" i="6" s="1"/>
  <c r="Z557" i="6"/>
  <c r="Z750" i="6"/>
  <c r="Z337" i="6"/>
  <c r="Z508" i="6"/>
  <c r="P181" i="6"/>
  <c r="Q181" i="6" s="1"/>
  <c r="P293" i="6"/>
  <c r="Q293" i="6" s="1"/>
  <c r="P443" i="6"/>
  <c r="Z614" i="6"/>
  <c r="Z532" i="6"/>
  <c r="P381" i="6"/>
  <c r="Z157" i="6"/>
  <c r="P26" i="6"/>
  <c r="Z223" i="6"/>
  <c r="P153" i="6"/>
  <c r="Z18" i="6"/>
  <c r="P868" i="6"/>
  <c r="Z453" i="6"/>
  <c r="Z332" i="6"/>
  <c r="P20" i="6"/>
  <c r="P781" i="6"/>
  <c r="Z141" i="6"/>
  <c r="Z95" i="6"/>
  <c r="Z189" i="6"/>
  <c r="P410" i="6"/>
  <c r="Q410" i="6" s="1"/>
  <c r="P385" i="6"/>
  <c r="Z598" i="6"/>
  <c r="Z932" i="6"/>
  <c r="P461" i="6"/>
  <c r="Z917" i="6"/>
  <c r="P61" i="6"/>
  <c r="Z428" i="6"/>
  <c r="P73" i="6"/>
  <c r="P537" i="6"/>
  <c r="P812" i="6"/>
  <c r="Q812" i="6" s="1"/>
  <c r="Z485" i="6"/>
  <c r="Z537" i="6"/>
  <c r="P83" i="6"/>
  <c r="P922" i="6"/>
  <c r="P717" i="6"/>
  <c r="P836" i="6"/>
  <c r="P937" i="6"/>
  <c r="P1052" i="6"/>
  <c r="Q1052" i="6" s="1"/>
  <c r="P468" i="6"/>
  <c r="Z529" i="6"/>
  <c r="P143" i="6"/>
  <c r="Q143" i="6" s="1"/>
  <c r="Z285" i="6"/>
  <c r="Z34" i="6"/>
  <c r="Z412" i="6"/>
  <c r="Z205" i="6"/>
  <c r="Z865" i="6"/>
  <c r="Z113" i="6"/>
  <c r="Z610" i="6"/>
  <c r="P79" i="6"/>
  <c r="Z553" i="6"/>
  <c r="Z9" i="6"/>
  <c r="Z368" i="6"/>
  <c r="P585" i="6"/>
  <c r="Z410" i="6"/>
  <c r="Z716" i="6"/>
  <c r="P1076" i="6"/>
  <c r="P277" i="6"/>
  <c r="Z591" i="6"/>
  <c r="Z868" i="6"/>
  <c r="Z781" i="6"/>
  <c r="P325" i="6"/>
  <c r="P641" i="6"/>
  <c r="Z325" i="6"/>
  <c r="Z641" i="6"/>
  <c r="Z445" i="6"/>
  <c r="P525" i="6"/>
  <c r="P737" i="6"/>
  <c r="Q737" i="6" s="1"/>
  <c r="P1108" i="6"/>
  <c r="P397" i="6"/>
  <c r="Z737" i="6"/>
  <c r="Z292" i="6"/>
  <c r="P401" i="6"/>
  <c r="P849" i="6"/>
  <c r="Z916" i="6"/>
  <c r="P300" i="6"/>
  <c r="P445" i="6"/>
  <c r="Z525" i="6"/>
  <c r="P1097" i="6"/>
  <c r="Q1097" i="6" s="1"/>
  <c r="Z1108" i="6"/>
  <c r="P229" i="6"/>
  <c r="P211" i="6"/>
  <c r="Z397" i="6"/>
  <c r="P735" i="6"/>
  <c r="P37" i="6"/>
  <c r="P292" i="6"/>
  <c r="P273" i="6"/>
  <c r="Q273" i="6" s="1"/>
  <c r="Z401" i="6"/>
  <c r="Z849" i="6"/>
  <c r="P916" i="6"/>
  <c r="P617" i="6"/>
  <c r="Z300" i="6"/>
  <c r="Z593" i="6"/>
  <c r="P332" i="6"/>
  <c r="Z273" i="6"/>
  <c r="Z617" i="6"/>
  <c r="P593" i="6"/>
  <c r="P1044" i="6"/>
  <c r="P453" i="6"/>
  <c r="Q186" i="6"/>
  <c r="Q95" i="6"/>
  <c r="Q81" i="6"/>
  <c r="Q185" i="6"/>
  <c r="Q281" i="6"/>
  <c r="Q315" i="6"/>
  <c r="Q172" i="6"/>
  <c r="Q973" i="6"/>
  <c r="Q645" i="6"/>
  <c r="Q12" i="6"/>
  <c r="Q18" i="6"/>
  <c r="Q287" i="6"/>
  <c r="Q340" i="6"/>
  <c r="Q1041" i="6"/>
  <c r="Q130" i="6"/>
  <c r="Q17" i="6"/>
  <c r="Q876" i="6"/>
  <c r="Q843" i="6"/>
  <c r="Q304" i="6"/>
  <c r="Q681" i="6"/>
  <c r="Q860" i="6"/>
  <c r="Q331" i="6"/>
  <c r="Q58" i="6"/>
  <c r="Q34" i="6"/>
  <c r="Q113" i="6"/>
  <c r="Q223" i="6"/>
  <c r="Q205" i="6"/>
  <c r="Q102" i="6"/>
  <c r="Q9" i="6"/>
  <c r="Q53" i="6"/>
  <c r="Q121" i="6"/>
  <c r="Q57" i="6"/>
  <c r="Q25" i="6"/>
  <c r="Q93" i="6"/>
  <c r="Q253" i="6"/>
  <c r="Q750" i="6"/>
  <c r="Q533" i="6"/>
  <c r="Q820" i="6"/>
  <c r="Q597" i="6"/>
  <c r="Q463" i="6"/>
  <c r="Q238" i="6"/>
  <c r="Q1073" i="6"/>
  <c r="Q348" i="6"/>
  <c r="Q644" i="6"/>
  <c r="Q841" i="6"/>
  <c r="Q620" i="6"/>
  <c r="Q429" i="6"/>
  <c r="Q125" i="6"/>
  <c r="Q1084" i="6"/>
  <c r="Q577" i="6"/>
  <c r="Q168" i="6"/>
  <c r="Q209" i="6"/>
  <c r="Q214" i="6"/>
  <c r="Q233" i="6"/>
  <c r="Q41" i="6"/>
  <c r="Q673" i="6"/>
  <c r="Q97" i="6"/>
  <c r="Q339" i="6"/>
  <c r="Q149" i="6"/>
  <c r="Q723" i="6"/>
  <c r="Q188" i="6"/>
  <c r="Q230" i="6"/>
  <c r="Q365" i="6"/>
  <c r="Q753" i="6"/>
  <c r="Q948" i="6"/>
  <c r="Q725" i="6"/>
  <c r="Q557" i="6"/>
  <c r="Q460" i="6"/>
  <c r="Q220" i="6"/>
  <c r="Q122" i="6"/>
  <c r="Q156" i="6"/>
  <c r="Q217" i="6"/>
  <c r="Q169" i="6"/>
  <c r="Q308" i="6"/>
  <c r="Q705" i="6"/>
  <c r="Q594" i="6"/>
  <c r="Q505" i="6"/>
  <c r="Q194" i="6"/>
  <c r="Q213" i="6"/>
  <c r="Q141" i="6"/>
  <c r="Q726" i="6"/>
  <c r="Q59" i="6"/>
  <c r="Q1012" i="6"/>
  <c r="Q1099" i="6"/>
  <c r="Q201" i="6"/>
  <c r="Q108" i="6"/>
  <c r="Q228" i="6"/>
  <c r="Q298" i="6"/>
  <c r="Q357" i="6"/>
  <c r="Q377" i="6"/>
  <c r="Q796" i="6"/>
  <c r="Q106" i="6"/>
  <c r="Q82" i="6"/>
  <c r="Q337" i="6"/>
  <c r="Q930" i="6"/>
  <c r="Q69" i="6"/>
  <c r="Q157" i="6"/>
  <c r="Q75" i="6"/>
  <c r="Q124" i="6"/>
  <c r="Q901" i="6"/>
  <c r="Q900" i="6"/>
  <c r="Q389" i="6"/>
  <c r="Q660" i="6"/>
  <c r="Q89" i="6"/>
  <c r="Q482" i="6"/>
  <c r="Q101" i="6"/>
  <c r="Q116" i="6"/>
  <c r="Q236" i="6"/>
  <c r="Q305" i="6"/>
  <c r="Q676" i="6"/>
  <c r="Q653" i="6"/>
  <c r="Q66" i="6"/>
  <c r="Q193" i="6"/>
  <c r="Q655" i="6"/>
  <c r="Q721" i="6"/>
  <c r="Q661" i="6"/>
  <c r="Q189" i="6"/>
  <c r="Q998" i="6"/>
  <c r="Q437" i="6"/>
  <c r="Q45" i="6"/>
  <c r="Q249" i="6"/>
  <c r="Q187" i="6"/>
  <c r="Z366" i="6"/>
  <c r="P225" i="6"/>
  <c r="W225" i="6" s="1"/>
  <c r="X225" i="6" s="1"/>
  <c r="Z756" i="6"/>
  <c r="P877" i="6"/>
  <c r="W877" i="6" s="1"/>
  <c r="X877" i="6" s="1"/>
  <c r="P936" i="6"/>
  <c r="W936" i="6" s="1"/>
  <c r="X936" i="6" s="1"/>
  <c r="Z116" i="6"/>
  <c r="P516" i="6"/>
  <c r="W516" i="6" s="1"/>
  <c r="X516" i="6" s="1"/>
  <c r="Z317" i="6"/>
  <c r="Z794" i="6"/>
  <c r="Z637" i="6"/>
  <c r="Z785" i="6"/>
  <c r="Z573" i="6"/>
  <c r="Z1100" i="6"/>
  <c r="Z941" i="6"/>
  <c r="Z825" i="6"/>
  <c r="Z633" i="6"/>
  <c r="Z333" i="6"/>
  <c r="P657" i="6"/>
  <c r="W657" i="6" s="1"/>
  <c r="X657" i="6" s="1"/>
  <c r="P196" i="6"/>
  <c r="W196" i="6" s="1"/>
  <c r="X196" i="6" s="1"/>
  <c r="Z17" i="6"/>
  <c r="P788" i="6"/>
  <c r="W788" i="6" s="1"/>
  <c r="X788" i="6" s="1"/>
  <c r="P86" i="6"/>
  <c r="W86" i="6" s="1"/>
  <c r="X86" i="6" s="1"/>
  <c r="Z12" i="6"/>
  <c r="Z69" i="6"/>
  <c r="P112" i="6"/>
  <c r="W112" i="6" s="1"/>
  <c r="X112" i="6" s="1"/>
  <c r="P1020" i="6"/>
  <c r="W1020" i="6" s="1"/>
  <c r="X1020" i="6" s="1"/>
  <c r="Z341" i="6"/>
  <c r="Z692" i="6"/>
  <c r="P148" i="6"/>
  <c r="W148" i="6" s="1"/>
  <c r="X148" i="6" s="1"/>
  <c r="P565" i="6"/>
  <c r="W565" i="6" s="1"/>
  <c r="X565" i="6" s="1"/>
  <c r="Z668" i="6"/>
  <c r="P428" i="6"/>
  <c r="W428" i="6" s="1"/>
  <c r="X428" i="6" s="1"/>
  <c r="P1077" i="6"/>
  <c r="W1077" i="6" s="1"/>
  <c r="X1077" i="6" s="1"/>
  <c r="P741" i="6"/>
  <c r="W741" i="6" s="1"/>
  <c r="X741" i="6" s="1"/>
  <c r="Z1081" i="6"/>
  <c r="P492" i="6"/>
  <c r="W492" i="6" s="1"/>
  <c r="X492" i="6" s="1"/>
  <c r="Z75" i="6"/>
  <c r="P729" i="6"/>
  <c r="W729" i="6" s="1"/>
  <c r="X729" i="6" s="1"/>
  <c r="P244" i="6"/>
  <c r="W244" i="6" s="1"/>
  <c r="X244" i="6" s="1"/>
  <c r="Z1083" i="6"/>
  <c r="Z124" i="6"/>
  <c r="P77" i="6"/>
  <c r="W77" i="6" s="1"/>
  <c r="X77" i="6" s="1"/>
  <c r="P297" i="6"/>
  <c r="W297" i="6" s="1"/>
  <c r="X297" i="6" s="1"/>
  <c r="Z257" i="6"/>
  <c r="P237" i="6"/>
  <c r="W237" i="6" s="1"/>
  <c r="X237" i="6" s="1"/>
  <c r="P625" i="6"/>
  <c r="W625" i="6" s="1"/>
  <c r="X625" i="6" s="1"/>
  <c r="P572" i="6"/>
  <c r="W572" i="6" s="1"/>
  <c r="X572" i="6" s="1"/>
  <c r="P529" i="6"/>
  <c r="W529" i="6" s="1"/>
  <c r="X529" i="6" s="1"/>
  <c r="Z188" i="6"/>
  <c r="Z93" i="6"/>
  <c r="Z102" i="6"/>
  <c r="Z945" i="6"/>
  <c r="Z187" i="6"/>
  <c r="P48" i="6"/>
  <c r="W48" i="6" s="1"/>
  <c r="X48" i="6" s="1"/>
  <c r="Z236" i="6"/>
  <c r="P1105" i="6"/>
  <c r="W1105" i="6" s="1"/>
  <c r="X1105" i="6" s="1"/>
  <c r="P361" i="6"/>
  <c r="W361" i="6" s="1"/>
  <c r="X361" i="6" s="1"/>
  <c r="Z220" i="6"/>
  <c r="P591" i="6"/>
  <c r="W591" i="6" s="1"/>
  <c r="X591" i="6" s="1"/>
  <c r="Z1068" i="6"/>
  <c r="Z130" i="6"/>
  <c r="Z108" i="6"/>
  <c r="Z1017" i="6"/>
  <c r="Z233" i="6"/>
  <c r="Z304" i="6"/>
  <c r="P1001" i="6"/>
  <c r="W1001" i="6" s="1"/>
  <c r="X1001" i="6" s="1"/>
  <c r="P279" i="6"/>
  <c r="W279" i="6" s="1"/>
  <c r="X279" i="6" s="1"/>
  <c r="Z901" i="6"/>
  <c r="P925" i="6"/>
  <c r="W925" i="6" s="1"/>
  <c r="X925" i="6" s="1"/>
  <c r="Z681" i="6"/>
  <c r="Z287" i="6"/>
  <c r="Z972" i="6"/>
  <c r="Z726" i="6"/>
  <c r="Z437" i="6"/>
  <c r="P330" i="6"/>
  <c r="W330" i="6" s="1"/>
  <c r="X330" i="6" s="1"/>
  <c r="Z900" i="6"/>
  <c r="Z340" i="6"/>
  <c r="Z433" i="6"/>
  <c r="P665" i="6"/>
  <c r="W665" i="6" s="1"/>
  <c r="X665" i="6" s="1"/>
  <c r="P845" i="6"/>
  <c r="W845" i="6" s="1"/>
  <c r="X845" i="6" s="1"/>
  <c r="P680" i="6"/>
  <c r="W680" i="6" s="1"/>
  <c r="X680" i="6" s="1"/>
  <c r="Z1041" i="6"/>
  <c r="P697" i="6"/>
  <c r="W697" i="6" s="1"/>
  <c r="X697" i="6" s="1"/>
  <c r="P404" i="6"/>
  <c r="W404" i="6" s="1"/>
  <c r="X404" i="6" s="1"/>
  <c r="Z973" i="6"/>
  <c r="P693" i="6"/>
  <c r="W693" i="6" s="1"/>
  <c r="X693" i="6" s="1"/>
  <c r="Z753" i="6"/>
  <c r="Z389" i="6"/>
  <c r="P740" i="6"/>
  <c r="W740" i="6" s="1"/>
  <c r="X740" i="6" s="1"/>
  <c r="Z948" i="6"/>
  <c r="Z660" i="6"/>
  <c r="P407" i="6"/>
  <c r="W407" i="6" s="1"/>
  <c r="X407" i="6" s="1"/>
  <c r="Z953" i="6"/>
  <c r="Z725" i="6"/>
  <c r="Z324" i="6"/>
  <c r="Z482" i="6"/>
  <c r="Z308" i="6"/>
  <c r="P471" i="6"/>
  <c r="W471" i="6" s="1"/>
  <c r="X471" i="6" s="1"/>
  <c r="P276" i="6"/>
  <c r="W276" i="6" s="1"/>
  <c r="X276" i="6" s="1"/>
  <c r="Z604" i="6"/>
  <c r="Z913" i="6"/>
  <c r="Z1050" i="6"/>
  <c r="P956" i="6"/>
  <c r="W956" i="6" s="1"/>
  <c r="X956" i="6" s="1"/>
  <c r="Z705" i="6"/>
  <c r="Z797" i="6"/>
  <c r="Z813" i="6"/>
  <c r="Z629" i="6"/>
  <c r="P749" i="6"/>
  <c r="W749" i="6" s="1"/>
  <c r="X749" i="6" s="1"/>
  <c r="Z571" i="6"/>
  <c r="P1058" i="6"/>
  <c r="W1058" i="6" s="1"/>
  <c r="X1058" i="6" s="1"/>
  <c r="P117" i="6"/>
  <c r="W117" i="6" s="1"/>
  <c r="X117" i="6" s="1"/>
  <c r="Z929" i="6"/>
  <c r="P991" i="6"/>
  <c r="W991" i="6" s="1"/>
  <c r="X991" i="6" s="1"/>
  <c r="P817" i="6"/>
  <c r="W817" i="6" s="1"/>
  <c r="X817" i="6" s="1"/>
  <c r="Z700" i="6"/>
  <c r="Z413" i="6"/>
  <c r="Z356" i="6"/>
  <c r="P745" i="6"/>
  <c r="W745" i="6" s="1"/>
  <c r="X745" i="6" s="1"/>
  <c r="P677" i="6"/>
  <c r="W677" i="6" s="1"/>
  <c r="X677" i="6" s="1"/>
  <c r="P556" i="6"/>
  <c r="W556" i="6" s="1"/>
  <c r="X556" i="6" s="1"/>
  <c r="P469" i="6"/>
  <c r="W469" i="6" s="1"/>
  <c r="X469" i="6" s="1"/>
  <c r="Z661" i="6"/>
  <c r="P1057" i="6"/>
  <c r="W1057" i="6" s="1"/>
  <c r="X1057" i="6" s="1"/>
  <c r="P489" i="6"/>
  <c r="W489" i="6" s="1"/>
  <c r="X489" i="6" s="1"/>
  <c r="P1004" i="6"/>
  <c r="W1004" i="6" s="1"/>
  <c r="X1004" i="6" s="1"/>
  <c r="P777" i="6"/>
  <c r="W777" i="6" s="1"/>
  <c r="X777" i="6" s="1"/>
  <c r="P366" i="6"/>
  <c r="W366" i="6" s="1"/>
  <c r="X366" i="6" s="1"/>
  <c r="Z877" i="6"/>
  <c r="Z936" i="6"/>
  <c r="Z516" i="6"/>
  <c r="Z68" i="6"/>
  <c r="Z1097" i="6"/>
  <c r="P465" i="6"/>
  <c r="W465" i="6" s="1"/>
  <c r="X465" i="6" s="1"/>
  <c r="P794" i="6"/>
  <c r="W794" i="6" s="1"/>
  <c r="X794" i="6" s="1"/>
  <c r="P801" i="6"/>
  <c r="W801" i="6" s="1"/>
  <c r="X801" i="6" s="1"/>
  <c r="P637" i="6"/>
  <c r="W637" i="6" s="1"/>
  <c r="X637" i="6" s="1"/>
  <c r="Z98" i="6"/>
  <c r="Z105" i="6"/>
  <c r="Z1034" i="6"/>
  <c r="P1100" i="6"/>
  <c r="W1100" i="6" s="1"/>
  <c r="X1100" i="6" s="1"/>
  <c r="P765" i="6"/>
  <c r="W765" i="6" s="1"/>
  <c r="X765" i="6" s="1"/>
  <c r="P941" i="6"/>
  <c r="W941" i="6" s="1"/>
  <c r="X941" i="6" s="1"/>
  <c r="P716" i="6"/>
  <c r="W716" i="6" s="1"/>
  <c r="X716" i="6" s="1"/>
  <c r="P825" i="6"/>
  <c r="W825" i="6" s="1"/>
  <c r="X825" i="6" s="1"/>
  <c r="P633" i="6"/>
  <c r="W633" i="6" s="1"/>
  <c r="X633" i="6" s="1"/>
  <c r="P532" i="6"/>
  <c r="W532" i="6" s="1"/>
  <c r="X532" i="6" s="1"/>
  <c r="Z177" i="6"/>
  <c r="Z580" i="6"/>
  <c r="Z339" i="6"/>
  <c r="P459" i="6"/>
  <c r="W459" i="6" s="1"/>
  <c r="X459" i="6" s="1"/>
  <c r="Z260" i="6"/>
  <c r="Z1020" i="6"/>
  <c r="P341" i="6"/>
  <c r="W341" i="6" s="1"/>
  <c r="X341" i="6" s="1"/>
  <c r="P692" i="6"/>
  <c r="W692" i="6" s="1"/>
  <c r="X692" i="6" s="1"/>
  <c r="Z878" i="6"/>
  <c r="Z565" i="6"/>
  <c r="P668" i="6"/>
  <c r="W668" i="6" s="1"/>
  <c r="X668" i="6" s="1"/>
  <c r="Z381" i="6"/>
  <c r="P964" i="6"/>
  <c r="W964" i="6" s="1"/>
  <c r="X964" i="6" s="1"/>
  <c r="Z1077" i="6"/>
  <c r="P596" i="6"/>
  <c r="W596" i="6" s="1"/>
  <c r="X596" i="6" s="1"/>
  <c r="P269" i="6"/>
  <c r="W269" i="6" s="1"/>
  <c r="X269" i="6" s="1"/>
  <c r="P509" i="6"/>
  <c r="W509" i="6" s="1"/>
  <c r="X509" i="6" s="1"/>
  <c r="Z876" i="6"/>
  <c r="P1081" i="6"/>
  <c r="W1081" i="6" s="1"/>
  <c r="X1081" i="6" s="1"/>
  <c r="Z735" i="6"/>
  <c r="Z492" i="6"/>
  <c r="Z729" i="6"/>
  <c r="Z569" i="6"/>
  <c r="P1083" i="6"/>
  <c r="W1083" i="6" s="1"/>
  <c r="X1083" i="6" s="1"/>
  <c r="Z841" i="6"/>
  <c r="Z297" i="6"/>
  <c r="P257" i="6"/>
  <c r="W257" i="6" s="1"/>
  <c r="X257" i="6" s="1"/>
  <c r="P595" i="6"/>
  <c r="W595" i="6" s="1"/>
  <c r="X595" i="6" s="1"/>
  <c r="P52" i="6"/>
  <c r="W52" i="6" s="1"/>
  <c r="X52" i="6" s="1"/>
  <c r="P853" i="6"/>
  <c r="W853" i="6" s="1"/>
  <c r="X853" i="6" s="1"/>
  <c r="Z524" i="6"/>
  <c r="Z1004" i="6"/>
  <c r="Z279" i="6"/>
  <c r="Z217" i="6"/>
  <c r="P715" i="6"/>
  <c r="W715" i="6" s="1"/>
  <c r="X715" i="6" s="1"/>
  <c r="P321" i="6"/>
  <c r="W321" i="6" s="1"/>
  <c r="X321" i="6" s="1"/>
  <c r="P252" i="6"/>
  <c r="W252" i="6" s="1"/>
  <c r="X252" i="6" s="1"/>
  <c r="P234" i="6"/>
  <c r="W234" i="6" s="1"/>
  <c r="X234" i="6" s="1"/>
  <c r="P797" i="6"/>
  <c r="W797" i="6" s="1"/>
  <c r="X797" i="6" s="1"/>
  <c r="P913" i="6"/>
  <c r="W913" i="6" s="1"/>
  <c r="X913" i="6" s="1"/>
  <c r="Z469" i="6"/>
  <c r="P1050" i="6"/>
  <c r="W1050" i="6" s="1"/>
  <c r="X1050" i="6" s="1"/>
  <c r="P604" i="6"/>
  <c r="W604" i="6" s="1"/>
  <c r="X604" i="6" s="1"/>
  <c r="P972" i="6"/>
  <c r="W972" i="6" s="1"/>
  <c r="X972" i="6" s="1"/>
  <c r="Z330" i="6"/>
  <c r="P433" i="6"/>
  <c r="W433" i="6" s="1"/>
  <c r="X433" i="6" s="1"/>
  <c r="Z845" i="6"/>
  <c r="P100" i="6"/>
  <c r="W100" i="6" s="1"/>
  <c r="X100" i="6" s="1"/>
  <c r="P764" i="6"/>
  <c r="W764" i="6" s="1"/>
  <c r="X764" i="6" s="1"/>
  <c r="Z793" i="6"/>
  <c r="P589" i="6"/>
  <c r="W589" i="6" s="1"/>
  <c r="X589" i="6" s="1"/>
  <c r="P541" i="6"/>
  <c r="W541" i="6" s="1"/>
  <c r="X541" i="6" s="1"/>
  <c r="Z489" i="6"/>
  <c r="P204" i="6"/>
  <c r="W204" i="6" s="1"/>
  <c r="X204" i="6" s="1"/>
  <c r="Z169" i="6"/>
  <c r="P132" i="6"/>
  <c r="W132" i="6" s="1"/>
  <c r="X132" i="6" s="1"/>
  <c r="P953" i="6"/>
  <c r="W953" i="6" s="1"/>
  <c r="X953" i="6" s="1"/>
  <c r="P324" i="6"/>
  <c r="W324" i="6" s="1"/>
  <c r="X324" i="6" s="1"/>
  <c r="Z777" i="6"/>
  <c r="P609" i="6"/>
  <c r="W609" i="6" s="1"/>
  <c r="X609" i="6" s="1"/>
  <c r="P250" i="6"/>
  <c r="W250" i="6" s="1"/>
  <c r="X250" i="6" s="1"/>
  <c r="P412" i="6"/>
  <c r="W412" i="6" s="1"/>
  <c r="X412" i="6" s="1"/>
  <c r="Z827" i="6"/>
  <c r="P1065" i="6"/>
  <c r="W1065" i="6" s="1"/>
  <c r="X1065" i="6" s="1"/>
  <c r="Z836" i="6"/>
  <c r="P996" i="6"/>
  <c r="W996" i="6" s="1"/>
  <c r="X996" i="6" s="1"/>
  <c r="P68" i="6"/>
  <c r="W68" i="6" s="1"/>
  <c r="X68" i="6" s="1"/>
  <c r="P614" i="6"/>
  <c r="W614" i="6" s="1"/>
  <c r="X614" i="6" s="1"/>
  <c r="P517" i="6"/>
  <c r="W517" i="6" s="1"/>
  <c r="X517" i="6" s="1"/>
  <c r="P317" i="6"/>
  <c r="W317" i="6" s="1"/>
  <c r="X317" i="6" s="1"/>
  <c r="P837" i="6"/>
  <c r="W837" i="6" s="1"/>
  <c r="X837" i="6" s="1"/>
  <c r="P98" i="6"/>
  <c r="W98" i="6" s="1"/>
  <c r="X98" i="6" s="1"/>
  <c r="P649" i="6"/>
  <c r="W649" i="6" s="1"/>
  <c r="X649" i="6" s="1"/>
  <c r="P105" i="6"/>
  <c r="W105" i="6" s="1"/>
  <c r="X105" i="6" s="1"/>
  <c r="P573" i="6"/>
  <c r="W573" i="6" s="1"/>
  <c r="X573" i="6" s="1"/>
  <c r="P1034" i="6"/>
  <c r="W1034" i="6" s="1"/>
  <c r="X1034" i="6" s="1"/>
  <c r="P493" i="6"/>
  <c r="W493" i="6" s="1"/>
  <c r="X493" i="6" s="1"/>
  <c r="P177" i="6"/>
  <c r="W177" i="6" s="1"/>
  <c r="X177" i="6" s="1"/>
  <c r="P333" i="6"/>
  <c r="W333" i="6" s="1"/>
  <c r="X333" i="6" s="1"/>
  <c r="P580" i="6"/>
  <c r="W580" i="6" s="1"/>
  <c r="X580" i="6" s="1"/>
  <c r="P732" i="6"/>
  <c r="W732" i="6" s="1"/>
  <c r="X732" i="6" s="1"/>
  <c r="P473" i="6"/>
  <c r="W473" i="6" s="1"/>
  <c r="X473" i="6" s="1"/>
  <c r="P865" i="6"/>
  <c r="W865" i="6" s="1"/>
  <c r="X865" i="6" s="1"/>
  <c r="Z585" i="6"/>
  <c r="Z993" i="6"/>
  <c r="Z345" i="6"/>
  <c r="Z443" i="6"/>
  <c r="P761" i="6"/>
  <c r="W761" i="6" s="1"/>
  <c r="X761" i="6" s="1"/>
  <c r="Z1052" i="6"/>
  <c r="Z348" i="6"/>
  <c r="Z293" i="6"/>
  <c r="Z468" i="6"/>
  <c r="Z885" i="6"/>
  <c r="P971" i="6"/>
  <c r="W971" i="6" s="1"/>
  <c r="X971" i="6" s="1"/>
  <c r="P285" i="6"/>
  <c r="W285" i="6" s="1"/>
  <c r="X285" i="6" s="1"/>
  <c r="Z796" i="6"/>
  <c r="Z596" i="6"/>
  <c r="Z741" i="6"/>
  <c r="Z269" i="6"/>
  <c r="P884" i="6"/>
  <c r="W884" i="6" s="1"/>
  <c r="X884" i="6" s="1"/>
  <c r="Z509" i="6"/>
  <c r="Z937" i="6"/>
  <c r="Z843" i="6"/>
  <c r="Z644" i="6"/>
  <c r="Z772" i="6"/>
  <c r="P889" i="6"/>
  <c r="W889" i="6" s="1"/>
  <c r="X889" i="6" s="1"/>
  <c r="Z385" i="6"/>
  <c r="P521" i="6"/>
  <c r="W521" i="6" s="1"/>
  <c r="X521" i="6" s="1"/>
  <c r="P268" i="6"/>
  <c r="W268" i="6" s="1"/>
  <c r="X268" i="6" s="1"/>
  <c r="P598" i="6"/>
  <c r="W598" i="6" s="1"/>
  <c r="X598" i="6" s="1"/>
  <c r="Z353" i="6"/>
  <c r="P444" i="6"/>
  <c r="W444" i="6" s="1"/>
  <c r="X444" i="6" s="1"/>
  <c r="P368" i="6"/>
  <c r="W368" i="6" s="1"/>
  <c r="X368" i="6" s="1"/>
  <c r="P624" i="6"/>
  <c r="W624" i="6" s="1"/>
  <c r="X624" i="6" s="1"/>
  <c r="P1033" i="6"/>
  <c r="W1033" i="6" s="1"/>
  <c r="X1033" i="6" s="1"/>
  <c r="Z52" i="6"/>
  <c r="Z237" i="6"/>
  <c r="Z853" i="6"/>
  <c r="Z854" i="6"/>
  <c r="P524" i="6"/>
  <c r="W524" i="6" s="1"/>
  <c r="X524" i="6" s="1"/>
  <c r="Z812" i="6"/>
  <c r="P467" i="6"/>
  <c r="W467" i="6" s="1"/>
  <c r="X467" i="6" s="1"/>
  <c r="Z684" i="6"/>
  <c r="P301" i="6"/>
  <c r="W301" i="6" s="1"/>
  <c r="X301" i="6" s="1"/>
  <c r="P869" i="6"/>
  <c r="W869" i="6" s="1"/>
  <c r="X869" i="6" s="1"/>
  <c r="Z893" i="6"/>
  <c r="Z828" i="6"/>
  <c r="Z715" i="6"/>
  <c r="Z749" i="6"/>
  <c r="Z321" i="6"/>
  <c r="Z117" i="6"/>
  <c r="Z252" i="6"/>
  <c r="Z991" i="6"/>
  <c r="P924" i="6"/>
  <c r="W924" i="6" s="1"/>
  <c r="X924" i="6" s="1"/>
  <c r="Z1076" i="6"/>
  <c r="P289" i="6"/>
  <c r="W289" i="6" s="1"/>
  <c r="X289" i="6" s="1"/>
  <c r="P813" i="6"/>
  <c r="W813" i="6" s="1"/>
  <c r="X813" i="6" s="1"/>
  <c r="P610" i="6"/>
  <c r="W610" i="6" s="1"/>
  <c r="X610" i="6" s="1"/>
  <c r="P629" i="6"/>
  <c r="W629" i="6" s="1"/>
  <c r="X629" i="6" s="1"/>
  <c r="P969" i="6"/>
  <c r="W969" i="6" s="1"/>
  <c r="X969" i="6" s="1"/>
  <c r="P979" i="6"/>
  <c r="W979" i="6" s="1"/>
  <c r="X979" i="6" s="1"/>
  <c r="P441" i="6"/>
  <c r="W441" i="6" s="1"/>
  <c r="X441" i="6" s="1"/>
  <c r="Z922" i="6"/>
  <c r="Z388" i="6"/>
  <c r="P338" i="6"/>
  <c r="W338" i="6" s="1"/>
  <c r="X338" i="6" s="1"/>
  <c r="P932" i="6"/>
  <c r="W932" i="6" s="1"/>
  <c r="X932" i="6" s="1"/>
  <c r="P622" i="6"/>
  <c r="W622" i="6" s="1"/>
  <c r="X622" i="6" s="1"/>
  <c r="Z540" i="6"/>
  <c r="P485" i="6"/>
  <c r="W485" i="6" s="1"/>
  <c r="X485" i="6" s="1"/>
  <c r="P470" i="6"/>
  <c r="W470" i="6" s="1"/>
  <c r="X470" i="6" s="1"/>
  <c r="Z607" i="6"/>
  <c r="Z881" i="6"/>
  <c r="Z277" i="6"/>
  <c r="Z699" i="6"/>
  <c r="Z365" i="6"/>
  <c r="P682" i="6"/>
  <c r="W682" i="6" s="1"/>
  <c r="X682" i="6" s="1"/>
  <c r="Z780" i="6"/>
  <c r="Z817" i="6"/>
  <c r="Z764" i="6"/>
  <c r="P700" i="6"/>
  <c r="W700" i="6" s="1"/>
  <c r="X700" i="6" s="1"/>
  <c r="Z1105" i="6"/>
  <c r="P413" i="6"/>
  <c r="W413" i="6" s="1"/>
  <c r="X413" i="6" s="1"/>
  <c r="P793" i="6"/>
  <c r="W793" i="6" s="1"/>
  <c r="X793" i="6" s="1"/>
  <c r="P356" i="6"/>
  <c r="W356" i="6" s="1"/>
  <c r="X356" i="6" s="1"/>
  <c r="Z461" i="6"/>
  <c r="Z745" i="6"/>
  <c r="Z589" i="6"/>
  <c r="Z677" i="6"/>
  <c r="Z361" i="6"/>
  <c r="Z556" i="6"/>
  <c r="P313" i="6"/>
  <c r="W313" i="6" s="1"/>
  <c r="X313" i="6" s="1"/>
  <c r="P571" i="6"/>
  <c r="W571" i="6" s="1"/>
  <c r="X571" i="6" s="1"/>
  <c r="P1068" i="6"/>
  <c r="W1068" i="6" s="1"/>
  <c r="X1068" i="6" s="1"/>
  <c r="P929" i="6"/>
  <c r="W929" i="6" s="1"/>
  <c r="X929" i="6" s="1"/>
  <c r="Z927" i="6"/>
  <c r="Z577" i="6"/>
  <c r="P553" i="6"/>
  <c r="W553" i="6" s="1"/>
  <c r="X553" i="6" s="1"/>
  <c r="P342" i="6"/>
  <c r="W342" i="6" s="1"/>
  <c r="X342" i="6" s="1"/>
  <c r="P369" i="6"/>
  <c r="W369" i="6" s="1"/>
  <c r="X369" i="6" s="1"/>
  <c r="P851" i="6"/>
  <c r="W851" i="6" s="1"/>
  <c r="X851" i="6" s="1"/>
  <c r="P844" i="6"/>
  <c r="W844" i="6" s="1"/>
  <c r="X844" i="6" s="1"/>
  <c r="P805" i="6"/>
  <c r="W805" i="6" s="1"/>
  <c r="X805" i="6" s="1"/>
  <c r="P917" i="6"/>
  <c r="W917" i="6" s="1"/>
  <c r="X917" i="6" s="1"/>
  <c r="Z331" i="6"/>
  <c r="P1092" i="6"/>
  <c r="W1092" i="6" s="1"/>
  <c r="X1092" i="6" s="1"/>
  <c r="Z717" i="6"/>
  <c r="Z545" i="6"/>
  <c r="Z609" i="6"/>
  <c r="Z1058" i="6"/>
  <c r="P476" i="6"/>
  <c r="W476" i="6" s="1"/>
  <c r="X476" i="6" s="1"/>
  <c r="P909" i="6"/>
  <c r="W909" i="6" s="1"/>
  <c r="X909" i="6" s="1"/>
  <c r="P522" i="6"/>
  <c r="W522" i="6" s="1"/>
  <c r="X522" i="6" s="1"/>
  <c r="Z201" i="6"/>
  <c r="P497" i="6"/>
  <c r="W497" i="6" s="1"/>
  <c r="X497" i="6" s="1"/>
  <c r="P906" i="6"/>
  <c r="W906" i="6" s="1"/>
  <c r="X906" i="6" s="1"/>
  <c r="P607" i="6"/>
  <c r="W607" i="6" s="1"/>
  <c r="X607" i="6" s="1"/>
  <c r="Z618" i="6"/>
  <c r="Z1092" i="6"/>
  <c r="P581" i="6"/>
  <c r="W581" i="6" s="1"/>
  <c r="X581" i="6" s="1"/>
  <c r="P42" i="6"/>
  <c r="W42" i="6" s="1"/>
  <c r="X42" i="6" s="1"/>
  <c r="Z909" i="6"/>
  <c r="Z522" i="6"/>
  <c r="Z497" i="6"/>
  <c r="Z906" i="6"/>
  <c r="P1069" i="6"/>
  <c r="W1069" i="6" s="1"/>
  <c r="X1069" i="6" s="1"/>
  <c r="Z396" i="6"/>
  <c r="P861" i="6"/>
  <c r="W861" i="6" s="1"/>
  <c r="X861" i="6" s="1"/>
  <c r="P393" i="6"/>
  <c r="W393" i="6" s="1"/>
  <c r="X393" i="6" s="1"/>
  <c r="P161" i="6"/>
  <c r="W161" i="6" s="1"/>
  <c r="X161" i="6" s="1"/>
  <c r="P484" i="6"/>
  <c r="W484" i="6" s="1"/>
  <c r="X484" i="6" s="1"/>
  <c r="Z1069" i="6"/>
  <c r="P396" i="6"/>
  <c r="W396" i="6" s="1"/>
  <c r="X396" i="6" s="1"/>
  <c r="Z861" i="6"/>
  <c r="P1107" i="6"/>
  <c r="W1107" i="6" s="1"/>
  <c r="X1107" i="6" s="1"/>
  <c r="Z486" i="6"/>
  <c r="P724" i="6"/>
  <c r="W724" i="6" s="1"/>
  <c r="X724" i="6" s="1"/>
  <c r="P908" i="6"/>
  <c r="W908" i="6" s="1"/>
  <c r="X908" i="6" s="1"/>
  <c r="P316" i="6"/>
  <c r="W316" i="6" s="1"/>
  <c r="X316" i="6" s="1"/>
  <c r="Z58" i="6"/>
  <c r="P197" i="6"/>
  <c r="W197" i="6" s="1"/>
  <c r="X197" i="6" s="1"/>
  <c r="Z6" i="6"/>
  <c r="Z484" i="6"/>
  <c r="P980" i="6"/>
  <c r="W980" i="6" s="1"/>
  <c r="X980" i="6" s="1"/>
  <c r="P1006" i="6"/>
  <c r="W1006" i="6" s="1"/>
  <c r="X1006" i="6" s="1"/>
  <c r="P708" i="6"/>
  <c r="W708" i="6" s="1"/>
  <c r="X708" i="6" s="1"/>
  <c r="P405" i="6"/>
  <c r="W405" i="6" s="1"/>
  <c r="X405" i="6" s="1"/>
  <c r="P486" i="6"/>
  <c r="W486" i="6" s="1"/>
  <c r="X486" i="6" s="1"/>
  <c r="Z724" i="6"/>
  <c r="Z908" i="6"/>
  <c r="Z980" i="6"/>
  <c r="Z541" i="6"/>
  <c r="Z316" i="6"/>
  <c r="Z197" i="6"/>
  <c r="P742" i="6"/>
  <c r="W742" i="6" s="1"/>
  <c r="X742" i="6" s="1"/>
  <c r="P477" i="6"/>
  <c r="W477" i="6" s="1"/>
  <c r="X477" i="6" s="1"/>
  <c r="P612" i="6"/>
  <c r="W612" i="6" s="1"/>
  <c r="X612" i="6" s="1"/>
  <c r="L1113" i="6"/>
  <c r="P241" i="6"/>
  <c r="W241" i="6" s="1"/>
  <c r="X241" i="6" s="1"/>
  <c r="P977" i="6"/>
  <c r="W977" i="6" s="1"/>
  <c r="X977" i="6" s="1"/>
  <c r="P420" i="6"/>
  <c r="W420" i="6" s="1"/>
  <c r="X420" i="6" s="1"/>
  <c r="P1009" i="6"/>
  <c r="W1009" i="6" s="1"/>
  <c r="X1009" i="6" s="1"/>
  <c r="P613" i="6"/>
  <c r="W613" i="6" s="1"/>
  <c r="X613" i="6" s="1"/>
  <c r="Z872" i="6"/>
  <c r="P905" i="6"/>
  <c r="W905" i="6" s="1"/>
  <c r="X905" i="6" s="1"/>
  <c r="Z852" i="6"/>
  <c r="Z372" i="6"/>
  <c r="Z258" i="6"/>
  <c r="P605" i="6"/>
  <c r="W605" i="6" s="1"/>
  <c r="X605" i="6" s="1"/>
  <c r="P409" i="6"/>
  <c r="W409" i="6" s="1"/>
  <c r="X409" i="6" s="1"/>
  <c r="Z842" i="6"/>
  <c r="P933" i="6"/>
  <c r="W933" i="6" s="1"/>
  <c r="X933" i="6" s="1"/>
  <c r="Z561" i="6"/>
  <c r="P449" i="6"/>
  <c r="W449" i="6" s="1"/>
  <c r="X449" i="6" s="1"/>
  <c r="Z829" i="6"/>
  <c r="Z685" i="6"/>
  <c r="Z730" i="6"/>
  <c r="Z358" i="6"/>
  <c r="Z713" i="6"/>
  <c r="Z810" i="6"/>
  <c r="P1047" i="6"/>
  <c r="W1047" i="6" s="1"/>
  <c r="X1047" i="6" s="1"/>
  <c r="Z164" i="6"/>
  <c r="Z180" i="6"/>
  <c r="Z329" i="6"/>
  <c r="Z820" i="6"/>
  <c r="Z892" i="6"/>
  <c r="Z373" i="6"/>
  <c r="Z33" i="6"/>
  <c r="Z173" i="6"/>
  <c r="Z500" i="6"/>
  <c r="Z597" i="6"/>
  <c r="Z1099" i="6"/>
  <c r="Z1006" i="6"/>
  <c r="Z708" i="6"/>
  <c r="Z405" i="6"/>
  <c r="P60" i="6"/>
  <c r="W60" i="6" s="1"/>
  <c r="X60" i="6" s="1"/>
  <c r="P773" i="6"/>
  <c r="W773" i="6" s="1"/>
  <c r="X773" i="6" s="1"/>
  <c r="P733" i="6"/>
  <c r="W733" i="6" s="1"/>
  <c r="X733" i="6" s="1"/>
  <c r="P870" i="6"/>
  <c r="W870" i="6" s="1"/>
  <c r="X870" i="6" s="1"/>
  <c r="P421" i="6"/>
  <c r="W421" i="6" s="1"/>
  <c r="X421" i="6" s="1"/>
  <c r="Z394" i="6"/>
  <c r="P564" i="6"/>
  <c r="W564" i="6" s="1"/>
  <c r="X564" i="6" s="1"/>
  <c r="Z145" i="6"/>
  <c r="P1028" i="6"/>
  <c r="W1028" i="6" s="1"/>
  <c r="X1028" i="6" s="1"/>
  <c r="Z1028" i="6"/>
  <c r="P993" i="6"/>
  <c r="W993" i="6" s="1"/>
  <c r="X993" i="6" s="1"/>
  <c r="P452" i="6"/>
  <c r="W452" i="6" s="1"/>
  <c r="X452" i="6" s="1"/>
  <c r="P28" i="6"/>
  <c r="W28" i="6" s="1"/>
  <c r="X28" i="6" s="1"/>
  <c r="Z655" i="6"/>
  <c r="Z1033" i="6"/>
  <c r="P92" i="6"/>
  <c r="W92" i="6" s="1"/>
  <c r="X92" i="6" s="1"/>
  <c r="P893" i="6"/>
  <c r="W893" i="6" s="1"/>
  <c r="X893" i="6" s="1"/>
  <c r="Z773" i="6"/>
  <c r="Z733" i="6"/>
  <c r="Z870" i="6"/>
  <c r="Z421" i="6"/>
  <c r="Z460" i="6"/>
  <c r="P180" i="6"/>
  <c r="W180" i="6" s="1"/>
  <c r="X180" i="6" s="1"/>
  <c r="Z241" i="6"/>
  <c r="Z977" i="6"/>
  <c r="Z420" i="6"/>
  <c r="Z1009" i="6"/>
  <c r="Z613" i="6"/>
  <c r="P173" i="6"/>
  <c r="W173" i="6" s="1"/>
  <c r="X173" i="6" s="1"/>
  <c r="P892" i="6"/>
  <c r="W892" i="6" s="1"/>
  <c r="X892" i="6" s="1"/>
  <c r="P145" i="6"/>
  <c r="W145" i="6" s="1"/>
  <c r="X145" i="6" s="1"/>
  <c r="Z564" i="6"/>
  <c r="P872" i="6"/>
  <c r="W872" i="6" s="1"/>
  <c r="X872" i="6" s="1"/>
  <c r="Z905" i="6"/>
  <c r="P852" i="6"/>
  <c r="W852" i="6" s="1"/>
  <c r="X852" i="6" s="1"/>
  <c r="P372" i="6"/>
  <c r="W372" i="6" s="1"/>
  <c r="X372" i="6" s="1"/>
  <c r="P258" i="6"/>
  <c r="W258" i="6" s="1"/>
  <c r="X258" i="6" s="1"/>
  <c r="Z605" i="6"/>
  <c r="Z409" i="6"/>
  <c r="P842" i="6"/>
  <c r="W842" i="6" s="1"/>
  <c r="X842" i="6" s="1"/>
  <c r="P33" i="6"/>
  <c r="W33" i="6" s="1"/>
  <c r="X33" i="6" s="1"/>
  <c r="P500" i="6"/>
  <c r="W500" i="6" s="1"/>
  <c r="X500" i="6" s="1"/>
  <c r="P373" i="6"/>
  <c r="W373" i="6" s="1"/>
  <c r="X373" i="6" s="1"/>
  <c r="P329" i="6"/>
  <c r="W329" i="6" s="1"/>
  <c r="X329" i="6" s="1"/>
  <c r="Z933" i="6"/>
  <c r="P561" i="6"/>
  <c r="W561" i="6" s="1"/>
  <c r="X561" i="6" s="1"/>
  <c r="Z449" i="6"/>
  <c r="P829" i="6"/>
  <c r="W829" i="6" s="1"/>
  <c r="X829" i="6" s="1"/>
  <c r="P685" i="6"/>
  <c r="W685" i="6" s="1"/>
  <c r="X685" i="6" s="1"/>
  <c r="P730" i="6"/>
  <c r="W730" i="6" s="1"/>
  <c r="X730" i="6" s="1"/>
  <c r="P394" i="6"/>
  <c r="W394" i="6" s="1"/>
  <c r="X394" i="6" s="1"/>
  <c r="P358" i="6"/>
  <c r="W358" i="6" s="1"/>
  <c r="X358" i="6" s="1"/>
  <c r="P713" i="6"/>
  <c r="W713" i="6" s="1"/>
  <c r="X713" i="6" s="1"/>
  <c r="P810" i="6"/>
  <c r="W810" i="6" s="1"/>
  <c r="X810" i="6" s="1"/>
  <c r="Z1047" i="6"/>
  <c r="P164" i="6"/>
  <c r="W164" i="6" s="1"/>
  <c r="X164" i="6" s="1"/>
  <c r="Z29" i="6"/>
  <c r="P29" i="6"/>
  <c r="W29" i="6" s="1"/>
  <c r="X29" i="6" s="1"/>
  <c r="Z603" i="6"/>
  <c r="P603" i="6"/>
  <c r="W603" i="6" s="1"/>
  <c r="X603" i="6" s="1"/>
  <c r="Z1080" i="6"/>
  <c r="P1080" i="6"/>
  <c r="W1080" i="6" s="1"/>
  <c r="X1080" i="6" s="1"/>
  <c r="Z1088" i="6"/>
  <c r="P1088" i="6"/>
  <c r="W1088" i="6" s="1"/>
  <c r="X1088" i="6" s="1"/>
  <c r="Z1011" i="6"/>
  <c r="P1011" i="6"/>
  <c r="W1011" i="6" s="1"/>
  <c r="X1011" i="6" s="1"/>
  <c r="P957" i="6"/>
  <c r="W957" i="6" s="1"/>
  <c r="X957" i="6" s="1"/>
  <c r="Z957" i="6"/>
  <c r="Z547" i="6"/>
  <c r="P547" i="6"/>
  <c r="W547" i="6" s="1"/>
  <c r="X547" i="6" s="1"/>
  <c r="Z619" i="6"/>
  <c r="P619" i="6"/>
  <c r="W619" i="6" s="1"/>
  <c r="X619" i="6" s="1"/>
  <c r="Z895" i="6"/>
  <c r="P895" i="6"/>
  <c r="W895" i="6" s="1"/>
  <c r="X895" i="6" s="1"/>
  <c r="P886" i="6"/>
  <c r="W886" i="6" s="1"/>
  <c r="X886" i="6" s="1"/>
  <c r="Z886" i="6"/>
  <c r="Z894" i="6"/>
  <c r="P894" i="6"/>
  <c r="W894" i="6" s="1"/>
  <c r="X894" i="6" s="1"/>
  <c r="Z119" i="6"/>
  <c r="P119" i="6"/>
  <c r="W119" i="6" s="1"/>
  <c r="X119" i="6" s="1"/>
  <c r="P519" i="6"/>
  <c r="W519" i="6" s="1"/>
  <c r="X519" i="6" s="1"/>
  <c r="Z519" i="6"/>
  <c r="Z950" i="6"/>
  <c r="P950" i="6"/>
  <c r="W950" i="6" s="1"/>
  <c r="X950" i="6" s="1"/>
  <c r="Z958" i="6"/>
  <c r="P958" i="6"/>
  <c r="W958" i="6" s="1"/>
  <c r="X958" i="6" s="1"/>
  <c r="Z311" i="6"/>
  <c r="P311" i="6"/>
  <c r="W311" i="6" s="1"/>
  <c r="X311" i="6" s="1"/>
  <c r="Z711" i="6"/>
  <c r="P711" i="6"/>
  <c r="W711" i="6" s="1"/>
  <c r="X711" i="6" s="1"/>
  <c r="P1014" i="6"/>
  <c r="W1014" i="6" s="1"/>
  <c r="X1014" i="6" s="1"/>
  <c r="Z1014" i="6"/>
  <c r="Z1086" i="6"/>
  <c r="P1086" i="6"/>
  <c r="W1086" i="6" s="1"/>
  <c r="X1086" i="6" s="1"/>
  <c r="Z375" i="6"/>
  <c r="P375" i="6"/>
  <c r="W375" i="6" s="1"/>
  <c r="X375" i="6" s="1"/>
  <c r="Z775" i="6"/>
  <c r="P775" i="6"/>
  <c r="W775" i="6" s="1"/>
  <c r="X775" i="6" s="1"/>
  <c r="Z551" i="6"/>
  <c r="P551" i="6"/>
  <c r="W551" i="6" s="1"/>
  <c r="X551" i="6" s="1"/>
  <c r="Z623" i="6"/>
  <c r="P623" i="6"/>
  <c r="W623" i="6" s="1"/>
  <c r="X623" i="6" s="1"/>
  <c r="Z456" i="6"/>
  <c r="P456" i="6"/>
  <c r="W456" i="6" s="1"/>
  <c r="X456" i="6" s="1"/>
  <c r="Z480" i="6"/>
  <c r="P480" i="6"/>
  <c r="W480" i="6" s="1"/>
  <c r="X480" i="6" s="1"/>
  <c r="Z888" i="6"/>
  <c r="P888" i="6"/>
  <c r="W888" i="6" s="1"/>
  <c r="X888" i="6" s="1"/>
  <c r="Z896" i="6"/>
  <c r="P896" i="6"/>
  <c r="W896" i="6" s="1"/>
  <c r="X896" i="6" s="1"/>
  <c r="Z755" i="6"/>
  <c r="P755" i="6"/>
  <c r="W755" i="6" s="1"/>
  <c r="X755" i="6" s="1"/>
  <c r="Z296" i="6"/>
  <c r="P296" i="6"/>
  <c r="W296" i="6" s="1"/>
  <c r="X296" i="6" s="1"/>
  <c r="P952" i="6"/>
  <c r="W952" i="6" s="1"/>
  <c r="X952" i="6" s="1"/>
  <c r="Z952" i="6"/>
  <c r="P1024" i="6"/>
  <c r="W1024" i="6" s="1"/>
  <c r="X1024" i="6" s="1"/>
  <c r="Z1024" i="6"/>
  <c r="Z947" i="6"/>
  <c r="P947" i="6"/>
  <c r="W947" i="6" s="1"/>
  <c r="X947" i="6" s="1"/>
  <c r="Z543" i="6"/>
  <c r="P543" i="6"/>
  <c r="W543" i="6" s="1"/>
  <c r="X543" i="6" s="1"/>
  <c r="Z248" i="6"/>
  <c r="P248" i="6"/>
  <c r="W248" i="6" s="1"/>
  <c r="X248" i="6" s="1"/>
  <c r="Z47" i="6"/>
  <c r="P47" i="6"/>
  <c r="W47" i="6" s="1"/>
  <c r="X47" i="6" s="1"/>
  <c r="Z1067" i="6"/>
  <c r="P1067" i="6"/>
  <c r="W1067" i="6" s="1"/>
  <c r="X1067" i="6" s="1"/>
  <c r="Z962" i="6"/>
  <c r="P962" i="6"/>
  <c r="W962" i="6" s="1"/>
  <c r="X962" i="6" s="1"/>
  <c r="Z464" i="6"/>
  <c r="P464" i="6"/>
  <c r="W464" i="6" s="1"/>
  <c r="X464" i="6" s="1"/>
  <c r="Z672" i="6"/>
  <c r="P672" i="6"/>
  <c r="W672" i="6" s="1"/>
  <c r="X672" i="6" s="1"/>
  <c r="P552" i="6"/>
  <c r="W552" i="6" s="1"/>
  <c r="X552" i="6" s="1"/>
  <c r="Z552" i="6"/>
  <c r="Z139" i="6"/>
  <c r="P139" i="6"/>
  <c r="W139" i="6" s="1"/>
  <c r="X139" i="6" s="1"/>
  <c r="Z790" i="6"/>
  <c r="P790" i="6"/>
  <c r="W790" i="6" s="1"/>
  <c r="X790" i="6" s="1"/>
  <c r="Z11" i="6"/>
  <c r="P11" i="6"/>
  <c r="P662" i="6"/>
  <c r="W662" i="6" s="1"/>
  <c r="X662" i="6" s="1"/>
  <c r="Z662" i="6"/>
  <c r="Z288" i="6"/>
  <c r="P288" i="6"/>
  <c r="W288" i="6" s="1"/>
  <c r="X288" i="6" s="1"/>
  <c r="Z133" i="6"/>
  <c r="P133" i="6"/>
  <c r="W133" i="6" s="1"/>
  <c r="X133" i="6" s="1"/>
  <c r="P907" i="6"/>
  <c r="W907" i="6" s="1"/>
  <c r="X907" i="6" s="1"/>
  <c r="Z907" i="6"/>
  <c r="Z479" i="6"/>
  <c r="P479" i="6"/>
  <c r="W479" i="6" s="1"/>
  <c r="X479" i="6" s="1"/>
  <c r="Z1037" i="6"/>
  <c r="P1037" i="6"/>
  <c r="W1037" i="6" s="1"/>
  <c r="X1037" i="6" s="1"/>
  <c r="Z1075" i="6"/>
  <c r="P1075" i="6"/>
  <c r="W1075" i="6" s="1"/>
  <c r="X1075" i="6" s="1"/>
  <c r="Z327" i="6"/>
  <c r="P327" i="6"/>
  <c r="W327" i="6" s="1"/>
  <c r="X327" i="6" s="1"/>
  <c r="Z734" i="6"/>
  <c r="P734" i="6"/>
  <c r="W734" i="6" s="1"/>
  <c r="X734" i="6" s="1"/>
  <c r="Z915" i="6"/>
  <c r="P915" i="6"/>
  <c r="W915" i="6" s="1"/>
  <c r="X915" i="6" s="1"/>
  <c r="Z527" i="6"/>
  <c r="P527" i="6"/>
  <c r="W527" i="6" s="1"/>
  <c r="X527" i="6" s="1"/>
  <c r="P650" i="6"/>
  <c r="W650" i="6" s="1"/>
  <c r="X650" i="6" s="1"/>
  <c r="Z650" i="6"/>
  <c r="Z103" i="6"/>
  <c r="P103" i="6"/>
  <c r="W103" i="6" s="1"/>
  <c r="X103" i="6" s="1"/>
  <c r="Z965" i="6"/>
  <c r="P965" i="6"/>
  <c r="W965" i="6" s="1"/>
  <c r="X965" i="6" s="1"/>
  <c r="Z890" i="6"/>
  <c r="P890" i="6"/>
  <c r="W890" i="6" s="1"/>
  <c r="X890" i="6" s="1"/>
  <c r="Z392" i="6"/>
  <c r="P392" i="6"/>
  <c r="W392" i="6" s="1"/>
  <c r="X392" i="6" s="1"/>
  <c r="Z319" i="6"/>
  <c r="P319" i="6"/>
  <c r="W319" i="6" s="1"/>
  <c r="X319" i="6" s="1"/>
  <c r="Z792" i="6"/>
  <c r="P792" i="6"/>
  <c r="W792" i="6" s="1"/>
  <c r="X792" i="6" s="1"/>
  <c r="Z114" i="6"/>
  <c r="P114" i="6"/>
  <c r="W114" i="6" s="1"/>
  <c r="X114" i="6" s="1"/>
  <c r="Z535" i="6"/>
  <c r="P535" i="6"/>
  <c r="W535" i="6" s="1"/>
  <c r="X535" i="6" s="1"/>
  <c r="P658" i="6"/>
  <c r="W658" i="6" s="1"/>
  <c r="X658" i="6" s="1"/>
  <c r="Z658" i="6"/>
  <c r="P1008" i="6"/>
  <c r="W1008" i="6" s="1"/>
  <c r="X1008" i="6" s="1"/>
  <c r="Z1008" i="6"/>
  <c r="Z387" i="6"/>
  <c r="P387" i="6"/>
  <c r="W387" i="6" s="1"/>
  <c r="X387" i="6" s="1"/>
  <c r="Z436" i="6"/>
  <c r="P436" i="6"/>
  <c r="W436" i="6" s="1"/>
  <c r="X436" i="6" s="1"/>
  <c r="P350" i="6"/>
  <c r="W350" i="6" s="1"/>
  <c r="X350" i="6" s="1"/>
  <c r="Z350" i="6"/>
  <c r="Z531" i="6"/>
  <c r="P531" i="6"/>
  <c r="W531" i="6" s="1"/>
  <c r="X531" i="6" s="1"/>
  <c r="Z15" i="6"/>
  <c r="P15" i="6"/>
  <c r="Z346" i="6"/>
  <c r="P346" i="6"/>
  <c r="W346" i="6" s="1"/>
  <c r="X346" i="6" s="1"/>
  <c r="Z584" i="6"/>
  <c r="P584" i="6"/>
  <c r="W584" i="6" s="1"/>
  <c r="X584" i="6" s="1"/>
  <c r="Z511" i="6"/>
  <c r="P511" i="6"/>
  <c r="W511" i="6" s="1"/>
  <c r="X511" i="6" s="1"/>
  <c r="Z984" i="6"/>
  <c r="P984" i="6"/>
  <c r="W984" i="6" s="1"/>
  <c r="X984" i="6" s="1"/>
  <c r="Z1025" i="6"/>
  <c r="P1025" i="6"/>
  <c r="W1025" i="6" s="1"/>
  <c r="X1025" i="6" s="1"/>
  <c r="P23" i="6"/>
  <c r="W23" i="6" s="1"/>
  <c r="X23" i="6" s="1"/>
  <c r="Z23" i="6"/>
  <c r="Z354" i="6"/>
  <c r="P354" i="6"/>
  <c r="W354" i="6" s="1"/>
  <c r="X354" i="6" s="1"/>
  <c r="Z987" i="6"/>
  <c r="P987" i="6"/>
  <c r="W987" i="6" s="1"/>
  <c r="X987" i="6" s="1"/>
  <c r="Z882" i="6"/>
  <c r="P882" i="6"/>
  <c r="W882" i="6" s="1"/>
  <c r="X882" i="6" s="1"/>
  <c r="Z954" i="6"/>
  <c r="P954" i="6"/>
  <c r="W954" i="6" s="1"/>
  <c r="X954" i="6" s="1"/>
  <c r="Z910" i="6"/>
  <c r="P910" i="6"/>
  <c r="W910" i="6" s="1"/>
  <c r="X910" i="6" s="1"/>
  <c r="Z118" i="6"/>
  <c r="P118" i="6"/>
  <c r="W118" i="6" s="1"/>
  <c r="X118" i="6" s="1"/>
  <c r="Z126" i="6"/>
  <c r="P126" i="6"/>
  <c r="W126" i="6" s="1"/>
  <c r="X126" i="6" s="1"/>
  <c r="Z262" i="6"/>
  <c r="P262" i="6"/>
  <c r="W262" i="6" s="1"/>
  <c r="X262" i="6" s="1"/>
  <c r="P784" i="6"/>
  <c r="W784" i="6" s="1"/>
  <c r="X784" i="6" s="1"/>
  <c r="Z784" i="6"/>
  <c r="Z295" i="6"/>
  <c r="P295" i="6"/>
  <c r="W295" i="6" s="1"/>
  <c r="X295" i="6" s="1"/>
  <c r="Z367" i="6"/>
  <c r="P367" i="6"/>
  <c r="W367" i="6" s="1"/>
  <c r="X367" i="6" s="1"/>
  <c r="Z8" i="6"/>
  <c r="P8" i="6"/>
  <c r="W8" i="6" s="1"/>
  <c r="Z1112" i="6"/>
  <c r="P1112" i="6"/>
  <c r="W1112" i="6" s="1"/>
  <c r="X1112" i="6" s="1"/>
  <c r="Z423" i="6"/>
  <c r="P423" i="6"/>
  <c r="W423" i="6" s="1"/>
  <c r="X423" i="6" s="1"/>
  <c r="Z431" i="6"/>
  <c r="P431" i="6"/>
  <c r="W431" i="6" s="1"/>
  <c r="X431" i="6" s="1"/>
  <c r="Z200" i="6"/>
  <c r="P200" i="6"/>
  <c r="W200" i="6" s="1"/>
  <c r="X200" i="6" s="1"/>
  <c r="Z1103" i="6"/>
  <c r="P1103" i="6"/>
  <c r="W1103" i="6" s="1"/>
  <c r="X1103" i="6" s="1"/>
  <c r="P487" i="6"/>
  <c r="W487" i="6" s="1"/>
  <c r="X487" i="6" s="1"/>
  <c r="Z487" i="6"/>
  <c r="P495" i="6"/>
  <c r="W495" i="6" s="1"/>
  <c r="X495" i="6" s="1"/>
  <c r="Z495" i="6"/>
  <c r="P264" i="6"/>
  <c r="W264" i="6" s="1"/>
  <c r="X264" i="6" s="1"/>
  <c r="Z264" i="6"/>
  <c r="Z224" i="6"/>
  <c r="P224" i="6"/>
  <c r="W224" i="6" s="1"/>
  <c r="X224" i="6" s="1"/>
  <c r="Z120" i="6"/>
  <c r="P120" i="6"/>
  <c r="W120" i="6" s="1"/>
  <c r="X120" i="6" s="1"/>
  <c r="Z128" i="6"/>
  <c r="P128" i="6"/>
  <c r="W128" i="6" s="1"/>
  <c r="X128" i="6" s="1"/>
  <c r="Z770" i="6"/>
  <c r="P770" i="6"/>
  <c r="W770" i="6" s="1"/>
  <c r="X770" i="6" s="1"/>
  <c r="P579" i="6"/>
  <c r="W579" i="6" s="1"/>
  <c r="X579" i="6" s="1"/>
  <c r="Z579" i="6"/>
  <c r="Z754" i="6"/>
  <c r="P754" i="6"/>
  <c r="W754" i="6" s="1"/>
  <c r="X754" i="6" s="1"/>
  <c r="Z762" i="6"/>
  <c r="P762" i="6"/>
  <c r="W762" i="6" s="1"/>
  <c r="X762" i="6" s="1"/>
  <c r="Z654" i="6"/>
  <c r="P654" i="6"/>
  <c r="W654" i="6" s="1"/>
  <c r="X654" i="6" s="1"/>
  <c r="Z386" i="6"/>
  <c r="P386" i="6"/>
  <c r="W386" i="6" s="1"/>
  <c r="X386" i="6" s="1"/>
  <c r="Z818" i="6"/>
  <c r="P818" i="6"/>
  <c r="W818" i="6" s="1"/>
  <c r="X818" i="6" s="1"/>
  <c r="Z826" i="6"/>
  <c r="P826" i="6"/>
  <c r="W826" i="6" s="1"/>
  <c r="X826" i="6" s="1"/>
  <c r="P846" i="6"/>
  <c r="W846" i="6" s="1"/>
  <c r="X846" i="6" s="1"/>
  <c r="Z846" i="6"/>
  <c r="Z155" i="6"/>
  <c r="P155" i="6"/>
  <c r="W155" i="6" s="1"/>
  <c r="X155" i="6" s="1"/>
  <c r="Z760" i="6"/>
  <c r="P760" i="6"/>
  <c r="W760" i="6" s="1"/>
  <c r="X760" i="6" s="1"/>
  <c r="Z559" i="6"/>
  <c r="P559" i="6"/>
  <c r="W559" i="6" s="1"/>
  <c r="X559" i="6" s="1"/>
  <c r="Z454" i="6"/>
  <c r="P454" i="6"/>
  <c r="W454" i="6" s="1"/>
  <c r="X454" i="6" s="1"/>
  <c r="Z371" i="6"/>
  <c r="P371" i="6"/>
  <c r="W371" i="6" s="1"/>
  <c r="X371" i="6" s="1"/>
  <c r="Z976" i="6"/>
  <c r="P976" i="6"/>
  <c r="W976" i="6" s="1"/>
  <c r="X976" i="6" s="1"/>
  <c r="Z360" i="6"/>
  <c r="P360" i="6"/>
  <c r="W360" i="6" s="1"/>
  <c r="X360" i="6" s="1"/>
  <c r="P31" i="6"/>
  <c r="W31" i="6" s="1"/>
  <c r="X31" i="6" s="1"/>
  <c r="Z31" i="6"/>
  <c r="Z362" i="6"/>
  <c r="P362" i="6"/>
  <c r="W362" i="6" s="1"/>
  <c r="X362" i="6" s="1"/>
  <c r="Z891" i="6"/>
  <c r="P891" i="6"/>
  <c r="W891" i="6" s="1"/>
  <c r="X891" i="6" s="1"/>
  <c r="Z282" i="6"/>
  <c r="P282" i="6"/>
  <c r="W282" i="6" s="1"/>
  <c r="X282" i="6" s="1"/>
  <c r="Z763" i="6"/>
  <c r="P763" i="6"/>
  <c r="W763" i="6" s="1"/>
  <c r="X763" i="6" s="1"/>
  <c r="P800" i="6"/>
  <c r="W800" i="6" s="1"/>
  <c r="X800" i="6" s="1"/>
  <c r="Z800" i="6"/>
  <c r="P40" i="6"/>
  <c r="W40" i="6" s="1"/>
  <c r="X40" i="6" s="1"/>
  <c r="Z40" i="6"/>
  <c r="Z986" i="6"/>
  <c r="P986" i="6"/>
  <c r="W986" i="6" s="1"/>
  <c r="X986" i="6" s="1"/>
  <c r="Z534" i="6"/>
  <c r="P534" i="6"/>
  <c r="W534" i="6" s="1"/>
  <c r="X534" i="6" s="1"/>
  <c r="Z439" i="6"/>
  <c r="P439" i="6"/>
  <c r="W439" i="6" s="1"/>
  <c r="X439" i="6" s="1"/>
  <c r="Z462" i="6"/>
  <c r="P462" i="6"/>
  <c r="W462" i="6" s="1"/>
  <c r="X462" i="6" s="1"/>
  <c r="Z839" i="6"/>
  <c r="P839" i="6"/>
  <c r="W839" i="6" s="1"/>
  <c r="X839" i="6" s="1"/>
  <c r="P835" i="6"/>
  <c r="W835" i="6" s="1"/>
  <c r="X835" i="6" s="1"/>
  <c r="Z835" i="6"/>
  <c r="Z994" i="6"/>
  <c r="P994" i="6"/>
  <c r="W994" i="6" s="1"/>
  <c r="X994" i="6" s="1"/>
  <c r="Z542" i="6"/>
  <c r="P542" i="6"/>
  <c r="W542" i="6" s="1"/>
  <c r="X542" i="6" s="1"/>
  <c r="P10" i="6"/>
  <c r="P615" i="6"/>
  <c r="W615" i="6" s="1"/>
  <c r="X615" i="6" s="1"/>
  <c r="Z615" i="6"/>
  <c r="Z510" i="6"/>
  <c r="P510" i="6"/>
  <c r="W510" i="6" s="1"/>
  <c r="X510" i="6" s="1"/>
  <c r="Z299" i="6"/>
  <c r="P299" i="6"/>
  <c r="W299" i="6" s="1"/>
  <c r="X299" i="6" s="1"/>
  <c r="Z904" i="6"/>
  <c r="P904" i="6"/>
  <c r="W904" i="6" s="1"/>
  <c r="X904" i="6" s="1"/>
  <c r="Z831" i="6"/>
  <c r="P831" i="6"/>
  <c r="W831" i="6" s="1"/>
  <c r="X831" i="6" s="1"/>
  <c r="Z1039" i="6"/>
  <c r="P1039" i="6"/>
  <c r="W1039" i="6" s="1"/>
  <c r="X1039" i="6" s="1"/>
  <c r="Z588" i="6"/>
  <c r="P588" i="6"/>
  <c r="W588" i="6" s="1"/>
  <c r="X588" i="6" s="1"/>
  <c r="P550" i="6"/>
  <c r="W550" i="6" s="1"/>
  <c r="X550" i="6" s="1"/>
  <c r="Z550" i="6"/>
  <c r="P688" i="6"/>
  <c r="W688" i="6" s="1"/>
  <c r="X688" i="6" s="1"/>
  <c r="Z688" i="6"/>
  <c r="Z351" i="6"/>
  <c r="P351" i="6"/>
  <c r="W351" i="6" s="1"/>
  <c r="X351" i="6" s="1"/>
  <c r="Z546" i="6"/>
  <c r="P546" i="6"/>
  <c r="W546" i="6" s="1"/>
  <c r="X546" i="6" s="1"/>
  <c r="Z1031" i="6"/>
  <c r="P1031" i="6"/>
  <c r="W1031" i="6" s="1"/>
  <c r="X1031" i="6" s="1"/>
  <c r="Z451" i="6"/>
  <c r="P451" i="6"/>
  <c r="W451" i="6" s="1"/>
  <c r="X451" i="6" s="1"/>
  <c r="Z674" i="6"/>
  <c r="P674" i="6"/>
  <c r="W674" i="6" s="1"/>
  <c r="X674" i="6" s="1"/>
  <c r="P158" i="6"/>
  <c r="W158" i="6" s="1"/>
  <c r="X158" i="6" s="1"/>
  <c r="Z158" i="6"/>
  <c r="P921" i="6"/>
  <c r="W921" i="6" s="1"/>
  <c r="X921" i="6" s="1"/>
  <c r="Z921" i="6"/>
  <c r="Z1096" i="6"/>
  <c r="P1096" i="6"/>
  <c r="W1096" i="6" s="1"/>
  <c r="X1096" i="6" s="1"/>
  <c r="Z1023" i="6"/>
  <c r="P1023" i="6"/>
  <c r="W1023" i="6" s="1"/>
  <c r="X1023" i="6" s="1"/>
  <c r="Z96" i="6"/>
  <c r="P96" i="6"/>
  <c r="W96" i="6" s="1"/>
  <c r="X96" i="6" s="1"/>
  <c r="Z76" i="6"/>
  <c r="P76" i="6"/>
  <c r="W76" i="6" s="1"/>
  <c r="X76" i="6" s="1"/>
  <c r="Z166" i="6"/>
  <c r="P166" i="6"/>
  <c r="W166" i="6" s="1"/>
  <c r="X166" i="6" s="1"/>
  <c r="Z1055" i="6"/>
  <c r="P1055" i="6"/>
  <c r="W1055" i="6" s="1"/>
  <c r="X1055" i="6" s="1"/>
  <c r="Z581" i="6"/>
  <c r="Z475" i="6"/>
  <c r="P475" i="6"/>
  <c r="W475" i="6" s="1"/>
  <c r="X475" i="6" s="1"/>
  <c r="Z483" i="6"/>
  <c r="P483" i="6"/>
  <c r="W483" i="6" s="1"/>
  <c r="X483" i="6" s="1"/>
  <c r="Z491" i="6"/>
  <c r="P491" i="6"/>
  <c r="W491" i="6" s="1"/>
  <c r="X491" i="6" s="1"/>
  <c r="Z703" i="6"/>
  <c r="P703" i="6"/>
  <c r="W703" i="6" s="1"/>
  <c r="X703" i="6" s="1"/>
  <c r="P758" i="6"/>
  <c r="W758" i="6" s="1"/>
  <c r="X758" i="6" s="1"/>
  <c r="Z758" i="6"/>
  <c r="Z830" i="6"/>
  <c r="P830" i="6"/>
  <c r="W830" i="6" s="1"/>
  <c r="X830" i="6" s="1"/>
  <c r="Z55" i="6"/>
  <c r="P55" i="6"/>
  <c r="W55" i="6" s="1"/>
  <c r="X55" i="6" s="1"/>
  <c r="P455" i="6"/>
  <c r="W455" i="6" s="1"/>
  <c r="X455" i="6" s="1"/>
  <c r="Z455" i="6"/>
  <c r="Z999" i="6"/>
  <c r="P999" i="6"/>
  <c r="W999" i="6" s="1"/>
  <c r="X999" i="6" s="1"/>
  <c r="Z1007" i="6"/>
  <c r="P1007" i="6"/>
  <c r="W1007" i="6" s="1"/>
  <c r="X1007" i="6" s="1"/>
  <c r="P1032" i="6"/>
  <c r="W1032" i="6" s="1"/>
  <c r="X1032" i="6" s="1"/>
  <c r="Z1032" i="6"/>
  <c r="Z990" i="6"/>
  <c r="P990" i="6"/>
  <c r="W990" i="6" s="1"/>
  <c r="X990" i="6" s="1"/>
  <c r="P1063" i="6"/>
  <c r="W1063" i="6" s="1"/>
  <c r="X1063" i="6" s="1"/>
  <c r="Z1063" i="6"/>
  <c r="Z54" i="6"/>
  <c r="P54" i="6"/>
  <c r="W54" i="6" s="1"/>
  <c r="X54" i="6" s="1"/>
  <c r="Z514" i="6"/>
  <c r="P514" i="6"/>
  <c r="W514" i="6" s="1"/>
  <c r="X514" i="6" s="1"/>
  <c r="Z478" i="6"/>
  <c r="P478" i="6"/>
  <c r="W478" i="6" s="1"/>
  <c r="X478" i="6" s="1"/>
  <c r="P56" i="6"/>
  <c r="W56" i="6" s="1"/>
  <c r="X56" i="6" s="1"/>
  <c r="Z56" i="6"/>
  <c r="Z64" i="6"/>
  <c r="P64" i="6"/>
  <c r="W64" i="6" s="1"/>
  <c r="X64" i="6" s="1"/>
  <c r="Z578" i="6"/>
  <c r="P578" i="6"/>
  <c r="W578" i="6" s="1"/>
  <c r="X578" i="6" s="1"/>
  <c r="Z1091" i="6"/>
  <c r="P1091" i="6"/>
  <c r="W1091" i="6" s="1"/>
  <c r="X1091" i="6" s="1"/>
  <c r="P824" i="6"/>
  <c r="W824" i="6" s="1"/>
  <c r="X824" i="6" s="1"/>
  <c r="Z824" i="6"/>
  <c r="Z832" i="6"/>
  <c r="P832" i="6"/>
  <c r="W832" i="6" s="1"/>
  <c r="X832" i="6" s="1"/>
  <c r="Z691" i="6"/>
  <c r="P691" i="6"/>
  <c r="W691" i="6" s="1"/>
  <c r="X691" i="6" s="1"/>
  <c r="Z560" i="6"/>
  <c r="P560" i="6"/>
  <c r="W560" i="6" s="1"/>
  <c r="X560" i="6" s="1"/>
  <c r="Z291" i="6"/>
  <c r="P291" i="6"/>
  <c r="W291" i="6" s="1"/>
  <c r="X291" i="6" s="1"/>
  <c r="Z363" i="6"/>
  <c r="P363" i="6"/>
  <c r="W363" i="6" s="1"/>
  <c r="X363" i="6" s="1"/>
  <c r="Z447" i="6"/>
  <c r="P447" i="6"/>
  <c r="W447" i="6" s="1"/>
  <c r="X447" i="6" s="1"/>
  <c r="Z347" i="6"/>
  <c r="P347" i="6"/>
  <c r="W347" i="6" s="1"/>
  <c r="X347" i="6" s="1"/>
  <c r="P419" i="6"/>
  <c r="W419" i="6" s="1"/>
  <c r="X419" i="6" s="1"/>
  <c r="Z419" i="6"/>
  <c r="Z427" i="6"/>
  <c r="P427" i="6"/>
  <c r="W427" i="6" s="1"/>
  <c r="X427" i="6" s="1"/>
  <c r="Z639" i="6"/>
  <c r="P639" i="6"/>
  <c r="W639" i="6" s="1"/>
  <c r="X639" i="6" s="1"/>
  <c r="Z667" i="6"/>
  <c r="P667" i="6"/>
  <c r="W667" i="6" s="1"/>
  <c r="X667" i="6" s="1"/>
  <c r="Z434" i="6"/>
  <c r="P434" i="6"/>
  <c r="W434" i="6" s="1"/>
  <c r="X434" i="6" s="1"/>
  <c r="Z1071" i="6"/>
  <c r="P1071" i="6"/>
  <c r="W1071" i="6" s="1"/>
  <c r="X1071" i="6" s="1"/>
  <c r="Z966" i="6"/>
  <c r="P966" i="6"/>
  <c r="W966" i="6" s="1"/>
  <c r="X966" i="6" s="1"/>
  <c r="Z883" i="6"/>
  <c r="P883" i="6"/>
  <c r="W883" i="6" s="1"/>
  <c r="X883" i="6" s="1"/>
  <c r="Z135" i="6"/>
  <c r="P135" i="6"/>
  <c r="W135" i="6" s="1"/>
  <c r="X135" i="6" s="1"/>
  <c r="Z989" i="6"/>
  <c r="P989" i="6"/>
  <c r="W989" i="6" s="1"/>
  <c r="X989" i="6" s="1"/>
  <c r="Z174" i="6"/>
  <c r="P174" i="6"/>
  <c r="W174" i="6" s="1"/>
  <c r="X174" i="6" s="1"/>
  <c r="Z1111" i="6"/>
  <c r="P1111" i="6"/>
  <c r="W1111" i="6" s="1"/>
  <c r="X1111" i="6" s="1"/>
  <c r="Z970" i="6"/>
  <c r="P970" i="6"/>
  <c r="W970" i="6" s="1"/>
  <c r="X970" i="6" s="1"/>
  <c r="Z855" i="6"/>
  <c r="P855" i="6"/>
  <c r="W855" i="6" s="1"/>
  <c r="X855" i="6" s="1"/>
  <c r="Z850" i="6"/>
  <c r="P850" i="6"/>
  <c r="W850" i="6" s="1"/>
  <c r="X850" i="6" s="1"/>
  <c r="Z983" i="6"/>
  <c r="P983" i="6"/>
  <c r="W983" i="6" s="1"/>
  <c r="X983" i="6" s="1"/>
  <c r="Z942" i="6"/>
  <c r="P942" i="6"/>
  <c r="W942" i="6" s="1"/>
  <c r="X942" i="6" s="1"/>
  <c r="Z218" i="6"/>
  <c r="P218" i="6"/>
  <c r="W218" i="6" s="1"/>
  <c r="X218" i="6" s="1"/>
  <c r="P635" i="6"/>
  <c r="W635" i="6" s="1"/>
  <c r="X635" i="6" s="1"/>
  <c r="Z635" i="6"/>
  <c r="Z951" i="6"/>
  <c r="P951" i="6"/>
  <c r="W951" i="6" s="1"/>
  <c r="X951" i="6" s="1"/>
  <c r="Z974" i="6"/>
  <c r="P974" i="6"/>
  <c r="W974" i="6" s="1"/>
  <c r="X974" i="6" s="1"/>
  <c r="Z216" i="6"/>
  <c r="P216" i="6"/>
  <c r="W216" i="6" s="1"/>
  <c r="X216" i="6" s="1"/>
  <c r="Z914" i="6"/>
  <c r="P914" i="6"/>
  <c r="W914" i="6" s="1"/>
  <c r="X914" i="6" s="1"/>
  <c r="Z226" i="6"/>
  <c r="P226" i="6"/>
  <c r="W226" i="6" s="1"/>
  <c r="X226" i="6" s="1"/>
  <c r="Z643" i="6"/>
  <c r="P643" i="6"/>
  <c r="W643" i="6" s="1"/>
  <c r="X643" i="6" s="1"/>
  <c r="Z309" i="6"/>
  <c r="P309" i="6"/>
  <c r="W309" i="6" s="1"/>
  <c r="X309" i="6" s="1"/>
  <c r="Z30" i="6"/>
  <c r="P30" i="6"/>
  <c r="W30" i="6" s="1"/>
  <c r="X30" i="6" s="1"/>
  <c r="Z1022" i="6"/>
  <c r="P1022" i="6"/>
  <c r="W1022" i="6" s="1"/>
  <c r="X1022" i="6" s="1"/>
  <c r="Z811" i="6"/>
  <c r="P811" i="6"/>
  <c r="W811" i="6" s="1"/>
  <c r="X811" i="6" s="1"/>
  <c r="P706" i="6"/>
  <c r="W706" i="6" s="1"/>
  <c r="X706" i="6" s="1"/>
  <c r="Z706" i="6"/>
  <c r="Z208" i="6"/>
  <c r="P208" i="6"/>
  <c r="W208" i="6" s="1"/>
  <c r="X208" i="6" s="1"/>
  <c r="Z416" i="6"/>
  <c r="P416" i="6"/>
  <c r="W416" i="6" s="1"/>
  <c r="X416" i="6" s="1"/>
  <c r="P816" i="6"/>
  <c r="W816" i="6" s="1"/>
  <c r="X816" i="6" s="1"/>
  <c r="Z816" i="6"/>
  <c r="P651" i="6"/>
  <c r="W651" i="6" s="1"/>
  <c r="X651" i="6" s="1"/>
  <c r="Z651" i="6"/>
  <c r="P151" i="6"/>
  <c r="W151" i="6" s="1"/>
  <c r="X151" i="6" s="1"/>
  <c r="Z151" i="6"/>
  <c r="Z422" i="6"/>
  <c r="P422" i="6"/>
  <c r="W422" i="6" s="1"/>
  <c r="X422" i="6" s="1"/>
  <c r="Z432" i="6"/>
  <c r="P432" i="6"/>
  <c r="W432" i="6" s="1"/>
  <c r="X432" i="6" s="1"/>
  <c r="Z408" i="6"/>
  <c r="P408" i="6"/>
  <c r="W408" i="6" s="1"/>
  <c r="X408" i="6" s="1"/>
  <c r="P602" i="6"/>
  <c r="W602" i="6" s="1"/>
  <c r="X602" i="6" s="1"/>
  <c r="Z602" i="6"/>
  <c r="Z752" i="6"/>
  <c r="P752" i="6"/>
  <c r="W752" i="6" s="1"/>
  <c r="X752" i="6" s="1"/>
  <c r="P259" i="6"/>
  <c r="W259" i="6" s="1"/>
  <c r="X259" i="6" s="1"/>
  <c r="Z259" i="6"/>
  <c r="P221" i="6"/>
  <c r="W221" i="6" s="1"/>
  <c r="X221" i="6" s="1"/>
  <c r="Z221" i="6"/>
  <c r="Z898" i="6"/>
  <c r="P898" i="6"/>
  <c r="W898" i="6" s="1"/>
  <c r="X898" i="6" s="1"/>
  <c r="Z400" i="6"/>
  <c r="P400" i="6"/>
  <c r="W400" i="6" s="1"/>
  <c r="X400" i="6" s="1"/>
  <c r="Z608" i="6"/>
  <c r="P608" i="6"/>
  <c r="W608" i="6" s="1"/>
  <c r="X608" i="6" s="1"/>
  <c r="Z808" i="6"/>
  <c r="P808" i="6"/>
  <c r="W808" i="6" s="1"/>
  <c r="X808" i="6" s="1"/>
  <c r="P267" i="6"/>
  <c r="W267" i="6" s="1"/>
  <c r="X267" i="6" s="1"/>
  <c r="Z267" i="6"/>
  <c r="Z918" i="6"/>
  <c r="P918" i="6"/>
  <c r="W918" i="6" s="1"/>
  <c r="X918" i="6" s="1"/>
  <c r="P938" i="6"/>
  <c r="W938" i="6" s="1"/>
  <c r="X938" i="6" s="1"/>
  <c r="Z938" i="6"/>
  <c r="Z949" i="6"/>
  <c r="P949" i="6"/>
  <c r="W949" i="6" s="1"/>
  <c r="X949" i="6" s="1"/>
  <c r="Z46" i="6"/>
  <c r="P46" i="6"/>
  <c r="W46" i="6" s="1"/>
  <c r="X46" i="6" s="1"/>
  <c r="Z70" i="6"/>
  <c r="P70" i="6"/>
  <c r="W70" i="6" s="1"/>
  <c r="X70" i="6" s="1"/>
  <c r="Z592" i="6"/>
  <c r="P592" i="6"/>
  <c r="W592" i="6" s="1"/>
  <c r="X592" i="6" s="1"/>
  <c r="Z231" i="6"/>
  <c r="P231" i="6"/>
  <c r="W231" i="6" s="1"/>
  <c r="X231" i="6" s="1"/>
  <c r="P239" i="6"/>
  <c r="W239" i="6" s="1"/>
  <c r="X239" i="6" s="1"/>
  <c r="Z239" i="6"/>
  <c r="P1079" i="6"/>
  <c r="W1079" i="6" s="1"/>
  <c r="X1079" i="6" s="1"/>
  <c r="Z1079" i="6"/>
  <c r="Z856" i="6"/>
  <c r="P856" i="6"/>
  <c r="W856" i="6" s="1"/>
  <c r="X856" i="6" s="1"/>
  <c r="Z568" i="6"/>
  <c r="P568" i="6"/>
  <c r="W568" i="6" s="1"/>
  <c r="X568" i="6" s="1"/>
  <c r="Z576" i="6"/>
  <c r="P576" i="6"/>
  <c r="W576" i="6" s="1"/>
  <c r="X576" i="6" s="1"/>
  <c r="P243" i="6"/>
  <c r="W243" i="6" s="1"/>
  <c r="X243" i="6" s="1"/>
  <c r="Z243" i="6"/>
  <c r="Z897" i="6"/>
  <c r="P897" i="6"/>
  <c r="W897" i="6" s="1"/>
  <c r="X897" i="6" s="1"/>
  <c r="P632" i="6"/>
  <c r="W632" i="6" s="1"/>
  <c r="X632" i="6" s="1"/>
  <c r="Z632" i="6"/>
  <c r="Z640" i="6"/>
  <c r="P640" i="6"/>
  <c r="W640" i="6" s="1"/>
  <c r="X640" i="6" s="1"/>
  <c r="Z435" i="6"/>
  <c r="P435" i="6"/>
  <c r="W435" i="6" s="1"/>
  <c r="X435" i="6" s="1"/>
  <c r="Z417" i="6"/>
  <c r="P417" i="6"/>
  <c r="W417" i="6" s="1"/>
  <c r="X417" i="6" s="1"/>
  <c r="Z696" i="6"/>
  <c r="P696" i="6"/>
  <c r="W696" i="6" s="1"/>
  <c r="X696" i="6" s="1"/>
  <c r="Z768" i="6"/>
  <c r="P768" i="6"/>
  <c r="W768" i="6" s="1"/>
  <c r="X768" i="6" s="1"/>
  <c r="Z499" i="6"/>
  <c r="P499" i="6"/>
  <c r="W499" i="6" s="1"/>
  <c r="X499" i="6" s="1"/>
  <c r="Z137" i="6"/>
  <c r="P137" i="6"/>
  <c r="W137" i="6" s="1"/>
  <c r="X137" i="6" s="1"/>
  <c r="Z626" i="6"/>
  <c r="P626" i="6"/>
  <c r="W626" i="6" s="1"/>
  <c r="X626" i="6" s="1"/>
  <c r="Z698" i="6"/>
  <c r="P698" i="6"/>
  <c r="W698" i="6" s="1"/>
  <c r="X698" i="6" s="1"/>
  <c r="Z590" i="6"/>
  <c r="P590" i="6"/>
  <c r="W590" i="6" s="1"/>
  <c r="X590" i="6" s="1"/>
  <c r="Z786" i="6"/>
  <c r="P786" i="6"/>
  <c r="W786" i="6" s="1"/>
  <c r="X786" i="6" s="1"/>
  <c r="Z995" i="6"/>
  <c r="P995" i="6"/>
  <c r="W995" i="6" s="1"/>
  <c r="X995" i="6" s="1"/>
  <c r="P1003" i="6"/>
  <c r="W1003" i="6" s="1"/>
  <c r="X1003" i="6" s="1"/>
  <c r="Z1003" i="6"/>
  <c r="Z336" i="6"/>
  <c r="P336" i="6"/>
  <c r="W336" i="6" s="1"/>
  <c r="X336" i="6" s="1"/>
  <c r="P1051" i="6"/>
  <c r="W1051" i="6" s="1"/>
  <c r="X1051" i="6" s="1"/>
  <c r="Z1051" i="6"/>
  <c r="Z1059" i="6"/>
  <c r="P1059" i="6"/>
  <c r="W1059" i="6" s="1"/>
  <c r="X1059" i="6" s="1"/>
  <c r="Z981" i="6"/>
  <c r="P981" i="6"/>
  <c r="W981" i="6" s="1"/>
  <c r="X981" i="6" s="1"/>
  <c r="Z528" i="6"/>
  <c r="P528" i="6"/>
  <c r="W528" i="6" s="1"/>
  <c r="X528" i="6" s="1"/>
  <c r="P14" i="6"/>
  <c r="Z14" i="6"/>
  <c r="Z946" i="6"/>
  <c r="P946" i="6"/>
  <c r="W946" i="6" s="1"/>
  <c r="X946" i="6" s="1"/>
  <c r="Z448" i="6"/>
  <c r="P448" i="6"/>
  <c r="W448" i="6" s="1"/>
  <c r="X448" i="6" s="1"/>
  <c r="Z247" i="6"/>
  <c r="P247" i="6"/>
  <c r="W247" i="6" s="1"/>
  <c r="X247" i="6" s="1"/>
  <c r="Z270" i="6"/>
  <c r="P270" i="6"/>
  <c r="W270" i="6" s="1"/>
  <c r="X270" i="6" s="1"/>
  <c r="Z647" i="6"/>
  <c r="P647" i="6"/>
  <c r="W647" i="6" s="1"/>
  <c r="X647" i="6" s="1"/>
  <c r="P94" i="6"/>
  <c r="W94" i="6" s="1"/>
  <c r="X94" i="6" s="1"/>
  <c r="Z94" i="6"/>
  <c r="Z275" i="6"/>
  <c r="P275" i="6"/>
  <c r="W275" i="6" s="1"/>
  <c r="X275" i="6" s="1"/>
  <c r="Z926" i="6"/>
  <c r="P926" i="6"/>
  <c r="W926" i="6" s="1"/>
  <c r="X926" i="6" s="1"/>
  <c r="Z202" i="6"/>
  <c r="P202" i="6"/>
  <c r="W202" i="6" s="1"/>
  <c r="X202" i="6" s="1"/>
  <c r="P798" i="6"/>
  <c r="W798" i="6" s="1"/>
  <c r="X798" i="6" s="1"/>
  <c r="Z798" i="6"/>
  <c r="Z138" i="6"/>
  <c r="P138" i="6"/>
  <c r="W138" i="6" s="1"/>
  <c r="X138" i="6" s="1"/>
  <c r="Z862" i="6"/>
  <c r="P862" i="6"/>
  <c r="W862" i="6" s="1"/>
  <c r="X862" i="6" s="1"/>
  <c r="Z1043" i="6"/>
  <c r="P1043" i="6"/>
  <c r="W1043" i="6" s="1"/>
  <c r="X1043" i="6" s="1"/>
  <c r="Z671" i="6"/>
  <c r="P671" i="6"/>
  <c r="W671" i="6" s="1"/>
  <c r="X671" i="6" s="1"/>
  <c r="Z738" i="6"/>
  <c r="P738" i="6"/>
  <c r="W738" i="6" s="1"/>
  <c r="X738" i="6" s="1"/>
  <c r="Z328" i="6"/>
  <c r="P328" i="6"/>
  <c r="W328" i="6" s="1"/>
  <c r="X328" i="6" s="1"/>
  <c r="P255" i="6"/>
  <c r="W255" i="6" s="1"/>
  <c r="X255" i="6" s="1"/>
  <c r="Z255" i="6"/>
  <c r="Z728" i="6"/>
  <c r="P728" i="6"/>
  <c r="W728" i="6" s="1"/>
  <c r="X728" i="6" s="1"/>
  <c r="Z178" i="6"/>
  <c r="P178" i="6"/>
  <c r="W178" i="6" s="1"/>
  <c r="X178" i="6" s="1"/>
  <c r="P719" i="6"/>
  <c r="W719" i="6" s="1"/>
  <c r="X719" i="6" s="1"/>
  <c r="Z719" i="6"/>
  <c r="P746" i="6"/>
  <c r="W746" i="6" s="1"/>
  <c r="X746" i="6" s="1"/>
  <c r="Z746" i="6"/>
  <c r="P1002" i="6"/>
  <c r="W1002" i="6" s="1"/>
  <c r="X1002" i="6" s="1"/>
  <c r="Z1002" i="6"/>
  <c r="P504" i="6"/>
  <c r="W504" i="6" s="1"/>
  <c r="X504" i="6" s="1"/>
  <c r="Z504" i="6"/>
  <c r="Z303" i="6"/>
  <c r="P303" i="6"/>
  <c r="W303" i="6" s="1"/>
  <c r="X303" i="6" s="1"/>
  <c r="Z198" i="6"/>
  <c r="P198" i="6"/>
  <c r="W198" i="6" s="1"/>
  <c r="X198" i="6" s="1"/>
  <c r="Z115" i="6"/>
  <c r="P115" i="6"/>
  <c r="W115" i="6" s="1"/>
  <c r="X115" i="6" s="1"/>
  <c r="Z720" i="6"/>
  <c r="P720" i="6"/>
  <c r="W720" i="6" s="1"/>
  <c r="X720" i="6" s="1"/>
  <c r="P928" i="6"/>
  <c r="W928" i="6" s="1"/>
  <c r="X928" i="6" s="1"/>
  <c r="Z928" i="6"/>
  <c r="Z727" i="6"/>
  <c r="P727" i="6"/>
  <c r="W727" i="6" s="1"/>
  <c r="X727" i="6" s="1"/>
  <c r="P778" i="6"/>
  <c r="W778" i="6" s="1"/>
  <c r="X778" i="6" s="1"/>
  <c r="Z778" i="6"/>
  <c r="Z278" i="6"/>
  <c r="P278" i="6"/>
  <c r="W278" i="6" s="1"/>
  <c r="X278" i="6" s="1"/>
  <c r="Z523" i="6"/>
  <c r="P523" i="6"/>
  <c r="W523" i="6" s="1"/>
  <c r="X523" i="6" s="1"/>
  <c r="P1085" i="6"/>
  <c r="W1085" i="6" s="1"/>
  <c r="X1085" i="6" s="1"/>
  <c r="Z1085" i="6"/>
  <c r="Z920" i="6"/>
  <c r="P920" i="6"/>
  <c r="W920" i="6" s="1"/>
  <c r="X920" i="6" s="1"/>
  <c r="Z1089" i="6"/>
  <c r="P1089" i="6"/>
  <c r="W1089" i="6" s="1"/>
  <c r="X1089" i="6" s="1"/>
  <c r="Z207" i="6"/>
  <c r="P207" i="6"/>
  <c r="W207" i="6" s="1"/>
  <c r="X207" i="6" s="1"/>
  <c r="P458" i="6"/>
  <c r="W458" i="6" s="1"/>
  <c r="X458" i="6" s="1"/>
  <c r="Z458" i="6"/>
  <c r="Z390" i="6"/>
  <c r="P390" i="6"/>
  <c r="W390" i="6" s="1"/>
  <c r="X390" i="6" s="1"/>
  <c r="Z307" i="6"/>
  <c r="P307" i="6"/>
  <c r="W307" i="6" s="1"/>
  <c r="X307" i="6" s="1"/>
  <c r="Z912" i="6"/>
  <c r="P912" i="6"/>
  <c r="W912" i="6" s="1"/>
  <c r="X912" i="6" s="1"/>
  <c r="P616" i="6"/>
  <c r="W616" i="6" s="1"/>
  <c r="X616" i="6" s="1"/>
  <c r="Z616" i="6"/>
  <c r="P215" i="6"/>
  <c r="W215" i="6" s="1"/>
  <c r="X215" i="6" s="1"/>
  <c r="Z215" i="6"/>
  <c r="Z466" i="6"/>
  <c r="P466" i="6"/>
  <c r="W466" i="6" s="1"/>
  <c r="X466" i="6" s="1"/>
  <c r="P1019" i="6"/>
  <c r="W1019" i="6" s="1"/>
  <c r="X1019" i="6" s="1"/>
  <c r="Z1019" i="6"/>
  <c r="P1066" i="6"/>
  <c r="W1066" i="6" s="1"/>
  <c r="X1066" i="6" s="1"/>
  <c r="Z1066" i="6"/>
  <c r="Z694" i="6"/>
  <c r="P694" i="6"/>
  <c r="W694" i="6" s="1"/>
  <c r="X694" i="6" s="1"/>
  <c r="Z702" i="6"/>
  <c r="P702" i="6"/>
  <c r="W702" i="6" s="1"/>
  <c r="X702" i="6" s="1"/>
  <c r="Z1094" i="6"/>
  <c r="P1094" i="6"/>
  <c r="W1094" i="6" s="1"/>
  <c r="X1094" i="6" s="1"/>
  <c r="Z263" i="6"/>
  <c r="P263" i="6"/>
  <c r="W263" i="6" s="1"/>
  <c r="X263" i="6" s="1"/>
  <c r="P935" i="6"/>
  <c r="W935" i="6" s="1"/>
  <c r="X935" i="6" s="1"/>
  <c r="Z935" i="6"/>
  <c r="Z943" i="6"/>
  <c r="P943" i="6"/>
  <c r="W943" i="6" s="1"/>
  <c r="X943" i="6" s="1"/>
  <c r="Z968" i="6"/>
  <c r="P968" i="6"/>
  <c r="W968" i="6" s="1"/>
  <c r="X968" i="6" s="1"/>
  <c r="P415" i="6"/>
  <c r="W415" i="6" s="1"/>
  <c r="X415" i="6" s="1"/>
  <c r="Z415" i="6"/>
  <c r="Z370" i="6"/>
  <c r="P370" i="6"/>
  <c r="W370" i="6" s="1"/>
  <c r="X370" i="6" s="1"/>
  <c r="P442" i="6"/>
  <c r="W442" i="6" s="1"/>
  <c r="X442" i="6" s="1"/>
  <c r="Z442" i="6"/>
  <c r="Z142" i="6"/>
  <c r="P142" i="6"/>
  <c r="W142" i="6" s="1"/>
  <c r="X142" i="6" s="1"/>
  <c r="Z1093" i="6"/>
  <c r="P1093" i="6"/>
  <c r="W1093" i="6" s="1"/>
  <c r="X1093" i="6" s="1"/>
  <c r="Z498" i="6"/>
  <c r="P498" i="6"/>
  <c r="W498" i="6" s="1"/>
  <c r="X498" i="6" s="1"/>
  <c r="Z506" i="6"/>
  <c r="P506" i="6"/>
  <c r="W506" i="6" s="1"/>
  <c r="X506" i="6" s="1"/>
  <c r="P334" i="6"/>
  <c r="W334" i="6" s="1"/>
  <c r="X334" i="6" s="1"/>
  <c r="Z334" i="6"/>
  <c r="Z659" i="6"/>
  <c r="P659" i="6"/>
  <c r="W659" i="6" s="1"/>
  <c r="X659" i="6" s="1"/>
  <c r="Z562" i="6"/>
  <c r="P562" i="6"/>
  <c r="W562" i="6" s="1"/>
  <c r="X562" i="6" s="1"/>
  <c r="Z570" i="6"/>
  <c r="P570" i="6"/>
  <c r="W570" i="6" s="1"/>
  <c r="X570" i="6" s="1"/>
  <c r="Z398" i="6"/>
  <c r="P398" i="6"/>
  <c r="W398" i="6" s="1"/>
  <c r="X398" i="6" s="1"/>
  <c r="Z147" i="6"/>
  <c r="P147" i="6"/>
  <c r="W147" i="6" s="1"/>
  <c r="X147" i="6" s="1"/>
  <c r="Z227" i="6"/>
  <c r="P227" i="6"/>
  <c r="W227" i="6" s="1"/>
  <c r="X227" i="6" s="1"/>
  <c r="Z235" i="6"/>
  <c r="P235" i="6"/>
  <c r="W235" i="6" s="1"/>
  <c r="X235" i="6" s="1"/>
  <c r="Z383" i="6"/>
  <c r="P383" i="6"/>
  <c r="W383" i="6" s="1"/>
  <c r="X383" i="6" s="1"/>
  <c r="Z502" i="6"/>
  <c r="P502" i="6"/>
  <c r="W502" i="6" s="1"/>
  <c r="X502" i="6" s="1"/>
  <c r="Z574" i="6"/>
  <c r="P574" i="6"/>
  <c r="W574" i="6" s="1"/>
  <c r="X574" i="6" s="1"/>
  <c r="Z838" i="6"/>
  <c r="P838" i="6"/>
  <c r="W838" i="6" s="1"/>
  <c r="X838" i="6" s="1"/>
  <c r="Z7" i="6"/>
  <c r="P7" i="6"/>
  <c r="W7" i="6" s="1"/>
  <c r="X7" i="6" s="1"/>
  <c r="Z630" i="6"/>
  <c r="P630" i="6"/>
  <c r="W630" i="6" s="1"/>
  <c r="X630" i="6" s="1"/>
  <c r="P638" i="6"/>
  <c r="W638" i="6" s="1"/>
  <c r="X638" i="6" s="1"/>
  <c r="Z638" i="6"/>
  <c r="Z1030" i="6"/>
  <c r="P1030" i="6"/>
  <c r="W1030" i="6" s="1"/>
  <c r="X1030" i="6" s="1"/>
  <c r="Z199" i="6"/>
  <c r="P199" i="6"/>
  <c r="W199" i="6" s="1"/>
  <c r="X199" i="6" s="1"/>
  <c r="Z566" i="6"/>
  <c r="P566" i="6"/>
  <c r="W566" i="6" s="1"/>
  <c r="X566" i="6" s="1"/>
  <c r="Z355" i="6"/>
  <c r="P355" i="6"/>
  <c r="W355" i="6" s="1"/>
  <c r="X355" i="6" s="1"/>
  <c r="Z960" i="6"/>
  <c r="P960" i="6"/>
  <c r="W960" i="6" s="1"/>
  <c r="X960" i="6" s="1"/>
  <c r="Z759" i="6"/>
  <c r="P759" i="6"/>
  <c r="W759" i="6" s="1"/>
  <c r="X759" i="6" s="1"/>
  <c r="Z782" i="6"/>
  <c r="P782" i="6"/>
  <c r="W782" i="6" s="1"/>
  <c r="X782" i="6" s="1"/>
  <c r="Z24" i="6"/>
  <c r="P24" i="6"/>
  <c r="W24" i="6" s="1"/>
  <c r="X24" i="6" s="1"/>
  <c r="P195" i="6"/>
  <c r="W195" i="6" s="1"/>
  <c r="X195" i="6" s="1"/>
  <c r="Z195" i="6"/>
  <c r="Z474" i="6"/>
  <c r="P474" i="6"/>
  <c r="W474" i="6" s="1"/>
  <c r="X474" i="6" s="1"/>
  <c r="Z1027" i="6"/>
  <c r="P1027" i="6"/>
  <c r="W1027" i="6" s="1"/>
  <c r="X1027" i="6" s="1"/>
  <c r="Z821" i="6"/>
  <c r="P821" i="6"/>
  <c r="W821" i="6" s="1"/>
  <c r="X821" i="6" s="1"/>
  <c r="Z899" i="6"/>
  <c r="P899" i="6"/>
  <c r="W899" i="6" s="1"/>
  <c r="X899" i="6" s="1"/>
  <c r="Z652" i="6"/>
  <c r="P652" i="6"/>
  <c r="W652" i="6" s="1"/>
  <c r="X652" i="6" s="1"/>
  <c r="Z963" i="6"/>
  <c r="P963" i="6"/>
  <c r="W963" i="6" s="1"/>
  <c r="X963" i="6" s="1"/>
  <c r="Z19" i="6"/>
  <c r="P19" i="6"/>
  <c r="W19" i="6" s="1"/>
  <c r="X19" i="6" s="1"/>
  <c r="Z670" i="6"/>
  <c r="P670" i="6"/>
  <c r="W670" i="6" s="1"/>
  <c r="X670" i="6" s="1"/>
  <c r="P74" i="6"/>
  <c r="W74" i="6" s="1"/>
  <c r="X74" i="6" s="1"/>
  <c r="Z74" i="6"/>
  <c r="Z840" i="6"/>
  <c r="P840" i="6"/>
  <c r="W840" i="6" s="1"/>
  <c r="X840" i="6" s="1"/>
  <c r="Z767" i="6"/>
  <c r="P767" i="6"/>
  <c r="W767" i="6" s="1"/>
  <c r="X767" i="6" s="1"/>
  <c r="Z975" i="6"/>
  <c r="P975" i="6"/>
  <c r="W975" i="6" s="1"/>
  <c r="X975" i="6" s="1"/>
  <c r="Z757" i="6"/>
  <c r="P757" i="6"/>
  <c r="W757" i="6" s="1"/>
  <c r="X757" i="6" s="1"/>
  <c r="Z678" i="6"/>
  <c r="P678" i="6"/>
  <c r="W678" i="6" s="1"/>
  <c r="X678" i="6" s="1"/>
  <c r="Z944" i="6"/>
  <c r="P944" i="6"/>
  <c r="W944" i="6" s="1"/>
  <c r="X944" i="6" s="1"/>
  <c r="P411" i="6"/>
  <c r="W411" i="6" s="1"/>
  <c r="X411" i="6" s="1"/>
  <c r="Z411" i="6"/>
  <c r="Z1016" i="6"/>
  <c r="P1016" i="6"/>
  <c r="W1016" i="6" s="1"/>
  <c r="X1016" i="6" s="1"/>
  <c r="Z815" i="6"/>
  <c r="P815" i="6"/>
  <c r="W815" i="6" s="1"/>
  <c r="X815" i="6" s="1"/>
  <c r="Z710" i="6"/>
  <c r="P710" i="6"/>
  <c r="W710" i="6" s="1"/>
  <c r="X710" i="6" s="1"/>
  <c r="Z627" i="6"/>
  <c r="P627" i="6"/>
  <c r="W627" i="6" s="1"/>
  <c r="X627" i="6" s="1"/>
  <c r="Z1110" i="6"/>
  <c r="P1110" i="6"/>
  <c r="W1110" i="6" s="1"/>
  <c r="X1110" i="6" s="1"/>
  <c r="P599" i="6"/>
  <c r="W599" i="6" s="1"/>
  <c r="X599" i="6" s="1"/>
  <c r="Z599" i="6"/>
  <c r="Z686" i="6"/>
  <c r="P686" i="6"/>
  <c r="W686" i="6" s="1"/>
  <c r="X686" i="6" s="1"/>
  <c r="Z1000" i="6"/>
  <c r="P1000" i="6"/>
  <c r="W1000" i="6" s="1"/>
  <c r="X1000" i="6" s="1"/>
  <c r="P379" i="6"/>
  <c r="W379" i="6" s="1"/>
  <c r="X379" i="6" s="1"/>
  <c r="Z379" i="6"/>
  <c r="Z666" i="6"/>
  <c r="P666" i="6"/>
  <c r="W666" i="6" s="1"/>
  <c r="X666" i="6" s="1"/>
  <c r="P150" i="6"/>
  <c r="W150" i="6" s="1"/>
  <c r="X150" i="6" s="1"/>
  <c r="Z150" i="6"/>
  <c r="Z32" i="6"/>
  <c r="P32" i="6"/>
  <c r="W32" i="6" s="1"/>
  <c r="X32" i="6" s="1"/>
  <c r="Z245" i="6"/>
  <c r="P245" i="6"/>
  <c r="W245" i="6" s="1"/>
  <c r="X245" i="6" s="1"/>
  <c r="P294" i="6"/>
  <c r="W294" i="6" s="1"/>
  <c r="X294" i="6" s="1"/>
  <c r="Z294" i="6"/>
  <c r="P176" i="6"/>
  <c r="W176" i="6" s="1"/>
  <c r="X176" i="6" s="1"/>
  <c r="Z176" i="6"/>
  <c r="Z902" i="6"/>
  <c r="P902" i="6"/>
  <c r="W902" i="6" s="1"/>
  <c r="X902" i="6" s="1"/>
  <c r="Z819" i="6"/>
  <c r="P819" i="6"/>
  <c r="W819" i="6" s="1"/>
  <c r="X819" i="6" s="1"/>
  <c r="Z71" i="6"/>
  <c r="P71" i="6"/>
  <c r="W71" i="6" s="1"/>
  <c r="X71" i="6" s="1"/>
  <c r="Z87" i="6"/>
  <c r="P87" i="6"/>
  <c r="W87" i="6" s="1"/>
  <c r="X87" i="6" s="1"/>
  <c r="P302" i="6"/>
  <c r="W302" i="6" s="1"/>
  <c r="X302" i="6" s="1"/>
  <c r="Z302" i="6"/>
  <c r="Z232" i="6"/>
  <c r="P232" i="6"/>
  <c r="W232" i="6" s="1"/>
  <c r="X232" i="6" s="1"/>
  <c r="Z1098" i="6"/>
  <c r="P1098" i="6"/>
  <c r="W1098" i="6" s="1"/>
  <c r="X1098" i="6" s="1"/>
  <c r="Z219" i="6"/>
  <c r="P219" i="6"/>
  <c r="W219" i="6" s="1"/>
  <c r="X219" i="6" s="1"/>
  <c r="Z167" i="6"/>
  <c r="P167" i="6"/>
  <c r="W167" i="6" s="1"/>
  <c r="X167" i="6" s="1"/>
  <c r="Z175" i="6"/>
  <c r="P175" i="6"/>
  <c r="W175" i="6" s="1"/>
  <c r="X175" i="6" s="1"/>
  <c r="Z887" i="6"/>
  <c r="P887" i="6"/>
  <c r="W887" i="6" s="1"/>
  <c r="X887" i="6" s="1"/>
  <c r="Z600" i="6"/>
  <c r="P600" i="6"/>
  <c r="W600" i="6" s="1"/>
  <c r="X600" i="6" s="1"/>
  <c r="Z440" i="6"/>
  <c r="P440" i="6"/>
  <c r="W440" i="6" s="1"/>
  <c r="X440" i="6" s="1"/>
  <c r="P512" i="6"/>
  <c r="W512" i="6" s="1"/>
  <c r="X512" i="6" s="1"/>
  <c r="Z512" i="6"/>
  <c r="Z179" i="6"/>
  <c r="P179" i="6"/>
  <c r="W179" i="6" s="1"/>
  <c r="X179" i="6" s="1"/>
  <c r="Z50" i="6"/>
  <c r="P50" i="6"/>
  <c r="W50" i="6" s="1"/>
  <c r="X50" i="6" s="1"/>
  <c r="Z1074" i="6"/>
  <c r="P1074" i="6"/>
  <c r="W1074" i="6" s="1"/>
  <c r="X1074" i="6" s="1"/>
  <c r="Z1082" i="6"/>
  <c r="P1082" i="6"/>
  <c r="W1082" i="6" s="1"/>
  <c r="X1082" i="6" s="1"/>
  <c r="Z1045" i="6"/>
  <c r="P1045" i="6"/>
  <c r="W1045" i="6" s="1"/>
  <c r="X1045" i="6" s="1"/>
  <c r="Z27" i="6"/>
  <c r="P27" i="6"/>
  <c r="W27" i="6" s="1"/>
  <c r="X27" i="6" s="1"/>
  <c r="Z35" i="6"/>
  <c r="P35" i="6"/>
  <c r="W35" i="6" s="1"/>
  <c r="X35" i="6" s="1"/>
  <c r="Z107" i="6"/>
  <c r="P107" i="6"/>
  <c r="W107" i="6" s="1"/>
  <c r="X107" i="6" s="1"/>
  <c r="Z127" i="6"/>
  <c r="P127" i="6"/>
  <c r="W127" i="6" s="1"/>
  <c r="X127" i="6" s="1"/>
  <c r="Z91" i="6"/>
  <c r="P91" i="6"/>
  <c r="W91" i="6" s="1"/>
  <c r="X91" i="6" s="1"/>
  <c r="Z163" i="6"/>
  <c r="P163" i="6"/>
  <c r="W163" i="6" s="1"/>
  <c r="X163" i="6" s="1"/>
  <c r="P171" i="6"/>
  <c r="W171" i="6" s="1"/>
  <c r="X171" i="6" s="1"/>
  <c r="Z171" i="6"/>
  <c r="Z191" i="6"/>
  <c r="P191" i="6"/>
  <c r="W191" i="6" s="1"/>
  <c r="X191" i="6" s="1"/>
  <c r="Z859" i="6"/>
  <c r="P859" i="6"/>
  <c r="W859" i="6" s="1"/>
  <c r="X859" i="6" s="1"/>
  <c r="Z931" i="6"/>
  <c r="P931" i="6"/>
  <c r="W931" i="6" s="1"/>
  <c r="X931" i="6" s="1"/>
  <c r="Z939" i="6"/>
  <c r="P939" i="6"/>
  <c r="W939" i="6" s="1"/>
  <c r="X939" i="6" s="1"/>
  <c r="P272" i="6"/>
  <c r="W272" i="6" s="1"/>
  <c r="X272" i="6" s="1"/>
  <c r="Z272" i="6"/>
  <c r="Z1109" i="6"/>
  <c r="P1109" i="6"/>
  <c r="W1109" i="6" s="1"/>
  <c r="X1109" i="6" s="1"/>
  <c r="Z22" i="6"/>
  <c r="P22" i="6"/>
  <c r="W22" i="6" s="1"/>
  <c r="X22" i="6" s="1"/>
  <c r="Z631" i="6"/>
  <c r="P631" i="6"/>
  <c r="W631" i="6" s="1"/>
  <c r="X631" i="6" s="1"/>
  <c r="Z88" i="6"/>
  <c r="P88" i="6"/>
  <c r="W88" i="6" s="1"/>
  <c r="X88" i="6" s="1"/>
  <c r="Z39" i="6"/>
  <c r="P39" i="6"/>
  <c r="W39" i="6" s="1"/>
  <c r="X39" i="6" s="1"/>
  <c r="Z111" i="6"/>
  <c r="P111" i="6"/>
  <c r="W111" i="6" s="1"/>
  <c r="X111" i="6" s="1"/>
  <c r="Z823" i="6"/>
  <c r="P823" i="6"/>
  <c r="W823" i="6" s="1"/>
  <c r="X823" i="6" s="1"/>
  <c r="Z344" i="6"/>
  <c r="P344" i="6"/>
  <c r="W344" i="6" s="1"/>
  <c r="X344" i="6" s="1"/>
  <c r="Z1078" i="6"/>
  <c r="P1078" i="6"/>
  <c r="W1078" i="6" s="1"/>
  <c r="X1078" i="6" s="1"/>
  <c r="Z867" i="6"/>
  <c r="P867" i="6"/>
  <c r="W867" i="6" s="1"/>
  <c r="X867" i="6" s="1"/>
  <c r="Z634" i="6"/>
  <c r="P634" i="6"/>
  <c r="W634" i="6" s="1"/>
  <c r="X634" i="6" s="1"/>
  <c r="Z136" i="6"/>
  <c r="P136" i="6"/>
  <c r="W136" i="6" s="1"/>
  <c r="X136" i="6" s="1"/>
  <c r="Z63" i="6"/>
  <c r="P63" i="6"/>
  <c r="W63" i="6" s="1"/>
  <c r="X63" i="6" s="1"/>
  <c r="Z536" i="6"/>
  <c r="P536" i="6"/>
  <c r="W536" i="6" s="1"/>
  <c r="X536" i="6" s="1"/>
  <c r="Z402" i="6"/>
  <c r="P402" i="6"/>
  <c r="W402" i="6" s="1"/>
  <c r="X402" i="6" s="1"/>
  <c r="Z240" i="6"/>
  <c r="P240" i="6"/>
  <c r="W240" i="6" s="1"/>
  <c r="X240" i="6" s="1"/>
  <c r="Z1106" i="6"/>
  <c r="P1106" i="6"/>
  <c r="W1106" i="6" s="1"/>
  <c r="X1106" i="6" s="1"/>
  <c r="P6" i="6"/>
  <c r="Z978" i="6"/>
  <c r="P978" i="6"/>
  <c r="W978" i="6" s="1"/>
  <c r="X978" i="6" s="1"/>
  <c r="Z152" i="6"/>
  <c r="P152" i="6"/>
  <c r="W152" i="6" s="1"/>
  <c r="X152" i="6" s="1"/>
  <c r="Z1042" i="6"/>
  <c r="P1042" i="6"/>
  <c r="W1042" i="6" s="1"/>
  <c r="X1042" i="6" s="1"/>
  <c r="Z290" i="6"/>
  <c r="P290" i="6"/>
  <c r="W290" i="6" s="1"/>
  <c r="X290" i="6" s="1"/>
  <c r="Z771" i="6"/>
  <c r="P771" i="6"/>
  <c r="W771" i="6" s="1"/>
  <c r="X771" i="6" s="1"/>
  <c r="P481" i="6"/>
  <c r="W481" i="6" s="1"/>
  <c r="X481" i="6" s="1"/>
  <c r="Z481" i="6"/>
  <c r="Z642" i="6"/>
  <c r="P642" i="6"/>
  <c r="W642" i="6" s="1"/>
  <c r="X642" i="6" s="1"/>
  <c r="Z144" i="6"/>
  <c r="P144" i="6"/>
  <c r="W144" i="6" s="1"/>
  <c r="X144" i="6" s="1"/>
  <c r="Z352" i="6"/>
  <c r="P352" i="6"/>
  <c r="W352" i="6" s="1"/>
  <c r="X352" i="6" s="1"/>
  <c r="Z1072" i="6"/>
  <c r="P1072" i="6"/>
  <c r="W1072" i="6" s="1"/>
  <c r="X1072" i="6" s="1"/>
  <c r="Z779" i="6"/>
  <c r="P779" i="6"/>
  <c r="W779" i="6" s="1"/>
  <c r="X779" i="6" s="1"/>
  <c r="Z335" i="6"/>
  <c r="P335" i="6"/>
  <c r="W335" i="6" s="1"/>
  <c r="X335" i="6" s="1"/>
  <c r="P923" i="6"/>
  <c r="W923" i="6" s="1"/>
  <c r="X923" i="6" s="1"/>
  <c r="Z923" i="6"/>
  <c r="P690" i="6"/>
  <c r="W690" i="6" s="1"/>
  <c r="X690" i="6" s="1"/>
  <c r="Z690" i="6"/>
  <c r="P192" i="6"/>
  <c r="W192" i="6" s="1"/>
  <c r="X192" i="6" s="1"/>
  <c r="Z192" i="6"/>
  <c r="Z38" i="6"/>
  <c r="P38" i="6"/>
  <c r="W38" i="6" s="1"/>
  <c r="X38" i="6" s="1"/>
  <c r="Z997" i="6"/>
  <c r="P997" i="6"/>
  <c r="W997" i="6" s="1"/>
  <c r="X997" i="6" s="1"/>
  <c r="Z391" i="6"/>
  <c r="P391" i="6"/>
  <c r="W391" i="6" s="1"/>
  <c r="X391" i="6" s="1"/>
  <c r="Z606" i="6"/>
  <c r="P606" i="6"/>
  <c r="W606" i="6" s="1"/>
  <c r="X606" i="6" s="1"/>
  <c r="Z787" i="6"/>
  <c r="P787" i="6"/>
  <c r="W787" i="6" s="1"/>
  <c r="X787" i="6" s="1"/>
  <c r="P343" i="6"/>
  <c r="W343" i="6" s="1"/>
  <c r="X343" i="6" s="1"/>
  <c r="Z343" i="6"/>
  <c r="Z538" i="6"/>
  <c r="P538" i="6"/>
  <c r="W538" i="6" s="1"/>
  <c r="X538" i="6" s="1"/>
  <c r="Z744" i="6"/>
  <c r="P744" i="6"/>
  <c r="W744" i="6" s="1"/>
  <c r="X744" i="6" s="1"/>
  <c r="Z251" i="6"/>
  <c r="P251" i="6"/>
  <c r="W251" i="6" s="1"/>
  <c r="X251" i="6" s="1"/>
  <c r="Z544" i="6"/>
  <c r="P544" i="6"/>
  <c r="W544" i="6" s="1"/>
  <c r="X544" i="6" s="1"/>
  <c r="Z1064" i="6"/>
  <c r="P1064" i="6"/>
  <c r="W1064" i="6" s="1"/>
  <c r="X1064" i="6" s="1"/>
  <c r="P395" i="6"/>
  <c r="W395" i="6" s="1"/>
  <c r="X395" i="6" s="1"/>
  <c r="Z395" i="6"/>
  <c r="P1054" i="6"/>
  <c r="W1054" i="6" s="1"/>
  <c r="X1054" i="6" s="1"/>
  <c r="Z1054" i="6"/>
  <c r="Z183" i="6"/>
  <c r="P183" i="6"/>
  <c r="W183" i="6" s="1"/>
  <c r="X183" i="6" s="1"/>
  <c r="P206" i="6"/>
  <c r="W206" i="6" s="1"/>
  <c r="X206" i="6" s="1"/>
  <c r="Z206" i="6"/>
  <c r="Z583" i="6"/>
  <c r="P583" i="6"/>
  <c r="W583" i="6" s="1"/>
  <c r="X583" i="6" s="1"/>
  <c r="Z222" i="6"/>
  <c r="P222" i="6"/>
  <c r="W222" i="6" s="1"/>
  <c r="X222" i="6" s="1"/>
  <c r="P403" i="6"/>
  <c r="W403" i="6" s="1"/>
  <c r="X403" i="6" s="1"/>
  <c r="Z403" i="6"/>
  <c r="Z1062" i="6"/>
  <c r="P1062" i="6"/>
  <c r="W1062" i="6" s="1"/>
  <c r="X1062" i="6" s="1"/>
  <c r="Z266" i="6"/>
  <c r="P266" i="6"/>
  <c r="W266" i="6" s="1"/>
  <c r="X266" i="6" s="1"/>
  <c r="Z742" i="6"/>
  <c r="P283" i="6"/>
  <c r="W283" i="6" s="1"/>
  <c r="X283" i="6" s="1"/>
  <c r="Z283" i="6"/>
  <c r="Z807" i="6"/>
  <c r="P807" i="6"/>
  <c r="W807" i="6" s="1"/>
  <c r="X807" i="6" s="1"/>
  <c r="Z879" i="6"/>
  <c r="P879" i="6"/>
  <c r="W879" i="6" s="1"/>
  <c r="X879" i="6" s="1"/>
  <c r="Z776" i="6"/>
  <c r="P776" i="6"/>
  <c r="W776" i="6" s="1"/>
  <c r="X776" i="6" s="1"/>
  <c r="Z104" i="6"/>
  <c r="P104" i="6"/>
  <c r="W104" i="6" s="1"/>
  <c r="X104" i="6" s="1"/>
  <c r="Z306" i="6"/>
  <c r="P306" i="6"/>
  <c r="W306" i="6" s="1"/>
  <c r="X306" i="6" s="1"/>
  <c r="Z314" i="6"/>
  <c r="P314" i="6"/>
  <c r="W314" i="6" s="1"/>
  <c r="X314" i="6" s="1"/>
  <c r="Z78" i="6"/>
  <c r="P78" i="6"/>
  <c r="W78" i="6" s="1"/>
  <c r="X78" i="6" s="1"/>
  <c r="P558" i="6"/>
  <c r="W558" i="6" s="1"/>
  <c r="X558" i="6" s="1"/>
  <c r="Z558" i="6"/>
  <c r="P675" i="6"/>
  <c r="W675" i="6" s="1"/>
  <c r="X675" i="6" s="1"/>
  <c r="Z675" i="6"/>
  <c r="Z683" i="6"/>
  <c r="P683" i="6"/>
  <c r="W683" i="6" s="1"/>
  <c r="X683" i="6" s="1"/>
  <c r="Z959" i="6"/>
  <c r="P959" i="6"/>
  <c r="W959" i="6" s="1"/>
  <c r="X959" i="6" s="1"/>
  <c r="P731" i="6"/>
  <c r="W731" i="6" s="1"/>
  <c r="X731" i="6" s="1"/>
  <c r="Z731" i="6"/>
  <c r="Z739" i="6"/>
  <c r="P739" i="6"/>
  <c r="W739" i="6" s="1"/>
  <c r="X739" i="6" s="1"/>
  <c r="Z747" i="6"/>
  <c r="P747" i="6"/>
  <c r="W747" i="6" s="1"/>
  <c r="X747" i="6" s="1"/>
  <c r="Z16" i="6"/>
  <c r="P16" i="6"/>
  <c r="P795" i="6"/>
  <c r="W795" i="6" s="1"/>
  <c r="X795" i="6" s="1"/>
  <c r="Z795" i="6"/>
  <c r="Z803" i="6"/>
  <c r="P803" i="6"/>
  <c r="W803" i="6" s="1"/>
  <c r="X803" i="6" s="1"/>
  <c r="Z875" i="6"/>
  <c r="P875" i="6"/>
  <c r="W875" i="6" s="1"/>
  <c r="X875" i="6" s="1"/>
  <c r="Z80" i="6"/>
  <c r="P80" i="6"/>
  <c r="W80" i="6" s="1"/>
  <c r="X80" i="6" s="1"/>
  <c r="Z438" i="6"/>
  <c r="P438" i="6"/>
  <c r="W438" i="6" s="1"/>
  <c r="X438" i="6" s="1"/>
  <c r="Z446" i="6"/>
  <c r="P446" i="6"/>
  <c r="W446" i="6" s="1"/>
  <c r="X446" i="6" s="1"/>
  <c r="Z774" i="6"/>
  <c r="P774" i="6"/>
  <c r="W774" i="6" s="1"/>
  <c r="X774" i="6" s="1"/>
  <c r="Z1061" i="6"/>
  <c r="P1061" i="6"/>
  <c r="W1061" i="6" s="1"/>
  <c r="X1061" i="6" s="1"/>
  <c r="Z679" i="6"/>
  <c r="P679" i="6"/>
  <c r="W679" i="6" s="1"/>
  <c r="X679" i="6" s="1"/>
  <c r="Z687" i="6"/>
  <c r="P687" i="6"/>
  <c r="W687" i="6" s="1"/>
  <c r="X687" i="6" s="1"/>
  <c r="P520" i="6"/>
  <c r="W520" i="6" s="1"/>
  <c r="X520" i="6" s="1"/>
  <c r="Z520" i="6"/>
  <c r="P736" i="6"/>
  <c r="W736" i="6" s="1"/>
  <c r="X736" i="6" s="1"/>
  <c r="Z736" i="6"/>
  <c r="P743" i="6"/>
  <c r="W743" i="6" s="1"/>
  <c r="X743" i="6" s="1"/>
  <c r="Z743" i="6"/>
  <c r="Z751" i="6"/>
  <c r="P751" i="6"/>
  <c r="W751" i="6" s="1"/>
  <c r="X751" i="6" s="1"/>
  <c r="Z712" i="6"/>
  <c r="P712" i="6"/>
  <c r="W712" i="6" s="1"/>
  <c r="X712" i="6" s="1"/>
  <c r="Z992" i="6"/>
  <c r="P992" i="6"/>
  <c r="W992" i="6" s="1"/>
  <c r="X992" i="6" s="1"/>
  <c r="Z359" i="6"/>
  <c r="P359" i="6"/>
  <c r="W359" i="6" s="1"/>
  <c r="X359" i="6" s="1"/>
  <c r="Z254" i="6"/>
  <c r="P254" i="6"/>
  <c r="W254" i="6" s="1"/>
  <c r="X254" i="6" s="1"/>
  <c r="Z43" i="6"/>
  <c r="P43" i="6"/>
  <c r="W43" i="6" s="1"/>
  <c r="X43" i="6" s="1"/>
  <c r="Z648" i="6"/>
  <c r="P648" i="6"/>
  <c r="W648" i="6" s="1"/>
  <c r="X648" i="6" s="1"/>
  <c r="Z575" i="6"/>
  <c r="P575" i="6"/>
  <c r="W575" i="6" s="1"/>
  <c r="X575" i="6" s="1"/>
  <c r="Z1048" i="6"/>
  <c r="P1048" i="6"/>
  <c r="W1048" i="6" s="1"/>
  <c r="X1048" i="6" s="1"/>
  <c r="Z961" i="6"/>
  <c r="P961" i="6"/>
  <c r="W961" i="6" s="1"/>
  <c r="X961" i="6" s="1"/>
  <c r="Z1070" i="6"/>
  <c r="P1070" i="6"/>
  <c r="W1070" i="6" s="1"/>
  <c r="X1070" i="6" s="1"/>
  <c r="P274" i="6"/>
  <c r="W274" i="6" s="1"/>
  <c r="X274" i="6" s="1"/>
  <c r="Z274" i="6"/>
  <c r="Z934" i="6"/>
  <c r="P934" i="6"/>
  <c r="W934" i="6" s="1"/>
  <c r="X934" i="6" s="1"/>
  <c r="Z210" i="6"/>
  <c r="P210" i="6"/>
  <c r="W210" i="6" s="1"/>
  <c r="X210" i="6" s="1"/>
  <c r="Z664" i="6"/>
  <c r="P664" i="6"/>
  <c r="W664" i="6" s="1"/>
  <c r="X664" i="6" s="1"/>
  <c r="Z242" i="6"/>
  <c r="P242" i="6"/>
  <c r="W242" i="6" s="1"/>
  <c r="X242" i="6" s="1"/>
  <c r="Z863" i="6"/>
  <c r="P863" i="6"/>
  <c r="W863" i="6" s="1"/>
  <c r="X863" i="6" s="1"/>
  <c r="Z858" i="6"/>
  <c r="P858" i="6"/>
  <c r="W858" i="6" s="1"/>
  <c r="X858" i="6" s="1"/>
  <c r="P134" i="6"/>
  <c r="W134" i="6" s="1"/>
  <c r="X134" i="6" s="1"/>
  <c r="Z134" i="6"/>
  <c r="Z51" i="6"/>
  <c r="P51" i="6"/>
  <c r="W51" i="6" s="1"/>
  <c r="X51" i="6" s="1"/>
  <c r="Z656" i="6"/>
  <c r="P656" i="6"/>
  <c r="W656" i="6" s="1"/>
  <c r="X656" i="6" s="1"/>
  <c r="Z864" i="6"/>
  <c r="P864" i="6"/>
  <c r="W864" i="6" s="1"/>
  <c r="X864" i="6" s="1"/>
  <c r="P919" i="6"/>
  <c r="W919" i="6" s="1"/>
  <c r="X919" i="6" s="1"/>
  <c r="Z919" i="6"/>
  <c r="Z866" i="6"/>
  <c r="P866" i="6"/>
  <c r="W866" i="6" s="1"/>
  <c r="X866" i="6" s="1"/>
  <c r="P406" i="6"/>
  <c r="W406" i="6" s="1"/>
  <c r="X406" i="6" s="1"/>
  <c r="Z406" i="6"/>
  <c r="Z310" i="6"/>
  <c r="P310" i="6"/>
  <c r="W310" i="6" s="1"/>
  <c r="X310" i="6" s="1"/>
  <c r="Z99" i="6"/>
  <c r="P99" i="6"/>
  <c r="W99" i="6" s="1"/>
  <c r="X99" i="6" s="1"/>
  <c r="Z704" i="6"/>
  <c r="P704" i="6"/>
  <c r="W704" i="6" s="1"/>
  <c r="X704" i="6" s="1"/>
  <c r="Z503" i="6"/>
  <c r="P503" i="6"/>
  <c r="W503" i="6" s="1"/>
  <c r="X503" i="6" s="1"/>
  <c r="Z526" i="6"/>
  <c r="P526" i="6"/>
  <c r="W526" i="6" s="1"/>
  <c r="X526" i="6" s="1"/>
  <c r="P903" i="6"/>
  <c r="W903" i="6" s="1"/>
  <c r="X903" i="6" s="1"/>
  <c r="Z903" i="6"/>
  <c r="Z707" i="6"/>
  <c r="P707" i="6"/>
  <c r="W707" i="6" s="1"/>
  <c r="X707" i="6" s="1"/>
  <c r="Z874" i="6"/>
  <c r="P874" i="6"/>
  <c r="W874" i="6" s="1"/>
  <c r="X874" i="6" s="1"/>
  <c r="Z414" i="6"/>
  <c r="P414" i="6"/>
  <c r="W414" i="6" s="1"/>
  <c r="X414" i="6" s="1"/>
  <c r="P1049" i="6"/>
  <c r="W1049" i="6" s="1"/>
  <c r="X1049" i="6" s="1"/>
  <c r="Z1049" i="6"/>
  <c r="Z159" i="6"/>
  <c r="P159" i="6"/>
  <c r="W159" i="6" s="1"/>
  <c r="X159" i="6" s="1"/>
  <c r="P426" i="6"/>
  <c r="W426" i="6" s="1"/>
  <c r="X426" i="6" s="1"/>
  <c r="Z426" i="6"/>
  <c r="P1056" i="6"/>
  <c r="W1056" i="6" s="1"/>
  <c r="X1056" i="6" s="1"/>
  <c r="Z1056" i="6"/>
  <c r="Z399" i="6"/>
  <c r="P399" i="6"/>
  <c r="W399" i="6" s="1"/>
  <c r="X399" i="6" s="1"/>
  <c r="Z554" i="6"/>
  <c r="P554" i="6"/>
  <c r="W554" i="6" s="1"/>
  <c r="X554" i="6" s="1"/>
  <c r="Z1013" i="6"/>
  <c r="P1013" i="6"/>
  <c r="W1013" i="6" s="1"/>
  <c r="X1013" i="6" s="1"/>
  <c r="Z695" i="6"/>
  <c r="P695" i="6"/>
  <c r="W695" i="6" s="1"/>
  <c r="X695" i="6" s="1"/>
  <c r="Z718" i="6"/>
  <c r="P718" i="6"/>
  <c r="W718" i="6" s="1"/>
  <c r="X718" i="6" s="1"/>
  <c r="Z1095" i="6"/>
  <c r="P1095" i="6"/>
  <c r="W1095" i="6" s="1"/>
  <c r="X1095" i="6" s="1"/>
  <c r="P323" i="6"/>
  <c r="W323" i="6" s="1"/>
  <c r="X323" i="6" s="1"/>
  <c r="Z323" i="6"/>
  <c r="Z586" i="6"/>
  <c r="P586" i="6"/>
  <c r="W586" i="6" s="1"/>
  <c r="X586" i="6" s="1"/>
  <c r="Z1029" i="6"/>
  <c r="P1029" i="6"/>
  <c r="W1029" i="6" s="1"/>
  <c r="X1029" i="6" s="1"/>
  <c r="P857" i="6"/>
  <c r="W857" i="6" s="1"/>
  <c r="X857" i="6" s="1"/>
  <c r="Z857" i="6"/>
  <c r="P539" i="6"/>
  <c r="W539" i="6" s="1"/>
  <c r="X539" i="6" s="1"/>
  <c r="Z539" i="6"/>
  <c r="P376" i="6"/>
  <c r="W376" i="6" s="1"/>
  <c r="X376" i="6" s="1"/>
  <c r="Z376" i="6"/>
  <c r="Z384" i="6"/>
  <c r="P384" i="6"/>
  <c r="W384" i="6" s="1"/>
  <c r="X384" i="6" s="1"/>
  <c r="Z1090" i="6"/>
  <c r="P1090" i="6"/>
  <c r="W1090" i="6" s="1"/>
  <c r="X1090" i="6" s="1"/>
  <c r="Z322" i="6"/>
  <c r="P322" i="6"/>
  <c r="W322" i="6" s="1"/>
  <c r="X322" i="6" s="1"/>
  <c r="Z1010" i="6"/>
  <c r="P1010" i="6"/>
  <c r="W1010" i="6" s="1"/>
  <c r="X1010" i="6" s="1"/>
  <c r="Z1018" i="6"/>
  <c r="P1018" i="6"/>
  <c r="W1018" i="6" s="1"/>
  <c r="X1018" i="6" s="1"/>
  <c r="Z1102" i="6"/>
  <c r="P1102" i="6"/>
  <c r="W1102" i="6" s="1"/>
  <c r="X1102" i="6" s="1"/>
  <c r="Z182" i="6"/>
  <c r="P182" i="6"/>
  <c r="W182" i="6" s="1"/>
  <c r="X182" i="6" s="1"/>
  <c r="Z190" i="6"/>
  <c r="P190" i="6"/>
  <c r="W190" i="6" s="1"/>
  <c r="X190" i="6" s="1"/>
  <c r="Z326" i="6"/>
  <c r="P326" i="6"/>
  <c r="W326" i="6" s="1"/>
  <c r="X326" i="6" s="1"/>
  <c r="Z848" i="6"/>
  <c r="P848" i="6"/>
  <c r="W848" i="6" s="1"/>
  <c r="X848" i="6" s="1"/>
  <c r="Z246" i="6"/>
  <c r="P246" i="6"/>
  <c r="W246" i="6" s="1"/>
  <c r="X246" i="6" s="1"/>
  <c r="Z318" i="6"/>
  <c r="P318" i="6"/>
  <c r="W318" i="6" s="1"/>
  <c r="X318" i="6" s="1"/>
  <c r="Z518" i="6"/>
  <c r="P518" i="6"/>
  <c r="W518" i="6" s="1"/>
  <c r="X518" i="6" s="1"/>
  <c r="Z1040" i="6"/>
  <c r="P1040" i="6"/>
  <c r="W1040" i="6" s="1"/>
  <c r="X1040" i="6" s="1"/>
  <c r="Z374" i="6"/>
  <c r="P374" i="6"/>
  <c r="W374" i="6" s="1"/>
  <c r="X374" i="6" s="1"/>
  <c r="P382" i="6"/>
  <c r="W382" i="6" s="1"/>
  <c r="X382" i="6" s="1"/>
  <c r="Z382" i="6"/>
  <c r="Z582" i="6"/>
  <c r="P582" i="6"/>
  <c r="W582" i="6" s="1"/>
  <c r="X582" i="6" s="1"/>
  <c r="Z1104" i="6"/>
  <c r="P1104" i="6"/>
  <c r="W1104" i="6" s="1"/>
  <c r="X1104" i="6" s="1"/>
  <c r="Z1005" i="6"/>
  <c r="P1005" i="6"/>
  <c r="W1005" i="6" s="1"/>
  <c r="X1005" i="6" s="1"/>
  <c r="Z1021" i="6"/>
  <c r="P1021" i="6"/>
  <c r="W1021" i="6" s="1"/>
  <c r="X1021" i="6" s="1"/>
  <c r="P567" i="6"/>
  <c r="W567" i="6" s="1"/>
  <c r="X567" i="6" s="1"/>
  <c r="Z567" i="6"/>
  <c r="Z967" i="6"/>
  <c r="P967" i="6"/>
  <c r="W967" i="6" s="1"/>
  <c r="X967" i="6" s="1"/>
  <c r="P184" i="6"/>
  <c r="W184" i="6" s="1"/>
  <c r="X184" i="6" s="1"/>
  <c r="Z184" i="6"/>
  <c r="Z256" i="6"/>
  <c r="P256" i="6"/>
  <c r="W256" i="6" s="1"/>
  <c r="X256" i="6" s="1"/>
  <c r="Z834" i="6"/>
  <c r="P834" i="6"/>
  <c r="W834" i="6" s="1"/>
  <c r="X834" i="6" s="1"/>
  <c r="Z67" i="6"/>
  <c r="P67" i="6"/>
  <c r="W67" i="6" s="1"/>
  <c r="X67" i="6" s="1"/>
  <c r="Z312" i="6"/>
  <c r="P312" i="6"/>
  <c r="W312" i="6" s="1"/>
  <c r="X312" i="6" s="1"/>
  <c r="Z320" i="6"/>
  <c r="P320" i="6"/>
  <c r="W320" i="6" s="1"/>
  <c r="X320" i="6" s="1"/>
  <c r="Z1026" i="6"/>
  <c r="P1026" i="6"/>
  <c r="W1026" i="6" s="1"/>
  <c r="X1026" i="6" s="1"/>
  <c r="P714" i="6"/>
  <c r="W714" i="6" s="1"/>
  <c r="X714" i="6" s="1"/>
  <c r="Z714" i="6"/>
  <c r="Z871" i="6"/>
  <c r="P871" i="6"/>
  <c r="W871" i="6" s="1"/>
  <c r="X871" i="6" s="1"/>
  <c r="Z766" i="6"/>
  <c r="P766" i="6"/>
  <c r="W766" i="6" s="1"/>
  <c r="X766" i="6" s="1"/>
  <c r="Z555" i="6"/>
  <c r="P555" i="6"/>
  <c r="W555" i="6" s="1"/>
  <c r="X555" i="6" s="1"/>
  <c r="Z450" i="6"/>
  <c r="P450" i="6"/>
  <c r="W450" i="6" s="1"/>
  <c r="X450" i="6" s="1"/>
  <c r="Z1087" i="6"/>
  <c r="P1087" i="6"/>
  <c r="W1087" i="6" s="1"/>
  <c r="X1087" i="6" s="1"/>
  <c r="Z160" i="6"/>
  <c r="P160" i="6"/>
  <c r="W160" i="6" s="1"/>
  <c r="X160" i="6" s="1"/>
  <c r="Z349" i="6"/>
  <c r="P349" i="6"/>
  <c r="W349" i="6" s="1"/>
  <c r="X349" i="6" s="1"/>
  <c r="Z1053" i="6"/>
  <c r="P1053" i="6"/>
  <c r="W1053" i="6" s="1"/>
  <c r="X1053" i="6" s="1"/>
  <c r="Z847" i="6"/>
  <c r="P847" i="6"/>
  <c r="W847" i="6" s="1"/>
  <c r="X847" i="6" s="1"/>
  <c r="Z1035" i="6"/>
  <c r="P1035" i="6"/>
  <c r="W1035" i="6" s="1"/>
  <c r="X1035" i="6" s="1"/>
  <c r="Z663" i="6"/>
  <c r="P663" i="6"/>
  <c r="W663" i="6" s="1"/>
  <c r="X663" i="6" s="1"/>
  <c r="Z911" i="6"/>
  <c r="P911" i="6"/>
  <c r="W911" i="6" s="1"/>
  <c r="X911" i="6" s="1"/>
  <c r="Z988" i="6"/>
  <c r="P988" i="6"/>
  <c r="W988" i="6" s="1"/>
  <c r="X988" i="6" s="1"/>
  <c r="P806" i="6"/>
  <c r="W806" i="6" s="1"/>
  <c r="X806" i="6" s="1"/>
  <c r="Z806" i="6"/>
  <c r="P146" i="6"/>
  <c r="W146" i="6" s="1"/>
  <c r="X146" i="6" s="1"/>
  <c r="Z146" i="6"/>
  <c r="Z646" i="6"/>
  <c r="P646" i="6"/>
  <c r="W646" i="6" s="1"/>
  <c r="X646" i="6" s="1"/>
  <c r="Z563" i="6"/>
  <c r="P563" i="6"/>
  <c r="W563" i="6" s="1"/>
  <c r="X563" i="6" s="1"/>
  <c r="Z1046" i="6"/>
  <c r="P1046" i="6"/>
  <c r="W1046" i="6" s="1"/>
  <c r="X1046" i="6" s="1"/>
  <c r="Z783" i="6"/>
  <c r="P783" i="6"/>
  <c r="W783" i="6" s="1"/>
  <c r="X783" i="6" s="1"/>
  <c r="P814" i="6"/>
  <c r="W814" i="6" s="1"/>
  <c r="X814" i="6" s="1"/>
  <c r="Z814" i="6"/>
  <c r="Z154" i="6"/>
  <c r="P154" i="6"/>
  <c r="W154" i="6" s="1"/>
  <c r="X154" i="6" s="1"/>
  <c r="P507" i="6"/>
  <c r="W507" i="6" s="1"/>
  <c r="X507" i="6" s="1"/>
  <c r="Z507" i="6"/>
  <c r="Z822" i="6"/>
  <c r="P822" i="6"/>
  <c r="W822" i="6" s="1"/>
  <c r="X822" i="6" s="1"/>
  <c r="Z611" i="6"/>
  <c r="P611" i="6"/>
  <c r="W611" i="6" s="1"/>
  <c r="X611" i="6" s="1"/>
  <c r="Z378" i="6"/>
  <c r="P378" i="6"/>
  <c r="W378" i="6" s="1"/>
  <c r="X378" i="6" s="1"/>
  <c r="Z1015" i="6"/>
  <c r="P1015" i="6"/>
  <c r="W1015" i="6" s="1"/>
  <c r="X1015" i="6" s="1"/>
  <c r="Z1038" i="6"/>
  <c r="P1038" i="6"/>
  <c r="W1038" i="6" s="1"/>
  <c r="X1038" i="6" s="1"/>
  <c r="Z280" i="6"/>
  <c r="P280" i="6"/>
  <c r="W280" i="6" s="1"/>
  <c r="X280" i="6" s="1"/>
  <c r="Z802" i="6"/>
  <c r="P802" i="6"/>
  <c r="W802" i="6" s="1"/>
  <c r="X802" i="6" s="1"/>
  <c r="Z162" i="6"/>
  <c r="P162" i="6"/>
  <c r="W162" i="6" s="1"/>
  <c r="X162" i="6" s="1"/>
  <c r="Z515" i="6"/>
  <c r="P515" i="6"/>
  <c r="W515" i="6" s="1"/>
  <c r="X515" i="6" s="1"/>
  <c r="P140" i="6"/>
  <c r="W140" i="6" s="1"/>
  <c r="X140" i="6" s="1"/>
  <c r="Z140" i="6"/>
  <c r="Z286" i="6"/>
  <c r="P286" i="6"/>
  <c r="W286" i="6" s="1"/>
  <c r="X286" i="6" s="1"/>
  <c r="P985" i="6"/>
  <c r="W985" i="6" s="1"/>
  <c r="X985" i="6" s="1"/>
  <c r="Z985" i="6"/>
  <c r="Z271" i="6"/>
  <c r="P271" i="6"/>
  <c r="W271" i="6" s="1"/>
  <c r="X271" i="6" s="1"/>
  <c r="Z430" i="6"/>
  <c r="P430" i="6"/>
  <c r="W430" i="6" s="1"/>
  <c r="X430" i="6" s="1"/>
  <c r="P488" i="6"/>
  <c r="W488" i="6" s="1"/>
  <c r="X488" i="6" s="1"/>
  <c r="Z488" i="6"/>
  <c r="P123" i="6"/>
  <c r="W123" i="6" s="1"/>
  <c r="X123" i="6" s="1"/>
  <c r="Z123" i="6"/>
  <c r="Z72" i="6"/>
  <c r="P72" i="6"/>
  <c r="W72" i="6" s="1"/>
  <c r="X72" i="6" s="1"/>
  <c r="Z62" i="6"/>
  <c r="P62" i="6"/>
  <c r="W62" i="6" s="1"/>
  <c r="X62" i="6" s="1"/>
  <c r="Z472" i="6"/>
  <c r="P472" i="6"/>
  <c r="W472" i="6" s="1"/>
  <c r="X472" i="6" s="1"/>
  <c r="P490" i="6"/>
  <c r="W490" i="6" s="1"/>
  <c r="X490" i="6" s="1"/>
  <c r="Z490" i="6"/>
  <c r="P496" i="6"/>
  <c r="W496" i="6" s="1"/>
  <c r="X496" i="6" s="1"/>
  <c r="Z496" i="6"/>
  <c r="Z131" i="6"/>
  <c r="P131" i="6"/>
  <c r="W131" i="6" s="1"/>
  <c r="X131" i="6" s="1"/>
  <c r="Q109" i="6" l="1"/>
  <c r="Q212" i="6"/>
  <c r="Q44" i="6"/>
  <c r="Q84" i="6"/>
  <c r="Q769" i="6"/>
  <c r="Q508" i="6"/>
  <c r="Q170" i="6"/>
  <c r="Q364" i="6"/>
  <c r="Q110" i="6"/>
  <c r="Q1036" i="6"/>
  <c r="Q345" i="6"/>
  <c r="Q540" i="6"/>
  <c r="Q791" i="6"/>
  <c r="Q780" i="6"/>
  <c r="Q880" i="6"/>
  <c r="W10" i="6"/>
  <c r="X10" i="6" s="1"/>
  <c r="Q827" i="6"/>
  <c r="W15" i="6"/>
  <c r="X15" i="6" s="1"/>
  <c r="W14" i="6"/>
  <c r="X14" i="6" s="1"/>
  <c r="Q261" i="6"/>
  <c r="Q927" i="6"/>
  <c r="X8" i="6"/>
  <c r="W16" i="6"/>
  <c r="X16" i="6" s="1"/>
  <c r="W11" i="6"/>
  <c r="X11" i="6" s="1"/>
  <c r="W6" i="6"/>
  <c r="X6" i="6" s="1"/>
  <c r="O6" i="6"/>
  <c r="N6" i="6"/>
  <c r="Q49" i="6"/>
  <c r="Q129" i="6"/>
  <c r="Q453" i="6"/>
  <c r="W453" i="6"/>
  <c r="X453" i="6" s="1"/>
  <c r="Q593" i="6"/>
  <c r="W593" i="6"/>
  <c r="X593" i="6" s="1"/>
  <c r="Q617" i="6"/>
  <c r="W617" i="6"/>
  <c r="X617" i="6" s="1"/>
  <c r="W273" i="6"/>
  <c r="X273" i="6" s="1"/>
  <c r="Q37" i="6"/>
  <c r="W37" i="6"/>
  <c r="X37" i="6" s="1"/>
  <c r="Q229" i="6"/>
  <c r="W229" i="6"/>
  <c r="X229" i="6" s="1"/>
  <c r="W1097" i="6"/>
  <c r="X1097" i="6" s="1"/>
  <c r="W445" i="6"/>
  <c r="X445" i="6" s="1"/>
  <c r="Q401" i="6"/>
  <c r="W401" i="6"/>
  <c r="X401" i="6" s="1"/>
  <c r="W1108" i="6"/>
  <c r="X1108" i="6" s="1"/>
  <c r="Q525" i="6"/>
  <c r="W525" i="6"/>
  <c r="X525" i="6" s="1"/>
  <c r="Q641" i="6"/>
  <c r="W641" i="6"/>
  <c r="X641" i="6" s="1"/>
  <c r="W1076" i="6"/>
  <c r="X1076" i="6" s="1"/>
  <c r="W1052" i="6"/>
  <c r="X1052" i="6" s="1"/>
  <c r="Q836" i="6"/>
  <c r="W836" i="6"/>
  <c r="X836" i="6" s="1"/>
  <c r="Q922" i="6"/>
  <c r="W922" i="6"/>
  <c r="X922" i="6" s="1"/>
  <c r="W812" i="6"/>
  <c r="X812" i="6" s="1"/>
  <c r="Q73" i="6"/>
  <c r="W73" i="6"/>
  <c r="X73" i="6" s="1"/>
  <c r="W61" i="6"/>
  <c r="X61" i="6" s="1"/>
  <c r="Q461" i="6"/>
  <c r="W461" i="6"/>
  <c r="X461" i="6" s="1"/>
  <c r="W410" i="6"/>
  <c r="X410" i="6" s="1"/>
  <c r="Q781" i="6"/>
  <c r="W781" i="6"/>
  <c r="X781" i="6" s="1"/>
  <c r="Q868" i="6"/>
  <c r="W868" i="6"/>
  <c r="X868" i="6" s="1"/>
  <c r="Q153" i="6"/>
  <c r="W153" i="6"/>
  <c r="X153" i="6" s="1"/>
  <c r="W26" i="6"/>
  <c r="X26" i="6" s="1"/>
  <c r="Q381" i="6"/>
  <c r="W381" i="6"/>
  <c r="X381" i="6" s="1"/>
  <c r="W293" i="6"/>
  <c r="X293" i="6" s="1"/>
  <c r="Q424" i="6"/>
  <c r="W424" i="6"/>
  <c r="X424" i="6" s="1"/>
  <c r="W90" i="6"/>
  <c r="X90" i="6" s="1"/>
  <c r="W854" i="6"/>
  <c r="X854" i="6" s="1"/>
  <c r="W569" i="6"/>
  <c r="X569" i="6" s="1"/>
  <c r="W878" i="6"/>
  <c r="X878" i="6" s="1"/>
  <c r="W165" i="6"/>
  <c r="X165" i="6" s="1"/>
  <c r="Q13" i="6"/>
  <c r="X13" i="6"/>
  <c r="W873" i="6"/>
  <c r="X873" i="6" s="1"/>
  <c r="W21" i="6"/>
  <c r="X21" i="6" s="1"/>
  <c r="Q513" i="6"/>
  <c r="W513" i="6"/>
  <c r="X513" i="6" s="1"/>
  <c r="Q36" i="6"/>
  <c r="W36" i="6"/>
  <c r="X36" i="6" s="1"/>
  <c r="Q940" i="6"/>
  <c r="W940" i="6"/>
  <c r="X940" i="6" s="1"/>
  <c r="W628" i="6"/>
  <c r="X628" i="6" s="1"/>
  <c r="Q425" i="6"/>
  <c r="W425" i="6"/>
  <c r="X425" i="6" s="1"/>
  <c r="W722" i="6"/>
  <c r="X722" i="6" s="1"/>
  <c r="Q457" i="6"/>
  <c r="W457" i="6"/>
  <c r="X457" i="6" s="1"/>
  <c r="W885" i="6"/>
  <c r="X885" i="6" s="1"/>
  <c r="W380" i="6"/>
  <c r="X380" i="6" s="1"/>
  <c r="W689" i="6"/>
  <c r="X689" i="6" s="1"/>
  <c r="Q530" i="6"/>
  <c r="W530" i="6"/>
  <c r="X530" i="6" s="1"/>
  <c r="W789" i="6"/>
  <c r="X789" i="6" s="1"/>
  <c r="Q601" i="6"/>
  <c r="W601" i="6"/>
  <c r="X601" i="6" s="1"/>
  <c r="W998" i="6"/>
  <c r="X998" i="6" s="1"/>
  <c r="W284" i="6"/>
  <c r="X284" i="6" s="1"/>
  <c r="W587" i="6"/>
  <c r="X587" i="6" s="1"/>
  <c r="W982" i="6"/>
  <c r="X982" i="6" s="1"/>
  <c r="Q548" i="6"/>
  <c r="W548" i="6"/>
  <c r="X548" i="6" s="1"/>
  <c r="Q701" i="6"/>
  <c r="W701" i="6"/>
  <c r="X701" i="6" s="1"/>
  <c r="Q1060" i="6"/>
  <c r="W1060" i="6"/>
  <c r="X1060" i="6" s="1"/>
  <c r="Q804" i="6"/>
  <c r="W804" i="6"/>
  <c r="X804" i="6" s="1"/>
  <c r="W748" i="6"/>
  <c r="X748" i="6" s="1"/>
  <c r="W833" i="6"/>
  <c r="X833" i="6" s="1"/>
  <c r="Q1101" i="6"/>
  <c r="W1101" i="6"/>
  <c r="X1101" i="6" s="1"/>
  <c r="W265" i="6"/>
  <c r="X265" i="6" s="1"/>
  <c r="Q418" i="6"/>
  <c r="W418" i="6"/>
  <c r="X418" i="6" s="1"/>
  <c r="W955" i="6"/>
  <c r="X955" i="6" s="1"/>
  <c r="W501" i="6"/>
  <c r="X501" i="6" s="1"/>
  <c r="Q621" i="6"/>
  <c r="W621" i="6"/>
  <c r="X621" i="6" s="1"/>
  <c r="Q549" i="6"/>
  <c r="W549" i="6"/>
  <c r="X549" i="6" s="1"/>
  <c r="Q809" i="6"/>
  <c r="W809" i="6"/>
  <c r="X809" i="6" s="1"/>
  <c r="W669" i="6"/>
  <c r="X669" i="6" s="1"/>
  <c r="W636" i="6"/>
  <c r="X636" i="6" s="1"/>
  <c r="W930" i="6"/>
  <c r="X930" i="6" s="1"/>
  <c r="Q709" i="6"/>
  <c r="W709" i="6"/>
  <c r="X709" i="6" s="1"/>
  <c r="Q65" i="6"/>
  <c r="W65" i="6"/>
  <c r="X65" i="6" s="1"/>
  <c r="W203" i="6"/>
  <c r="X203" i="6" s="1"/>
  <c r="Q545" i="6"/>
  <c r="W545" i="6"/>
  <c r="X545" i="6" s="1"/>
  <c r="W85" i="6"/>
  <c r="X85" i="6" s="1"/>
  <c r="W618" i="6"/>
  <c r="X618" i="6" s="1"/>
  <c r="Q699" i="6"/>
  <c r="W699" i="6"/>
  <c r="X699" i="6" s="1"/>
  <c r="Q881" i="6"/>
  <c r="W881" i="6"/>
  <c r="X881" i="6" s="1"/>
  <c r="Q388" i="6"/>
  <c r="W388" i="6"/>
  <c r="X388" i="6" s="1"/>
  <c r="Q828" i="6"/>
  <c r="W828" i="6"/>
  <c r="X828" i="6" s="1"/>
  <c r="W684" i="6"/>
  <c r="X684" i="6" s="1"/>
  <c r="W353" i="6"/>
  <c r="X353" i="6" s="1"/>
  <c r="Q772" i="6"/>
  <c r="W772" i="6"/>
  <c r="X772" i="6" s="1"/>
  <c r="W843" i="6"/>
  <c r="X843" i="6" s="1"/>
  <c r="W1044" i="6"/>
  <c r="X1044" i="6" s="1"/>
  <c r="W332" i="6"/>
  <c r="X332" i="6" s="1"/>
  <c r="Q916" i="6"/>
  <c r="W916" i="6"/>
  <c r="X916" i="6" s="1"/>
  <c r="Q292" i="6"/>
  <c r="W292" i="6"/>
  <c r="X292" i="6" s="1"/>
  <c r="Q735" i="6"/>
  <c r="W735" i="6"/>
  <c r="X735" i="6" s="1"/>
  <c r="Q211" i="6"/>
  <c r="W211" i="6"/>
  <c r="X211" i="6" s="1"/>
  <c r="Q300" i="6"/>
  <c r="W300" i="6"/>
  <c r="X300" i="6" s="1"/>
  <c r="Q849" i="6"/>
  <c r="W849" i="6"/>
  <c r="X849" i="6" s="1"/>
  <c r="Q397" i="6"/>
  <c r="W397" i="6"/>
  <c r="X397" i="6" s="1"/>
  <c r="W737" i="6"/>
  <c r="X737" i="6" s="1"/>
  <c r="Q325" i="6"/>
  <c r="W325" i="6"/>
  <c r="X325" i="6" s="1"/>
  <c r="W277" i="6"/>
  <c r="X277" i="6" s="1"/>
  <c r="W585" i="6"/>
  <c r="X585" i="6" s="1"/>
  <c r="Q79" i="6"/>
  <c r="W79" i="6"/>
  <c r="X79" i="6" s="1"/>
  <c r="W143" i="6"/>
  <c r="X143" i="6" s="1"/>
  <c r="W468" i="6"/>
  <c r="X468" i="6" s="1"/>
  <c r="Q937" i="6"/>
  <c r="W937" i="6"/>
  <c r="X937" i="6" s="1"/>
  <c r="Q717" i="6"/>
  <c r="W717" i="6"/>
  <c r="X717" i="6" s="1"/>
  <c r="Q83" i="6"/>
  <c r="W83" i="6"/>
  <c r="X83" i="6" s="1"/>
  <c r="Q537" i="6"/>
  <c r="W537" i="6"/>
  <c r="X537" i="6" s="1"/>
  <c r="Q385" i="6"/>
  <c r="W385" i="6"/>
  <c r="X385" i="6" s="1"/>
  <c r="W20" i="6"/>
  <c r="X20" i="6" s="1"/>
  <c r="Q443" i="6"/>
  <c r="W443" i="6"/>
  <c r="X443" i="6" s="1"/>
  <c r="W181" i="6"/>
  <c r="X181" i="6" s="1"/>
  <c r="W1017" i="6"/>
  <c r="X1017" i="6" s="1"/>
  <c r="W799" i="6"/>
  <c r="X799" i="6" s="1"/>
  <c r="Q945" i="6"/>
  <c r="W945" i="6"/>
  <c r="X945" i="6" s="1"/>
  <c r="W841" i="6"/>
  <c r="X841" i="6" s="1"/>
  <c r="W494" i="6"/>
  <c r="X494" i="6" s="1"/>
  <c r="W260" i="6"/>
  <c r="X260" i="6" s="1"/>
  <c r="Q785" i="6"/>
  <c r="W785" i="6"/>
  <c r="X785" i="6" s="1"/>
  <c r="Q756" i="6"/>
  <c r="W756" i="6"/>
  <c r="X756" i="6" s="1"/>
  <c r="Q445" i="6"/>
  <c r="Q277" i="6"/>
  <c r="Q1076" i="6"/>
  <c r="Q26" i="6"/>
  <c r="Q1108" i="6"/>
  <c r="Q332" i="6"/>
  <c r="Q585" i="6"/>
  <c r="Q20" i="6"/>
  <c r="Q468" i="6"/>
  <c r="Q61" i="6"/>
  <c r="Q1044" i="6"/>
  <c r="Q663" i="6"/>
  <c r="Q718" i="6"/>
  <c r="Q1015" i="6"/>
  <c r="Q490" i="6"/>
  <c r="Q472" i="6"/>
  <c r="Q802" i="6"/>
  <c r="Q378" i="6"/>
  <c r="Q563" i="6"/>
  <c r="Q988" i="6"/>
  <c r="Q1087" i="6"/>
  <c r="Q871" i="6"/>
  <c r="Q374" i="6"/>
  <c r="Q246" i="6"/>
  <c r="Q322" i="6"/>
  <c r="Q874" i="6"/>
  <c r="Q863" i="6"/>
  <c r="Q1048" i="6"/>
  <c r="Q751" i="6"/>
  <c r="Q446" i="6"/>
  <c r="Q739" i="6"/>
  <c r="Q807" i="6"/>
  <c r="Q206" i="6"/>
  <c r="Q690" i="6"/>
  <c r="Q481" i="6"/>
  <c r="Q402" i="6"/>
  <c r="Q488" i="6"/>
  <c r="Q184" i="6"/>
  <c r="Q539" i="6"/>
  <c r="Q323" i="6"/>
  <c r="Q426" i="6"/>
  <c r="Q406" i="6"/>
  <c r="Q675" i="6"/>
  <c r="Q183" i="6"/>
  <c r="Q544" i="6"/>
  <c r="Q997" i="6"/>
  <c r="Q352" i="6"/>
  <c r="Q771" i="6"/>
  <c r="Q978" i="6"/>
  <c r="Q171" i="6"/>
  <c r="Q512" i="6"/>
  <c r="Q379" i="6"/>
  <c r="Q74" i="6"/>
  <c r="Q334" i="6"/>
  <c r="Q1019" i="6"/>
  <c r="Q928" i="6"/>
  <c r="Q719" i="6"/>
  <c r="Q14" i="6"/>
  <c r="Q1051" i="6"/>
  <c r="Q938" i="6"/>
  <c r="Q259" i="6"/>
  <c r="Q816" i="6"/>
  <c r="Q419" i="6"/>
  <c r="Q824" i="6"/>
  <c r="Q56" i="6"/>
  <c r="Q1063" i="6"/>
  <c r="Q758" i="6"/>
  <c r="Q96" i="6"/>
  <c r="Q546" i="6"/>
  <c r="Q588" i="6"/>
  <c r="Q299" i="6"/>
  <c r="Q40" i="6"/>
  <c r="Q487" i="6"/>
  <c r="Q952" i="6"/>
  <c r="Q1014" i="6"/>
  <c r="Q886" i="6"/>
  <c r="Q957" i="6"/>
  <c r="Q394" i="6"/>
  <c r="Q373" i="6"/>
  <c r="Q852" i="6"/>
  <c r="Q60" i="6"/>
  <c r="Q933" i="6"/>
  <c r="Q977" i="6"/>
  <c r="Q486" i="6"/>
  <c r="Q197" i="6"/>
  <c r="Q1107" i="6"/>
  <c r="Q861" i="6"/>
  <c r="Q42" i="6"/>
  <c r="Q476" i="6"/>
  <c r="Q805" i="6"/>
  <c r="Q929" i="6"/>
  <c r="Q470" i="6"/>
  <c r="Q441" i="6"/>
  <c r="Q924" i="6"/>
  <c r="Q598" i="6"/>
  <c r="Q971" i="6"/>
  <c r="Q177" i="6"/>
  <c r="Q317" i="6"/>
  <c r="Q412" i="6"/>
  <c r="Q204" i="6"/>
  <c r="Q433" i="6"/>
  <c r="Q234" i="6"/>
  <c r="Q853" i="6"/>
  <c r="Q825" i="6"/>
  <c r="Q637" i="6"/>
  <c r="Q1057" i="6"/>
  <c r="Q677" i="6"/>
  <c r="Q117" i="6"/>
  <c r="Q237" i="6"/>
  <c r="Q148" i="6"/>
  <c r="Q788" i="6"/>
  <c r="Q936" i="6"/>
  <c r="Q1038" i="6"/>
  <c r="Q62" i="6"/>
  <c r="Q280" i="6"/>
  <c r="Q611" i="6"/>
  <c r="Q646" i="6"/>
  <c r="Q911" i="6"/>
  <c r="Q1053" i="6"/>
  <c r="Q450" i="6"/>
  <c r="Q67" i="6"/>
  <c r="Q967" i="6"/>
  <c r="Q1104" i="6"/>
  <c r="Q1040" i="6"/>
  <c r="Q848" i="6"/>
  <c r="Q1102" i="6"/>
  <c r="Q1090" i="6"/>
  <c r="Q1095" i="6"/>
  <c r="Q554" i="6"/>
  <c r="Q159" i="6"/>
  <c r="Q707" i="6"/>
  <c r="Q704" i="6"/>
  <c r="Q866" i="6"/>
  <c r="Q51" i="6"/>
  <c r="Q242" i="6"/>
  <c r="Q575" i="6"/>
  <c r="Q359" i="6"/>
  <c r="Q679" i="6"/>
  <c r="Q438" i="6"/>
  <c r="Q104" i="6"/>
  <c r="Q403" i="6"/>
  <c r="Q343" i="6"/>
  <c r="Q923" i="6"/>
  <c r="Q536" i="6"/>
  <c r="Q867" i="6"/>
  <c r="Q111" i="6"/>
  <c r="Q22" i="6"/>
  <c r="Q931" i="6"/>
  <c r="Q163" i="6"/>
  <c r="Q35" i="6"/>
  <c r="Q1074" i="6"/>
  <c r="Q440" i="6"/>
  <c r="Q167" i="6"/>
  <c r="Q902" i="6"/>
  <c r="Q32" i="6"/>
  <c r="Q1000" i="6"/>
  <c r="Q627" i="6"/>
  <c r="Q975" i="6"/>
  <c r="Q670" i="6"/>
  <c r="Q899" i="6"/>
  <c r="Q960" i="6"/>
  <c r="Q1030" i="6"/>
  <c r="Q838" i="6"/>
  <c r="Q235" i="6"/>
  <c r="Q570" i="6"/>
  <c r="Q506" i="6"/>
  <c r="Q943" i="6"/>
  <c r="Q702" i="6"/>
  <c r="Q466" i="6"/>
  <c r="Q307" i="6"/>
  <c r="Q1089" i="6"/>
  <c r="Q278" i="6"/>
  <c r="Q720" i="6"/>
  <c r="Q178" i="6"/>
  <c r="Q738" i="6"/>
  <c r="Q138" i="6"/>
  <c r="Q275" i="6"/>
  <c r="Q247" i="6"/>
  <c r="Q528" i="6"/>
  <c r="Q336" i="6"/>
  <c r="Q590" i="6"/>
  <c r="Q499" i="6"/>
  <c r="Q435" i="6"/>
  <c r="Q70" i="6"/>
  <c r="Q918" i="6"/>
  <c r="Q400" i="6"/>
  <c r="Q752" i="6"/>
  <c r="Q422" i="6"/>
  <c r="Q416" i="6"/>
  <c r="Q1022" i="6"/>
  <c r="Q226" i="6"/>
  <c r="Q951" i="6"/>
  <c r="Q983" i="6"/>
  <c r="Q1111" i="6"/>
  <c r="Q883" i="6"/>
  <c r="Q667" i="6"/>
  <c r="Q347" i="6"/>
  <c r="Q560" i="6"/>
  <c r="Q1091" i="6"/>
  <c r="Q478" i="6"/>
  <c r="Q990" i="6"/>
  <c r="Q703" i="6"/>
  <c r="Q158" i="6"/>
  <c r="Q994" i="6"/>
  <c r="Q439" i="6"/>
  <c r="Q362" i="6"/>
  <c r="Q371" i="6"/>
  <c r="Q155" i="6"/>
  <c r="Q386" i="6"/>
  <c r="Q224" i="6"/>
  <c r="Q1103" i="6"/>
  <c r="Q1112" i="6"/>
  <c r="Q910" i="6"/>
  <c r="Q354" i="6"/>
  <c r="Q511" i="6"/>
  <c r="Q531" i="6"/>
  <c r="Q792" i="6"/>
  <c r="Q965" i="6"/>
  <c r="Q915" i="6"/>
  <c r="Q1037" i="6"/>
  <c r="Q288" i="6"/>
  <c r="Q139" i="6"/>
  <c r="Q962" i="6"/>
  <c r="Q543" i="6"/>
  <c r="Q296" i="6"/>
  <c r="Q480" i="6"/>
  <c r="Q775" i="6"/>
  <c r="Q711" i="6"/>
  <c r="Q895" i="6"/>
  <c r="Q1011" i="6"/>
  <c r="Q29" i="6"/>
  <c r="Q730" i="6"/>
  <c r="Q500" i="6"/>
  <c r="Q564" i="6"/>
  <c r="Q742" i="6"/>
  <c r="Q405" i="6"/>
  <c r="Q522" i="6"/>
  <c r="Q844" i="6"/>
  <c r="Q1068" i="6"/>
  <c r="Q485" i="6"/>
  <c r="Q979" i="6"/>
  <c r="Q869" i="6"/>
  <c r="Q268" i="6"/>
  <c r="Q493" i="6"/>
  <c r="Q517" i="6"/>
  <c r="Q250" i="6"/>
  <c r="Q252" i="6"/>
  <c r="Q52" i="6"/>
  <c r="Q964" i="6"/>
  <c r="Q716" i="6"/>
  <c r="Q801" i="6"/>
  <c r="Q366" i="6"/>
  <c r="Q1058" i="6"/>
  <c r="Q471" i="6"/>
  <c r="Q693" i="6"/>
  <c r="Q1001" i="6"/>
  <c r="Q492" i="6"/>
  <c r="Q877" i="6"/>
  <c r="Q783" i="6"/>
  <c r="Q582" i="6"/>
  <c r="Q131" i="6"/>
  <c r="Q430" i="6"/>
  <c r="Q140" i="6"/>
  <c r="Q814" i="6"/>
  <c r="Q714" i="6"/>
  <c r="Q857" i="6"/>
  <c r="Q274" i="6"/>
  <c r="Q743" i="6"/>
  <c r="Q795" i="6"/>
  <c r="Q731" i="6"/>
  <c r="Q558" i="6"/>
  <c r="Q283" i="6"/>
  <c r="Q222" i="6"/>
  <c r="Q251" i="6"/>
  <c r="Q787" i="6"/>
  <c r="Q38" i="6"/>
  <c r="Q335" i="6"/>
  <c r="Q144" i="6"/>
  <c r="Q290" i="6"/>
  <c r="M6" i="6"/>
  <c r="Q302" i="6"/>
  <c r="Q411" i="6"/>
  <c r="Q195" i="6"/>
  <c r="Q442" i="6"/>
  <c r="Q504" i="6"/>
  <c r="Q243" i="6"/>
  <c r="Q1079" i="6"/>
  <c r="Q455" i="6"/>
  <c r="Q1055" i="6"/>
  <c r="Q1023" i="6"/>
  <c r="Q674" i="6"/>
  <c r="Q351" i="6"/>
  <c r="Q1039" i="6"/>
  <c r="Q510" i="6"/>
  <c r="Q800" i="6"/>
  <c r="Q579" i="6"/>
  <c r="Q784" i="6"/>
  <c r="Q1008" i="6"/>
  <c r="Q519" i="6"/>
  <c r="Q685" i="6"/>
  <c r="Q33" i="6"/>
  <c r="Q872" i="6"/>
  <c r="Q28" i="6"/>
  <c r="Q613" i="6"/>
  <c r="Q241" i="6"/>
  <c r="Q708" i="6"/>
  <c r="Q396" i="6"/>
  <c r="Q1069" i="6"/>
  <c r="Q581" i="6"/>
  <c r="Q909" i="6"/>
  <c r="Q851" i="6"/>
  <c r="Q571" i="6"/>
  <c r="Q356" i="6"/>
  <c r="Q682" i="6"/>
  <c r="Q969" i="6"/>
  <c r="Q301" i="6"/>
  <c r="Q521" i="6"/>
  <c r="Q884" i="6"/>
  <c r="Q1034" i="6"/>
  <c r="Q614" i="6"/>
  <c r="Q609" i="6"/>
  <c r="Q541" i="6"/>
  <c r="Q972" i="6"/>
  <c r="Q321" i="6"/>
  <c r="Q595" i="6"/>
  <c r="Q459" i="6"/>
  <c r="Q941" i="6"/>
  <c r="Q794" i="6"/>
  <c r="Q777" i="6"/>
  <c r="Q745" i="6"/>
  <c r="Q817" i="6"/>
  <c r="Q591" i="6"/>
  <c r="Q297" i="6"/>
  <c r="Q196" i="6"/>
  <c r="Q271" i="6"/>
  <c r="Q555" i="6"/>
  <c r="Q518" i="6"/>
  <c r="Q384" i="6"/>
  <c r="Q664" i="6"/>
  <c r="Q648" i="6"/>
  <c r="Q80" i="6"/>
  <c r="Q959" i="6"/>
  <c r="Q1054" i="6"/>
  <c r="Q63" i="6"/>
  <c r="Q39" i="6"/>
  <c r="Q859" i="6"/>
  <c r="Q27" i="6"/>
  <c r="Q219" i="6"/>
  <c r="Q686" i="6"/>
  <c r="Q944" i="6"/>
  <c r="Q19" i="6"/>
  <c r="Q24" i="6"/>
  <c r="Q574" i="6"/>
  <c r="Q227" i="6"/>
  <c r="Q498" i="6"/>
  <c r="Q370" i="6"/>
  <c r="Q694" i="6"/>
  <c r="Q390" i="6"/>
  <c r="Q920" i="6"/>
  <c r="Q115" i="6"/>
  <c r="Q728" i="6"/>
  <c r="Q671" i="6"/>
  <c r="Q448" i="6"/>
  <c r="Q981" i="6"/>
  <c r="Q768" i="6"/>
  <c r="Q640" i="6"/>
  <c r="Q576" i="6"/>
  <c r="Q46" i="6"/>
  <c r="Q898" i="6"/>
  <c r="Q208" i="6"/>
  <c r="Q30" i="6"/>
  <c r="Q914" i="6"/>
  <c r="Q850" i="6"/>
  <c r="Q174" i="6"/>
  <c r="Q966" i="6"/>
  <c r="Q639" i="6"/>
  <c r="Q447" i="6"/>
  <c r="Q691" i="6"/>
  <c r="Q578" i="6"/>
  <c r="Q514" i="6"/>
  <c r="Q55" i="6"/>
  <c r="Q491" i="6"/>
  <c r="Q534" i="6"/>
  <c r="Q763" i="6"/>
  <c r="Q454" i="6"/>
  <c r="Q654" i="6"/>
  <c r="Q770" i="6"/>
  <c r="Q200" i="6"/>
  <c r="Q8" i="6"/>
  <c r="Q262" i="6"/>
  <c r="Q954" i="6"/>
  <c r="Q584" i="6"/>
  <c r="Q319" i="6"/>
  <c r="Q103" i="6"/>
  <c r="Q734" i="6"/>
  <c r="Q479" i="6"/>
  <c r="Q1067" i="6"/>
  <c r="Q947" i="6"/>
  <c r="Q755" i="6"/>
  <c r="Q456" i="6"/>
  <c r="Q375" i="6"/>
  <c r="Q311" i="6"/>
  <c r="Q119" i="6"/>
  <c r="Q619" i="6"/>
  <c r="Q1088" i="6"/>
  <c r="Q164" i="6"/>
  <c r="Q829" i="6"/>
  <c r="Q842" i="6"/>
  <c r="Q452" i="6"/>
  <c r="Q1006" i="6"/>
  <c r="Q369" i="6"/>
  <c r="Q313" i="6"/>
  <c r="Q793" i="6"/>
  <c r="Q622" i="6"/>
  <c r="Q629" i="6"/>
  <c r="Q1033" i="6"/>
  <c r="Q865" i="6"/>
  <c r="Q573" i="6"/>
  <c r="Q68" i="6"/>
  <c r="Q589" i="6"/>
  <c r="Q604" i="6"/>
  <c r="Q715" i="6"/>
  <c r="Q257" i="6"/>
  <c r="Q1081" i="6"/>
  <c r="Q668" i="6"/>
  <c r="Q765" i="6"/>
  <c r="Q465" i="6"/>
  <c r="Q740" i="6"/>
  <c r="Q680" i="6"/>
  <c r="Q925" i="6"/>
  <c r="Q77" i="6"/>
  <c r="Q741" i="6"/>
  <c r="Q1020" i="6"/>
  <c r="Q657" i="6"/>
  <c r="Q225" i="6"/>
  <c r="Q822" i="6"/>
  <c r="Q1026" i="6"/>
  <c r="Q326" i="6"/>
  <c r="Q399" i="6"/>
  <c r="Q99" i="6"/>
  <c r="Q1070" i="6"/>
  <c r="Q992" i="6"/>
  <c r="Q1061" i="6"/>
  <c r="Q16" i="6"/>
  <c r="Q78" i="6"/>
  <c r="Q776" i="6"/>
  <c r="Q1106" i="6"/>
  <c r="Q1078" i="6"/>
  <c r="Q1109" i="6"/>
  <c r="Q91" i="6"/>
  <c r="Q50" i="6"/>
  <c r="Q600" i="6"/>
  <c r="Q87" i="6"/>
  <c r="Q710" i="6"/>
  <c r="Q767" i="6"/>
  <c r="Q821" i="6"/>
  <c r="Q355" i="6"/>
  <c r="Q562" i="6"/>
  <c r="Q698" i="6"/>
  <c r="Q496" i="6"/>
  <c r="Q146" i="6"/>
  <c r="Q567" i="6"/>
  <c r="Q1049" i="6"/>
  <c r="Q903" i="6"/>
  <c r="Q919" i="6"/>
  <c r="Q134" i="6"/>
  <c r="Q736" i="6"/>
  <c r="Q266" i="6"/>
  <c r="Q583" i="6"/>
  <c r="Q744" i="6"/>
  <c r="Q606" i="6"/>
  <c r="Q779" i="6"/>
  <c r="Q642" i="6"/>
  <c r="Q1042" i="6"/>
  <c r="Q176" i="6"/>
  <c r="Q150" i="6"/>
  <c r="Q638" i="6"/>
  <c r="Q935" i="6"/>
  <c r="Q215" i="6"/>
  <c r="Q778" i="6"/>
  <c r="Q1002" i="6"/>
  <c r="Q798" i="6"/>
  <c r="Q94" i="6"/>
  <c r="Q1003" i="6"/>
  <c r="Q239" i="6"/>
  <c r="Q267" i="6"/>
  <c r="Q602" i="6"/>
  <c r="Q151" i="6"/>
  <c r="Q635" i="6"/>
  <c r="Q1032" i="6"/>
  <c r="Q166" i="6"/>
  <c r="Q1096" i="6"/>
  <c r="Q451" i="6"/>
  <c r="Q831" i="6"/>
  <c r="Q835" i="6"/>
  <c r="Q31" i="6"/>
  <c r="Q846" i="6"/>
  <c r="Q264" i="6"/>
  <c r="Q23" i="6"/>
  <c r="Q350" i="6"/>
  <c r="Q658" i="6"/>
  <c r="Q662" i="6"/>
  <c r="Q552" i="6"/>
  <c r="Q145" i="6"/>
  <c r="Q180" i="6"/>
  <c r="Q993" i="6"/>
  <c r="Q421" i="6"/>
  <c r="Q449" i="6"/>
  <c r="Q409" i="6"/>
  <c r="Q1009" i="6"/>
  <c r="Q316" i="6"/>
  <c r="Q484" i="6"/>
  <c r="Q342" i="6"/>
  <c r="Q413" i="6"/>
  <c r="Q932" i="6"/>
  <c r="Q610" i="6"/>
  <c r="Q467" i="6"/>
  <c r="Q624" i="6"/>
  <c r="Q889" i="6"/>
  <c r="Q473" i="6"/>
  <c r="Q105" i="6"/>
  <c r="Q996" i="6"/>
  <c r="Q324" i="6"/>
  <c r="Q1050" i="6"/>
  <c r="Q1100" i="6"/>
  <c r="Q1004" i="6"/>
  <c r="Q469" i="6"/>
  <c r="Q991" i="6"/>
  <c r="Q361" i="6"/>
  <c r="Q1077" i="6"/>
  <c r="Q112" i="6"/>
  <c r="Q834" i="6"/>
  <c r="Q1018" i="6"/>
  <c r="Q1046" i="6"/>
  <c r="Q1035" i="6"/>
  <c r="Q160" i="6"/>
  <c r="Q766" i="6"/>
  <c r="Q320" i="6"/>
  <c r="Q256" i="6"/>
  <c r="Q1021" i="6"/>
  <c r="Q318" i="6"/>
  <c r="Q190" i="6"/>
  <c r="Q1010" i="6"/>
  <c r="Q586" i="6"/>
  <c r="Q695" i="6"/>
  <c r="Q414" i="6"/>
  <c r="Q526" i="6"/>
  <c r="Q310" i="6"/>
  <c r="Q864" i="6"/>
  <c r="Q858" i="6"/>
  <c r="Q210" i="6"/>
  <c r="Q961" i="6"/>
  <c r="Q43" i="6"/>
  <c r="Q712" i="6"/>
  <c r="Q774" i="6"/>
  <c r="Q875" i="6"/>
  <c r="Q747" i="6"/>
  <c r="Q683" i="6"/>
  <c r="Q314" i="6"/>
  <c r="Q879" i="6"/>
  <c r="Q395" i="6"/>
  <c r="Q192" i="6"/>
  <c r="Q240" i="6"/>
  <c r="Q136" i="6"/>
  <c r="Q344" i="6"/>
  <c r="Q88" i="6"/>
  <c r="Q191" i="6"/>
  <c r="Q127" i="6"/>
  <c r="Q1045" i="6"/>
  <c r="Q179" i="6"/>
  <c r="Q887" i="6"/>
  <c r="Q1098" i="6"/>
  <c r="Q71" i="6"/>
  <c r="Q666" i="6"/>
  <c r="Q815" i="6"/>
  <c r="Q678" i="6"/>
  <c r="Q840" i="6"/>
  <c r="Q963" i="6"/>
  <c r="Q1027" i="6"/>
  <c r="Q782" i="6"/>
  <c r="Q566" i="6"/>
  <c r="Q630" i="6"/>
  <c r="Q502" i="6"/>
  <c r="Q147" i="6"/>
  <c r="Q659" i="6"/>
  <c r="Q1093" i="6"/>
  <c r="Q263" i="6"/>
  <c r="Q727" i="6"/>
  <c r="Q198" i="6"/>
  <c r="Q1043" i="6"/>
  <c r="Q202" i="6"/>
  <c r="Q647" i="6"/>
  <c r="Q946" i="6"/>
  <c r="Q1059" i="6"/>
  <c r="Q995" i="6"/>
  <c r="Q626" i="6"/>
  <c r="Q696" i="6"/>
  <c r="Q568" i="6"/>
  <c r="Q231" i="6"/>
  <c r="Q949" i="6"/>
  <c r="Q808" i="6"/>
  <c r="Q408" i="6"/>
  <c r="Q309" i="6"/>
  <c r="Q216" i="6"/>
  <c r="Q218" i="6"/>
  <c r="Q855" i="6"/>
  <c r="Q989" i="6"/>
  <c r="Q1071" i="6"/>
  <c r="Q427" i="6"/>
  <c r="Q363" i="6"/>
  <c r="Q832" i="6"/>
  <c r="Q64" i="6"/>
  <c r="Q54" i="6"/>
  <c r="Q1007" i="6"/>
  <c r="Q830" i="6"/>
  <c r="Q483" i="6"/>
  <c r="Q688" i="6"/>
  <c r="Q615" i="6"/>
  <c r="Q839" i="6"/>
  <c r="Q986" i="6"/>
  <c r="Q282" i="6"/>
  <c r="Q360" i="6"/>
  <c r="Q559" i="6"/>
  <c r="Q826" i="6"/>
  <c r="Q762" i="6"/>
  <c r="Q128" i="6"/>
  <c r="Q431" i="6"/>
  <c r="Q367" i="6"/>
  <c r="Q126" i="6"/>
  <c r="Q882" i="6"/>
  <c r="Q1025" i="6"/>
  <c r="Q346" i="6"/>
  <c r="Q436" i="6"/>
  <c r="Q535" i="6"/>
  <c r="Q392" i="6"/>
  <c r="Q327" i="6"/>
  <c r="Q11" i="6"/>
  <c r="Q672" i="6"/>
  <c r="Q47" i="6"/>
  <c r="Q896" i="6"/>
  <c r="Q623" i="6"/>
  <c r="Q1086" i="6"/>
  <c r="Q958" i="6"/>
  <c r="Q894" i="6"/>
  <c r="Q547" i="6"/>
  <c r="Q1080" i="6"/>
  <c r="Q810" i="6"/>
  <c r="Q561" i="6"/>
  <c r="Q892" i="6"/>
  <c r="Q870" i="6"/>
  <c r="Q612" i="6"/>
  <c r="Q908" i="6"/>
  <c r="Q161" i="6"/>
  <c r="Q607" i="6"/>
  <c r="Q1092" i="6"/>
  <c r="Q553" i="6"/>
  <c r="Q338" i="6"/>
  <c r="Q813" i="6"/>
  <c r="Q368" i="6"/>
  <c r="Q732" i="6"/>
  <c r="Q649" i="6"/>
  <c r="Q953" i="6"/>
  <c r="Q764" i="6"/>
  <c r="Q509" i="6"/>
  <c r="Q749" i="6"/>
  <c r="Q407" i="6"/>
  <c r="Q404" i="6"/>
  <c r="Q845" i="6"/>
  <c r="Q1105" i="6"/>
  <c r="Q529" i="6"/>
  <c r="Q428" i="6"/>
  <c r="Q515" i="6"/>
  <c r="Q162" i="6"/>
  <c r="Q985" i="6"/>
  <c r="Q507" i="6"/>
  <c r="Q806" i="6"/>
  <c r="Q382" i="6"/>
  <c r="Q376" i="6"/>
  <c r="Q1056" i="6"/>
  <c r="Q520" i="6"/>
  <c r="Q1062" i="6"/>
  <c r="Q1064" i="6"/>
  <c r="Q538" i="6"/>
  <c r="Q391" i="6"/>
  <c r="Q1072" i="6"/>
  <c r="Q152" i="6"/>
  <c r="Q272" i="6"/>
  <c r="Q294" i="6"/>
  <c r="Q599" i="6"/>
  <c r="Q415" i="6"/>
  <c r="Q1066" i="6"/>
  <c r="Q616" i="6"/>
  <c r="Q458" i="6"/>
  <c r="Q1085" i="6"/>
  <c r="Q746" i="6"/>
  <c r="Q255" i="6"/>
  <c r="Q632" i="6"/>
  <c r="Q221" i="6"/>
  <c r="Q651" i="6"/>
  <c r="Q706" i="6"/>
  <c r="Q76" i="6"/>
  <c r="Q1031" i="6"/>
  <c r="Q904" i="6"/>
  <c r="Q10" i="6"/>
  <c r="Q495" i="6"/>
  <c r="Q650" i="6"/>
  <c r="Q907" i="6"/>
  <c r="Q1024" i="6"/>
  <c r="Q713" i="6"/>
  <c r="Q258" i="6"/>
  <c r="Q173" i="6"/>
  <c r="Q893" i="6"/>
  <c r="Q1028" i="6"/>
  <c r="Q733" i="6"/>
  <c r="Q1047" i="6"/>
  <c r="Q605" i="6"/>
  <c r="Q905" i="6"/>
  <c r="Q420" i="6"/>
  <c r="Q980" i="6"/>
  <c r="Q724" i="6"/>
  <c r="Q393" i="6"/>
  <c r="Q906" i="6"/>
  <c r="Q700" i="6"/>
  <c r="Q289" i="6"/>
  <c r="Q524" i="6"/>
  <c r="Q444" i="6"/>
  <c r="Q761" i="6"/>
  <c r="Q580" i="6"/>
  <c r="Q98" i="6"/>
  <c r="Q1065" i="6"/>
  <c r="Q132" i="6"/>
  <c r="Q100" i="6"/>
  <c r="Q913" i="6"/>
  <c r="Q1083" i="6"/>
  <c r="Q269" i="6"/>
  <c r="Q692" i="6"/>
  <c r="Q532" i="6"/>
  <c r="Q489" i="6"/>
  <c r="Q556" i="6"/>
  <c r="Q572" i="6"/>
  <c r="Q244" i="6"/>
  <c r="Q516" i="6"/>
  <c r="Q72" i="6"/>
  <c r="Q349" i="6"/>
  <c r="Q1029" i="6"/>
  <c r="Q123" i="6"/>
  <c r="Q286" i="6"/>
  <c r="Q154" i="6"/>
  <c r="Q847" i="6"/>
  <c r="Q312" i="6"/>
  <c r="Q1005" i="6"/>
  <c r="Q182" i="6"/>
  <c r="Q1013" i="6"/>
  <c r="Q503" i="6"/>
  <c r="Q656" i="6"/>
  <c r="Q934" i="6"/>
  <c r="Q254" i="6"/>
  <c r="Q687" i="6"/>
  <c r="Q803" i="6"/>
  <c r="Q306" i="6"/>
  <c r="Q634" i="6"/>
  <c r="Q823" i="6"/>
  <c r="Q631" i="6"/>
  <c r="Q939" i="6"/>
  <c r="Q107" i="6"/>
  <c r="Q1082" i="6"/>
  <c r="Q175" i="6"/>
  <c r="Q232" i="6"/>
  <c r="Q819" i="6"/>
  <c r="Q245" i="6"/>
  <c r="Q1110" i="6"/>
  <c r="Q1016" i="6"/>
  <c r="Q757" i="6"/>
  <c r="Q652" i="6"/>
  <c r="Q474" i="6"/>
  <c r="Q759" i="6"/>
  <c r="Q199" i="6"/>
  <c r="Q7" i="6"/>
  <c r="Q383" i="6"/>
  <c r="Q398" i="6"/>
  <c r="Q142" i="6"/>
  <c r="Q968" i="6"/>
  <c r="Q1094" i="6"/>
  <c r="Q912" i="6"/>
  <c r="Q207" i="6"/>
  <c r="Q523" i="6"/>
  <c r="Q303" i="6"/>
  <c r="Q328" i="6"/>
  <c r="Q862" i="6"/>
  <c r="Q926" i="6"/>
  <c r="Q270" i="6"/>
  <c r="Q786" i="6"/>
  <c r="Q137" i="6"/>
  <c r="Q417" i="6"/>
  <c r="Q897" i="6"/>
  <c r="Q856" i="6"/>
  <c r="Q592" i="6"/>
  <c r="Q608" i="6"/>
  <c r="Q432" i="6"/>
  <c r="Q811" i="6"/>
  <c r="Q643" i="6"/>
  <c r="Q974" i="6"/>
  <c r="Q942" i="6"/>
  <c r="Q970" i="6"/>
  <c r="Q135" i="6"/>
  <c r="Q434" i="6"/>
  <c r="Q291" i="6"/>
  <c r="Q999" i="6"/>
  <c r="Q475" i="6"/>
  <c r="Q921" i="6"/>
  <c r="Q550" i="6"/>
  <c r="Q542" i="6"/>
  <c r="Q462" i="6"/>
  <c r="Q891" i="6"/>
  <c r="Q976" i="6"/>
  <c r="Q760" i="6"/>
  <c r="Q818" i="6"/>
  <c r="Q754" i="6"/>
  <c r="Q120" i="6"/>
  <c r="Q423" i="6"/>
  <c r="Q295" i="6"/>
  <c r="Q118" i="6"/>
  <c r="Q987" i="6"/>
  <c r="Q984" i="6"/>
  <c r="Q15" i="6"/>
  <c r="Q387" i="6"/>
  <c r="Q114" i="6"/>
  <c r="Q890" i="6"/>
  <c r="Q527" i="6"/>
  <c r="Q1075" i="6"/>
  <c r="Q133" i="6"/>
  <c r="Q790" i="6"/>
  <c r="Q464" i="6"/>
  <c r="Q248" i="6"/>
  <c r="Q888" i="6"/>
  <c r="Q551" i="6"/>
  <c r="Q950" i="6"/>
  <c r="Q603" i="6"/>
  <c r="Q358" i="6"/>
  <c r="Q329" i="6"/>
  <c r="Q372" i="6"/>
  <c r="Q92" i="6"/>
  <c r="Q773" i="6"/>
  <c r="Q477" i="6"/>
  <c r="Q497" i="6"/>
  <c r="Q917" i="6"/>
  <c r="Q285" i="6"/>
  <c r="Q333" i="6"/>
  <c r="Q837" i="6"/>
  <c r="Q797" i="6"/>
  <c r="Q596" i="6"/>
  <c r="Q341" i="6"/>
  <c r="Q633" i="6"/>
  <c r="Q956" i="6"/>
  <c r="Q276" i="6"/>
  <c r="Q697" i="6"/>
  <c r="Q665" i="6"/>
  <c r="Q330" i="6"/>
  <c r="Q279" i="6"/>
  <c r="Q48" i="6"/>
  <c r="Q625" i="6"/>
  <c r="Q729" i="6"/>
  <c r="Q565" i="6"/>
  <c r="Q86" i="6"/>
  <c r="Z1113" i="6"/>
  <c r="AA6" i="6" s="1"/>
  <c r="Q6" i="6"/>
  <c r="P1113" i="6"/>
  <c r="Y6" i="6" l="1"/>
  <c r="W1113" i="6"/>
  <c r="X1113" i="6"/>
  <c r="Q1113" i="6"/>
  <c r="R6" i="6" s="1"/>
  <c r="T6" i="6" s="1"/>
  <c r="U6" i="6" s="1"/>
  <c r="AB6" i="6"/>
  <c r="V6" i="6" l="1"/>
  <c r="S6" i="6"/>
  <c r="T7" i="6" s="1"/>
  <c r="AE6" i="6" l="1"/>
  <c r="AG6" i="6" s="1"/>
  <c r="V374" i="20" l="1"/>
</calcChain>
</file>

<file path=xl/sharedStrings.xml><?xml version="1.0" encoding="utf-8"?>
<sst xmlns="http://schemas.openxmlformats.org/spreadsheetml/2006/main" count="466" uniqueCount="173">
  <si>
    <t>EngDispl</t>
  </si>
  <si>
    <t>NumCyl</t>
  </si>
  <si>
    <t>FE</t>
  </si>
  <si>
    <t>NumGears</t>
  </si>
  <si>
    <t>TransLockup</t>
  </si>
  <si>
    <t>TransCreeperGear</t>
  </si>
  <si>
    <t>IntakeValvePerCyl</t>
  </si>
  <si>
    <t>ExhaustValvesPerCyl</t>
  </si>
  <si>
    <t>VarValveTiming</t>
  </si>
  <si>
    <t>VarValveLift</t>
  </si>
  <si>
    <t xml:space="preserve"> Use the formulas discussed in the class to calculate the coefficients.</t>
  </si>
  <si>
    <t>Skewness (-1 to 1):</t>
  </si>
  <si>
    <t>Kurtosis (-2 to 2):</t>
  </si>
  <si>
    <t></t>
  </si>
  <si>
    <t></t>
  </si>
  <si>
    <r>
      <t>x</t>
    </r>
    <r>
      <rPr>
        <b/>
        <vertAlign val="subscript"/>
        <sz val="10"/>
        <color theme="1"/>
        <rFont val="MS Reference Sans Serif"/>
        <family val="2"/>
      </rPr>
      <t>i</t>
    </r>
    <r>
      <rPr>
        <b/>
        <sz val="10"/>
        <color theme="1"/>
        <rFont val="MS Reference Sans Serif"/>
        <family val="2"/>
      </rPr>
      <t xml:space="preserve"> - </t>
    </r>
  </si>
  <si>
    <r>
      <t>y</t>
    </r>
    <r>
      <rPr>
        <b/>
        <vertAlign val="subscript"/>
        <sz val="10"/>
        <color theme="1"/>
        <rFont val="MS Reference Sans Serif"/>
        <family val="2"/>
      </rPr>
      <t>i</t>
    </r>
    <r>
      <rPr>
        <b/>
        <sz val="10"/>
        <color theme="1"/>
        <rFont val="MS Reference Sans Serif"/>
        <family val="2"/>
      </rPr>
      <t xml:space="preserve"> - </t>
    </r>
  </si>
  <si>
    <r>
      <t>(x</t>
    </r>
    <r>
      <rPr>
        <b/>
        <vertAlign val="subscript"/>
        <sz val="10"/>
        <color theme="1"/>
        <rFont val="MS Reference Sans Serif"/>
        <family val="2"/>
      </rPr>
      <t>i</t>
    </r>
    <r>
      <rPr>
        <b/>
        <sz val="10"/>
        <color theme="1"/>
        <rFont val="MS Reference Sans Serif"/>
        <family val="2"/>
      </rPr>
      <t xml:space="preserve"> - )(y</t>
    </r>
    <r>
      <rPr>
        <b/>
        <vertAlign val="subscript"/>
        <sz val="10"/>
        <color theme="1"/>
        <rFont val="MS Reference Sans Serif"/>
        <family val="2"/>
      </rPr>
      <t>i</t>
    </r>
    <r>
      <rPr>
        <b/>
        <sz val="10"/>
        <color theme="1"/>
        <rFont val="MS Reference Sans Serif"/>
        <family val="2"/>
      </rPr>
      <t xml:space="preserve"> - )</t>
    </r>
  </si>
  <si>
    <r>
      <t>(x</t>
    </r>
    <r>
      <rPr>
        <b/>
        <vertAlign val="subscript"/>
        <sz val="10"/>
        <color theme="1"/>
        <rFont val="MS Reference Sans Serif"/>
        <family val="2"/>
      </rPr>
      <t>i</t>
    </r>
    <r>
      <rPr>
        <b/>
        <sz val="10"/>
        <color theme="1"/>
        <rFont val="MS Reference Sans Serif"/>
        <family val="2"/>
      </rPr>
      <t xml:space="preserve"> - )</t>
    </r>
    <r>
      <rPr>
        <b/>
        <vertAlign val="superscript"/>
        <sz val="10"/>
        <color theme="1"/>
        <rFont val="MS Reference Sans Serif"/>
        <family val="2"/>
      </rPr>
      <t>2</t>
    </r>
  </si>
  <si>
    <r>
      <t> - β</t>
    </r>
    <r>
      <rPr>
        <b/>
        <vertAlign val="subscript"/>
        <sz val="10"/>
        <color theme="1"/>
        <rFont val="MS Reference Sans Serif"/>
        <family val="2"/>
      </rPr>
      <t>1</t>
    </r>
    <r>
      <rPr>
        <b/>
        <sz val="10"/>
        <color theme="1"/>
        <rFont val="MS Reference Sans Serif"/>
        <family val="2"/>
      </rPr>
      <t></t>
    </r>
  </si>
  <si>
    <t>Regression line</t>
  </si>
  <si>
    <r>
      <t>ŷ</t>
    </r>
    <r>
      <rPr>
        <b/>
        <vertAlign val="subscript"/>
        <sz val="10"/>
        <color theme="1"/>
        <rFont val="MS Reference Sans Serif"/>
        <family val="2"/>
      </rPr>
      <t>i</t>
    </r>
    <r>
      <rPr>
        <b/>
        <sz val="10"/>
        <color theme="1"/>
        <rFont val="MS Reference Sans Serif"/>
        <family val="2"/>
      </rPr>
      <t xml:space="preserve"> = β</t>
    </r>
    <r>
      <rPr>
        <b/>
        <vertAlign val="subscript"/>
        <sz val="10"/>
        <color theme="1"/>
        <rFont val="MS Reference Sans Serif"/>
        <family val="2"/>
      </rPr>
      <t>0</t>
    </r>
    <r>
      <rPr>
        <b/>
        <sz val="10"/>
        <color theme="1"/>
        <rFont val="MS Reference Sans Serif"/>
        <family val="2"/>
      </rPr>
      <t xml:space="preserve"> + β</t>
    </r>
    <r>
      <rPr>
        <b/>
        <vertAlign val="subscript"/>
        <sz val="10"/>
        <color theme="1"/>
        <rFont val="MS Reference Sans Serif"/>
        <family val="2"/>
      </rPr>
      <t>1</t>
    </r>
    <r>
      <rPr>
        <b/>
        <sz val="10"/>
        <color theme="1"/>
        <rFont val="MS Reference Sans Serif"/>
        <family val="2"/>
      </rPr>
      <t>x</t>
    </r>
    <r>
      <rPr>
        <b/>
        <vertAlign val="subscript"/>
        <sz val="10"/>
        <color theme="1"/>
        <rFont val="MS Reference Sans Serif"/>
        <family val="2"/>
      </rPr>
      <t>i</t>
    </r>
  </si>
  <si>
    <t>x</t>
  </si>
  <si>
    <t>y</t>
  </si>
  <si>
    <t>SSE</t>
  </si>
  <si>
    <r>
      <t>(y</t>
    </r>
    <r>
      <rPr>
        <b/>
        <vertAlign val="subscript"/>
        <sz val="10"/>
        <color theme="1"/>
        <rFont val="MS Reference Sans Serif"/>
        <family val="2"/>
      </rPr>
      <t>i</t>
    </r>
    <r>
      <rPr>
        <b/>
        <sz val="10"/>
        <color theme="1"/>
        <rFont val="MS Reference Sans Serif"/>
        <family val="2"/>
      </rPr>
      <t xml:space="preserve"> - ŷ</t>
    </r>
    <r>
      <rPr>
        <b/>
        <vertAlign val="subscript"/>
        <sz val="10"/>
        <color theme="1"/>
        <rFont val="MS Reference Sans Serif"/>
        <family val="2"/>
      </rPr>
      <t>i</t>
    </r>
    <r>
      <rPr>
        <b/>
        <sz val="10"/>
        <color theme="1"/>
        <rFont val="MS Reference Sans Serif"/>
        <family val="2"/>
      </rPr>
      <t>)</t>
    </r>
    <r>
      <rPr>
        <b/>
        <vertAlign val="superscript"/>
        <sz val="10"/>
        <color theme="1"/>
        <rFont val="MS Reference Sans Serif"/>
        <family val="2"/>
      </rPr>
      <t>2</t>
    </r>
  </si>
  <si>
    <r>
      <t>y</t>
    </r>
    <r>
      <rPr>
        <b/>
        <vertAlign val="subscript"/>
        <sz val="10"/>
        <color theme="1"/>
        <rFont val="MS Reference Sans Serif"/>
        <family val="2"/>
      </rPr>
      <t>i</t>
    </r>
    <r>
      <rPr>
        <b/>
        <sz val="10"/>
        <color theme="1"/>
        <rFont val="MS Reference Sans Serif"/>
        <family val="2"/>
      </rPr>
      <t xml:space="preserve"> - ŷ</t>
    </r>
    <r>
      <rPr>
        <b/>
        <vertAlign val="subscript"/>
        <sz val="10"/>
        <color theme="1"/>
        <rFont val="MS Reference Sans Serif"/>
        <family val="2"/>
      </rPr>
      <t>i</t>
    </r>
  </si>
  <si>
    <r>
      <t>∑(y</t>
    </r>
    <r>
      <rPr>
        <b/>
        <vertAlign val="subscript"/>
        <sz val="10"/>
        <color theme="1"/>
        <rFont val="MS Reference Sans Serif"/>
        <family val="2"/>
      </rPr>
      <t>i</t>
    </r>
    <r>
      <rPr>
        <b/>
        <sz val="10"/>
        <color theme="1"/>
        <rFont val="MS Reference Sans Serif"/>
        <family val="2"/>
      </rPr>
      <t xml:space="preserve"> - ŷ</t>
    </r>
    <r>
      <rPr>
        <b/>
        <vertAlign val="subscript"/>
        <sz val="10"/>
        <color theme="1"/>
        <rFont val="MS Reference Sans Serif"/>
        <family val="2"/>
      </rPr>
      <t>i</t>
    </r>
    <r>
      <rPr>
        <b/>
        <sz val="10"/>
        <color theme="1"/>
        <rFont val="MS Reference Sans Serif"/>
        <family val="2"/>
      </rPr>
      <t>)</t>
    </r>
    <r>
      <rPr>
        <b/>
        <vertAlign val="superscript"/>
        <sz val="10"/>
        <color theme="1"/>
        <rFont val="MS Reference Sans Serif"/>
        <family val="2"/>
      </rPr>
      <t>2</t>
    </r>
  </si>
  <si>
    <t>SSR</t>
  </si>
  <si>
    <r>
      <t>∑(ŷ</t>
    </r>
    <r>
      <rPr>
        <b/>
        <vertAlign val="subscript"/>
        <sz val="10"/>
        <color theme="1"/>
        <rFont val="MS Reference Sans Serif"/>
        <family val="2"/>
      </rPr>
      <t>i</t>
    </r>
    <r>
      <rPr>
        <b/>
        <sz val="10"/>
        <color theme="1"/>
        <rFont val="MS Reference Sans Serif"/>
        <family val="2"/>
      </rPr>
      <t xml:space="preserve"> - )</t>
    </r>
    <r>
      <rPr>
        <b/>
        <vertAlign val="superscript"/>
        <sz val="10"/>
        <color theme="1"/>
        <rFont val="MS Reference Sans Serif"/>
        <family val="2"/>
      </rPr>
      <t>2</t>
    </r>
  </si>
  <si>
    <t>SST</t>
  </si>
  <si>
    <r>
      <t>∑(y</t>
    </r>
    <r>
      <rPr>
        <b/>
        <vertAlign val="subscript"/>
        <sz val="10"/>
        <color theme="1"/>
        <rFont val="MS Reference Sans Serif"/>
        <family val="2"/>
      </rPr>
      <t>i</t>
    </r>
    <r>
      <rPr>
        <b/>
        <sz val="10"/>
        <color theme="1"/>
        <rFont val="MS Reference Sans Serif"/>
        <family val="2"/>
      </rPr>
      <t xml:space="preserve"> - </t>
    </r>
    <r>
      <rPr>
        <b/>
        <sz val="10"/>
        <color theme="1"/>
        <rFont val="MS Reference Sans Serif"/>
        <family val="2"/>
      </rPr>
      <t>)</t>
    </r>
    <r>
      <rPr>
        <b/>
        <vertAlign val="superscript"/>
        <sz val="10"/>
        <color theme="1"/>
        <rFont val="MS Reference Sans Serif"/>
        <family val="2"/>
      </rPr>
      <t>2</t>
    </r>
  </si>
  <si>
    <r>
      <t>(ŷ</t>
    </r>
    <r>
      <rPr>
        <b/>
        <vertAlign val="subscript"/>
        <sz val="10"/>
        <color theme="1"/>
        <rFont val="MS Reference Sans Serif"/>
        <family val="2"/>
      </rPr>
      <t>i</t>
    </r>
    <r>
      <rPr>
        <b/>
        <sz val="10"/>
        <color theme="1"/>
        <rFont val="MS Reference Sans Serif"/>
        <family val="2"/>
      </rPr>
      <t xml:space="preserve"> - )</t>
    </r>
    <r>
      <rPr>
        <b/>
        <vertAlign val="superscript"/>
        <sz val="10"/>
        <color theme="1"/>
        <rFont val="MS Reference Sans Serif"/>
        <family val="2"/>
      </rPr>
      <t>2</t>
    </r>
  </si>
  <si>
    <r>
      <t>(y</t>
    </r>
    <r>
      <rPr>
        <b/>
        <vertAlign val="subscript"/>
        <sz val="10"/>
        <color theme="1"/>
        <rFont val="MS Reference Sans Serif"/>
        <family val="2"/>
      </rPr>
      <t>i</t>
    </r>
    <r>
      <rPr>
        <b/>
        <sz val="10"/>
        <color theme="1"/>
        <rFont val="MS Reference Sans Serif"/>
        <family val="2"/>
      </rPr>
      <t xml:space="preserve"> - </t>
    </r>
    <r>
      <rPr>
        <b/>
        <sz val="10"/>
        <color theme="1"/>
        <rFont val="MS Reference Sans Serif"/>
        <family val="2"/>
      </rPr>
      <t>)</t>
    </r>
    <r>
      <rPr>
        <b/>
        <vertAlign val="superscript"/>
        <sz val="10"/>
        <color theme="1"/>
        <rFont val="MS Reference Sans Serif"/>
        <family val="2"/>
      </rPr>
      <t>2</t>
    </r>
  </si>
  <si>
    <t>Standard Error</t>
  </si>
  <si>
    <t>Regression</t>
  </si>
  <si>
    <t>Residual</t>
  </si>
  <si>
    <t>df</t>
  </si>
  <si>
    <t>F</t>
  </si>
  <si>
    <t>Significance F</t>
  </si>
  <si>
    <t>n</t>
  </si>
  <si>
    <t>Mean</t>
  </si>
  <si>
    <r>
      <t>∑(y</t>
    </r>
    <r>
      <rPr>
        <b/>
        <vertAlign val="subscript"/>
        <sz val="10"/>
        <color theme="1"/>
        <rFont val="MS Reference Sans Serif"/>
        <family val="2"/>
      </rPr>
      <t>i</t>
    </r>
    <r>
      <rPr>
        <b/>
        <sz val="10"/>
        <color theme="1"/>
        <rFont val="MS Reference Sans Serif"/>
        <family val="2"/>
      </rPr>
      <t xml:space="preserve"> - ŷ</t>
    </r>
    <r>
      <rPr>
        <b/>
        <vertAlign val="subscript"/>
        <sz val="10"/>
        <color theme="1"/>
        <rFont val="MS Reference Sans Serif"/>
        <family val="2"/>
      </rPr>
      <t>i</t>
    </r>
    <r>
      <rPr>
        <b/>
        <sz val="10"/>
        <color theme="1"/>
        <rFont val="MS Reference Sans Serif"/>
        <family val="2"/>
      </rPr>
      <t>)</t>
    </r>
    <r>
      <rPr>
        <b/>
        <vertAlign val="superscript"/>
        <sz val="10"/>
        <color theme="1"/>
        <rFont val="MS Reference Sans Serif"/>
        <family val="2"/>
      </rPr>
      <t>2</t>
    </r>
    <r>
      <rPr>
        <b/>
        <sz val="10"/>
        <color theme="1"/>
        <rFont val="MS Reference Sans Serif"/>
        <family val="2"/>
      </rPr>
      <t xml:space="preserve"> / n - 2</t>
    </r>
  </si>
  <si>
    <r>
      <t>√(∑(y</t>
    </r>
    <r>
      <rPr>
        <b/>
        <vertAlign val="subscript"/>
        <sz val="10"/>
        <color theme="1"/>
        <rFont val="MS Reference Sans Serif"/>
        <family val="2"/>
      </rPr>
      <t>i</t>
    </r>
    <r>
      <rPr>
        <b/>
        <sz val="10"/>
        <color theme="1"/>
        <rFont val="MS Reference Sans Serif"/>
        <family val="2"/>
      </rPr>
      <t xml:space="preserve"> - ŷ</t>
    </r>
    <r>
      <rPr>
        <b/>
        <vertAlign val="subscript"/>
        <sz val="10"/>
        <color theme="1"/>
        <rFont val="MS Reference Sans Serif"/>
        <family val="2"/>
      </rPr>
      <t>i</t>
    </r>
    <r>
      <rPr>
        <b/>
        <sz val="10"/>
        <color theme="1"/>
        <rFont val="MS Reference Sans Serif"/>
        <family val="2"/>
      </rPr>
      <t>)</t>
    </r>
    <r>
      <rPr>
        <b/>
        <vertAlign val="superscript"/>
        <sz val="10"/>
        <color theme="1"/>
        <rFont val="MS Reference Sans Serif"/>
        <family val="2"/>
      </rPr>
      <t>2</t>
    </r>
    <r>
      <rPr>
        <b/>
        <sz val="10"/>
        <color theme="1"/>
        <rFont val="MS Reference Sans Serif"/>
        <family val="2"/>
      </rPr>
      <t xml:space="preserve"> / (n - 2))</t>
    </r>
  </si>
  <si>
    <t>P-Value</t>
  </si>
  <si>
    <t>F greater than SF therefore reject the NULL</t>
  </si>
  <si>
    <t>P less than alpha therefore reject the NULL</t>
  </si>
  <si>
    <r>
      <t>∑(ŷ</t>
    </r>
    <r>
      <rPr>
        <b/>
        <vertAlign val="subscript"/>
        <sz val="10"/>
        <color theme="1"/>
        <rFont val="MS Reference Sans Serif"/>
        <family val="2"/>
      </rPr>
      <t>i</t>
    </r>
    <r>
      <rPr>
        <b/>
        <sz val="10"/>
        <color theme="1"/>
        <rFont val="MS Reference Sans Serif"/>
        <family val="2"/>
      </rPr>
      <t xml:space="preserve"> - )</t>
    </r>
    <r>
      <rPr>
        <b/>
        <vertAlign val="superscript"/>
        <sz val="10"/>
        <color theme="1"/>
        <rFont val="MS Reference Sans Serif"/>
        <family val="2"/>
      </rPr>
      <t>2</t>
    </r>
    <r>
      <rPr>
        <b/>
        <sz val="10"/>
        <color theme="1"/>
        <rFont val="MS Reference Sans Serif"/>
        <family val="2"/>
      </rPr>
      <t xml:space="preserve"> / (∑(y</t>
    </r>
    <r>
      <rPr>
        <b/>
        <vertAlign val="subscript"/>
        <sz val="10"/>
        <color theme="1"/>
        <rFont val="MS Reference Sans Serif"/>
        <family val="2"/>
      </rPr>
      <t>i</t>
    </r>
    <r>
      <rPr>
        <b/>
        <sz val="10"/>
        <color theme="1"/>
        <rFont val="MS Reference Sans Serif"/>
        <family val="2"/>
      </rPr>
      <t xml:space="preserve"> - ŷ</t>
    </r>
    <r>
      <rPr>
        <b/>
        <vertAlign val="subscript"/>
        <sz val="10"/>
        <color theme="1"/>
        <rFont val="MS Reference Sans Serif"/>
        <family val="2"/>
      </rPr>
      <t>i</t>
    </r>
    <r>
      <rPr>
        <b/>
        <sz val="10"/>
        <color theme="1"/>
        <rFont val="MS Reference Sans Serif"/>
        <family val="2"/>
      </rPr>
      <t>)</t>
    </r>
    <r>
      <rPr>
        <b/>
        <vertAlign val="superscript"/>
        <sz val="10"/>
        <color theme="1"/>
        <rFont val="MS Reference Sans Serif"/>
        <family val="2"/>
      </rPr>
      <t>2</t>
    </r>
    <r>
      <rPr>
        <b/>
        <sz val="10"/>
        <color theme="1"/>
        <rFont val="MS Reference Sans Serif"/>
        <family val="2"/>
      </rPr>
      <t xml:space="preserve"> / n - 2)</t>
    </r>
  </si>
  <si>
    <r>
      <t>∑(ŷ</t>
    </r>
    <r>
      <rPr>
        <b/>
        <vertAlign val="subscript"/>
        <sz val="10"/>
        <color theme="1"/>
        <rFont val="MS Reference Sans Serif"/>
        <family val="2"/>
      </rPr>
      <t>i</t>
    </r>
    <r>
      <rPr>
        <b/>
        <sz val="10"/>
        <color theme="1"/>
        <rFont val="MS Reference Sans Serif"/>
        <family val="2"/>
      </rPr>
      <t xml:space="preserve"> - )</t>
    </r>
    <r>
      <rPr>
        <b/>
        <vertAlign val="superscript"/>
        <sz val="10"/>
        <color theme="1"/>
        <rFont val="MS Reference Sans Serif"/>
        <family val="2"/>
      </rPr>
      <t>2</t>
    </r>
    <r>
      <rPr>
        <b/>
        <sz val="10"/>
        <color theme="1"/>
        <rFont val="MS Reference Sans Serif"/>
        <family val="2"/>
      </rPr>
      <t xml:space="preserve"> / ∑(y</t>
    </r>
    <r>
      <rPr>
        <b/>
        <vertAlign val="subscript"/>
        <sz val="10"/>
        <color theme="1"/>
        <rFont val="MS Reference Sans Serif"/>
        <family val="2"/>
      </rPr>
      <t>i</t>
    </r>
    <r>
      <rPr>
        <b/>
        <sz val="10"/>
        <color theme="1"/>
        <rFont val="MS Reference Sans Serif"/>
        <family val="2"/>
      </rPr>
      <t xml:space="preserve"> - )</t>
    </r>
    <r>
      <rPr>
        <b/>
        <vertAlign val="superscript"/>
        <sz val="10"/>
        <color theme="1"/>
        <rFont val="MS Reference Sans Serif"/>
        <family val="2"/>
      </rPr>
      <t>2</t>
    </r>
  </si>
  <si>
    <t>Best Variable</t>
  </si>
  <si>
    <t>X Coefficient Std Error</t>
  </si>
  <si>
    <t>abs</t>
  </si>
  <si>
    <t>Diff</t>
  </si>
  <si>
    <t>Ave Diff</t>
  </si>
  <si>
    <t>MAPE</t>
  </si>
  <si>
    <t>Reg. Coeff.</t>
  </si>
  <si>
    <t>Std Err 1</t>
  </si>
  <si>
    <t>Std Error 2</t>
  </si>
  <si>
    <t>R-squared</t>
  </si>
  <si>
    <t>Std Error of Est</t>
  </si>
  <si>
    <t>F ratio</t>
  </si>
  <si>
    <t>SS Regression</t>
  </si>
  <si>
    <t>SS Residual</t>
  </si>
  <si>
    <t>There is a slight positive skewness to EngDispl distribution but is within acceptable range.</t>
  </si>
  <si>
    <t>Slope</t>
  </si>
  <si>
    <t>SE</t>
  </si>
  <si>
    <t>E</t>
  </si>
  <si>
    <t>MSE</t>
  </si>
  <si>
    <r>
      <t>β</t>
    </r>
    <r>
      <rPr>
        <vertAlign val="subscript"/>
        <sz val="10"/>
        <color theme="1"/>
        <rFont val="MS Reference Sans Serif"/>
        <family val="2"/>
      </rPr>
      <t>1</t>
    </r>
  </si>
  <si>
    <r>
      <t>β</t>
    </r>
    <r>
      <rPr>
        <vertAlign val="subscript"/>
        <sz val="10"/>
        <color theme="1"/>
        <rFont val="MS Reference Sans Serif"/>
        <family val="2"/>
      </rPr>
      <t>0</t>
    </r>
  </si>
  <si>
    <t>y-Intercept</t>
  </si>
  <si>
    <r>
      <rPr>
        <b/>
        <sz val="12"/>
        <color rgb="FF000000"/>
        <rFont val="MS Reference Sans Serif"/>
        <family val="2"/>
      </rPr>
      <t>√</t>
    </r>
    <r>
      <rPr>
        <b/>
        <sz val="10.8"/>
        <color rgb="FF000000"/>
        <rFont val="Segoe UI"/>
        <family val="2"/>
      </rPr>
      <t>(</t>
    </r>
    <r>
      <rPr>
        <b/>
        <sz val="12"/>
        <color rgb="FF000000"/>
        <rFont val="Segoe UI"/>
        <family val="2"/>
      </rPr>
      <t>Σ(y</t>
    </r>
    <r>
      <rPr>
        <b/>
        <vertAlign val="subscript"/>
        <sz val="12"/>
        <color rgb="FF000000"/>
        <rFont val="Segoe UI"/>
        <family val="2"/>
      </rPr>
      <t>i</t>
    </r>
    <r>
      <rPr>
        <b/>
        <sz val="12"/>
        <color rgb="FF000000"/>
        <rFont val="Segoe UI"/>
        <family val="2"/>
      </rPr>
      <t> - ŷ</t>
    </r>
    <r>
      <rPr>
        <b/>
        <vertAlign val="subscript"/>
        <sz val="12"/>
        <color rgb="FF000000"/>
        <rFont val="Segoe UI"/>
        <family val="2"/>
      </rPr>
      <t>i</t>
    </r>
    <r>
      <rPr>
        <b/>
        <sz val="12"/>
        <color rgb="FF000000"/>
        <rFont val="Segoe UI"/>
        <family val="2"/>
      </rPr>
      <t>)</t>
    </r>
    <r>
      <rPr>
        <b/>
        <vertAlign val="superscript"/>
        <sz val="12"/>
        <color rgb="FF000000"/>
        <rFont val="Segoe UI"/>
        <family val="2"/>
      </rPr>
      <t>2</t>
    </r>
    <r>
      <rPr>
        <b/>
        <sz val="12"/>
        <color rgb="FF000000"/>
        <rFont val="Segoe UI"/>
        <family val="2"/>
      </rPr>
      <t> / (n - 2)) / √(Σ(x</t>
    </r>
    <r>
      <rPr>
        <b/>
        <vertAlign val="subscript"/>
        <sz val="12"/>
        <color rgb="FF000000"/>
        <rFont val="Segoe UI"/>
        <family val="2"/>
      </rPr>
      <t>i</t>
    </r>
    <r>
      <rPr>
        <b/>
        <sz val="12"/>
        <color rgb="FF000000"/>
        <rFont val="Segoe UI"/>
        <family val="2"/>
      </rPr>
      <t> - </t>
    </r>
    <r>
      <rPr>
        <b/>
        <sz val="12"/>
        <color rgb="FF000000"/>
        <rFont val="MS Reference Sans Serif"/>
        <family val="2"/>
      </rPr>
      <t></t>
    </r>
    <r>
      <rPr>
        <b/>
        <sz val="12"/>
        <color rgb="FF000000"/>
        <rFont val="Segoe UI"/>
        <family val="2"/>
      </rPr>
      <t>)</t>
    </r>
    <r>
      <rPr>
        <b/>
        <vertAlign val="superscript"/>
        <sz val="12"/>
        <color rgb="FF000000"/>
        <rFont val="Segoe UI"/>
        <family val="2"/>
      </rPr>
      <t>2</t>
    </r>
    <r>
      <rPr>
        <b/>
        <sz val="12"/>
        <color rgb="FF000000"/>
        <rFont val="Segoe UI"/>
        <family val="2"/>
      </rPr>
      <t>)</t>
    </r>
  </si>
  <si>
    <r>
      <t>√(∑(y</t>
    </r>
    <r>
      <rPr>
        <b/>
        <vertAlign val="subscript"/>
        <sz val="11"/>
        <color theme="1"/>
        <rFont val="MS Reference Sans Serif"/>
        <family val="2"/>
      </rPr>
      <t>i</t>
    </r>
    <r>
      <rPr>
        <b/>
        <sz val="11"/>
        <color theme="1"/>
        <rFont val="MS Reference Sans Serif"/>
        <family val="2"/>
      </rPr>
      <t xml:space="preserve"> - ŷ</t>
    </r>
    <r>
      <rPr>
        <b/>
        <vertAlign val="subscript"/>
        <sz val="11"/>
        <color theme="1"/>
        <rFont val="MS Reference Sans Serif"/>
        <family val="2"/>
      </rPr>
      <t>i</t>
    </r>
    <r>
      <rPr>
        <b/>
        <sz val="11"/>
        <color theme="1"/>
        <rFont val="MS Reference Sans Serif"/>
        <family val="2"/>
      </rPr>
      <t>)</t>
    </r>
    <r>
      <rPr>
        <b/>
        <vertAlign val="superscript"/>
        <sz val="11"/>
        <color theme="1"/>
        <rFont val="MS Reference Sans Serif"/>
        <family val="2"/>
      </rPr>
      <t>2</t>
    </r>
    <r>
      <rPr>
        <b/>
        <sz val="11"/>
        <color theme="1"/>
        <rFont val="MS Reference Sans Serif"/>
        <family val="2"/>
      </rPr>
      <t xml:space="preserve"> / n - 2) * (( (1/n) + (^2) / Σ(x</t>
    </r>
    <r>
      <rPr>
        <b/>
        <vertAlign val="subscript"/>
        <sz val="11"/>
        <color theme="1"/>
        <rFont val="MS Reference Sans Serif"/>
        <family val="2"/>
      </rPr>
      <t>i</t>
    </r>
    <r>
      <rPr>
        <b/>
        <sz val="11"/>
        <color theme="1"/>
        <rFont val="MS Reference Sans Serif"/>
        <family val="2"/>
      </rPr>
      <t> - )</t>
    </r>
    <r>
      <rPr>
        <b/>
        <vertAlign val="superscript"/>
        <sz val="11"/>
        <color theme="1"/>
        <rFont val="MS Reference Sans Serif"/>
        <family val="2"/>
      </rPr>
      <t>2</t>
    </r>
    <r>
      <rPr>
        <b/>
        <sz val="11"/>
        <color theme="1"/>
        <rFont val="MS Reference Sans Serif"/>
        <family val="2"/>
      </rPr>
      <t>))</t>
    </r>
  </si>
  <si>
    <t>Y-Intercept Coefficient Std Error</t>
  </si>
  <si>
    <t>Sum of Squares Total</t>
  </si>
  <si>
    <t>mean squared error</t>
  </si>
  <si>
    <t>sum of squared errors</t>
  </si>
  <si>
    <t>squared errors</t>
  </si>
  <si>
    <t>residuals/errors</t>
  </si>
  <si>
    <t>StdE</t>
  </si>
  <si>
    <t>R Square (SSR / SST)</t>
  </si>
  <si>
    <t>Linest()</t>
  </si>
  <si>
    <r>
      <t>∑(ŷ</t>
    </r>
    <r>
      <rPr>
        <b/>
        <vertAlign val="subscript"/>
        <sz val="11"/>
        <color theme="1"/>
        <rFont val="Calibri"/>
        <family val="2"/>
        <scheme val="minor"/>
      </rPr>
      <t>i</t>
    </r>
    <r>
      <rPr>
        <b/>
        <sz val="11"/>
        <color theme="1"/>
        <rFont val="Calibri"/>
        <family val="2"/>
        <scheme val="minor"/>
      </rPr>
      <t xml:space="preserve"> - </t>
    </r>
    <r>
      <rPr>
        <b/>
        <sz val="11"/>
        <color theme="1"/>
        <rFont val="MS Reference Sans Serif"/>
        <family val="2"/>
      </rPr>
      <t></t>
    </r>
    <r>
      <rPr>
        <b/>
        <sz val="11"/>
        <color theme="1"/>
        <rFont val="Calibri"/>
        <family val="2"/>
        <scheme val="minor"/>
      </rPr>
      <t>)</t>
    </r>
    <r>
      <rPr>
        <b/>
        <vertAlign val="superscript"/>
        <sz val="11"/>
        <color theme="1"/>
        <rFont val="Calibri"/>
        <family val="2"/>
        <scheme val="minor"/>
      </rPr>
      <t>2</t>
    </r>
  </si>
  <si>
    <r>
      <t>∑(y</t>
    </r>
    <r>
      <rPr>
        <b/>
        <vertAlign val="subscript"/>
        <sz val="11"/>
        <color theme="1"/>
        <rFont val="Calibri"/>
        <family val="2"/>
        <scheme val="minor"/>
      </rPr>
      <t>i</t>
    </r>
    <r>
      <rPr>
        <b/>
        <sz val="11"/>
        <color theme="1"/>
        <rFont val="Calibri"/>
        <family val="2"/>
        <scheme val="minor"/>
      </rPr>
      <t xml:space="preserve"> - </t>
    </r>
    <r>
      <rPr>
        <b/>
        <sz val="11"/>
        <color theme="1"/>
        <rFont val="MS Reference Sans Serif"/>
        <family val="2"/>
      </rPr>
      <t></t>
    </r>
    <r>
      <rPr>
        <b/>
        <sz val="11"/>
        <color theme="1"/>
        <rFont val="Calibri"/>
        <family val="2"/>
        <scheme val="minor"/>
      </rPr>
      <t>)</t>
    </r>
    <r>
      <rPr>
        <b/>
        <vertAlign val="superscript"/>
        <sz val="11"/>
        <color theme="1"/>
        <rFont val="Calibri"/>
        <family val="2"/>
        <scheme val="minor"/>
      </rPr>
      <t>2</t>
    </r>
  </si>
  <si>
    <t>Average difference</t>
  </si>
  <si>
    <r>
      <t>E: (y</t>
    </r>
    <r>
      <rPr>
        <vertAlign val="subscript"/>
        <sz val="11"/>
        <color theme="1"/>
        <rFont val="Calibri"/>
        <family val="2"/>
        <scheme val="minor"/>
      </rPr>
      <t>i</t>
    </r>
    <r>
      <rPr>
        <sz val="11"/>
        <color theme="1"/>
        <rFont val="Calibri"/>
        <family val="2"/>
        <scheme val="minor"/>
      </rPr>
      <t xml:space="preserve"> - ŷ</t>
    </r>
    <r>
      <rPr>
        <vertAlign val="subscript"/>
        <sz val="11"/>
        <color theme="1"/>
        <rFont val="Calibri"/>
        <family val="2"/>
        <scheme val="minor"/>
      </rPr>
      <t>i</t>
    </r>
    <r>
      <rPr>
        <sz val="11"/>
        <color theme="1"/>
        <rFont val="Calibri"/>
        <family val="2"/>
        <scheme val="minor"/>
      </rPr>
      <t>)</t>
    </r>
  </si>
  <si>
    <r>
      <t>(y</t>
    </r>
    <r>
      <rPr>
        <vertAlign val="subscript"/>
        <sz val="11"/>
        <color theme="1"/>
        <rFont val="Calibri"/>
        <family val="2"/>
        <scheme val="minor"/>
      </rPr>
      <t>i</t>
    </r>
    <r>
      <rPr>
        <sz val="11"/>
        <color theme="1"/>
        <rFont val="Calibri"/>
        <family val="2"/>
        <scheme val="minor"/>
      </rPr>
      <t xml:space="preserve"> - abs(ŷ</t>
    </r>
    <r>
      <rPr>
        <vertAlign val="subscript"/>
        <sz val="11"/>
        <color theme="1"/>
        <rFont val="Calibri"/>
        <family val="2"/>
        <scheme val="minor"/>
      </rPr>
      <t>i</t>
    </r>
    <r>
      <rPr>
        <sz val="11"/>
        <color theme="1"/>
        <rFont val="Calibri"/>
        <family val="2"/>
        <scheme val="minor"/>
      </rPr>
      <t>))</t>
    </r>
  </si>
  <si>
    <r>
      <t>AVERAGE(abs(y</t>
    </r>
    <r>
      <rPr>
        <b/>
        <vertAlign val="subscript"/>
        <sz val="11"/>
        <color theme="1"/>
        <rFont val="Calibri"/>
        <family val="2"/>
        <scheme val="minor"/>
      </rPr>
      <t>i</t>
    </r>
    <r>
      <rPr>
        <b/>
        <sz val="11"/>
        <color theme="1"/>
        <rFont val="Calibri"/>
        <family val="2"/>
        <scheme val="minor"/>
      </rPr>
      <t xml:space="preserve"> - ŷ</t>
    </r>
    <r>
      <rPr>
        <b/>
        <vertAlign val="subscript"/>
        <sz val="11"/>
        <color theme="1"/>
        <rFont val="Calibri"/>
        <family val="2"/>
        <scheme val="minor"/>
      </rPr>
      <t>i</t>
    </r>
    <r>
      <rPr>
        <b/>
        <sz val="11"/>
        <color theme="1"/>
        <rFont val="Calibri"/>
        <family val="2"/>
        <scheme val="minor"/>
      </rPr>
      <t>) / y</t>
    </r>
    <r>
      <rPr>
        <b/>
        <vertAlign val="subscript"/>
        <sz val="11"/>
        <color theme="1"/>
        <rFont val="Calibri"/>
        <family val="2"/>
        <scheme val="minor"/>
      </rPr>
      <t>i</t>
    </r>
    <r>
      <rPr>
        <b/>
        <sz val="11"/>
        <color theme="1"/>
        <rFont val="Calibri"/>
        <family val="2"/>
        <scheme val="minor"/>
      </rPr>
      <t>)  * 100</t>
    </r>
  </si>
  <si>
    <t>standard error of estimation</t>
  </si>
  <si>
    <t>Correlation</t>
  </si>
  <si>
    <t>X &amp; E</t>
  </si>
  <si>
    <t>Y &amp; E</t>
  </si>
  <si>
    <t>EngDispl (Unique values)</t>
  </si>
  <si>
    <t>Rand Values</t>
  </si>
  <si>
    <t>Set</t>
  </si>
  <si>
    <t>Samples</t>
  </si>
  <si>
    <t>S1-X</t>
  </si>
  <si>
    <t>S1-Y</t>
  </si>
  <si>
    <t>S2-X</t>
  </si>
  <si>
    <t>S2-Y</t>
  </si>
  <si>
    <t>S3-X</t>
  </si>
  <si>
    <t>S3-Y</t>
  </si>
  <si>
    <r>
      <t xml:space="preserve">The columns to the left are where the randomization takes place, and to the right are the sample values only.
</t>
    </r>
    <r>
      <rPr>
        <b/>
        <sz val="11"/>
        <color theme="1"/>
        <rFont val="Calibri"/>
        <family val="2"/>
        <scheme val="minor"/>
      </rPr>
      <t>Clicking the</t>
    </r>
    <r>
      <rPr>
        <sz val="11"/>
        <color theme="1"/>
        <rFont val="Calibri"/>
        <family val="2"/>
        <scheme val="minor"/>
      </rPr>
      <t xml:space="preserve"> </t>
    </r>
    <r>
      <rPr>
        <b/>
        <sz val="11"/>
        <color theme="1"/>
        <rFont val="Calibri"/>
        <family val="2"/>
        <scheme val="minor"/>
      </rPr>
      <t>Randomize</t>
    </r>
    <r>
      <rPr>
        <sz val="11"/>
        <color theme="1"/>
        <rFont val="Calibri"/>
        <family val="2"/>
        <scheme val="minor"/>
      </rPr>
      <t xml:space="preserve"> button allows the </t>
    </r>
    <r>
      <rPr>
        <b/>
        <sz val="11"/>
        <color theme="1"/>
        <rFont val="Calibri"/>
        <family val="2"/>
        <scheme val="minor"/>
      </rPr>
      <t>rand()</t>
    </r>
    <r>
      <rPr>
        <sz val="11"/>
        <color theme="1"/>
        <rFont val="Calibri"/>
        <family val="2"/>
        <scheme val="minor"/>
      </rPr>
      <t xml:space="preserve"> function to produce new values in the </t>
    </r>
    <r>
      <rPr>
        <b/>
        <sz val="11"/>
        <color theme="1"/>
        <rFont val="Calibri"/>
        <family val="2"/>
        <scheme val="minor"/>
      </rPr>
      <t>Rand Values</t>
    </r>
    <r>
      <rPr>
        <sz val="11"/>
        <color theme="1"/>
        <rFont val="Calibri"/>
        <family val="2"/>
        <scheme val="minor"/>
      </rPr>
      <t xml:space="preserve"> column.
The X and Y variable values are then ordered by the Rand Values column, thus changing the position of each row-value pair of X and Y.
The </t>
    </r>
    <r>
      <rPr>
        <b/>
        <sz val="11"/>
        <color theme="1"/>
        <rFont val="Calibri"/>
        <family val="2"/>
        <scheme val="minor"/>
      </rPr>
      <t>MOD()</t>
    </r>
    <r>
      <rPr>
        <sz val="11"/>
        <color theme="1"/>
        <rFont val="Calibri"/>
        <family val="2"/>
        <scheme val="minor"/>
      </rPr>
      <t xml:space="preserve"> and</t>
    </r>
    <r>
      <rPr>
        <b/>
        <sz val="11"/>
        <color theme="1"/>
        <rFont val="Calibri"/>
        <family val="2"/>
        <scheme val="minor"/>
      </rPr>
      <t xml:space="preserve"> ROW()</t>
    </r>
    <r>
      <rPr>
        <sz val="11"/>
        <color theme="1"/>
        <rFont val="Calibri"/>
        <family val="2"/>
        <scheme val="minor"/>
      </rPr>
      <t xml:space="preserve"> functions allocates a 1, 2, or 3 to each row. ROW() gets the current row number, which becomes the mod's first argument, and since we have 3 numbers, 3 is the second argument, the divisor. </t>
    </r>
    <r>
      <rPr>
        <b/>
        <sz val="11"/>
        <color theme="1"/>
        <rFont val="Calibri"/>
        <family val="2"/>
        <scheme val="minor"/>
      </rPr>
      <t>Plus 1</t>
    </r>
    <r>
      <rPr>
        <sz val="11"/>
        <color theme="1"/>
        <rFont val="Calibri"/>
        <family val="2"/>
        <scheme val="minor"/>
      </rPr>
      <t xml:space="preserve"> ensures we don't get a zero.</t>
    </r>
  </si>
  <si>
    <t>6a. Take 2 parts for modeling and 1 part for testing at a time randomly. Check the modeling Error statistics (as given in previous point 5) of the model and test on the 3rd part of the data for testing the error.</t>
  </si>
  <si>
    <t>6. Use a random sampling method to divide the dataset in to 3 parts. Use rand() function.</t>
  </si>
  <si>
    <t>Slope (β1)</t>
  </si>
  <si>
    <t>y-Intercept (β0)</t>
  </si>
  <si>
    <t>X1</t>
  </si>
  <si>
    <t>Y1</t>
  </si>
  <si>
    <t>X2</t>
  </si>
  <si>
    <t>Y2</t>
  </si>
  <si>
    <t>X3</t>
  </si>
  <si>
    <t>Y3</t>
  </si>
  <si>
    <t>Forecast</t>
  </si>
  <si>
    <r>
      <t>R</t>
    </r>
    <r>
      <rPr>
        <b/>
        <vertAlign val="superscript"/>
        <sz val="11"/>
        <color theme="1"/>
        <rFont val="Calibri"/>
        <family val="2"/>
        <scheme val="minor"/>
      </rPr>
      <t>2</t>
    </r>
    <r>
      <rPr>
        <b/>
        <sz val="11"/>
        <color theme="1"/>
        <rFont val="Calibri"/>
        <family val="2"/>
        <scheme val="minor"/>
      </rPr>
      <t xml:space="preserve"> (SSR / SST)</t>
    </r>
  </si>
  <si>
    <r>
      <rPr>
        <b/>
        <sz val="11"/>
        <color theme="1"/>
        <rFont val="Calibri"/>
        <family val="2"/>
        <scheme val="minor"/>
      </rPr>
      <t>Clicking the Values Only</t>
    </r>
    <r>
      <rPr>
        <sz val="11"/>
        <color theme="1"/>
        <rFont val="Calibri"/>
        <family val="2"/>
        <scheme val="minor"/>
      </rPr>
      <t xml:space="preserve"> button takes the values from</t>
    </r>
    <r>
      <rPr>
        <b/>
        <sz val="11"/>
        <color theme="1"/>
        <rFont val="Calibri"/>
        <family val="2"/>
        <scheme val="minor"/>
      </rPr>
      <t xml:space="preserve"> F - K</t>
    </r>
    <r>
      <rPr>
        <sz val="11"/>
        <color theme="1"/>
        <rFont val="Calibri"/>
        <family val="2"/>
        <scheme val="minor"/>
      </rPr>
      <t xml:space="preserve"> and pastes them in columns </t>
    </r>
    <r>
      <rPr>
        <b/>
        <sz val="11"/>
        <color theme="1"/>
        <rFont val="Calibri"/>
        <family val="2"/>
        <scheme val="minor"/>
      </rPr>
      <t>R - W</t>
    </r>
    <r>
      <rPr>
        <sz val="11"/>
        <color theme="1"/>
        <rFont val="Calibri"/>
        <family val="2"/>
        <scheme val="minor"/>
      </rPr>
      <t>. Only the values are pasted over. Sample values can then be taken from the values only cells without fear of being deleted by new random values.</t>
    </r>
  </si>
  <si>
    <t>ŷ</t>
  </si>
  <si>
    <r>
      <t>y</t>
    </r>
    <r>
      <rPr>
        <b/>
        <vertAlign val="subscript"/>
        <sz val="11"/>
        <color theme="1"/>
        <rFont val="Liberation Sans"/>
      </rPr>
      <t>i</t>
    </r>
    <r>
      <rPr>
        <b/>
        <sz val="11"/>
        <color theme="1"/>
        <rFont val="Liberation Sans"/>
      </rPr>
      <t xml:space="preserve"> - ŷ</t>
    </r>
    <r>
      <rPr>
        <b/>
        <vertAlign val="subscript"/>
        <sz val="11"/>
        <color theme="1"/>
        <rFont val="Liberation Sans"/>
      </rPr>
      <t>i</t>
    </r>
  </si>
  <si>
    <t>3 Models - 6 tests</t>
  </si>
  <si>
    <r>
      <t>R</t>
    </r>
    <r>
      <rPr>
        <b/>
        <vertAlign val="superscript"/>
        <sz val="11"/>
        <color theme="1"/>
        <rFont val="Calibri"/>
        <family val="2"/>
        <scheme val="minor"/>
      </rPr>
      <t>2</t>
    </r>
  </si>
  <si>
    <t>Mod1_test1</t>
  </si>
  <si>
    <t>Mod1_test2</t>
  </si>
  <si>
    <t>Mod2_test1</t>
  </si>
  <si>
    <t>Mod2_test2</t>
  </si>
  <si>
    <t>Mod3_test1</t>
  </si>
  <si>
    <t>Mod3_test2</t>
  </si>
  <si>
    <t>Tests</t>
  </si>
  <si>
    <t>Average</t>
  </si>
  <si>
    <t>Frequency</t>
  </si>
  <si>
    <t>Variance from Mean</t>
  </si>
  <si>
    <r>
      <t>∑(x</t>
    </r>
    <r>
      <rPr>
        <b/>
        <vertAlign val="subscript"/>
        <sz val="10"/>
        <color theme="1"/>
        <rFont val="MS Reference Sans Serif"/>
        <family val="2"/>
      </rPr>
      <t>i</t>
    </r>
    <r>
      <rPr>
        <b/>
        <sz val="10"/>
        <color theme="1"/>
        <rFont val="MS Reference Sans Serif"/>
        <family val="2"/>
      </rPr>
      <t xml:space="preserve"> - )(y</t>
    </r>
    <r>
      <rPr>
        <b/>
        <vertAlign val="subscript"/>
        <sz val="10"/>
        <color theme="1"/>
        <rFont val="MS Reference Sans Serif"/>
        <family val="2"/>
      </rPr>
      <t>i</t>
    </r>
    <r>
      <rPr>
        <b/>
        <sz val="10"/>
        <color theme="1"/>
        <rFont val="MS Reference Sans Serif"/>
        <family val="2"/>
      </rPr>
      <t xml:space="preserve"> - ) / ∑(x</t>
    </r>
    <r>
      <rPr>
        <b/>
        <vertAlign val="subscript"/>
        <sz val="10"/>
        <color theme="1"/>
        <rFont val="MS Reference Sans Serif"/>
        <family val="2"/>
      </rPr>
      <t>i</t>
    </r>
    <r>
      <rPr>
        <b/>
        <sz val="10"/>
        <color theme="1"/>
        <rFont val="MS Reference Sans Serif"/>
        <family val="2"/>
      </rPr>
      <t xml:space="preserve"> - )</t>
    </r>
    <r>
      <rPr>
        <b/>
        <vertAlign val="superscript"/>
        <sz val="10"/>
        <color theme="1"/>
        <rFont val="MS Reference Sans Serif"/>
        <family val="2"/>
      </rPr>
      <t>2</t>
    </r>
  </si>
  <si>
    <t>Coefficient of Determination</t>
  </si>
  <si>
    <t>REGRESSION</t>
  </si>
  <si>
    <t>Absolute Error</t>
  </si>
  <si>
    <r>
      <t>abs(y</t>
    </r>
    <r>
      <rPr>
        <b/>
        <vertAlign val="subscript"/>
        <sz val="11"/>
        <color theme="1"/>
        <rFont val="MS Reference Sans Serif"/>
        <family val="2"/>
      </rPr>
      <t>i</t>
    </r>
    <r>
      <rPr>
        <b/>
        <sz val="11"/>
        <color theme="1"/>
        <rFont val="MS Reference Sans Serif"/>
        <family val="2"/>
      </rPr>
      <t xml:space="preserve"> - ŷ</t>
    </r>
    <r>
      <rPr>
        <b/>
        <vertAlign val="subscript"/>
        <sz val="11"/>
        <color theme="1"/>
        <rFont val="MS Reference Sans Serif"/>
        <family val="2"/>
      </rPr>
      <t>i</t>
    </r>
    <r>
      <rPr>
        <b/>
        <sz val="11"/>
        <color theme="1"/>
        <rFont val="MS Reference Sans Serif"/>
        <family val="2"/>
      </rPr>
      <t>) / y</t>
    </r>
  </si>
  <si>
    <r>
      <t>average(abs(y</t>
    </r>
    <r>
      <rPr>
        <b/>
        <vertAlign val="subscript"/>
        <sz val="11"/>
        <color theme="1"/>
        <rFont val="Calibri"/>
        <family val="2"/>
        <scheme val="minor"/>
      </rPr>
      <t>i</t>
    </r>
    <r>
      <rPr>
        <b/>
        <sz val="11"/>
        <color theme="1"/>
        <rFont val="Calibri"/>
        <family val="2"/>
        <scheme val="minor"/>
      </rPr>
      <t xml:space="preserve"> - ŷ</t>
    </r>
    <r>
      <rPr>
        <b/>
        <vertAlign val="subscript"/>
        <sz val="11"/>
        <color theme="1"/>
        <rFont val="Calibri"/>
        <family val="2"/>
        <scheme val="minor"/>
      </rPr>
      <t>i</t>
    </r>
    <r>
      <rPr>
        <b/>
        <sz val="11"/>
        <color theme="1"/>
        <rFont val="Calibri"/>
        <family val="2"/>
        <scheme val="minor"/>
      </rPr>
      <t>) / y</t>
    </r>
    <r>
      <rPr>
        <b/>
        <vertAlign val="subscript"/>
        <sz val="11"/>
        <color theme="1"/>
        <rFont val="Calibri"/>
        <family val="2"/>
        <scheme val="minor"/>
      </rPr>
      <t>i</t>
    </r>
    <r>
      <rPr>
        <b/>
        <sz val="11"/>
        <color theme="1"/>
        <rFont val="Calibri"/>
        <family val="2"/>
        <scheme val="minor"/>
      </rPr>
      <t>)  * 100</t>
    </r>
  </si>
  <si>
    <r>
      <t>abs(y</t>
    </r>
    <r>
      <rPr>
        <b/>
        <vertAlign val="subscript"/>
        <sz val="11"/>
        <color theme="1"/>
        <rFont val="MS Reference Sans Serif"/>
        <family val="2"/>
      </rPr>
      <t>i</t>
    </r>
    <r>
      <rPr>
        <b/>
        <sz val="11"/>
        <color theme="1"/>
        <rFont val="MS Reference Sans Serif"/>
        <family val="2"/>
      </rPr>
      <t xml:space="preserve"> - ŷ</t>
    </r>
    <r>
      <rPr>
        <b/>
        <vertAlign val="subscript"/>
        <sz val="11"/>
        <color theme="1"/>
        <rFont val="MS Reference Sans Serif"/>
        <family val="2"/>
      </rPr>
      <t>i</t>
    </r>
    <r>
      <rPr>
        <b/>
        <sz val="11"/>
        <color theme="1"/>
        <rFont val="MS Reference Sans Serif"/>
        <family val="2"/>
      </rPr>
      <t>)</t>
    </r>
  </si>
  <si>
    <r>
      <t>(abs(y</t>
    </r>
    <r>
      <rPr>
        <vertAlign val="subscript"/>
        <sz val="11"/>
        <color theme="1"/>
        <rFont val="Calibri"/>
        <family val="2"/>
        <scheme val="minor"/>
      </rPr>
      <t>i</t>
    </r>
    <r>
      <rPr>
        <sz val="11"/>
        <color theme="1"/>
        <rFont val="Calibri"/>
        <family val="2"/>
        <scheme val="minor"/>
      </rPr>
      <t xml:space="preserve"> - ŷ</t>
    </r>
    <r>
      <rPr>
        <vertAlign val="subscript"/>
        <sz val="11"/>
        <color theme="1"/>
        <rFont val="Calibri"/>
        <family val="2"/>
        <scheme val="minor"/>
      </rPr>
      <t>i</t>
    </r>
    <r>
      <rPr>
        <sz val="11"/>
        <color theme="1"/>
        <rFont val="Calibri"/>
        <family val="2"/>
        <scheme val="minor"/>
      </rPr>
      <t>))</t>
    </r>
  </si>
  <si>
    <t>Mean Squared Error</t>
  </si>
  <si>
    <t>Sum of Squared Errors</t>
  </si>
  <si>
    <t>Squared Errors</t>
  </si>
  <si>
    <t>residuals/Errors</t>
  </si>
  <si>
    <t>Standard Error of estimation</t>
  </si>
  <si>
    <t>Mean Absolute Percentage Error</t>
  </si>
  <si>
    <t>Mean Absolute Percentage Deviation</t>
  </si>
  <si>
    <t>forecast error</t>
  </si>
  <si>
    <t>Sum of Squares Regression</t>
  </si>
  <si>
    <t>E &amp; E</t>
  </si>
  <si>
    <t xml:space="preserve">                               X Coefficient Std Error             Y-Intercept Coefficient Std Error</t>
  </si>
  <si>
    <t>Log10 (x)</t>
  </si>
  <si>
    <t>Skewness (-1 to 1)</t>
  </si>
  <si>
    <t>Kurtosis (-2 to 2)</t>
  </si>
  <si>
    <t>Question 3</t>
  </si>
  <si>
    <t>The dots are near the line and follow a linear relationship which is a negative relationship. Fuel Economy goes up when EngDispl goes down.</t>
  </si>
  <si>
    <t>Applying a Log10(x) does reduce skewness as can be seen below but since without log10 it is within acceptable range I decided not to build a model based on log10.</t>
  </si>
  <si>
    <t>X1, Y1</t>
  </si>
  <si>
    <t>X2, Y2</t>
  </si>
  <si>
    <t>X3, Y3</t>
  </si>
  <si>
    <t>Test Data</t>
  </si>
  <si>
    <r>
      <t>Click the Model test buttons below for MAPE and R</t>
    </r>
    <r>
      <rPr>
        <b/>
        <vertAlign val="superscript"/>
        <sz val="11"/>
        <color theme="1"/>
        <rFont val="Calibri"/>
        <family val="2"/>
        <scheme val="minor"/>
      </rPr>
      <t>2</t>
    </r>
  </si>
  <si>
    <r>
      <rPr>
        <b/>
        <sz val="24"/>
        <color rgb="FFFF0000"/>
        <rFont val="Calibri"/>
        <family val="2"/>
        <scheme val="minor"/>
      </rPr>
      <t>Q.3</t>
    </r>
    <r>
      <rPr>
        <b/>
        <sz val="11"/>
        <color theme="1"/>
        <rFont val="Calibri"/>
        <family val="2"/>
        <scheme val="minor"/>
      </rPr>
      <t>. Observe the relationship between the Input variable and FE and analyze if they maintain a linear relationship using a suitable chart in Excel. See below.</t>
    </r>
  </si>
  <si>
    <r>
      <rPr>
        <b/>
        <sz val="24"/>
        <color rgb="FFFF0000"/>
        <rFont val="Calibri"/>
        <family val="2"/>
        <scheme val="minor"/>
      </rPr>
      <t>Q.2</t>
    </r>
    <r>
      <rPr>
        <b/>
        <sz val="11"/>
        <color theme="1"/>
        <rFont val="Calibri"/>
        <family val="2"/>
        <scheme val="minor"/>
      </rPr>
      <t xml:space="preserve">. Fit a Simple Linear Regression Model using the selected input variable. </t>
    </r>
  </si>
  <si>
    <r>
      <rPr>
        <b/>
        <sz val="24"/>
        <color rgb="FFFF0000"/>
        <rFont val="Calibri"/>
        <family val="2"/>
        <scheme val="minor"/>
      </rPr>
      <t>Q.5</t>
    </r>
    <r>
      <rPr>
        <b/>
        <sz val="11"/>
        <color theme="1"/>
        <rFont val="Calibri"/>
        <family val="2"/>
        <scheme val="minor"/>
      </rPr>
      <t>. Calculate the MAPE (Mean Absolute Percentage Error) and R2 of the model. Implement the model on the test data and find out the test accuracy as well. The formula and small note for the error calculation are given at the end of the document.</t>
    </r>
  </si>
  <si>
    <r>
      <t>R</t>
    </r>
    <r>
      <rPr>
        <b/>
        <vertAlign val="superscript"/>
        <sz val="10"/>
        <color rgb="FFFF0000"/>
        <rFont val="MS Reference Sans Serif"/>
        <family val="2"/>
      </rPr>
      <t>2</t>
    </r>
    <r>
      <rPr>
        <b/>
        <sz val="10"/>
        <color rgb="FFFF0000"/>
        <rFont val="MS Reference Sans Serif"/>
        <family val="2"/>
      </rPr>
      <t xml:space="preserve"> (SSR / SST)</t>
    </r>
  </si>
  <si>
    <r>
      <rPr>
        <b/>
        <sz val="24"/>
        <color rgb="FFFF0000"/>
        <rFont val="Calibri"/>
        <family val="2"/>
        <scheme val="minor"/>
      </rPr>
      <t>Q.6a</t>
    </r>
    <r>
      <rPr>
        <b/>
        <sz val="11"/>
        <color theme="1"/>
        <rFont val="Calibri"/>
        <family val="2"/>
        <scheme val="minor"/>
      </rPr>
      <t>. Take 2 parts for modeling and 1 part for testing at a time randomly. Check the modeling Error statistics (as given in previous point 5) of the model and test on the 3rd part of the data for testing the error.</t>
    </r>
  </si>
  <si>
    <t>Models</t>
  </si>
  <si>
    <t>MyFE2011_v5_Final</t>
  </si>
  <si>
    <t>Q.6f:</t>
  </si>
  <si>
    <t>Models 1, 2, 3</t>
  </si>
  <si>
    <r>
      <rPr>
        <b/>
        <sz val="24"/>
        <color rgb="FFFF0000"/>
        <rFont val="Calibri"/>
        <family val="2"/>
        <scheme val="minor"/>
      </rPr>
      <t>Q.1</t>
    </r>
    <r>
      <rPr>
        <b/>
        <sz val="11"/>
        <color theme="1"/>
        <rFont val="Calibri"/>
        <family val="2"/>
        <scheme val="minor"/>
      </rPr>
      <t>. Find the best input variable for predicting FE using suitable statistical test(s).</t>
    </r>
  </si>
  <si>
    <r>
      <rPr>
        <b/>
        <sz val="24"/>
        <color rgb="FFFF0000"/>
        <rFont val="Calibri"/>
        <family val="2"/>
        <scheme val="minor"/>
      </rPr>
      <t>Q.4</t>
    </r>
    <r>
      <rPr>
        <b/>
        <sz val="11"/>
        <color theme="1"/>
        <rFont val="Calibri"/>
        <family val="2"/>
        <scheme val="minor"/>
      </rPr>
      <t>. Use appropriate transformation of input variable if the relation above is not linear. Build the Regression model after transformation. Please ask the course instructor for help in variable transformation, if you required so.</t>
    </r>
  </si>
  <si>
    <r>
      <t>β</t>
    </r>
    <r>
      <rPr>
        <b/>
        <vertAlign val="subscript"/>
        <sz val="10"/>
        <color rgb="FFFF0000"/>
        <rFont val="MS Reference Sans Serif"/>
        <family val="2"/>
      </rPr>
      <t>1</t>
    </r>
  </si>
  <si>
    <r>
      <t>β</t>
    </r>
    <r>
      <rPr>
        <b/>
        <vertAlign val="subscript"/>
        <sz val="10"/>
        <color rgb="FFFF0000"/>
        <rFont val="MS Reference Sans Serif"/>
        <family val="2"/>
      </rPr>
      <t>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</si>
</sst>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0.000"/>
    <numFmt numFmtId="165" formatCode="0.000000"/>
    <numFmt numFmtId="166" formatCode="0.0"/>
    <numFmt numFmtId="167" formatCode="0.000000000"/>
    <numFmt numFmtId="168" formatCode="0.0000"/>
    <numFmt numFmtId="169" formatCode="[$₹-4009]#,##0.00;[Red]&quot;-&quot;[$₹-4009]#,##0.00"/>
    <numFmt numFmtId="170" formatCode="0.00000000000000"/>
  </numFmts>
  <fonts count="60">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theme="1"/>
      <name val="MS Reference Sans Serif"/>
      <family val="2"/>
    </font>
    <font>
      <sz val="10"/>
      <color theme="1"/>
      <name val="MS Reference Sans Serif"/>
      <family val="2"/>
    </font>
    <font>
      <vertAlign val="subscript"/>
      <sz val="10"/>
      <color theme="1"/>
      <name val="MS Reference Sans Serif"/>
      <family val="2"/>
    </font>
    <font>
      <b/>
      <vertAlign val="subscript"/>
      <sz val="10"/>
      <color theme="1"/>
      <name val="MS Reference Sans Serif"/>
      <family val="2"/>
    </font>
    <font>
      <b/>
      <vertAlign val="superscript"/>
      <sz val="10"/>
      <color theme="1"/>
      <name val="MS Reference Sans Serif"/>
      <family val="2"/>
    </font>
    <font>
      <b/>
      <sz val="10"/>
      <color rgb="FF333333"/>
      <name val="MS Reference Sans Serif"/>
      <family val="2"/>
    </font>
    <font>
      <b/>
      <sz val="12"/>
      <color rgb="FF000000"/>
      <name val="Segoe UI"/>
      <family val="2"/>
    </font>
    <font>
      <b/>
      <vertAlign val="subscript"/>
      <sz val="12"/>
      <color rgb="FF000000"/>
      <name val="Segoe UI"/>
      <family val="2"/>
    </font>
    <font>
      <b/>
      <vertAlign val="superscript"/>
      <sz val="12"/>
      <color rgb="FF000000"/>
      <name val="Segoe UI"/>
      <family val="2"/>
    </font>
    <font>
      <b/>
      <sz val="12"/>
      <color rgb="FF000000"/>
      <name val="MS Reference Sans Serif"/>
      <family val="2"/>
    </font>
    <font>
      <b/>
      <vertAlign val="subscript"/>
      <sz val="11"/>
      <color theme="1"/>
      <name val="Calibri"/>
      <family val="2"/>
      <scheme val="minor"/>
    </font>
    <font>
      <b/>
      <sz val="11"/>
      <color theme="1"/>
      <name val="MS Reference Sans Serif"/>
      <family val="2"/>
    </font>
    <font>
      <b/>
      <vertAlign val="superscript"/>
      <sz val="11"/>
      <color theme="1"/>
      <name val="Calibri"/>
      <family val="2"/>
      <scheme val="minor"/>
    </font>
    <font>
      <vertAlign val="subscript"/>
      <sz val="11"/>
      <color theme="1"/>
      <name val="Calibri"/>
      <family val="2"/>
      <scheme val="minor"/>
    </font>
    <font>
      <sz val="11"/>
      <color theme="1"/>
      <name val="Liberation Sans"/>
    </font>
    <font>
      <b/>
      <i/>
      <sz val="16"/>
      <color theme="1"/>
      <name val="Liberation Sans"/>
    </font>
    <font>
      <b/>
      <i/>
      <u/>
      <sz val="11"/>
      <color theme="1"/>
      <name val="Liberation Sans"/>
    </font>
    <font>
      <b/>
      <sz val="11"/>
      <color theme="1"/>
      <name val="Liberation Sans"/>
    </font>
    <font>
      <b/>
      <vertAlign val="subscript"/>
      <sz val="11"/>
      <color theme="1"/>
      <name val="Liberation Sans"/>
    </font>
    <font>
      <sz val="10"/>
      <name val="Arial"/>
      <family val="2"/>
    </font>
    <font>
      <b/>
      <sz val="10.8"/>
      <color rgb="FF000000"/>
      <name val="Segoe UI"/>
      <family val="2"/>
    </font>
    <font>
      <b/>
      <vertAlign val="subscript"/>
      <sz val="11"/>
      <color theme="1"/>
      <name val="MS Reference Sans Serif"/>
      <family val="2"/>
    </font>
    <font>
      <b/>
      <vertAlign val="superscript"/>
      <sz val="11"/>
      <color theme="1"/>
      <name val="MS Reference Sans Serif"/>
      <family val="2"/>
    </font>
    <font>
      <sz val="8"/>
      <color theme="1"/>
      <name val="Calibri"/>
      <family val="2"/>
      <scheme val="minor"/>
    </font>
    <font>
      <b/>
      <sz val="11"/>
      <color theme="1"/>
      <name val="Calibri"/>
      <family val="2"/>
    </font>
    <font>
      <sz val="12"/>
      <color rgb="FF222222"/>
      <name val="Calibri"/>
      <family val="2"/>
      <scheme val="minor"/>
    </font>
    <font>
      <sz val="11"/>
      <color rgb="FF000000"/>
      <name val="Calibri"/>
      <family val="2"/>
    </font>
    <font>
      <sz val="11"/>
      <color theme="0" tint="-0.249977111117893"/>
      <name val="Calibri"/>
      <family val="2"/>
      <scheme val="minor"/>
    </font>
    <font>
      <b/>
      <sz val="10"/>
      <name val="MS Reference Sans Serif"/>
      <family val="2"/>
    </font>
    <font>
      <sz val="11"/>
      <name val="Calibri"/>
      <family val="2"/>
      <scheme val="minor"/>
    </font>
    <font>
      <b/>
      <sz val="11"/>
      <name val="Calibri"/>
      <family val="2"/>
      <scheme val="minor"/>
    </font>
    <font>
      <sz val="11"/>
      <color theme="0" tint="-0.14996795556505021"/>
      <name val="Calibri"/>
      <family val="2"/>
      <scheme val="minor"/>
    </font>
    <font>
      <u/>
      <sz val="11"/>
      <color theme="10"/>
      <name val="Calibri"/>
      <family val="2"/>
      <scheme val="minor"/>
    </font>
    <font>
      <sz val="11"/>
      <color theme="1"/>
      <name val="Calibri"/>
      <family val="2"/>
    </font>
    <font>
      <sz val="9"/>
      <color theme="1"/>
      <name val="Calibri"/>
      <family val="2"/>
      <scheme val="minor"/>
    </font>
    <font>
      <sz val="9"/>
      <color rgb="FF000000"/>
      <name val="Calibri"/>
      <family val="2"/>
    </font>
    <font>
      <b/>
      <sz val="24"/>
      <color rgb="FFFF0000"/>
      <name val="Calibri"/>
      <family val="2"/>
      <scheme val="minor"/>
    </font>
    <font>
      <b/>
      <sz val="11"/>
      <color rgb="FFFF0000"/>
      <name val="Calibri"/>
      <family val="2"/>
      <scheme val="minor"/>
    </font>
    <font>
      <b/>
      <sz val="10"/>
      <color rgb="FFFF0000"/>
      <name val="MS Reference Sans Serif"/>
      <family val="2"/>
    </font>
    <font>
      <b/>
      <vertAlign val="superscript"/>
      <sz val="10"/>
      <color rgb="FFFF0000"/>
      <name val="MS Reference Sans Serif"/>
      <family val="2"/>
    </font>
    <font>
      <sz val="24"/>
      <color rgb="FFFF0000"/>
      <name val="Calibri"/>
      <family val="2"/>
      <scheme val="minor"/>
    </font>
    <font>
      <b/>
      <vertAlign val="subscript"/>
      <sz val="10"/>
      <color rgb="FFFF0000"/>
      <name val="MS Reference Sans Serif"/>
      <family val="2"/>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5" tint="0.79995117038483843"/>
        <bgColor indexed="64"/>
      </patternFill>
    </fill>
  </fills>
  <borders count="5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bottom style="medium">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top/>
      <bottom style="thin">
        <color indexed="64"/>
      </bottom>
      <diagonal/>
    </border>
    <border>
      <left/>
      <right/>
      <top style="thin">
        <color indexed="64"/>
      </top>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medium">
        <color indexed="64"/>
      </top>
      <bottom style="medium">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xf numFmtId="0" fontId="32" fillId="0" borderId="0"/>
    <xf numFmtId="0" fontId="33" fillId="0" borderId="0">
      <alignment horizontal="center"/>
    </xf>
    <xf numFmtId="0" fontId="33" fillId="0" borderId="0">
      <alignment horizontal="center" textRotation="90"/>
    </xf>
    <xf numFmtId="0" fontId="34" fillId="0" borderId="0"/>
    <xf numFmtId="169" fontId="34" fillId="0" borderId="0"/>
    <xf numFmtId="0" fontId="37" fillId="0" borderId="0"/>
    <xf numFmtId="0" fontId="50" fillId="0" borderId="0" applyNumberFormat="0" applyFill="0" applyBorder="0" applyAlignment="0" applyProtection="0"/>
  </cellStyleXfs>
  <cellXfs count="406">
    <xf numFmtId="0" fontId="0" fillId="0" borderId="0" xfId="0"/>
    <xf numFmtId="0" fontId="0" fillId="0" borderId="0" xfId="0" applyAlignment="1">
      <alignment horizontal="center"/>
    </xf>
    <xf numFmtId="2" fontId="0" fillId="0" borderId="0" xfId="0" applyNumberFormat="1" applyAlignment="1">
      <alignment horizontal="center"/>
    </xf>
    <xf numFmtId="0" fontId="19" fillId="0" borderId="0" xfId="0" applyFont="1"/>
    <xf numFmtId="2" fontId="16" fillId="0" borderId="10" xfId="0" applyNumberFormat="1" applyFont="1" applyBorder="1" applyAlignment="1">
      <alignment horizontal="center"/>
    </xf>
    <xf numFmtId="164" fontId="0" fillId="33" borderId="0" xfId="0" applyNumberFormat="1" applyFill="1" applyAlignment="1">
      <alignment horizontal="center"/>
    </xf>
    <xf numFmtId="2" fontId="16" fillId="33" borderId="10" xfId="0" applyNumberFormat="1" applyFont="1" applyFill="1" applyBorder="1" applyAlignment="1">
      <alignment horizontal="center"/>
    </xf>
    <xf numFmtId="0" fontId="19" fillId="33" borderId="0" xfId="0" applyFont="1" applyFill="1" applyAlignment="1">
      <alignment horizontal="center"/>
    </xf>
    <xf numFmtId="0" fontId="19" fillId="34" borderId="0" xfId="0" applyFont="1" applyFill="1" applyAlignment="1">
      <alignment horizontal="center"/>
    </xf>
    <xf numFmtId="164" fontId="0" fillId="34" borderId="0" xfId="0" applyNumberFormat="1" applyFill="1" applyAlignment="1">
      <alignment horizontal="center"/>
    </xf>
    <xf numFmtId="2" fontId="0" fillId="34" borderId="0" xfId="0" applyNumberFormat="1" applyFill="1" applyAlignment="1">
      <alignment horizontal="center"/>
    </xf>
    <xf numFmtId="2" fontId="16" fillId="34" borderId="10" xfId="0" applyNumberFormat="1" applyFont="1" applyFill="1" applyBorder="1" applyAlignment="1">
      <alignment horizontal="center"/>
    </xf>
    <xf numFmtId="0" fontId="19" fillId="35" borderId="0" xfId="0" applyFont="1" applyFill="1" applyAlignment="1">
      <alignment horizontal="center"/>
    </xf>
    <xf numFmtId="2" fontId="0" fillId="35" borderId="0" xfId="0" applyNumberFormat="1" applyFill="1" applyAlignment="1">
      <alignment horizontal="center"/>
    </xf>
    <xf numFmtId="2" fontId="16" fillId="35" borderId="10" xfId="0" applyNumberFormat="1" applyFont="1" applyFill="1" applyBorder="1" applyAlignment="1">
      <alignment horizontal="center"/>
    </xf>
    <xf numFmtId="2" fontId="0" fillId="37" borderId="0" xfId="0" applyNumberFormat="1" applyFill="1" applyAlignment="1">
      <alignment horizontal="center"/>
    </xf>
    <xf numFmtId="2" fontId="16" fillId="37" borderId="10" xfId="0" applyNumberFormat="1" applyFont="1" applyFill="1" applyBorder="1" applyAlignment="1">
      <alignment horizontal="center"/>
    </xf>
    <xf numFmtId="0" fontId="19" fillId="38" borderId="13" xfId="0" applyFont="1" applyFill="1" applyBorder="1" applyAlignment="1">
      <alignment horizontal="center"/>
    </xf>
    <xf numFmtId="164" fontId="0" fillId="36" borderId="0" xfId="0" applyNumberFormat="1" applyFill="1" applyBorder="1" applyAlignment="1">
      <alignment horizontal="center"/>
    </xf>
    <xf numFmtId="164" fontId="0" fillId="38" borderId="17" xfId="0" applyNumberFormat="1" applyFill="1" applyBorder="1" applyAlignment="1">
      <alignment horizontal="center"/>
    </xf>
    <xf numFmtId="2" fontId="16" fillId="38" borderId="21" xfId="0" applyNumberFormat="1" applyFont="1" applyFill="1" applyBorder="1" applyAlignment="1">
      <alignment horizontal="center"/>
    </xf>
    <xf numFmtId="0" fontId="19" fillId="36" borderId="11" xfId="0" applyFont="1" applyFill="1" applyBorder="1"/>
    <xf numFmtId="2" fontId="0" fillId="36" borderId="0" xfId="0" applyNumberFormat="1" applyFill="1" applyBorder="1" applyAlignment="1">
      <alignment horizontal="center"/>
    </xf>
    <xf numFmtId="0" fontId="0" fillId="36" borderId="16" xfId="0" applyFill="1" applyBorder="1"/>
    <xf numFmtId="0" fontId="0" fillId="36" borderId="0" xfId="0" applyFill="1" applyBorder="1"/>
    <xf numFmtId="0" fontId="0" fillId="36" borderId="18" xfId="0" applyFill="1" applyBorder="1"/>
    <xf numFmtId="0" fontId="0" fillId="36" borderId="19" xfId="0" applyFill="1" applyBorder="1"/>
    <xf numFmtId="2" fontId="16" fillId="36" borderId="20" xfId="0" applyNumberFormat="1" applyFont="1" applyFill="1" applyBorder="1" applyAlignment="1">
      <alignment horizontal="center"/>
    </xf>
    <xf numFmtId="0" fontId="19" fillId="39" borderId="12" xfId="0" applyFont="1" applyFill="1" applyBorder="1" applyAlignment="1">
      <alignment horizontal="center"/>
    </xf>
    <xf numFmtId="0" fontId="19" fillId="39" borderId="11" xfId="0" applyFont="1" applyFill="1" applyBorder="1" applyAlignment="1">
      <alignment horizontal="center"/>
    </xf>
    <xf numFmtId="2" fontId="16" fillId="33" borderId="0" xfId="0" applyNumberFormat="1" applyFont="1" applyFill="1" applyBorder="1" applyAlignment="1">
      <alignment horizontal="center"/>
    </xf>
    <xf numFmtId="164" fontId="0" fillId="0" borderId="0" xfId="0" applyNumberFormat="1" applyAlignment="1">
      <alignment horizontal="center"/>
    </xf>
    <xf numFmtId="0" fontId="18" fillId="33" borderId="10" xfId="0" applyFont="1" applyFill="1" applyBorder="1" applyAlignment="1">
      <alignment horizontal="center" vertical="center"/>
    </xf>
    <xf numFmtId="0" fontId="18" fillId="36" borderId="14" xfId="0" applyFont="1" applyFill="1" applyBorder="1" applyAlignment="1">
      <alignment horizontal="center" vertical="center"/>
    </xf>
    <xf numFmtId="0" fontId="18" fillId="36" borderId="10" xfId="0" applyFont="1" applyFill="1" applyBorder="1" applyAlignment="1">
      <alignment horizontal="center" vertical="center"/>
    </xf>
    <xf numFmtId="0" fontId="18" fillId="38" borderId="15" xfId="0" applyFont="1" applyFill="1" applyBorder="1" applyAlignment="1">
      <alignment horizontal="center" vertical="center"/>
    </xf>
    <xf numFmtId="0" fontId="18" fillId="34" borderId="10" xfId="0" applyFont="1" applyFill="1" applyBorder="1" applyAlignment="1">
      <alignment horizontal="center" vertical="center"/>
    </xf>
    <xf numFmtId="0" fontId="18" fillId="34" borderId="24" xfId="0" applyFont="1" applyFill="1" applyBorder="1" applyAlignment="1">
      <alignment horizontal="center" vertical="center"/>
    </xf>
    <xf numFmtId="0" fontId="18" fillId="35" borderId="10" xfId="0" applyFont="1" applyFill="1" applyBorder="1" applyAlignment="1">
      <alignment horizontal="center" vertical="center"/>
    </xf>
    <xf numFmtId="0" fontId="18" fillId="35" borderId="24" xfId="0" applyFont="1" applyFill="1" applyBorder="1" applyAlignment="1">
      <alignment horizontal="center" vertical="center"/>
    </xf>
    <xf numFmtId="0" fontId="18" fillId="37" borderId="10" xfId="0" applyFont="1" applyFill="1" applyBorder="1" applyAlignment="1">
      <alignment horizontal="center" vertical="center"/>
    </xf>
    <xf numFmtId="0" fontId="18" fillId="37" borderId="24" xfId="0" applyFont="1" applyFill="1" applyBorder="1" applyAlignment="1">
      <alignment horizontal="center" vertical="center"/>
    </xf>
    <xf numFmtId="0" fontId="19" fillId="0" borderId="0" xfId="0" applyFont="1" applyAlignment="1">
      <alignment horizontal="center" vertical="center"/>
    </xf>
    <xf numFmtId="0" fontId="18" fillId="39" borderId="24" xfId="0" applyFont="1" applyFill="1" applyBorder="1" applyAlignment="1">
      <alignment horizontal="center" vertical="center"/>
    </xf>
    <xf numFmtId="1" fontId="19" fillId="33" borderId="0" xfId="0" applyNumberFormat="1" applyFont="1" applyFill="1" applyAlignment="1">
      <alignment horizontal="center"/>
    </xf>
    <xf numFmtId="2" fontId="18" fillId="36" borderId="16" xfId="0" applyNumberFormat="1" applyFont="1" applyFill="1" applyBorder="1" applyAlignment="1">
      <alignment horizontal="center"/>
    </xf>
    <xf numFmtId="2" fontId="18" fillId="36" borderId="0" xfId="0" applyNumberFormat="1" applyFont="1" applyFill="1" applyBorder="1" applyAlignment="1">
      <alignment horizontal="center"/>
    </xf>
    <xf numFmtId="2" fontId="19" fillId="36" borderId="0" xfId="0" applyNumberFormat="1" applyFont="1" applyFill="1" applyBorder="1" applyAlignment="1">
      <alignment horizontal="center"/>
    </xf>
    <xf numFmtId="164" fontId="19" fillId="36" borderId="0" xfId="0" applyNumberFormat="1" applyFont="1" applyFill="1" applyBorder="1" applyAlignment="1">
      <alignment horizontal="center"/>
    </xf>
    <xf numFmtId="164" fontId="19" fillId="38" borderId="17" xfId="0" applyNumberFormat="1" applyFont="1" applyFill="1" applyBorder="1" applyAlignment="1">
      <alignment horizontal="center"/>
    </xf>
    <xf numFmtId="164" fontId="19" fillId="34" borderId="0" xfId="0" applyNumberFormat="1" applyFont="1" applyFill="1" applyAlignment="1">
      <alignment horizontal="center"/>
    </xf>
    <xf numFmtId="2" fontId="19" fillId="34" borderId="0" xfId="0" applyNumberFormat="1" applyFont="1" applyFill="1" applyAlignment="1">
      <alignment horizontal="center"/>
    </xf>
    <xf numFmtId="2" fontId="19" fillId="35" borderId="0" xfId="0" applyNumberFormat="1" applyFont="1" applyFill="1" applyAlignment="1">
      <alignment horizontal="center"/>
    </xf>
    <xf numFmtId="2" fontId="18" fillId="35" borderId="23" xfId="0" applyNumberFormat="1" applyFont="1" applyFill="1" applyBorder="1" applyAlignment="1">
      <alignment horizontal="center"/>
    </xf>
    <xf numFmtId="2" fontId="19" fillId="37" borderId="0" xfId="0" applyNumberFormat="1" applyFont="1" applyFill="1" applyAlignment="1">
      <alignment horizontal="center"/>
    </xf>
    <xf numFmtId="2" fontId="18" fillId="37" borderId="25" xfId="0" applyNumberFormat="1" applyFont="1" applyFill="1" applyBorder="1" applyAlignment="1">
      <alignment horizontal="center"/>
    </xf>
    <xf numFmtId="2" fontId="0" fillId="0" borderId="0" xfId="0" applyNumberFormat="1"/>
    <xf numFmtId="0" fontId="19" fillId="41" borderId="0" xfId="0" applyFont="1" applyFill="1" applyAlignment="1">
      <alignment horizontal="center"/>
    </xf>
    <xf numFmtId="0" fontId="18" fillId="41" borderId="26" xfId="0" applyFont="1" applyFill="1" applyBorder="1" applyAlignment="1">
      <alignment horizontal="center"/>
    </xf>
    <xf numFmtId="0" fontId="23" fillId="41" borderId="26" xfId="0" applyFont="1" applyFill="1" applyBorder="1" applyAlignment="1">
      <alignment horizontal="center"/>
    </xf>
    <xf numFmtId="0" fontId="18" fillId="41" borderId="28" xfId="0" applyFont="1" applyFill="1" applyBorder="1" applyAlignment="1">
      <alignment horizontal="center" vertical="center"/>
    </xf>
    <xf numFmtId="0" fontId="18" fillId="41" borderId="29" xfId="0" applyFont="1" applyFill="1" applyBorder="1" applyAlignment="1">
      <alignment horizontal="center" vertical="center"/>
    </xf>
    <xf numFmtId="0" fontId="0" fillId="0" borderId="0" xfId="0"/>
    <xf numFmtId="0" fontId="16" fillId="0" borderId="10" xfId="0" applyFont="1" applyBorder="1" applyAlignment="1">
      <alignment horizontal="center"/>
    </xf>
    <xf numFmtId="164" fontId="0" fillId="0" borderId="0" xfId="0" applyNumberFormat="1" applyAlignment="1">
      <alignment horizontal="center"/>
    </xf>
    <xf numFmtId="0" fontId="16" fillId="0" borderId="10" xfId="0" applyFont="1" applyFill="1" applyBorder="1" applyAlignment="1">
      <alignment horizontal="center"/>
    </xf>
    <xf numFmtId="0" fontId="0" fillId="0" borderId="0" xfId="0" applyAlignment="1">
      <alignment horizontal="center"/>
    </xf>
    <xf numFmtId="0" fontId="0" fillId="0" borderId="0" xfId="0" quotePrefix="1"/>
    <xf numFmtId="2" fontId="0" fillId="0" borderId="0" xfId="0" applyNumberFormat="1" applyAlignment="1">
      <alignment horizontal="center"/>
    </xf>
    <xf numFmtId="164" fontId="0" fillId="0" borderId="0" xfId="0" applyNumberFormat="1" applyBorder="1" applyAlignment="1">
      <alignment horizontal="center"/>
    </xf>
    <xf numFmtId="0" fontId="16" fillId="33" borderId="10" xfId="0" applyFont="1" applyFill="1" applyBorder="1" applyAlignment="1">
      <alignment horizontal="center"/>
    </xf>
    <xf numFmtId="2" fontId="0" fillId="33" borderId="0" xfId="0" applyNumberFormat="1" applyFill="1" applyAlignment="1">
      <alignment horizontal="center"/>
    </xf>
    <xf numFmtId="2" fontId="16" fillId="33" borderId="10" xfId="0" applyNumberFormat="1" applyFont="1" applyFill="1" applyBorder="1" applyAlignment="1">
      <alignment horizontal="center"/>
    </xf>
    <xf numFmtId="164" fontId="0" fillId="0" borderId="34" xfId="0" applyNumberFormat="1" applyBorder="1" applyAlignment="1">
      <alignment horizontal="center"/>
    </xf>
    <xf numFmtId="166" fontId="0" fillId="33" borderId="0" xfId="0" applyNumberFormat="1" applyFill="1" applyAlignment="1">
      <alignment horizontal="center"/>
    </xf>
    <xf numFmtId="0" fontId="18" fillId="33" borderId="0" xfId="0" applyFont="1" applyFill="1" applyAlignment="1">
      <alignment horizontal="center"/>
    </xf>
    <xf numFmtId="2" fontId="18" fillId="39" borderId="23" xfId="0" applyNumberFormat="1" applyFont="1" applyFill="1" applyBorder="1" applyAlignment="1">
      <alignment horizontal="center"/>
    </xf>
    <xf numFmtId="0" fontId="18" fillId="33" borderId="29" xfId="0" applyFont="1" applyFill="1" applyBorder="1" applyAlignment="1">
      <alignment horizontal="center" vertical="center"/>
    </xf>
    <xf numFmtId="0" fontId="16" fillId="39" borderId="0" xfId="0" applyFont="1" applyFill="1" applyAlignment="1">
      <alignment horizontal="center"/>
    </xf>
    <xf numFmtId="0" fontId="16" fillId="39" borderId="36" xfId="0" applyFont="1" applyFill="1" applyBorder="1" applyAlignment="1">
      <alignment horizontal="center"/>
    </xf>
    <xf numFmtId="0" fontId="0" fillId="34" borderId="0" xfId="0" applyFill="1" applyBorder="1" applyAlignment="1">
      <alignment horizontal="center"/>
    </xf>
    <xf numFmtId="0" fontId="19" fillId="34" borderId="33" xfId="0" applyFont="1" applyFill="1" applyBorder="1" applyAlignment="1">
      <alignment horizontal="center"/>
    </xf>
    <xf numFmtId="0" fontId="18" fillId="43" borderId="0" xfId="0" applyFont="1" applyFill="1" applyAlignment="1">
      <alignment horizontal="center"/>
    </xf>
    <xf numFmtId="0" fontId="18" fillId="43" borderId="10" xfId="0" applyFont="1" applyFill="1" applyBorder="1" applyAlignment="1">
      <alignment horizontal="center" vertical="center"/>
    </xf>
    <xf numFmtId="2" fontId="19" fillId="43" borderId="0" xfId="0" applyNumberFormat="1" applyFont="1" applyFill="1" applyAlignment="1">
      <alignment horizontal="center"/>
    </xf>
    <xf numFmtId="2" fontId="16" fillId="43" borderId="10" xfId="0" applyNumberFormat="1" applyFont="1" applyFill="1" applyBorder="1" applyAlignment="1">
      <alignment horizontal="center"/>
    </xf>
    <xf numFmtId="0" fontId="0" fillId="34" borderId="0" xfId="0" applyFill="1" applyBorder="1" applyAlignment="1">
      <alignment horizontal="center"/>
    </xf>
    <xf numFmtId="0" fontId="18" fillId="34" borderId="27" xfId="0" applyFont="1" applyFill="1" applyBorder="1" applyAlignment="1">
      <alignment horizontal="center" vertical="center"/>
    </xf>
    <xf numFmtId="167" fontId="18" fillId="35" borderId="26" xfId="0" applyNumberFormat="1" applyFont="1" applyFill="1" applyBorder="1" applyAlignment="1">
      <alignment horizontal="center"/>
    </xf>
    <xf numFmtId="0" fontId="0" fillId="0" borderId="0" xfId="0" applyAlignment="1">
      <alignment horizontal="center"/>
    </xf>
    <xf numFmtId="0" fontId="24" fillId="34" borderId="10" xfId="0" applyFont="1" applyFill="1" applyBorder="1"/>
    <xf numFmtId="165" fontId="29" fillId="34" borderId="27" xfId="0" applyNumberFormat="1" applyFont="1" applyFill="1" applyBorder="1" applyAlignment="1">
      <alignment horizontal="left"/>
    </xf>
    <xf numFmtId="0" fontId="0" fillId="41" borderId="0" xfId="0" applyFill="1" applyAlignment="1">
      <alignment horizontal="left"/>
    </xf>
    <xf numFmtId="0" fontId="0" fillId="36" borderId="0" xfId="0" applyFill="1" applyAlignment="1">
      <alignment horizontal="left"/>
    </xf>
    <xf numFmtId="0" fontId="19" fillId="36" borderId="0" xfId="0" applyFont="1" applyFill="1" applyAlignment="1">
      <alignment horizontal="center"/>
    </xf>
    <xf numFmtId="0" fontId="16" fillId="36" borderId="0" xfId="0" applyFont="1" applyFill="1" applyAlignment="1">
      <alignment horizontal="left"/>
    </xf>
    <xf numFmtId="0" fontId="16" fillId="38" borderId="0" xfId="0" applyFont="1" applyFill="1" applyAlignment="1">
      <alignment horizontal="left"/>
    </xf>
    <xf numFmtId="0" fontId="19" fillId="0" borderId="0" xfId="0" applyFont="1" applyFill="1" applyAlignment="1">
      <alignment horizontal="left"/>
    </xf>
    <xf numFmtId="0" fontId="41" fillId="34" borderId="32" xfId="0" applyFont="1" applyFill="1" applyBorder="1" applyAlignment="1">
      <alignment horizontal="center"/>
    </xf>
    <xf numFmtId="0" fontId="41" fillId="34" borderId="0" xfId="0" applyFont="1" applyFill="1" applyBorder="1" applyAlignment="1">
      <alignment horizontal="center"/>
    </xf>
    <xf numFmtId="2" fontId="0" fillId="0" borderId="0" xfId="0" applyNumberFormat="1" applyFill="1" applyAlignment="1">
      <alignment horizontal="center"/>
    </xf>
    <xf numFmtId="0" fontId="0" fillId="0" borderId="0" xfId="0" applyAlignment="1">
      <alignment horizontal="right"/>
    </xf>
    <xf numFmtId="0" fontId="0" fillId="0" borderId="0" xfId="0" quotePrefix="1" applyAlignment="1">
      <alignment horizontal="right"/>
    </xf>
    <xf numFmtId="0" fontId="19" fillId="0" borderId="0" xfId="0" applyFont="1" applyFill="1" applyAlignment="1">
      <alignment horizontal="right"/>
    </xf>
    <xf numFmtId="0" fontId="0" fillId="0" borderId="0" xfId="0" applyFont="1" applyFill="1" applyAlignment="1">
      <alignment horizontal="right"/>
    </xf>
    <xf numFmtId="165" fontId="0" fillId="0" borderId="32" xfId="0" applyNumberFormat="1" applyBorder="1" applyAlignment="1">
      <alignment horizontal="right"/>
    </xf>
    <xf numFmtId="2" fontId="0" fillId="0" borderId="32" xfId="0" applyNumberFormat="1" applyBorder="1" applyAlignment="1">
      <alignment horizontal="right"/>
    </xf>
    <xf numFmtId="2" fontId="0" fillId="0" borderId="36" xfId="0" applyNumberFormat="1" applyBorder="1" applyAlignment="1">
      <alignment horizontal="right"/>
    </xf>
    <xf numFmtId="1" fontId="0" fillId="0" borderId="32" xfId="0" applyNumberFormat="1" applyBorder="1" applyAlignment="1">
      <alignment horizontal="right"/>
    </xf>
    <xf numFmtId="165" fontId="0" fillId="0" borderId="0" xfId="0" applyNumberFormat="1" applyBorder="1" applyAlignment="1">
      <alignment horizontal="left"/>
    </xf>
    <xf numFmtId="2" fontId="0" fillId="0" borderId="0" xfId="0" applyNumberFormat="1" applyBorder="1" applyAlignment="1">
      <alignment horizontal="left"/>
    </xf>
    <xf numFmtId="2" fontId="0" fillId="0" borderId="19" xfId="0" applyNumberFormat="1" applyBorder="1" applyAlignment="1">
      <alignment horizontal="left"/>
    </xf>
    <xf numFmtId="0" fontId="16" fillId="0" borderId="38" xfId="0" applyFont="1" applyBorder="1" applyAlignment="1">
      <alignment horizontal="right"/>
    </xf>
    <xf numFmtId="0" fontId="16" fillId="0" borderId="37" xfId="0" applyFont="1" applyBorder="1" applyAlignment="1">
      <alignment horizontal="right"/>
    </xf>
    <xf numFmtId="0" fontId="16" fillId="0" borderId="17" xfId="0" applyFont="1" applyBorder="1" applyAlignment="1">
      <alignment horizontal="left"/>
    </xf>
    <xf numFmtId="0" fontId="16" fillId="0" borderId="17" xfId="0" applyFont="1" applyFill="1" applyBorder="1" applyAlignment="1">
      <alignment horizontal="left"/>
    </xf>
    <xf numFmtId="0" fontId="16" fillId="0" borderId="31" xfId="0" applyFont="1" applyBorder="1" applyAlignment="1">
      <alignment horizontal="left"/>
    </xf>
    <xf numFmtId="0" fontId="16" fillId="0" borderId="0" xfId="0" applyFont="1" applyFill="1" applyAlignment="1">
      <alignment horizontal="left"/>
    </xf>
    <xf numFmtId="0" fontId="0" fillId="0" borderId="0" xfId="0" applyAlignment="1">
      <alignment horizontal="center"/>
    </xf>
    <xf numFmtId="2" fontId="0" fillId="36" borderId="0" xfId="0" applyNumberFormat="1" applyFill="1" applyBorder="1"/>
    <xf numFmtId="0" fontId="16" fillId="34" borderId="24" xfId="0" quotePrefix="1" applyFont="1" applyFill="1" applyBorder="1" applyAlignment="1">
      <alignment horizontal="center"/>
    </xf>
    <xf numFmtId="0" fontId="18" fillId="36" borderId="24" xfId="0" applyFont="1" applyFill="1" applyBorder="1" applyAlignment="1">
      <alignment horizontal="center" vertical="center"/>
    </xf>
    <xf numFmtId="165" fontId="16" fillId="36" borderId="23" xfId="0" applyNumberFormat="1" applyFont="1" applyFill="1" applyBorder="1" applyAlignment="1">
      <alignment horizontal="center"/>
    </xf>
    <xf numFmtId="2" fontId="16" fillId="34" borderId="23" xfId="0" applyNumberFormat="1" applyFont="1" applyFill="1" applyBorder="1" applyAlignment="1">
      <alignment horizontal="center"/>
    </xf>
    <xf numFmtId="2" fontId="18" fillId="34" borderId="23" xfId="0" applyNumberFormat="1" applyFont="1" applyFill="1" applyBorder="1" applyAlignment="1">
      <alignment horizontal="center"/>
    </xf>
    <xf numFmtId="2" fontId="18" fillId="34" borderId="26" xfId="0" applyNumberFormat="1" applyFont="1" applyFill="1" applyBorder="1" applyAlignment="1">
      <alignment horizontal="center"/>
    </xf>
    <xf numFmtId="164" fontId="0" fillId="0" borderId="0" xfId="0" applyNumberFormat="1" applyFill="1" applyBorder="1" applyAlignment="1">
      <alignment horizontal="center"/>
    </xf>
    <xf numFmtId="2" fontId="16" fillId="0" borderId="27" xfId="0" applyNumberFormat="1" applyFont="1" applyFill="1" applyBorder="1" applyAlignment="1">
      <alignment horizontal="center"/>
    </xf>
    <xf numFmtId="0" fontId="16" fillId="41" borderId="0" xfId="0" applyFont="1" applyFill="1" applyAlignment="1">
      <alignment horizontal="left"/>
    </xf>
    <xf numFmtId="164" fontId="19" fillId="41" borderId="0" xfId="0" applyNumberFormat="1"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43" fillId="0" borderId="0" xfId="0" applyFont="1" applyAlignment="1">
      <alignment horizontal="center"/>
    </xf>
    <xf numFmtId="1" fontId="0" fillId="0" borderId="0" xfId="0" applyNumberFormat="1" applyFont="1" applyBorder="1" applyAlignment="1">
      <alignment horizontal="center"/>
    </xf>
    <xf numFmtId="1" fontId="0" fillId="0" borderId="0" xfId="0" applyNumberFormat="1" applyAlignment="1">
      <alignment horizontal="center"/>
    </xf>
    <xf numFmtId="0" fontId="0" fillId="0" borderId="0" xfId="0" applyAlignment="1">
      <alignment horizontal="center"/>
    </xf>
    <xf numFmtId="0" fontId="0" fillId="0" borderId="0" xfId="0" applyAlignment="1">
      <alignment horizontal="right"/>
    </xf>
    <xf numFmtId="0" fontId="16" fillId="35" borderId="10" xfId="0" applyFont="1" applyFill="1" applyBorder="1" applyAlignment="1">
      <alignment horizontal="center"/>
    </xf>
    <xf numFmtId="0" fontId="16" fillId="34" borderId="10" xfId="0" applyFont="1" applyFill="1" applyBorder="1" applyAlignment="1">
      <alignment horizontal="center"/>
    </xf>
    <xf numFmtId="0" fontId="16" fillId="42" borderId="10" xfId="0" applyFont="1" applyFill="1" applyBorder="1" applyAlignment="1">
      <alignment horizontal="center"/>
    </xf>
    <xf numFmtId="2" fontId="0" fillId="42" borderId="0" xfId="0" applyNumberFormat="1" applyFill="1" applyAlignment="1">
      <alignment horizontal="center"/>
    </xf>
    <xf numFmtId="2" fontId="19" fillId="33" borderId="0" xfId="0" applyNumberFormat="1" applyFont="1" applyFill="1" applyAlignment="1">
      <alignment horizontal="center"/>
    </xf>
    <xf numFmtId="0" fontId="0" fillId="0" borderId="0" xfId="0" applyAlignment="1"/>
    <xf numFmtId="0" fontId="0" fillId="0" borderId="0" xfId="0" applyAlignment="1">
      <alignment horizontal="center"/>
    </xf>
    <xf numFmtId="0" fontId="0" fillId="0" borderId="0" xfId="0" applyFill="1" applyAlignment="1">
      <alignment horizontal="center"/>
    </xf>
    <xf numFmtId="2" fontId="16" fillId="0" borderId="10" xfId="0" applyNumberFormat="1" applyFont="1" applyBorder="1" applyAlignment="1"/>
    <xf numFmtId="0" fontId="0" fillId="0" borderId="0" xfId="0" applyAlignment="1">
      <alignment horizontal="center"/>
    </xf>
    <xf numFmtId="0" fontId="0" fillId="0" borderId="10" xfId="0" applyBorder="1" applyAlignment="1">
      <alignment horizontal="center"/>
    </xf>
    <xf numFmtId="2" fontId="16" fillId="0" borderId="10" xfId="0" applyNumberFormat="1" applyFont="1" applyBorder="1"/>
    <xf numFmtId="2" fontId="0" fillId="0" borderId="10" xfId="0" applyNumberFormat="1" applyBorder="1" applyAlignment="1">
      <alignment horizontal="center"/>
    </xf>
    <xf numFmtId="1" fontId="0" fillId="0" borderId="10" xfId="0" applyNumberFormat="1" applyBorder="1" applyAlignment="1">
      <alignment horizontal="center"/>
    </xf>
    <xf numFmtId="0" fontId="0" fillId="0" borderId="0" xfId="0"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2" fontId="16" fillId="43" borderId="28" xfId="0" applyNumberFormat="1" applyFont="1" applyFill="1" applyBorder="1" applyAlignment="1">
      <alignment horizontal="center"/>
    </xf>
    <xf numFmtId="2" fontId="16" fillId="0" borderId="40" xfId="0" applyNumberFormat="1" applyFont="1" applyFill="1" applyBorder="1" applyAlignment="1">
      <alignment horizontal="center"/>
    </xf>
    <xf numFmtId="2" fontId="16" fillId="43" borderId="21" xfId="0" applyNumberFormat="1" applyFont="1" applyFill="1" applyBorder="1" applyAlignment="1">
      <alignment horizontal="center"/>
    </xf>
    <xf numFmtId="0" fontId="0" fillId="0" borderId="0" xfId="0" applyFill="1"/>
    <xf numFmtId="0" fontId="45" fillId="0" borderId="0" xfId="0" applyFont="1" applyAlignment="1">
      <alignment horizontal="center"/>
    </xf>
    <xf numFmtId="0" fontId="46" fillId="35" borderId="10" xfId="0" applyFont="1" applyFill="1" applyBorder="1" applyAlignment="1">
      <alignment horizontal="center" vertical="center"/>
    </xf>
    <xf numFmtId="0" fontId="46" fillId="42" borderId="10" xfId="0" applyFont="1" applyFill="1" applyBorder="1" applyAlignment="1">
      <alignment horizontal="center" vertical="center"/>
    </xf>
    <xf numFmtId="2" fontId="47" fillId="35" borderId="0" xfId="0" applyNumberFormat="1" applyFont="1" applyFill="1" applyAlignment="1">
      <alignment horizontal="center"/>
    </xf>
    <xf numFmtId="2" fontId="47" fillId="42" borderId="0" xfId="0" applyNumberFormat="1" applyFont="1" applyFill="1" applyAlignment="1">
      <alignment horizontal="center"/>
    </xf>
    <xf numFmtId="2" fontId="48" fillId="35" borderId="10" xfId="0" applyNumberFormat="1" applyFont="1" applyFill="1" applyBorder="1" applyAlignment="1">
      <alignment horizontal="center"/>
    </xf>
    <xf numFmtId="2" fontId="48" fillId="42" borderId="10" xfId="0" applyNumberFormat="1" applyFont="1" applyFill="1" applyBorder="1" applyAlignment="1">
      <alignment horizontal="center"/>
    </xf>
    <xf numFmtId="0" fontId="32" fillId="0" borderId="0" xfId="43" applyFill="1" applyAlignment="1">
      <alignment horizontal="center"/>
    </xf>
    <xf numFmtId="0" fontId="0" fillId="44" borderId="0" xfId="0" applyFill="1" applyAlignment="1">
      <alignment horizontal="center"/>
    </xf>
    <xf numFmtId="9" fontId="16" fillId="44" borderId="10" xfId="42" quotePrefix="1" applyFont="1" applyFill="1" applyBorder="1" applyAlignment="1">
      <alignment horizontal="center"/>
    </xf>
    <xf numFmtId="2" fontId="16" fillId="44" borderId="0" xfId="43" applyNumberFormat="1" applyFont="1" applyFill="1" applyAlignment="1">
      <alignment horizontal="center"/>
    </xf>
    <xf numFmtId="0" fontId="16" fillId="44" borderId="10" xfId="0" applyFont="1" applyFill="1" applyBorder="1" applyAlignment="1">
      <alignment horizontal="center"/>
    </xf>
    <xf numFmtId="0" fontId="16" fillId="33" borderId="0" xfId="0" applyFont="1" applyFill="1" applyAlignment="1">
      <alignment horizontal="center"/>
    </xf>
    <xf numFmtId="0" fontId="42" fillId="33" borderId="0" xfId="0" applyFont="1" applyFill="1" applyAlignment="1">
      <alignment horizontal="center"/>
    </xf>
    <xf numFmtId="0" fontId="0" fillId="33" borderId="0" xfId="0" applyFill="1" applyAlignment="1">
      <alignment horizontal="center"/>
    </xf>
    <xf numFmtId="0" fontId="35" fillId="33" borderId="10" xfId="43" applyFont="1" applyFill="1" applyBorder="1" applyAlignment="1">
      <alignment horizontal="center"/>
    </xf>
    <xf numFmtId="2" fontId="1" fillId="33" borderId="0" xfId="43" applyNumberFormat="1" applyFont="1" applyFill="1" applyAlignment="1">
      <alignment horizontal="center"/>
    </xf>
    <xf numFmtId="168" fontId="0" fillId="33" borderId="0" xfId="0" applyNumberFormat="1" applyFill="1" applyAlignment="1">
      <alignment horizontal="center"/>
    </xf>
    <xf numFmtId="0" fontId="0" fillId="33" borderId="0" xfId="0" applyFill="1"/>
    <xf numFmtId="0" fontId="29" fillId="33" borderId="10" xfId="43" applyFont="1" applyFill="1" applyBorder="1" applyAlignment="1">
      <alignment horizontal="center"/>
    </xf>
    <xf numFmtId="2" fontId="48" fillId="33" borderId="10" xfId="0" applyNumberFormat="1" applyFont="1" applyFill="1" applyBorder="1" applyAlignment="1">
      <alignment horizontal="center"/>
    </xf>
    <xf numFmtId="0" fontId="47" fillId="42" borderId="16" xfId="0" applyFont="1" applyFill="1" applyBorder="1" applyAlignment="1">
      <alignment horizontal="center"/>
    </xf>
    <xf numFmtId="2" fontId="47" fillId="42" borderId="0" xfId="0" applyNumberFormat="1" applyFont="1" applyFill="1" applyBorder="1" applyAlignment="1">
      <alignment horizontal="center"/>
    </xf>
    <xf numFmtId="2" fontId="47" fillId="42" borderId="17" xfId="0" applyNumberFormat="1" applyFont="1" applyFill="1" applyBorder="1" applyAlignment="1">
      <alignment horizontal="center"/>
    </xf>
    <xf numFmtId="0" fontId="49" fillId="0" borderId="0" xfId="0" applyFont="1" applyAlignment="1">
      <alignment horizontal="center"/>
    </xf>
    <xf numFmtId="0" fontId="48" fillId="33" borderId="10" xfId="0" applyFont="1" applyFill="1" applyBorder="1" applyAlignment="1">
      <alignment horizontal="center"/>
    </xf>
    <xf numFmtId="0" fontId="48" fillId="33" borderId="15" xfId="0" applyFont="1" applyFill="1" applyBorder="1" applyAlignment="1">
      <alignment horizontal="center"/>
    </xf>
    <xf numFmtId="0" fontId="47" fillId="35" borderId="16" xfId="0" applyFont="1" applyFill="1" applyBorder="1" applyAlignment="1">
      <alignment horizontal="center"/>
    </xf>
    <xf numFmtId="2" fontId="47" fillId="35" borderId="0" xfId="0" applyNumberFormat="1" applyFont="1" applyFill="1" applyBorder="1" applyAlignment="1">
      <alignment horizontal="center"/>
    </xf>
    <xf numFmtId="2" fontId="47" fillId="35" borderId="17" xfId="0" applyNumberFormat="1" applyFont="1" applyFill="1" applyBorder="1" applyAlignment="1">
      <alignment horizontal="center"/>
    </xf>
    <xf numFmtId="0" fontId="47" fillId="34" borderId="16" xfId="0" applyFont="1" applyFill="1" applyBorder="1" applyAlignment="1">
      <alignment horizontal="center"/>
    </xf>
    <xf numFmtId="2" fontId="47" fillId="34" borderId="0" xfId="0" applyNumberFormat="1" applyFont="1" applyFill="1" applyBorder="1" applyAlignment="1">
      <alignment horizontal="center"/>
    </xf>
    <xf numFmtId="2" fontId="47" fillId="34" borderId="17" xfId="0" applyNumberFormat="1" applyFont="1" applyFill="1" applyBorder="1" applyAlignment="1">
      <alignment horizontal="center"/>
    </xf>
    <xf numFmtId="0" fontId="47" fillId="0" borderId="16" xfId="0" applyFont="1" applyBorder="1"/>
    <xf numFmtId="0" fontId="47" fillId="0" borderId="0" xfId="0" applyFont="1" applyBorder="1"/>
    <xf numFmtId="0" fontId="47" fillId="0" borderId="17" xfId="0" applyFont="1" applyBorder="1"/>
    <xf numFmtId="0" fontId="49" fillId="0" borderId="0" xfId="0" applyFont="1"/>
    <xf numFmtId="0" fontId="16" fillId="33" borderId="42" xfId="0" applyFont="1" applyFill="1" applyBorder="1" applyAlignment="1">
      <alignment horizontal="center"/>
    </xf>
    <xf numFmtId="0" fontId="0" fillId="42" borderId="16" xfId="0" applyFill="1" applyBorder="1" applyAlignment="1">
      <alignment horizontal="center"/>
    </xf>
    <xf numFmtId="2" fontId="0" fillId="42" borderId="0" xfId="0" applyNumberFormat="1" applyFill="1" applyBorder="1" applyAlignment="1">
      <alignment horizontal="center"/>
    </xf>
    <xf numFmtId="2" fontId="0" fillId="42" borderId="17" xfId="0" applyNumberFormat="1" applyFill="1" applyBorder="1" applyAlignment="1">
      <alignment horizontal="center"/>
    </xf>
    <xf numFmtId="0" fontId="0" fillId="35" borderId="16" xfId="0" applyFill="1" applyBorder="1" applyAlignment="1">
      <alignment horizontal="center"/>
    </xf>
    <xf numFmtId="2" fontId="0" fillId="35" borderId="0" xfId="0" applyNumberFormat="1" applyFill="1" applyBorder="1" applyAlignment="1">
      <alignment horizontal="center"/>
    </xf>
    <xf numFmtId="2" fontId="0" fillId="35" borderId="17" xfId="0" applyNumberFormat="1" applyFill="1" applyBorder="1" applyAlignment="1">
      <alignment horizontal="center"/>
    </xf>
    <xf numFmtId="0" fontId="0" fillId="34" borderId="16" xfId="0" applyFill="1" applyBorder="1" applyAlignment="1">
      <alignment horizontal="center"/>
    </xf>
    <xf numFmtId="2" fontId="0" fillId="34" borderId="0" xfId="0" applyNumberFormat="1" applyFill="1" applyBorder="1" applyAlignment="1">
      <alignment horizontal="center"/>
    </xf>
    <xf numFmtId="2" fontId="0" fillId="34" borderId="17" xfId="0" applyNumberFormat="1" applyFill="1" applyBorder="1" applyAlignment="1">
      <alignment horizontal="center"/>
    </xf>
    <xf numFmtId="0" fontId="16" fillId="33" borderId="44" xfId="0" applyFont="1" applyFill="1" applyBorder="1" applyAlignment="1">
      <alignment horizontal="center"/>
    </xf>
    <xf numFmtId="2" fontId="16" fillId="33" borderId="20" xfId="0" applyNumberFormat="1" applyFont="1" applyFill="1" applyBorder="1" applyAlignment="1">
      <alignment horizontal="center"/>
    </xf>
    <xf numFmtId="2" fontId="16" fillId="33" borderId="21" xfId="0" applyNumberFormat="1" applyFont="1" applyFill="1" applyBorder="1" applyAlignment="1">
      <alignment horizontal="center"/>
    </xf>
    <xf numFmtId="0" fontId="48" fillId="33" borderId="14" xfId="0" applyFont="1" applyFill="1" applyBorder="1" applyAlignment="1">
      <alignment horizontal="center"/>
    </xf>
    <xf numFmtId="0" fontId="0" fillId="0" borderId="0" xfId="0" applyAlignment="1">
      <alignment horizontal="center"/>
    </xf>
    <xf numFmtId="0" fontId="0" fillId="0" borderId="10" xfId="0" applyFont="1" applyBorder="1"/>
    <xf numFmtId="0" fontId="0" fillId="0" borderId="10" xfId="0" applyFont="1" applyBorder="1" applyAlignment="1">
      <alignment horizontal="center"/>
    </xf>
    <xf numFmtId="0" fontId="46" fillId="45" borderId="10" xfId="0" applyFont="1" applyFill="1" applyBorder="1" applyAlignment="1">
      <alignment horizontal="center" vertical="center"/>
    </xf>
    <xf numFmtId="2" fontId="47" fillId="45" borderId="0" xfId="0" applyNumberFormat="1" applyFont="1" applyFill="1" applyAlignment="1">
      <alignment horizontal="center"/>
    </xf>
    <xf numFmtId="0" fontId="0" fillId="0" borderId="0" xfId="0" applyAlignment="1">
      <alignment horizontal="left"/>
    </xf>
    <xf numFmtId="0" fontId="50" fillId="0" borderId="0" xfId="49"/>
    <xf numFmtId="0" fontId="0" fillId="0" borderId="0" xfId="0" applyAlignment="1">
      <alignment horizontal="center"/>
    </xf>
    <xf numFmtId="0" fontId="0" fillId="0" borderId="0" xfId="0" applyAlignment="1">
      <alignment horizontal="right"/>
    </xf>
    <xf numFmtId="0" fontId="0" fillId="0" borderId="0" xfId="0" quotePrefix="1" applyAlignment="1">
      <alignment horizontal="center"/>
    </xf>
    <xf numFmtId="0" fontId="0" fillId="0" borderId="0" xfId="0" applyAlignment="1">
      <alignment horizontal="center"/>
    </xf>
    <xf numFmtId="164" fontId="0" fillId="0" borderId="0" xfId="0" applyNumberFormat="1" applyFill="1" applyAlignment="1">
      <alignment horizontal="center"/>
    </xf>
    <xf numFmtId="2" fontId="16" fillId="0" borderId="0" xfId="0" applyNumberFormat="1" applyFont="1" applyFill="1" applyBorder="1" applyAlignment="1">
      <alignment horizontal="center"/>
    </xf>
    <xf numFmtId="0" fontId="18" fillId="38" borderId="13" xfId="0" applyFont="1" applyFill="1" applyBorder="1" applyAlignment="1">
      <alignment horizontal="center"/>
    </xf>
    <xf numFmtId="0" fontId="18" fillId="34" borderId="0" xfId="0" applyFont="1" applyFill="1" applyAlignment="1">
      <alignment horizontal="center"/>
    </xf>
    <xf numFmtId="0" fontId="18" fillId="34" borderId="33" xfId="0" applyFont="1" applyFill="1" applyBorder="1" applyAlignment="1">
      <alignment horizontal="center"/>
    </xf>
    <xf numFmtId="0" fontId="18" fillId="41" borderId="0" xfId="0" applyFont="1" applyFill="1" applyAlignment="1">
      <alignment horizontal="center"/>
    </xf>
    <xf numFmtId="0" fontId="51" fillId="36" borderId="0" xfId="0" applyFont="1" applyFill="1" applyBorder="1"/>
    <xf numFmtId="0" fontId="41" fillId="35" borderId="0" xfId="0" applyFont="1" applyFill="1" applyAlignment="1">
      <alignment horizontal="center"/>
    </xf>
    <xf numFmtId="0" fontId="52" fillId="41" borderId="0" xfId="0" applyFont="1" applyFill="1" applyAlignment="1">
      <alignment horizontal="center"/>
    </xf>
    <xf numFmtId="0" fontId="41" fillId="41" borderId="0" xfId="0" applyFont="1" applyFill="1" applyAlignment="1">
      <alignment horizontal="center"/>
    </xf>
    <xf numFmtId="2" fontId="18" fillId="41" borderId="26" xfId="0" applyNumberFormat="1" applyFont="1" applyFill="1" applyBorder="1" applyAlignment="1">
      <alignment horizontal="center"/>
    </xf>
    <xf numFmtId="11" fontId="23" fillId="41" borderId="26" xfId="0" applyNumberFormat="1" applyFont="1" applyFill="1" applyBorder="1" applyAlignment="1">
      <alignment horizontal="center"/>
    </xf>
    <xf numFmtId="2" fontId="0" fillId="36" borderId="0" xfId="0" applyNumberFormat="1" applyFont="1" applyFill="1" applyBorder="1" applyAlignment="1">
      <alignment horizontal="center"/>
    </xf>
    <xf numFmtId="2" fontId="19" fillId="38" borderId="17" xfId="0" applyNumberFormat="1" applyFont="1" applyFill="1" applyBorder="1" applyAlignment="1">
      <alignment horizontal="center"/>
    </xf>
    <xf numFmtId="2" fontId="0" fillId="38" borderId="17" xfId="0" applyNumberFormat="1" applyFill="1" applyBorder="1" applyAlignment="1">
      <alignment horizontal="center"/>
    </xf>
    <xf numFmtId="1" fontId="18" fillId="33" borderId="0" xfId="0" applyNumberFormat="1" applyFont="1" applyFill="1" applyAlignment="1">
      <alignment horizontal="center"/>
    </xf>
    <xf numFmtId="2" fontId="19" fillId="41" borderId="0" xfId="0" applyNumberFormat="1" applyFont="1" applyFill="1" applyBorder="1" applyAlignment="1">
      <alignment horizontal="center"/>
    </xf>
    <xf numFmtId="2" fontId="16" fillId="34" borderId="25" xfId="0" applyNumberFormat="1" applyFont="1" applyFill="1" applyBorder="1" applyAlignment="1">
      <alignment horizontal="center"/>
    </xf>
    <xf numFmtId="165" fontId="29" fillId="34" borderId="10" xfId="0" applyNumberFormat="1" applyFont="1" applyFill="1" applyBorder="1" applyAlignment="1">
      <alignment horizontal="center"/>
    </xf>
    <xf numFmtId="2" fontId="0" fillId="34" borderId="0" xfId="0" applyNumberFormat="1" applyFont="1" applyFill="1" applyBorder="1" applyAlignment="1">
      <alignment horizontal="center"/>
    </xf>
    <xf numFmtId="170" fontId="0" fillId="0" borderId="0" xfId="0" applyNumberFormat="1" applyAlignment="1">
      <alignment horizontal="right"/>
    </xf>
    <xf numFmtId="0" fontId="0" fillId="0" borderId="0" xfId="0" applyFont="1" applyFill="1" applyAlignment="1">
      <alignment horizontal="left"/>
    </xf>
    <xf numFmtId="0" fontId="0" fillId="0" borderId="16" xfId="0" applyBorder="1" applyAlignment="1">
      <alignment horizontal="center"/>
    </xf>
    <xf numFmtId="0" fontId="0" fillId="0" borderId="0"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31" xfId="0" applyBorder="1" applyAlignment="1">
      <alignment horizontal="center"/>
    </xf>
    <xf numFmtId="0" fontId="0" fillId="37" borderId="16" xfId="0" applyFill="1" applyBorder="1" applyAlignment="1">
      <alignment horizontal="center"/>
    </xf>
    <xf numFmtId="0" fontId="0" fillId="37" borderId="0" xfId="0" applyFill="1" applyBorder="1" applyAlignment="1">
      <alignment horizontal="center"/>
    </xf>
    <xf numFmtId="0" fontId="0" fillId="37" borderId="17" xfId="0" applyFill="1" applyBorder="1" applyAlignment="1">
      <alignment horizontal="center"/>
    </xf>
    <xf numFmtId="0" fontId="0" fillId="37" borderId="30" xfId="0" applyFill="1" applyBorder="1"/>
    <xf numFmtId="0" fontId="16" fillId="37" borderId="16" xfId="0" applyFont="1" applyFill="1" applyBorder="1"/>
    <xf numFmtId="168" fontId="0" fillId="37" borderId="0" xfId="0" applyNumberFormat="1" applyFill="1" applyBorder="1" applyAlignment="1">
      <alignment horizontal="center"/>
    </xf>
    <xf numFmtId="168" fontId="0" fillId="37" borderId="17" xfId="0" applyNumberFormat="1" applyFill="1" applyBorder="1" applyAlignment="1">
      <alignment horizontal="center"/>
    </xf>
    <xf numFmtId="0" fontId="16" fillId="37" borderId="18" xfId="0" applyFont="1" applyFill="1" applyBorder="1"/>
    <xf numFmtId="168" fontId="0" fillId="37" borderId="19" xfId="0" applyNumberFormat="1" applyFill="1" applyBorder="1" applyAlignment="1">
      <alignment horizontal="center"/>
    </xf>
    <xf numFmtId="168" fontId="0" fillId="37" borderId="31" xfId="0" applyNumberFormat="1" applyFill="1" applyBorder="1" applyAlignment="1">
      <alignment horizontal="center"/>
    </xf>
    <xf numFmtId="0" fontId="0" fillId="37" borderId="18" xfId="0" applyFill="1" applyBorder="1" applyAlignment="1">
      <alignment horizontal="center"/>
    </xf>
    <xf numFmtId="0" fontId="0" fillId="37" borderId="19" xfId="0" applyFill="1" applyBorder="1" applyAlignment="1">
      <alignment horizontal="center"/>
    </xf>
    <xf numFmtId="0" fontId="16" fillId="37" borderId="47" xfId="0" applyFont="1" applyFill="1" applyBorder="1" applyAlignment="1">
      <alignment horizontal="center"/>
    </xf>
    <xf numFmtId="0" fontId="16" fillId="37" borderId="48" xfId="0" applyFont="1" applyFill="1" applyBorder="1" applyAlignment="1">
      <alignment horizontal="center"/>
    </xf>
    <xf numFmtId="0" fontId="16" fillId="37" borderId="49" xfId="0" applyFont="1" applyFill="1" applyBorder="1" applyAlignment="1">
      <alignment horizontal="center"/>
    </xf>
    <xf numFmtId="0" fontId="16" fillId="37" borderId="50" xfId="0" applyFont="1" applyFill="1" applyBorder="1" applyAlignment="1">
      <alignment horizontal="center"/>
    </xf>
    <xf numFmtId="164" fontId="0" fillId="37" borderId="51" xfId="0" applyNumberFormat="1" applyFill="1" applyBorder="1" applyAlignment="1">
      <alignment horizontal="center"/>
    </xf>
    <xf numFmtId="164" fontId="0" fillId="37" borderId="52" xfId="0" applyNumberFormat="1" applyFill="1" applyBorder="1" applyAlignment="1">
      <alignment horizontal="center"/>
    </xf>
    <xf numFmtId="2" fontId="16" fillId="37" borderId="23" xfId="0" applyNumberFormat="1" applyFont="1" applyFill="1" applyBorder="1" applyAlignment="1">
      <alignment horizontal="center"/>
    </xf>
    <xf numFmtId="0" fontId="0" fillId="0" borderId="16" xfId="0" applyBorder="1" applyAlignment="1">
      <alignment horizontal="right"/>
    </xf>
    <xf numFmtId="0" fontId="0" fillId="0" borderId="0" xfId="0" applyBorder="1" applyAlignment="1">
      <alignment horizontal="right"/>
    </xf>
    <xf numFmtId="0" fontId="0" fillId="0" borderId="17" xfId="0" applyBorder="1" applyAlignment="1">
      <alignment horizontal="right"/>
    </xf>
    <xf numFmtId="0" fontId="19" fillId="0" borderId="0" xfId="0" applyFont="1" applyFill="1" applyBorder="1" applyAlignment="1">
      <alignment horizontal="right"/>
    </xf>
    <xf numFmtId="0" fontId="0" fillId="0" borderId="0" xfId="0" applyFont="1" applyFill="1" applyBorder="1" applyAlignment="1">
      <alignment horizontal="right"/>
    </xf>
    <xf numFmtId="0" fontId="16" fillId="0" borderId="0" xfId="0" applyFont="1" applyFill="1" applyBorder="1" applyAlignment="1">
      <alignment horizontal="left" wrapText="1"/>
    </xf>
    <xf numFmtId="0" fontId="16" fillId="0" borderId="17" xfId="0" applyFont="1" applyFill="1" applyBorder="1" applyAlignment="1">
      <alignment horizontal="left" wrapText="1"/>
    </xf>
    <xf numFmtId="0" fontId="0" fillId="0" borderId="11" xfId="0" applyBorder="1" applyAlignment="1">
      <alignment horizontal="center"/>
    </xf>
    <xf numFmtId="166" fontId="0" fillId="33" borderId="0" xfId="0" applyNumberFormat="1" applyFill="1" applyBorder="1" applyAlignment="1">
      <alignment horizontal="center"/>
    </xf>
    <xf numFmtId="2" fontId="0" fillId="33" borderId="0" xfId="0" applyNumberFormat="1" applyFill="1" applyBorder="1" applyAlignment="1">
      <alignment horizontal="center"/>
    </xf>
    <xf numFmtId="2" fontId="16" fillId="33" borderId="44" xfId="0" applyNumberFormat="1" applyFont="1" applyFill="1" applyBorder="1" applyAlignment="1">
      <alignment horizontal="center"/>
    </xf>
    <xf numFmtId="0" fontId="0" fillId="37" borderId="16" xfId="0" applyFont="1" applyFill="1" applyBorder="1" applyAlignment="1">
      <alignment horizontal="left" wrapText="1" indent="9"/>
    </xf>
    <xf numFmtId="0" fontId="0" fillId="37" borderId="0" xfId="0" applyFill="1" applyBorder="1" applyAlignment="1">
      <alignment horizontal="left" wrapText="1" indent="9"/>
    </xf>
    <xf numFmtId="0" fontId="0" fillId="37" borderId="16" xfId="0" applyFill="1" applyBorder="1" applyAlignment="1">
      <alignment horizontal="left" wrapText="1" indent="8"/>
    </xf>
    <xf numFmtId="0" fontId="0" fillId="37" borderId="0" xfId="0" applyFill="1" applyBorder="1" applyAlignment="1">
      <alignment horizontal="left" wrapText="1" indent="8"/>
    </xf>
    <xf numFmtId="0" fontId="0" fillId="0" borderId="16" xfId="0" applyFont="1" applyFill="1" applyBorder="1" applyAlignment="1">
      <alignment horizontal="left" vertical="center" wrapText="1" indent="4"/>
    </xf>
    <xf numFmtId="0" fontId="0" fillId="0" borderId="0" xfId="0" applyFont="1" applyFill="1" applyBorder="1" applyAlignment="1">
      <alignment horizontal="left" vertical="center" wrapText="1" indent="4"/>
    </xf>
    <xf numFmtId="0" fontId="0" fillId="0" borderId="17" xfId="0" applyFont="1" applyFill="1" applyBorder="1" applyAlignment="1">
      <alignment horizontal="left" vertical="center" wrapText="1" indent="4"/>
    </xf>
    <xf numFmtId="0" fontId="0" fillId="0" borderId="34" xfId="0" applyBorder="1" applyAlignment="1">
      <alignment horizontal="center"/>
    </xf>
    <xf numFmtId="0" fontId="0" fillId="0" borderId="0" xfId="0" applyAlignment="1">
      <alignment vertical="center"/>
    </xf>
    <xf numFmtId="0" fontId="16" fillId="40" borderId="0" xfId="0" applyFont="1" applyFill="1" applyAlignment="1">
      <alignment horizontal="left" vertical="center"/>
    </xf>
    <xf numFmtId="0" fontId="0" fillId="0" borderId="0" xfId="0" applyBorder="1" applyAlignment="1">
      <alignment vertical="center"/>
    </xf>
    <xf numFmtId="0" fontId="16" fillId="39" borderId="24" xfId="0" quotePrefix="1" applyFont="1" applyFill="1" applyBorder="1" applyAlignment="1">
      <alignment horizontal="center"/>
    </xf>
    <xf numFmtId="0" fontId="18" fillId="39" borderId="10" xfId="0" applyFont="1" applyFill="1" applyBorder="1" applyAlignment="1">
      <alignment horizontal="center" vertical="center"/>
    </xf>
    <xf numFmtId="0" fontId="52" fillId="33" borderId="0" xfId="0" applyFont="1" applyFill="1" applyAlignment="1">
      <alignment horizontal="center"/>
    </xf>
    <xf numFmtId="0" fontId="18" fillId="33" borderId="24" xfId="0" applyFont="1" applyFill="1" applyBorder="1" applyAlignment="1">
      <alignment horizontal="center" vertical="center"/>
    </xf>
    <xf numFmtId="165" fontId="16" fillId="33" borderId="23" xfId="0" applyNumberFormat="1" applyFont="1" applyFill="1" applyBorder="1" applyAlignment="1">
      <alignment horizontal="center"/>
    </xf>
    <xf numFmtId="0" fontId="16" fillId="39" borderId="11" xfId="0" applyFont="1" applyFill="1" applyBorder="1" applyAlignment="1">
      <alignment horizontal="left" vertical="top" wrapText="1"/>
    </xf>
    <xf numFmtId="0" fontId="16" fillId="39" borderId="13" xfId="0" applyFont="1" applyFill="1" applyBorder="1" applyAlignment="1">
      <alignment horizontal="left" vertical="top" wrapText="1"/>
    </xf>
    <xf numFmtId="0" fontId="0" fillId="0" borderId="0" xfId="0" applyAlignment="1">
      <alignment horizontal="center" vertical="center"/>
    </xf>
    <xf numFmtId="0" fontId="16" fillId="0" borderId="0" xfId="0" applyFont="1" applyFill="1" applyAlignment="1">
      <alignment horizontal="left" vertical="center"/>
    </xf>
    <xf numFmtId="0" fontId="0" fillId="0" borderId="11" xfId="0" applyFill="1" applyBorder="1" applyAlignment="1">
      <alignment horizontal="center" vertical="center"/>
    </xf>
    <xf numFmtId="0" fontId="16" fillId="33" borderId="28" xfId="0" applyFont="1" applyFill="1" applyBorder="1" applyAlignment="1">
      <alignment horizontal="center"/>
    </xf>
    <xf numFmtId="0" fontId="16" fillId="33" borderId="46" xfId="0" applyFont="1" applyFill="1" applyBorder="1" applyAlignment="1">
      <alignment horizontal="center"/>
    </xf>
    <xf numFmtId="164" fontId="16" fillId="39" borderId="0" xfId="0" applyNumberFormat="1" applyFont="1" applyFill="1" applyBorder="1" applyAlignment="1">
      <alignment horizontal="center"/>
    </xf>
    <xf numFmtId="0" fontId="16" fillId="39" borderId="0" xfId="0" applyFont="1" applyFill="1" applyBorder="1" applyAlignment="1">
      <alignment horizontal="left"/>
    </xf>
    <xf numFmtId="0" fontId="0" fillId="0" borderId="0" xfId="0" applyBorder="1" applyAlignment="1">
      <alignment horizontal="left"/>
    </xf>
    <xf numFmtId="0" fontId="16" fillId="33" borderId="0" xfId="0" applyFont="1" applyFill="1" applyBorder="1" applyAlignment="1">
      <alignment horizontal="left"/>
    </xf>
    <xf numFmtId="0" fontId="16" fillId="39" borderId="10" xfId="0" applyFont="1" applyFill="1" applyBorder="1" applyAlignment="1">
      <alignment horizontal="center"/>
    </xf>
    <xf numFmtId="0" fontId="16" fillId="33" borderId="29" xfId="0" applyFont="1" applyFill="1" applyBorder="1" applyAlignment="1">
      <alignment horizontal="center"/>
    </xf>
    <xf numFmtId="2" fontId="16" fillId="33" borderId="53" xfId="0" applyNumberFormat="1" applyFont="1" applyFill="1" applyBorder="1" applyAlignment="1">
      <alignment horizontal="center"/>
    </xf>
    <xf numFmtId="0" fontId="0" fillId="0" borderId="27" xfId="0" applyBorder="1" applyAlignment="1">
      <alignment horizontal="center"/>
    </xf>
    <xf numFmtId="0" fontId="0" fillId="0" borderId="40" xfId="0" applyBorder="1" applyAlignment="1">
      <alignment horizontal="center"/>
    </xf>
    <xf numFmtId="0" fontId="0" fillId="0" borderId="54" xfId="0" applyBorder="1" applyAlignment="1">
      <alignment horizontal="center"/>
    </xf>
    <xf numFmtId="0" fontId="0" fillId="0" borderId="55" xfId="0" applyBorder="1" applyAlignment="1">
      <alignment horizontal="center"/>
    </xf>
    <xf numFmtId="166" fontId="0" fillId="33" borderId="34" xfId="0" applyNumberFormat="1" applyFill="1" applyBorder="1" applyAlignment="1">
      <alignment horizontal="center"/>
    </xf>
    <xf numFmtId="164" fontId="0" fillId="39" borderId="0" xfId="0" applyNumberFormat="1" applyFill="1" applyBorder="1" applyAlignment="1">
      <alignment horizontal="center"/>
    </xf>
    <xf numFmtId="164" fontId="0" fillId="39" borderId="34" xfId="0" applyNumberFormat="1" applyFill="1" applyBorder="1" applyAlignment="1">
      <alignment horizontal="center"/>
    </xf>
    <xf numFmtId="164" fontId="16" fillId="39" borderId="54" xfId="0" applyNumberFormat="1" applyFont="1" applyFill="1" applyBorder="1" applyAlignment="1">
      <alignment horizontal="center"/>
    </xf>
    <xf numFmtId="0" fontId="0" fillId="39" borderId="54" xfId="0" applyFill="1" applyBorder="1" applyAlignment="1">
      <alignment horizontal="left"/>
    </xf>
    <xf numFmtId="164" fontId="0" fillId="39" borderId="54" xfId="0" applyNumberFormat="1" applyFill="1" applyBorder="1" applyAlignment="1">
      <alignment horizontal="center"/>
    </xf>
    <xf numFmtId="164" fontId="0" fillId="39" borderId="55" xfId="0" applyNumberFormat="1" applyFill="1" applyBorder="1" applyAlignment="1">
      <alignment horizontal="center"/>
    </xf>
    <xf numFmtId="0" fontId="16" fillId="33" borderId="34" xfId="0" applyFont="1" applyFill="1" applyBorder="1" applyAlignment="1">
      <alignment horizontal="left"/>
    </xf>
    <xf numFmtId="2" fontId="0" fillId="33" borderId="34" xfId="0" applyNumberFormat="1" applyFill="1" applyBorder="1" applyAlignment="1">
      <alignment horizontal="center"/>
    </xf>
    <xf numFmtId="2" fontId="16" fillId="33" borderId="12" xfId="0" applyNumberFormat="1" applyFont="1" applyFill="1" applyBorder="1" applyAlignment="1">
      <alignment horizontal="center"/>
    </xf>
    <xf numFmtId="2" fontId="16" fillId="33" borderId="43" xfId="0" applyNumberFormat="1" applyFont="1" applyFill="1" applyBorder="1" applyAlignment="1">
      <alignment horizontal="center"/>
    </xf>
    <xf numFmtId="0" fontId="48" fillId="33" borderId="28" xfId="0" applyFont="1" applyFill="1" applyBorder="1" applyAlignment="1">
      <alignment horizontal="center"/>
    </xf>
    <xf numFmtId="0" fontId="16" fillId="0" borderId="15" xfId="0" applyFont="1" applyBorder="1" applyAlignment="1">
      <alignment horizontal="center"/>
    </xf>
    <xf numFmtId="0" fontId="0" fillId="42" borderId="17" xfId="0" applyFill="1" applyBorder="1" applyAlignment="1">
      <alignment horizontal="center"/>
    </xf>
    <xf numFmtId="0" fontId="0" fillId="35" borderId="17" xfId="0" applyFill="1" applyBorder="1" applyAlignment="1">
      <alignment horizontal="center"/>
    </xf>
    <xf numFmtId="0" fontId="0" fillId="34" borderId="17" xfId="0" applyFill="1" applyBorder="1" applyAlignment="1">
      <alignment horizontal="center"/>
    </xf>
    <xf numFmtId="0" fontId="55" fillId="39" borderId="36" xfId="0" applyFont="1" applyFill="1" applyBorder="1" applyAlignment="1">
      <alignment horizontal="center"/>
    </xf>
    <xf numFmtId="0" fontId="55" fillId="39" borderId="0" xfId="0" applyFont="1" applyFill="1" applyAlignment="1">
      <alignment horizontal="center"/>
    </xf>
    <xf numFmtId="0" fontId="56" fillId="39" borderId="0" xfId="0" applyFont="1" applyFill="1" applyAlignment="1">
      <alignment horizontal="center"/>
    </xf>
    <xf numFmtId="0" fontId="58" fillId="0" borderId="0" xfId="0" applyFont="1"/>
    <xf numFmtId="0" fontId="16" fillId="0" borderId="47" xfId="0" applyFont="1" applyBorder="1" applyAlignment="1">
      <alignment horizontal="center"/>
    </xf>
    <xf numFmtId="2" fontId="16" fillId="0" borderId="56" xfId="0" applyNumberFormat="1" applyFont="1" applyBorder="1" applyAlignment="1">
      <alignment horizontal="center"/>
    </xf>
    <xf numFmtId="0" fontId="16" fillId="0" borderId="48" xfId="0" applyFont="1" applyBorder="1" applyAlignment="1">
      <alignment horizontal="center"/>
    </xf>
    <xf numFmtId="0" fontId="16" fillId="40" borderId="30" xfId="0" applyFont="1" applyFill="1" applyBorder="1" applyAlignment="1">
      <alignment horizontal="center" vertical="center" wrapText="1"/>
    </xf>
    <xf numFmtId="0" fontId="16" fillId="40" borderId="11" xfId="0" applyFont="1" applyFill="1" applyBorder="1" applyAlignment="1">
      <alignment horizontal="center" vertical="center" wrapText="1"/>
    </xf>
    <xf numFmtId="0" fontId="16" fillId="40" borderId="13" xfId="0" applyFont="1" applyFill="1" applyBorder="1" applyAlignment="1">
      <alignment horizontal="center" vertical="center" wrapText="1"/>
    </xf>
    <xf numFmtId="0" fontId="16" fillId="40" borderId="16" xfId="0" applyFont="1" applyFill="1" applyBorder="1" applyAlignment="1">
      <alignment horizontal="center" vertical="center" wrapText="1"/>
    </xf>
    <xf numFmtId="0" fontId="16" fillId="40" borderId="0" xfId="0" applyFont="1" applyFill="1" applyBorder="1" applyAlignment="1">
      <alignment horizontal="center" vertical="center" wrapText="1"/>
    </xf>
    <xf numFmtId="0" fontId="16" fillId="40" borderId="17" xfId="0" applyFont="1" applyFill="1" applyBorder="1" applyAlignment="1">
      <alignment horizontal="center" vertical="center" wrapText="1"/>
    </xf>
    <xf numFmtId="0" fontId="0" fillId="37" borderId="16" xfId="0" applyFill="1" applyBorder="1" applyAlignment="1">
      <alignment horizontal="left" wrapText="1" indent="2"/>
    </xf>
    <xf numFmtId="0" fontId="0" fillId="37" borderId="0" xfId="0" applyFill="1" applyBorder="1" applyAlignment="1">
      <alignment horizontal="left" wrapText="1" indent="2"/>
    </xf>
    <xf numFmtId="0" fontId="0" fillId="37" borderId="32" xfId="0" applyFill="1" applyBorder="1" applyAlignment="1">
      <alignment horizontal="left" wrapText="1" indent="2"/>
    </xf>
    <xf numFmtId="0" fontId="0" fillId="37" borderId="16" xfId="0" applyFill="1" applyBorder="1" applyAlignment="1">
      <alignment horizontal="center" wrapText="1"/>
    </xf>
    <xf numFmtId="0" fontId="0" fillId="37" borderId="0" xfId="0" applyFill="1" applyBorder="1" applyAlignment="1">
      <alignment horizontal="center" wrapText="1"/>
    </xf>
    <xf numFmtId="0" fontId="16" fillId="40" borderId="30" xfId="0" applyFont="1" applyFill="1" applyBorder="1" applyAlignment="1">
      <alignment horizontal="left" vertical="center"/>
    </xf>
    <xf numFmtId="0" fontId="0" fillId="40" borderId="11" xfId="0" applyFill="1" applyBorder="1" applyAlignment="1">
      <alignment horizontal="left" vertical="center"/>
    </xf>
    <xf numFmtId="0" fontId="50" fillId="0" borderId="0" xfId="49" applyBorder="1" applyAlignment="1">
      <alignment horizontal="center" vertical="center"/>
    </xf>
    <xf numFmtId="0" fontId="16" fillId="40" borderId="0" xfId="0" applyFont="1" applyFill="1" applyAlignment="1">
      <alignment horizontal="left" vertical="center"/>
    </xf>
    <xf numFmtId="0" fontId="18" fillId="36" borderId="22" xfId="0" applyFont="1" applyFill="1" applyBorder="1" applyAlignment="1">
      <alignment horizontal="center"/>
    </xf>
    <xf numFmtId="0" fontId="16" fillId="0" borderId="35" xfId="0" applyFont="1" applyBorder="1" applyAlignment="1">
      <alignment horizontal="center"/>
    </xf>
    <xf numFmtId="0" fontId="18" fillId="35" borderId="34" xfId="0" applyFont="1" applyFill="1" applyBorder="1" applyAlignment="1">
      <alignment horizontal="center"/>
    </xf>
    <xf numFmtId="0" fontId="16" fillId="0" borderId="34" xfId="0" applyFont="1" applyBorder="1" applyAlignment="1">
      <alignment horizontal="center"/>
    </xf>
    <xf numFmtId="0" fontId="16" fillId="36" borderId="19" xfId="0" applyFont="1" applyFill="1" applyBorder="1" applyAlignment="1">
      <alignment horizontal="center"/>
    </xf>
    <xf numFmtId="0" fontId="0" fillId="36" borderId="19" xfId="0" applyFill="1" applyBorder="1" applyAlignment="1">
      <alignment horizontal="center"/>
    </xf>
    <xf numFmtId="0" fontId="18" fillId="36" borderId="45" xfId="0" applyFont="1" applyFill="1" applyBorder="1" applyAlignment="1">
      <alignment horizontal="center"/>
    </xf>
    <xf numFmtId="0" fontId="18" fillId="36" borderId="41" xfId="0" applyFont="1" applyFill="1" applyBorder="1" applyAlignment="1">
      <alignment horizontal="center"/>
    </xf>
    <xf numFmtId="0" fontId="18" fillId="36" borderId="35" xfId="0" applyFont="1" applyFill="1" applyBorder="1" applyAlignment="1">
      <alignment horizontal="center"/>
    </xf>
    <xf numFmtId="0" fontId="41" fillId="35" borderId="0" xfId="0" applyFont="1" applyFill="1" applyAlignment="1">
      <alignment horizontal="center"/>
    </xf>
    <xf numFmtId="0" fontId="18" fillId="41" borderId="39" xfId="0" applyFont="1" applyFill="1" applyBorder="1" applyAlignment="1">
      <alignment horizontal="center"/>
    </xf>
    <xf numFmtId="0" fontId="18" fillId="41" borderId="34" xfId="0" applyFont="1" applyFill="1" applyBorder="1" applyAlignment="1">
      <alignment horizontal="center"/>
    </xf>
    <xf numFmtId="0" fontId="16" fillId="35" borderId="0" xfId="0" applyFont="1" applyFill="1" applyAlignment="1">
      <alignment horizontal="center"/>
    </xf>
    <xf numFmtId="0" fontId="0" fillId="0" borderId="0" xfId="0" applyAlignment="1">
      <alignment horizontal="center"/>
    </xf>
    <xf numFmtId="0" fontId="18" fillId="37" borderId="34" xfId="0" applyFont="1" applyFill="1" applyBorder="1" applyAlignment="1">
      <alignment horizontal="center"/>
    </xf>
    <xf numFmtId="0" fontId="16" fillId="33" borderId="30" xfId="0" applyFont="1" applyFill="1" applyBorder="1" applyAlignment="1">
      <alignment horizontal="center"/>
    </xf>
    <xf numFmtId="0" fontId="0" fillId="33" borderId="11" xfId="0" applyFill="1" applyBorder="1" applyAlignment="1">
      <alignment horizontal="center"/>
    </xf>
    <xf numFmtId="0" fontId="0" fillId="33" borderId="13" xfId="0" applyFill="1" applyBorder="1" applyAlignment="1">
      <alignment horizontal="center"/>
    </xf>
    <xf numFmtId="0" fontId="16" fillId="40" borderId="0" xfId="0" applyFont="1" applyFill="1" applyAlignment="1">
      <alignment horizontal="left"/>
    </xf>
    <xf numFmtId="0" fontId="0" fillId="0" borderId="0" xfId="0" applyAlignment="1">
      <alignment horizontal="left"/>
    </xf>
    <xf numFmtId="0" fontId="41" fillId="37" borderId="0" xfId="0" applyFont="1" applyFill="1" applyAlignment="1">
      <alignment horizontal="center"/>
    </xf>
    <xf numFmtId="0" fontId="0" fillId="0" borderId="0" xfId="0" applyAlignment="1">
      <alignment horizontal="left" vertical="top" wrapText="1" indent="1" readingOrder="1"/>
    </xf>
    <xf numFmtId="0" fontId="0" fillId="0" borderId="0" xfId="0" applyAlignment="1">
      <alignment horizontal="left" vertical="top" wrapText="1" indent="1"/>
    </xf>
    <xf numFmtId="0" fontId="0" fillId="0" borderId="0" xfId="0" applyAlignment="1">
      <alignment horizontal="left" wrapText="1" indent="1"/>
    </xf>
    <xf numFmtId="0" fontId="16" fillId="40" borderId="34" xfId="0" applyFont="1" applyFill="1" applyBorder="1" applyAlignment="1">
      <alignment horizontal="left"/>
    </xf>
    <xf numFmtId="0" fontId="0" fillId="0" borderId="0" xfId="0" applyAlignment="1">
      <alignment horizontal="right"/>
    </xf>
    <xf numFmtId="0" fontId="0" fillId="0" borderId="0" xfId="0" quotePrefix="1" applyAlignment="1">
      <alignment horizontal="center"/>
    </xf>
    <xf numFmtId="0" fontId="16" fillId="37" borderId="0" xfId="0" applyFont="1" applyFill="1" applyAlignment="1">
      <alignment horizontal="center"/>
    </xf>
    <xf numFmtId="0" fontId="19" fillId="36" borderId="22" xfId="0" applyFont="1" applyFill="1" applyBorder="1" applyAlignment="1">
      <alignment horizontal="center"/>
    </xf>
    <xf numFmtId="0" fontId="0" fillId="0" borderId="35" xfId="0" applyBorder="1" applyAlignment="1">
      <alignment horizontal="center"/>
    </xf>
    <xf numFmtId="0" fontId="16" fillId="41" borderId="34" xfId="0" applyFont="1" applyFill="1" applyBorder="1" applyAlignment="1">
      <alignment horizontal="center"/>
    </xf>
    <xf numFmtId="0" fontId="19" fillId="35" borderId="34" xfId="0" applyFont="1" applyFill="1" applyBorder="1" applyAlignment="1">
      <alignment horizontal="center"/>
    </xf>
    <xf numFmtId="0" fontId="0" fillId="0" borderId="34" xfId="0" applyBorder="1" applyAlignment="1">
      <alignment horizontal="center"/>
    </xf>
    <xf numFmtId="0" fontId="19" fillId="37" borderId="34" xfId="0" applyFont="1" applyFill="1" applyBorder="1" applyAlignment="1">
      <alignment horizontal="center"/>
    </xf>
    <xf numFmtId="0" fontId="48" fillId="33" borderId="30" xfId="0" applyFont="1" applyFill="1" applyBorder="1" applyAlignment="1">
      <alignment horizontal="center"/>
    </xf>
    <xf numFmtId="0" fontId="48" fillId="33" borderId="11" xfId="0" applyFont="1" applyFill="1" applyBorder="1" applyAlignment="1">
      <alignment horizontal="center"/>
    </xf>
    <xf numFmtId="0" fontId="48" fillId="33" borderId="13" xfId="0" applyFont="1" applyFill="1" applyBorder="1" applyAlignment="1">
      <alignment horizontal="center"/>
    </xf>
    <xf numFmtId="0" fontId="16" fillId="44" borderId="30" xfId="0" applyFont="1" applyFill="1" applyBorder="1" applyAlignment="1">
      <alignment horizontal="center" vertical="center" wrapText="1"/>
    </xf>
    <xf numFmtId="0" fontId="16" fillId="44" borderId="11" xfId="0" applyFont="1" applyFill="1" applyBorder="1" applyAlignment="1">
      <alignment horizontal="center" vertical="center" wrapText="1"/>
    </xf>
    <xf numFmtId="0" fontId="16" fillId="44" borderId="13" xfId="0" applyFont="1" applyFill="1" applyBorder="1" applyAlignment="1">
      <alignment horizontal="center" vertical="center" wrapText="1"/>
    </xf>
    <xf numFmtId="0" fontId="16" fillId="44" borderId="16" xfId="0" applyFont="1" applyFill="1" applyBorder="1" applyAlignment="1">
      <alignment horizontal="center" vertical="center" wrapText="1"/>
    </xf>
    <xf numFmtId="0" fontId="16" fillId="44" borderId="0" xfId="0" applyFont="1" applyFill="1" applyBorder="1" applyAlignment="1">
      <alignment horizontal="center" vertical="center" wrapText="1"/>
    </xf>
    <xf numFmtId="0" fontId="16" fillId="44" borderId="17" xfId="0" applyFont="1" applyFill="1" applyBorder="1" applyAlignment="1">
      <alignment horizontal="center" vertical="center" wrapText="1"/>
    </xf>
    <xf numFmtId="0" fontId="16" fillId="44" borderId="18" xfId="0" applyFont="1" applyFill="1" applyBorder="1" applyAlignment="1">
      <alignment horizontal="center" vertical="center" wrapText="1"/>
    </xf>
    <xf numFmtId="0" fontId="16" fillId="44" borderId="19" xfId="0" applyFont="1" applyFill="1" applyBorder="1" applyAlignment="1">
      <alignment horizontal="center" vertical="center" wrapText="1"/>
    </xf>
    <xf numFmtId="0" fontId="16" fillId="44" borderId="31" xfId="0" applyFont="1" applyFill="1" applyBorder="1" applyAlignment="1">
      <alignment horizontal="center" vertical="center" wrapText="1"/>
    </xf>
    <xf numFmtId="0" fontId="56" fillId="39" borderId="12" xfId="0" applyFont="1" applyFill="1" applyBorder="1" applyAlignment="1">
      <alignment horizontal="center"/>
    </xf>
    <xf numFmtId="0" fontId="56" fillId="39" borderId="11" xfId="0" applyFont="1" applyFill="1" applyBorder="1" applyAlignment="1">
      <alignment horizontal="center"/>
    </xf>
    <xf numFmtId="2" fontId="14" fillId="36" borderId="0" xfId="0" applyNumberFormat="1" applyFont="1" applyFill="1" applyBorder="1" applyAlignment="1">
      <alignment horizontal="center"/>
    </xf>
    <xf numFmtId="0" fontId="55" fillId="39" borderId="30" xfId="0" applyFont="1" applyFill="1" applyBorder="1" applyAlignment="1">
      <alignment horizontal="center"/>
    </xf>
    <xf numFmtId="0" fontId="0" fillId="0" borderId="16" xfId="0" applyFont="1" applyFill="1" applyBorder="1" applyAlignment="1">
      <alignment horizontal="left" vertical="center" wrapText="1"/>
    </xf>
    <xf numFmtId="0" fontId="0" fillId="0" borderId="0" xfId="0" applyFont="1" applyFill="1" applyBorder="1" applyAlignment="1">
      <alignment horizontal="left" vertical="center" wrapText="1"/>
    </xf>
    <xf numFmtId="0" fontId="0" fillId="0" borderId="17" xfId="0" applyFont="1" applyFill="1" applyBorder="1" applyAlignment="1">
      <alignment horizontal="left" vertical="center" wrapText="1"/>
    </xf>
    <xf numFmtId="2" fontId="55" fillId="39" borderId="23" xfId="0" applyNumberFormat="1" applyFont="1" applyFill="1" applyBorder="1" applyAlignment="1">
      <alignment horizontal="center"/>
    </xf>
    <xf numFmtId="164" fontId="56" fillId="39" borderId="26" xfId="0" applyNumberFormat="1" applyFont="1" applyFill="1" applyBorder="1" applyAlignment="1">
      <alignment horizontal="center"/>
    </xf>
  </cellXfs>
  <cellStyles count="5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xfId="44"/>
    <cellStyle name="Heading 1" xfId="2" builtinId="16" customBuiltin="1"/>
    <cellStyle name="Heading 2" xfId="3" builtinId="17" customBuiltin="1"/>
    <cellStyle name="Heading 3" xfId="4" builtinId="18" customBuiltin="1"/>
    <cellStyle name="Heading 4" xfId="5" builtinId="19" customBuiltin="1"/>
    <cellStyle name="Heading1" xfId="45"/>
    <cellStyle name="Hyperlink" xfId="49" builtinId="8"/>
    <cellStyle name="Input" xfId="9" builtinId="20" customBuiltin="1"/>
    <cellStyle name="Linked Cell" xfId="12" builtinId="24" customBuiltin="1"/>
    <cellStyle name="Neutral" xfId="8" builtinId="28" customBuiltin="1"/>
    <cellStyle name="Normal" xfId="0" builtinId="0"/>
    <cellStyle name="Normal 2" xfId="43"/>
    <cellStyle name="Normal 2 2" xfId="48"/>
    <cellStyle name="Note" xfId="15" builtinId="10" customBuiltin="1"/>
    <cellStyle name="Output" xfId="10" builtinId="21" customBuiltin="1"/>
    <cellStyle name="Percent" xfId="42" builtinId="5"/>
    <cellStyle name="Result" xfId="46"/>
    <cellStyle name="Result2" xfId="47"/>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656974081147632"/>
          <c:y val="0.21615867612581524"/>
          <c:w val="0.84681129454479354"/>
          <c:h val="0.72578334563595914"/>
        </c:manualLayout>
      </c:layout>
      <c:scatterChart>
        <c:scatterStyle val="lineMarker"/>
        <c:varyColors val="0"/>
        <c:ser>
          <c:idx val="0"/>
          <c:order val="0"/>
          <c:tx>
            <c:strRef>
              <c:f>'Q.2, 3, 5'!$B$5</c:f>
              <c:strCache>
                <c:ptCount val="1"/>
                <c:pt idx="0">
                  <c:v>FE</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3.7127097974623782E-2"/>
                  <c:y val="-0.67488822025041362"/>
                </c:manualLayout>
              </c:layout>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baseline="0"/>
                      <a:t>y = -4.5209x + 50.563</a:t>
                    </a:r>
                    <a:br>
                      <a:rPr lang="en-US" sz="1200" b="1" baseline="0"/>
                    </a:br>
                    <a:r>
                      <a:rPr lang="en-US" sz="1200" b="1" baseline="0"/>
                      <a:t>R² = 0.62</a:t>
                    </a:r>
                    <a:endParaRPr lang="en-US" sz="1200" b="1"/>
                  </a:p>
                </c:rich>
              </c:tx>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trendline>
            <c:spPr>
              <a:ln w="19050" cap="rnd">
                <a:solidFill>
                  <a:srgbClr val="C00000"/>
                </a:solidFill>
                <a:prstDash val="solid"/>
              </a:ln>
              <a:effectLst/>
            </c:spPr>
            <c:trendlineType val="linear"/>
            <c:dispRSqr val="0"/>
            <c:dispEq val="0"/>
          </c:trendline>
          <c:xVal>
            <c:numRef>
              <c:f>'Q.2, 3, 5'!$A$6:$A$1112</c:f>
              <c:numCache>
                <c:formatCode>0.00</c:formatCode>
                <c:ptCount val="1107"/>
                <c:pt idx="0">
                  <c:v>4.7</c:v>
                </c:pt>
                <c:pt idx="1">
                  <c:v>4.7</c:v>
                </c:pt>
                <c:pt idx="2">
                  <c:v>4.2</c:v>
                </c:pt>
                <c:pt idx="3">
                  <c:v>4.2</c:v>
                </c:pt>
                <c:pt idx="4">
                  <c:v>5.2</c:v>
                </c:pt>
                <c:pt idx="5">
                  <c:v>5.2</c:v>
                </c:pt>
                <c:pt idx="6">
                  <c:v>2</c:v>
                </c:pt>
                <c:pt idx="7">
                  <c:v>6</c:v>
                </c:pt>
                <c:pt idx="8">
                  <c:v>3</c:v>
                </c:pt>
                <c:pt idx="9">
                  <c:v>3</c:v>
                </c:pt>
                <c:pt idx="10">
                  <c:v>3</c:v>
                </c:pt>
                <c:pt idx="11">
                  <c:v>3</c:v>
                </c:pt>
                <c:pt idx="12">
                  <c:v>8</c:v>
                </c:pt>
                <c:pt idx="13">
                  <c:v>6.2</c:v>
                </c:pt>
                <c:pt idx="14">
                  <c:v>6.2</c:v>
                </c:pt>
                <c:pt idx="15">
                  <c:v>6.2</c:v>
                </c:pt>
                <c:pt idx="16">
                  <c:v>7</c:v>
                </c:pt>
                <c:pt idx="17">
                  <c:v>8.4</c:v>
                </c:pt>
                <c:pt idx="18">
                  <c:v>8.4</c:v>
                </c:pt>
                <c:pt idx="19">
                  <c:v>4.5</c:v>
                </c:pt>
                <c:pt idx="20">
                  <c:v>5.7</c:v>
                </c:pt>
                <c:pt idx="21">
                  <c:v>5.7</c:v>
                </c:pt>
                <c:pt idx="22">
                  <c:v>5.2</c:v>
                </c:pt>
                <c:pt idx="23">
                  <c:v>5.2</c:v>
                </c:pt>
                <c:pt idx="24">
                  <c:v>5.2</c:v>
                </c:pt>
                <c:pt idx="25">
                  <c:v>5.2</c:v>
                </c:pt>
                <c:pt idx="26">
                  <c:v>6.5</c:v>
                </c:pt>
                <c:pt idx="27">
                  <c:v>6.5</c:v>
                </c:pt>
                <c:pt idx="28">
                  <c:v>6.5</c:v>
                </c:pt>
                <c:pt idx="29">
                  <c:v>6.5</c:v>
                </c:pt>
                <c:pt idx="30">
                  <c:v>6.5</c:v>
                </c:pt>
                <c:pt idx="31">
                  <c:v>1.8</c:v>
                </c:pt>
                <c:pt idx="32">
                  <c:v>1.8</c:v>
                </c:pt>
                <c:pt idx="33">
                  <c:v>2</c:v>
                </c:pt>
                <c:pt idx="34">
                  <c:v>2</c:v>
                </c:pt>
                <c:pt idx="35">
                  <c:v>2</c:v>
                </c:pt>
                <c:pt idx="36">
                  <c:v>5.5</c:v>
                </c:pt>
                <c:pt idx="37">
                  <c:v>3</c:v>
                </c:pt>
                <c:pt idx="38">
                  <c:v>3.5</c:v>
                </c:pt>
                <c:pt idx="39">
                  <c:v>3.5</c:v>
                </c:pt>
                <c:pt idx="40">
                  <c:v>3.5</c:v>
                </c:pt>
                <c:pt idx="41">
                  <c:v>5.5</c:v>
                </c:pt>
                <c:pt idx="42">
                  <c:v>1</c:v>
                </c:pt>
                <c:pt idx="43">
                  <c:v>1</c:v>
                </c:pt>
                <c:pt idx="44">
                  <c:v>3.7</c:v>
                </c:pt>
                <c:pt idx="45">
                  <c:v>3.7</c:v>
                </c:pt>
                <c:pt idx="46">
                  <c:v>3.7</c:v>
                </c:pt>
                <c:pt idx="47">
                  <c:v>3.7</c:v>
                </c:pt>
                <c:pt idx="48">
                  <c:v>2</c:v>
                </c:pt>
                <c:pt idx="49">
                  <c:v>2</c:v>
                </c:pt>
                <c:pt idx="50">
                  <c:v>2.4</c:v>
                </c:pt>
                <c:pt idx="51">
                  <c:v>2.4</c:v>
                </c:pt>
                <c:pt idx="52">
                  <c:v>3.8</c:v>
                </c:pt>
                <c:pt idx="53">
                  <c:v>3.8</c:v>
                </c:pt>
                <c:pt idx="54">
                  <c:v>2.9</c:v>
                </c:pt>
                <c:pt idx="55">
                  <c:v>2.9</c:v>
                </c:pt>
                <c:pt idx="56">
                  <c:v>3.4</c:v>
                </c:pt>
                <c:pt idx="57">
                  <c:v>3.4</c:v>
                </c:pt>
                <c:pt idx="58">
                  <c:v>2.9</c:v>
                </c:pt>
                <c:pt idx="59">
                  <c:v>2.9</c:v>
                </c:pt>
                <c:pt idx="60">
                  <c:v>3.4</c:v>
                </c:pt>
                <c:pt idx="61">
                  <c:v>3.4</c:v>
                </c:pt>
                <c:pt idx="62">
                  <c:v>2</c:v>
                </c:pt>
                <c:pt idx="63">
                  <c:v>2</c:v>
                </c:pt>
                <c:pt idx="64">
                  <c:v>2.4</c:v>
                </c:pt>
                <c:pt idx="65">
                  <c:v>2.4</c:v>
                </c:pt>
                <c:pt idx="66">
                  <c:v>4.2</c:v>
                </c:pt>
                <c:pt idx="67">
                  <c:v>5.9</c:v>
                </c:pt>
                <c:pt idx="68">
                  <c:v>5.9</c:v>
                </c:pt>
                <c:pt idx="69">
                  <c:v>5.9</c:v>
                </c:pt>
                <c:pt idx="70">
                  <c:v>5.9</c:v>
                </c:pt>
                <c:pt idx="71">
                  <c:v>4.3</c:v>
                </c:pt>
                <c:pt idx="72">
                  <c:v>5</c:v>
                </c:pt>
                <c:pt idx="73">
                  <c:v>5</c:v>
                </c:pt>
                <c:pt idx="74">
                  <c:v>5</c:v>
                </c:pt>
                <c:pt idx="75">
                  <c:v>4.3</c:v>
                </c:pt>
                <c:pt idx="76">
                  <c:v>3.5</c:v>
                </c:pt>
                <c:pt idx="77">
                  <c:v>1.6</c:v>
                </c:pt>
                <c:pt idx="78">
                  <c:v>1.6</c:v>
                </c:pt>
                <c:pt idx="79">
                  <c:v>1.6</c:v>
                </c:pt>
                <c:pt idx="80">
                  <c:v>1.6</c:v>
                </c:pt>
                <c:pt idx="81">
                  <c:v>1.6</c:v>
                </c:pt>
                <c:pt idx="82">
                  <c:v>1.6</c:v>
                </c:pt>
                <c:pt idx="83">
                  <c:v>1.6</c:v>
                </c:pt>
                <c:pt idx="84">
                  <c:v>1.6</c:v>
                </c:pt>
                <c:pt idx="85">
                  <c:v>1.6</c:v>
                </c:pt>
                <c:pt idx="86">
                  <c:v>1.6</c:v>
                </c:pt>
                <c:pt idx="87">
                  <c:v>2.4</c:v>
                </c:pt>
                <c:pt idx="88">
                  <c:v>3.8</c:v>
                </c:pt>
                <c:pt idx="89">
                  <c:v>3.6</c:v>
                </c:pt>
                <c:pt idx="90">
                  <c:v>3.6</c:v>
                </c:pt>
                <c:pt idx="91">
                  <c:v>3.6</c:v>
                </c:pt>
                <c:pt idx="92">
                  <c:v>3.6</c:v>
                </c:pt>
                <c:pt idx="93">
                  <c:v>3.6</c:v>
                </c:pt>
                <c:pt idx="94">
                  <c:v>3.6</c:v>
                </c:pt>
                <c:pt idx="95">
                  <c:v>3.6</c:v>
                </c:pt>
                <c:pt idx="96">
                  <c:v>3.6</c:v>
                </c:pt>
                <c:pt idx="97">
                  <c:v>3.8</c:v>
                </c:pt>
                <c:pt idx="98">
                  <c:v>3.8</c:v>
                </c:pt>
                <c:pt idx="99">
                  <c:v>3.8</c:v>
                </c:pt>
                <c:pt idx="100">
                  <c:v>3.8</c:v>
                </c:pt>
                <c:pt idx="101">
                  <c:v>3.8</c:v>
                </c:pt>
                <c:pt idx="102">
                  <c:v>3.8</c:v>
                </c:pt>
                <c:pt idx="103">
                  <c:v>3.6</c:v>
                </c:pt>
                <c:pt idx="104">
                  <c:v>3.6</c:v>
                </c:pt>
                <c:pt idx="105">
                  <c:v>3.8</c:v>
                </c:pt>
                <c:pt idx="106">
                  <c:v>3.8</c:v>
                </c:pt>
                <c:pt idx="107">
                  <c:v>3.8</c:v>
                </c:pt>
                <c:pt idx="108">
                  <c:v>3.8</c:v>
                </c:pt>
                <c:pt idx="109">
                  <c:v>3.8</c:v>
                </c:pt>
                <c:pt idx="110">
                  <c:v>3.8</c:v>
                </c:pt>
                <c:pt idx="111">
                  <c:v>3.8</c:v>
                </c:pt>
                <c:pt idx="112">
                  <c:v>3.8</c:v>
                </c:pt>
                <c:pt idx="113">
                  <c:v>3.8</c:v>
                </c:pt>
                <c:pt idx="114">
                  <c:v>3.8</c:v>
                </c:pt>
                <c:pt idx="115">
                  <c:v>2.5</c:v>
                </c:pt>
                <c:pt idx="116">
                  <c:v>5.9</c:v>
                </c:pt>
                <c:pt idx="117">
                  <c:v>2</c:v>
                </c:pt>
                <c:pt idx="118">
                  <c:v>2</c:v>
                </c:pt>
                <c:pt idx="119">
                  <c:v>2</c:v>
                </c:pt>
                <c:pt idx="120">
                  <c:v>2</c:v>
                </c:pt>
                <c:pt idx="121">
                  <c:v>3.2</c:v>
                </c:pt>
                <c:pt idx="122">
                  <c:v>4.2</c:v>
                </c:pt>
                <c:pt idx="123">
                  <c:v>4.2</c:v>
                </c:pt>
                <c:pt idx="124">
                  <c:v>3</c:v>
                </c:pt>
                <c:pt idx="125">
                  <c:v>2</c:v>
                </c:pt>
                <c:pt idx="126">
                  <c:v>6</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4.8</c:v>
                </c:pt>
                <c:pt idx="148">
                  <c:v>4.8</c:v>
                </c:pt>
                <c:pt idx="149">
                  <c:v>4.8</c:v>
                </c:pt>
                <c:pt idx="150">
                  <c:v>4.8</c:v>
                </c:pt>
                <c:pt idx="151">
                  <c:v>4</c:v>
                </c:pt>
                <c:pt idx="152">
                  <c:v>4</c:v>
                </c:pt>
                <c:pt idx="153">
                  <c:v>4</c:v>
                </c:pt>
                <c:pt idx="154">
                  <c:v>4</c:v>
                </c:pt>
                <c:pt idx="155">
                  <c:v>5</c:v>
                </c:pt>
                <c:pt idx="156">
                  <c:v>5</c:v>
                </c:pt>
                <c:pt idx="157">
                  <c:v>5</c:v>
                </c:pt>
                <c:pt idx="158">
                  <c:v>5</c:v>
                </c:pt>
                <c:pt idx="159">
                  <c:v>1.6</c:v>
                </c:pt>
                <c:pt idx="160">
                  <c:v>1.6</c:v>
                </c:pt>
                <c:pt idx="161">
                  <c:v>2.2000000000000002</c:v>
                </c:pt>
                <c:pt idx="162">
                  <c:v>2.2000000000000002</c:v>
                </c:pt>
                <c:pt idx="163">
                  <c:v>2</c:v>
                </c:pt>
                <c:pt idx="164">
                  <c:v>2.2000000000000002</c:v>
                </c:pt>
                <c:pt idx="165">
                  <c:v>4</c:v>
                </c:pt>
                <c:pt idx="166">
                  <c:v>4</c:v>
                </c:pt>
                <c:pt idx="167">
                  <c:v>4.5999999999999996</c:v>
                </c:pt>
                <c:pt idx="168">
                  <c:v>4.5999999999999996</c:v>
                </c:pt>
                <c:pt idx="169">
                  <c:v>5.4</c:v>
                </c:pt>
                <c:pt idx="170">
                  <c:v>1.8</c:v>
                </c:pt>
                <c:pt idx="171">
                  <c:v>1.8</c:v>
                </c:pt>
                <c:pt idx="172">
                  <c:v>1.8</c:v>
                </c:pt>
                <c:pt idx="173">
                  <c:v>2</c:v>
                </c:pt>
                <c:pt idx="174">
                  <c:v>2</c:v>
                </c:pt>
                <c:pt idx="175">
                  <c:v>2</c:v>
                </c:pt>
                <c:pt idx="176">
                  <c:v>3.8</c:v>
                </c:pt>
                <c:pt idx="177">
                  <c:v>3.8</c:v>
                </c:pt>
                <c:pt idx="178">
                  <c:v>3.7</c:v>
                </c:pt>
                <c:pt idx="179">
                  <c:v>3.7</c:v>
                </c:pt>
                <c:pt idx="180">
                  <c:v>3.7</c:v>
                </c:pt>
                <c:pt idx="181">
                  <c:v>3.7</c:v>
                </c:pt>
                <c:pt idx="182">
                  <c:v>3.7</c:v>
                </c:pt>
                <c:pt idx="183">
                  <c:v>2.5</c:v>
                </c:pt>
                <c:pt idx="184">
                  <c:v>2.5</c:v>
                </c:pt>
                <c:pt idx="185">
                  <c:v>2.5</c:v>
                </c:pt>
                <c:pt idx="186">
                  <c:v>3.5</c:v>
                </c:pt>
                <c:pt idx="187">
                  <c:v>5</c:v>
                </c:pt>
                <c:pt idx="188">
                  <c:v>4.2</c:v>
                </c:pt>
                <c:pt idx="189">
                  <c:v>4.7</c:v>
                </c:pt>
                <c:pt idx="190">
                  <c:v>4.7</c:v>
                </c:pt>
                <c:pt idx="191">
                  <c:v>1.3</c:v>
                </c:pt>
                <c:pt idx="192">
                  <c:v>1.3</c:v>
                </c:pt>
                <c:pt idx="193">
                  <c:v>3.5</c:v>
                </c:pt>
                <c:pt idx="194">
                  <c:v>5.5</c:v>
                </c:pt>
                <c:pt idx="195">
                  <c:v>1.6</c:v>
                </c:pt>
                <c:pt idx="196">
                  <c:v>1.6</c:v>
                </c:pt>
                <c:pt idx="197">
                  <c:v>1.6</c:v>
                </c:pt>
                <c:pt idx="198">
                  <c:v>1.6</c:v>
                </c:pt>
                <c:pt idx="199">
                  <c:v>1.6</c:v>
                </c:pt>
                <c:pt idx="200">
                  <c:v>2.4</c:v>
                </c:pt>
                <c:pt idx="201">
                  <c:v>2.4</c:v>
                </c:pt>
                <c:pt idx="202">
                  <c:v>3.8</c:v>
                </c:pt>
                <c:pt idx="203">
                  <c:v>3.8</c:v>
                </c:pt>
                <c:pt idx="204">
                  <c:v>2.5</c:v>
                </c:pt>
                <c:pt idx="205">
                  <c:v>2.5</c:v>
                </c:pt>
                <c:pt idx="206">
                  <c:v>3.5</c:v>
                </c:pt>
                <c:pt idx="207">
                  <c:v>3.5</c:v>
                </c:pt>
                <c:pt idx="208">
                  <c:v>3.8</c:v>
                </c:pt>
                <c:pt idx="209">
                  <c:v>2.2000000000000002</c:v>
                </c:pt>
                <c:pt idx="210">
                  <c:v>2.2000000000000002</c:v>
                </c:pt>
                <c:pt idx="211">
                  <c:v>2.2000000000000002</c:v>
                </c:pt>
                <c:pt idx="212">
                  <c:v>2.2000000000000002</c:v>
                </c:pt>
                <c:pt idx="213">
                  <c:v>2.2000000000000002</c:v>
                </c:pt>
                <c:pt idx="214">
                  <c:v>4.5999999999999996</c:v>
                </c:pt>
                <c:pt idx="215">
                  <c:v>4.5999999999999996</c:v>
                </c:pt>
                <c:pt idx="216">
                  <c:v>2</c:v>
                </c:pt>
                <c:pt idx="217">
                  <c:v>2</c:v>
                </c:pt>
                <c:pt idx="218">
                  <c:v>1.6</c:v>
                </c:pt>
                <c:pt idx="219">
                  <c:v>1.6</c:v>
                </c:pt>
                <c:pt idx="220">
                  <c:v>2.4</c:v>
                </c:pt>
                <c:pt idx="221">
                  <c:v>2.4</c:v>
                </c:pt>
                <c:pt idx="222">
                  <c:v>1.8</c:v>
                </c:pt>
                <c:pt idx="223">
                  <c:v>1.8</c:v>
                </c:pt>
                <c:pt idx="224">
                  <c:v>1.5</c:v>
                </c:pt>
                <c:pt idx="225">
                  <c:v>1.5</c:v>
                </c:pt>
                <c:pt idx="226">
                  <c:v>2</c:v>
                </c:pt>
                <c:pt idx="227">
                  <c:v>2</c:v>
                </c:pt>
                <c:pt idx="228">
                  <c:v>2.5</c:v>
                </c:pt>
                <c:pt idx="229">
                  <c:v>2.5</c:v>
                </c:pt>
                <c:pt idx="230">
                  <c:v>2.5</c:v>
                </c:pt>
                <c:pt idx="231">
                  <c:v>2.5</c:v>
                </c:pt>
                <c:pt idx="232">
                  <c:v>2.4</c:v>
                </c:pt>
                <c:pt idx="233">
                  <c:v>2.4</c:v>
                </c:pt>
                <c:pt idx="234">
                  <c:v>3.5</c:v>
                </c:pt>
                <c:pt idx="235">
                  <c:v>2</c:v>
                </c:pt>
                <c:pt idx="236">
                  <c:v>2</c:v>
                </c:pt>
                <c:pt idx="237">
                  <c:v>2</c:v>
                </c:pt>
                <c:pt idx="238">
                  <c:v>3</c:v>
                </c:pt>
                <c:pt idx="239">
                  <c:v>3</c:v>
                </c:pt>
                <c:pt idx="240">
                  <c:v>6.8</c:v>
                </c:pt>
                <c:pt idx="241">
                  <c:v>6.8</c:v>
                </c:pt>
                <c:pt idx="242">
                  <c:v>6</c:v>
                </c:pt>
                <c:pt idx="243">
                  <c:v>3</c:v>
                </c:pt>
                <c:pt idx="244">
                  <c:v>3</c:v>
                </c:pt>
                <c:pt idx="245">
                  <c:v>3</c:v>
                </c:pt>
                <c:pt idx="246">
                  <c:v>3</c:v>
                </c:pt>
                <c:pt idx="247">
                  <c:v>3</c:v>
                </c:pt>
                <c:pt idx="248">
                  <c:v>3</c:v>
                </c:pt>
                <c:pt idx="249">
                  <c:v>3</c:v>
                </c:pt>
                <c:pt idx="250">
                  <c:v>3</c:v>
                </c:pt>
                <c:pt idx="251">
                  <c:v>3</c:v>
                </c:pt>
                <c:pt idx="252">
                  <c:v>4</c:v>
                </c:pt>
                <c:pt idx="253">
                  <c:v>4</c:v>
                </c:pt>
                <c:pt idx="254">
                  <c:v>1.6</c:v>
                </c:pt>
                <c:pt idx="255">
                  <c:v>1.6</c:v>
                </c:pt>
                <c:pt idx="256">
                  <c:v>3.6</c:v>
                </c:pt>
                <c:pt idx="257">
                  <c:v>3.6</c:v>
                </c:pt>
                <c:pt idx="258">
                  <c:v>6.2</c:v>
                </c:pt>
                <c:pt idx="259">
                  <c:v>6.2</c:v>
                </c:pt>
                <c:pt idx="260">
                  <c:v>2.2000000000000002</c:v>
                </c:pt>
                <c:pt idx="261">
                  <c:v>2.2000000000000002</c:v>
                </c:pt>
                <c:pt idx="262">
                  <c:v>2.2000000000000002</c:v>
                </c:pt>
                <c:pt idx="263">
                  <c:v>2.4</c:v>
                </c:pt>
                <c:pt idx="264">
                  <c:v>2.7</c:v>
                </c:pt>
                <c:pt idx="265">
                  <c:v>3.5</c:v>
                </c:pt>
                <c:pt idx="266">
                  <c:v>3.5</c:v>
                </c:pt>
                <c:pt idx="267">
                  <c:v>5.7</c:v>
                </c:pt>
                <c:pt idx="268">
                  <c:v>5.7</c:v>
                </c:pt>
                <c:pt idx="269">
                  <c:v>6.1</c:v>
                </c:pt>
                <c:pt idx="270">
                  <c:v>6.1</c:v>
                </c:pt>
                <c:pt idx="271">
                  <c:v>2</c:v>
                </c:pt>
                <c:pt idx="272">
                  <c:v>2</c:v>
                </c:pt>
                <c:pt idx="273">
                  <c:v>2.4</c:v>
                </c:pt>
                <c:pt idx="274">
                  <c:v>2.4</c:v>
                </c:pt>
                <c:pt idx="275">
                  <c:v>3.5</c:v>
                </c:pt>
                <c:pt idx="276">
                  <c:v>3.5</c:v>
                </c:pt>
                <c:pt idx="277">
                  <c:v>1.3</c:v>
                </c:pt>
                <c:pt idx="278">
                  <c:v>1.3</c:v>
                </c:pt>
                <c:pt idx="279">
                  <c:v>1.3</c:v>
                </c:pt>
                <c:pt idx="280">
                  <c:v>1.6</c:v>
                </c:pt>
                <c:pt idx="281">
                  <c:v>1.6</c:v>
                </c:pt>
                <c:pt idx="282">
                  <c:v>1.6</c:v>
                </c:pt>
                <c:pt idx="283">
                  <c:v>2</c:v>
                </c:pt>
                <c:pt idx="284">
                  <c:v>2</c:v>
                </c:pt>
                <c:pt idx="285">
                  <c:v>2</c:v>
                </c:pt>
                <c:pt idx="286">
                  <c:v>2.4</c:v>
                </c:pt>
                <c:pt idx="287">
                  <c:v>2.4</c:v>
                </c:pt>
                <c:pt idx="288">
                  <c:v>1.6</c:v>
                </c:pt>
                <c:pt idx="289">
                  <c:v>1.6</c:v>
                </c:pt>
                <c:pt idx="290">
                  <c:v>3.5</c:v>
                </c:pt>
                <c:pt idx="291">
                  <c:v>2.4</c:v>
                </c:pt>
                <c:pt idx="292">
                  <c:v>2</c:v>
                </c:pt>
                <c:pt idx="293">
                  <c:v>2</c:v>
                </c:pt>
                <c:pt idx="294">
                  <c:v>2.5</c:v>
                </c:pt>
                <c:pt idx="295">
                  <c:v>2.5</c:v>
                </c:pt>
                <c:pt idx="296">
                  <c:v>3</c:v>
                </c:pt>
                <c:pt idx="297">
                  <c:v>3</c:v>
                </c:pt>
                <c:pt idx="298">
                  <c:v>3.5</c:v>
                </c:pt>
                <c:pt idx="299">
                  <c:v>3</c:v>
                </c:pt>
                <c:pt idx="300">
                  <c:v>3.5</c:v>
                </c:pt>
                <c:pt idx="301">
                  <c:v>3.5</c:v>
                </c:pt>
                <c:pt idx="302">
                  <c:v>6.3</c:v>
                </c:pt>
                <c:pt idx="303">
                  <c:v>5.5</c:v>
                </c:pt>
                <c:pt idx="304">
                  <c:v>5.5</c:v>
                </c:pt>
                <c:pt idx="305">
                  <c:v>6.3</c:v>
                </c:pt>
                <c:pt idx="306">
                  <c:v>6</c:v>
                </c:pt>
                <c:pt idx="307">
                  <c:v>5.5</c:v>
                </c:pt>
                <c:pt idx="308">
                  <c:v>6.3</c:v>
                </c:pt>
                <c:pt idx="309">
                  <c:v>2</c:v>
                </c:pt>
                <c:pt idx="310">
                  <c:v>2</c:v>
                </c:pt>
                <c:pt idx="311">
                  <c:v>2</c:v>
                </c:pt>
                <c:pt idx="312">
                  <c:v>2.4</c:v>
                </c:pt>
                <c:pt idx="313">
                  <c:v>2.4</c:v>
                </c:pt>
                <c:pt idx="314">
                  <c:v>2</c:v>
                </c:pt>
                <c:pt idx="315">
                  <c:v>2</c:v>
                </c:pt>
                <c:pt idx="316">
                  <c:v>1.6</c:v>
                </c:pt>
                <c:pt idx="317">
                  <c:v>1.6</c:v>
                </c:pt>
                <c:pt idx="318">
                  <c:v>2.4</c:v>
                </c:pt>
                <c:pt idx="319">
                  <c:v>2.4</c:v>
                </c:pt>
                <c:pt idx="320">
                  <c:v>2.4</c:v>
                </c:pt>
                <c:pt idx="321">
                  <c:v>2.4</c:v>
                </c:pt>
                <c:pt idx="322">
                  <c:v>3.5</c:v>
                </c:pt>
                <c:pt idx="323">
                  <c:v>3.5</c:v>
                </c:pt>
                <c:pt idx="324">
                  <c:v>3.6</c:v>
                </c:pt>
                <c:pt idx="325">
                  <c:v>3.6</c:v>
                </c:pt>
                <c:pt idx="326">
                  <c:v>6.7</c:v>
                </c:pt>
                <c:pt idx="327">
                  <c:v>6.7</c:v>
                </c:pt>
                <c:pt idx="328">
                  <c:v>2</c:v>
                </c:pt>
                <c:pt idx="329">
                  <c:v>2</c:v>
                </c:pt>
                <c:pt idx="330">
                  <c:v>2</c:v>
                </c:pt>
                <c:pt idx="331">
                  <c:v>2</c:v>
                </c:pt>
                <c:pt idx="332">
                  <c:v>2</c:v>
                </c:pt>
                <c:pt idx="333">
                  <c:v>2.5</c:v>
                </c:pt>
                <c:pt idx="334">
                  <c:v>2.5</c:v>
                </c:pt>
                <c:pt idx="335">
                  <c:v>2.5</c:v>
                </c:pt>
                <c:pt idx="336">
                  <c:v>2.5</c:v>
                </c:pt>
                <c:pt idx="337">
                  <c:v>2.4</c:v>
                </c:pt>
                <c:pt idx="338">
                  <c:v>2.4</c:v>
                </c:pt>
                <c:pt idx="339">
                  <c:v>2.4</c:v>
                </c:pt>
                <c:pt idx="340">
                  <c:v>2.4</c:v>
                </c:pt>
                <c:pt idx="341">
                  <c:v>2.4</c:v>
                </c:pt>
                <c:pt idx="342">
                  <c:v>2.4</c:v>
                </c:pt>
                <c:pt idx="343">
                  <c:v>2</c:v>
                </c:pt>
                <c:pt idx="344">
                  <c:v>2</c:v>
                </c:pt>
                <c:pt idx="345">
                  <c:v>2</c:v>
                </c:pt>
                <c:pt idx="346">
                  <c:v>2</c:v>
                </c:pt>
                <c:pt idx="347">
                  <c:v>1.8</c:v>
                </c:pt>
                <c:pt idx="348">
                  <c:v>1.8</c:v>
                </c:pt>
                <c:pt idx="349">
                  <c:v>2.4</c:v>
                </c:pt>
                <c:pt idx="350">
                  <c:v>2.4</c:v>
                </c:pt>
                <c:pt idx="351">
                  <c:v>2</c:v>
                </c:pt>
                <c:pt idx="352">
                  <c:v>2</c:v>
                </c:pt>
                <c:pt idx="353">
                  <c:v>3.6</c:v>
                </c:pt>
                <c:pt idx="354">
                  <c:v>3.6</c:v>
                </c:pt>
                <c:pt idx="355">
                  <c:v>2</c:v>
                </c:pt>
                <c:pt idx="356">
                  <c:v>2</c:v>
                </c:pt>
                <c:pt idx="357">
                  <c:v>2.5</c:v>
                </c:pt>
                <c:pt idx="358">
                  <c:v>2.5</c:v>
                </c:pt>
                <c:pt idx="359">
                  <c:v>2</c:v>
                </c:pt>
                <c:pt idx="360">
                  <c:v>2</c:v>
                </c:pt>
                <c:pt idx="361">
                  <c:v>2</c:v>
                </c:pt>
                <c:pt idx="362">
                  <c:v>2</c:v>
                </c:pt>
                <c:pt idx="363">
                  <c:v>2</c:v>
                </c:pt>
                <c:pt idx="364">
                  <c:v>2</c:v>
                </c:pt>
                <c:pt idx="365">
                  <c:v>2.5</c:v>
                </c:pt>
                <c:pt idx="366">
                  <c:v>2.5</c:v>
                </c:pt>
                <c:pt idx="367">
                  <c:v>2.4</c:v>
                </c:pt>
                <c:pt idx="368">
                  <c:v>2.4</c:v>
                </c:pt>
                <c:pt idx="369">
                  <c:v>2.5</c:v>
                </c:pt>
                <c:pt idx="370">
                  <c:v>2.5</c:v>
                </c:pt>
                <c:pt idx="371">
                  <c:v>2.5</c:v>
                </c:pt>
                <c:pt idx="372">
                  <c:v>2.5</c:v>
                </c:pt>
                <c:pt idx="373">
                  <c:v>2.4</c:v>
                </c:pt>
                <c:pt idx="374">
                  <c:v>2.4</c:v>
                </c:pt>
                <c:pt idx="375">
                  <c:v>2.5</c:v>
                </c:pt>
                <c:pt idx="376">
                  <c:v>2.5</c:v>
                </c:pt>
                <c:pt idx="377">
                  <c:v>3.7</c:v>
                </c:pt>
                <c:pt idx="378">
                  <c:v>3.5</c:v>
                </c:pt>
                <c:pt idx="379">
                  <c:v>3.7</c:v>
                </c:pt>
                <c:pt idx="380">
                  <c:v>3.7</c:v>
                </c:pt>
                <c:pt idx="381">
                  <c:v>3.2</c:v>
                </c:pt>
                <c:pt idx="382">
                  <c:v>3</c:v>
                </c:pt>
                <c:pt idx="383">
                  <c:v>4.2</c:v>
                </c:pt>
                <c:pt idx="384">
                  <c:v>4.2</c:v>
                </c:pt>
                <c:pt idx="385">
                  <c:v>5.2</c:v>
                </c:pt>
                <c:pt idx="386">
                  <c:v>6</c:v>
                </c:pt>
                <c:pt idx="387">
                  <c:v>3</c:v>
                </c:pt>
                <c:pt idx="388">
                  <c:v>3</c:v>
                </c:pt>
                <c:pt idx="389">
                  <c:v>3</c:v>
                </c:pt>
                <c:pt idx="390">
                  <c:v>3</c:v>
                </c:pt>
                <c:pt idx="391">
                  <c:v>3</c:v>
                </c:pt>
                <c:pt idx="392">
                  <c:v>3</c:v>
                </c:pt>
                <c:pt idx="393">
                  <c:v>3</c:v>
                </c:pt>
                <c:pt idx="394">
                  <c:v>3</c:v>
                </c:pt>
                <c:pt idx="395">
                  <c:v>4.8</c:v>
                </c:pt>
                <c:pt idx="396">
                  <c:v>4.8</c:v>
                </c:pt>
                <c:pt idx="397">
                  <c:v>5</c:v>
                </c:pt>
                <c:pt idx="398">
                  <c:v>5</c:v>
                </c:pt>
                <c:pt idx="399">
                  <c:v>2.4</c:v>
                </c:pt>
                <c:pt idx="400">
                  <c:v>3</c:v>
                </c:pt>
                <c:pt idx="401">
                  <c:v>3.6</c:v>
                </c:pt>
                <c:pt idx="402">
                  <c:v>3</c:v>
                </c:pt>
                <c:pt idx="403">
                  <c:v>3</c:v>
                </c:pt>
                <c:pt idx="404">
                  <c:v>3</c:v>
                </c:pt>
                <c:pt idx="405">
                  <c:v>3.6</c:v>
                </c:pt>
                <c:pt idx="406">
                  <c:v>3.6</c:v>
                </c:pt>
                <c:pt idx="407">
                  <c:v>6.2</c:v>
                </c:pt>
                <c:pt idx="408">
                  <c:v>6.2</c:v>
                </c:pt>
                <c:pt idx="409">
                  <c:v>3</c:v>
                </c:pt>
                <c:pt idx="410">
                  <c:v>3.6</c:v>
                </c:pt>
                <c:pt idx="411">
                  <c:v>3.6</c:v>
                </c:pt>
                <c:pt idx="412">
                  <c:v>4.5999999999999996</c:v>
                </c:pt>
                <c:pt idx="413">
                  <c:v>3.6</c:v>
                </c:pt>
                <c:pt idx="414">
                  <c:v>4.5999999999999996</c:v>
                </c:pt>
                <c:pt idx="415">
                  <c:v>2.4</c:v>
                </c:pt>
                <c:pt idx="416">
                  <c:v>2.4</c:v>
                </c:pt>
                <c:pt idx="417">
                  <c:v>2.4</c:v>
                </c:pt>
                <c:pt idx="418">
                  <c:v>2.4</c:v>
                </c:pt>
                <c:pt idx="419">
                  <c:v>3.5</c:v>
                </c:pt>
                <c:pt idx="420">
                  <c:v>3.5</c:v>
                </c:pt>
                <c:pt idx="421">
                  <c:v>3.6</c:v>
                </c:pt>
                <c:pt idx="422">
                  <c:v>2.4</c:v>
                </c:pt>
                <c:pt idx="423">
                  <c:v>2.4</c:v>
                </c:pt>
                <c:pt idx="424">
                  <c:v>2.7</c:v>
                </c:pt>
                <c:pt idx="425">
                  <c:v>3.5</c:v>
                </c:pt>
                <c:pt idx="426">
                  <c:v>2.4</c:v>
                </c:pt>
                <c:pt idx="427">
                  <c:v>2.7</c:v>
                </c:pt>
                <c:pt idx="428">
                  <c:v>3.5</c:v>
                </c:pt>
                <c:pt idx="429">
                  <c:v>5.7</c:v>
                </c:pt>
                <c:pt idx="430">
                  <c:v>5.7</c:v>
                </c:pt>
                <c:pt idx="431">
                  <c:v>3.5</c:v>
                </c:pt>
                <c:pt idx="432">
                  <c:v>3</c:v>
                </c:pt>
                <c:pt idx="433">
                  <c:v>2.5</c:v>
                </c:pt>
                <c:pt idx="434">
                  <c:v>2.5</c:v>
                </c:pt>
                <c:pt idx="435">
                  <c:v>3</c:v>
                </c:pt>
                <c:pt idx="436">
                  <c:v>3.5</c:v>
                </c:pt>
                <c:pt idx="437">
                  <c:v>2.5</c:v>
                </c:pt>
                <c:pt idx="438">
                  <c:v>2.5</c:v>
                </c:pt>
                <c:pt idx="439">
                  <c:v>2.5</c:v>
                </c:pt>
                <c:pt idx="440">
                  <c:v>2</c:v>
                </c:pt>
                <c:pt idx="441">
                  <c:v>2</c:v>
                </c:pt>
                <c:pt idx="442">
                  <c:v>2</c:v>
                </c:pt>
                <c:pt idx="443">
                  <c:v>3.7</c:v>
                </c:pt>
                <c:pt idx="444">
                  <c:v>3.7</c:v>
                </c:pt>
                <c:pt idx="445">
                  <c:v>3.7</c:v>
                </c:pt>
                <c:pt idx="446">
                  <c:v>4.2</c:v>
                </c:pt>
                <c:pt idx="447">
                  <c:v>5</c:v>
                </c:pt>
                <c:pt idx="448">
                  <c:v>5</c:v>
                </c:pt>
                <c:pt idx="449">
                  <c:v>2.4</c:v>
                </c:pt>
                <c:pt idx="450">
                  <c:v>2.4</c:v>
                </c:pt>
                <c:pt idx="451">
                  <c:v>2.7</c:v>
                </c:pt>
                <c:pt idx="452">
                  <c:v>3.5</c:v>
                </c:pt>
                <c:pt idx="453">
                  <c:v>3.5</c:v>
                </c:pt>
                <c:pt idx="454">
                  <c:v>3.5</c:v>
                </c:pt>
                <c:pt idx="455">
                  <c:v>4.5999999999999996</c:v>
                </c:pt>
                <c:pt idx="456">
                  <c:v>4.5999999999999996</c:v>
                </c:pt>
                <c:pt idx="457">
                  <c:v>4.5999999999999996</c:v>
                </c:pt>
                <c:pt idx="458">
                  <c:v>4.5999999999999996</c:v>
                </c:pt>
                <c:pt idx="459">
                  <c:v>4.5999999999999996</c:v>
                </c:pt>
                <c:pt idx="460">
                  <c:v>5</c:v>
                </c:pt>
                <c:pt idx="461">
                  <c:v>3</c:v>
                </c:pt>
                <c:pt idx="462">
                  <c:v>2.5</c:v>
                </c:pt>
                <c:pt idx="463">
                  <c:v>2.5</c:v>
                </c:pt>
                <c:pt idx="464">
                  <c:v>3</c:v>
                </c:pt>
                <c:pt idx="465">
                  <c:v>2.5</c:v>
                </c:pt>
                <c:pt idx="466">
                  <c:v>2.5</c:v>
                </c:pt>
                <c:pt idx="467">
                  <c:v>2.5</c:v>
                </c:pt>
                <c:pt idx="468">
                  <c:v>3.5</c:v>
                </c:pt>
                <c:pt idx="469">
                  <c:v>3.5</c:v>
                </c:pt>
                <c:pt idx="470">
                  <c:v>2.5</c:v>
                </c:pt>
                <c:pt idx="471">
                  <c:v>2.5</c:v>
                </c:pt>
                <c:pt idx="472">
                  <c:v>3.7</c:v>
                </c:pt>
                <c:pt idx="473">
                  <c:v>2.2999999999999998</c:v>
                </c:pt>
                <c:pt idx="474">
                  <c:v>3.5</c:v>
                </c:pt>
                <c:pt idx="475">
                  <c:v>3.5</c:v>
                </c:pt>
                <c:pt idx="476">
                  <c:v>5.5</c:v>
                </c:pt>
                <c:pt idx="477">
                  <c:v>5.5</c:v>
                </c:pt>
                <c:pt idx="478">
                  <c:v>6.3</c:v>
                </c:pt>
                <c:pt idx="479">
                  <c:v>2.4</c:v>
                </c:pt>
                <c:pt idx="480">
                  <c:v>2.5</c:v>
                </c:pt>
                <c:pt idx="481">
                  <c:v>3.5</c:v>
                </c:pt>
                <c:pt idx="482">
                  <c:v>3.5</c:v>
                </c:pt>
                <c:pt idx="483">
                  <c:v>2.5</c:v>
                </c:pt>
                <c:pt idx="484">
                  <c:v>3.5</c:v>
                </c:pt>
                <c:pt idx="485">
                  <c:v>2</c:v>
                </c:pt>
                <c:pt idx="486">
                  <c:v>2</c:v>
                </c:pt>
                <c:pt idx="487">
                  <c:v>2.5</c:v>
                </c:pt>
                <c:pt idx="488">
                  <c:v>2.5</c:v>
                </c:pt>
                <c:pt idx="489">
                  <c:v>1.6</c:v>
                </c:pt>
                <c:pt idx="490">
                  <c:v>1.6</c:v>
                </c:pt>
                <c:pt idx="491">
                  <c:v>1.8</c:v>
                </c:pt>
                <c:pt idx="492">
                  <c:v>1.8</c:v>
                </c:pt>
                <c:pt idx="493">
                  <c:v>1.8</c:v>
                </c:pt>
                <c:pt idx="494">
                  <c:v>6.7</c:v>
                </c:pt>
                <c:pt idx="495">
                  <c:v>2.8</c:v>
                </c:pt>
                <c:pt idx="496">
                  <c:v>2.4</c:v>
                </c:pt>
                <c:pt idx="497">
                  <c:v>2.4</c:v>
                </c:pt>
                <c:pt idx="498">
                  <c:v>3.6</c:v>
                </c:pt>
                <c:pt idx="499">
                  <c:v>2.5</c:v>
                </c:pt>
                <c:pt idx="500">
                  <c:v>2.5</c:v>
                </c:pt>
                <c:pt idx="501">
                  <c:v>2.5</c:v>
                </c:pt>
                <c:pt idx="502">
                  <c:v>3.6</c:v>
                </c:pt>
                <c:pt idx="503">
                  <c:v>2.5</c:v>
                </c:pt>
                <c:pt idx="504">
                  <c:v>2.5</c:v>
                </c:pt>
                <c:pt idx="505">
                  <c:v>3.5</c:v>
                </c:pt>
                <c:pt idx="506">
                  <c:v>2.4</c:v>
                </c:pt>
                <c:pt idx="507">
                  <c:v>1.8</c:v>
                </c:pt>
                <c:pt idx="508">
                  <c:v>2</c:v>
                </c:pt>
                <c:pt idx="509">
                  <c:v>3</c:v>
                </c:pt>
                <c:pt idx="510">
                  <c:v>4.4000000000000004</c:v>
                </c:pt>
                <c:pt idx="511">
                  <c:v>3.2</c:v>
                </c:pt>
                <c:pt idx="512">
                  <c:v>4.2</c:v>
                </c:pt>
                <c:pt idx="513">
                  <c:v>3</c:v>
                </c:pt>
                <c:pt idx="514">
                  <c:v>4.4000000000000004</c:v>
                </c:pt>
                <c:pt idx="515">
                  <c:v>4.4000000000000004</c:v>
                </c:pt>
                <c:pt idx="516">
                  <c:v>4.4000000000000004</c:v>
                </c:pt>
                <c:pt idx="517">
                  <c:v>4.4000000000000004</c:v>
                </c:pt>
                <c:pt idx="518">
                  <c:v>4.4000000000000004</c:v>
                </c:pt>
                <c:pt idx="519">
                  <c:v>4.4000000000000004</c:v>
                </c:pt>
                <c:pt idx="520">
                  <c:v>6</c:v>
                </c:pt>
                <c:pt idx="521">
                  <c:v>3.9</c:v>
                </c:pt>
                <c:pt idx="522">
                  <c:v>3.9</c:v>
                </c:pt>
                <c:pt idx="523">
                  <c:v>4.5999999999999996</c:v>
                </c:pt>
                <c:pt idx="524">
                  <c:v>4.5999999999999996</c:v>
                </c:pt>
                <c:pt idx="525">
                  <c:v>4.5999999999999996</c:v>
                </c:pt>
                <c:pt idx="526">
                  <c:v>4.5999999999999996</c:v>
                </c:pt>
                <c:pt idx="527">
                  <c:v>4.5999999999999996</c:v>
                </c:pt>
                <c:pt idx="528">
                  <c:v>3.5</c:v>
                </c:pt>
                <c:pt idx="529">
                  <c:v>3.5</c:v>
                </c:pt>
                <c:pt idx="530">
                  <c:v>3.9</c:v>
                </c:pt>
                <c:pt idx="531">
                  <c:v>3.5</c:v>
                </c:pt>
                <c:pt idx="532">
                  <c:v>5.7</c:v>
                </c:pt>
                <c:pt idx="533">
                  <c:v>2.7</c:v>
                </c:pt>
                <c:pt idx="534">
                  <c:v>3.5</c:v>
                </c:pt>
                <c:pt idx="535">
                  <c:v>5.7</c:v>
                </c:pt>
                <c:pt idx="536">
                  <c:v>6.1</c:v>
                </c:pt>
                <c:pt idx="537">
                  <c:v>2.7</c:v>
                </c:pt>
                <c:pt idx="538">
                  <c:v>3.5</c:v>
                </c:pt>
                <c:pt idx="539">
                  <c:v>5.7</c:v>
                </c:pt>
                <c:pt idx="540">
                  <c:v>6.1</c:v>
                </c:pt>
                <c:pt idx="541">
                  <c:v>3.5</c:v>
                </c:pt>
                <c:pt idx="542">
                  <c:v>5.7</c:v>
                </c:pt>
                <c:pt idx="543">
                  <c:v>4.5999999999999996</c:v>
                </c:pt>
                <c:pt idx="544">
                  <c:v>3.5</c:v>
                </c:pt>
                <c:pt idx="545">
                  <c:v>3.5</c:v>
                </c:pt>
                <c:pt idx="546">
                  <c:v>3.5</c:v>
                </c:pt>
                <c:pt idx="547">
                  <c:v>3.5</c:v>
                </c:pt>
                <c:pt idx="548">
                  <c:v>2.4</c:v>
                </c:pt>
                <c:pt idx="549">
                  <c:v>2.4</c:v>
                </c:pt>
                <c:pt idx="550">
                  <c:v>3.5</c:v>
                </c:pt>
                <c:pt idx="551">
                  <c:v>3.3</c:v>
                </c:pt>
                <c:pt idx="552">
                  <c:v>3.8</c:v>
                </c:pt>
                <c:pt idx="553">
                  <c:v>3.8</c:v>
                </c:pt>
                <c:pt idx="554">
                  <c:v>4.5999999999999996</c:v>
                </c:pt>
                <c:pt idx="555">
                  <c:v>2.4</c:v>
                </c:pt>
                <c:pt idx="556">
                  <c:v>2.4</c:v>
                </c:pt>
                <c:pt idx="557">
                  <c:v>3.3</c:v>
                </c:pt>
                <c:pt idx="558">
                  <c:v>3.5</c:v>
                </c:pt>
                <c:pt idx="559">
                  <c:v>3.5</c:v>
                </c:pt>
                <c:pt idx="560">
                  <c:v>4.5</c:v>
                </c:pt>
                <c:pt idx="561">
                  <c:v>4.5</c:v>
                </c:pt>
                <c:pt idx="562">
                  <c:v>5</c:v>
                </c:pt>
                <c:pt idx="563">
                  <c:v>5</c:v>
                </c:pt>
                <c:pt idx="564">
                  <c:v>5</c:v>
                </c:pt>
                <c:pt idx="565">
                  <c:v>4.5999999999999996</c:v>
                </c:pt>
                <c:pt idx="566">
                  <c:v>3.5</c:v>
                </c:pt>
                <c:pt idx="567">
                  <c:v>3.5</c:v>
                </c:pt>
                <c:pt idx="568">
                  <c:v>3.5</c:v>
                </c:pt>
                <c:pt idx="569">
                  <c:v>4.5999999999999996</c:v>
                </c:pt>
                <c:pt idx="570">
                  <c:v>4.2</c:v>
                </c:pt>
                <c:pt idx="571">
                  <c:v>4.7</c:v>
                </c:pt>
                <c:pt idx="572">
                  <c:v>5.5</c:v>
                </c:pt>
                <c:pt idx="573">
                  <c:v>6</c:v>
                </c:pt>
                <c:pt idx="574">
                  <c:v>6</c:v>
                </c:pt>
                <c:pt idx="575">
                  <c:v>5.5</c:v>
                </c:pt>
                <c:pt idx="576">
                  <c:v>5.5</c:v>
                </c:pt>
                <c:pt idx="577">
                  <c:v>5.5</c:v>
                </c:pt>
                <c:pt idx="578">
                  <c:v>6.3</c:v>
                </c:pt>
                <c:pt idx="579">
                  <c:v>6</c:v>
                </c:pt>
                <c:pt idx="580">
                  <c:v>3.5</c:v>
                </c:pt>
                <c:pt idx="581">
                  <c:v>4.8</c:v>
                </c:pt>
                <c:pt idx="582">
                  <c:v>4.8</c:v>
                </c:pt>
                <c:pt idx="583">
                  <c:v>4.8</c:v>
                </c:pt>
                <c:pt idx="584">
                  <c:v>6.6</c:v>
                </c:pt>
                <c:pt idx="585">
                  <c:v>6.7</c:v>
                </c:pt>
                <c:pt idx="586">
                  <c:v>3.5</c:v>
                </c:pt>
                <c:pt idx="587">
                  <c:v>2</c:v>
                </c:pt>
                <c:pt idx="588">
                  <c:v>2</c:v>
                </c:pt>
                <c:pt idx="589">
                  <c:v>2</c:v>
                </c:pt>
                <c:pt idx="590">
                  <c:v>2</c:v>
                </c:pt>
                <c:pt idx="591">
                  <c:v>2</c:v>
                </c:pt>
                <c:pt idx="592">
                  <c:v>3</c:v>
                </c:pt>
                <c:pt idx="593">
                  <c:v>3</c:v>
                </c:pt>
                <c:pt idx="594">
                  <c:v>3</c:v>
                </c:pt>
                <c:pt idx="595">
                  <c:v>3</c:v>
                </c:pt>
                <c:pt idx="596">
                  <c:v>3</c:v>
                </c:pt>
                <c:pt idx="597">
                  <c:v>3.6</c:v>
                </c:pt>
                <c:pt idx="598">
                  <c:v>3</c:v>
                </c:pt>
                <c:pt idx="599">
                  <c:v>3.6</c:v>
                </c:pt>
                <c:pt idx="600">
                  <c:v>2</c:v>
                </c:pt>
                <c:pt idx="601">
                  <c:v>2</c:v>
                </c:pt>
                <c:pt idx="602">
                  <c:v>2.4</c:v>
                </c:pt>
                <c:pt idx="603">
                  <c:v>2.4</c:v>
                </c:pt>
                <c:pt idx="604">
                  <c:v>1.5</c:v>
                </c:pt>
                <c:pt idx="605">
                  <c:v>1.5</c:v>
                </c:pt>
                <c:pt idx="606">
                  <c:v>1.5</c:v>
                </c:pt>
                <c:pt idx="607">
                  <c:v>2</c:v>
                </c:pt>
                <c:pt idx="608">
                  <c:v>2</c:v>
                </c:pt>
                <c:pt idx="609">
                  <c:v>3.5</c:v>
                </c:pt>
                <c:pt idx="610">
                  <c:v>3.5</c:v>
                </c:pt>
                <c:pt idx="611">
                  <c:v>1.6</c:v>
                </c:pt>
                <c:pt idx="612">
                  <c:v>1.6</c:v>
                </c:pt>
                <c:pt idx="613">
                  <c:v>2</c:v>
                </c:pt>
                <c:pt idx="614">
                  <c:v>2</c:v>
                </c:pt>
                <c:pt idx="615">
                  <c:v>2</c:v>
                </c:pt>
                <c:pt idx="616">
                  <c:v>2.4</c:v>
                </c:pt>
                <c:pt idx="617">
                  <c:v>2.4</c:v>
                </c:pt>
                <c:pt idx="618">
                  <c:v>1.8</c:v>
                </c:pt>
                <c:pt idx="619">
                  <c:v>1.8</c:v>
                </c:pt>
                <c:pt idx="620">
                  <c:v>1.8</c:v>
                </c:pt>
                <c:pt idx="621">
                  <c:v>1.8</c:v>
                </c:pt>
                <c:pt idx="622">
                  <c:v>2.4</c:v>
                </c:pt>
                <c:pt idx="623">
                  <c:v>2.4</c:v>
                </c:pt>
                <c:pt idx="624">
                  <c:v>2.4</c:v>
                </c:pt>
                <c:pt idx="625">
                  <c:v>2</c:v>
                </c:pt>
                <c:pt idx="626">
                  <c:v>2</c:v>
                </c:pt>
                <c:pt idx="627">
                  <c:v>2</c:v>
                </c:pt>
                <c:pt idx="628">
                  <c:v>2</c:v>
                </c:pt>
                <c:pt idx="629">
                  <c:v>2</c:v>
                </c:pt>
                <c:pt idx="630">
                  <c:v>2.5</c:v>
                </c:pt>
                <c:pt idx="631">
                  <c:v>2.5</c:v>
                </c:pt>
                <c:pt idx="632">
                  <c:v>2.5</c:v>
                </c:pt>
                <c:pt idx="633">
                  <c:v>2.5</c:v>
                </c:pt>
                <c:pt idx="634">
                  <c:v>2.5</c:v>
                </c:pt>
                <c:pt idx="635">
                  <c:v>2</c:v>
                </c:pt>
                <c:pt idx="636">
                  <c:v>2</c:v>
                </c:pt>
                <c:pt idx="637">
                  <c:v>2</c:v>
                </c:pt>
                <c:pt idx="638">
                  <c:v>2</c:v>
                </c:pt>
                <c:pt idx="639">
                  <c:v>1.8</c:v>
                </c:pt>
                <c:pt idx="640">
                  <c:v>1.8</c:v>
                </c:pt>
                <c:pt idx="641">
                  <c:v>2.4</c:v>
                </c:pt>
                <c:pt idx="642">
                  <c:v>2.4</c:v>
                </c:pt>
                <c:pt idx="643">
                  <c:v>2.4</c:v>
                </c:pt>
                <c:pt idx="644">
                  <c:v>2.4</c:v>
                </c:pt>
                <c:pt idx="645">
                  <c:v>2.4</c:v>
                </c:pt>
                <c:pt idx="646">
                  <c:v>2</c:v>
                </c:pt>
                <c:pt idx="647">
                  <c:v>2</c:v>
                </c:pt>
                <c:pt idx="648">
                  <c:v>2.5</c:v>
                </c:pt>
                <c:pt idx="649">
                  <c:v>2.5</c:v>
                </c:pt>
                <c:pt idx="650">
                  <c:v>2.5</c:v>
                </c:pt>
                <c:pt idx="651">
                  <c:v>2.5</c:v>
                </c:pt>
                <c:pt idx="652">
                  <c:v>2.4</c:v>
                </c:pt>
                <c:pt idx="653">
                  <c:v>2.5</c:v>
                </c:pt>
                <c:pt idx="654">
                  <c:v>2.5</c:v>
                </c:pt>
                <c:pt idx="655">
                  <c:v>3</c:v>
                </c:pt>
                <c:pt idx="656">
                  <c:v>3</c:v>
                </c:pt>
                <c:pt idx="657">
                  <c:v>3</c:v>
                </c:pt>
                <c:pt idx="658">
                  <c:v>2.4</c:v>
                </c:pt>
                <c:pt idx="659">
                  <c:v>2.7</c:v>
                </c:pt>
                <c:pt idx="660">
                  <c:v>2</c:v>
                </c:pt>
                <c:pt idx="661">
                  <c:v>3.2</c:v>
                </c:pt>
                <c:pt idx="662">
                  <c:v>2.9</c:v>
                </c:pt>
                <c:pt idx="663">
                  <c:v>2.9</c:v>
                </c:pt>
                <c:pt idx="664">
                  <c:v>3.7</c:v>
                </c:pt>
                <c:pt idx="665">
                  <c:v>5.3</c:v>
                </c:pt>
                <c:pt idx="666">
                  <c:v>3.7</c:v>
                </c:pt>
                <c:pt idx="667">
                  <c:v>2.9</c:v>
                </c:pt>
                <c:pt idx="668">
                  <c:v>2.9</c:v>
                </c:pt>
                <c:pt idx="669">
                  <c:v>3.7</c:v>
                </c:pt>
                <c:pt idx="670">
                  <c:v>5.3</c:v>
                </c:pt>
                <c:pt idx="671">
                  <c:v>2.2999999999999998</c:v>
                </c:pt>
                <c:pt idx="672">
                  <c:v>2.2999999999999998</c:v>
                </c:pt>
                <c:pt idx="673">
                  <c:v>4</c:v>
                </c:pt>
                <c:pt idx="674">
                  <c:v>4</c:v>
                </c:pt>
                <c:pt idx="675">
                  <c:v>2.9</c:v>
                </c:pt>
                <c:pt idx="676">
                  <c:v>2.9</c:v>
                </c:pt>
                <c:pt idx="677">
                  <c:v>3.7</c:v>
                </c:pt>
                <c:pt idx="678">
                  <c:v>5.3</c:v>
                </c:pt>
                <c:pt idx="679">
                  <c:v>3.7</c:v>
                </c:pt>
                <c:pt idx="680">
                  <c:v>2.9</c:v>
                </c:pt>
                <c:pt idx="681">
                  <c:v>2.9</c:v>
                </c:pt>
                <c:pt idx="682">
                  <c:v>3.7</c:v>
                </c:pt>
                <c:pt idx="683">
                  <c:v>5.3</c:v>
                </c:pt>
                <c:pt idx="684">
                  <c:v>2.5</c:v>
                </c:pt>
                <c:pt idx="685">
                  <c:v>2.5</c:v>
                </c:pt>
                <c:pt idx="686">
                  <c:v>4</c:v>
                </c:pt>
                <c:pt idx="687">
                  <c:v>4</c:v>
                </c:pt>
                <c:pt idx="688">
                  <c:v>2.5</c:v>
                </c:pt>
                <c:pt idx="689">
                  <c:v>2.5</c:v>
                </c:pt>
                <c:pt idx="690">
                  <c:v>4</c:v>
                </c:pt>
                <c:pt idx="691">
                  <c:v>2.7</c:v>
                </c:pt>
                <c:pt idx="692">
                  <c:v>2.7</c:v>
                </c:pt>
                <c:pt idx="693">
                  <c:v>4</c:v>
                </c:pt>
                <c:pt idx="694">
                  <c:v>4</c:v>
                </c:pt>
                <c:pt idx="695">
                  <c:v>2.9</c:v>
                </c:pt>
                <c:pt idx="696">
                  <c:v>2.9</c:v>
                </c:pt>
                <c:pt idx="697">
                  <c:v>3.7</c:v>
                </c:pt>
                <c:pt idx="698">
                  <c:v>5.3</c:v>
                </c:pt>
                <c:pt idx="699">
                  <c:v>3.7</c:v>
                </c:pt>
                <c:pt idx="700">
                  <c:v>3.7</c:v>
                </c:pt>
                <c:pt idx="701">
                  <c:v>5.3</c:v>
                </c:pt>
                <c:pt idx="702">
                  <c:v>4</c:v>
                </c:pt>
                <c:pt idx="703">
                  <c:v>4</c:v>
                </c:pt>
                <c:pt idx="704">
                  <c:v>2.9</c:v>
                </c:pt>
                <c:pt idx="705">
                  <c:v>2.9</c:v>
                </c:pt>
                <c:pt idx="706">
                  <c:v>3.7</c:v>
                </c:pt>
                <c:pt idx="707">
                  <c:v>5.3</c:v>
                </c:pt>
                <c:pt idx="708">
                  <c:v>3.7</c:v>
                </c:pt>
                <c:pt idx="709">
                  <c:v>3.7</c:v>
                </c:pt>
                <c:pt idx="710">
                  <c:v>5.3</c:v>
                </c:pt>
                <c:pt idx="711">
                  <c:v>4</c:v>
                </c:pt>
                <c:pt idx="712">
                  <c:v>4</c:v>
                </c:pt>
                <c:pt idx="713">
                  <c:v>4</c:v>
                </c:pt>
                <c:pt idx="714">
                  <c:v>2.7</c:v>
                </c:pt>
                <c:pt idx="715">
                  <c:v>4</c:v>
                </c:pt>
                <c:pt idx="716">
                  <c:v>4</c:v>
                </c:pt>
                <c:pt idx="717">
                  <c:v>4.3</c:v>
                </c:pt>
                <c:pt idx="718">
                  <c:v>4.8</c:v>
                </c:pt>
                <c:pt idx="719">
                  <c:v>5.3</c:v>
                </c:pt>
                <c:pt idx="720">
                  <c:v>6.2</c:v>
                </c:pt>
                <c:pt idx="721">
                  <c:v>6</c:v>
                </c:pt>
                <c:pt idx="722">
                  <c:v>5.3</c:v>
                </c:pt>
                <c:pt idx="723">
                  <c:v>3.7</c:v>
                </c:pt>
                <c:pt idx="724">
                  <c:v>4.7</c:v>
                </c:pt>
                <c:pt idx="725">
                  <c:v>3.7</c:v>
                </c:pt>
                <c:pt idx="726">
                  <c:v>4.7</c:v>
                </c:pt>
                <c:pt idx="727">
                  <c:v>5.7</c:v>
                </c:pt>
                <c:pt idx="728">
                  <c:v>4</c:v>
                </c:pt>
                <c:pt idx="729">
                  <c:v>4.5999999999999996</c:v>
                </c:pt>
                <c:pt idx="730">
                  <c:v>5.4</c:v>
                </c:pt>
                <c:pt idx="731">
                  <c:v>4.5999999999999996</c:v>
                </c:pt>
                <c:pt idx="732">
                  <c:v>4.5999999999999996</c:v>
                </c:pt>
                <c:pt idx="733">
                  <c:v>4.3</c:v>
                </c:pt>
                <c:pt idx="734">
                  <c:v>4.8</c:v>
                </c:pt>
                <c:pt idx="735">
                  <c:v>5.3</c:v>
                </c:pt>
                <c:pt idx="736">
                  <c:v>6.2</c:v>
                </c:pt>
                <c:pt idx="737">
                  <c:v>6</c:v>
                </c:pt>
                <c:pt idx="738">
                  <c:v>5.3</c:v>
                </c:pt>
                <c:pt idx="739">
                  <c:v>5.6</c:v>
                </c:pt>
                <c:pt idx="740">
                  <c:v>5.6</c:v>
                </c:pt>
                <c:pt idx="741">
                  <c:v>4</c:v>
                </c:pt>
                <c:pt idx="742">
                  <c:v>4.5999999999999996</c:v>
                </c:pt>
                <c:pt idx="743">
                  <c:v>5.7</c:v>
                </c:pt>
                <c:pt idx="744">
                  <c:v>4.3</c:v>
                </c:pt>
                <c:pt idx="745">
                  <c:v>4.8</c:v>
                </c:pt>
                <c:pt idx="746">
                  <c:v>5.3</c:v>
                </c:pt>
                <c:pt idx="747">
                  <c:v>6.2</c:v>
                </c:pt>
                <c:pt idx="748">
                  <c:v>6</c:v>
                </c:pt>
                <c:pt idx="749">
                  <c:v>3.7</c:v>
                </c:pt>
                <c:pt idx="750">
                  <c:v>4.7</c:v>
                </c:pt>
                <c:pt idx="751">
                  <c:v>4.7</c:v>
                </c:pt>
                <c:pt idx="752">
                  <c:v>5.7</c:v>
                </c:pt>
                <c:pt idx="753">
                  <c:v>4</c:v>
                </c:pt>
                <c:pt idx="754">
                  <c:v>4.5999999999999996</c:v>
                </c:pt>
                <c:pt idx="755">
                  <c:v>5.4</c:v>
                </c:pt>
                <c:pt idx="756">
                  <c:v>4.5999999999999996</c:v>
                </c:pt>
                <c:pt idx="757">
                  <c:v>4.5999999999999996</c:v>
                </c:pt>
                <c:pt idx="758">
                  <c:v>4.3</c:v>
                </c:pt>
                <c:pt idx="759">
                  <c:v>4.8</c:v>
                </c:pt>
                <c:pt idx="760">
                  <c:v>5.3</c:v>
                </c:pt>
                <c:pt idx="761">
                  <c:v>6.2</c:v>
                </c:pt>
                <c:pt idx="762">
                  <c:v>6</c:v>
                </c:pt>
                <c:pt idx="763">
                  <c:v>6.2</c:v>
                </c:pt>
                <c:pt idx="764">
                  <c:v>3.5</c:v>
                </c:pt>
                <c:pt idx="765">
                  <c:v>3.7</c:v>
                </c:pt>
                <c:pt idx="766">
                  <c:v>3.7</c:v>
                </c:pt>
                <c:pt idx="767">
                  <c:v>5.3</c:v>
                </c:pt>
                <c:pt idx="768">
                  <c:v>5.6</c:v>
                </c:pt>
                <c:pt idx="769">
                  <c:v>5.6</c:v>
                </c:pt>
                <c:pt idx="770">
                  <c:v>4.5999999999999996</c:v>
                </c:pt>
                <c:pt idx="771">
                  <c:v>5.7</c:v>
                </c:pt>
                <c:pt idx="772">
                  <c:v>5.7</c:v>
                </c:pt>
                <c:pt idx="773">
                  <c:v>4.3</c:v>
                </c:pt>
                <c:pt idx="774">
                  <c:v>5.3</c:v>
                </c:pt>
                <c:pt idx="775">
                  <c:v>5.3</c:v>
                </c:pt>
                <c:pt idx="776">
                  <c:v>5.3</c:v>
                </c:pt>
                <c:pt idx="777">
                  <c:v>5.3</c:v>
                </c:pt>
                <c:pt idx="778">
                  <c:v>4.3</c:v>
                </c:pt>
                <c:pt idx="779">
                  <c:v>5.3</c:v>
                </c:pt>
                <c:pt idx="780">
                  <c:v>5.3</c:v>
                </c:pt>
                <c:pt idx="781">
                  <c:v>5.3</c:v>
                </c:pt>
                <c:pt idx="782">
                  <c:v>5.3</c:v>
                </c:pt>
                <c:pt idx="783">
                  <c:v>5.3</c:v>
                </c:pt>
                <c:pt idx="784">
                  <c:v>5.3</c:v>
                </c:pt>
                <c:pt idx="785">
                  <c:v>5.3</c:v>
                </c:pt>
                <c:pt idx="786">
                  <c:v>5.3</c:v>
                </c:pt>
                <c:pt idx="787">
                  <c:v>2</c:v>
                </c:pt>
                <c:pt idx="788">
                  <c:v>3.3</c:v>
                </c:pt>
                <c:pt idx="789">
                  <c:v>3.8</c:v>
                </c:pt>
                <c:pt idx="790">
                  <c:v>4</c:v>
                </c:pt>
                <c:pt idx="791">
                  <c:v>3.3</c:v>
                </c:pt>
                <c:pt idx="792">
                  <c:v>3.8</c:v>
                </c:pt>
                <c:pt idx="793">
                  <c:v>4</c:v>
                </c:pt>
                <c:pt idx="794">
                  <c:v>3.5</c:v>
                </c:pt>
                <c:pt idx="795">
                  <c:v>3.5</c:v>
                </c:pt>
                <c:pt idx="796">
                  <c:v>3.8</c:v>
                </c:pt>
                <c:pt idx="797">
                  <c:v>3.8</c:v>
                </c:pt>
                <c:pt idx="798">
                  <c:v>2.2999999999999998</c:v>
                </c:pt>
                <c:pt idx="799">
                  <c:v>2.2999999999999998</c:v>
                </c:pt>
                <c:pt idx="800">
                  <c:v>3.5</c:v>
                </c:pt>
                <c:pt idx="801">
                  <c:v>3.8</c:v>
                </c:pt>
                <c:pt idx="802">
                  <c:v>4</c:v>
                </c:pt>
                <c:pt idx="803">
                  <c:v>3.5</c:v>
                </c:pt>
                <c:pt idx="804">
                  <c:v>2.2999999999999998</c:v>
                </c:pt>
                <c:pt idx="805">
                  <c:v>3.6</c:v>
                </c:pt>
                <c:pt idx="806">
                  <c:v>6.2</c:v>
                </c:pt>
                <c:pt idx="807">
                  <c:v>6</c:v>
                </c:pt>
                <c:pt idx="808">
                  <c:v>6.2</c:v>
                </c:pt>
                <c:pt idx="809">
                  <c:v>3</c:v>
                </c:pt>
                <c:pt idx="810">
                  <c:v>5.3</c:v>
                </c:pt>
                <c:pt idx="811">
                  <c:v>6.2</c:v>
                </c:pt>
                <c:pt idx="812">
                  <c:v>5.3</c:v>
                </c:pt>
                <c:pt idx="813">
                  <c:v>6.2</c:v>
                </c:pt>
                <c:pt idx="814">
                  <c:v>5.3</c:v>
                </c:pt>
                <c:pt idx="815">
                  <c:v>6</c:v>
                </c:pt>
                <c:pt idx="816">
                  <c:v>2.4</c:v>
                </c:pt>
                <c:pt idx="817">
                  <c:v>3</c:v>
                </c:pt>
                <c:pt idx="818">
                  <c:v>2</c:v>
                </c:pt>
                <c:pt idx="819">
                  <c:v>2</c:v>
                </c:pt>
                <c:pt idx="820">
                  <c:v>2.2000000000000002</c:v>
                </c:pt>
                <c:pt idx="821">
                  <c:v>2.2000000000000002</c:v>
                </c:pt>
                <c:pt idx="822">
                  <c:v>2.4</c:v>
                </c:pt>
                <c:pt idx="823">
                  <c:v>2.4</c:v>
                </c:pt>
                <c:pt idx="824">
                  <c:v>2.2000000000000002</c:v>
                </c:pt>
                <c:pt idx="825">
                  <c:v>2.2000000000000002</c:v>
                </c:pt>
                <c:pt idx="826">
                  <c:v>2.4</c:v>
                </c:pt>
                <c:pt idx="827">
                  <c:v>2.4</c:v>
                </c:pt>
                <c:pt idx="828">
                  <c:v>3.6</c:v>
                </c:pt>
                <c:pt idx="829">
                  <c:v>2.4</c:v>
                </c:pt>
                <c:pt idx="830">
                  <c:v>2.4</c:v>
                </c:pt>
                <c:pt idx="831">
                  <c:v>3.5</c:v>
                </c:pt>
                <c:pt idx="832">
                  <c:v>3.7</c:v>
                </c:pt>
                <c:pt idx="833">
                  <c:v>4</c:v>
                </c:pt>
                <c:pt idx="834">
                  <c:v>3.5</c:v>
                </c:pt>
                <c:pt idx="835">
                  <c:v>2.5</c:v>
                </c:pt>
                <c:pt idx="836">
                  <c:v>2.5</c:v>
                </c:pt>
                <c:pt idx="837">
                  <c:v>3</c:v>
                </c:pt>
                <c:pt idx="838">
                  <c:v>2.5</c:v>
                </c:pt>
                <c:pt idx="839">
                  <c:v>5.4</c:v>
                </c:pt>
                <c:pt idx="840">
                  <c:v>4</c:v>
                </c:pt>
                <c:pt idx="841">
                  <c:v>4.5999999999999996</c:v>
                </c:pt>
                <c:pt idx="842">
                  <c:v>3.5</c:v>
                </c:pt>
                <c:pt idx="843">
                  <c:v>3.6</c:v>
                </c:pt>
                <c:pt idx="844">
                  <c:v>5.3</c:v>
                </c:pt>
                <c:pt idx="845">
                  <c:v>6.2</c:v>
                </c:pt>
                <c:pt idx="846">
                  <c:v>6</c:v>
                </c:pt>
                <c:pt idx="847">
                  <c:v>5.3</c:v>
                </c:pt>
                <c:pt idx="848">
                  <c:v>6.2</c:v>
                </c:pt>
                <c:pt idx="849">
                  <c:v>6.2</c:v>
                </c:pt>
                <c:pt idx="850">
                  <c:v>2.4</c:v>
                </c:pt>
                <c:pt idx="851">
                  <c:v>3</c:v>
                </c:pt>
                <c:pt idx="852">
                  <c:v>3.5</c:v>
                </c:pt>
                <c:pt idx="853">
                  <c:v>2.4</c:v>
                </c:pt>
                <c:pt idx="854">
                  <c:v>2.4</c:v>
                </c:pt>
                <c:pt idx="855">
                  <c:v>2.4</c:v>
                </c:pt>
                <c:pt idx="856">
                  <c:v>3.5</c:v>
                </c:pt>
                <c:pt idx="857">
                  <c:v>2.4</c:v>
                </c:pt>
                <c:pt idx="858">
                  <c:v>2.4</c:v>
                </c:pt>
                <c:pt idx="859">
                  <c:v>3.5</c:v>
                </c:pt>
                <c:pt idx="860">
                  <c:v>2.4</c:v>
                </c:pt>
                <c:pt idx="861">
                  <c:v>2.4</c:v>
                </c:pt>
                <c:pt idx="862">
                  <c:v>3.8</c:v>
                </c:pt>
                <c:pt idx="863">
                  <c:v>3.5</c:v>
                </c:pt>
                <c:pt idx="864">
                  <c:v>5.6</c:v>
                </c:pt>
                <c:pt idx="865">
                  <c:v>3.7</c:v>
                </c:pt>
                <c:pt idx="866">
                  <c:v>5.7</c:v>
                </c:pt>
                <c:pt idx="867">
                  <c:v>2</c:v>
                </c:pt>
                <c:pt idx="868">
                  <c:v>2</c:v>
                </c:pt>
                <c:pt idx="869">
                  <c:v>2.4</c:v>
                </c:pt>
                <c:pt idx="870">
                  <c:v>2.4</c:v>
                </c:pt>
                <c:pt idx="871">
                  <c:v>3.7</c:v>
                </c:pt>
                <c:pt idx="872">
                  <c:v>5.7</c:v>
                </c:pt>
                <c:pt idx="873">
                  <c:v>3.7</c:v>
                </c:pt>
                <c:pt idx="874">
                  <c:v>2</c:v>
                </c:pt>
                <c:pt idx="875">
                  <c:v>2</c:v>
                </c:pt>
                <c:pt idx="876">
                  <c:v>2.4</c:v>
                </c:pt>
                <c:pt idx="877">
                  <c:v>2.4</c:v>
                </c:pt>
                <c:pt idx="878">
                  <c:v>3.8</c:v>
                </c:pt>
                <c:pt idx="879">
                  <c:v>3.8</c:v>
                </c:pt>
                <c:pt idx="880">
                  <c:v>4.5999999999999996</c:v>
                </c:pt>
                <c:pt idx="881">
                  <c:v>2</c:v>
                </c:pt>
                <c:pt idx="882">
                  <c:v>2</c:v>
                </c:pt>
                <c:pt idx="883">
                  <c:v>2.7</c:v>
                </c:pt>
                <c:pt idx="884">
                  <c:v>3.5</c:v>
                </c:pt>
                <c:pt idx="885">
                  <c:v>3.5</c:v>
                </c:pt>
                <c:pt idx="886">
                  <c:v>3.5</c:v>
                </c:pt>
                <c:pt idx="887">
                  <c:v>3.5</c:v>
                </c:pt>
                <c:pt idx="888">
                  <c:v>5.4</c:v>
                </c:pt>
                <c:pt idx="889">
                  <c:v>2.2999999999999998</c:v>
                </c:pt>
                <c:pt idx="890">
                  <c:v>2.5</c:v>
                </c:pt>
                <c:pt idx="891">
                  <c:v>3.7</c:v>
                </c:pt>
                <c:pt idx="892">
                  <c:v>2.5</c:v>
                </c:pt>
                <c:pt idx="893">
                  <c:v>2.5</c:v>
                </c:pt>
                <c:pt idx="894">
                  <c:v>3</c:v>
                </c:pt>
                <c:pt idx="895">
                  <c:v>2.5</c:v>
                </c:pt>
                <c:pt idx="896">
                  <c:v>3.5</c:v>
                </c:pt>
                <c:pt idx="897">
                  <c:v>3.5</c:v>
                </c:pt>
                <c:pt idx="898">
                  <c:v>2.5</c:v>
                </c:pt>
                <c:pt idx="899">
                  <c:v>3</c:v>
                </c:pt>
                <c:pt idx="900">
                  <c:v>2.5</c:v>
                </c:pt>
                <c:pt idx="901">
                  <c:v>4</c:v>
                </c:pt>
                <c:pt idx="902">
                  <c:v>4.5999999999999996</c:v>
                </c:pt>
                <c:pt idx="903">
                  <c:v>2.4</c:v>
                </c:pt>
                <c:pt idx="904">
                  <c:v>3</c:v>
                </c:pt>
                <c:pt idx="905">
                  <c:v>3.8</c:v>
                </c:pt>
                <c:pt idx="906">
                  <c:v>5.6</c:v>
                </c:pt>
                <c:pt idx="907">
                  <c:v>5.6</c:v>
                </c:pt>
                <c:pt idx="908">
                  <c:v>3.5</c:v>
                </c:pt>
                <c:pt idx="909">
                  <c:v>4</c:v>
                </c:pt>
                <c:pt idx="910">
                  <c:v>4</c:v>
                </c:pt>
                <c:pt idx="911">
                  <c:v>2.5</c:v>
                </c:pt>
                <c:pt idx="912">
                  <c:v>4</c:v>
                </c:pt>
                <c:pt idx="913">
                  <c:v>4</c:v>
                </c:pt>
                <c:pt idx="914">
                  <c:v>3.6</c:v>
                </c:pt>
                <c:pt idx="915">
                  <c:v>2.4</c:v>
                </c:pt>
                <c:pt idx="916">
                  <c:v>3.6</c:v>
                </c:pt>
                <c:pt idx="917">
                  <c:v>3.6</c:v>
                </c:pt>
                <c:pt idx="918">
                  <c:v>2.4</c:v>
                </c:pt>
                <c:pt idx="919">
                  <c:v>2.4</c:v>
                </c:pt>
                <c:pt idx="920">
                  <c:v>2.4</c:v>
                </c:pt>
                <c:pt idx="921">
                  <c:v>3.2</c:v>
                </c:pt>
                <c:pt idx="922">
                  <c:v>2.7</c:v>
                </c:pt>
                <c:pt idx="923">
                  <c:v>4</c:v>
                </c:pt>
                <c:pt idx="924">
                  <c:v>4</c:v>
                </c:pt>
                <c:pt idx="925">
                  <c:v>2.7</c:v>
                </c:pt>
                <c:pt idx="926">
                  <c:v>3.5</c:v>
                </c:pt>
                <c:pt idx="927">
                  <c:v>2.5</c:v>
                </c:pt>
                <c:pt idx="928">
                  <c:v>3.5</c:v>
                </c:pt>
                <c:pt idx="929">
                  <c:v>4.5999999999999996</c:v>
                </c:pt>
                <c:pt idx="930">
                  <c:v>5.7</c:v>
                </c:pt>
                <c:pt idx="931">
                  <c:v>2.7</c:v>
                </c:pt>
                <c:pt idx="932">
                  <c:v>3.5</c:v>
                </c:pt>
                <c:pt idx="933">
                  <c:v>2</c:v>
                </c:pt>
                <c:pt idx="934">
                  <c:v>2</c:v>
                </c:pt>
                <c:pt idx="935">
                  <c:v>3.2</c:v>
                </c:pt>
                <c:pt idx="936">
                  <c:v>3.2</c:v>
                </c:pt>
                <c:pt idx="937">
                  <c:v>3.5</c:v>
                </c:pt>
                <c:pt idx="938">
                  <c:v>2.2999999999999998</c:v>
                </c:pt>
                <c:pt idx="939">
                  <c:v>3.7</c:v>
                </c:pt>
                <c:pt idx="940">
                  <c:v>3.2</c:v>
                </c:pt>
                <c:pt idx="941">
                  <c:v>3</c:v>
                </c:pt>
                <c:pt idx="942">
                  <c:v>3.6</c:v>
                </c:pt>
                <c:pt idx="943">
                  <c:v>4.2</c:v>
                </c:pt>
                <c:pt idx="944">
                  <c:v>4.4000000000000004</c:v>
                </c:pt>
                <c:pt idx="945">
                  <c:v>3</c:v>
                </c:pt>
                <c:pt idx="946">
                  <c:v>3</c:v>
                </c:pt>
                <c:pt idx="947">
                  <c:v>3</c:v>
                </c:pt>
                <c:pt idx="948">
                  <c:v>3</c:v>
                </c:pt>
                <c:pt idx="949">
                  <c:v>4.8</c:v>
                </c:pt>
                <c:pt idx="950">
                  <c:v>4.4000000000000004</c:v>
                </c:pt>
                <c:pt idx="951">
                  <c:v>3</c:v>
                </c:pt>
                <c:pt idx="952">
                  <c:v>4.4000000000000004</c:v>
                </c:pt>
                <c:pt idx="953">
                  <c:v>4.4000000000000004</c:v>
                </c:pt>
                <c:pt idx="954">
                  <c:v>3.6</c:v>
                </c:pt>
                <c:pt idx="955">
                  <c:v>6.2</c:v>
                </c:pt>
                <c:pt idx="956">
                  <c:v>2.8</c:v>
                </c:pt>
                <c:pt idx="957">
                  <c:v>3</c:v>
                </c:pt>
                <c:pt idx="958">
                  <c:v>2.4</c:v>
                </c:pt>
                <c:pt idx="959">
                  <c:v>3</c:v>
                </c:pt>
                <c:pt idx="960">
                  <c:v>5.3</c:v>
                </c:pt>
                <c:pt idx="961">
                  <c:v>6</c:v>
                </c:pt>
                <c:pt idx="962">
                  <c:v>3.6</c:v>
                </c:pt>
                <c:pt idx="963">
                  <c:v>3.5</c:v>
                </c:pt>
                <c:pt idx="964">
                  <c:v>3.7</c:v>
                </c:pt>
                <c:pt idx="965">
                  <c:v>4</c:v>
                </c:pt>
                <c:pt idx="966">
                  <c:v>3.5</c:v>
                </c:pt>
                <c:pt idx="967">
                  <c:v>2.5</c:v>
                </c:pt>
                <c:pt idx="968">
                  <c:v>3</c:v>
                </c:pt>
                <c:pt idx="969">
                  <c:v>2.5</c:v>
                </c:pt>
                <c:pt idx="970">
                  <c:v>5.4</c:v>
                </c:pt>
                <c:pt idx="971">
                  <c:v>4</c:v>
                </c:pt>
                <c:pt idx="972">
                  <c:v>4.5999999999999996</c:v>
                </c:pt>
                <c:pt idx="973">
                  <c:v>3.5</c:v>
                </c:pt>
                <c:pt idx="974">
                  <c:v>3.5</c:v>
                </c:pt>
                <c:pt idx="975">
                  <c:v>3.6</c:v>
                </c:pt>
                <c:pt idx="976">
                  <c:v>5.3</c:v>
                </c:pt>
                <c:pt idx="977">
                  <c:v>6</c:v>
                </c:pt>
                <c:pt idx="978">
                  <c:v>6.2</c:v>
                </c:pt>
                <c:pt idx="979">
                  <c:v>2.4</c:v>
                </c:pt>
                <c:pt idx="980">
                  <c:v>3</c:v>
                </c:pt>
                <c:pt idx="981">
                  <c:v>3.5</c:v>
                </c:pt>
                <c:pt idx="982">
                  <c:v>2.4</c:v>
                </c:pt>
                <c:pt idx="983">
                  <c:v>2.4</c:v>
                </c:pt>
                <c:pt idx="984">
                  <c:v>2.4</c:v>
                </c:pt>
                <c:pt idx="985">
                  <c:v>3.5</c:v>
                </c:pt>
                <c:pt idx="986">
                  <c:v>3.7</c:v>
                </c:pt>
                <c:pt idx="987">
                  <c:v>3.7</c:v>
                </c:pt>
                <c:pt idx="988">
                  <c:v>5.3</c:v>
                </c:pt>
                <c:pt idx="989">
                  <c:v>2.4</c:v>
                </c:pt>
                <c:pt idx="990">
                  <c:v>3.5</c:v>
                </c:pt>
                <c:pt idx="991">
                  <c:v>2.4</c:v>
                </c:pt>
                <c:pt idx="992">
                  <c:v>2.4</c:v>
                </c:pt>
                <c:pt idx="993">
                  <c:v>3.8</c:v>
                </c:pt>
                <c:pt idx="994">
                  <c:v>3.5</c:v>
                </c:pt>
                <c:pt idx="995">
                  <c:v>5</c:v>
                </c:pt>
                <c:pt idx="996">
                  <c:v>5.6</c:v>
                </c:pt>
                <c:pt idx="997">
                  <c:v>3.7</c:v>
                </c:pt>
                <c:pt idx="998">
                  <c:v>5.7</c:v>
                </c:pt>
                <c:pt idx="999">
                  <c:v>2.4</c:v>
                </c:pt>
                <c:pt idx="1000">
                  <c:v>2.4</c:v>
                </c:pt>
                <c:pt idx="1001">
                  <c:v>3.7</c:v>
                </c:pt>
                <c:pt idx="1002">
                  <c:v>5.7</c:v>
                </c:pt>
                <c:pt idx="1003">
                  <c:v>6.1</c:v>
                </c:pt>
                <c:pt idx="1004">
                  <c:v>3.7</c:v>
                </c:pt>
                <c:pt idx="1005">
                  <c:v>2.4</c:v>
                </c:pt>
                <c:pt idx="1006">
                  <c:v>2.4</c:v>
                </c:pt>
                <c:pt idx="1007">
                  <c:v>2.4</c:v>
                </c:pt>
                <c:pt idx="1008">
                  <c:v>3.8</c:v>
                </c:pt>
                <c:pt idx="1009">
                  <c:v>3.8</c:v>
                </c:pt>
                <c:pt idx="1010">
                  <c:v>3.8</c:v>
                </c:pt>
                <c:pt idx="1011">
                  <c:v>4.5999999999999996</c:v>
                </c:pt>
                <c:pt idx="1012">
                  <c:v>2</c:v>
                </c:pt>
                <c:pt idx="1013">
                  <c:v>2.7</c:v>
                </c:pt>
                <c:pt idx="1014">
                  <c:v>3.2</c:v>
                </c:pt>
                <c:pt idx="1015">
                  <c:v>5</c:v>
                </c:pt>
                <c:pt idx="1016">
                  <c:v>5</c:v>
                </c:pt>
                <c:pt idx="1017">
                  <c:v>5</c:v>
                </c:pt>
                <c:pt idx="1018">
                  <c:v>5</c:v>
                </c:pt>
                <c:pt idx="1019">
                  <c:v>5</c:v>
                </c:pt>
                <c:pt idx="1020">
                  <c:v>4.5999999999999996</c:v>
                </c:pt>
                <c:pt idx="1021">
                  <c:v>5.7</c:v>
                </c:pt>
                <c:pt idx="1022">
                  <c:v>3.5</c:v>
                </c:pt>
                <c:pt idx="1023">
                  <c:v>3.5</c:v>
                </c:pt>
                <c:pt idx="1024">
                  <c:v>3.5</c:v>
                </c:pt>
                <c:pt idx="1025">
                  <c:v>3.5</c:v>
                </c:pt>
                <c:pt idx="1026">
                  <c:v>3.5</c:v>
                </c:pt>
                <c:pt idx="1027">
                  <c:v>2.2999999999999998</c:v>
                </c:pt>
                <c:pt idx="1028">
                  <c:v>3.7</c:v>
                </c:pt>
                <c:pt idx="1029">
                  <c:v>2.5</c:v>
                </c:pt>
                <c:pt idx="1030">
                  <c:v>3</c:v>
                </c:pt>
                <c:pt idx="1031">
                  <c:v>2.5</c:v>
                </c:pt>
                <c:pt idx="1032">
                  <c:v>5.4</c:v>
                </c:pt>
                <c:pt idx="1033">
                  <c:v>5.5</c:v>
                </c:pt>
                <c:pt idx="1034">
                  <c:v>3</c:v>
                </c:pt>
                <c:pt idx="1035">
                  <c:v>4.7</c:v>
                </c:pt>
                <c:pt idx="1036">
                  <c:v>5.5</c:v>
                </c:pt>
                <c:pt idx="1037">
                  <c:v>3.5</c:v>
                </c:pt>
                <c:pt idx="1038">
                  <c:v>3.5</c:v>
                </c:pt>
                <c:pt idx="1039">
                  <c:v>3</c:v>
                </c:pt>
                <c:pt idx="1040">
                  <c:v>5.5</c:v>
                </c:pt>
                <c:pt idx="1041">
                  <c:v>6.3</c:v>
                </c:pt>
                <c:pt idx="1042">
                  <c:v>3.5</c:v>
                </c:pt>
                <c:pt idx="1043">
                  <c:v>3.5</c:v>
                </c:pt>
                <c:pt idx="1044">
                  <c:v>3</c:v>
                </c:pt>
                <c:pt idx="1045">
                  <c:v>2.5</c:v>
                </c:pt>
                <c:pt idx="1046">
                  <c:v>3</c:v>
                </c:pt>
                <c:pt idx="1047">
                  <c:v>2.5</c:v>
                </c:pt>
                <c:pt idx="1048">
                  <c:v>4</c:v>
                </c:pt>
                <c:pt idx="1049">
                  <c:v>4.5999999999999996</c:v>
                </c:pt>
                <c:pt idx="1050">
                  <c:v>2.4</c:v>
                </c:pt>
                <c:pt idx="1051">
                  <c:v>3</c:v>
                </c:pt>
                <c:pt idx="1052">
                  <c:v>3.8</c:v>
                </c:pt>
                <c:pt idx="1053">
                  <c:v>5.6</c:v>
                </c:pt>
                <c:pt idx="1054">
                  <c:v>5.6</c:v>
                </c:pt>
                <c:pt idx="1055">
                  <c:v>3.5</c:v>
                </c:pt>
                <c:pt idx="1056">
                  <c:v>4</c:v>
                </c:pt>
                <c:pt idx="1057">
                  <c:v>5.6</c:v>
                </c:pt>
                <c:pt idx="1058">
                  <c:v>2.5</c:v>
                </c:pt>
                <c:pt idx="1059">
                  <c:v>4</c:v>
                </c:pt>
                <c:pt idx="1060">
                  <c:v>4</c:v>
                </c:pt>
                <c:pt idx="1061">
                  <c:v>3.6</c:v>
                </c:pt>
                <c:pt idx="1062">
                  <c:v>3.6</c:v>
                </c:pt>
                <c:pt idx="1063">
                  <c:v>4.8</c:v>
                </c:pt>
                <c:pt idx="1064">
                  <c:v>4.8</c:v>
                </c:pt>
                <c:pt idx="1065">
                  <c:v>4.8</c:v>
                </c:pt>
                <c:pt idx="1066">
                  <c:v>4.8</c:v>
                </c:pt>
                <c:pt idx="1067">
                  <c:v>4.8</c:v>
                </c:pt>
                <c:pt idx="1068">
                  <c:v>4.8</c:v>
                </c:pt>
                <c:pt idx="1069">
                  <c:v>4.8</c:v>
                </c:pt>
                <c:pt idx="1070">
                  <c:v>3.6</c:v>
                </c:pt>
                <c:pt idx="1071">
                  <c:v>3.5</c:v>
                </c:pt>
                <c:pt idx="1072">
                  <c:v>3.6</c:v>
                </c:pt>
                <c:pt idx="1073">
                  <c:v>3.6</c:v>
                </c:pt>
                <c:pt idx="1074">
                  <c:v>2.5</c:v>
                </c:pt>
                <c:pt idx="1075">
                  <c:v>2.5</c:v>
                </c:pt>
                <c:pt idx="1076">
                  <c:v>2.5</c:v>
                </c:pt>
                <c:pt idx="1077">
                  <c:v>2.5</c:v>
                </c:pt>
                <c:pt idx="1078">
                  <c:v>2.5</c:v>
                </c:pt>
                <c:pt idx="1079">
                  <c:v>3.6</c:v>
                </c:pt>
                <c:pt idx="1080">
                  <c:v>3.6</c:v>
                </c:pt>
                <c:pt idx="1081">
                  <c:v>2.4</c:v>
                </c:pt>
                <c:pt idx="1082">
                  <c:v>2.4</c:v>
                </c:pt>
                <c:pt idx="1083">
                  <c:v>3.2</c:v>
                </c:pt>
                <c:pt idx="1084">
                  <c:v>4</c:v>
                </c:pt>
                <c:pt idx="1085">
                  <c:v>4</c:v>
                </c:pt>
                <c:pt idx="1086">
                  <c:v>4</c:v>
                </c:pt>
                <c:pt idx="1087">
                  <c:v>4</c:v>
                </c:pt>
                <c:pt idx="1088">
                  <c:v>3.5</c:v>
                </c:pt>
                <c:pt idx="1089">
                  <c:v>3.3</c:v>
                </c:pt>
                <c:pt idx="1090">
                  <c:v>5.7</c:v>
                </c:pt>
                <c:pt idx="1091">
                  <c:v>2.5</c:v>
                </c:pt>
                <c:pt idx="1092">
                  <c:v>3.5</c:v>
                </c:pt>
                <c:pt idx="1093">
                  <c:v>4.5999999999999996</c:v>
                </c:pt>
                <c:pt idx="1094">
                  <c:v>5.7</c:v>
                </c:pt>
                <c:pt idx="1095">
                  <c:v>5.7</c:v>
                </c:pt>
                <c:pt idx="1096">
                  <c:v>2.7</c:v>
                </c:pt>
                <c:pt idx="1097">
                  <c:v>3.5</c:v>
                </c:pt>
                <c:pt idx="1098">
                  <c:v>2</c:v>
                </c:pt>
                <c:pt idx="1099">
                  <c:v>3</c:v>
                </c:pt>
                <c:pt idx="1100">
                  <c:v>3.6</c:v>
                </c:pt>
                <c:pt idx="1101">
                  <c:v>3</c:v>
                </c:pt>
                <c:pt idx="1102">
                  <c:v>3.2</c:v>
                </c:pt>
                <c:pt idx="1103">
                  <c:v>3</c:v>
                </c:pt>
                <c:pt idx="1104">
                  <c:v>3.2</c:v>
                </c:pt>
                <c:pt idx="1105">
                  <c:v>3.2</c:v>
                </c:pt>
                <c:pt idx="1106">
                  <c:v>4.4000000000000004</c:v>
                </c:pt>
              </c:numCache>
            </c:numRef>
          </c:xVal>
          <c:yVal>
            <c:numRef>
              <c:f>'Q.2, 3, 5'!$B$6:$B$1112</c:f>
              <c:numCache>
                <c:formatCode>0.00</c:formatCode>
                <c:ptCount val="1107"/>
                <c:pt idx="0">
                  <c:v>28.0198</c:v>
                </c:pt>
                <c:pt idx="1">
                  <c:v>25.609400000000001</c:v>
                </c:pt>
                <c:pt idx="2">
                  <c:v>26.8</c:v>
                </c:pt>
                <c:pt idx="3">
                  <c:v>25.045100000000001</c:v>
                </c:pt>
                <c:pt idx="4">
                  <c:v>24.8</c:v>
                </c:pt>
                <c:pt idx="5">
                  <c:v>23.9</c:v>
                </c:pt>
                <c:pt idx="6">
                  <c:v>39.7256</c:v>
                </c:pt>
                <c:pt idx="7">
                  <c:v>24.4</c:v>
                </c:pt>
                <c:pt idx="8">
                  <c:v>39.710299999999997</c:v>
                </c:pt>
                <c:pt idx="9">
                  <c:v>38.7896</c:v>
                </c:pt>
                <c:pt idx="10">
                  <c:v>33.629600000000003</c:v>
                </c:pt>
                <c:pt idx="11">
                  <c:v>35.267800000000001</c:v>
                </c:pt>
                <c:pt idx="12">
                  <c:v>17.8</c:v>
                </c:pt>
                <c:pt idx="13">
                  <c:v>27.1</c:v>
                </c:pt>
                <c:pt idx="14">
                  <c:v>34.349299999999999</c:v>
                </c:pt>
                <c:pt idx="15">
                  <c:v>35.799999999999997</c:v>
                </c:pt>
                <c:pt idx="16">
                  <c:v>33.700000000000003</c:v>
                </c:pt>
                <c:pt idx="17">
                  <c:v>30</c:v>
                </c:pt>
                <c:pt idx="18">
                  <c:v>30</c:v>
                </c:pt>
                <c:pt idx="19">
                  <c:v>24.349900000000002</c:v>
                </c:pt>
                <c:pt idx="20">
                  <c:v>20.99</c:v>
                </c:pt>
                <c:pt idx="21">
                  <c:v>21.1</c:v>
                </c:pt>
                <c:pt idx="22">
                  <c:v>25.4</c:v>
                </c:pt>
                <c:pt idx="23">
                  <c:v>24</c:v>
                </c:pt>
                <c:pt idx="24">
                  <c:v>25.4</c:v>
                </c:pt>
                <c:pt idx="25">
                  <c:v>22.6</c:v>
                </c:pt>
                <c:pt idx="26">
                  <c:v>17.5</c:v>
                </c:pt>
                <c:pt idx="27">
                  <c:v>19.899999999999999</c:v>
                </c:pt>
                <c:pt idx="28">
                  <c:v>19.899999999999999</c:v>
                </c:pt>
                <c:pt idx="29">
                  <c:v>17.5</c:v>
                </c:pt>
                <c:pt idx="30">
                  <c:v>19.899999999999999</c:v>
                </c:pt>
                <c:pt idx="31">
                  <c:v>37.619999999999997</c:v>
                </c:pt>
                <c:pt idx="32">
                  <c:v>37.002800000000001</c:v>
                </c:pt>
                <c:pt idx="33">
                  <c:v>38.995899999999999</c:v>
                </c:pt>
                <c:pt idx="34">
                  <c:v>39</c:v>
                </c:pt>
                <c:pt idx="35">
                  <c:v>38.512</c:v>
                </c:pt>
                <c:pt idx="36">
                  <c:v>29.3</c:v>
                </c:pt>
                <c:pt idx="37">
                  <c:v>35.9</c:v>
                </c:pt>
                <c:pt idx="38">
                  <c:v>36.200000000000003</c:v>
                </c:pt>
                <c:pt idx="39">
                  <c:v>34.5</c:v>
                </c:pt>
                <c:pt idx="40">
                  <c:v>34.792700000000004</c:v>
                </c:pt>
                <c:pt idx="41">
                  <c:v>30.8</c:v>
                </c:pt>
                <c:pt idx="42">
                  <c:v>57.8</c:v>
                </c:pt>
                <c:pt idx="43">
                  <c:v>57.8</c:v>
                </c:pt>
                <c:pt idx="44">
                  <c:v>35.980200000000004</c:v>
                </c:pt>
                <c:pt idx="45">
                  <c:v>36.9</c:v>
                </c:pt>
                <c:pt idx="46">
                  <c:v>34.583199999999998</c:v>
                </c:pt>
                <c:pt idx="47">
                  <c:v>34.9</c:v>
                </c:pt>
                <c:pt idx="48">
                  <c:v>37.5</c:v>
                </c:pt>
                <c:pt idx="49">
                  <c:v>40</c:v>
                </c:pt>
                <c:pt idx="50">
                  <c:v>33.6</c:v>
                </c:pt>
                <c:pt idx="51">
                  <c:v>36.4</c:v>
                </c:pt>
                <c:pt idx="52">
                  <c:v>28.5532</c:v>
                </c:pt>
                <c:pt idx="53">
                  <c:v>27.372</c:v>
                </c:pt>
                <c:pt idx="54">
                  <c:v>37.329599999999999</c:v>
                </c:pt>
                <c:pt idx="55">
                  <c:v>41.360799999999998</c:v>
                </c:pt>
                <c:pt idx="56">
                  <c:v>36.729900000000001</c:v>
                </c:pt>
                <c:pt idx="57">
                  <c:v>40.997799999999998</c:v>
                </c:pt>
                <c:pt idx="58">
                  <c:v>37.329599999999999</c:v>
                </c:pt>
                <c:pt idx="59">
                  <c:v>41.360799999999998</c:v>
                </c:pt>
                <c:pt idx="60">
                  <c:v>36.729900000000001</c:v>
                </c:pt>
                <c:pt idx="61">
                  <c:v>40.997799999999998</c:v>
                </c:pt>
                <c:pt idx="62">
                  <c:v>37.5</c:v>
                </c:pt>
                <c:pt idx="63">
                  <c:v>40</c:v>
                </c:pt>
                <c:pt idx="64">
                  <c:v>36.4</c:v>
                </c:pt>
                <c:pt idx="65">
                  <c:v>33.6</c:v>
                </c:pt>
                <c:pt idx="66">
                  <c:v>27.471</c:v>
                </c:pt>
                <c:pt idx="67">
                  <c:v>23.6523</c:v>
                </c:pt>
                <c:pt idx="68">
                  <c:v>27.2408</c:v>
                </c:pt>
                <c:pt idx="69">
                  <c:v>22.925799999999999</c:v>
                </c:pt>
                <c:pt idx="70">
                  <c:v>24.6983</c:v>
                </c:pt>
                <c:pt idx="71">
                  <c:v>26.1157</c:v>
                </c:pt>
                <c:pt idx="72">
                  <c:v>32.880800000000001</c:v>
                </c:pt>
                <c:pt idx="73">
                  <c:v>30.337800000000001</c:v>
                </c:pt>
                <c:pt idx="74">
                  <c:v>30.802700000000002</c:v>
                </c:pt>
                <c:pt idx="75">
                  <c:v>31.6</c:v>
                </c:pt>
                <c:pt idx="76">
                  <c:v>35.5</c:v>
                </c:pt>
                <c:pt idx="77">
                  <c:v>51.655500000000004</c:v>
                </c:pt>
                <c:pt idx="78">
                  <c:v>47.202500000000001</c:v>
                </c:pt>
                <c:pt idx="79">
                  <c:v>52</c:v>
                </c:pt>
                <c:pt idx="80">
                  <c:v>47.202500000000001</c:v>
                </c:pt>
                <c:pt idx="81">
                  <c:v>44.571399999999997</c:v>
                </c:pt>
                <c:pt idx="82">
                  <c:v>47.7592</c:v>
                </c:pt>
                <c:pt idx="83">
                  <c:v>44.571399999999997</c:v>
                </c:pt>
                <c:pt idx="84">
                  <c:v>47.7592</c:v>
                </c:pt>
                <c:pt idx="85">
                  <c:v>46.5047</c:v>
                </c:pt>
                <c:pt idx="86">
                  <c:v>46.5047</c:v>
                </c:pt>
                <c:pt idx="87">
                  <c:v>36.262799999999999</c:v>
                </c:pt>
                <c:pt idx="88">
                  <c:v>33.200000000000003</c:v>
                </c:pt>
                <c:pt idx="89">
                  <c:v>35.242699999999999</c:v>
                </c:pt>
                <c:pt idx="90">
                  <c:v>37.690800000000003</c:v>
                </c:pt>
                <c:pt idx="91">
                  <c:v>34.875399999999999</c:v>
                </c:pt>
                <c:pt idx="92">
                  <c:v>36.756300000000003</c:v>
                </c:pt>
                <c:pt idx="93">
                  <c:v>34.875399999999999</c:v>
                </c:pt>
                <c:pt idx="94">
                  <c:v>36.439500000000002</c:v>
                </c:pt>
                <c:pt idx="95">
                  <c:v>34.875399999999999</c:v>
                </c:pt>
                <c:pt idx="96">
                  <c:v>36.439500000000002</c:v>
                </c:pt>
                <c:pt idx="97">
                  <c:v>34.514800000000001</c:v>
                </c:pt>
                <c:pt idx="98">
                  <c:v>36.012999999999998</c:v>
                </c:pt>
                <c:pt idx="99">
                  <c:v>34.514800000000001</c:v>
                </c:pt>
                <c:pt idx="100">
                  <c:v>37.076900000000002</c:v>
                </c:pt>
                <c:pt idx="101">
                  <c:v>34.514800000000001</c:v>
                </c:pt>
                <c:pt idx="102">
                  <c:v>37.076900000000002</c:v>
                </c:pt>
                <c:pt idx="103">
                  <c:v>35.242699999999999</c:v>
                </c:pt>
                <c:pt idx="104">
                  <c:v>37.690800000000003</c:v>
                </c:pt>
                <c:pt idx="105">
                  <c:v>35.359400000000001</c:v>
                </c:pt>
                <c:pt idx="106">
                  <c:v>36.934699999999999</c:v>
                </c:pt>
                <c:pt idx="107">
                  <c:v>36.934699999999999</c:v>
                </c:pt>
                <c:pt idx="108">
                  <c:v>35.359400000000001</c:v>
                </c:pt>
                <c:pt idx="109">
                  <c:v>33.848199999999999</c:v>
                </c:pt>
                <c:pt idx="110">
                  <c:v>33.164900000000003</c:v>
                </c:pt>
                <c:pt idx="111">
                  <c:v>34.255000000000003</c:v>
                </c:pt>
                <c:pt idx="112">
                  <c:v>33.235700000000001</c:v>
                </c:pt>
                <c:pt idx="113">
                  <c:v>33.848199999999999</c:v>
                </c:pt>
                <c:pt idx="114">
                  <c:v>34.255000000000003</c:v>
                </c:pt>
                <c:pt idx="115">
                  <c:v>39.726700000000001</c:v>
                </c:pt>
                <c:pt idx="116">
                  <c:v>26.620799999999999</c:v>
                </c:pt>
                <c:pt idx="117">
                  <c:v>42.774299999999997</c:v>
                </c:pt>
                <c:pt idx="118">
                  <c:v>37</c:v>
                </c:pt>
                <c:pt idx="119">
                  <c:v>37.798900000000003</c:v>
                </c:pt>
                <c:pt idx="120">
                  <c:v>42.575000000000003</c:v>
                </c:pt>
                <c:pt idx="121">
                  <c:v>36.200000000000003</c:v>
                </c:pt>
                <c:pt idx="122">
                  <c:v>31</c:v>
                </c:pt>
                <c:pt idx="123">
                  <c:v>29.3</c:v>
                </c:pt>
                <c:pt idx="124">
                  <c:v>34</c:v>
                </c:pt>
                <c:pt idx="125">
                  <c:v>39.7256</c:v>
                </c:pt>
                <c:pt idx="126">
                  <c:v>23.2715</c:v>
                </c:pt>
                <c:pt idx="127">
                  <c:v>38.169600000000003</c:v>
                </c:pt>
                <c:pt idx="128">
                  <c:v>38.7896</c:v>
                </c:pt>
                <c:pt idx="129">
                  <c:v>39.710299999999997</c:v>
                </c:pt>
                <c:pt idx="130">
                  <c:v>38.7896</c:v>
                </c:pt>
                <c:pt idx="131">
                  <c:v>35.5</c:v>
                </c:pt>
                <c:pt idx="132">
                  <c:v>35.267800000000001</c:v>
                </c:pt>
                <c:pt idx="133">
                  <c:v>36.154800000000002</c:v>
                </c:pt>
                <c:pt idx="134">
                  <c:v>35.708100000000002</c:v>
                </c:pt>
                <c:pt idx="135">
                  <c:v>39.710299999999997</c:v>
                </c:pt>
                <c:pt idx="136">
                  <c:v>38.7896</c:v>
                </c:pt>
                <c:pt idx="137">
                  <c:v>38.169600000000003</c:v>
                </c:pt>
                <c:pt idx="138">
                  <c:v>36.798000000000002</c:v>
                </c:pt>
                <c:pt idx="139">
                  <c:v>35.540399999999998</c:v>
                </c:pt>
                <c:pt idx="140">
                  <c:v>35.460599999999999</c:v>
                </c:pt>
                <c:pt idx="141">
                  <c:v>36.154800000000002</c:v>
                </c:pt>
                <c:pt idx="142">
                  <c:v>35.708100000000002</c:v>
                </c:pt>
                <c:pt idx="143">
                  <c:v>36.154800000000002</c:v>
                </c:pt>
                <c:pt idx="144">
                  <c:v>35.708100000000002</c:v>
                </c:pt>
                <c:pt idx="145">
                  <c:v>34.7288</c:v>
                </c:pt>
                <c:pt idx="146">
                  <c:v>34.285299999999999</c:v>
                </c:pt>
                <c:pt idx="147">
                  <c:v>30.537500000000001</c:v>
                </c:pt>
                <c:pt idx="148">
                  <c:v>31.374700000000001</c:v>
                </c:pt>
                <c:pt idx="149">
                  <c:v>28.8</c:v>
                </c:pt>
                <c:pt idx="150">
                  <c:v>31.8</c:v>
                </c:pt>
                <c:pt idx="151">
                  <c:v>27.3704</c:v>
                </c:pt>
                <c:pt idx="152">
                  <c:v>27.3</c:v>
                </c:pt>
                <c:pt idx="153">
                  <c:v>28.4</c:v>
                </c:pt>
                <c:pt idx="154">
                  <c:v>27.9711</c:v>
                </c:pt>
                <c:pt idx="155">
                  <c:v>23.227</c:v>
                </c:pt>
                <c:pt idx="156">
                  <c:v>23.618200000000002</c:v>
                </c:pt>
                <c:pt idx="157">
                  <c:v>23.7</c:v>
                </c:pt>
                <c:pt idx="158">
                  <c:v>24.0505</c:v>
                </c:pt>
                <c:pt idx="159">
                  <c:v>47.9</c:v>
                </c:pt>
                <c:pt idx="160">
                  <c:v>48.9</c:v>
                </c:pt>
                <c:pt idx="161">
                  <c:v>51.9</c:v>
                </c:pt>
                <c:pt idx="162">
                  <c:v>46.8</c:v>
                </c:pt>
                <c:pt idx="163">
                  <c:v>41.9</c:v>
                </c:pt>
                <c:pt idx="164">
                  <c:v>51.9</c:v>
                </c:pt>
                <c:pt idx="165">
                  <c:v>32.756799999999998</c:v>
                </c:pt>
                <c:pt idx="166">
                  <c:v>36.392600000000002</c:v>
                </c:pt>
                <c:pt idx="167">
                  <c:v>32.110900000000001</c:v>
                </c:pt>
                <c:pt idx="168">
                  <c:v>33.799999999999997</c:v>
                </c:pt>
                <c:pt idx="169">
                  <c:v>30.4</c:v>
                </c:pt>
                <c:pt idx="170">
                  <c:v>50.5</c:v>
                </c:pt>
                <c:pt idx="171">
                  <c:v>48.6</c:v>
                </c:pt>
                <c:pt idx="172">
                  <c:v>51.191499999999998</c:v>
                </c:pt>
                <c:pt idx="173">
                  <c:v>40.5</c:v>
                </c:pt>
                <c:pt idx="174">
                  <c:v>41.799799999999998</c:v>
                </c:pt>
                <c:pt idx="175">
                  <c:v>42</c:v>
                </c:pt>
                <c:pt idx="176">
                  <c:v>38.048400000000001</c:v>
                </c:pt>
                <c:pt idx="177">
                  <c:v>36.4</c:v>
                </c:pt>
                <c:pt idx="178">
                  <c:v>32.974800000000002</c:v>
                </c:pt>
                <c:pt idx="179">
                  <c:v>35.2288</c:v>
                </c:pt>
                <c:pt idx="180">
                  <c:v>34.730499999999999</c:v>
                </c:pt>
                <c:pt idx="181">
                  <c:v>37.064999999999998</c:v>
                </c:pt>
                <c:pt idx="182">
                  <c:v>35.161999999999999</c:v>
                </c:pt>
                <c:pt idx="183">
                  <c:v>36.290100000000002</c:v>
                </c:pt>
                <c:pt idx="184">
                  <c:v>36.704700000000003</c:v>
                </c:pt>
                <c:pt idx="185">
                  <c:v>40.8247</c:v>
                </c:pt>
                <c:pt idx="186">
                  <c:v>36.556399999999996</c:v>
                </c:pt>
                <c:pt idx="187">
                  <c:v>32.088799999999999</c:v>
                </c:pt>
                <c:pt idx="188">
                  <c:v>26.881699999999999</c:v>
                </c:pt>
                <c:pt idx="189">
                  <c:v>26.702200000000001</c:v>
                </c:pt>
                <c:pt idx="190">
                  <c:v>26.560400000000001</c:v>
                </c:pt>
                <c:pt idx="191">
                  <c:v>30.2</c:v>
                </c:pt>
                <c:pt idx="192">
                  <c:v>32.1</c:v>
                </c:pt>
                <c:pt idx="193">
                  <c:v>36.087600000000002</c:v>
                </c:pt>
                <c:pt idx="194">
                  <c:v>31.7</c:v>
                </c:pt>
                <c:pt idx="195">
                  <c:v>51.655500000000004</c:v>
                </c:pt>
                <c:pt idx="196">
                  <c:v>47.202500000000001</c:v>
                </c:pt>
                <c:pt idx="197">
                  <c:v>44.571399999999997</c:v>
                </c:pt>
                <c:pt idx="198">
                  <c:v>47.7592</c:v>
                </c:pt>
                <c:pt idx="199">
                  <c:v>46.5047</c:v>
                </c:pt>
                <c:pt idx="200">
                  <c:v>38.599499999999999</c:v>
                </c:pt>
                <c:pt idx="201">
                  <c:v>37.490200000000002</c:v>
                </c:pt>
                <c:pt idx="202">
                  <c:v>34.6</c:v>
                </c:pt>
                <c:pt idx="203">
                  <c:v>33.200000000000003</c:v>
                </c:pt>
                <c:pt idx="204">
                  <c:v>44.736499999999999</c:v>
                </c:pt>
                <c:pt idx="205">
                  <c:v>43.8</c:v>
                </c:pt>
                <c:pt idx="206">
                  <c:v>37.962800000000001</c:v>
                </c:pt>
                <c:pt idx="207">
                  <c:v>38.0169</c:v>
                </c:pt>
                <c:pt idx="208">
                  <c:v>29.0307</c:v>
                </c:pt>
                <c:pt idx="209">
                  <c:v>51.9</c:v>
                </c:pt>
                <c:pt idx="210">
                  <c:v>46.8</c:v>
                </c:pt>
                <c:pt idx="211">
                  <c:v>46.8</c:v>
                </c:pt>
                <c:pt idx="212">
                  <c:v>51.9</c:v>
                </c:pt>
                <c:pt idx="213">
                  <c:v>51.9</c:v>
                </c:pt>
                <c:pt idx="214">
                  <c:v>29.14</c:v>
                </c:pt>
                <c:pt idx="215">
                  <c:v>31.61</c:v>
                </c:pt>
                <c:pt idx="216">
                  <c:v>41.2</c:v>
                </c:pt>
                <c:pt idx="217">
                  <c:v>37.5</c:v>
                </c:pt>
                <c:pt idx="218">
                  <c:v>48.9</c:v>
                </c:pt>
                <c:pt idx="219">
                  <c:v>42.1</c:v>
                </c:pt>
                <c:pt idx="220">
                  <c:v>40.200000000000003</c:v>
                </c:pt>
                <c:pt idx="221">
                  <c:v>38.200000000000003</c:v>
                </c:pt>
                <c:pt idx="222">
                  <c:v>47.2</c:v>
                </c:pt>
                <c:pt idx="223">
                  <c:v>46.9</c:v>
                </c:pt>
                <c:pt idx="224">
                  <c:v>48.862200000000001</c:v>
                </c:pt>
                <c:pt idx="225">
                  <c:v>50.672499999999999</c:v>
                </c:pt>
                <c:pt idx="226">
                  <c:v>41.521000000000001</c:v>
                </c:pt>
                <c:pt idx="227">
                  <c:v>41.315600000000003</c:v>
                </c:pt>
                <c:pt idx="228">
                  <c:v>40.799999999999997</c:v>
                </c:pt>
                <c:pt idx="229">
                  <c:v>39.375300000000003</c:v>
                </c:pt>
                <c:pt idx="230">
                  <c:v>38.4</c:v>
                </c:pt>
                <c:pt idx="231">
                  <c:v>38.6</c:v>
                </c:pt>
                <c:pt idx="232">
                  <c:v>39.299999999999997</c:v>
                </c:pt>
                <c:pt idx="233">
                  <c:v>42.3</c:v>
                </c:pt>
                <c:pt idx="234">
                  <c:v>37.6</c:v>
                </c:pt>
                <c:pt idx="235">
                  <c:v>42.774299999999997</c:v>
                </c:pt>
                <c:pt idx="236">
                  <c:v>37.798900000000003</c:v>
                </c:pt>
                <c:pt idx="237">
                  <c:v>42.575000000000003</c:v>
                </c:pt>
                <c:pt idx="238">
                  <c:v>34.1</c:v>
                </c:pt>
                <c:pt idx="239">
                  <c:v>35</c:v>
                </c:pt>
                <c:pt idx="240">
                  <c:v>21.006</c:v>
                </c:pt>
                <c:pt idx="241">
                  <c:v>21.006</c:v>
                </c:pt>
                <c:pt idx="242">
                  <c:v>23.8</c:v>
                </c:pt>
                <c:pt idx="243">
                  <c:v>39.710299999999997</c:v>
                </c:pt>
                <c:pt idx="244">
                  <c:v>38.7896</c:v>
                </c:pt>
                <c:pt idx="245">
                  <c:v>35.540399999999998</c:v>
                </c:pt>
                <c:pt idx="246">
                  <c:v>35.460599999999999</c:v>
                </c:pt>
                <c:pt idx="247">
                  <c:v>51.1</c:v>
                </c:pt>
                <c:pt idx="248">
                  <c:v>36.154800000000002</c:v>
                </c:pt>
                <c:pt idx="249">
                  <c:v>35.708100000000002</c:v>
                </c:pt>
                <c:pt idx="250">
                  <c:v>34.7288</c:v>
                </c:pt>
                <c:pt idx="251">
                  <c:v>34.285299999999999</c:v>
                </c:pt>
                <c:pt idx="252">
                  <c:v>28.4</c:v>
                </c:pt>
                <c:pt idx="253">
                  <c:v>27.9711</c:v>
                </c:pt>
                <c:pt idx="254">
                  <c:v>47.9</c:v>
                </c:pt>
                <c:pt idx="255">
                  <c:v>48.9</c:v>
                </c:pt>
                <c:pt idx="256">
                  <c:v>40.4</c:v>
                </c:pt>
                <c:pt idx="257">
                  <c:v>40</c:v>
                </c:pt>
                <c:pt idx="258">
                  <c:v>33.799999999999997</c:v>
                </c:pt>
                <c:pt idx="259">
                  <c:v>35.200000000000003</c:v>
                </c:pt>
                <c:pt idx="260">
                  <c:v>51.9</c:v>
                </c:pt>
                <c:pt idx="261">
                  <c:v>46.8</c:v>
                </c:pt>
                <c:pt idx="262">
                  <c:v>51.9</c:v>
                </c:pt>
                <c:pt idx="263">
                  <c:v>40.1</c:v>
                </c:pt>
                <c:pt idx="264">
                  <c:v>36.5</c:v>
                </c:pt>
                <c:pt idx="265">
                  <c:v>37.6</c:v>
                </c:pt>
                <c:pt idx="266">
                  <c:v>34.700000000000003</c:v>
                </c:pt>
                <c:pt idx="267">
                  <c:v>34.5</c:v>
                </c:pt>
                <c:pt idx="268">
                  <c:v>33.6</c:v>
                </c:pt>
                <c:pt idx="269">
                  <c:v>30.1</c:v>
                </c:pt>
                <c:pt idx="270">
                  <c:v>26</c:v>
                </c:pt>
                <c:pt idx="271">
                  <c:v>47.327800000000003</c:v>
                </c:pt>
                <c:pt idx="272">
                  <c:v>49.3</c:v>
                </c:pt>
                <c:pt idx="273">
                  <c:v>43.5</c:v>
                </c:pt>
                <c:pt idx="274">
                  <c:v>43.3</c:v>
                </c:pt>
                <c:pt idx="275">
                  <c:v>35.5</c:v>
                </c:pt>
                <c:pt idx="276">
                  <c:v>39.9</c:v>
                </c:pt>
                <c:pt idx="277">
                  <c:v>65</c:v>
                </c:pt>
                <c:pt idx="278">
                  <c:v>62.267400000000002</c:v>
                </c:pt>
                <c:pt idx="279">
                  <c:v>61.2</c:v>
                </c:pt>
                <c:pt idx="280">
                  <c:v>50.4</c:v>
                </c:pt>
                <c:pt idx="281">
                  <c:v>48.2</c:v>
                </c:pt>
                <c:pt idx="282">
                  <c:v>50.820500000000003</c:v>
                </c:pt>
                <c:pt idx="283">
                  <c:v>47.296399999999998</c:v>
                </c:pt>
                <c:pt idx="284">
                  <c:v>50.9</c:v>
                </c:pt>
                <c:pt idx="285">
                  <c:v>47.4</c:v>
                </c:pt>
                <c:pt idx="286">
                  <c:v>44.344000000000001</c:v>
                </c:pt>
                <c:pt idx="287">
                  <c:v>44.6</c:v>
                </c:pt>
                <c:pt idx="288">
                  <c:v>50.2669</c:v>
                </c:pt>
                <c:pt idx="289">
                  <c:v>48.318800000000003</c:v>
                </c:pt>
                <c:pt idx="290">
                  <c:v>35.349400000000003</c:v>
                </c:pt>
                <c:pt idx="291">
                  <c:v>47.408099999999997</c:v>
                </c:pt>
                <c:pt idx="292">
                  <c:v>46.624000000000002</c:v>
                </c:pt>
                <c:pt idx="293">
                  <c:v>46.438699999999997</c:v>
                </c:pt>
                <c:pt idx="294">
                  <c:v>40.187600000000003</c:v>
                </c:pt>
                <c:pt idx="295">
                  <c:v>40.887300000000003</c:v>
                </c:pt>
                <c:pt idx="296">
                  <c:v>35.799999999999997</c:v>
                </c:pt>
                <c:pt idx="297">
                  <c:v>35.731099999999998</c:v>
                </c:pt>
                <c:pt idx="298">
                  <c:v>35.9</c:v>
                </c:pt>
                <c:pt idx="299">
                  <c:v>34.9</c:v>
                </c:pt>
                <c:pt idx="300">
                  <c:v>33.9</c:v>
                </c:pt>
                <c:pt idx="301">
                  <c:v>34.6</c:v>
                </c:pt>
                <c:pt idx="302">
                  <c:v>26.6722</c:v>
                </c:pt>
                <c:pt idx="303">
                  <c:v>29.2</c:v>
                </c:pt>
                <c:pt idx="304">
                  <c:v>23.9</c:v>
                </c:pt>
                <c:pt idx="305">
                  <c:v>24.7</c:v>
                </c:pt>
                <c:pt idx="306">
                  <c:v>23.4</c:v>
                </c:pt>
                <c:pt idx="307">
                  <c:v>29</c:v>
                </c:pt>
                <c:pt idx="308">
                  <c:v>24.8202</c:v>
                </c:pt>
                <c:pt idx="309">
                  <c:v>42.936300000000003</c:v>
                </c:pt>
                <c:pt idx="310">
                  <c:v>42.457900000000002</c:v>
                </c:pt>
                <c:pt idx="311">
                  <c:v>34.9</c:v>
                </c:pt>
                <c:pt idx="312">
                  <c:v>38.876899999999999</c:v>
                </c:pt>
                <c:pt idx="313">
                  <c:v>40.370600000000003</c:v>
                </c:pt>
                <c:pt idx="314">
                  <c:v>30.6</c:v>
                </c:pt>
                <c:pt idx="315">
                  <c:v>31.1</c:v>
                </c:pt>
                <c:pt idx="316">
                  <c:v>47.9</c:v>
                </c:pt>
                <c:pt idx="317">
                  <c:v>48.9</c:v>
                </c:pt>
                <c:pt idx="318">
                  <c:v>42.8</c:v>
                </c:pt>
                <c:pt idx="319">
                  <c:v>46.9</c:v>
                </c:pt>
                <c:pt idx="320">
                  <c:v>42.6</c:v>
                </c:pt>
                <c:pt idx="321">
                  <c:v>46.8</c:v>
                </c:pt>
                <c:pt idx="322">
                  <c:v>40.299999999999997</c:v>
                </c:pt>
                <c:pt idx="323">
                  <c:v>41.2</c:v>
                </c:pt>
                <c:pt idx="324">
                  <c:v>35.6</c:v>
                </c:pt>
                <c:pt idx="325">
                  <c:v>31</c:v>
                </c:pt>
                <c:pt idx="326">
                  <c:v>24.2</c:v>
                </c:pt>
                <c:pt idx="327">
                  <c:v>24.2</c:v>
                </c:pt>
                <c:pt idx="328">
                  <c:v>37.1</c:v>
                </c:pt>
                <c:pt idx="329">
                  <c:v>41.113199999999999</c:v>
                </c:pt>
                <c:pt idx="330">
                  <c:v>38.462699999999998</c:v>
                </c:pt>
                <c:pt idx="331">
                  <c:v>43.1</c:v>
                </c:pt>
                <c:pt idx="332">
                  <c:v>38.499699999999997</c:v>
                </c:pt>
                <c:pt idx="333">
                  <c:v>37.070999999999998</c:v>
                </c:pt>
                <c:pt idx="334">
                  <c:v>35.922600000000003</c:v>
                </c:pt>
                <c:pt idx="335">
                  <c:v>34.143500000000003</c:v>
                </c:pt>
                <c:pt idx="336">
                  <c:v>32.910299999999999</c:v>
                </c:pt>
                <c:pt idx="337">
                  <c:v>42.3947</c:v>
                </c:pt>
                <c:pt idx="338">
                  <c:v>41.395899999999997</c:v>
                </c:pt>
                <c:pt idx="339">
                  <c:v>40.832099999999997</c:v>
                </c:pt>
                <c:pt idx="340">
                  <c:v>44.081800000000001</c:v>
                </c:pt>
                <c:pt idx="341">
                  <c:v>43.003500000000003</c:v>
                </c:pt>
                <c:pt idx="342">
                  <c:v>41.585799999999999</c:v>
                </c:pt>
                <c:pt idx="343">
                  <c:v>46.362900000000003</c:v>
                </c:pt>
                <c:pt idx="344">
                  <c:v>45.190100000000001</c:v>
                </c:pt>
                <c:pt idx="345">
                  <c:v>44.707999999999998</c:v>
                </c:pt>
                <c:pt idx="346">
                  <c:v>41.566099999999999</c:v>
                </c:pt>
                <c:pt idx="347">
                  <c:v>48.4</c:v>
                </c:pt>
                <c:pt idx="348">
                  <c:v>50</c:v>
                </c:pt>
                <c:pt idx="349">
                  <c:v>42.2</c:v>
                </c:pt>
                <c:pt idx="350">
                  <c:v>42.6</c:v>
                </c:pt>
                <c:pt idx="351">
                  <c:v>42</c:v>
                </c:pt>
                <c:pt idx="352">
                  <c:v>41.521000000000001</c:v>
                </c:pt>
                <c:pt idx="353">
                  <c:v>35.1</c:v>
                </c:pt>
                <c:pt idx="354">
                  <c:v>33.5</c:v>
                </c:pt>
                <c:pt idx="355">
                  <c:v>60.1</c:v>
                </c:pt>
                <c:pt idx="356">
                  <c:v>58.534999999999997</c:v>
                </c:pt>
                <c:pt idx="357">
                  <c:v>39.614699999999999</c:v>
                </c:pt>
                <c:pt idx="358">
                  <c:v>40.240900000000003</c:v>
                </c:pt>
                <c:pt idx="359">
                  <c:v>43.541400000000003</c:v>
                </c:pt>
                <c:pt idx="360">
                  <c:v>41.521000000000001</c:v>
                </c:pt>
                <c:pt idx="361">
                  <c:v>43.541400000000003</c:v>
                </c:pt>
                <c:pt idx="362">
                  <c:v>41.521000000000001</c:v>
                </c:pt>
                <c:pt idx="363">
                  <c:v>60.1</c:v>
                </c:pt>
                <c:pt idx="364">
                  <c:v>58.534999999999997</c:v>
                </c:pt>
                <c:pt idx="365">
                  <c:v>39.571399999999997</c:v>
                </c:pt>
                <c:pt idx="366">
                  <c:v>40.0169</c:v>
                </c:pt>
                <c:pt idx="367">
                  <c:v>39.347999999999999</c:v>
                </c:pt>
                <c:pt idx="368">
                  <c:v>39.299999999999997</c:v>
                </c:pt>
                <c:pt idx="369">
                  <c:v>40.6</c:v>
                </c:pt>
                <c:pt idx="370">
                  <c:v>40.4</c:v>
                </c:pt>
                <c:pt idx="371">
                  <c:v>37.799999999999997</c:v>
                </c:pt>
                <c:pt idx="372">
                  <c:v>37.799999999999997</c:v>
                </c:pt>
                <c:pt idx="373">
                  <c:v>39.347999999999999</c:v>
                </c:pt>
                <c:pt idx="374">
                  <c:v>39.299999999999997</c:v>
                </c:pt>
                <c:pt idx="375">
                  <c:v>40.6</c:v>
                </c:pt>
                <c:pt idx="376">
                  <c:v>40.4</c:v>
                </c:pt>
                <c:pt idx="377">
                  <c:v>30.9</c:v>
                </c:pt>
                <c:pt idx="378">
                  <c:v>36.799999999999997</c:v>
                </c:pt>
                <c:pt idx="379">
                  <c:v>34.299999999999997</c:v>
                </c:pt>
                <c:pt idx="380">
                  <c:v>34.4</c:v>
                </c:pt>
                <c:pt idx="381">
                  <c:v>38.9</c:v>
                </c:pt>
                <c:pt idx="382">
                  <c:v>34.7286</c:v>
                </c:pt>
                <c:pt idx="383">
                  <c:v>31.5002</c:v>
                </c:pt>
                <c:pt idx="384">
                  <c:v>31.5002</c:v>
                </c:pt>
                <c:pt idx="385">
                  <c:v>26.7</c:v>
                </c:pt>
                <c:pt idx="386">
                  <c:v>23.2715</c:v>
                </c:pt>
                <c:pt idx="387">
                  <c:v>38.169600000000003</c:v>
                </c:pt>
                <c:pt idx="388">
                  <c:v>38.7896</c:v>
                </c:pt>
                <c:pt idx="389">
                  <c:v>34.781799999999997</c:v>
                </c:pt>
                <c:pt idx="390">
                  <c:v>35.460599999999999</c:v>
                </c:pt>
                <c:pt idx="391">
                  <c:v>35.883099999999999</c:v>
                </c:pt>
                <c:pt idx="392">
                  <c:v>35.708100000000002</c:v>
                </c:pt>
                <c:pt idx="393">
                  <c:v>34.7288</c:v>
                </c:pt>
                <c:pt idx="394">
                  <c:v>34.285299999999999</c:v>
                </c:pt>
                <c:pt idx="395">
                  <c:v>30.537500000000001</c:v>
                </c:pt>
                <c:pt idx="396">
                  <c:v>31.374700000000001</c:v>
                </c:pt>
                <c:pt idx="397">
                  <c:v>23.227</c:v>
                </c:pt>
                <c:pt idx="398">
                  <c:v>23.618200000000002</c:v>
                </c:pt>
                <c:pt idx="399">
                  <c:v>41.695999999999998</c:v>
                </c:pt>
                <c:pt idx="400">
                  <c:v>36.1</c:v>
                </c:pt>
                <c:pt idx="401">
                  <c:v>38.1</c:v>
                </c:pt>
                <c:pt idx="402">
                  <c:v>34.4</c:v>
                </c:pt>
                <c:pt idx="403">
                  <c:v>38.299999999999997</c:v>
                </c:pt>
                <c:pt idx="404">
                  <c:v>36</c:v>
                </c:pt>
                <c:pt idx="405">
                  <c:v>34.9</c:v>
                </c:pt>
                <c:pt idx="406">
                  <c:v>40</c:v>
                </c:pt>
                <c:pt idx="407">
                  <c:v>24.9754</c:v>
                </c:pt>
                <c:pt idx="408">
                  <c:v>26.299900000000001</c:v>
                </c:pt>
                <c:pt idx="409">
                  <c:v>36.1</c:v>
                </c:pt>
                <c:pt idx="410">
                  <c:v>37.200000000000003</c:v>
                </c:pt>
                <c:pt idx="411">
                  <c:v>40</c:v>
                </c:pt>
                <c:pt idx="412">
                  <c:v>34.1</c:v>
                </c:pt>
                <c:pt idx="413">
                  <c:v>37.200000000000003</c:v>
                </c:pt>
                <c:pt idx="414">
                  <c:v>30.299900000000001</c:v>
                </c:pt>
                <c:pt idx="415">
                  <c:v>42.8</c:v>
                </c:pt>
                <c:pt idx="416">
                  <c:v>46.9</c:v>
                </c:pt>
                <c:pt idx="417">
                  <c:v>42.6</c:v>
                </c:pt>
                <c:pt idx="418">
                  <c:v>46.8</c:v>
                </c:pt>
                <c:pt idx="419">
                  <c:v>40.299999999999997</c:v>
                </c:pt>
                <c:pt idx="420">
                  <c:v>41.2</c:v>
                </c:pt>
                <c:pt idx="421">
                  <c:v>35.6</c:v>
                </c:pt>
                <c:pt idx="422">
                  <c:v>48.1</c:v>
                </c:pt>
                <c:pt idx="423">
                  <c:v>41.699800000000003</c:v>
                </c:pt>
                <c:pt idx="424">
                  <c:v>38.299999999999997</c:v>
                </c:pt>
                <c:pt idx="425">
                  <c:v>37.6</c:v>
                </c:pt>
                <c:pt idx="426">
                  <c:v>41.699800000000003</c:v>
                </c:pt>
                <c:pt idx="427">
                  <c:v>38.299999999999997</c:v>
                </c:pt>
                <c:pt idx="428">
                  <c:v>37.6</c:v>
                </c:pt>
                <c:pt idx="429">
                  <c:v>21.7</c:v>
                </c:pt>
                <c:pt idx="430">
                  <c:v>21.3</c:v>
                </c:pt>
                <c:pt idx="431">
                  <c:v>33.5</c:v>
                </c:pt>
                <c:pt idx="432">
                  <c:v>35.465499999999999</c:v>
                </c:pt>
                <c:pt idx="433">
                  <c:v>42.908000000000001</c:v>
                </c:pt>
                <c:pt idx="434">
                  <c:v>40.200000000000003</c:v>
                </c:pt>
                <c:pt idx="435">
                  <c:v>37.9</c:v>
                </c:pt>
                <c:pt idx="436">
                  <c:v>37.4</c:v>
                </c:pt>
                <c:pt idx="437">
                  <c:v>51.6</c:v>
                </c:pt>
                <c:pt idx="438">
                  <c:v>44.2</c:v>
                </c:pt>
                <c:pt idx="439">
                  <c:v>47.649299999999997</c:v>
                </c:pt>
                <c:pt idx="440">
                  <c:v>47.7</c:v>
                </c:pt>
                <c:pt idx="441">
                  <c:v>48.2</c:v>
                </c:pt>
                <c:pt idx="442">
                  <c:v>49.216999999999999</c:v>
                </c:pt>
                <c:pt idx="443">
                  <c:v>34.730499999999999</c:v>
                </c:pt>
                <c:pt idx="444">
                  <c:v>37.064999999999998</c:v>
                </c:pt>
                <c:pt idx="445">
                  <c:v>35.161999999999999</c:v>
                </c:pt>
                <c:pt idx="446">
                  <c:v>34.485500000000002</c:v>
                </c:pt>
                <c:pt idx="447">
                  <c:v>29.7559</c:v>
                </c:pt>
                <c:pt idx="448">
                  <c:v>32.670099999999998</c:v>
                </c:pt>
                <c:pt idx="449">
                  <c:v>44.6</c:v>
                </c:pt>
                <c:pt idx="450">
                  <c:v>44.6</c:v>
                </c:pt>
                <c:pt idx="451">
                  <c:v>39.799999999999997</c:v>
                </c:pt>
                <c:pt idx="452">
                  <c:v>38.299999999999997</c:v>
                </c:pt>
                <c:pt idx="453">
                  <c:v>36.556399999999996</c:v>
                </c:pt>
                <c:pt idx="454">
                  <c:v>34.749400000000001</c:v>
                </c:pt>
                <c:pt idx="455">
                  <c:v>34.049900000000001</c:v>
                </c:pt>
                <c:pt idx="456">
                  <c:v>33.550899999999999</c:v>
                </c:pt>
                <c:pt idx="457">
                  <c:v>32.149900000000002</c:v>
                </c:pt>
                <c:pt idx="458">
                  <c:v>33.550899999999999</c:v>
                </c:pt>
                <c:pt idx="459">
                  <c:v>32.149900000000002</c:v>
                </c:pt>
                <c:pt idx="460">
                  <c:v>30.3</c:v>
                </c:pt>
                <c:pt idx="461">
                  <c:v>35.465499999999999</c:v>
                </c:pt>
                <c:pt idx="462">
                  <c:v>42.908000000000001</c:v>
                </c:pt>
                <c:pt idx="463">
                  <c:v>40.200000000000003</c:v>
                </c:pt>
                <c:pt idx="464">
                  <c:v>37.9</c:v>
                </c:pt>
                <c:pt idx="465">
                  <c:v>51.6</c:v>
                </c:pt>
                <c:pt idx="466">
                  <c:v>47.649299999999997</c:v>
                </c:pt>
                <c:pt idx="467">
                  <c:v>44.2</c:v>
                </c:pt>
                <c:pt idx="468">
                  <c:v>33.5</c:v>
                </c:pt>
                <c:pt idx="469">
                  <c:v>37.4</c:v>
                </c:pt>
                <c:pt idx="470">
                  <c:v>40.193100000000001</c:v>
                </c:pt>
                <c:pt idx="471">
                  <c:v>41.664200000000001</c:v>
                </c:pt>
                <c:pt idx="472">
                  <c:v>34.823500000000003</c:v>
                </c:pt>
                <c:pt idx="473">
                  <c:v>34.700000000000003</c:v>
                </c:pt>
                <c:pt idx="474">
                  <c:v>36.200000000000003</c:v>
                </c:pt>
                <c:pt idx="475">
                  <c:v>33.200000000000003</c:v>
                </c:pt>
                <c:pt idx="476">
                  <c:v>33</c:v>
                </c:pt>
                <c:pt idx="477">
                  <c:v>32.299999999999997</c:v>
                </c:pt>
                <c:pt idx="478">
                  <c:v>27.1158</c:v>
                </c:pt>
                <c:pt idx="479">
                  <c:v>42.214599999999997</c:v>
                </c:pt>
                <c:pt idx="480">
                  <c:v>45.672899999999998</c:v>
                </c:pt>
                <c:pt idx="481">
                  <c:v>37.9499</c:v>
                </c:pt>
                <c:pt idx="482">
                  <c:v>38.034700000000001</c:v>
                </c:pt>
                <c:pt idx="483">
                  <c:v>46.6</c:v>
                </c:pt>
                <c:pt idx="484">
                  <c:v>36.410200000000003</c:v>
                </c:pt>
                <c:pt idx="485">
                  <c:v>43</c:v>
                </c:pt>
                <c:pt idx="486">
                  <c:v>47.512900000000002</c:v>
                </c:pt>
                <c:pt idx="487">
                  <c:v>39.6</c:v>
                </c:pt>
                <c:pt idx="488">
                  <c:v>42.699800000000003</c:v>
                </c:pt>
                <c:pt idx="489">
                  <c:v>46.5</c:v>
                </c:pt>
                <c:pt idx="490">
                  <c:v>47.3</c:v>
                </c:pt>
                <c:pt idx="491">
                  <c:v>47.5</c:v>
                </c:pt>
                <c:pt idx="492">
                  <c:v>44.9</c:v>
                </c:pt>
                <c:pt idx="493">
                  <c:v>44.2</c:v>
                </c:pt>
                <c:pt idx="494">
                  <c:v>24.2</c:v>
                </c:pt>
                <c:pt idx="495">
                  <c:v>37.118499999999997</c:v>
                </c:pt>
                <c:pt idx="496">
                  <c:v>46.9</c:v>
                </c:pt>
                <c:pt idx="497">
                  <c:v>46.8</c:v>
                </c:pt>
                <c:pt idx="498">
                  <c:v>35.6</c:v>
                </c:pt>
                <c:pt idx="499">
                  <c:v>37.057400000000001</c:v>
                </c:pt>
                <c:pt idx="500">
                  <c:v>34.6</c:v>
                </c:pt>
                <c:pt idx="501">
                  <c:v>42.921500000000002</c:v>
                </c:pt>
                <c:pt idx="502">
                  <c:v>34.270800000000001</c:v>
                </c:pt>
                <c:pt idx="503">
                  <c:v>46.8</c:v>
                </c:pt>
                <c:pt idx="504">
                  <c:v>45.056600000000003</c:v>
                </c:pt>
                <c:pt idx="505">
                  <c:v>39.799999999999997</c:v>
                </c:pt>
                <c:pt idx="506">
                  <c:v>48.2</c:v>
                </c:pt>
                <c:pt idx="507">
                  <c:v>69.6404</c:v>
                </c:pt>
                <c:pt idx="508">
                  <c:v>42</c:v>
                </c:pt>
                <c:pt idx="509">
                  <c:v>32</c:v>
                </c:pt>
                <c:pt idx="510">
                  <c:v>30.8</c:v>
                </c:pt>
                <c:pt idx="511">
                  <c:v>36.4</c:v>
                </c:pt>
                <c:pt idx="512">
                  <c:v>31.5002</c:v>
                </c:pt>
                <c:pt idx="513">
                  <c:v>39.493699999999997</c:v>
                </c:pt>
                <c:pt idx="514">
                  <c:v>30.953700000000001</c:v>
                </c:pt>
                <c:pt idx="515">
                  <c:v>30.562000000000001</c:v>
                </c:pt>
                <c:pt idx="516">
                  <c:v>30.172599999999999</c:v>
                </c:pt>
                <c:pt idx="517">
                  <c:v>27.7</c:v>
                </c:pt>
                <c:pt idx="518">
                  <c:v>29.452100000000002</c:v>
                </c:pt>
                <c:pt idx="519">
                  <c:v>27.7</c:v>
                </c:pt>
                <c:pt idx="520">
                  <c:v>26.749500000000001</c:v>
                </c:pt>
                <c:pt idx="521">
                  <c:v>37.299999999999997</c:v>
                </c:pt>
                <c:pt idx="522">
                  <c:v>36.6</c:v>
                </c:pt>
                <c:pt idx="523">
                  <c:v>31.9</c:v>
                </c:pt>
                <c:pt idx="524">
                  <c:v>31.9</c:v>
                </c:pt>
                <c:pt idx="525">
                  <c:v>31.9</c:v>
                </c:pt>
                <c:pt idx="526">
                  <c:v>22.7</c:v>
                </c:pt>
                <c:pt idx="527">
                  <c:v>24.5</c:v>
                </c:pt>
                <c:pt idx="528">
                  <c:v>40.299999999999997</c:v>
                </c:pt>
                <c:pt idx="529">
                  <c:v>41.2</c:v>
                </c:pt>
                <c:pt idx="530">
                  <c:v>37.299999999999997</c:v>
                </c:pt>
                <c:pt idx="531">
                  <c:v>32.1</c:v>
                </c:pt>
                <c:pt idx="532">
                  <c:v>31.9</c:v>
                </c:pt>
                <c:pt idx="533">
                  <c:v>35.700000000000003</c:v>
                </c:pt>
                <c:pt idx="534">
                  <c:v>34.200000000000003</c:v>
                </c:pt>
                <c:pt idx="535">
                  <c:v>34.5</c:v>
                </c:pt>
                <c:pt idx="536">
                  <c:v>26</c:v>
                </c:pt>
                <c:pt idx="537">
                  <c:v>35.700000000000003</c:v>
                </c:pt>
                <c:pt idx="538">
                  <c:v>34.200000000000003</c:v>
                </c:pt>
                <c:pt idx="539">
                  <c:v>34.5</c:v>
                </c:pt>
                <c:pt idx="540">
                  <c:v>26</c:v>
                </c:pt>
                <c:pt idx="541">
                  <c:v>32.1</c:v>
                </c:pt>
                <c:pt idx="542">
                  <c:v>31.9</c:v>
                </c:pt>
                <c:pt idx="543">
                  <c:v>33.305199999999999</c:v>
                </c:pt>
                <c:pt idx="544">
                  <c:v>34.9</c:v>
                </c:pt>
                <c:pt idx="545">
                  <c:v>34.700000000000003</c:v>
                </c:pt>
                <c:pt idx="546">
                  <c:v>37.4</c:v>
                </c:pt>
                <c:pt idx="547">
                  <c:v>27.8</c:v>
                </c:pt>
                <c:pt idx="548">
                  <c:v>43.104300000000002</c:v>
                </c:pt>
                <c:pt idx="549">
                  <c:v>43.291600000000003</c:v>
                </c:pt>
                <c:pt idx="550">
                  <c:v>41.2</c:v>
                </c:pt>
                <c:pt idx="551">
                  <c:v>36.200000000000003</c:v>
                </c:pt>
                <c:pt idx="552">
                  <c:v>35.6</c:v>
                </c:pt>
                <c:pt idx="553">
                  <c:v>38.299999999999997</c:v>
                </c:pt>
                <c:pt idx="554">
                  <c:v>34.200000000000003</c:v>
                </c:pt>
                <c:pt idx="555">
                  <c:v>44.4</c:v>
                </c:pt>
                <c:pt idx="556">
                  <c:v>44.8</c:v>
                </c:pt>
                <c:pt idx="557">
                  <c:v>40.1</c:v>
                </c:pt>
                <c:pt idx="558">
                  <c:v>34.1997</c:v>
                </c:pt>
                <c:pt idx="559">
                  <c:v>30.549900000000001</c:v>
                </c:pt>
                <c:pt idx="560">
                  <c:v>29.6</c:v>
                </c:pt>
                <c:pt idx="561">
                  <c:v>27.2</c:v>
                </c:pt>
                <c:pt idx="562">
                  <c:v>29.7559</c:v>
                </c:pt>
                <c:pt idx="563">
                  <c:v>32.670099999999998</c:v>
                </c:pt>
                <c:pt idx="564">
                  <c:v>31.073599999999999</c:v>
                </c:pt>
                <c:pt idx="565">
                  <c:v>33.305199999999999</c:v>
                </c:pt>
                <c:pt idx="566">
                  <c:v>31.5</c:v>
                </c:pt>
                <c:pt idx="567">
                  <c:v>34.700000000000003</c:v>
                </c:pt>
                <c:pt idx="568">
                  <c:v>33</c:v>
                </c:pt>
                <c:pt idx="569">
                  <c:v>33.305199999999999</c:v>
                </c:pt>
                <c:pt idx="570">
                  <c:v>24.183700000000002</c:v>
                </c:pt>
                <c:pt idx="571">
                  <c:v>25.510200000000001</c:v>
                </c:pt>
                <c:pt idx="572">
                  <c:v>21.4</c:v>
                </c:pt>
                <c:pt idx="573">
                  <c:v>21.4</c:v>
                </c:pt>
                <c:pt idx="574">
                  <c:v>21.7</c:v>
                </c:pt>
                <c:pt idx="575">
                  <c:v>32</c:v>
                </c:pt>
                <c:pt idx="576">
                  <c:v>29.8</c:v>
                </c:pt>
                <c:pt idx="577">
                  <c:v>23.9</c:v>
                </c:pt>
                <c:pt idx="578">
                  <c:v>24.6</c:v>
                </c:pt>
                <c:pt idx="579">
                  <c:v>23.1</c:v>
                </c:pt>
                <c:pt idx="580">
                  <c:v>35</c:v>
                </c:pt>
                <c:pt idx="581">
                  <c:v>33.260300000000001</c:v>
                </c:pt>
                <c:pt idx="582">
                  <c:v>33.260300000000001</c:v>
                </c:pt>
                <c:pt idx="583">
                  <c:v>32.026299999999999</c:v>
                </c:pt>
                <c:pt idx="584">
                  <c:v>27.3</c:v>
                </c:pt>
                <c:pt idx="585">
                  <c:v>24.2</c:v>
                </c:pt>
                <c:pt idx="586">
                  <c:v>39.799999999999997</c:v>
                </c:pt>
                <c:pt idx="587">
                  <c:v>40.400300000000001</c:v>
                </c:pt>
                <c:pt idx="588">
                  <c:v>38.870199999999997</c:v>
                </c:pt>
                <c:pt idx="589">
                  <c:v>60.1</c:v>
                </c:pt>
                <c:pt idx="590">
                  <c:v>37.1</c:v>
                </c:pt>
                <c:pt idx="591">
                  <c:v>37.798900000000003</c:v>
                </c:pt>
                <c:pt idx="592">
                  <c:v>38.169600000000003</c:v>
                </c:pt>
                <c:pt idx="593">
                  <c:v>36.798000000000002</c:v>
                </c:pt>
                <c:pt idx="594">
                  <c:v>35.540399999999998</c:v>
                </c:pt>
                <c:pt idx="595">
                  <c:v>35.460599999999999</c:v>
                </c:pt>
                <c:pt idx="596">
                  <c:v>38.299999999999997</c:v>
                </c:pt>
                <c:pt idx="597">
                  <c:v>37</c:v>
                </c:pt>
                <c:pt idx="598">
                  <c:v>36.1</c:v>
                </c:pt>
                <c:pt idx="599">
                  <c:v>37.200000000000003</c:v>
                </c:pt>
                <c:pt idx="600">
                  <c:v>43.9</c:v>
                </c:pt>
                <c:pt idx="601">
                  <c:v>38</c:v>
                </c:pt>
                <c:pt idx="602">
                  <c:v>35.299999999999997</c:v>
                </c:pt>
                <c:pt idx="603">
                  <c:v>40.1</c:v>
                </c:pt>
                <c:pt idx="604">
                  <c:v>46.2622</c:v>
                </c:pt>
                <c:pt idx="605">
                  <c:v>49.3</c:v>
                </c:pt>
                <c:pt idx="606">
                  <c:v>47.4</c:v>
                </c:pt>
                <c:pt idx="607">
                  <c:v>42.6</c:v>
                </c:pt>
                <c:pt idx="608">
                  <c:v>43.5</c:v>
                </c:pt>
                <c:pt idx="609">
                  <c:v>33.299999999999997</c:v>
                </c:pt>
                <c:pt idx="610">
                  <c:v>32.348999999999997</c:v>
                </c:pt>
                <c:pt idx="611">
                  <c:v>43.5</c:v>
                </c:pt>
                <c:pt idx="612">
                  <c:v>44.2</c:v>
                </c:pt>
                <c:pt idx="613">
                  <c:v>41.8</c:v>
                </c:pt>
                <c:pt idx="614">
                  <c:v>42.8</c:v>
                </c:pt>
                <c:pt idx="615">
                  <c:v>34.700000000000003</c:v>
                </c:pt>
                <c:pt idx="616">
                  <c:v>37.221800000000002</c:v>
                </c:pt>
                <c:pt idx="617">
                  <c:v>37.491100000000003</c:v>
                </c:pt>
                <c:pt idx="618">
                  <c:v>41.798999999999999</c:v>
                </c:pt>
                <c:pt idx="619">
                  <c:v>43.260899999999999</c:v>
                </c:pt>
                <c:pt idx="620">
                  <c:v>43.7</c:v>
                </c:pt>
                <c:pt idx="621">
                  <c:v>44.8</c:v>
                </c:pt>
                <c:pt idx="622">
                  <c:v>40</c:v>
                </c:pt>
                <c:pt idx="623">
                  <c:v>38.6</c:v>
                </c:pt>
                <c:pt idx="624">
                  <c:v>35.587699999999998</c:v>
                </c:pt>
                <c:pt idx="625">
                  <c:v>37.5</c:v>
                </c:pt>
                <c:pt idx="626">
                  <c:v>43.1</c:v>
                </c:pt>
                <c:pt idx="627">
                  <c:v>41.0456</c:v>
                </c:pt>
                <c:pt idx="628">
                  <c:v>38.462699999999998</c:v>
                </c:pt>
                <c:pt idx="629">
                  <c:v>38.200000000000003</c:v>
                </c:pt>
                <c:pt idx="630">
                  <c:v>37.070999999999998</c:v>
                </c:pt>
                <c:pt idx="631">
                  <c:v>35.922600000000003</c:v>
                </c:pt>
                <c:pt idx="632">
                  <c:v>34.143500000000003</c:v>
                </c:pt>
                <c:pt idx="633">
                  <c:v>32.910299999999999</c:v>
                </c:pt>
                <c:pt idx="634">
                  <c:v>31.8</c:v>
                </c:pt>
                <c:pt idx="635">
                  <c:v>42.3461</c:v>
                </c:pt>
                <c:pt idx="636">
                  <c:v>41.566099999999999</c:v>
                </c:pt>
                <c:pt idx="637">
                  <c:v>41.707799999999999</c:v>
                </c:pt>
                <c:pt idx="638">
                  <c:v>40.234499999999997</c:v>
                </c:pt>
                <c:pt idx="639">
                  <c:v>43.628999999999998</c:v>
                </c:pt>
                <c:pt idx="640">
                  <c:v>44.7393</c:v>
                </c:pt>
                <c:pt idx="641">
                  <c:v>36.159599999999998</c:v>
                </c:pt>
                <c:pt idx="642">
                  <c:v>38.957500000000003</c:v>
                </c:pt>
                <c:pt idx="643">
                  <c:v>40.279600000000002</c:v>
                </c:pt>
                <c:pt idx="644">
                  <c:v>38.700000000000003</c:v>
                </c:pt>
                <c:pt idx="645">
                  <c:v>38.700000000000003</c:v>
                </c:pt>
                <c:pt idx="646">
                  <c:v>60.1</c:v>
                </c:pt>
                <c:pt idx="647">
                  <c:v>58.534999999999997</c:v>
                </c:pt>
                <c:pt idx="648">
                  <c:v>39.571399999999997</c:v>
                </c:pt>
                <c:pt idx="649">
                  <c:v>40.0169</c:v>
                </c:pt>
                <c:pt idx="650">
                  <c:v>37.6</c:v>
                </c:pt>
                <c:pt idx="651">
                  <c:v>37.5</c:v>
                </c:pt>
                <c:pt idx="652">
                  <c:v>39.347999999999999</c:v>
                </c:pt>
                <c:pt idx="653">
                  <c:v>40.4</c:v>
                </c:pt>
                <c:pt idx="654">
                  <c:v>40.6</c:v>
                </c:pt>
                <c:pt idx="655">
                  <c:v>34.7286</c:v>
                </c:pt>
                <c:pt idx="656">
                  <c:v>32.5289</c:v>
                </c:pt>
                <c:pt idx="657">
                  <c:v>33.722900000000003</c:v>
                </c:pt>
                <c:pt idx="658">
                  <c:v>37.071100000000001</c:v>
                </c:pt>
                <c:pt idx="659">
                  <c:v>35.9</c:v>
                </c:pt>
                <c:pt idx="660">
                  <c:v>42</c:v>
                </c:pt>
                <c:pt idx="661">
                  <c:v>36.4</c:v>
                </c:pt>
                <c:pt idx="662">
                  <c:v>34.151400000000002</c:v>
                </c:pt>
                <c:pt idx="663">
                  <c:v>35.323700000000002</c:v>
                </c:pt>
                <c:pt idx="664">
                  <c:v>31.8217</c:v>
                </c:pt>
                <c:pt idx="665">
                  <c:v>27.9</c:v>
                </c:pt>
                <c:pt idx="666">
                  <c:v>27</c:v>
                </c:pt>
                <c:pt idx="667">
                  <c:v>34.299999999999997</c:v>
                </c:pt>
                <c:pt idx="668">
                  <c:v>35.5</c:v>
                </c:pt>
                <c:pt idx="669">
                  <c:v>31.6</c:v>
                </c:pt>
                <c:pt idx="670">
                  <c:v>27.9</c:v>
                </c:pt>
                <c:pt idx="671">
                  <c:v>32.8232</c:v>
                </c:pt>
                <c:pt idx="672">
                  <c:v>37.700000000000003</c:v>
                </c:pt>
                <c:pt idx="673">
                  <c:v>28.6</c:v>
                </c:pt>
                <c:pt idx="674">
                  <c:v>28.5</c:v>
                </c:pt>
                <c:pt idx="675">
                  <c:v>34.179600000000001</c:v>
                </c:pt>
                <c:pt idx="676">
                  <c:v>35.258200000000002</c:v>
                </c:pt>
                <c:pt idx="677">
                  <c:v>31.846699999999998</c:v>
                </c:pt>
                <c:pt idx="678">
                  <c:v>27.9</c:v>
                </c:pt>
                <c:pt idx="679">
                  <c:v>27</c:v>
                </c:pt>
                <c:pt idx="680">
                  <c:v>34.299999999999997</c:v>
                </c:pt>
                <c:pt idx="681">
                  <c:v>35.5</c:v>
                </c:pt>
                <c:pt idx="682">
                  <c:v>31.6</c:v>
                </c:pt>
                <c:pt idx="683">
                  <c:v>27.9</c:v>
                </c:pt>
                <c:pt idx="684">
                  <c:v>30.168800000000001</c:v>
                </c:pt>
                <c:pt idx="685">
                  <c:v>31.7</c:v>
                </c:pt>
                <c:pt idx="686">
                  <c:v>27.736599999999999</c:v>
                </c:pt>
                <c:pt idx="687">
                  <c:v>27.589400000000001</c:v>
                </c:pt>
                <c:pt idx="688">
                  <c:v>30.2</c:v>
                </c:pt>
                <c:pt idx="689">
                  <c:v>31.8</c:v>
                </c:pt>
                <c:pt idx="690">
                  <c:v>27.785699999999999</c:v>
                </c:pt>
                <c:pt idx="691">
                  <c:v>35.429099999999998</c:v>
                </c:pt>
                <c:pt idx="692">
                  <c:v>36.146299999999997</c:v>
                </c:pt>
                <c:pt idx="693">
                  <c:v>29.2</c:v>
                </c:pt>
                <c:pt idx="694">
                  <c:v>25.3</c:v>
                </c:pt>
                <c:pt idx="695">
                  <c:v>32.4</c:v>
                </c:pt>
                <c:pt idx="696">
                  <c:v>34.1</c:v>
                </c:pt>
                <c:pt idx="697">
                  <c:v>31.411200000000001</c:v>
                </c:pt>
                <c:pt idx="698">
                  <c:v>26.6</c:v>
                </c:pt>
                <c:pt idx="699">
                  <c:v>29.799900000000001</c:v>
                </c:pt>
                <c:pt idx="700">
                  <c:v>29.799900000000001</c:v>
                </c:pt>
                <c:pt idx="701">
                  <c:v>26.6</c:v>
                </c:pt>
                <c:pt idx="702">
                  <c:v>26.2</c:v>
                </c:pt>
                <c:pt idx="703">
                  <c:v>24.6648</c:v>
                </c:pt>
                <c:pt idx="704">
                  <c:v>32.4</c:v>
                </c:pt>
                <c:pt idx="705">
                  <c:v>34.1</c:v>
                </c:pt>
                <c:pt idx="706">
                  <c:v>31.3858</c:v>
                </c:pt>
                <c:pt idx="707">
                  <c:v>26.6</c:v>
                </c:pt>
                <c:pt idx="708">
                  <c:v>29.799900000000001</c:v>
                </c:pt>
                <c:pt idx="709">
                  <c:v>29.799900000000001</c:v>
                </c:pt>
                <c:pt idx="710">
                  <c:v>26.6</c:v>
                </c:pt>
                <c:pt idx="711">
                  <c:v>26.82</c:v>
                </c:pt>
                <c:pt idx="712">
                  <c:v>26.6538</c:v>
                </c:pt>
                <c:pt idx="713">
                  <c:v>26.384599999999999</c:v>
                </c:pt>
                <c:pt idx="714">
                  <c:v>30.3</c:v>
                </c:pt>
                <c:pt idx="715">
                  <c:v>28.3</c:v>
                </c:pt>
                <c:pt idx="716">
                  <c:v>24.4</c:v>
                </c:pt>
                <c:pt idx="717">
                  <c:v>27.805499999999999</c:v>
                </c:pt>
                <c:pt idx="718">
                  <c:v>26.228300000000001</c:v>
                </c:pt>
                <c:pt idx="719">
                  <c:v>29.370799999999999</c:v>
                </c:pt>
                <c:pt idx="720">
                  <c:v>26.1</c:v>
                </c:pt>
                <c:pt idx="721">
                  <c:v>30.5</c:v>
                </c:pt>
                <c:pt idx="722">
                  <c:v>30.4</c:v>
                </c:pt>
                <c:pt idx="723">
                  <c:v>28.1</c:v>
                </c:pt>
                <c:pt idx="724">
                  <c:v>25.6</c:v>
                </c:pt>
                <c:pt idx="725">
                  <c:v>27.8</c:v>
                </c:pt>
                <c:pt idx="726">
                  <c:v>25.6</c:v>
                </c:pt>
                <c:pt idx="727">
                  <c:v>27.1</c:v>
                </c:pt>
                <c:pt idx="728">
                  <c:v>27.8</c:v>
                </c:pt>
                <c:pt idx="729">
                  <c:v>29</c:v>
                </c:pt>
                <c:pt idx="730">
                  <c:v>27.0426</c:v>
                </c:pt>
                <c:pt idx="731">
                  <c:v>26.782900000000001</c:v>
                </c:pt>
                <c:pt idx="732">
                  <c:v>28.4633</c:v>
                </c:pt>
                <c:pt idx="733">
                  <c:v>27.8522</c:v>
                </c:pt>
                <c:pt idx="734">
                  <c:v>26.212499999999999</c:v>
                </c:pt>
                <c:pt idx="735">
                  <c:v>29.3645</c:v>
                </c:pt>
                <c:pt idx="736">
                  <c:v>26.1</c:v>
                </c:pt>
                <c:pt idx="737">
                  <c:v>30.5</c:v>
                </c:pt>
                <c:pt idx="738">
                  <c:v>30.4</c:v>
                </c:pt>
                <c:pt idx="739">
                  <c:v>24.9815</c:v>
                </c:pt>
                <c:pt idx="740">
                  <c:v>25.008900000000001</c:v>
                </c:pt>
                <c:pt idx="741">
                  <c:v>25.7499</c:v>
                </c:pt>
                <c:pt idx="742">
                  <c:v>28.0212</c:v>
                </c:pt>
                <c:pt idx="743">
                  <c:v>25.555099999999999</c:v>
                </c:pt>
                <c:pt idx="744">
                  <c:v>24.1937</c:v>
                </c:pt>
                <c:pt idx="745">
                  <c:v>24.1496</c:v>
                </c:pt>
                <c:pt idx="746">
                  <c:v>29.020499999999998</c:v>
                </c:pt>
                <c:pt idx="747">
                  <c:v>25.799900000000001</c:v>
                </c:pt>
                <c:pt idx="748">
                  <c:v>30.299900000000001</c:v>
                </c:pt>
                <c:pt idx="749">
                  <c:v>24.4</c:v>
                </c:pt>
                <c:pt idx="750">
                  <c:v>25.6</c:v>
                </c:pt>
                <c:pt idx="751">
                  <c:v>24.5</c:v>
                </c:pt>
                <c:pt idx="752">
                  <c:v>25.4</c:v>
                </c:pt>
                <c:pt idx="753">
                  <c:v>25.753499999999999</c:v>
                </c:pt>
                <c:pt idx="754">
                  <c:v>26.662199999999999</c:v>
                </c:pt>
                <c:pt idx="755">
                  <c:v>24.793900000000001</c:v>
                </c:pt>
                <c:pt idx="756">
                  <c:v>27.106100000000001</c:v>
                </c:pt>
                <c:pt idx="757">
                  <c:v>25.229800000000001</c:v>
                </c:pt>
                <c:pt idx="758">
                  <c:v>24.1937</c:v>
                </c:pt>
                <c:pt idx="759">
                  <c:v>24.153400000000001</c:v>
                </c:pt>
                <c:pt idx="760">
                  <c:v>29.0185</c:v>
                </c:pt>
                <c:pt idx="761">
                  <c:v>25.802600000000002</c:v>
                </c:pt>
                <c:pt idx="762">
                  <c:v>30.299900000000001</c:v>
                </c:pt>
                <c:pt idx="763">
                  <c:v>25.799900000000001</c:v>
                </c:pt>
                <c:pt idx="764">
                  <c:v>28.2</c:v>
                </c:pt>
                <c:pt idx="765">
                  <c:v>25.2</c:v>
                </c:pt>
                <c:pt idx="766">
                  <c:v>25.1</c:v>
                </c:pt>
                <c:pt idx="767">
                  <c:v>22.299900000000001</c:v>
                </c:pt>
                <c:pt idx="768">
                  <c:v>23.061</c:v>
                </c:pt>
                <c:pt idx="769">
                  <c:v>23.110900000000001</c:v>
                </c:pt>
                <c:pt idx="770">
                  <c:v>26.229500000000002</c:v>
                </c:pt>
                <c:pt idx="771">
                  <c:v>23.431799999999999</c:v>
                </c:pt>
                <c:pt idx="772">
                  <c:v>23.999300000000002</c:v>
                </c:pt>
                <c:pt idx="773">
                  <c:v>27.6</c:v>
                </c:pt>
                <c:pt idx="774">
                  <c:v>24.299900000000001</c:v>
                </c:pt>
                <c:pt idx="775">
                  <c:v>23.299900000000001</c:v>
                </c:pt>
                <c:pt idx="776">
                  <c:v>22.761900000000001</c:v>
                </c:pt>
                <c:pt idx="777">
                  <c:v>22.9</c:v>
                </c:pt>
                <c:pt idx="778">
                  <c:v>27.6</c:v>
                </c:pt>
                <c:pt idx="779">
                  <c:v>24.299900000000001</c:v>
                </c:pt>
                <c:pt idx="780">
                  <c:v>23.299900000000001</c:v>
                </c:pt>
                <c:pt idx="781">
                  <c:v>22.761900000000001</c:v>
                </c:pt>
                <c:pt idx="782">
                  <c:v>22.9</c:v>
                </c:pt>
                <c:pt idx="783">
                  <c:v>23.299900000000001</c:v>
                </c:pt>
                <c:pt idx="784">
                  <c:v>22.9</c:v>
                </c:pt>
                <c:pt idx="785">
                  <c:v>23.299900000000001</c:v>
                </c:pt>
                <c:pt idx="786">
                  <c:v>22.9</c:v>
                </c:pt>
                <c:pt idx="787">
                  <c:v>35</c:v>
                </c:pt>
                <c:pt idx="788">
                  <c:v>33.098799999999997</c:v>
                </c:pt>
                <c:pt idx="789">
                  <c:v>31.9</c:v>
                </c:pt>
                <c:pt idx="790">
                  <c:v>35.200000000000003</c:v>
                </c:pt>
                <c:pt idx="791">
                  <c:v>33.098799999999997</c:v>
                </c:pt>
                <c:pt idx="792">
                  <c:v>31.9</c:v>
                </c:pt>
                <c:pt idx="793">
                  <c:v>35.200000000000003</c:v>
                </c:pt>
                <c:pt idx="794">
                  <c:v>35.5</c:v>
                </c:pt>
                <c:pt idx="795">
                  <c:v>32.4</c:v>
                </c:pt>
                <c:pt idx="796">
                  <c:v>32.4</c:v>
                </c:pt>
                <c:pt idx="797">
                  <c:v>32.4</c:v>
                </c:pt>
                <c:pt idx="798">
                  <c:v>39.200000000000003</c:v>
                </c:pt>
                <c:pt idx="799">
                  <c:v>38.1</c:v>
                </c:pt>
                <c:pt idx="800">
                  <c:v>34</c:v>
                </c:pt>
                <c:pt idx="801">
                  <c:v>31.9</c:v>
                </c:pt>
                <c:pt idx="802">
                  <c:v>35.200000000000003</c:v>
                </c:pt>
                <c:pt idx="803">
                  <c:v>29.2</c:v>
                </c:pt>
                <c:pt idx="804">
                  <c:v>34.4</c:v>
                </c:pt>
                <c:pt idx="805">
                  <c:v>33</c:v>
                </c:pt>
                <c:pt idx="806">
                  <c:v>28.4</c:v>
                </c:pt>
                <c:pt idx="807">
                  <c:v>30.5</c:v>
                </c:pt>
                <c:pt idx="808">
                  <c:v>28.4</c:v>
                </c:pt>
                <c:pt idx="809">
                  <c:v>34.5</c:v>
                </c:pt>
                <c:pt idx="810">
                  <c:v>28.993500000000001</c:v>
                </c:pt>
                <c:pt idx="811">
                  <c:v>26</c:v>
                </c:pt>
                <c:pt idx="812">
                  <c:v>28.993500000000001</c:v>
                </c:pt>
                <c:pt idx="813">
                  <c:v>26</c:v>
                </c:pt>
                <c:pt idx="814">
                  <c:v>28.993500000000001</c:v>
                </c:pt>
                <c:pt idx="815">
                  <c:v>30.5</c:v>
                </c:pt>
                <c:pt idx="816">
                  <c:v>45.1</c:v>
                </c:pt>
                <c:pt idx="817">
                  <c:v>34.548200000000001</c:v>
                </c:pt>
                <c:pt idx="818">
                  <c:v>40.299999999999997</c:v>
                </c:pt>
                <c:pt idx="819">
                  <c:v>40.6</c:v>
                </c:pt>
                <c:pt idx="820">
                  <c:v>42.399099999999997</c:v>
                </c:pt>
                <c:pt idx="821">
                  <c:v>44.999099999999999</c:v>
                </c:pt>
                <c:pt idx="822">
                  <c:v>41.9</c:v>
                </c:pt>
                <c:pt idx="823">
                  <c:v>41.5</c:v>
                </c:pt>
                <c:pt idx="824">
                  <c:v>42.399099999999997</c:v>
                </c:pt>
                <c:pt idx="825">
                  <c:v>44.999099999999999</c:v>
                </c:pt>
                <c:pt idx="826">
                  <c:v>41.9</c:v>
                </c:pt>
                <c:pt idx="827">
                  <c:v>41.5</c:v>
                </c:pt>
                <c:pt idx="828">
                  <c:v>33</c:v>
                </c:pt>
                <c:pt idx="829">
                  <c:v>34.1</c:v>
                </c:pt>
                <c:pt idx="830">
                  <c:v>35</c:v>
                </c:pt>
                <c:pt idx="831">
                  <c:v>33.200000000000003</c:v>
                </c:pt>
                <c:pt idx="832">
                  <c:v>30.5</c:v>
                </c:pt>
                <c:pt idx="833">
                  <c:v>29.4</c:v>
                </c:pt>
                <c:pt idx="834">
                  <c:v>34.200000000000003</c:v>
                </c:pt>
                <c:pt idx="835">
                  <c:v>39.200000000000003</c:v>
                </c:pt>
                <c:pt idx="836">
                  <c:v>38.6</c:v>
                </c:pt>
                <c:pt idx="837">
                  <c:v>34.799999999999997</c:v>
                </c:pt>
                <c:pt idx="838">
                  <c:v>42.9</c:v>
                </c:pt>
                <c:pt idx="839">
                  <c:v>27</c:v>
                </c:pt>
                <c:pt idx="840">
                  <c:v>27.8</c:v>
                </c:pt>
                <c:pt idx="841">
                  <c:v>29</c:v>
                </c:pt>
                <c:pt idx="842">
                  <c:v>34.200000000000003</c:v>
                </c:pt>
                <c:pt idx="843">
                  <c:v>33</c:v>
                </c:pt>
                <c:pt idx="844">
                  <c:v>28.993500000000001</c:v>
                </c:pt>
                <c:pt idx="845">
                  <c:v>28.4</c:v>
                </c:pt>
                <c:pt idx="846">
                  <c:v>30.5</c:v>
                </c:pt>
                <c:pt idx="847">
                  <c:v>28.993500000000001</c:v>
                </c:pt>
                <c:pt idx="848">
                  <c:v>28.4</c:v>
                </c:pt>
                <c:pt idx="849">
                  <c:v>26</c:v>
                </c:pt>
                <c:pt idx="850">
                  <c:v>45.1</c:v>
                </c:pt>
                <c:pt idx="851">
                  <c:v>34.548200000000001</c:v>
                </c:pt>
                <c:pt idx="852">
                  <c:v>38.299999999999997</c:v>
                </c:pt>
                <c:pt idx="853">
                  <c:v>39.200000000000003</c:v>
                </c:pt>
                <c:pt idx="854">
                  <c:v>34.299999999999997</c:v>
                </c:pt>
                <c:pt idx="855">
                  <c:v>31.9</c:v>
                </c:pt>
                <c:pt idx="856">
                  <c:v>31.947500000000002</c:v>
                </c:pt>
                <c:pt idx="857">
                  <c:v>38.6</c:v>
                </c:pt>
                <c:pt idx="858">
                  <c:v>36.700000000000003</c:v>
                </c:pt>
                <c:pt idx="859">
                  <c:v>36.4</c:v>
                </c:pt>
                <c:pt idx="860">
                  <c:v>41.6</c:v>
                </c:pt>
                <c:pt idx="861">
                  <c:v>43.2286</c:v>
                </c:pt>
                <c:pt idx="862">
                  <c:v>32.5</c:v>
                </c:pt>
                <c:pt idx="863">
                  <c:v>31.496099999999998</c:v>
                </c:pt>
                <c:pt idx="864">
                  <c:v>24.2</c:v>
                </c:pt>
                <c:pt idx="865">
                  <c:v>27.2</c:v>
                </c:pt>
                <c:pt idx="866">
                  <c:v>27.1</c:v>
                </c:pt>
                <c:pt idx="867">
                  <c:v>40.239699999999999</c:v>
                </c:pt>
                <c:pt idx="868">
                  <c:v>38</c:v>
                </c:pt>
                <c:pt idx="869">
                  <c:v>39.200000000000003</c:v>
                </c:pt>
                <c:pt idx="870">
                  <c:v>34.700000000000003</c:v>
                </c:pt>
                <c:pt idx="871">
                  <c:v>28.8</c:v>
                </c:pt>
                <c:pt idx="872">
                  <c:v>27.1</c:v>
                </c:pt>
                <c:pt idx="873">
                  <c:v>30.5</c:v>
                </c:pt>
                <c:pt idx="874">
                  <c:v>40.239699999999999</c:v>
                </c:pt>
                <c:pt idx="875">
                  <c:v>38</c:v>
                </c:pt>
                <c:pt idx="876">
                  <c:v>39.200000000000003</c:v>
                </c:pt>
                <c:pt idx="877">
                  <c:v>34.700000000000003</c:v>
                </c:pt>
                <c:pt idx="878">
                  <c:v>28.2</c:v>
                </c:pt>
                <c:pt idx="879">
                  <c:v>29.5</c:v>
                </c:pt>
                <c:pt idx="880">
                  <c:v>29.9</c:v>
                </c:pt>
                <c:pt idx="881">
                  <c:v>34.5</c:v>
                </c:pt>
                <c:pt idx="882">
                  <c:v>35.299999999999997</c:v>
                </c:pt>
                <c:pt idx="883">
                  <c:v>32.700000000000003</c:v>
                </c:pt>
                <c:pt idx="884">
                  <c:v>34.5</c:v>
                </c:pt>
                <c:pt idx="885">
                  <c:v>39.0959</c:v>
                </c:pt>
                <c:pt idx="886">
                  <c:v>32.200000000000003</c:v>
                </c:pt>
                <c:pt idx="887">
                  <c:v>34.200000000000003</c:v>
                </c:pt>
                <c:pt idx="888">
                  <c:v>27</c:v>
                </c:pt>
                <c:pt idx="889">
                  <c:v>34.700000000000003</c:v>
                </c:pt>
                <c:pt idx="890">
                  <c:v>38.6</c:v>
                </c:pt>
                <c:pt idx="891">
                  <c:v>30.5</c:v>
                </c:pt>
                <c:pt idx="892">
                  <c:v>38.6</c:v>
                </c:pt>
                <c:pt idx="893">
                  <c:v>39.200000000000003</c:v>
                </c:pt>
                <c:pt idx="894">
                  <c:v>34.799999999999997</c:v>
                </c:pt>
                <c:pt idx="895">
                  <c:v>42.9</c:v>
                </c:pt>
                <c:pt idx="896">
                  <c:v>30.6</c:v>
                </c:pt>
                <c:pt idx="897">
                  <c:v>28.7</c:v>
                </c:pt>
                <c:pt idx="898">
                  <c:v>39.200000000000003</c:v>
                </c:pt>
                <c:pt idx="899">
                  <c:v>34.799999999999997</c:v>
                </c:pt>
                <c:pt idx="900">
                  <c:v>42.9</c:v>
                </c:pt>
                <c:pt idx="901">
                  <c:v>27.8</c:v>
                </c:pt>
                <c:pt idx="902">
                  <c:v>29</c:v>
                </c:pt>
                <c:pt idx="903">
                  <c:v>37.976399999999998</c:v>
                </c:pt>
                <c:pt idx="904">
                  <c:v>35.288699999999999</c:v>
                </c:pt>
                <c:pt idx="905">
                  <c:v>29.809899999999999</c:v>
                </c:pt>
                <c:pt idx="906">
                  <c:v>24.947700000000001</c:v>
                </c:pt>
                <c:pt idx="907">
                  <c:v>25.1952</c:v>
                </c:pt>
                <c:pt idx="908">
                  <c:v>32.407600000000002</c:v>
                </c:pt>
                <c:pt idx="909">
                  <c:v>29.9</c:v>
                </c:pt>
                <c:pt idx="910">
                  <c:v>30.9375</c:v>
                </c:pt>
                <c:pt idx="911">
                  <c:v>38.029899999999998</c:v>
                </c:pt>
                <c:pt idx="912">
                  <c:v>28.0488</c:v>
                </c:pt>
                <c:pt idx="913">
                  <c:v>28.654900000000001</c:v>
                </c:pt>
                <c:pt idx="914">
                  <c:v>33</c:v>
                </c:pt>
                <c:pt idx="915">
                  <c:v>37</c:v>
                </c:pt>
                <c:pt idx="916">
                  <c:v>33</c:v>
                </c:pt>
                <c:pt idx="917">
                  <c:v>33.200000000000003</c:v>
                </c:pt>
                <c:pt idx="918">
                  <c:v>45.3</c:v>
                </c:pt>
                <c:pt idx="919">
                  <c:v>35.810299999999998</c:v>
                </c:pt>
                <c:pt idx="920">
                  <c:v>34.283099999999997</c:v>
                </c:pt>
                <c:pt idx="921">
                  <c:v>33.762799999999999</c:v>
                </c:pt>
                <c:pt idx="922">
                  <c:v>31.7</c:v>
                </c:pt>
                <c:pt idx="923">
                  <c:v>31.4</c:v>
                </c:pt>
                <c:pt idx="924">
                  <c:v>30.2</c:v>
                </c:pt>
                <c:pt idx="925">
                  <c:v>37.799999999999997</c:v>
                </c:pt>
                <c:pt idx="926">
                  <c:v>33.1</c:v>
                </c:pt>
                <c:pt idx="927">
                  <c:v>39.700000000000003</c:v>
                </c:pt>
                <c:pt idx="928">
                  <c:v>37.349899999999998</c:v>
                </c:pt>
                <c:pt idx="929">
                  <c:v>26.548400000000001</c:v>
                </c:pt>
                <c:pt idx="930">
                  <c:v>25.617899999999999</c:v>
                </c:pt>
                <c:pt idx="931">
                  <c:v>40.6</c:v>
                </c:pt>
                <c:pt idx="932">
                  <c:v>36.6</c:v>
                </c:pt>
                <c:pt idx="933">
                  <c:v>34.1</c:v>
                </c:pt>
                <c:pt idx="934">
                  <c:v>36.200000000000003</c:v>
                </c:pt>
                <c:pt idx="935">
                  <c:v>36.4</c:v>
                </c:pt>
                <c:pt idx="936">
                  <c:v>29.7</c:v>
                </c:pt>
                <c:pt idx="937">
                  <c:v>28.7</c:v>
                </c:pt>
                <c:pt idx="938">
                  <c:v>31.9</c:v>
                </c:pt>
                <c:pt idx="939">
                  <c:v>31.6</c:v>
                </c:pt>
                <c:pt idx="940">
                  <c:v>30.7</c:v>
                </c:pt>
                <c:pt idx="941">
                  <c:v>33.200000000000003</c:v>
                </c:pt>
                <c:pt idx="942">
                  <c:v>26.1066</c:v>
                </c:pt>
                <c:pt idx="943">
                  <c:v>24.6</c:v>
                </c:pt>
                <c:pt idx="944">
                  <c:v>26.6</c:v>
                </c:pt>
                <c:pt idx="945">
                  <c:v>33</c:v>
                </c:pt>
                <c:pt idx="946">
                  <c:v>33.6</c:v>
                </c:pt>
                <c:pt idx="947">
                  <c:v>29.6</c:v>
                </c:pt>
                <c:pt idx="948">
                  <c:v>36.558999999999997</c:v>
                </c:pt>
                <c:pt idx="949">
                  <c:v>26.794599999999999</c:v>
                </c:pt>
                <c:pt idx="950">
                  <c:v>23.152100000000001</c:v>
                </c:pt>
                <c:pt idx="951">
                  <c:v>29.5</c:v>
                </c:pt>
                <c:pt idx="952">
                  <c:v>24.9</c:v>
                </c:pt>
                <c:pt idx="953">
                  <c:v>23.152100000000001</c:v>
                </c:pt>
                <c:pt idx="954">
                  <c:v>30.9</c:v>
                </c:pt>
                <c:pt idx="955">
                  <c:v>27.4</c:v>
                </c:pt>
                <c:pt idx="956">
                  <c:v>30.299299999999999</c:v>
                </c:pt>
                <c:pt idx="957">
                  <c:v>31.3</c:v>
                </c:pt>
                <c:pt idx="958">
                  <c:v>40.299999999999997</c:v>
                </c:pt>
                <c:pt idx="959">
                  <c:v>33.1</c:v>
                </c:pt>
                <c:pt idx="960">
                  <c:v>29</c:v>
                </c:pt>
                <c:pt idx="961">
                  <c:v>30.299900000000001</c:v>
                </c:pt>
                <c:pt idx="962">
                  <c:v>31.6</c:v>
                </c:pt>
                <c:pt idx="963">
                  <c:v>31.9</c:v>
                </c:pt>
                <c:pt idx="964">
                  <c:v>28.5</c:v>
                </c:pt>
                <c:pt idx="965">
                  <c:v>28.4</c:v>
                </c:pt>
                <c:pt idx="966">
                  <c:v>31.4</c:v>
                </c:pt>
                <c:pt idx="967">
                  <c:v>36.030700000000003</c:v>
                </c:pt>
                <c:pt idx="968">
                  <c:v>31.3917</c:v>
                </c:pt>
                <c:pt idx="969">
                  <c:v>37.9</c:v>
                </c:pt>
                <c:pt idx="970">
                  <c:v>23.898299999999999</c:v>
                </c:pt>
                <c:pt idx="971">
                  <c:v>25.753499999999999</c:v>
                </c:pt>
                <c:pt idx="972">
                  <c:v>26.662199999999999</c:v>
                </c:pt>
                <c:pt idx="973">
                  <c:v>30.380500000000001</c:v>
                </c:pt>
                <c:pt idx="974">
                  <c:v>30.2</c:v>
                </c:pt>
                <c:pt idx="975">
                  <c:v>31.6</c:v>
                </c:pt>
                <c:pt idx="976">
                  <c:v>29</c:v>
                </c:pt>
                <c:pt idx="977">
                  <c:v>30.299900000000001</c:v>
                </c:pt>
                <c:pt idx="978">
                  <c:v>27.4</c:v>
                </c:pt>
                <c:pt idx="979">
                  <c:v>40.299999999999997</c:v>
                </c:pt>
                <c:pt idx="980">
                  <c:v>33.1</c:v>
                </c:pt>
                <c:pt idx="981">
                  <c:v>34.6</c:v>
                </c:pt>
                <c:pt idx="982">
                  <c:v>37.709800000000001</c:v>
                </c:pt>
                <c:pt idx="983">
                  <c:v>31.3</c:v>
                </c:pt>
                <c:pt idx="984">
                  <c:v>33.5</c:v>
                </c:pt>
                <c:pt idx="985">
                  <c:v>30.5</c:v>
                </c:pt>
                <c:pt idx="986">
                  <c:v>25.2</c:v>
                </c:pt>
                <c:pt idx="987">
                  <c:v>25.1</c:v>
                </c:pt>
                <c:pt idx="988">
                  <c:v>22.299900000000001</c:v>
                </c:pt>
                <c:pt idx="989">
                  <c:v>37.6</c:v>
                </c:pt>
                <c:pt idx="990">
                  <c:v>36</c:v>
                </c:pt>
                <c:pt idx="991">
                  <c:v>39.204099999999997</c:v>
                </c:pt>
                <c:pt idx="992">
                  <c:v>38.6</c:v>
                </c:pt>
                <c:pt idx="993">
                  <c:v>31.1</c:v>
                </c:pt>
                <c:pt idx="994">
                  <c:v>29.773399999999999</c:v>
                </c:pt>
                <c:pt idx="995">
                  <c:v>27.251100000000001</c:v>
                </c:pt>
                <c:pt idx="996">
                  <c:v>23.6</c:v>
                </c:pt>
                <c:pt idx="997">
                  <c:v>26.6</c:v>
                </c:pt>
                <c:pt idx="998">
                  <c:v>26</c:v>
                </c:pt>
                <c:pt idx="999">
                  <c:v>38.6</c:v>
                </c:pt>
                <c:pt idx="1000">
                  <c:v>33.6</c:v>
                </c:pt>
                <c:pt idx="1001">
                  <c:v>27.5</c:v>
                </c:pt>
                <c:pt idx="1002">
                  <c:v>26</c:v>
                </c:pt>
                <c:pt idx="1003">
                  <c:v>20.9</c:v>
                </c:pt>
                <c:pt idx="1004">
                  <c:v>28.5</c:v>
                </c:pt>
                <c:pt idx="1005">
                  <c:v>38.6</c:v>
                </c:pt>
                <c:pt idx="1006">
                  <c:v>33.6</c:v>
                </c:pt>
                <c:pt idx="1007">
                  <c:v>33.6</c:v>
                </c:pt>
                <c:pt idx="1008">
                  <c:v>26.163</c:v>
                </c:pt>
                <c:pt idx="1009">
                  <c:v>26.563199999999998</c:v>
                </c:pt>
                <c:pt idx="1010">
                  <c:v>29.2986</c:v>
                </c:pt>
                <c:pt idx="1011">
                  <c:v>28.4</c:v>
                </c:pt>
                <c:pt idx="1012">
                  <c:v>33.4</c:v>
                </c:pt>
                <c:pt idx="1013">
                  <c:v>31.3</c:v>
                </c:pt>
                <c:pt idx="1014">
                  <c:v>30.347000000000001</c:v>
                </c:pt>
                <c:pt idx="1015">
                  <c:v>23.820399999999999</c:v>
                </c:pt>
                <c:pt idx="1016">
                  <c:v>24.572199999999999</c:v>
                </c:pt>
                <c:pt idx="1017">
                  <c:v>25.508199999999999</c:v>
                </c:pt>
                <c:pt idx="1018">
                  <c:v>23.574300000000001</c:v>
                </c:pt>
                <c:pt idx="1019">
                  <c:v>24.7928</c:v>
                </c:pt>
                <c:pt idx="1020">
                  <c:v>28.3</c:v>
                </c:pt>
                <c:pt idx="1021">
                  <c:v>24.149100000000001</c:v>
                </c:pt>
                <c:pt idx="1022">
                  <c:v>33.793700000000001</c:v>
                </c:pt>
                <c:pt idx="1023">
                  <c:v>38.719299999999997</c:v>
                </c:pt>
                <c:pt idx="1024">
                  <c:v>29.9849</c:v>
                </c:pt>
                <c:pt idx="1025">
                  <c:v>30.2</c:v>
                </c:pt>
                <c:pt idx="1026">
                  <c:v>31.4</c:v>
                </c:pt>
                <c:pt idx="1027">
                  <c:v>31.7</c:v>
                </c:pt>
                <c:pt idx="1028">
                  <c:v>28.7</c:v>
                </c:pt>
                <c:pt idx="1029">
                  <c:v>37</c:v>
                </c:pt>
                <c:pt idx="1030">
                  <c:v>32.1</c:v>
                </c:pt>
                <c:pt idx="1031">
                  <c:v>37.9</c:v>
                </c:pt>
                <c:pt idx="1032">
                  <c:v>20.7</c:v>
                </c:pt>
                <c:pt idx="1033">
                  <c:v>20.100000000000001</c:v>
                </c:pt>
                <c:pt idx="1034">
                  <c:v>31.5</c:v>
                </c:pt>
                <c:pt idx="1035">
                  <c:v>23.8</c:v>
                </c:pt>
                <c:pt idx="1036">
                  <c:v>23.2</c:v>
                </c:pt>
                <c:pt idx="1037">
                  <c:v>28.668299999999999</c:v>
                </c:pt>
                <c:pt idx="1038">
                  <c:v>27.3</c:v>
                </c:pt>
                <c:pt idx="1039">
                  <c:v>34.4</c:v>
                </c:pt>
                <c:pt idx="1040">
                  <c:v>24.6</c:v>
                </c:pt>
                <c:pt idx="1041">
                  <c:v>19.7</c:v>
                </c:pt>
                <c:pt idx="1042">
                  <c:v>33.700000000000003</c:v>
                </c:pt>
                <c:pt idx="1043">
                  <c:v>25.8</c:v>
                </c:pt>
                <c:pt idx="1044">
                  <c:v>33.299999999999997</c:v>
                </c:pt>
                <c:pt idx="1045">
                  <c:v>36.030700000000003</c:v>
                </c:pt>
                <c:pt idx="1046">
                  <c:v>31.3917</c:v>
                </c:pt>
                <c:pt idx="1047">
                  <c:v>37.9</c:v>
                </c:pt>
                <c:pt idx="1048">
                  <c:v>25.753499999999999</c:v>
                </c:pt>
                <c:pt idx="1049">
                  <c:v>26.662199999999999</c:v>
                </c:pt>
                <c:pt idx="1050">
                  <c:v>35.241799999999998</c:v>
                </c:pt>
                <c:pt idx="1051">
                  <c:v>32.954799999999999</c:v>
                </c:pt>
                <c:pt idx="1052">
                  <c:v>26.9</c:v>
                </c:pt>
                <c:pt idx="1053">
                  <c:v>24.192399999999999</c:v>
                </c:pt>
                <c:pt idx="1054">
                  <c:v>24.149100000000001</c:v>
                </c:pt>
                <c:pt idx="1055">
                  <c:v>31.708200000000001</c:v>
                </c:pt>
                <c:pt idx="1056">
                  <c:v>27.234000000000002</c:v>
                </c:pt>
                <c:pt idx="1057">
                  <c:v>24.299600000000002</c:v>
                </c:pt>
                <c:pt idx="1058">
                  <c:v>35.860599999999998</c:v>
                </c:pt>
                <c:pt idx="1059">
                  <c:v>27.1846</c:v>
                </c:pt>
                <c:pt idx="1060">
                  <c:v>27.566500000000001</c:v>
                </c:pt>
                <c:pt idx="1061">
                  <c:v>27.581099999999999</c:v>
                </c:pt>
                <c:pt idx="1062">
                  <c:v>28.1127</c:v>
                </c:pt>
                <c:pt idx="1063">
                  <c:v>25.56</c:v>
                </c:pt>
                <c:pt idx="1064">
                  <c:v>23.577999999999999</c:v>
                </c:pt>
                <c:pt idx="1065">
                  <c:v>26.388000000000002</c:v>
                </c:pt>
                <c:pt idx="1066">
                  <c:v>23.577999999999999</c:v>
                </c:pt>
                <c:pt idx="1067">
                  <c:v>25.7761</c:v>
                </c:pt>
                <c:pt idx="1068">
                  <c:v>25.7761</c:v>
                </c:pt>
                <c:pt idx="1069">
                  <c:v>25.7761</c:v>
                </c:pt>
                <c:pt idx="1070">
                  <c:v>31.6</c:v>
                </c:pt>
                <c:pt idx="1071">
                  <c:v>32.200000000000003</c:v>
                </c:pt>
                <c:pt idx="1072">
                  <c:v>32.1</c:v>
                </c:pt>
                <c:pt idx="1073">
                  <c:v>32.6</c:v>
                </c:pt>
                <c:pt idx="1074">
                  <c:v>37.070999999999998</c:v>
                </c:pt>
                <c:pt idx="1075">
                  <c:v>35.922600000000003</c:v>
                </c:pt>
                <c:pt idx="1076">
                  <c:v>32.910299999999999</c:v>
                </c:pt>
                <c:pt idx="1077">
                  <c:v>40.081600000000002</c:v>
                </c:pt>
                <c:pt idx="1078">
                  <c:v>37.057400000000001</c:v>
                </c:pt>
                <c:pt idx="1079">
                  <c:v>34.270800000000001</c:v>
                </c:pt>
                <c:pt idx="1080">
                  <c:v>29.5</c:v>
                </c:pt>
                <c:pt idx="1081">
                  <c:v>34.251300000000001</c:v>
                </c:pt>
                <c:pt idx="1082">
                  <c:v>32.276499999999999</c:v>
                </c:pt>
                <c:pt idx="1083">
                  <c:v>32.274700000000003</c:v>
                </c:pt>
                <c:pt idx="1084">
                  <c:v>30</c:v>
                </c:pt>
                <c:pt idx="1085">
                  <c:v>30</c:v>
                </c:pt>
                <c:pt idx="1086">
                  <c:v>28.918199999999999</c:v>
                </c:pt>
                <c:pt idx="1087">
                  <c:v>26.813700000000001</c:v>
                </c:pt>
                <c:pt idx="1088">
                  <c:v>31.3</c:v>
                </c:pt>
                <c:pt idx="1089">
                  <c:v>34.998899999999999</c:v>
                </c:pt>
                <c:pt idx="1090">
                  <c:v>24.749099999999999</c:v>
                </c:pt>
                <c:pt idx="1091">
                  <c:v>38.377800000000001</c:v>
                </c:pt>
                <c:pt idx="1092">
                  <c:v>35.749400000000001</c:v>
                </c:pt>
                <c:pt idx="1093">
                  <c:v>24.8718</c:v>
                </c:pt>
                <c:pt idx="1094">
                  <c:v>24.5</c:v>
                </c:pt>
                <c:pt idx="1095">
                  <c:v>24.220600000000001</c:v>
                </c:pt>
                <c:pt idx="1096">
                  <c:v>38.700000000000003</c:v>
                </c:pt>
                <c:pt idx="1097">
                  <c:v>35</c:v>
                </c:pt>
                <c:pt idx="1098">
                  <c:v>33.299999999999997</c:v>
                </c:pt>
                <c:pt idx="1099">
                  <c:v>34.4</c:v>
                </c:pt>
                <c:pt idx="1100">
                  <c:v>26.1066</c:v>
                </c:pt>
                <c:pt idx="1101">
                  <c:v>29.789200000000001</c:v>
                </c:pt>
                <c:pt idx="1102">
                  <c:v>30.492599999999999</c:v>
                </c:pt>
                <c:pt idx="1103">
                  <c:v>29.789200000000001</c:v>
                </c:pt>
                <c:pt idx="1104">
                  <c:v>30.492599999999999</c:v>
                </c:pt>
                <c:pt idx="1105">
                  <c:v>29.743099999999998</c:v>
                </c:pt>
                <c:pt idx="1106">
                  <c:v>26.2</c:v>
                </c:pt>
              </c:numCache>
            </c:numRef>
          </c:yVal>
          <c:smooth val="0"/>
          <c:extLst>
            <c:ext xmlns:c16="http://schemas.microsoft.com/office/drawing/2014/chart" uri="{C3380CC4-5D6E-409C-BE32-E72D297353CC}">
              <c16:uniqueId val="{00000000-4E98-421B-BF19-0653EE1EE5B4}"/>
            </c:ext>
          </c:extLst>
        </c:ser>
        <c:dLbls>
          <c:showLegendKey val="0"/>
          <c:showVal val="0"/>
          <c:showCatName val="0"/>
          <c:showSerName val="0"/>
          <c:showPercent val="0"/>
          <c:showBubbleSize val="0"/>
        </c:dLbls>
        <c:axId val="806982016"/>
        <c:axId val="806986280"/>
      </c:scatterChart>
      <c:valAx>
        <c:axId val="8069820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b" anchorCtr="1"/>
              <a:lstStyle/>
              <a:p>
                <a:pPr>
                  <a:defRPr sz="1000" b="0" i="0" u="none" strike="noStrike" kern="1200" baseline="0">
                    <a:solidFill>
                      <a:schemeClr val="tx1">
                        <a:lumMod val="65000"/>
                        <a:lumOff val="35000"/>
                      </a:schemeClr>
                    </a:solidFill>
                    <a:latin typeface="+mn-lt"/>
                    <a:ea typeface="+mn-ea"/>
                    <a:cs typeface="+mn-cs"/>
                  </a:defRPr>
                </a:pPr>
                <a:endParaRPr lang="en-US" sz="1400" b="1" baseline="0"/>
              </a:p>
              <a:p>
                <a:pPr>
                  <a:defRPr/>
                </a:pPr>
                <a:r>
                  <a:rPr lang="en-US" sz="1400" b="1" baseline="0"/>
                  <a:t>EngDispl</a:t>
                </a:r>
              </a:p>
              <a:p>
                <a:pPr>
                  <a:defRPr/>
                </a:pPr>
                <a:endParaRPr lang="en-US" sz="1400" b="1" baseline="0"/>
              </a:p>
            </c:rich>
          </c:tx>
          <c:layout>
            <c:manualLayout>
              <c:xMode val="edge"/>
              <c:yMode val="edge"/>
              <c:x val="0.46014984322464397"/>
              <c:y val="0.78644449782664716"/>
            </c:manualLayout>
          </c:layout>
          <c:overlay val="0"/>
          <c:spPr>
            <a:noFill/>
            <a:ln>
              <a:noFill/>
            </a:ln>
            <a:effectLst/>
          </c:spPr>
          <c:txPr>
            <a:bodyPr rot="0" spcFirstLastPara="1" vertOverflow="ellipsis" vert="horz" wrap="square" anchor="b"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6986280"/>
        <c:crosses val="autoZero"/>
        <c:crossBetween val="midCat"/>
      </c:valAx>
      <c:valAx>
        <c:axId val="806986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cap="none" baseline="0">
                    <a:solidFill>
                      <a:sysClr val="windowText" lastClr="000000"/>
                    </a:solidFill>
                  </a:rPr>
                  <a:t>Fuel Economy (FE)</a:t>
                </a:r>
              </a:p>
            </c:rich>
          </c:tx>
          <c:layout>
            <c:manualLayout>
              <c:xMode val="edge"/>
              <c:yMode val="edge"/>
              <c:x val="7.0397747272087294E-3"/>
              <c:y val="0.3567484370683864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6982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cy-GB"/>
              <a:t>Residuals</a:t>
            </a:r>
            <a:r>
              <a:rPr lang="cy-GB" baseline="0"/>
              <a:t> (</a:t>
            </a:r>
            <a:r>
              <a:rPr lang="cy-GB"/>
              <a:t>y</a:t>
            </a:r>
            <a:r>
              <a:rPr lang="cy-GB" baseline="-25000"/>
              <a:t>i</a:t>
            </a:r>
            <a:r>
              <a:rPr lang="cy-GB"/>
              <a:t> - ŷ</a:t>
            </a:r>
            <a:r>
              <a:rPr lang="cy-GB" baseline="-25000"/>
              <a:t>i</a:t>
            </a:r>
            <a:r>
              <a:rPr lang="cy-GB" baseline="0"/>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'Q.2, 3, 5'!$P$2:$P$5</c:f>
              <c:strCache>
                <c:ptCount val="4"/>
                <c:pt idx="0">
                  <c:v>forecast error</c:v>
                </c:pt>
                <c:pt idx="1">
                  <c:v>residuals/Errors</c:v>
                </c:pt>
                <c:pt idx="2">
                  <c:v>E</c:v>
                </c:pt>
                <c:pt idx="3">
                  <c:v>yi - ŷi</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rgbClr val="C00000"/>
                </a:solidFill>
                <a:prstDash val="solid"/>
              </a:ln>
              <a:effectLst/>
            </c:spPr>
            <c:trendlineType val="linear"/>
            <c:dispRSqr val="0"/>
            <c:dispEq val="0"/>
          </c:trendline>
          <c:yVal>
            <c:numRef>
              <c:f>'Q.2, 3, 5'!$P$6:$P$1112</c:f>
              <c:numCache>
                <c:formatCode>0.00</c:formatCode>
                <c:ptCount val="1107"/>
                <c:pt idx="0">
                  <c:v>-1.2950622995794383</c:v>
                </c:pt>
                <c:pt idx="1">
                  <c:v>-3.7054622995794375</c:v>
                </c:pt>
                <c:pt idx="2">
                  <c:v>-4.7753269391664652</c:v>
                </c:pt>
                <c:pt idx="3">
                  <c:v>-6.5302269391664645</c:v>
                </c:pt>
                <c:pt idx="4">
                  <c:v>-2.2543976599924136</c:v>
                </c:pt>
                <c:pt idx="5">
                  <c:v>-3.1543976599924157</c:v>
                </c:pt>
                <c:pt idx="6">
                  <c:v>-1.7957713533493802</c:v>
                </c:pt>
                <c:pt idx="7">
                  <c:v>0.96234576334682487</c:v>
                </c:pt>
                <c:pt idx="8">
                  <c:v>2.7098579258246716</c:v>
                </c:pt>
                <c:pt idx="9">
                  <c:v>1.789157925824675</c:v>
                </c:pt>
                <c:pt idx="10">
                  <c:v>-3.3708420741753216</c:v>
                </c:pt>
                <c:pt idx="11">
                  <c:v>-1.7326420741753239</c:v>
                </c:pt>
                <c:pt idx="12">
                  <c:v>3.4042043216949303</c:v>
                </c:pt>
                <c:pt idx="13">
                  <c:v>4.5665316191816387</c:v>
                </c:pt>
                <c:pt idx="14">
                  <c:v>11.815831619181637</c:v>
                </c:pt>
                <c:pt idx="15">
                  <c:v>13.266531619181634</c:v>
                </c:pt>
                <c:pt idx="16">
                  <c:v>14.783275042520881</c:v>
                </c:pt>
                <c:pt idx="17">
                  <c:v>17.412576033364552</c:v>
                </c:pt>
                <c:pt idx="18">
                  <c:v>17.412576033364552</c:v>
                </c:pt>
                <c:pt idx="19">
                  <c:v>-5.8691481554142477</c:v>
                </c:pt>
                <c:pt idx="20">
                  <c:v>-3.8039330204053883</c:v>
                </c:pt>
                <c:pt idx="21">
                  <c:v>-3.6939330204053853</c:v>
                </c:pt>
                <c:pt idx="22">
                  <c:v>-1.6543976599924157</c:v>
                </c:pt>
                <c:pt idx="23">
                  <c:v>-3.0543976599924143</c:v>
                </c:pt>
                <c:pt idx="24">
                  <c:v>-1.6543976599924157</c:v>
                </c:pt>
                <c:pt idx="25">
                  <c:v>-4.4543976599924129</c:v>
                </c:pt>
                <c:pt idx="26">
                  <c:v>-3.6771895970661461</c:v>
                </c:pt>
                <c:pt idx="27">
                  <c:v>-1.2771895970661475</c:v>
                </c:pt>
                <c:pt idx="28">
                  <c:v>-1.2771895970661475</c:v>
                </c:pt>
                <c:pt idx="29">
                  <c:v>-3.6771895970661461</c:v>
                </c:pt>
                <c:pt idx="30">
                  <c:v>-1.2771895970661475</c:v>
                </c:pt>
                <c:pt idx="31">
                  <c:v>-4.8055572091841938</c:v>
                </c:pt>
                <c:pt idx="32">
                  <c:v>-5.4227572091841907</c:v>
                </c:pt>
                <c:pt idx="33">
                  <c:v>-2.5254713533493813</c:v>
                </c:pt>
                <c:pt idx="34">
                  <c:v>-2.5213713533493802</c:v>
                </c:pt>
                <c:pt idx="35">
                  <c:v>-3.0093713533493798</c:v>
                </c:pt>
                <c:pt idx="36">
                  <c:v>3.6018811237597994</c:v>
                </c:pt>
                <c:pt idx="37">
                  <c:v>-1.1004420741753265</c:v>
                </c:pt>
                <c:pt idx="38">
                  <c:v>1.4600225654116983</c:v>
                </c:pt>
                <c:pt idx="39">
                  <c:v>-0.23997743458830456</c:v>
                </c:pt>
                <c:pt idx="40">
                  <c:v>5.2722565411698952E-2</c:v>
                </c:pt>
                <c:pt idx="41">
                  <c:v>5.1018811237597994</c:v>
                </c:pt>
                <c:pt idx="42">
                  <c:v>11.757699367476562</c:v>
                </c:pt>
                <c:pt idx="43">
                  <c:v>11.757699367476562</c:v>
                </c:pt>
                <c:pt idx="44">
                  <c:v>2.1444084212465171</c:v>
                </c:pt>
                <c:pt idx="45">
                  <c:v>3.0642084212465122</c:v>
                </c:pt>
                <c:pt idx="46">
                  <c:v>0.74740842124651152</c:v>
                </c:pt>
                <c:pt idx="47">
                  <c:v>1.0642084212465122</c:v>
                </c:pt>
                <c:pt idx="48">
                  <c:v>-4.0213713533493802</c:v>
                </c:pt>
                <c:pt idx="49">
                  <c:v>-1.5213713533493802</c:v>
                </c:pt>
                <c:pt idx="50">
                  <c:v>-6.1129996416797567</c:v>
                </c:pt>
                <c:pt idx="51">
                  <c:v>-3.3129996416797596</c:v>
                </c:pt>
                <c:pt idx="52">
                  <c:v>-4.8304986508360876</c:v>
                </c:pt>
                <c:pt idx="53">
                  <c:v>-6.0116986508360881</c:v>
                </c:pt>
                <c:pt idx="54">
                  <c:v>-0.12293500209273134</c:v>
                </c:pt>
                <c:pt idx="55">
                  <c:v>3.908264997907267</c:v>
                </c:pt>
                <c:pt idx="56">
                  <c:v>1.5378296374942906</c:v>
                </c:pt>
                <c:pt idx="57">
                  <c:v>5.8057296374942879</c:v>
                </c:pt>
                <c:pt idx="58">
                  <c:v>-0.12293500209273134</c:v>
                </c:pt>
                <c:pt idx="59">
                  <c:v>3.908264997907267</c:v>
                </c:pt>
                <c:pt idx="60">
                  <c:v>1.5378296374942906</c:v>
                </c:pt>
                <c:pt idx="61">
                  <c:v>5.8057296374942879</c:v>
                </c:pt>
                <c:pt idx="62">
                  <c:v>-4.0213713533493802</c:v>
                </c:pt>
                <c:pt idx="63">
                  <c:v>-1.5213713533493802</c:v>
                </c:pt>
                <c:pt idx="64">
                  <c:v>-3.3129996416797596</c:v>
                </c:pt>
                <c:pt idx="65">
                  <c:v>-6.1129996416797567</c:v>
                </c:pt>
                <c:pt idx="66">
                  <c:v>-4.1043269391664658</c:v>
                </c:pt>
                <c:pt idx="67">
                  <c:v>-0.23744716457057535</c:v>
                </c:pt>
                <c:pt idx="68">
                  <c:v>3.3510528354294244</c:v>
                </c:pt>
                <c:pt idx="69">
                  <c:v>-0.96394716457057683</c:v>
                </c:pt>
                <c:pt idx="70">
                  <c:v>0.80855283542942402</c:v>
                </c:pt>
                <c:pt idx="71">
                  <c:v>-5.0075340112490636</c:v>
                </c:pt>
                <c:pt idx="72">
                  <c:v>4.9222164841727754</c:v>
                </c:pt>
                <c:pt idx="73">
                  <c:v>2.3792164841727761</c:v>
                </c:pt>
                <c:pt idx="74">
                  <c:v>2.8441164841727762</c:v>
                </c:pt>
                <c:pt idx="75">
                  <c:v>0.47676598875093745</c:v>
                </c:pt>
                <c:pt idx="76">
                  <c:v>0.76002256541169544</c:v>
                </c:pt>
                <c:pt idx="77">
                  <c:v>8.3257569349810012</c:v>
                </c:pt>
                <c:pt idx="78">
                  <c:v>3.8727569349809983</c:v>
                </c:pt>
                <c:pt idx="79">
                  <c:v>8.6702569349809977</c:v>
                </c:pt>
                <c:pt idx="80">
                  <c:v>3.8727569349809983</c:v>
                </c:pt>
                <c:pt idx="81">
                  <c:v>1.2416569349809947</c:v>
                </c:pt>
                <c:pt idx="82">
                  <c:v>4.4294569349809976</c:v>
                </c:pt>
                <c:pt idx="83">
                  <c:v>1.2416569349809947</c:v>
                </c:pt>
                <c:pt idx="84">
                  <c:v>4.4294569349809976</c:v>
                </c:pt>
                <c:pt idx="85">
                  <c:v>3.1749569349809974</c:v>
                </c:pt>
                <c:pt idx="86">
                  <c:v>3.1749569349809974</c:v>
                </c:pt>
                <c:pt idx="87">
                  <c:v>-3.4501996416797596</c:v>
                </c:pt>
                <c:pt idx="88">
                  <c:v>-0.18369865083608516</c:v>
                </c:pt>
                <c:pt idx="89">
                  <c:v>0.95481549332910731</c:v>
                </c:pt>
                <c:pt idx="90">
                  <c:v>3.402915493329111</c:v>
                </c:pt>
                <c:pt idx="91">
                  <c:v>0.58751549332910713</c:v>
                </c:pt>
                <c:pt idx="92">
                  <c:v>2.4684154933291111</c:v>
                </c:pt>
                <c:pt idx="93">
                  <c:v>0.58751549332910713</c:v>
                </c:pt>
                <c:pt idx="94">
                  <c:v>2.1516154933291105</c:v>
                </c:pt>
                <c:pt idx="95">
                  <c:v>0.58751549332910713</c:v>
                </c:pt>
                <c:pt idx="96">
                  <c:v>2.1516154933291105</c:v>
                </c:pt>
                <c:pt idx="97">
                  <c:v>1.131101349163913</c:v>
                </c:pt>
                <c:pt idx="98">
                  <c:v>2.6293013491639101</c:v>
                </c:pt>
                <c:pt idx="99">
                  <c:v>1.131101349163913</c:v>
                </c:pt>
                <c:pt idx="100">
                  <c:v>3.693201349163914</c:v>
                </c:pt>
                <c:pt idx="101">
                  <c:v>1.131101349163913</c:v>
                </c:pt>
                <c:pt idx="102">
                  <c:v>3.693201349163914</c:v>
                </c:pt>
                <c:pt idx="103">
                  <c:v>0.95481549332910731</c:v>
                </c:pt>
                <c:pt idx="104">
                  <c:v>3.402915493329111</c:v>
                </c:pt>
                <c:pt idx="105">
                  <c:v>1.9757013491639128</c:v>
                </c:pt>
                <c:pt idx="106">
                  <c:v>3.5510013491639114</c:v>
                </c:pt>
                <c:pt idx="107">
                  <c:v>3.5510013491639114</c:v>
                </c:pt>
                <c:pt idx="108">
                  <c:v>1.9757013491639128</c:v>
                </c:pt>
                <c:pt idx="109">
                  <c:v>0.4645013491639105</c:v>
                </c:pt>
                <c:pt idx="110">
                  <c:v>-0.21879865083608507</c:v>
                </c:pt>
                <c:pt idx="111">
                  <c:v>0.87130134916391455</c:v>
                </c:pt>
                <c:pt idx="112">
                  <c:v>-0.14799865083608665</c:v>
                </c:pt>
                <c:pt idx="113">
                  <c:v>0.4645013491639105</c:v>
                </c:pt>
                <c:pt idx="114">
                  <c:v>0.87130134916391455</c:v>
                </c:pt>
                <c:pt idx="115">
                  <c:v>0.46579328623764837</c:v>
                </c:pt>
                <c:pt idx="116">
                  <c:v>2.7310528354294235</c:v>
                </c:pt>
                <c:pt idx="117">
                  <c:v>1.2529286466506164</c:v>
                </c:pt>
                <c:pt idx="118">
                  <c:v>-4.5213713533493802</c:v>
                </c:pt>
                <c:pt idx="119">
                  <c:v>-3.722471353349377</c:v>
                </c:pt>
                <c:pt idx="120">
                  <c:v>1.0536286466506226</c:v>
                </c:pt>
                <c:pt idx="121">
                  <c:v>0.10374378165948883</c:v>
                </c:pt>
                <c:pt idx="122">
                  <c:v>-0.57532693916646593</c:v>
                </c:pt>
                <c:pt idx="123">
                  <c:v>-2.2753269391664652</c:v>
                </c:pt>
                <c:pt idx="124">
                  <c:v>-3.000442074175325</c:v>
                </c:pt>
                <c:pt idx="125">
                  <c:v>-1.7957713533493802</c:v>
                </c:pt>
                <c:pt idx="126">
                  <c:v>-0.16615423665317408</c:v>
                </c:pt>
                <c:pt idx="127">
                  <c:v>1.1691579258246776</c:v>
                </c:pt>
                <c:pt idx="128">
                  <c:v>1.789157925824675</c:v>
                </c:pt>
                <c:pt idx="129">
                  <c:v>2.7098579258246716</c:v>
                </c:pt>
                <c:pt idx="130">
                  <c:v>1.789157925824675</c:v>
                </c:pt>
                <c:pt idx="131">
                  <c:v>-1.500442074175325</c:v>
                </c:pt>
                <c:pt idx="132">
                  <c:v>-1.7326420741753239</c:v>
                </c:pt>
                <c:pt idx="133">
                  <c:v>-0.84564207417532344</c:v>
                </c:pt>
                <c:pt idx="134">
                  <c:v>-1.2923420741753233</c:v>
                </c:pt>
                <c:pt idx="135">
                  <c:v>2.7098579258246716</c:v>
                </c:pt>
                <c:pt idx="136">
                  <c:v>1.789157925824675</c:v>
                </c:pt>
                <c:pt idx="137">
                  <c:v>1.1691579258246776</c:v>
                </c:pt>
                <c:pt idx="138">
                  <c:v>-0.20244207417532323</c:v>
                </c:pt>
                <c:pt idx="139">
                  <c:v>-1.4600420741753268</c:v>
                </c:pt>
                <c:pt idx="140">
                  <c:v>-1.5398420741753256</c:v>
                </c:pt>
                <c:pt idx="141">
                  <c:v>-0.84564207417532344</c:v>
                </c:pt>
                <c:pt idx="142">
                  <c:v>-1.2923420741753233</c:v>
                </c:pt>
                <c:pt idx="143">
                  <c:v>-0.84564207417532344</c:v>
                </c:pt>
                <c:pt idx="144">
                  <c:v>-1.2923420741753233</c:v>
                </c:pt>
                <c:pt idx="145">
                  <c:v>-2.2716420741753254</c:v>
                </c:pt>
                <c:pt idx="146">
                  <c:v>-2.7151420741753256</c:v>
                </c:pt>
                <c:pt idx="147">
                  <c:v>1.674730628337965</c:v>
                </c:pt>
                <c:pt idx="148">
                  <c:v>2.5119306283379643</c:v>
                </c:pt>
                <c:pt idx="149">
                  <c:v>-6.2769371662035667E-2</c:v>
                </c:pt>
                <c:pt idx="150">
                  <c:v>2.9372306283379643</c:v>
                </c:pt>
                <c:pt idx="151">
                  <c:v>-5.1091127950012769</c:v>
                </c:pt>
                <c:pt idx="152">
                  <c:v>-5.1795127950012763</c:v>
                </c:pt>
                <c:pt idx="153">
                  <c:v>-4.0795127950012784</c:v>
                </c:pt>
                <c:pt idx="154">
                  <c:v>-4.5084127950012771</c:v>
                </c:pt>
                <c:pt idx="155">
                  <c:v>-4.731583515827225</c:v>
                </c:pt>
                <c:pt idx="156">
                  <c:v>-4.3403835158272237</c:v>
                </c:pt>
                <c:pt idx="157">
                  <c:v>-4.2585835158272261</c:v>
                </c:pt>
                <c:pt idx="158">
                  <c:v>-3.9080835158272258</c:v>
                </c:pt>
                <c:pt idx="159">
                  <c:v>4.5702569349809963</c:v>
                </c:pt>
                <c:pt idx="160">
                  <c:v>5.5702569349809963</c:v>
                </c:pt>
                <c:pt idx="161">
                  <c:v>11.282814502485429</c:v>
                </c:pt>
                <c:pt idx="162">
                  <c:v>6.182814502485428</c:v>
                </c:pt>
                <c:pt idx="163">
                  <c:v>0.37862864665061835</c:v>
                </c:pt>
                <c:pt idx="164">
                  <c:v>11.282814502485429</c:v>
                </c:pt>
                <c:pt idx="165">
                  <c:v>0.27728720499872139</c:v>
                </c:pt>
                <c:pt idx="166">
                  <c:v>3.9130872049987246</c:v>
                </c:pt>
                <c:pt idx="167">
                  <c:v>2.3439447725031535</c:v>
                </c:pt>
                <c:pt idx="168">
                  <c:v>4.0330447725031497</c:v>
                </c:pt>
                <c:pt idx="169">
                  <c:v>4.2497881958423953</c:v>
                </c:pt>
                <c:pt idx="170">
                  <c:v>8.0744427908158087</c:v>
                </c:pt>
                <c:pt idx="171">
                  <c:v>6.1744427908158102</c:v>
                </c:pt>
                <c:pt idx="172">
                  <c:v>8.7659427908158065</c:v>
                </c:pt>
                <c:pt idx="173">
                  <c:v>-1.0213713533493802</c:v>
                </c:pt>
                <c:pt idx="174">
                  <c:v>0.2784286466506174</c:v>
                </c:pt>
                <c:pt idx="175">
                  <c:v>0.47862864665061977</c:v>
                </c:pt>
                <c:pt idx="176">
                  <c:v>4.6647013491639129</c:v>
                </c:pt>
                <c:pt idx="177">
                  <c:v>3.0163013491639106</c:v>
                </c:pt>
                <c:pt idx="178">
                  <c:v>-0.86099157875348453</c:v>
                </c:pt>
                <c:pt idx="179">
                  <c:v>1.3930084212465133</c:v>
                </c:pt>
                <c:pt idx="180">
                  <c:v>0.89470842124651284</c:v>
                </c:pt>
                <c:pt idx="181">
                  <c:v>3.2292084212465113</c:v>
                </c:pt>
                <c:pt idx="182">
                  <c:v>1.3262084212465126</c:v>
                </c:pt>
                <c:pt idx="183">
                  <c:v>-2.9708067137623502</c:v>
                </c:pt>
                <c:pt idx="184">
                  <c:v>-2.5562067137623501</c:v>
                </c:pt>
                <c:pt idx="185">
                  <c:v>1.5637932862376474</c:v>
                </c:pt>
                <c:pt idx="186">
                  <c:v>1.8164225654116919</c:v>
                </c:pt>
                <c:pt idx="187">
                  <c:v>4.1302164841727738</c:v>
                </c:pt>
                <c:pt idx="188">
                  <c:v>-4.6936269391664673</c:v>
                </c:pt>
                <c:pt idx="189">
                  <c:v>-2.6126622995794371</c:v>
                </c:pt>
                <c:pt idx="190">
                  <c:v>-2.754462299579437</c:v>
                </c:pt>
                <c:pt idx="191">
                  <c:v>-14.48602184877122</c:v>
                </c:pt>
                <c:pt idx="192">
                  <c:v>-12.586021848771217</c:v>
                </c:pt>
                <c:pt idx="193">
                  <c:v>1.3476225654116973</c:v>
                </c:pt>
                <c:pt idx="194">
                  <c:v>6.001881123759798</c:v>
                </c:pt>
                <c:pt idx="195">
                  <c:v>8.3257569349810012</c:v>
                </c:pt>
                <c:pt idx="196">
                  <c:v>3.8727569349809983</c:v>
                </c:pt>
                <c:pt idx="197">
                  <c:v>1.2416569349809947</c:v>
                </c:pt>
                <c:pt idx="198">
                  <c:v>4.4294569349809976</c:v>
                </c:pt>
                <c:pt idx="199">
                  <c:v>3.1749569349809974</c:v>
                </c:pt>
                <c:pt idx="200">
                  <c:v>-1.1134996416797591</c:v>
                </c:pt>
                <c:pt idx="201">
                  <c:v>-2.2227996416797566</c:v>
                </c:pt>
                <c:pt idx="202">
                  <c:v>1.2163013491639134</c:v>
                </c:pt>
                <c:pt idx="203">
                  <c:v>-0.18369865083608516</c:v>
                </c:pt>
                <c:pt idx="204">
                  <c:v>5.4755932862376469</c:v>
                </c:pt>
                <c:pt idx="205">
                  <c:v>4.5390932862376445</c:v>
                </c:pt>
                <c:pt idx="206">
                  <c:v>3.2228225654116969</c:v>
                </c:pt>
                <c:pt idx="207">
                  <c:v>3.2769225654116951</c:v>
                </c:pt>
                <c:pt idx="208">
                  <c:v>-4.3529986508360885</c:v>
                </c:pt>
                <c:pt idx="209">
                  <c:v>11.282814502485429</c:v>
                </c:pt>
                <c:pt idx="210">
                  <c:v>6.182814502485428</c:v>
                </c:pt>
                <c:pt idx="211">
                  <c:v>6.182814502485428</c:v>
                </c:pt>
                <c:pt idx="212">
                  <c:v>11.282814502485429</c:v>
                </c:pt>
                <c:pt idx="213">
                  <c:v>11.282814502485429</c:v>
                </c:pt>
                <c:pt idx="214">
                  <c:v>-0.62695522749684685</c:v>
                </c:pt>
                <c:pt idx="215">
                  <c:v>1.843044772503152</c:v>
                </c:pt>
                <c:pt idx="216">
                  <c:v>-0.32137135334937739</c:v>
                </c:pt>
                <c:pt idx="217">
                  <c:v>-4.0213713533493802</c:v>
                </c:pt>
                <c:pt idx="218">
                  <c:v>5.5702569349809963</c:v>
                </c:pt>
                <c:pt idx="219">
                  <c:v>-1.2297430650190009</c:v>
                </c:pt>
                <c:pt idx="220">
                  <c:v>0.48700035832024469</c:v>
                </c:pt>
                <c:pt idx="221">
                  <c:v>-1.5129996416797553</c:v>
                </c:pt>
                <c:pt idx="222">
                  <c:v>4.7744427908158116</c:v>
                </c:pt>
                <c:pt idx="223">
                  <c:v>4.4744427908158073</c:v>
                </c:pt>
                <c:pt idx="224">
                  <c:v>5.0803640070635936</c:v>
                </c:pt>
                <c:pt idx="225">
                  <c:v>6.8906640070635916</c:v>
                </c:pt>
                <c:pt idx="226">
                  <c:v>-3.7135334937943298E-4</c:v>
                </c:pt>
                <c:pt idx="227">
                  <c:v>-0.2057713533493768</c:v>
                </c:pt>
                <c:pt idx="228">
                  <c:v>1.5390932862376445</c:v>
                </c:pt>
                <c:pt idx="229">
                  <c:v>0.11439328623765022</c:v>
                </c:pt>
                <c:pt idx="230">
                  <c:v>-0.86090671376235406</c:v>
                </c:pt>
                <c:pt idx="231">
                  <c:v>-0.66090671376235122</c:v>
                </c:pt>
                <c:pt idx="232">
                  <c:v>-0.412999641679761</c:v>
                </c:pt>
                <c:pt idx="233">
                  <c:v>2.587000358320239</c:v>
                </c:pt>
                <c:pt idx="234">
                  <c:v>2.8600225654116969</c:v>
                </c:pt>
                <c:pt idx="235">
                  <c:v>1.2529286466506164</c:v>
                </c:pt>
                <c:pt idx="236">
                  <c:v>-3.722471353349377</c:v>
                </c:pt>
                <c:pt idx="237">
                  <c:v>1.0536286466506226</c:v>
                </c:pt>
                <c:pt idx="238">
                  <c:v>-2.9004420741753236</c:v>
                </c:pt>
                <c:pt idx="239">
                  <c:v>-2.000442074175325</c:v>
                </c:pt>
                <c:pt idx="240">
                  <c:v>1.1850891866860671</c:v>
                </c:pt>
                <c:pt idx="241">
                  <c:v>1.1850891866860671</c:v>
                </c:pt>
                <c:pt idx="242">
                  <c:v>0.362345763346827</c:v>
                </c:pt>
                <c:pt idx="243">
                  <c:v>2.7098579258246716</c:v>
                </c:pt>
                <c:pt idx="244">
                  <c:v>1.789157925824675</c:v>
                </c:pt>
                <c:pt idx="245">
                  <c:v>-1.4600420741753268</c:v>
                </c:pt>
                <c:pt idx="246">
                  <c:v>-1.5398420741753256</c:v>
                </c:pt>
                <c:pt idx="247">
                  <c:v>14.099557925824676</c:v>
                </c:pt>
                <c:pt idx="248">
                  <c:v>-0.84564207417532344</c:v>
                </c:pt>
                <c:pt idx="249">
                  <c:v>-1.2923420741753233</c:v>
                </c:pt>
                <c:pt idx="250">
                  <c:v>-2.2716420741753254</c:v>
                </c:pt>
                <c:pt idx="251">
                  <c:v>-2.7151420741753256</c:v>
                </c:pt>
                <c:pt idx="252">
                  <c:v>-4.0795127950012784</c:v>
                </c:pt>
                <c:pt idx="253">
                  <c:v>-4.5084127950012771</c:v>
                </c:pt>
                <c:pt idx="254">
                  <c:v>4.5702569349809963</c:v>
                </c:pt>
                <c:pt idx="255">
                  <c:v>5.5702569349809963</c:v>
                </c:pt>
                <c:pt idx="256">
                  <c:v>6.1121154933291066</c:v>
                </c:pt>
                <c:pt idx="257">
                  <c:v>5.7121154933291081</c:v>
                </c:pt>
                <c:pt idx="258">
                  <c:v>11.266531619181634</c:v>
                </c:pt>
                <c:pt idx="259">
                  <c:v>12.66653161918164</c:v>
                </c:pt>
                <c:pt idx="260">
                  <c:v>11.282814502485429</c:v>
                </c:pt>
                <c:pt idx="261">
                  <c:v>6.182814502485428</c:v>
                </c:pt>
                <c:pt idx="262">
                  <c:v>11.282814502485429</c:v>
                </c:pt>
                <c:pt idx="263">
                  <c:v>0.38700035832024327</c:v>
                </c:pt>
                <c:pt idx="264">
                  <c:v>-1.8567208579275416</c:v>
                </c:pt>
                <c:pt idx="265">
                  <c:v>2.8600225654116969</c:v>
                </c:pt>
                <c:pt idx="266">
                  <c:v>-3.9977434588301719E-2</c:v>
                </c:pt>
                <c:pt idx="267">
                  <c:v>9.7060669795946133</c:v>
                </c:pt>
                <c:pt idx="268">
                  <c:v>8.8060669795946147</c:v>
                </c:pt>
                <c:pt idx="269">
                  <c:v>7.1144386912642297</c:v>
                </c:pt>
                <c:pt idx="270">
                  <c:v>3.0144386912642283</c:v>
                </c:pt>
                <c:pt idx="271">
                  <c:v>5.8064286466506232</c:v>
                </c:pt>
                <c:pt idx="272">
                  <c:v>7.7786286466506169</c:v>
                </c:pt>
                <c:pt idx="273">
                  <c:v>3.7870003583202418</c:v>
                </c:pt>
                <c:pt idx="274">
                  <c:v>3.587000358320239</c:v>
                </c:pt>
                <c:pt idx="275">
                  <c:v>0.76002256541169544</c:v>
                </c:pt>
                <c:pt idx="276">
                  <c:v>5.160022565411694</c:v>
                </c:pt>
                <c:pt idx="277">
                  <c:v>20.313978151228781</c:v>
                </c:pt>
                <c:pt idx="278">
                  <c:v>17.581378151228783</c:v>
                </c:pt>
                <c:pt idx="279">
                  <c:v>16.513978151228784</c:v>
                </c:pt>
                <c:pt idx="280">
                  <c:v>7.0702569349809963</c:v>
                </c:pt>
                <c:pt idx="281">
                  <c:v>4.8702569349810005</c:v>
                </c:pt>
                <c:pt idx="282">
                  <c:v>7.4907569349810004</c:v>
                </c:pt>
                <c:pt idx="283">
                  <c:v>5.7750286466506182</c:v>
                </c:pt>
                <c:pt idx="284">
                  <c:v>9.3786286466506184</c:v>
                </c:pt>
                <c:pt idx="285">
                  <c:v>5.8786286466506184</c:v>
                </c:pt>
                <c:pt idx="286">
                  <c:v>4.631000358320243</c:v>
                </c:pt>
                <c:pt idx="287">
                  <c:v>4.8870003583202433</c:v>
                </c:pt>
                <c:pt idx="288">
                  <c:v>6.9371569349809974</c:v>
                </c:pt>
                <c:pt idx="289">
                  <c:v>4.9890569349810008</c:v>
                </c:pt>
                <c:pt idx="290">
                  <c:v>0.60942256541169826</c:v>
                </c:pt>
                <c:pt idx="291">
                  <c:v>7.6951003583202393</c:v>
                </c:pt>
                <c:pt idx="292">
                  <c:v>5.1026286466506221</c:v>
                </c:pt>
                <c:pt idx="293">
                  <c:v>4.917328646650617</c:v>
                </c:pt>
                <c:pt idx="294">
                  <c:v>0.92669328623765068</c:v>
                </c:pt>
                <c:pt idx="295">
                  <c:v>1.6263932862376507</c:v>
                </c:pt>
                <c:pt idx="296">
                  <c:v>-1.2004420741753279</c:v>
                </c:pt>
                <c:pt idx="297">
                  <c:v>-1.2693420741753272</c:v>
                </c:pt>
                <c:pt idx="298">
                  <c:v>1.160022565411694</c:v>
                </c:pt>
                <c:pt idx="299">
                  <c:v>-2.1004420741753265</c:v>
                </c:pt>
                <c:pt idx="300">
                  <c:v>-0.83997743458830598</c:v>
                </c:pt>
                <c:pt idx="301">
                  <c:v>-0.13997743458830314</c:v>
                </c:pt>
                <c:pt idx="302">
                  <c:v>4.5908245470990394</c:v>
                </c:pt>
                <c:pt idx="303">
                  <c:v>3.501881123759798</c:v>
                </c:pt>
                <c:pt idx="304">
                  <c:v>-1.7981188762402027</c:v>
                </c:pt>
                <c:pt idx="305">
                  <c:v>2.6186245470990386</c:v>
                </c:pt>
                <c:pt idx="306">
                  <c:v>-3.7654236653175133E-2</c:v>
                </c:pt>
                <c:pt idx="307">
                  <c:v>3.3018811237597987</c:v>
                </c:pt>
                <c:pt idx="308">
                  <c:v>2.7388245470990391</c:v>
                </c:pt>
                <c:pt idx="309">
                  <c:v>1.4149286466506226</c:v>
                </c:pt>
                <c:pt idx="310">
                  <c:v>0.93652864665062197</c:v>
                </c:pt>
                <c:pt idx="311">
                  <c:v>-6.6213713533493816</c:v>
                </c:pt>
                <c:pt idx="312">
                  <c:v>-0.83609964167975903</c:v>
                </c:pt>
                <c:pt idx="313">
                  <c:v>0.65760035832024499</c:v>
                </c:pt>
                <c:pt idx="314">
                  <c:v>-10.921371353349379</c:v>
                </c:pt>
                <c:pt idx="315">
                  <c:v>-10.421371353349379</c:v>
                </c:pt>
                <c:pt idx="316">
                  <c:v>4.5702569349809963</c:v>
                </c:pt>
                <c:pt idx="317">
                  <c:v>5.5702569349809963</c:v>
                </c:pt>
                <c:pt idx="318">
                  <c:v>3.087000358320239</c:v>
                </c:pt>
                <c:pt idx="319">
                  <c:v>7.1870003583202404</c:v>
                </c:pt>
                <c:pt idx="320">
                  <c:v>2.8870003583202433</c:v>
                </c:pt>
                <c:pt idx="321">
                  <c:v>7.087000358320239</c:v>
                </c:pt>
                <c:pt idx="322">
                  <c:v>5.5600225654116926</c:v>
                </c:pt>
                <c:pt idx="323">
                  <c:v>6.4600225654116983</c:v>
                </c:pt>
                <c:pt idx="324">
                  <c:v>1.3121154933291095</c:v>
                </c:pt>
                <c:pt idx="325">
                  <c:v>-3.2878845066708919</c:v>
                </c:pt>
                <c:pt idx="326">
                  <c:v>3.9269962587686642</c:v>
                </c:pt>
                <c:pt idx="327">
                  <c:v>3.9269962587686642</c:v>
                </c:pt>
                <c:pt idx="328">
                  <c:v>-4.4213713533493788</c:v>
                </c:pt>
                <c:pt idx="329">
                  <c:v>-0.40817135334938115</c:v>
                </c:pt>
                <c:pt idx="330">
                  <c:v>-3.0586713533493821</c:v>
                </c:pt>
                <c:pt idx="331">
                  <c:v>1.5786286466506212</c:v>
                </c:pt>
                <c:pt idx="332">
                  <c:v>-3.0216713533493831</c:v>
                </c:pt>
                <c:pt idx="333">
                  <c:v>-2.1899067137623547</c:v>
                </c:pt>
                <c:pt idx="334">
                  <c:v>-3.3383067137623499</c:v>
                </c:pt>
                <c:pt idx="335">
                  <c:v>-5.1174067137623496</c:v>
                </c:pt>
                <c:pt idx="336">
                  <c:v>-6.3506067137623532</c:v>
                </c:pt>
                <c:pt idx="337">
                  <c:v>2.6817003583202421</c:v>
                </c:pt>
                <c:pt idx="338">
                  <c:v>1.6829003583202393</c:v>
                </c:pt>
                <c:pt idx="339">
                  <c:v>1.1191003583202388</c:v>
                </c:pt>
                <c:pt idx="340">
                  <c:v>4.368800358320243</c:v>
                </c:pt>
                <c:pt idx="341">
                  <c:v>3.2905003583202443</c:v>
                </c:pt>
                <c:pt idx="342">
                  <c:v>1.8728003583202408</c:v>
                </c:pt>
                <c:pt idx="343">
                  <c:v>4.8415286466506231</c:v>
                </c:pt>
                <c:pt idx="344">
                  <c:v>3.6687286466506208</c:v>
                </c:pt>
                <c:pt idx="345">
                  <c:v>3.1866286466506182</c:v>
                </c:pt>
                <c:pt idx="346">
                  <c:v>4.4728646650618487E-2</c:v>
                </c:pt>
                <c:pt idx="347">
                  <c:v>5.9744427908158073</c:v>
                </c:pt>
                <c:pt idx="348">
                  <c:v>7.5744427908158087</c:v>
                </c:pt>
                <c:pt idx="349">
                  <c:v>2.4870003583202447</c:v>
                </c:pt>
                <c:pt idx="350">
                  <c:v>2.8870003583202433</c:v>
                </c:pt>
                <c:pt idx="351">
                  <c:v>0.47862864665061977</c:v>
                </c:pt>
                <c:pt idx="352">
                  <c:v>-3.7135334937943298E-4</c:v>
                </c:pt>
                <c:pt idx="353">
                  <c:v>0.81211549332910948</c:v>
                </c:pt>
                <c:pt idx="354">
                  <c:v>-0.78788450667089194</c:v>
                </c:pt>
                <c:pt idx="355">
                  <c:v>18.578628646650621</c:v>
                </c:pt>
                <c:pt idx="356">
                  <c:v>17.013628646650616</c:v>
                </c:pt>
                <c:pt idx="357">
                  <c:v>0.3537932862376465</c:v>
                </c:pt>
                <c:pt idx="358">
                  <c:v>0.97999328623765081</c:v>
                </c:pt>
                <c:pt idx="359">
                  <c:v>2.0200286466506228</c:v>
                </c:pt>
                <c:pt idx="360">
                  <c:v>-3.7135334937943298E-4</c:v>
                </c:pt>
                <c:pt idx="361">
                  <c:v>2.0200286466506228</c:v>
                </c:pt>
                <c:pt idx="362">
                  <c:v>-3.7135334937943298E-4</c:v>
                </c:pt>
                <c:pt idx="363">
                  <c:v>18.578628646650621</c:v>
                </c:pt>
                <c:pt idx="364">
                  <c:v>17.013628646650616</c:v>
                </c:pt>
                <c:pt idx="365">
                  <c:v>0.31049328623764438</c:v>
                </c:pt>
                <c:pt idx="366">
                  <c:v>0.75599328623764706</c:v>
                </c:pt>
                <c:pt idx="367">
                  <c:v>-0.36499964167975918</c:v>
                </c:pt>
                <c:pt idx="368">
                  <c:v>-0.412999641679761</c:v>
                </c:pt>
                <c:pt idx="369">
                  <c:v>1.3390932862376488</c:v>
                </c:pt>
                <c:pt idx="370">
                  <c:v>1.1390932862376459</c:v>
                </c:pt>
                <c:pt idx="371">
                  <c:v>-1.4609067137623555</c:v>
                </c:pt>
                <c:pt idx="372">
                  <c:v>-1.4609067137623555</c:v>
                </c:pt>
                <c:pt idx="373">
                  <c:v>-0.36499964167975918</c:v>
                </c:pt>
                <c:pt idx="374">
                  <c:v>-0.412999641679761</c:v>
                </c:pt>
                <c:pt idx="375">
                  <c:v>1.3390932862376488</c:v>
                </c:pt>
                <c:pt idx="376">
                  <c:v>1.1390932862376459</c:v>
                </c:pt>
                <c:pt idx="377">
                  <c:v>-2.9357915787534878</c:v>
                </c:pt>
                <c:pt idx="378">
                  <c:v>2.0600225654116926</c:v>
                </c:pt>
                <c:pt idx="379">
                  <c:v>0.46420842124651074</c:v>
                </c:pt>
                <c:pt idx="380">
                  <c:v>0.56420842124651216</c:v>
                </c:pt>
                <c:pt idx="381">
                  <c:v>2.8037437816594846</c:v>
                </c:pt>
                <c:pt idx="382">
                  <c:v>-2.2718420741753249</c:v>
                </c:pt>
                <c:pt idx="383">
                  <c:v>-7.51269391664664E-2</c:v>
                </c:pt>
                <c:pt idx="384">
                  <c:v>-7.51269391664664E-2</c:v>
                </c:pt>
                <c:pt idx="385">
                  <c:v>-0.35439765999241502</c:v>
                </c:pt>
                <c:pt idx="386">
                  <c:v>-0.16615423665317408</c:v>
                </c:pt>
                <c:pt idx="387">
                  <c:v>1.1691579258246776</c:v>
                </c:pt>
                <c:pt idx="388">
                  <c:v>1.789157925824675</c:v>
                </c:pt>
                <c:pt idx="389">
                  <c:v>-2.2186420741753281</c:v>
                </c:pt>
                <c:pt idx="390">
                  <c:v>-1.5398420741753256</c:v>
                </c:pt>
                <c:pt idx="391">
                  <c:v>-1.1173420741753262</c:v>
                </c:pt>
                <c:pt idx="392">
                  <c:v>-1.2923420741753233</c:v>
                </c:pt>
                <c:pt idx="393">
                  <c:v>-2.2716420741753254</c:v>
                </c:pt>
                <c:pt idx="394">
                  <c:v>-2.7151420741753256</c:v>
                </c:pt>
                <c:pt idx="395">
                  <c:v>1.674730628337965</c:v>
                </c:pt>
                <c:pt idx="396">
                  <c:v>2.5119306283379643</c:v>
                </c:pt>
                <c:pt idx="397">
                  <c:v>-4.731583515827225</c:v>
                </c:pt>
                <c:pt idx="398">
                  <c:v>-4.3403835158272237</c:v>
                </c:pt>
                <c:pt idx="399">
                  <c:v>1.9830003583202398</c:v>
                </c:pt>
                <c:pt idx="400">
                  <c:v>-0.90044207417532363</c:v>
                </c:pt>
                <c:pt idx="401">
                  <c:v>3.8121154933291095</c:v>
                </c:pt>
                <c:pt idx="402">
                  <c:v>-2.6004420741753265</c:v>
                </c:pt>
                <c:pt idx="403">
                  <c:v>1.2995579258246721</c:v>
                </c:pt>
                <c:pt idx="404">
                  <c:v>-1.000442074175325</c:v>
                </c:pt>
                <c:pt idx="405">
                  <c:v>0.61211549332910664</c:v>
                </c:pt>
                <c:pt idx="406">
                  <c:v>5.7121154933291081</c:v>
                </c:pt>
                <c:pt idx="407">
                  <c:v>2.4419316191816378</c:v>
                </c:pt>
                <c:pt idx="408">
                  <c:v>3.7664316191816383</c:v>
                </c:pt>
                <c:pt idx="409">
                  <c:v>-0.90044207417532363</c:v>
                </c:pt>
                <c:pt idx="410">
                  <c:v>2.9121154933291109</c:v>
                </c:pt>
                <c:pt idx="411">
                  <c:v>5.7121154933291081</c:v>
                </c:pt>
                <c:pt idx="412">
                  <c:v>4.333044772503154</c:v>
                </c:pt>
                <c:pt idx="413">
                  <c:v>2.9121154933291109</c:v>
                </c:pt>
                <c:pt idx="414">
                  <c:v>0.53294477250315353</c:v>
                </c:pt>
                <c:pt idx="415">
                  <c:v>3.087000358320239</c:v>
                </c:pt>
                <c:pt idx="416">
                  <c:v>7.1870003583202404</c:v>
                </c:pt>
                <c:pt idx="417">
                  <c:v>2.8870003583202433</c:v>
                </c:pt>
                <c:pt idx="418">
                  <c:v>7.087000358320239</c:v>
                </c:pt>
                <c:pt idx="419">
                  <c:v>5.5600225654116926</c:v>
                </c:pt>
                <c:pt idx="420">
                  <c:v>6.4600225654116983</c:v>
                </c:pt>
                <c:pt idx="421">
                  <c:v>1.3121154933291095</c:v>
                </c:pt>
                <c:pt idx="422">
                  <c:v>8.3870003583202433</c:v>
                </c:pt>
                <c:pt idx="423">
                  <c:v>1.9868003583202452</c:v>
                </c:pt>
                <c:pt idx="424">
                  <c:v>-5.6720857927544444E-2</c:v>
                </c:pt>
                <c:pt idx="425">
                  <c:v>2.8600225654116969</c:v>
                </c:pt>
                <c:pt idx="426">
                  <c:v>1.9868003583202452</c:v>
                </c:pt>
                <c:pt idx="427">
                  <c:v>-5.6720857927544444E-2</c:v>
                </c:pt>
                <c:pt idx="428">
                  <c:v>2.8600225654116969</c:v>
                </c:pt>
                <c:pt idx="429">
                  <c:v>-3.0939330204053874</c:v>
                </c:pt>
                <c:pt idx="430">
                  <c:v>-3.493933020405386</c:v>
                </c:pt>
                <c:pt idx="431">
                  <c:v>-1.2399774345883046</c:v>
                </c:pt>
                <c:pt idx="432">
                  <c:v>-1.5349420741753264</c:v>
                </c:pt>
                <c:pt idx="433">
                  <c:v>3.6470932862376486</c:v>
                </c:pt>
                <c:pt idx="434">
                  <c:v>0.9390932862376502</c:v>
                </c:pt>
                <c:pt idx="435">
                  <c:v>0.89955792582467353</c:v>
                </c:pt>
                <c:pt idx="436">
                  <c:v>2.660022565411694</c:v>
                </c:pt>
                <c:pt idx="437">
                  <c:v>12.339093286237649</c:v>
                </c:pt>
                <c:pt idx="438">
                  <c:v>4.9390932862376502</c:v>
                </c:pt>
                <c:pt idx="439">
                  <c:v>8.388393286237644</c:v>
                </c:pt>
                <c:pt idx="440">
                  <c:v>6.1786286466506226</c:v>
                </c:pt>
                <c:pt idx="441">
                  <c:v>6.6786286466506226</c:v>
                </c:pt>
                <c:pt idx="442">
                  <c:v>7.6956286466506185</c:v>
                </c:pt>
                <c:pt idx="443">
                  <c:v>0.89470842124651284</c:v>
                </c:pt>
                <c:pt idx="444">
                  <c:v>3.2292084212465113</c:v>
                </c:pt>
                <c:pt idx="445">
                  <c:v>1.3262084212465126</c:v>
                </c:pt>
                <c:pt idx="446">
                  <c:v>2.9101730608335359</c:v>
                </c:pt>
                <c:pt idx="447">
                  <c:v>1.7973164841727751</c:v>
                </c:pt>
                <c:pt idx="448">
                  <c:v>4.7115164841727726</c:v>
                </c:pt>
                <c:pt idx="449">
                  <c:v>4.8870003583202433</c:v>
                </c:pt>
                <c:pt idx="450">
                  <c:v>4.8870003583202433</c:v>
                </c:pt>
                <c:pt idx="451">
                  <c:v>1.4432791420724556</c:v>
                </c:pt>
                <c:pt idx="452">
                  <c:v>3.5600225654116926</c:v>
                </c:pt>
                <c:pt idx="453">
                  <c:v>1.8164225654116919</c:v>
                </c:pt>
                <c:pt idx="454">
                  <c:v>9.4225654116968371E-3</c:v>
                </c:pt>
                <c:pt idx="455">
                  <c:v>4.2829447725031535</c:v>
                </c:pt>
                <c:pt idx="456">
                  <c:v>3.7839447725031512</c:v>
                </c:pt>
                <c:pt idx="457">
                  <c:v>2.382944772503155</c:v>
                </c:pt>
                <c:pt idx="458">
                  <c:v>3.7839447725031512</c:v>
                </c:pt>
                <c:pt idx="459">
                  <c:v>2.382944772503155</c:v>
                </c:pt>
                <c:pt idx="460">
                  <c:v>2.3414164841727754</c:v>
                </c:pt>
                <c:pt idx="461">
                  <c:v>-1.5349420741753264</c:v>
                </c:pt>
                <c:pt idx="462">
                  <c:v>3.6470932862376486</c:v>
                </c:pt>
                <c:pt idx="463">
                  <c:v>0.9390932862376502</c:v>
                </c:pt>
                <c:pt idx="464">
                  <c:v>0.89955792582467353</c:v>
                </c:pt>
                <c:pt idx="465">
                  <c:v>12.339093286237649</c:v>
                </c:pt>
                <c:pt idx="466">
                  <c:v>8.388393286237644</c:v>
                </c:pt>
                <c:pt idx="467">
                  <c:v>4.9390932862376502</c:v>
                </c:pt>
                <c:pt idx="468">
                  <c:v>-1.2399774345883046</c:v>
                </c:pt>
                <c:pt idx="469">
                  <c:v>2.660022565411694</c:v>
                </c:pt>
                <c:pt idx="470">
                  <c:v>0.93219328623764852</c:v>
                </c:pt>
                <c:pt idx="471">
                  <c:v>2.4032932862376484</c:v>
                </c:pt>
                <c:pt idx="472">
                  <c:v>0.98770842124651637</c:v>
                </c:pt>
                <c:pt idx="473">
                  <c:v>-5.4650925695971608</c:v>
                </c:pt>
                <c:pt idx="474">
                  <c:v>1.4600225654116983</c:v>
                </c:pt>
                <c:pt idx="475">
                  <c:v>-1.5399774345883017</c:v>
                </c:pt>
                <c:pt idx="476">
                  <c:v>7.3018811237597987</c:v>
                </c:pt>
                <c:pt idx="477">
                  <c:v>6.6018811237597959</c:v>
                </c:pt>
                <c:pt idx="478">
                  <c:v>5.0344245470990394</c:v>
                </c:pt>
                <c:pt idx="479">
                  <c:v>2.5016003583202391</c:v>
                </c:pt>
                <c:pt idx="480">
                  <c:v>6.4119932862376459</c:v>
                </c:pt>
                <c:pt idx="481">
                  <c:v>3.209922565411695</c:v>
                </c:pt>
                <c:pt idx="482">
                  <c:v>3.2947225654116963</c:v>
                </c:pt>
                <c:pt idx="483">
                  <c:v>7.3390932862376488</c:v>
                </c:pt>
                <c:pt idx="484">
                  <c:v>1.6702225654116987</c:v>
                </c:pt>
                <c:pt idx="485">
                  <c:v>1.4786286466506198</c:v>
                </c:pt>
                <c:pt idx="486">
                  <c:v>5.9915286466506217</c:v>
                </c:pt>
                <c:pt idx="487">
                  <c:v>0.33909328623764878</c:v>
                </c:pt>
                <c:pt idx="488">
                  <c:v>3.4388932862376507</c:v>
                </c:pt>
                <c:pt idx="489">
                  <c:v>3.1702569349809977</c:v>
                </c:pt>
                <c:pt idx="490">
                  <c:v>3.9702569349809949</c:v>
                </c:pt>
                <c:pt idx="491">
                  <c:v>5.0744427908158087</c:v>
                </c:pt>
                <c:pt idx="492">
                  <c:v>2.4744427908158073</c:v>
                </c:pt>
                <c:pt idx="493">
                  <c:v>1.7744427908158116</c:v>
                </c:pt>
                <c:pt idx="494">
                  <c:v>3.9269962587686642</c:v>
                </c:pt>
                <c:pt idx="495">
                  <c:v>-0.7861279300101387</c:v>
                </c:pt>
                <c:pt idx="496">
                  <c:v>7.1870003583202404</c:v>
                </c:pt>
                <c:pt idx="497">
                  <c:v>7.087000358320239</c:v>
                </c:pt>
                <c:pt idx="498">
                  <c:v>1.3121154933291095</c:v>
                </c:pt>
                <c:pt idx="499">
                  <c:v>-2.2035067137623514</c:v>
                </c:pt>
                <c:pt idx="500">
                  <c:v>-4.6609067137623512</c:v>
                </c:pt>
                <c:pt idx="501">
                  <c:v>3.6605932862376491</c:v>
                </c:pt>
                <c:pt idx="502">
                  <c:v>-1.7084506670890676E-2</c:v>
                </c:pt>
                <c:pt idx="503">
                  <c:v>7.5390932862376445</c:v>
                </c:pt>
                <c:pt idx="504">
                  <c:v>5.7956932862376505</c:v>
                </c:pt>
                <c:pt idx="505">
                  <c:v>5.0600225654116926</c:v>
                </c:pt>
                <c:pt idx="506">
                  <c:v>8.4870003583202447</c:v>
                </c:pt>
                <c:pt idx="507">
                  <c:v>27.214842790815808</c:v>
                </c:pt>
                <c:pt idx="508">
                  <c:v>0.47862864665061977</c:v>
                </c:pt>
                <c:pt idx="509">
                  <c:v>-5.000442074175325</c:v>
                </c:pt>
                <c:pt idx="510">
                  <c:v>0.12885891666834581</c:v>
                </c:pt>
                <c:pt idx="511">
                  <c:v>0.30374378165948457</c:v>
                </c:pt>
                <c:pt idx="512">
                  <c:v>-7.51269391664664E-2</c:v>
                </c:pt>
                <c:pt idx="513">
                  <c:v>2.4932579258246719</c:v>
                </c:pt>
                <c:pt idx="514">
                  <c:v>0.28255891666834643</c:v>
                </c:pt>
                <c:pt idx="515">
                  <c:v>-0.10914108333165373</c:v>
                </c:pt>
                <c:pt idx="516">
                  <c:v>-0.4985410833316557</c:v>
                </c:pt>
                <c:pt idx="517">
                  <c:v>-2.9711410833316556</c:v>
                </c:pt>
                <c:pt idx="518">
                  <c:v>-1.2190410833316534</c:v>
                </c:pt>
                <c:pt idx="519">
                  <c:v>-2.9711410833316556</c:v>
                </c:pt>
                <c:pt idx="520">
                  <c:v>3.3118457633468275</c:v>
                </c:pt>
                <c:pt idx="521">
                  <c:v>4.3683942770813147</c:v>
                </c:pt>
                <c:pt idx="522">
                  <c:v>3.6683942770813189</c:v>
                </c:pt>
                <c:pt idx="523">
                  <c:v>2.1330447725031512</c:v>
                </c:pt>
                <c:pt idx="524">
                  <c:v>2.1330447725031512</c:v>
                </c:pt>
                <c:pt idx="525">
                  <c:v>2.1330447725031512</c:v>
                </c:pt>
                <c:pt idx="526">
                  <c:v>-7.0669552274968481</c:v>
                </c:pt>
                <c:pt idx="527">
                  <c:v>-5.2669552274968474</c:v>
                </c:pt>
                <c:pt idx="528">
                  <c:v>5.5600225654116926</c:v>
                </c:pt>
                <c:pt idx="529">
                  <c:v>6.4600225654116983</c:v>
                </c:pt>
                <c:pt idx="530">
                  <c:v>4.3683942770813147</c:v>
                </c:pt>
                <c:pt idx="531">
                  <c:v>-2.6399774345883031</c:v>
                </c:pt>
                <c:pt idx="532">
                  <c:v>7.1060669795946119</c:v>
                </c:pt>
                <c:pt idx="533">
                  <c:v>-2.6567208579275388</c:v>
                </c:pt>
                <c:pt idx="534">
                  <c:v>-0.53997743458830172</c:v>
                </c:pt>
                <c:pt idx="535">
                  <c:v>9.7060669795946133</c:v>
                </c:pt>
                <c:pt idx="536">
                  <c:v>3.0144386912642283</c:v>
                </c:pt>
                <c:pt idx="537">
                  <c:v>-2.6567208579275388</c:v>
                </c:pt>
                <c:pt idx="538">
                  <c:v>-0.53997743458830172</c:v>
                </c:pt>
                <c:pt idx="539">
                  <c:v>9.7060669795946133</c:v>
                </c:pt>
                <c:pt idx="540">
                  <c:v>3.0144386912642283</c:v>
                </c:pt>
                <c:pt idx="541">
                  <c:v>-2.6399774345883031</c:v>
                </c:pt>
                <c:pt idx="542">
                  <c:v>7.1060669795946119</c:v>
                </c:pt>
                <c:pt idx="543">
                  <c:v>3.5382447725031518</c:v>
                </c:pt>
                <c:pt idx="544">
                  <c:v>0.16002256541169402</c:v>
                </c:pt>
                <c:pt idx="545">
                  <c:v>-3.9977434588301719E-2</c:v>
                </c:pt>
                <c:pt idx="546">
                  <c:v>2.660022565411694</c:v>
                </c:pt>
                <c:pt idx="547">
                  <c:v>-6.9399774345883039</c:v>
                </c:pt>
                <c:pt idx="548">
                  <c:v>3.3913003583202439</c:v>
                </c:pt>
                <c:pt idx="549">
                  <c:v>3.5786003583202444</c:v>
                </c:pt>
                <c:pt idx="550">
                  <c:v>6.4600225654116983</c:v>
                </c:pt>
                <c:pt idx="551">
                  <c:v>0.55583670957688724</c:v>
                </c:pt>
                <c:pt idx="552">
                  <c:v>2.2163013491639134</c:v>
                </c:pt>
                <c:pt idx="553">
                  <c:v>4.9163013491639092</c:v>
                </c:pt>
                <c:pt idx="554">
                  <c:v>4.4330447725031554</c:v>
                </c:pt>
                <c:pt idx="555">
                  <c:v>4.6870003583202404</c:v>
                </c:pt>
                <c:pt idx="556">
                  <c:v>5.087000358320239</c:v>
                </c:pt>
                <c:pt idx="557">
                  <c:v>4.4558367095768858</c:v>
                </c:pt>
                <c:pt idx="558">
                  <c:v>-0.54027743458830457</c:v>
                </c:pt>
                <c:pt idx="559">
                  <c:v>-4.1900774345883036</c:v>
                </c:pt>
                <c:pt idx="560">
                  <c:v>-0.61904815541424796</c:v>
                </c:pt>
                <c:pt idx="561">
                  <c:v>-3.0190481554142501</c:v>
                </c:pt>
                <c:pt idx="562">
                  <c:v>1.7973164841727751</c:v>
                </c:pt>
                <c:pt idx="563">
                  <c:v>4.7115164841727726</c:v>
                </c:pt>
                <c:pt idx="564">
                  <c:v>3.1150164841727737</c:v>
                </c:pt>
                <c:pt idx="565">
                  <c:v>3.5382447725031518</c:v>
                </c:pt>
                <c:pt idx="566">
                  <c:v>-3.2399774345883046</c:v>
                </c:pt>
                <c:pt idx="567">
                  <c:v>-3.9977434588301719E-2</c:v>
                </c:pt>
                <c:pt idx="568">
                  <c:v>-1.7399774345883046</c:v>
                </c:pt>
                <c:pt idx="569">
                  <c:v>3.5382447725031518</c:v>
                </c:pt>
                <c:pt idx="570">
                  <c:v>-7.3916269391664642</c:v>
                </c:pt>
                <c:pt idx="571">
                  <c:v>-3.8046622995794372</c:v>
                </c:pt>
                <c:pt idx="572">
                  <c:v>-4.2981188762402027</c:v>
                </c:pt>
                <c:pt idx="573">
                  <c:v>-2.0376542366531751</c:v>
                </c:pt>
                <c:pt idx="574">
                  <c:v>-1.7376542366531744</c:v>
                </c:pt>
                <c:pt idx="575">
                  <c:v>6.3018811237597987</c:v>
                </c:pt>
                <c:pt idx="576">
                  <c:v>4.1018811237597994</c:v>
                </c:pt>
                <c:pt idx="577">
                  <c:v>-1.7981188762402027</c:v>
                </c:pt>
                <c:pt idx="578">
                  <c:v>2.5186245470990407</c:v>
                </c:pt>
                <c:pt idx="579">
                  <c:v>-0.33765423665317229</c:v>
                </c:pt>
                <c:pt idx="580">
                  <c:v>0.26002256541169544</c:v>
                </c:pt>
                <c:pt idx="581">
                  <c:v>4.3975306283379645</c:v>
                </c:pt>
                <c:pt idx="582">
                  <c:v>4.3975306283379645</c:v>
                </c:pt>
                <c:pt idx="583">
                  <c:v>3.1635306283379627</c:v>
                </c:pt>
                <c:pt idx="584">
                  <c:v>6.5749033308512566</c:v>
                </c:pt>
                <c:pt idx="585">
                  <c:v>3.9269962587686642</c:v>
                </c:pt>
                <c:pt idx="586">
                  <c:v>5.0600225654116926</c:v>
                </c:pt>
                <c:pt idx="587">
                  <c:v>-1.1210713533493788</c:v>
                </c:pt>
                <c:pt idx="588">
                  <c:v>-2.6511713533493833</c:v>
                </c:pt>
                <c:pt idx="589">
                  <c:v>18.578628646650621</c:v>
                </c:pt>
                <c:pt idx="590">
                  <c:v>-4.4213713533493788</c:v>
                </c:pt>
                <c:pt idx="591">
                  <c:v>-3.722471353349377</c:v>
                </c:pt>
                <c:pt idx="592">
                  <c:v>1.1691579258246776</c:v>
                </c:pt>
                <c:pt idx="593">
                  <c:v>-0.20244207417532323</c:v>
                </c:pt>
                <c:pt idx="594">
                  <c:v>-1.4600420741753268</c:v>
                </c:pt>
                <c:pt idx="595">
                  <c:v>-1.5398420741753256</c:v>
                </c:pt>
                <c:pt idx="596">
                  <c:v>1.2995579258246721</c:v>
                </c:pt>
                <c:pt idx="597">
                  <c:v>2.7121154933291081</c:v>
                </c:pt>
                <c:pt idx="598">
                  <c:v>-0.90044207417532363</c:v>
                </c:pt>
                <c:pt idx="599">
                  <c:v>2.9121154933291109</c:v>
                </c:pt>
                <c:pt idx="600">
                  <c:v>2.3786286466506184</c:v>
                </c:pt>
                <c:pt idx="601">
                  <c:v>-3.5213713533493802</c:v>
                </c:pt>
                <c:pt idx="602">
                  <c:v>-4.412999641679761</c:v>
                </c:pt>
                <c:pt idx="603">
                  <c:v>0.38700035832024327</c:v>
                </c:pt>
                <c:pt idx="604">
                  <c:v>2.4803640070635922</c:v>
                </c:pt>
                <c:pt idx="605">
                  <c:v>5.5181640070635893</c:v>
                </c:pt>
                <c:pt idx="606">
                  <c:v>3.6181640070635908</c:v>
                </c:pt>
                <c:pt idx="607">
                  <c:v>1.0786286466506212</c:v>
                </c:pt>
                <c:pt idx="608">
                  <c:v>1.9786286466506198</c:v>
                </c:pt>
                <c:pt idx="609">
                  <c:v>-1.4399774345883074</c:v>
                </c:pt>
                <c:pt idx="610">
                  <c:v>-2.3909774345883079</c:v>
                </c:pt>
                <c:pt idx="611">
                  <c:v>0.1702569349809977</c:v>
                </c:pt>
                <c:pt idx="612">
                  <c:v>0.87025693498100054</c:v>
                </c:pt>
                <c:pt idx="613">
                  <c:v>0.27862864665061693</c:v>
                </c:pt>
                <c:pt idx="614">
                  <c:v>1.2786286466506169</c:v>
                </c:pt>
                <c:pt idx="615">
                  <c:v>-6.8213713533493774</c:v>
                </c:pt>
                <c:pt idx="616">
                  <c:v>-2.4911996416797564</c:v>
                </c:pt>
                <c:pt idx="617">
                  <c:v>-2.2218996416797552</c:v>
                </c:pt>
                <c:pt idx="618">
                  <c:v>-0.62655720918419178</c:v>
                </c:pt>
                <c:pt idx="619">
                  <c:v>0.8353427908158082</c:v>
                </c:pt>
                <c:pt idx="620">
                  <c:v>1.2744427908158116</c:v>
                </c:pt>
                <c:pt idx="621">
                  <c:v>2.3744427908158059</c:v>
                </c:pt>
                <c:pt idx="622">
                  <c:v>0.28700035832024184</c:v>
                </c:pt>
                <c:pt idx="623">
                  <c:v>-1.1129996416797567</c:v>
                </c:pt>
                <c:pt idx="624">
                  <c:v>-4.12529964167976</c:v>
                </c:pt>
                <c:pt idx="625">
                  <c:v>-4.0213713533493802</c:v>
                </c:pt>
                <c:pt idx="626">
                  <c:v>1.5786286466506212</c:v>
                </c:pt>
                <c:pt idx="627">
                  <c:v>-0.47577135334937992</c:v>
                </c:pt>
                <c:pt idx="628">
                  <c:v>-3.0586713533493821</c:v>
                </c:pt>
                <c:pt idx="629">
                  <c:v>-3.3213713533493774</c:v>
                </c:pt>
                <c:pt idx="630">
                  <c:v>-2.1899067137623547</c:v>
                </c:pt>
                <c:pt idx="631">
                  <c:v>-3.3383067137623499</c:v>
                </c:pt>
                <c:pt idx="632">
                  <c:v>-5.1174067137623496</c:v>
                </c:pt>
                <c:pt idx="633">
                  <c:v>-6.3506067137623532</c:v>
                </c:pt>
                <c:pt idx="634">
                  <c:v>-7.4609067137623519</c:v>
                </c:pt>
                <c:pt idx="635">
                  <c:v>0.82472864665061962</c:v>
                </c:pt>
                <c:pt idx="636">
                  <c:v>4.4728646650618487E-2</c:v>
                </c:pt>
                <c:pt idx="637">
                  <c:v>0.18642864665061865</c:v>
                </c:pt>
                <c:pt idx="638">
                  <c:v>-1.2868713533493832</c:v>
                </c:pt>
                <c:pt idx="639">
                  <c:v>1.2034427908158065</c:v>
                </c:pt>
                <c:pt idx="640">
                  <c:v>2.3137427908158088</c:v>
                </c:pt>
                <c:pt idx="641">
                  <c:v>-3.5533996416797606</c:v>
                </c:pt>
                <c:pt idx="642">
                  <c:v>-0.75549964167975503</c:v>
                </c:pt>
                <c:pt idx="643">
                  <c:v>0.56660035832024391</c:v>
                </c:pt>
                <c:pt idx="644">
                  <c:v>-1.0129996416797553</c:v>
                </c:pt>
                <c:pt idx="645">
                  <c:v>-1.0129996416797553</c:v>
                </c:pt>
                <c:pt idx="646">
                  <c:v>18.578628646650621</c:v>
                </c:pt>
                <c:pt idx="647">
                  <c:v>17.013628646650616</c:v>
                </c:pt>
                <c:pt idx="648">
                  <c:v>0.31049328623764438</c:v>
                </c:pt>
                <c:pt idx="649">
                  <c:v>0.75599328623764706</c:v>
                </c:pt>
                <c:pt idx="650">
                  <c:v>-1.6609067137623512</c:v>
                </c:pt>
                <c:pt idx="651">
                  <c:v>-1.7609067137623526</c:v>
                </c:pt>
                <c:pt idx="652">
                  <c:v>-0.36499964167975918</c:v>
                </c:pt>
                <c:pt idx="653">
                  <c:v>1.1390932862376459</c:v>
                </c:pt>
                <c:pt idx="654">
                  <c:v>1.3390932862376488</c:v>
                </c:pt>
                <c:pt idx="655">
                  <c:v>-2.2718420741753249</c:v>
                </c:pt>
                <c:pt idx="656">
                  <c:v>-4.4715420741753249</c:v>
                </c:pt>
                <c:pt idx="657">
                  <c:v>-3.2775420741753223</c:v>
                </c:pt>
                <c:pt idx="658">
                  <c:v>-2.6418996416797569</c:v>
                </c:pt>
                <c:pt idx="659">
                  <c:v>-2.456720857927543</c:v>
                </c:pt>
                <c:pt idx="660">
                  <c:v>0.47862864665061977</c:v>
                </c:pt>
                <c:pt idx="661">
                  <c:v>0.30374378165948457</c:v>
                </c:pt>
                <c:pt idx="662">
                  <c:v>-3.3011350020927281</c:v>
                </c:pt>
                <c:pt idx="663">
                  <c:v>-2.1288350020927282</c:v>
                </c:pt>
                <c:pt idx="664">
                  <c:v>-2.0140915787534865</c:v>
                </c:pt>
                <c:pt idx="665">
                  <c:v>1.2976952679249862</c:v>
                </c:pt>
                <c:pt idx="666">
                  <c:v>-6.8357915787534864</c:v>
                </c:pt>
                <c:pt idx="667">
                  <c:v>-3.1525350020927334</c:v>
                </c:pt>
                <c:pt idx="668">
                  <c:v>-1.9525350020927306</c:v>
                </c:pt>
                <c:pt idx="669">
                  <c:v>-2.235791578753485</c:v>
                </c:pt>
                <c:pt idx="670">
                  <c:v>1.2976952679249862</c:v>
                </c:pt>
                <c:pt idx="671">
                  <c:v>-7.3418925695971637</c:v>
                </c:pt>
                <c:pt idx="672">
                  <c:v>-2.4650925695971608</c:v>
                </c:pt>
                <c:pt idx="673">
                  <c:v>-3.8795127950012755</c:v>
                </c:pt>
                <c:pt idx="674">
                  <c:v>-3.979512795001277</c:v>
                </c:pt>
                <c:pt idx="675">
                  <c:v>-3.2729350020927299</c:v>
                </c:pt>
                <c:pt idx="676">
                  <c:v>-2.1943350020927284</c:v>
                </c:pt>
                <c:pt idx="677">
                  <c:v>-1.989091578753488</c:v>
                </c:pt>
                <c:pt idx="678">
                  <c:v>1.2976952679249862</c:v>
                </c:pt>
                <c:pt idx="679">
                  <c:v>-6.8357915787534864</c:v>
                </c:pt>
                <c:pt idx="680">
                  <c:v>-3.1525350020927334</c:v>
                </c:pt>
                <c:pt idx="681">
                  <c:v>-1.9525350020927306</c:v>
                </c:pt>
                <c:pt idx="682">
                  <c:v>-2.235791578753485</c:v>
                </c:pt>
                <c:pt idx="683">
                  <c:v>1.2976952679249862</c:v>
                </c:pt>
                <c:pt idx="684">
                  <c:v>-9.0921067137623517</c:v>
                </c:pt>
                <c:pt idx="685">
                  <c:v>-7.5609067137623533</c:v>
                </c:pt>
                <c:pt idx="686">
                  <c:v>-4.7429127950012777</c:v>
                </c:pt>
                <c:pt idx="687">
                  <c:v>-4.8901127950012757</c:v>
                </c:pt>
                <c:pt idx="688">
                  <c:v>-9.0609067137623533</c:v>
                </c:pt>
                <c:pt idx="689">
                  <c:v>-7.4609067137623519</c:v>
                </c:pt>
                <c:pt idx="690">
                  <c:v>-4.6938127950012785</c:v>
                </c:pt>
                <c:pt idx="691">
                  <c:v>-2.9276208579275433</c:v>
                </c:pt>
                <c:pt idx="692">
                  <c:v>-2.2104208579275451</c:v>
                </c:pt>
                <c:pt idx="693">
                  <c:v>-3.2795127950012777</c:v>
                </c:pt>
                <c:pt idx="694">
                  <c:v>-7.1795127950012763</c:v>
                </c:pt>
                <c:pt idx="695">
                  <c:v>-5.052535002092732</c:v>
                </c:pt>
                <c:pt idx="696">
                  <c:v>-3.3525350020927291</c:v>
                </c:pt>
                <c:pt idx="697">
                  <c:v>-2.4245915787534855</c:v>
                </c:pt>
                <c:pt idx="698">
                  <c:v>-2.3047320750109179E-3</c:v>
                </c:pt>
                <c:pt idx="699">
                  <c:v>-4.0358915787534855</c:v>
                </c:pt>
                <c:pt idx="700">
                  <c:v>-4.0358915787534855</c:v>
                </c:pt>
                <c:pt idx="701">
                  <c:v>-2.3047320750109179E-3</c:v>
                </c:pt>
                <c:pt idx="702">
                  <c:v>-6.2795127950012777</c:v>
                </c:pt>
                <c:pt idx="703">
                  <c:v>-7.8147127950012774</c:v>
                </c:pt>
                <c:pt idx="704">
                  <c:v>-5.052535002092732</c:v>
                </c:pt>
                <c:pt idx="705">
                  <c:v>-3.3525350020927291</c:v>
                </c:pt>
                <c:pt idx="706">
                  <c:v>-2.4499915787534867</c:v>
                </c:pt>
                <c:pt idx="707">
                  <c:v>-2.3047320750109179E-3</c:v>
                </c:pt>
                <c:pt idx="708">
                  <c:v>-4.0358915787534855</c:v>
                </c:pt>
                <c:pt idx="709">
                  <c:v>-4.0358915787534855</c:v>
                </c:pt>
                <c:pt idx="710">
                  <c:v>-2.3047320750109179E-3</c:v>
                </c:pt>
                <c:pt idx="711">
                  <c:v>-5.6595127950012767</c:v>
                </c:pt>
                <c:pt idx="712">
                  <c:v>-5.8257127950012766</c:v>
                </c:pt>
                <c:pt idx="713">
                  <c:v>-6.094912795001278</c:v>
                </c:pt>
                <c:pt idx="714">
                  <c:v>-8.0567208579275409</c:v>
                </c:pt>
                <c:pt idx="715">
                  <c:v>-4.1795127950012763</c:v>
                </c:pt>
                <c:pt idx="716">
                  <c:v>-8.0795127950012784</c:v>
                </c:pt>
                <c:pt idx="717">
                  <c:v>-3.3177340112490654</c:v>
                </c:pt>
                <c:pt idx="718">
                  <c:v>-2.6344693716620355</c:v>
                </c:pt>
                <c:pt idx="719">
                  <c:v>2.7684952679249868</c:v>
                </c:pt>
                <c:pt idx="720">
                  <c:v>3.5665316191816387</c:v>
                </c:pt>
                <c:pt idx="721">
                  <c:v>7.0623457633468263</c:v>
                </c:pt>
                <c:pt idx="722">
                  <c:v>3.7976952679249862</c:v>
                </c:pt>
                <c:pt idx="723">
                  <c:v>-5.735791578753485</c:v>
                </c:pt>
                <c:pt idx="724">
                  <c:v>-3.7148622995794369</c:v>
                </c:pt>
                <c:pt idx="725">
                  <c:v>-6.0357915787534857</c:v>
                </c:pt>
                <c:pt idx="726">
                  <c:v>-3.7148622995794369</c:v>
                </c:pt>
                <c:pt idx="727">
                  <c:v>2.3060669795946147</c:v>
                </c:pt>
                <c:pt idx="728">
                  <c:v>-4.6795127950012763</c:v>
                </c:pt>
                <c:pt idx="729">
                  <c:v>-0.76695522749684741</c:v>
                </c:pt>
                <c:pt idx="730">
                  <c:v>0.89238819584239693</c:v>
                </c:pt>
                <c:pt idx="731">
                  <c:v>-2.9840552274968459</c:v>
                </c:pt>
                <c:pt idx="732">
                  <c:v>-1.3036552274968471</c:v>
                </c:pt>
                <c:pt idx="733">
                  <c:v>-3.2710340112490641</c:v>
                </c:pt>
                <c:pt idx="734">
                  <c:v>-2.6502693716620378</c:v>
                </c:pt>
                <c:pt idx="735">
                  <c:v>2.7621952679249873</c:v>
                </c:pt>
                <c:pt idx="736">
                  <c:v>3.5665316191816387</c:v>
                </c:pt>
                <c:pt idx="737">
                  <c:v>7.0623457633468263</c:v>
                </c:pt>
                <c:pt idx="738">
                  <c:v>3.7976952679249862</c:v>
                </c:pt>
                <c:pt idx="739">
                  <c:v>-0.2645259483227953</c:v>
                </c:pt>
                <c:pt idx="740">
                  <c:v>-0.23712594832279521</c:v>
                </c:pt>
                <c:pt idx="741">
                  <c:v>-6.7296127950012767</c:v>
                </c:pt>
                <c:pt idx="742">
                  <c:v>-1.7457552274968471</c:v>
                </c:pt>
                <c:pt idx="743">
                  <c:v>0.76116697959461277</c:v>
                </c:pt>
                <c:pt idx="744">
                  <c:v>-6.9295340112490642</c:v>
                </c:pt>
                <c:pt idx="745">
                  <c:v>-4.7131693716620369</c:v>
                </c:pt>
                <c:pt idx="746">
                  <c:v>2.4181952679249861</c:v>
                </c:pt>
                <c:pt idx="747">
                  <c:v>3.2664316191816383</c:v>
                </c:pt>
                <c:pt idx="748">
                  <c:v>6.8622457633468272</c:v>
                </c:pt>
                <c:pt idx="749">
                  <c:v>-9.4357915787534878</c:v>
                </c:pt>
                <c:pt idx="750">
                  <c:v>-3.7148622995794369</c:v>
                </c:pt>
                <c:pt idx="751">
                  <c:v>-4.8148622995794383</c:v>
                </c:pt>
                <c:pt idx="752">
                  <c:v>0.60606697959461187</c:v>
                </c:pt>
                <c:pt idx="753">
                  <c:v>-6.726012795001278</c:v>
                </c:pt>
                <c:pt idx="754">
                  <c:v>-3.1047552274968488</c:v>
                </c:pt>
                <c:pt idx="755">
                  <c:v>-1.3563118041576026</c:v>
                </c:pt>
                <c:pt idx="756">
                  <c:v>-2.660855227496846</c:v>
                </c:pt>
                <c:pt idx="757">
                  <c:v>-4.5371552274968465</c:v>
                </c:pt>
                <c:pt idx="758">
                  <c:v>-6.9295340112490642</c:v>
                </c:pt>
                <c:pt idx="759">
                  <c:v>-4.7093693716620351</c:v>
                </c:pt>
                <c:pt idx="760">
                  <c:v>2.4161952679249872</c:v>
                </c:pt>
                <c:pt idx="761">
                  <c:v>3.2691316191816391</c:v>
                </c:pt>
                <c:pt idx="762">
                  <c:v>6.8622457633468272</c:v>
                </c:pt>
                <c:pt idx="763">
                  <c:v>3.2664316191816383</c:v>
                </c:pt>
                <c:pt idx="764">
                  <c:v>-6.5399774345883053</c:v>
                </c:pt>
                <c:pt idx="765">
                  <c:v>-8.6357915787534871</c:v>
                </c:pt>
                <c:pt idx="766">
                  <c:v>-8.735791578753485</c:v>
                </c:pt>
                <c:pt idx="767">
                  <c:v>-4.3024047320750114</c:v>
                </c:pt>
                <c:pt idx="768">
                  <c:v>-2.1850259483227958</c:v>
                </c:pt>
                <c:pt idx="769">
                  <c:v>-2.1351259483227949</c:v>
                </c:pt>
                <c:pt idx="770">
                  <c:v>-3.5374552274968458</c:v>
                </c:pt>
                <c:pt idx="771">
                  <c:v>-1.3621330204053876</c:v>
                </c:pt>
                <c:pt idx="772">
                  <c:v>-0.79463302040538508</c:v>
                </c:pt>
                <c:pt idx="773">
                  <c:v>-3.5232340112490625</c:v>
                </c:pt>
                <c:pt idx="774">
                  <c:v>-2.3024047320750114</c:v>
                </c:pt>
                <c:pt idx="775">
                  <c:v>-3.3024047320750114</c:v>
                </c:pt>
                <c:pt idx="776">
                  <c:v>-3.8404047320750117</c:v>
                </c:pt>
                <c:pt idx="777">
                  <c:v>-3.7023047320750138</c:v>
                </c:pt>
                <c:pt idx="778">
                  <c:v>-3.5232340112490625</c:v>
                </c:pt>
                <c:pt idx="779">
                  <c:v>-2.3024047320750114</c:v>
                </c:pt>
                <c:pt idx="780">
                  <c:v>-3.3024047320750114</c:v>
                </c:pt>
                <c:pt idx="781">
                  <c:v>-3.8404047320750117</c:v>
                </c:pt>
                <c:pt idx="782">
                  <c:v>-3.7023047320750138</c:v>
                </c:pt>
                <c:pt idx="783">
                  <c:v>-3.3024047320750114</c:v>
                </c:pt>
                <c:pt idx="784">
                  <c:v>-3.7023047320750138</c:v>
                </c:pt>
                <c:pt idx="785">
                  <c:v>-3.3024047320750114</c:v>
                </c:pt>
                <c:pt idx="786">
                  <c:v>-3.7023047320750138</c:v>
                </c:pt>
                <c:pt idx="787">
                  <c:v>-6.5213713533493802</c:v>
                </c:pt>
                <c:pt idx="788">
                  <c:v>-2.5453632904231185</c:v>
                </c:pt>
                <c:pt idx="789">
                  <c:v>-1.4836986508360894</c:v>
                </c:pt>
                <c:pt idx="790">
                  <c:v>2.7204872049987259</c:v>
                </c:pt>
                <c:pt idx="791">
                  <c:v>-2.5453632904231185</c:v>
                </c:pt>
                <c:pt idx="792">
                  <c:v>-1.4836986508360894</c:v>
                </c:pt>
                <c:pt idx="793">
                  <c:v>2.7204872049987259</c:v>
                </c:pt>
                <c:pt idx="794">
                  <c:v>0.76002256541169544</c:v>
                </c:pt>
                <c:pt idx="795">
                  <c:v>-2.339977434588306</c:v>
                </c:pt>
                <c:pt idx="796">
                  <c:v>-0.98369865083608943</c:v>
                </c:pt>
                <c:pt idx="797">
                  <c:v>-0.98369865083608943</c:v>
                </c:pt>
                <c:pt idx="798">
                  <c:v>-0.96509256959716083</c:v>
                </c:pt>
                <c:pt idx="799">
                  <c:v>-2.0650925695971623</c:v>
                </c:pt>
                <c:pt idx="800">
                  <c:v>-0.73997743458830456</c:v>
                </c:pt>
                <c:pt idx="801">
                  <c:v>-1.4836986508360894</c:v>
                </c:pt>
                <c:pt idx="802">
                  <c:v>2.7204872049987259</c:v>
                </c:pt>
                <c:pt idx="803">
                  <c:v>-5.5399774345883053</c:v>
                </c:pt>
                <c:pt idx="804">
                  <c:v>-5.7650925695971651</c:v>
                </c:pt>
                <c:pt idx="805">
                  <c:v>-1.2878845066708919</c:v>
                </c:pt>
                <c:pt idx="806">
                  <c:v>5.8665316191816359</c:v>
                </c:pt>
                <c:pt idx="807">
                  <c:v>7.0623457633468263</c:v>
                </c:pt>
                <c:pt idx="808">
                  <c:v>5.8665316191816359</c:v>
                </c:pt>
                <c:pt idx="809">
                  <c:v>-2.500442074175325</c:v>
                </c:pt>
                <c:pt idx="810">
                  <c:v>2.3911952679249886</c:v>
                </c:pt>
                <c:pt idx="811">
                  <c:v>3.4665316191816373</c:v>
                </c:pt>
                <c:pt idx="812">
                  <c:v>2.3911952679249886</c:v>
                </c:pt>
                <c:pt idx="813">
                  <c:v>3.4665316191816373</c:v>
                </c:pt>
                <c:pt idx="814">
                  <c:v>2.3911952679249886</c:v>
                </c:pt>
                <c:pt idx="815">
                  <c:v>7.0623457633468263</c:v>
                </c:pt>
                <c:pt idx="816">
                  <c:v>5.3870003583202433</c:v>
                </c:pt>
                <c:pt idx="817">
                  <c:v>-2.4522420741753237</c:v>
                </c:pt>
                <c:pt idx="818">
                  <c:v>-1.2213713533493831</c:v>
                </c:pt>
                <c:pt idx="819">
                  <c:v>-0.92137135334937881</c:v>
                </c:pt>
                <c:pt idx="820">
                  <c:v>1.7819145024854279</c:v>
                </c:pt>
                <c:pt idx="821">
                  <c:v>4.3819145024854294</c:v>
                </c:pt>
                <c:pt idx="822">
                  <c:v>2.1870003583202404</c:v>
                </c:pt>
                <c:pt idx="823">
                  <c:v>1.7870003583202418</c:v>
                </c:pt>
                <c:pt idx="824">
                  <c:v>1.7819145024854279</c:v>
                </c:pt>
                <c:pt idx="825">
                  <c:v>4.3819145024854294</c:v>
                </c:pt>
                <c:pt idx="826">
                  <c:v>2.1870003583202404</c:v>
                </c:pt>
                <c:pt idx="827">
                  <c:v>1.7870003583202418</c:v>
                </c:pt>
                <c:pt idx="828">
                  <c:v>-1.2878845066708919</c:v>
                </c:pt>
                <c:pt idx="829">
                  <c:v>-5.6129996416797567</c:v>
                </c:pt>
                <c:pt idx="830">
                  <c:v>-4.7129996416797582</c:v>
                </c:pt>
                <c:pt idx="831">
                  <c:v>-1.5399774345883017</c:v>
                </c:pt>
                <c:pt idx="832">
                  <c:v>-3.3357915787534864</c:v>
                </c:pt>
                <c:pt idx="833">
                  <c:v>-3.0795127950012784</c:v>
                </c:pt>
                <c:pt idx="834">
                  <c:v>-0.53997743458830172</c:v>
                </c:pt>
                <c:pt idx="835">
                  <c:v>-6.0906713762349796E-2</c:v>
                </c:pt>
                <c:pt idx="836">
                  <c:v>-0.66090671376235122</c:v>
                </c:pt>
                <c:pt idx="837">
                  <c:v>-2.2004420741753279</c:v>
                </c:pt>
                <c:pt idx="838">
                  <c:v>3.6390932862376459</c:v>
                </c:pt>
                <c:pt idx="839">
                  <c:v>0.84978819584239673</c:v>
                </c:pt>
                <c:pt idx="840">
                  <c:v>-4.6795127950012763</c:v>
                </c:pt>
                <c:pt idx="841">
                  <c:v>-0.76695522749684741</c:v>
                </c:pt>
                <c:pt idx="842">
                  <c:v>-0.53997743458830172</c:v>
                </c:pt>
                <c:pt idx="843">
                  <c:v>-1.2878845066708919</c:v>
                </c:pt>
                <c:pt idx="844">
                  <c:v>2.3911952679249886</c:v>
                </c:pt>
                <c:pt idx="845">
                  <c:v>5.8665316191816359</c:v>
                </c:pt>
                <c:pt idx="846">
                  <c:v>7.0623457633468263</c:v>
                </c:pt>
                <c:pt idx="847">
                  <c:v>2.3911952679249886</c:v>
                </c:pt>
                <c:pt idx="848">
                  <c:v>5.8665316191816359</c:v>
                </c:pt>
                <c:pt idx="849">
                  <c:v>3.4665316191816373</c:v>
                </c:pt>
                <c:pt idx="850">
                  <c:v>5.3870003583202433</c:v>
                </c:pt>
                <c:pt idx="851">
                  <c:v>-2.4522420741753237</c:v>
                </c:pt>
                <c:pt idx="852">
                  <c:v>3.5600225654116926</c:v>
                </c:pt>
                <c:pt idx="853">
                  <c:v>-0.51299964167975531</c:v>
                </c:pt>
                <c:pt idx="854">
                  <c:v>-5.412999641679761</c:v>
                </c:pt>
                <c:pt idx="855">
                  <c:v>-7.8129996416797596</c:v>
                </c:pt>
                <c:pt idx="856">
                  <c:v>-2.792477434588303</c:v>
                </c:pt>
                <c:pt idx="857">
                  <c:v>-1.1129996416797567</c:v>
                </c:pt>
                <c:pt idx="858">
                  <c:v>-3.0129996416797553</c:v>
                </c:pt>
                <c:pt idx="859">
                  <c:v>1.660022565411694</c:v>
                </c:pt>
                <c:pt idx="860">
                  <c:v>1.8870003583202433</c:v>
                </c:pt>
                <c:pt idx="861">
                  <c:v>3.515600358320242</c:v>
                </c:pt>
                <c:pt idx="862">
                  <c:v>-0.88369865083608801</c:v>
                </c:pt>
                <c:pt idx="863">
                  <c:v>-3.2438774345883061</c:v>
                </c:pt>
                <c:pt idx="864">
                  <c:v>-1.0460259483227965</c:v>
                </c:pt>
                <c:pt idx="865">
                  <c:v>-6.6357915787534871</c:v>
                </c:pt>
                <c:pt idx="866">
                  <c:v>2.3060669795946147</c:v>
                </c:pt>
                <c:pt idx="867">
                  <c:v>-1.2816713533493811</c:v>
                </c:pt>
                <c:pt idx="868">
                  <c:v>-3.5213713533493802</c:v>
                </c:pt>
                <c:pt idx="869">
                  <c:v>-0.51299964167975531</c:v>
                </c:pt>
                <c:pt idx="870">
                  <c:v>-5.0129996416797553</c:v>
                </c:pt>
                <c:pt idx="871">
                  <c:v>-5.0357915787534857</c:v>
                </c:pt>
                <c:pt idx="872">
                  <c:v>2.3060669795946147</c:v>
                </c:pt>
                <c:pt idx="873">
                  <c:v>-3.3357915787534864</c:v>
                </c:pt>
                <c:pt idx="874">
                  <c:v>-1.2816713533493811</c:v>
                </c:pt>
                <c:pt idx="875">
                  <c:v>-3.5213713533493802</c:v>
                </c:pt>
                <c:pt idx="876">
                  <c:v>-0.51299964167975531</c:v>
                </c:pt>
                <c:pt idx="877">
                  <c:v>-5.0129996416797553</c:v>
                </c:pt>
                <c:pt idx="878">
                  <c:v>-5.1836986508360887</c:v>
                </c:pt>
                <c:pt idx="879">
                  <c:v>-3.883698650836088</c:v>
                </c:pt>
                <c:pt idx="880">
                  <c:v>0.13304477250315117</c:v>
                </c:pt>
                <c:pt idx="881">
                  <c:v>-7.0213713533493802</c:v>
                </c:pt>
                <c:pt idx="882">
                  <c:v>-6.2213713533493831</c:v>
                </c:pt>
                <c:pt idx="883">
                  <c:v>-5.6567208579275388</c:v>
                </c:pt>
                <c:pt idx="884">
                  <c:v>-0.23997743458830456</c:v>
                </c:pt>
                <c:pt idx="885">
                  <c:v>4.3559225654116958</c:v>
                </c:pt>
                <c:pt idx="886">
                  <c:v>-2.5399774345883017</c:v>
                </c:pt>
                <c:pt idx="887">
                  <c:v>-0.53997743458830172</c:v>
                </c:pt>
                <c:pt idx="888">
                  <c:v>0.84978819584239673</c:v>
                </c:pt>
                <c:pt idx="889">
                  <c:v>-5.4650925695971608</c:v>
                </c:pt>
                <c:pt idx="890">
                  <c:v>-0.66090671376235122</c:v>
                </c:pt>
                <c:pt idx="891">
                  <c:v>-3.3357915787534864</c:v>
                </c:pt>
                <c:pt idx="892">
                  <c:v>-0.66090671376235122</c:v>
                </c:pt>
                <c:pt idx="893">
                  <c:v>-6.0906713762349796E-2</c:v>
                </c:pt>
                <c:pt idx="894">
                  <c:v>-2.2004420741753279</c:v>
                </c:pt>
                <c:pt idx="895">
                  <c:v>3.6390932862376459</c:v>
                </c:pt>
                <c:pt idx="896">
                  <c:v>-4.1399774345883031</c:v>
                </c:pt>
                <c:pt idx="897">
                  <c:v>-6.0399774345883053</c:v>
                </c:pt>
                <c:pt idx="898">
                  <c:v>-6.0906713762349796E-2</c:v>
                </c:pt>
                <c:pt idx="899">
                  <c:v>-2.2004420741753279</c:v>
                </c:pt>
                <c:pt idx="900">
                  <c:v>3.6390932862376459</c:v>
                </c:pt>
                <c:pt idx="901">
                  <c:v>-4.6795127950012763</c:v>
                </c:pt>
                <c:pt idx="902">
                  <c:v>-0.76695522749684741</c:v>
                </c:pt>
                <c:pt idx="903">
                  <c:v>-1.73659964167976</c:v>
                </c:pt>
                <c:pt idx="904">
                  <c:v>-1.7117420741753264</c:v>
                </c:pt>
                <c:pt idx="905">
                  <c:v>-3.5737986508360891</c:v>
                </c:pt>
                <c:pt idx="906">
                  <c:v>-0.29832594832279469</c:v>
                </c:pt>
                <c:pt idx="907">
                  <c:v>-5.0825948322795966E-2</c:v>
                </c:pt>
                <c:pt idx="908">
                  <c:v>-2.3323774345883024</c:v>
                </c:pt>
                <c:pt idx="909">
                  <c:v>-2.5795127950012784</c:v>
                </c:pt>
                <c:pt idx="910">
                  <c:v>-1.542012795001277</c:v>
                </c:pt>
                <c:pt idx="911">
                  <c:v>-1.2310067137623548</c:v>
                </c:pt>
                <c:pt idx="912">
                  <c:v>-4.430712795001277</c:v>
                </c:pt>
                <c:pt idx="913">
                  <c:v>-3.8246127950012756</c:v>
                </c:pt>
                <c:pt idx="914">
                  <c:v>-1.2878845066708919</c:v>
                </c:pt>
                <c:pt idx="915">
                  <c:v>-2.7129996416797582</c:v>
                </c:pt>
                <c:pt idx="916">
                  <c:v>-1.2878845066708919</c:v>
                </c:pt>
                <c:pt idx="917">
                  <c:v>-1.0878845066708891</c:v>
                </c:pt>
                <c:pt idx="918">
                  <c:v>5.587000358320239</c:v>
                </c:pt>
                <c:pt idx="919">
                  <c:v>-3.9026996416797601</c:v>
                </c:pt>
                <c:pt idx="920">
                  <c:v>-5.4298996416797607</c:v>
                </c:pt>
                <c:pt idx="921">
                  <c:v>-2.3334562183405154</c:v>
                </c:pt>
                <c:pt idx="922">
                  <c:v>-6.6567208579275423</c:v>
                </c:pt>
                <c:pt idx="923">
                  <c:v>-1.0795127950012784</c:v>
                </c:pt>
                <c:pt idx="924">
                  <c:v>-2.2795127950012777</c:v>
                </c:pt>
                <c:pt idx="925">
                  <c:v>-0.55672085792754444</c:v>
                </c:pt>
                <c:pt idx="926">
                  <c:v>-1.6399774345883031</c:v>
                </c:pt>
                <c:pt idx="927">
                  <c:v>0.4390932862376502</c:v>
                </c:pt>
                <c:pt idx="928">
                  <c:v>2.6099225654116935</c:v>
                </c:pt>
                <c:pt idx="929">
                  <c:v>-3.2185552274968465</c:v>
                </c:pt>
                <c:pt idx="930">
                  <c:v>0.82396697959461207</c:v>
                </c:pt>
                <c:pt idx="931">
                  <c:v>2.2432791420724598</c:v>
                </c:pt>
                <c:pt idx="932">
                  <c:v>1.8600225654116969</c:v>
                </c:pt>
                <c:pt idx="933">
                  <c:v>-7.4213713533493788</c:v>
                </c:pt>
                <c:pt idx="934">
                  <c:v>-5.3213713533493774</c:v>
                </c:pt>
                <c:pt idx="935">
                  <c:v>0.30374378165948457</c:v>
                </c:pt>
                <c:pt idx="936">
                  <c:v>-6.3962562183405147</c:v>
                </c:pt>
                <c:pt idx="937">
                  <c:v>-6.0399774345883053</c:v>
                </c:pt>
                <c:pt idx="938">
                  <c:v>-8.2650925695971651</c:v>
                </c:pt>
                <c:pt idx="939">
                  <c:v>-2.235791578753485</c:v>
                </c:pt>
                <c:pt idx="940">
                  <c:v>-5.3962562183405147</c:v>
                </c:pt>
                <c:pt idx="941">
                  <c:v>-3.8004420741753222</c:v>
                </c:pt>
                <c:pt idx="942">
                  <c:v>-8.1812845066708917</c:v>
                </c:pt>
                <c:pt idx="943">
                  <c:v>-6.9753269391664645</c:v>
                </c:pt>
                <c:pt idx="944">
                  <c:v>-4.0711410833316535</c:v>
                </c:pt>
                <c:pt idx="945">
                  <c:v>-4.000442074175325</c:v>
                </c:pt>
                <c:pt idx="946">
                  <c:v>-3.4004420741753236</c:v>
                </c:pt>
                <c:pt idx="947">
                  <c:v>-7.4004420741753236</c:v>
                </c:pt>
                <c:pt idx="948">
                  <c:v>-0.44144207417532755</c:v>
                </c:pt>
                <c:pt idx="949">
                  <c:v>-2.0681693716620373</c:v>
                </c:pt>
                <c:pt idx="950">
                  <c:v>-7.5190410833316541</c:v>
                </c:pt>
                <c:pt idx="951">
                  <c:v>-7.500442074175325</c:v>
                </c:pt>
                <c:pt idx="952">
                  <c:v>-5.7711410833316563</c:v>
                </c:pt>
                <c:pt idx="953">
                  <c:v>-7.5190410833316541</c:v>
                </c:pt>
                <c:pt idx="954">
                  <c:v>-3.3878845066708934</c:v>
                </c:pt>
                <c:pt idx="955">
                  <c:v>4.8665316191816359</c:v>
                </c:pt>
                <c:pt idx="956">
                  <c:v>-7.6053279300101373</c:v>
                </c:pt>
                <c:pt idx="957">
                  <c:v>-5.7004420741753243</c:v>
                </c:pt>
                <c:pt idx="958">
                  <c:v>0.587000358320239</c:v>
                </c:pt>
                <c:pt idx="959">
                  <c:v>-3.9004420741753236</c:v>
                </c:pt>
                <c:pt idx="960">
                  <c:v>2.3976952679249877</c:v>
                </c:pt>
                <c:pt idx="961">
                  <c:v>6.8622457633468272</c:v>
                </c:pt>
                <c:pt idx="962">
                  <c:v>-2.6878845066708905</c:v>
                </c:pt>
                <c:pt idx="963">
                  <c:v>-2.839977434588306</c:v>
                </c:pt>
                <c:pt idx="964">
                  <c:v>-5.3357915787534864</c:v>
                </c:pt>
                <c:pt idx="965">
                  <c:v>-4.0795127950012784</c:v>
                </c:pt>
                <c:pt idx="966">
                  <c:v>-3.339977434588306</c:v>
                </c:pt>
                <c:pt idx="967">
                  <c:v>-3.2302067137623496</c:v>
                </c:pt>
                <c:pt idx="968">
                  <c:v>-5.6087420741753249</c:v>
                </c:pt>
                <c:pt idx="969">
                  <c:v>-1.3609067137623541</c:v>
                </c:pt>
                <c:pt idx="970">
                  <c:v>-2.2519118041576043</c:v>
                </c:pt>
                <c:pt idx="971">
                  <c:v>-6.726012795001278</c:v>
                </c:pt>
                <c:pt idx="972">
                  <c:v>-3.1047552274968488</c:v>
                </c:pt>
                <c:pt idx="973">
                  <c:v>-4.3594774345883032</c:v>
                </c:pt>
                <c:pt idx="974">
                  <c:v>-4.5399774345883053</c:v>
                </c:pt>
                <c:pt idx="975">
                  <c:v>-2.6878845066708905</c:v>
                </c:pt>
                <c:pt idx="976">
                  <c:v>2.3976952679249877</c:v>
                </c:pt>
                <c:pt idx="977">
                  <c:v>6.8622457633468272</c:v>
                </c:pt>
                <c:pt idx="978">
                  <c:v>4.8665316191816359</c:v>
                </c:pt>
                <c:pt idx="979">
                  <c:v>0.587000358320239</c:v>
                </c:pt>
                <c:pt idx="980">
                  <c:v>-3.9004420741753236</c:v>
                </c:pt>
                <c:pt idx="981">
                  <c:v>-0.13997743458830314</c:v>
                </c:pt>
                <c:pt idx="982">
                  <c:v>-2.0031996416797568</c:v>
                </c:pt>
                <c:pt idx="983">
                  <c:v>-8.4129996416797574</c:v>
                </c:pt>
                <c:pt idx="984">
                  <c:v>-6.2129996416797582</c:v>
                </c:pt>
                <c:pt idx="985">
                  <c:v>-4.2399774345883046</c:v>
                </c:pt>
                <c:pt idx="986">
                  <c:v>-8.6357915787534871</c:v>
                </c:pt>
                <c:pt idx="987">
                  <c:v>-8.735791578753485</c:v>
                </c:pt>
                <c:pt idx="988">
                  <c:v>-4.3024047320750114</c:v>
                </c:pt>
                <c:pt idx="989">
                  <c:v>-2.1129996416797567</c:v>
                </c:pt>
                <c:pt idx="990">
                  <c:v>1.2600225654116954</c:v>
                </c:pt>
                <c:pt idx="991">
                  <c:v>-0.50889964167976132</c:v>
                </c:pt>
                <c:pt idx="992">
                  <c:v>-1.1129996416797567</c:v>
                </c:pt>
                <c:pt idx="993">
                  <c:v>-2.2836986508360866</c:v>
                </c:pt>
                <c:pt idx="994">
                  <c:v>-4.9665774345883058</c:v>
                </c:pt>
                <c:pt idx="995">
                  <c:v>-0.70748351582722435</c:v>
                </c:pt>
                <c:pt idx="996">
                  <c:v>-1.6460259483227944</c:v>
                </c:pt>
                <c:pt idx="997">
                  <c:v>-7.235791578753485</c:v>
                </c:pt>
                <c:pt idx="998">
                  <c:v>1.2060669795946133</c:v>
                </c:pt>
                <c:pt idx="999">
                  <c:v>-1.1129996416797567</c:v>
                </c:pt>
                <c:pt idx="1000">
                  <c:v>-6.1129996416797567</c:v>
                </c:pt>
                <c:pt idx="1001">
                  <c:v>-6.3357915787534864</c:v>
                </c:pt>
                <c:pt idx="1002">
                  <c:v>1.2060669795946133</c:v>
                </c:pt>
                <c:pt idx="1003">
                  <c:v>-2.0855613087357732</c:v>
                </c:pt>
                <c:pt idx="1004">
                  <c:v>-5.3357915787534864</c:v>
                </c:pt>
                <c:pt idx="1005">
                  <c:v>-1.1129996416797567</c:v>
                </c:pt>
                <c:pt idx="1006">
                  <c:v>-6.1129996416797567</c:v>
                </c:pt>
                <c:pt idx="1007">
                  <c:v>-6.1129996416797567</c:v>
                </c:pt>
                <c:pt idx="1008">
                  <c:v>-7.2206986508360878</c:v>
                </c:pt>
                <c:pt idx="1009">
                  <c:v>-6.8204986508360896</c:v>
                </c:pt>
                <c:pt idx="1010">
                  <c:v>-4.0850986508360876</c:v>
                </c:pt>
                <c:pt idx="1011">
                  <c:v>-1.3669552274968488</c:v>
                </c:pt>
                <c:pt idx="1012">
                  <c:v>-8.1213713533493816</c:v>
                </c:pt>
                <c:pt idx="1013">
                  <c:v>-7.0567208579275409</c:v>
                </c:pt>
                <c:pt idx="1014">
                  <c:v>-5.7492562183405127</c:v>
                </c:pt>
                <c:pt idx="1015">
                  <c:v>-4.138183515827226</c:v>
                </c:pt>
                <c:pt idx="1016">
                  <c:v>-3.3863835158272266</c:v>
                </c:pt>
                <c:pt idx="1017">
                  <c:v>-2.4503835158272267</c:v>
                </c:pt>
                <c:pt idx="1018">
                  <c:v>-4.3842835158272244</c:v>
                </c:pt>
                <c:pt idx="1019">
                  <c:v>-3.1657835158272256</c:v>
                </c:pt>
                <c:pt idx="1020">
                  <c:v>-1.4669552274968467</c:v>
                </c:pt>
                <c:pt idx="1021">
                  <c:v>-0.64483302040538604</c:v>
                </c:pt>
                <c:pt idx="1022">
                  <c:v>-0.94627743458830338</c:v>
                </c:pt>
                <c:pt idx="1023">
                  <c:v>3.9793225654116924</c:v>
                </c:pt>
                <c:pt idx="1024">
                  <c:v>-4.7550774345883049</c:v>
                </c:pt>
                <c:pt idx="1025">
                  <c:v>-4.5399774345883053</c:v>
                </c:pt>
                <c:pt idx="1026">
                  <c:v>-3.339977434588306</c:v>
                </c:pt>
                <c:pt idx="1027">
                  <c:v>-8.4650925695971644</c:v>
                </c:pt>
                <c:pt idx="1028">
                  <c:v>-5.1357915787534871</c:v>
                </c:pt>
                <c:pt idx="1029">
                  <c:v>-2.2609067137623526</c:v>
                </c:pt>
                <c:pt idx="1030">
                  <c:v>-4.9004420741753236</c:v>
                </c:pt>
                <c:pt idx="1031">
                  <c:v>-1.3609067137623541</c:v>
                </c:pt>
                <c:pt idx="1032">
                  <c:v>-5.450211804157604</c:v>
                </c:pt>
                <c:pt idx="1033">
                  <c:v>-5.5981188762401999</c:v>
                </c:pt>
                <c:pt idx="1034">
                  <c:v>-5.500442074175325</c:v>
                </c:pt>
                <c:pt idx="1035">
                  <c:v>-5.5148622995794376</c:v>
                </c:pt>
                <c:pt idx="1036">
                  <c:v>-2.498118876240202</c:v>
                </c:pt>
                <c:pt idx="1037">
                  <c:v>-6.071677434588306</c:v>
                </c:pt>
                <c:pt idx="1038">
                  <c:v>-7.4399774345883039</c:v>
                </c:pt>
                <c:pt idx="1039">
                  <c:v>-2.6004420741753265</c:v>
                </c:pt>
                <c:pt idx="1040">
                  <c:v>-1.0981188762401999</c:v>
                </c:pt>
                <c:pt idx="1041">
                  <c:v>-2.3813754529009614</c:v>
                </c:pt>
                <c:pt idx="1042">
                  <c:v>-1.0399774345883017</c:v>
                </c:pt>
                <c:pt idx="1043">
                  <c:v>-8.9399774345883039</c:v>
                </c:pt>
                <c:pt idx="1044">
                  <c:v>-3.7004420741753279</c:v>
                </c:pt>
                <c:pt idx="1045">
                  <c:v>-3.2302067137623496</c:v>
                </c:pt>
                <c:pt idx="1046">
                  <c:v>-5.6087420741753249</c:v>
                </c:pt>
                <c:pt idx="1047">
                  <c:v>-1.3609067137623541</c:v>
                </c:pt>
                <c:pt idx="1048">
                  <c:v>-6.726012795001278</c:v>
                </c:pt>
                <c:pt idx="1049">
                  <c:v>-3.1047552274968488</c:v>
                </c:pt>
                <c:pt idx="1050">
                  <c:v>-4.4711996416797604</c:v>
                </c:pt>
                <c:pt idx="1051">
                  <c:v>-4.0456420741753263</c:v>
                </c:pt>
                <c:pt idx="1052">
                  <c:v>-6.4836986508360894</c:v>
                </c:pt>
                <c:pt idx="1053">
                  <c:v>-1.0536259483227965</c:v>
                </c:pt>
                <c:pt idx="1054">
                  <c:v>-1.0969259483227951</c:v>
                </c:pt>
                <c:pt idx="1055">
                  <c:v>-3.0317774345883031</c:v>
                </c:pt>
                <c:pt idx="1056">
                  <c:v>-5.2455127950012752</c:v>
                </c:pt>
                <c:pt idx="1057">
                  <c:v>-0.94642594832279414</c:v>
                </c:pt>
                <c:pt idx="1058">
                  <c:v>-3.4003067137623546</c:v>
                </c:pt>
                <c:pt idx="1059">
                  <c:v>-5.2949127950012773</c:v>
                </c:pt>
                <c:pt idx="1060">
                  <c:v>-4.9130127950012756</c:v>
                </c:pt>
                <c:pt idx="1061">
                  <c:v>-6.7067845066708927</c:v>
                </c:pt>
                <c:pt idx="1062">
                  <c:v>-6.1751845066708917</c:v>
                </c:pt>
                <c:pt idx="1063">
                  <c:v>-3.3027693716620377</c:v>
                </c:pt>
                <c:pt idx="1064">
                  <c:v>-5.284769371662037</c:v>
                </c:pt>
                <c:pt idx="1065">
                  <c:v>-2.4747693716620347</c:v>
                </c:pt>
                <c:pt idx="1066">
                  <c:v>-5.284769371662037</c:v>
                </c:pt>
                <c:pt idx="1067">
                  <c:v>-3.0866693716620368</c:v>
                </c:pt>
                <c:pt idx="1068">
                  <c:v>-3.0866693716620368</c:v>
                </c:pt>
                <c:pt idx="1069">
                  <c:v>-3.0866693716620368</c:v>
                </c:pt>
                <c:pt idx="1070">
                  <c:v>-2.6878845066708905</c:v>
                </c:pt>
                <c:pt idx="1071">
                  <c:v>-2.5399774345883017</c:v>
                </c:pt>
                <c:pt idx="1072">
                  <c:v>-2.1878845066708905</c:v>
                </c:pt>
                <c:pt idx="1073">
                  <c:v>-1.6878845066708905</c:v>
                </c:pt>
                <c:pt idx="1074">
                  <c:v>-2.1899067137623547</c:v>
                </c:pt>
                <c:pt idx="1075">
                  <c:v>-3.3383067137623499</c:v>
                </c:pt>
                <c:pt idx="1076">
                  <c:v>-6.3506067137623532</c:v>
                </c:pt>
                <c:pt idx="1077">
                  <c:v>0.82069328623764903</c:v>
                </c:pt>
                <c:pt idx="1078">
                  <c:v>-2.2035067137623514</c:v>
                </c:pt>
                <c:pt idx="1079">
                  <c:v>-1.7084506670890676E-2</c:v>
                </c:pt>
                <c:pt idx="1080">
                  <c:v>-4.7878845066708919</c:v>
                </c:pt>
                <c:pt idx="1081">
                  <c:v>-5.4616996416797576</c:v>
                </c:pt>
                <c:pt idx="1082">
                  <c:v>-7.4364996416797595</c:v>
                </c:pt>
                <c:pt idx="1083">
                  <c:v>-3.8215562183405112</c:v>
                </c:pt>
                <c:pt idx="1084">
                  <c:v>-2.479512795001277</c:v>
                </c:pt>
                <c:pt idx="1085">
                  <c:v>-2.479512795001277</c:v>
                </c:pt>
                <c:pt idx="1086">
                  <c:v>-3.5613127950012782</c:v>
                </c:pt>
                <c:pt idx="1087">
                  <c:v>-5.6658127950012762</c:v>
                </c:pt>
                <c:pt idx="1088">
                  <c:v>-3.4399774345883039</c:v>
                </c:pt>
                <c:pt idx="1089">
                  <c:v>-0.64526329042311659</c:v>
                </c:pt>
                <c:pt idx="1090">
                  <c:v>-4.4833020405388169E-2</c:v>
                </c:pt>
                <c:pt idx="1091">
                  <c:v>-0.88310671376235206</c:v>
                </c:pt>
                <c:pt idx="1092">
                  <c:v>1.0094225654116968</c:v>
                </c:pt>
                <c:pt idx="1093">
                  <c:v>-4.8951552274968471</c:v>
                </c:pt>
                <c:pt idx="1094">
                  <c:v>-0.29393302040538671</c:v>
                </c:pt>
                <c:pt idx="1095">
                  <c:v>-0.5733330204053857</c:v>
                </c:pt>
                <c:pt idx="1096">
                  <c:v>0.34327914207246124</c:v>
                </c:pt>
                <c:pt idx="1097">
                  <c:v>0.26002256541169544</c:v>
                </c:pt>
                <c:pt idx="1098">
                  <c:v>-8.2213713533493831</c:v>
                </c:pt>
                <c:pt idx="1099">
                  <c:v>-2.6004420741753265</c:v>
                </c:pt>
                <c:pt idx="1100">
                  <c:v>-8.1812845066708917</c:v>
                </c:pt>
                <c:pt idx="1101">
                  <c:v>-7.211242074175324</c:v>
                </c:pt>
                <c:pt idx="1102">
                  <c:v>-5.6036562183405145</c:v>
                </c:pt>
                <c:pt idx="1103">
                  <c:v>-7.211242074175324</c:v>
                </c:pt>
                <c:pt idx="1104">
                  <c:v>-5.6036562183405145</c:v>
                </c:pt>
                <c:pt idx="1105">
                  <c:v>-6.3531562183405157</c:v>
                </c:pt>
                <c:pt idx="1106">
                  <c:v>-4.4711410833316556</c:v>
                </c:pt>
              </c:numCache>
            </c:numRef>
          </c:yVal>
          <c:smooth val="0"/>
          <c:extLst>
            <c:ext xmlns:c16="http://schemas.microsoft.com/office/drawing/2014/chart" uri="{C3380CC4-5D6E-409C-BE32-E72D297353CC}">
              <c16:uniqueId val="{00000000-4ACD-4F8F-BE26-F8C07C826AAA}"/>
            </c:ext>
          </c:extLst>
        </c:ser>
        <c:dLbls>
          <c:showLegendKey val="0"/>
          <c:showVal val="0"/>
          <c:showCatName val="0"/>
          <c:showSerName val="0"/>
          <c:showPercent val="0"/>
          <c:showBubbleSize val="0"/>
        </c:dLbls>
        <c:axId val="806977096"/>
        <c:axId val="806975456"/>
      </c:scatterChart>
      <c:valAx>
        <c:axId val="806977096"/>
        <c:scaling>
          <c:orientation val="minMax"/>
          <c:max val="112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6975456"/>
        <c:crosses val="autoZero"/>
        <c:crossBetween val="midCat"/>
        <c:majorUnit val="100"/>
      </c:valAx>
      <c:valAx>
        <c:axId val="80697545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69770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clusteredColumn" uniqueId="{41644D24-6CE5-4FFF-A5FB-95130D2588D4}" formatIdx="0">
          <cx:tx>
            <cx:txData>
              <cx:f>_xlchart.v1.0</cx:f>
              <cx:v>EngDispl</cx:v>
            </cx:txData>
          </cx:tx>
          <cx:dataLabels>
            <cx:visibility seriesName="0" categoryName="0" value="1"/>
          </cx:dataLabels>
          <cx:dataId val="0"/>
          <cx:layoutPr>
            <cx:binning intervalClosed="r"/>
          </cx:layoutPr>
        </cx:series>
      </cx:plotAreaRegion>
      <cx:axis id="0" hidden="1">
        <cx:catScaling gapWidth="0"/>
        <cx:tickLabels/>
      </cx:axis>
      <cx:axis id="1" hidden="1">
        <cx:valScaling/>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plotArea>
      <cx:plotAreaRegion>
        <cx:series layoutId="clusteredColumn" uniqueId="{7A928CFB-862C-4AD8-ADC3-A720741EA8E1}">
          <cx:tx>
            <cx:txData>
              <cx:f>_xlchart.v1.2</cx:f>
              <cx:v>Log10 (x)</cx:v>
            </cx:txData>
          </cx:tx>
          <cx:dataLabels>
            <cx:visibility seriesName="0" categoryName="0" value="1"/>
          </cx:dataLabels>
          <cx:dataId val="0"/>
          <cx:layoutPr>
            <cx:binning intervalClosed="r"/>
          </cx:layoutPr>
        </cx:series>
      </cx:plotAreaRegion>
      <cx:axis id="0" hidden="1">
        <cx:catScaling gapWidth="0"/>
        <cx:tickLabels/>
      </cx:axis>
      <cx:axis id="1" hidden="1">
        <cx:valScaling/>
        <cx:tickLabels/>
      </cx:axis>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microsoft.com/office/2014/relationships/chartEx" Target="../charts/chartEx2.xml"/><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219075</xdr:colOff>
      <xdr:row>11</xdr:row>
      <xdr:rowOff>38100</xdr:rowOff>
    </xdr:from>
    <xdr:to>
      <xdr:col>17</xdr:col>
      <xdr:colOff>381000</xdr:colOff>
      <xdr:row>25</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829925" y="2486025"/>
              <a:ext cx="4314825"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219075</xdr:colOff>
      <xdr:row>28</xdr:row>
      <xdr:rowOff>133350</xdr:rowOff>
    </xdr:from>
    <xdr:to>
      <xdr:col>17</xdr:col>
      <xdr:colOff>381000</xdr:colOff>
      <xdr:row>43</xdr:row>
      <xdr:rowOff>19050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829925" y="5819775"/>
              <a:ext cx="4314825"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28575</xdr:colOff>
          <xdr:row>0</xdr:row>
          <xdr:rowOff>28575</xdr:rowOff>
        </xdr:from>
        <xdr:to>
          <xdr:col>0</xdr:col>
          <xdr:colOff>819150</xdr:colOff>
          <xdr:row>0</xdr:row>
          <xdr:rowOff>361950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Q.4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419100</xdr:colOff>
          <xdr:row>0</xdr:row>
          <xdr:rowOff>28575</xdr:rowOff>
        </xdr:from>
        <xdr:to>
          <xdr:col>19</xdr:col>
          <xdr:colOff>9525</xdr:colOff>
          <xdr:row>0</xdr:row>
          <xdr:rowOff>361950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Q.1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21</xdr:col>
      <xdr:colOff>2265885</xdr:colOff>
      <xdr:row>11</xdr:row>
      <xdr:rowOff>179917</xdr:rowOff>
    </xdr:from>
    <xdr:to>
      <xdr:col>21</xdr:col>
      <xdr:colOff>2265885</xdr:colOff>
      <xdr:row>13</xdr:row>
      <xdr:rowOff>22225</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a:off x="21353985" y="2570692"/>
          <a:ext cx="0" cy="23283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2095500</xdr:colOff>
      <xdr:row>15</xdr:row>
      <xdr:rowOff>164042</xdr:rowOff>
    </xdr:from>
    <xdr:to>
      <xdr:col>21</xdr:col>
      <xdr:colOff>2282824</xdr:colOff>
      <xdr:row>17</xdr:row>
      <xdr:rowOff>9525</xdr:rowOff>
    </xdr:to>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flipH="1">
          <a:off x="21183600" y="3326342"/>
          <a:ext cx="187324" cy="22648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2346324</xdr:colOff>
      <xdr:row>15</xdr:row>
      <xdr:rowOff>167217</xdr:rowOff>
    </xdr:from>
    <xdr:to>
      <xdr:col>21</xdr:col>
      <xdr:colOff>2600325</xdr:colOff>
      <xdr:row>16</xdr:row>
      <xdr:rowOff>180975</xdr:rowOff>
    </xdr:to>
    <xdr:cxnSp macro="">
      <xdr:nvCxnSpPr>
        <xdr:cNvPr id="6" name="Straight Arrow Connector 5">
          <a:extLst>
            <a:ext uri="{FF2B5EF4-FFF2-40B4-BE49-F238E27FC236}">
              <a16:creationId xmlns:a16="http://schemas.microsoft.com/office/drawing/2014/main" id="{00000000-0008-0000-0200-000006000000}"/>
            </a:ext>
          </a:extLst>
        </xdr:cNvPr>
        <xdr:cNvCxnSpPr/>
      </xdr:nvCxnSpPr>
      <xdr:spPr>
        <a:xfrm>
          <a:off x="21434424" y="3329517"/>
          <a:ext cx="254001" cy="20425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2268004</xdr:colOff>
      <xdr:row>13</xdr:row>
      <xdr:rowOff>151345</xdr:rowOff>
    </xdr:from>
    <xdr:to>
      <xdr:col>21</xdr:col>
      <xdr:colOff>2268004</xdr:colOff>
      <xdr:row>15</xdr:row>
      <xdr:rowOff>3178</xdr:rowOff>
    </xdr:to>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21356104" y="2932645"/>
          <a:ext cx="0" cy="23283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2265885</xdr:colOff>
      <xdr:row>9</xdr:row>
      <xdr:rowOff>197910</xdr:rowOff>
    </xdr:from>
    <xdr:to>
      <xdr:col>21</xdr:col>
      <xdr:colOff>2265885</xdr:colOff>
      <xdr:row>11</xdr:row>
      <xdr:rowOff>21168</xdr:rowOff>
    </xdr:to>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a:off x="21353985" y="2169585"/>
          <a:ext cx="0" cy="24235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2259535</xdr:colOff>
      <xdr:row>8</xdr:row>
      <xdr:rowOff>26460</xdr:rowOff>
    </xdr:from>
    <xdr:to>
      <xdr:col>21</xdr:col>
      <xdr:colOff>2259535</xdr:colOff>
      <xdr:row>9</xdr:row>
      <xdr:rowOff>53977</xdr:rowOff>
    </xdr:to>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21347635" y="1807635"/>
          <a:ext cx="0" cy="2180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2524126</xdr:colOff>
      <xdr:row>5</xdr:row>
      <xdr:rowOff>95250</xdr:rowOff>
    </xdr:from>
    <xdr:to>
      <xdr:col>21</xdr:col>
      <xdr:colOff>4171950</xdr:colOff>
      <xdr:row>17</xdr:row>
      <xdr:rowOff>47625</xdr:rowOff>
    </xdr:to>
    <xdr:cxnSp macro="">
      <xdr:nvCxnSpPr>
        <xdr:cNvPr id="18" name="Straight Arrow Connector 17">
          <a:extLst>
            <a:ext uri="{FF2B5EF4-FFF2-40B4-BE49-F238E27FC236}">
              <a16:creationId xmlns:a16="http://schemas.microsoft.com/office/drawing/2014/main" id="{00000000-0008-0000-0200-000012000000}"/>
            </a:ext>
          </a:extLst>
        </xdr:cNvPr>
        <xdr:cNvCxnSpPr/>
      </xdr:nvCxnSpPr>
      <xdr:spPr>
        <a:xfrm flipH="1" flipV="1">
          <a:off x="21612226" y="1257300"/>
          <a:ext cx="1647824" cy="23336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2009775</xdr:colOff>
      <xdr:row>5</xdr:row>
      <xdr:rowOff>114300</xdr:rowOff>
    </xdr:from>
    <xdr:to>
      <xdr:col>21</xdr:col>
      <xdr:colOff>1638301</xdr:colOff>
      <xdr:row>16</xdr:row>
      <xdr:rowOff>152400</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flipH="1" flipV="1">
          <a:off x="18573750" y="1276350"/>
          <a:ext cx="2152651" cy="22288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11</xdr:row>
      <xdr:rowOff>9524</xdr:rowOff>
    </xdr:from>
    <xdr:to>
      <xdr:col>20</xdr:col>
      <xdr:colOff>2495552</xdr:colOff>
      <xdr:row>32</xdr:row>
      <xdr:rowOff>0</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100011</xdr:colOff>
      <xdr:row>33</xdr:row>
      <xdr:rowOff>0</xdr:rowOff>
    </xdr:from>
    <xdr:to>
      <xdr:col>20</xdr:col>
      <xdr:colOff>2505075</xdr:colOff>
      <xdr:row>53</xdr:row>
      <xdr:rowOff>176214</xdr:rowOff>
    </xdr:to>
    <xdr:graphicFrame macro="">
      <xdr:nvGraphicFramePr>
        <xdr:cNvPr id="14" name="Chart 13">
          <a:extLst>
            <a:ext uri="{FF2B5EF4-FFF2-40B4-BE49-F238E27FC236}">
              <a16:creationId xmlns:a16="http://schemas.microsoft.com/office/drawing/2014/main" id="{00000000-0008-0000-0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895350</xdr:colOff>
      <xdr:row>7</xdr:row>
      <xdr:rowOff>209550</xdr:rowOff>
    </xdr:from>
    <xdr:to>
      <xdr:col>24</xdr:col>
      <xdr:colOff>895350</xdr:colOff>
      <xdr:row>9</xdr:row>
      <xdr:rowOff>56092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26917650" y="1762125"/>
          <a:ext cx="0" cy="26564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895350</xdr:colOff>
      <xdr:row>9</xdr:row>
      <xdr:rowOff>219075</xdr:rowOff>
    </xdr:from>
    <xdr:to>
      <xdr:col>24</xdr:col>
      <xdr:colOff>895350</xdr:colOff>
      <xdr:row>11</xdr:row>
      <xdr:rowOff>8467</xdr:rowOff>
    </xdr:to>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a:off x="26917650" y="2190750"/>
          <a:ext cx="0" cy="2084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897591</xdr:colOff>
      <xdr:row>11</xdr:row>
      <xdr:rowOff>171450</xdr:rowOff>
    </xdr:from>
    <xdr:to>
      <xdr:col>24</xdr:col>
      <xdr:colOff>897591</xdr:colOff>
      <xdr:row>12</xdr:row>
      <xdr:rowOff>151342</xdr:rowOff>
    </xdr:to>
    <xdr:cxnSp macro="">
      <xdr:nvCxnSpPr>
        <xdr:cNvPr id="22" name="Straight Arrow Connector 21">
          <a:extLst>
            <a:ext uri="{FF2B5EF4-FFF2-40B4-BE49-F238E27FC236}">
              <a16:creationId xmlns:a16="http://schemas.microsoft.com/office/drawing/2014/main" id="{00000000-0008-0000-0200-000016000000}"/>
            </a:ext>
          </a:extLst>
        </xdr:cNvPr>
        <xdr:cNvCxnSpPr/>
      </xdr:nvCxnSpPr>
      <xdr:spPr>
        <a:xfrm>
          <a:off x="26919891" y="2562225"/>
          <a:ext cx="0" cy="2180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38100</xdr:colOff>
          <xdr:row>0</xdr:row>
          <xdr:rowOff>19050</xdr:rowOff>
        </xdr:from>
        <xdr:to>
          <xdr:col>1</xdr:col>
          <xdr:colOff>295275</xdr:colOff>
          <xdr:row>0</xdr:row>
          <xdr:rowOff>371475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Q.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552450</xdr:colOff>
          <xdr:row>0</xdr:row>
          <xdr:rowOff>19050</xdr:rowOff>
        </xdr:from>
        <xdr:to>
          <xdr:col>4</xdr:col>
          <xdr:colOff>85725</xdr:colOff>
          <xdr:row>0</xdr:row>
          <xdr:rowOff>371475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Q.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0</xdr:row>
          <xdr:rowOff>19050</xdr:rowOff>
        </xdr:from>
        <xdr:to>
          <xdr:col>17</xdr:col>
          <xdr:colOff>942975</xdr:colOff>
          <xdr:row>0</xdr:row>
          <xdr:rowOff>371475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Q.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552450</xdr:colOff>
          <xdr:row>0</xdr:row>
          <xdr:rowOff>19050</xdr:rowOff>
        </xdr:from>
        <xdr:to>
          <xdr:col>19</xdr:col>
          <xdr:colOff>95250</xdr:colOff>
          <xdr:row>0</xdr:row>
          <xdr:rowOff>371475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Q.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34</xdr:col>
          <xdr:colOff>38100</xdr:colOff>
          <xdr:row>0</xdr:row>
          <xdr:rowOff>0</xdr:rowOff>
        </xdr:from>
        <xdr:to>
          <xdr:col>35</xdr:col>
          <xdr:colOff>400050</xdr:colOff>
          <xdr:row>0</xdr:row>
          <xdr:rowOff>352425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Q.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504825</xdr:colOff>
          <xdr:row>1</xdr:row>
          <xdr:rowOff>47625</xdr:rowOff>
        </xdr:from>
        <xdr:to>
          <xdr:col>13</xdr:col>
          <xdr:colOff>295275</xdr:colOff>
          <xdr:row>2</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Randomize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76200</xdr:colOff>
          <xdr:row>1</xdr:row>
          <xdr:rowOff>38100</xdr:rowOff>
        </xdr:from>
        <xdr:to>
          <xdr:col>16</xdr:col>
          <xdr:colOff>371475</xdr:colOff>
          <xdr:row>2</xdr:row>
          <xdr:rowOff>85725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Values Only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8</xdr:col>
      <xdr:colOff>560255</xdr:colOff>
      <xdr:row>3</xdr:row>
      <xdr:rowOff>45912</xdr:rowOff>
    </xdr:from>
    <xdr:ext cx="1215329" cy="292131"/>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00000000-0008-0000-0400-000011000000}"/>
                </a:ext>
              </a:extLst>
            </xdr:cNvPr>
            <xdr:cNvSpPr txBox="1"/>
          </xdr:nvSpPr>
          <xdr:spPr>
            <a:xfrm>
              <a:off x="5160830" y="617412"/>
              <a:ext cx="1215329" cy="2921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900" i="1" baseline="0">
                            <a:latin typeface="Cambria Math" panose="02040503050406030204" pitchFamily="18" charset="0"/>
                          </a:rPr>
                        </m:ctrlPr>
                      </m:fPr>
                      <m:num>
                        <m:nary>
                          <m:naryPr>
                            <m:chr m:val="∑"/>
                            <m:grow m:val="on"/>
                            <m:subHide m:val="on"/>
                            <m:supHide m:val="on"/>
                            <m:ctrlPr>
                              <a:rPr lang="en-US" sz="900" i="1" baseline="0">
                                <a:latin typeface="Cambria Math" panose="02040503050406030204" pitchFamily="18" charset="0"/>
                              </a:rPr>
                            </m:ctrlPr>
                          </m:naryPr>
                          <m:sub/>
                          <m:sup/>
                          <m:e>
                            <m:d>
                              <m:dPr>
                                <m:ctrlPr>
                                  <a:rPr lang="en-US" sz="900" i="1" baseline="0">
                                    <a:latin typeface="Cambria Math" panose="02040503050406030204" pitchFamily="18" charset="0"/>
                                  </a:rPr>
                                </m:ctrlPr>
                              </m:dPr>
                              <m:e>
                                <m:sSub>
                                  <m:sSubPr>
                                    <m:ctrlPr>
                                      <a:rPr lang="en-US" sz="900" i="1" baseline="0">
                                        <a:latin typeface="Cambria Math" panose="02040503050406030204" pitchFamily="18" charset="0"/>
                                      </a:rPr>
                                    </m:ctrlPr>
                                  </m:sSubPr>
                                  <m:e>
                                    <m:r>
                                      <a:rPr lang="en-US" sz="900" i="1" baseline="0">
                                        <a:latin typeface="Cambria Math" panose="02040503050406030204" pitchFamily="18" charset="0"/>
                                      </a:rPr>
                                      <m:t>𝑥</m:t>
                                    </m:r>
                                  </m:e>
                                  <m:sub>
                                    <m:r>
                                      <a:rPr lang="en-US" sz="900" i="1" baseline="0">
                                        <a:latin typeface="Cambria Math" panose="02040503050406030204" pitchFamily="18" charset="0"/>
                                      </a:rPr>
                                      <m:t>𝑖</m:t>
                                    </m:r>
                                  </m:sub>
                                </m:sSub>
                                <m:r>
                                  <a:rPr lang="en-US" sz="900" i="0" baseline="0">
                                    <a:latin typeface="Cambria Math" panose="02040503050406030204" pitchFamily="18" charset="0"/>
                                  </a:rPr>
                                  <m:t>−</m:t>
                                </m:r>
                                <m:acc>
                                  <m:accPr>
                                    <m:chr m:val="̅"/>
                                    <m:ctrlPr>
                                      <a:rPr lang="en-US" sz="900" i="1" baseline="0">
                                        <a:latin typeface="Cambria Math" panose="02040503050406030204" pitchFamily="18" charset="0"/>
                                      </a:rPr>
                                    </m:ctrlPr>
                                  </m:accPr>
                                  <m:e>
                                    <m:r>
                                      <a:rPr lang="en-US" sz="900" i="1" baseline="0">
                                        <a:latin typeface="Cambria Math" panose="02040503050406030204" pitchFamily="18" charset="0"/>
                                      </a:rPr>
                                      <m:t>𝑥</m:t>
                                    </m:r>
                                  </m:e>
                                </m:acc>
                              </m:e>
                            </m:d>
                            <m:d>
                              <m:dPr>
                                <m:ctrlPr>
                                  <a:rPr lang="en-US" sz="900" i="1" baseline="0">
                                    <a:latin typeface="Cambria Math" panose="02040503050406030204" pitchFamily="18" charset="0"/>
                                  </a:rPr>
                                </m:ctrlPr>
                              </m:dPr>
                              <m:e>
                                <m:sSub>
                                  <m:sSubPr>
                                    <m:ctrlPr>
                                      <a:rPr lang="en-US" sz="900" i="1" baseline="0">
                                        <a:latin typeface="Cambria Math" panose="02040503050406030204" pitchFamily="18" charset="0"/>
                                      </a:rPr>
                                    </m:ctrlPr>
                                  </m:sSubPr>
                                  <m:e>
                                    <m:r>
                                      <a:rPr lang="en-US" sz="900" i="1" baseline="0">
                                        <a:latin typeface="Cambria Math" panose="02040503050406030204" pitchFamily="18" charset="0"/>
                                      </a:rPr>
                                      <m:t>𝑦</m:t>
                                    </m:r>
                                  </m:e>
                                  <m:sub>
                                    <m:r>
                                      <a:rPr lang="en-US" sz="900" i="1" baseline="0">
                                        <a:latin typeface="Cambria Math" panose="02040503050406030204" pitchFamily="18" charset="0"/>
                                      </a:rPr>
                                      <m:t>𝑖</m:t>
                                    </m:r>
                                  </m:sub>
                                </m:sSub>
                                <m:r>
                                  <a:rPr lang="en-US" sz="900" i="0" baseline="0">
                                    <a:latin typeface="Cambria Math" panose="02040503050406030204" pitchFamily="18" charset="0"/>
                                  </a:rPr>
                                  <m:t>−</m:t>
                                </m:r>
                                <m:acc>
                                  <m:accPr>
                                    <m:chr m:val="̅"/>
                                    <m:ctrlPr>
                                      <a:rPr lang="en-US" sz="900" i="1" baseline="0">
                                        <a:latin typeface="Cambria Math" panose="02040503050406030204" pitchFamily="18" charset="0"/>
                                      </a:rPr>
                                    </m:ctrlPr>
                                  </m:accPr>
                                  <m:e>
                                    <m:r>
                                      <a:rPr lang="en-US" sz="900" i="1" baseline="0">
                                        <a:latin typeface="Cambria Math" panose="02040503050406030204" pitchFamily="18" charset="0"/>
                                      </a:rPr>
                                      <m:t>𝑦</m:t>
                                    </m:r>
                                  </m:e>
                                </m:acc>
                              </m:e>
                            </m:d>
                          </m:e>
                        </m:nary>
                      </m:num>
                      <m:den>
                        <m:nary>
                          <m:naryPr>
                            <m:chr m:val="∑"/>
                            <m:grow m:val="on"/>
                            <m:subHide m:val="on"/>
                            <m:supHide m:val="on"/>
                            <m:ctrlPr>
                              <a:rPr lang="en-US" sz="900" i="1" baseline="0">
                                <a:latin typeface="Cambria Math" panose="02040503050406030204" pitchFamily="18" charset="0"/>
                              </a:rPr>
                            </m:ctrlPr>
                          </m:naryPr>
                          <m:sub/>
                          <m:sup/>
                          <m:e>
                            <m:sSup>
                              <m:sSupPr>
                                <m:ctrlPr>
                                  <a:rPr lang="en-US" sz="900" i="1" baseline="0">
                                    <a:latin typeface="Cambria Math" panose="02040503050406030204" pitchFamily="18" charset="0"/>
                                  </a:rPr>
                                </m:ctrlPr>
                              </m:sSupPr>
                              <m:e>
                                <m:d>
                                  <m:dPr>
                                    <m:ctrlPr>
                                      <a:rPr lang="en-US" sz="900" i="1" baseline="0">
                                        <a:latin typeface="Cambria Math" panose="02040503050406030204" pitchFamily="18" charset="0"/>
                                      </a:rPr>
                                    </m:ctrlPr>
                                  </m:dPr>
                                  <m:e>
                                    <m:sSub>
                                      <m:sSubPr>
                                        <m:ctrlPr>
                                          <a:rPr lang="en-US" sz="900" i="1" baseline="0">
                                            <a:latin typeface="Cambria Math" panose="02040503050406030204" pitchFamily="18" charset="0"/>
                                          </a:rPr>
                                        </m:ctrlPr>
                                      </m:sSubPr>
                                      <m:e>
                                        <m:r>
                                          <a:rPr lang="en-US" sz="900" i="1" baseline="0">
                                            <a:latin typeface="Cambria Math" panose="02040503050406030204" pitchFamily="18" charset="0"/>
                                          </a:rPr>
                                          <m:t>𝑥</m:t>
                                        </m:r>
                                      </m:e>
                                      <m:sub>
                                        <m:r>
                                          <a:rPr lang="en-US" sz="900" i="1" baseline="0">
                                            <a:latin typeface="Cambria Math" panose="02040503050406030204" pitchFamily="18" charset="0"/>
                                          </a:rPr>
                                          <m:t>𝑖</m:t>
                                        </m:r>
                                      </m:sub>
                                    </m:sSub>
                                    <m:r>
                                      <a:rPr lang="en-US" sz="900" i="0" baseline="0">
                                        <a:latin typeface="Cambria Math" panose="02040503050406030204" pitchFamily="18" charset="0"/>
                                      </a:rPr>
                                      <m:t>−</m:t>
                                    </m:r>
                                    <m:acc>
                                      <m:accPr>
                                        <m:chr m:val="̅"/>
                                        <m:ctrlPr>
                                          <a:rPr lang="en-US" sz="900" i="1" baseline="0">
                                            <a:latin typeface="Cambria Math" panose="02040503050406030204" pitchFamily="18" charset="0"/>
                                          </a:rPr>
                                        </m:ctrlPr>
                                      </m:accPr>
                                      <m:e>
                                        <m:r>
                                          <a:rPr lang="en-US" sz="900" i="1" baseline="0">
                                            <a:latin typeface="Cambria Math" panose="02040503050406030204" pitchFamily="18" charset="0"/>
                                          </a:rPr>
                                          <m:t>𝑥</m:t>
                                        </m:r>
                                      </m:e>
                                    </m:acc>
                                  </m:e>
                                </m:d>
                              </m:e>
                              <m:sup>
                                <m:r>
                                  <a:rPr lang="en-US" sz="900" i="0" baseline="0">
                                    <a:latin typeface="Cambria Math" panose="02040503050406030204" pitchFamily="18" charset="0"/>
                                  </a:rPr>
                                  <m:t>2</m:t>
                                </m:r>
                              </m:sup>
                            </m:sSup>
                          </m:e>
                        </m:nary>
                      </m:den>
                    </m:f>
                  </m:oMath>
                </m:oMathPara>
              </a14:m>
              <a:endParaRPr lang="en-US" sz="900" baseline="0">
                <a:latin typeface="MS Reference Specialty" panose="05000500000000000000" pitchFamily="2" charset="2"/>
                <a:cs typeface="BrowalliaUPC" panose="020B0604020202020204" pitchFamily="34" charset="-34"/>
              </a:endParaRPr>
            </a:p>
          </xdr:txBody>
        </xdr:sp>
      </mc:Choice>
      <mc:Fallback xmlns="">
        <xdr:sp macro="" textlink="">
          <xdr:nvSpPr>
            <xdr:cNvPr id="17" name="TextBox 16">
              <a:extLst>
                <a:ext uri="{FF2B5EF4-FFF2-40B4-BE49-F238E27FC236}">
                  <a16:creationId xmlns:a16="http://schemas.microsoft.com/office/drawing/2014/main" id="{95EF66AA-6778-4386-85D2-A46986A1592B}"/>
                </a:ext>
              </a:extLst>
            </xdr:cNvPr>
            <xdr:cNvSpPr txBox="1"/>
          </xdr:nvSpPr>
          <xdr:spPr>
            <a:xfrm>
              <a:off x="5160830" y="617412"/>
              <a:ext cx="1215329" cy="2921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900" i="0" baseline="0">
                  <a:latin typeface="Cambria Math" panose="02040503050406030204" pitchFamily="18" charset="0"/>
                </a:rPr>
                <a:t>(∑128▒(𝑥_𝑖−𝑥 ̅ )(𝑦_𝑖−𝑦 ̅ ) )/(∑128▒(𝑥_𝑖−𝑥 ̅ )^2 )</a:t>
              </a:r>
              <a:endParaRPr lang="en-US" sz="900" baseline="0">
                <a:latin typeface="MS Reference Specialty" panose="05000500000000000000" pitchFamily="2" charset="2"/>
                <a:cs typeface="BrowalliaUPC" panose="020B0604020202020204" pitchFamily="34" charset="-34"/>
              </a:endParaRPr>
            </a:p>
          </xdr:txBody>
        </xdr:sp>
      </mc:Fallback>
    </mc:AlternateContent>
    <xdr:clientData/>
  </xdr:oneCellAnchor>
  <xdr:twoCellAnchor>
    <xdr:from>
      <xdr:col>19</xdr:col>
      <xdr:colOff>370410</xdr:colOff>
      <xdr:row>12</xdr:row>
      <xdr:rowOff>179917</xdr:rowOff>
    </xdr:from>
    <xdr:to>
      <xdr:col>19</xdr:col>
      <xdr:colOff>370410</xdr:colOff>
      <xdr:row>14</xdr:row>
      <xdr:rowOff>31750</xdr:rowOff>
    </xdr:to>
    <xdr:cxnSp macro="">
      <xdr:nvCxnSpPr>
        <xdr:cNvPr id="18" name="Straight Arrow Connector 17">
          <a:extLst>
            <a:ext uri="{FF2B5EF4-FFF2-40B4-BE49-F238E27FC236}">
              <a16:creationId xmlns:a16="http://schemas.microsoft.com/office/drawing/2014/main" id="{00000000-0008-0000-0400-000012000000}"/>
            </a:ext>
          </a:extLst>
        </xdr:cNvPr>
        <xdr:cNvCxnSpPr/>
      </xdr:nvCxnSpPr>
      <xdr:spPr>
        <a:xfrm>
          <a:off x="16924860" y="2761192"/>
          <a:ext cx="0" cy="23283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1344083</xdr:colOff>
      <xdr:row>16</xdr:row>
      <xdr:rowOff>173567</xdr:rowOff>
    </xdr:from>
    <xdr:to>
      <xdr:col>19</xdr:col>
      <xdr:colOff>215899</xdr:colOff>
      <xdr:row>17</xdr:row>
      <xdr:rowOff>179917</xdr:rowOff>
    </xdr:to>
    <xdr:cxnSp macro="">
      <xdr:nvCxnSpPr>
        <xdr:cNvPr id="19" name="Straight Arrow Connector 18">
          <a:extLst>
            <a:ext uri="{FF2B5EF4-FFF2-40B4-BE49-F238E27FC236}">
              <a16:creationId xmlns:a16="http://schemas.microsoft.com/office/drawing/2014/main" id="{00000000-0008-0000-0400-000013000000}"/>
            </a:ext>
          </a:extLst>
        </xdr:cNvPr>
        <xdr:cNvCxnSpPr/>
      </xdr:nvCxnSpPr>
      <xdr:spPr>
        <a:xfrm flipH="1">
          <a:off x="16107833" y="3516842"/>
          <a:ext cx="662516" cy="1968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527049</xdr:colOff>
      <xdr:row>16</xdr:row>
      <xdr:rowOff>167217</xdr:rowOff>
    </xdr:from>
    <xdr:to>
      <xdr:col>19</xdr:col>
      <xdr:colOff>1322917</xdr:colOff>
      <xdr:row>17</xdr:row>
      <xdr:rowOff>179917</xdr:rowOff>
    </xdr:to>
    <xdr:cxnSp macro="">
      <xdr:nvCxnSpPr>
        <xdr:cNvPr id="20" name="Straight Arrow Connector 19">
          <a:extLst>
            <a:ext uri="{FF2B5EF4-FFF2-40B4-BE49-F238E27FC236}">
              <a16:creationId xmlns:a16="http://schemas.microsoft.com/office/drawing/2014/main" id="{00000000-0008-0000-0400-000014000000}"/>
            </a:ext>
          </a:extLst>
        </xdr:cNvPr>
        <xdr:cNvCxnSpPr/>
      </xdr:nvCxnSpPr>
      <xdr:spPr>
        <a:xfrm>
          <a:off x="17081499" y="3510492"/>
          <a:ext cx="795868" cy="2032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372529</xdr:colOff>
      <xdr:row>14</xdr:row>
      <xdr:rowOff>160870</xdr:rowOff>
    </xdr:from>
    <xdr:to>
      <xdr:col>19</xdr:col>
      <xdr:colOff>372529</xdr:colOff>
      <xdr:row>16</xdr:row>
      <xdr:rowOff>12703</xdr:rowOff>
    </xdr:to>
    <xdr:cxnSp macro="">
      <xdr:nvCxnSpPr>
        <xdr:cNvPr id="21" name="Straight Arrow Connector 20">
          <a:extLst>
            <a:ext uri="{FF2B5EF4-FFF2-40B4-BE49-F238E27FC236}">
              <a16:creationId xmlns:a16="http://schemas.microsoft.com/office/drawing/2014/main" id="{00000000-0008-0000-0400-000015000000}"/>
            </a:ext>
          </a:extLst>
        </xdr:cNvPr>
        <xdr:cNvCxnSpPr/>
      </xdr:nvCxnSpPr>
      <xdr:spPr>
        <a:xfrm>
          <a:off x="16926979" y="3123145"/>
          <a:ext cx="0" cy="23283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370410</xdr:colOff>
      <xdr:row>10</xdr:row>
      <xdr:rowOff>169335</xdr:rowOff>
    </xdr:from>
    <xdr:to>
      <xdr:col>19</xdr:col>
      <xdr:colOff>370410</xdr:colOff>
      <xdr:row>12</xdr:row>
      <xdr:rowOff>21168</xdr:rowOff>
    </xdr:to>
    <xdr:cxnSp macro="">
      <xdr:nvCxnSpPr>
        <xdr:cNvPr id="22" name="Straight Arrow Connector 21">
          <a:extLst>
            <a:ext uri="{FF2B5EF4-FFF2-40B4-BE49-F238E27FC236}">
              <a16:creationId xmlns:a16="http://schemas.microsoft.com/office/drawing/2014/main" id="{00000000-0008-0000-0400-000016000000}"/>
            </a:ext>
          </a:extLst>
        </xdr:cNvPr>
        <xdr:cNvCxnSpPr/>
      </xdr:nvCxnSpPr>
      <xdr:spPr>
        <a:xfrm>
          <a:off x="16924860" y="2321985"/>
          <a:ext cx="0" cy="28045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364060</xdr:colOff>
      <xdr:row>8</xdr:row>
      <xdr:rowOff>226485</xdr:rowOff>
    </xdr:from>
    <xdr:to>
      <xdr:col>19</xdr:col>
      <xdr:colOff>364060</xdr:colOff>
      <xdr:row>10</xdr:row>
      <xdr:rowOff>25402</xdr:rowOff>
    </xdr:to>
    <xdr:cxnSp macro="">
      <xdr:nvCxnSpPr>
        <xdr:cNvPr id="23" name="Straight Arrow Connector 22">
          <a:extLst>
            <a:ext uri="{FF2B5EF4-FFF2-40B4-BE49-F238E27FC236}">
              <a16:creationId xmlns:a16="http://schemas.microsoft.com/office/drawing/2014/main" id="{00000000-0008-0000-0400-000017000000}"/>
            </a:ext>
          </a:extLst>
        </xdr:cNvPr>
        <xdr:cNvCxnSpPr/>
      </xdr:nvCxnSpPr>
      <xdr:spPr>
        <a:xfrm>
          <a:off x="16918510" y="1960035"/>
          <a:ext cx="0" cy="2180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2266950</xdr:colOff>
      <xdr:row>9</xdr:row>
      <xdr:rowOff>0</xdr:rowOff>
    </xdr:from>
    <xdr:to>
      <xdr:col>20</xdr:col>
      <xdr:colOff>2266950</xdr:colOff>
      <xdr:row>10</xdr:row>
      <xdr:rowOff>27517</xdr:rowOff>
    </xdr:to>
    <xdr:cxnSp macro="">
      <xdr:nvCxnSpPr>
        <xdr:cNvPr id="24" name="Straight Arrow Connector 23">
          <a:extLst>
            <a:ext uri="{FF2B5EF4-FFF2-40B4-BE49-F238E27FC236}">
              <a16:creationId xmlns:a16="http://schemas.microsoft.com/office/drawing/2014/main" id="{00000000-0008-0000-0400-000018000000}"/>
            </a:ext>
          </a:extLst>
        </xdr:cNvPr>
        <xdr:cNvCxnSpPr/>
      </xdr:nvCxnSpPr>
      <xdr:spPr>
        <a:xfrm>
          <a:off x="21345525" y="1962150"/>
          <a:ext cx="0" cy="2180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2276475</xdr:colOff>
      <xdr:row>10</xdr:row>
      <xdr:rowOff>190500</xdr:rowOff>
    </xdr:from>
    <xdr:to>
      <xdr:col>20</xdr:col>
      <xdr:colOff>2276475</xdr:colOff>
      <xdr:row>12</xdr:row>
      <xdr:rowOff>17992</xdr:rowOff>
    </xdr:to>
    <xdr:cxnSp macro="">
      <xdr:nvCxnSpPr>
        <xdr:cNvPr id="25" name="Straight Arrow Connector 24">
          <a:extLst>
            <a:ext uri="{FF2B5EF4-FFF2-40B4-BE49-F238E27FC236}">
              <a16:creationId xmlns:a16="http://schemas.microsoft.com/office/drawing/2014/main" id="{00000000-0008-0000-0400-000019000000}"/>
            </a:ext>
          </a:extLst>
        </xdr:cNvPr>
        <xdr:cNvCxnSpPr/>
      </xdr:nvCxnSpPr>
      <xdr:spPr>
        <a:xfrm>
          <a:off x="21355050" y="2343150"/>
          <a:ext cx="0" cy="2561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2278716</xdr:colOff>
      <xdr:row>12</xdr:row>
      <xdr:rowOff>180975</xdr:rowOff>
    </xdr:from>
    <xdr:to>
      <xdr:col>20</xdr:col>
      <xdr:colOff>2278716</xdr:colOff>
      <xdr:row>14</xdr:row>
      <xdr:rowOff>17992</xdr:rowOff>
    </xdr:to>
    <xdr:cxnSp macro="">
      <xdr:nvCxnSpPr>
        <xdr:cNvPr id="26" name="Straight Arrow Connector 25">
          <a:extLst>
            <a:ext uri="{FF2B5EF4-FFF2-40B4-BE49-F238E27FC236}">
              <a16:creationId xmlns:a16="http://schemas.microsoft.com/office/drawing/2014/main" id="{00000000-0008-0000-0400-00001A000000}"/>
            </a:ext>
          </a:extLst>
        </xdr:cNvPr>
        <xdr:cNvCxnSpPr/>
      </xdr:nvCxnSpPr>
      <xdr:spPr>
        <a:xfrm>
          <a:off x="21357291" y="2762250"/>
          <a:ext cx="0" cy="2180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352425</xdr:colOff>
      <xdr:row>0</xdr:row>
      <xdr:rowOff>19050</xdr:rowOff>
    </xdr:from>
    <xdr:to>
      <xdr:col>21</xdr:col>
      <xdr:colOff>1676585</xdr:colOff>
      <xdr:row>1</xdr:row>
      <xdr:rowOff>28632</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012525" y="19050"/>
          <a:ext cx="1324160" cy="409632"/>
        </a:xfrm>
        <a:prstGeom prst="rect">
          <a:avLst/>
        </a:prstGeom>
      </xdr:spPr>
    </xdr:pic>
    <xdr:clientData/>
  </xdr:twoCellAnchor>
  <xdr:twoCellAnchor>
    <xdr:from>
      <xdr:col>20</xdr:col>
      <xdr:colOff>2524125</xdr:colOff>
      <xdr:row>4</xdr:row>
      <xdr:rowOff>104776</xdr:rowOff>
    </xdr:from>
    <xdr:to>
      <xdr:col>21</xdr:col>
      <xdr:colOff>180975</xdr:colOff>
      <xdr:row>14</xdr:row>
      <xdr:rowOff>142875</xdr:rowOff>
    </xdr:to>
    <xdr:cxnSp macro="">
      <xdr:nvCxnSpPr>
        <xdr:cNvPr id="28" name="Straight Arrow Connector 27">
          <a:extLst>
            <a:ext uri="{FF2B5EF4-FFF2-40B4-BE49-F238E27FC236}">
              <a16:creationId xmlns:a16="http://schemas.microsoft.com/office/drawing/2014/main" id="{00000000-0008-0000-0400-00001C000000}"/>
            </a:ext>
          </a:extLst>
        </xdr:cNvPr>
        <xdr:cNvCxnSpPr/>
      </xdr:nvCxnSpPr>
      <xdr:spPr>
        <a:xfrm flipV="1">
          <a:off x="21602700" y="1066801"/>
          <a:ext cx="2238375" cy="203834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2505075</xdr:colOff>
      <xdr:row>4</xdr:row>
      <xdr:rowOff>85726</xdr:rowOff>
    </xdr:from>
    <xdr:to>
      <xdr:col>20</xdr:col>
      <xdr:colOff>1714500</xdr:colOff>
      <xdr:row>18</xdr:row>
      <xdr:rowOff>28575</xdr:rowOff>
    </xdr:to>
    <xdr:cxnSp macro="">
      <xdr:nvCxnSpPr>
        <xdr:cNvPr id="29" name="Straight Arrow Connector 28">
          <a:extLst>
            <a:ext uri="{FF2B5EF4-FFF2-40B4-BE49-F238E27FC236}">
              <a16:creationId xmlns:a16="http://schemas.microsoft.com/office/drawing/2014/main" id="{00000000-0008-0000-0400-00001D000000}"/>
            </a:ext>
          </a:extLst>
        </xdr:cNvPr>
        <xdr:cNvCxnSpPr/>
      </xdr:nvCxnSpPr>
      <xdr:spPr>
        <a:xfrm flipV="1">
          <a:off x="19059525" y="1047751"/>
          <a:ext cx="1733550" cy="27050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609600</xdr:colOff>
      <xdr:row>4</xdr:row>
      <xdr:rowOff>133350</xdr:rowOff>
    </xdr:from>
    <xdr:to>
      <xdr:col>19</xdr:col>
      <xdr:colOff>209550</xdr:colOff>
      <xdr:row>18</xdr:row>
      <xdr:rowOff>19050</xdr:rowOff>
    </xdr:to>
    <xdr:cxnSp macro="">
      <xdr:nvCxnSpPr>
        <xdr:cNvPr id="30" name="Straight Arrow Connector 29">
          <a:extLst>
            <a:ext uri="{FF2B5EF4-FFF2-40B4-BE49-F238E27FC236}">
              <a16:creationId xmlns:a16="http://schemas.microsoft.com/office/drawing/2014/main" id="{00000000-0008-0000-0400-00001E000000}"/>
            </a:ext>
          </a:extLst>
        </xdr:cNvPr>
        <xdr:cNvCxnSpPr/>
      </xdr:nvCxnSpPr>
      <xdr:spPr>
        <a:xfrm flipV="1">
          <a:off x="15373350" y="1095375"/>
          <a:ext cx="1390650" cy="26479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oneCellAnchor>
    <xdr:from>
      <xdr:col>8</xdr:col>
      <xdr:colOff>560255</xdr:colOff>
      <xdr:row>3</xdr:row>
      <xdr:rowOff>45912</xdr:rowOff>
    </xdr:from>
    <xdr:ext cx="1215329" cy="292131"/>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265605" y="617412"/>
              <a:ext cx="1215329" cy="2921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900" i="1" baseline="0">
                            <a:latin typeface="Cambria Math" panose="02040503050406030204" pitchFamily="18" charset="0"/>
                          </a:rPr>
                        </m:ctrlPr>
                      </m:fPr>
                      <m:num>
                        <m:nary>
                          <m:naryPr>
                            <m:chr m:val="∑"/>
                            <m:grow m:val="on"/>
                            <m:subHide m:val="on"/>
                            <m:supHide m:val="on"/>
                            <m:ctrlPr>
                              <a:rPr lang="en-US" sz="900" i="1" baseline="0">
                                <a:latin typeface="Cambria Math" panose="02040503050406030204" pitchFamily="18" charset="0"/>
                              </a:rPr>
                            </m:ctrlPr>
                          </m:naryPr>
                          <m:sub/>
                          <m:sup/>
                          <m:e>
                            <m:d>
                              <m:dPr>
                                <m:ctrlPr>
                                  <a:rPr lang="en-US" sz="900" i="1" baseline="0">
                                    <a:latin typeface="Cambria Math" panose="02040503050406030204" pitchFamily="18" charset="0"/>
                                  </a:rPr>
                                </m:ctrlPr>
                              </m:dPr>
                              <m:e>
                                <m:sSub>
                                  <m:sSubPr>
                                    <m:ctrlPr>
                                      <a:rPr lang="en-US" sz="900" i="1" baseline="0">
                                        <a:latin typeface="Cambria Math" panose="02040503050406030204" pitchFamily="18" charset="0"/>
                                      </a:rPr>
                                    </m:ctrlPr>
                                  </m:sSubPr>
                                  <m:e>
                                    <m:r>
                                      <a:rPr lang="en-US" sz="900" i="1" baseline="0">
                                        <a:latin typeface="Cambria Math" panose="02040503050406030204" pitchFamily="18" charset="0"/>
                                      </a:rPr>
                                      <m:t>𝑥</m:t>
                                    </m:r>
                                  </m:e>
                                  <m:sub>
                                    <m:r>
                                      <a:rPr lang="en-US" sz="900" i="1" baseline="0">
                                        <a:latin typeface="Cambria Math" panose="02040503050406030204" pitchFamily="18" charset="0"/>
                                      </a:rPr>
                                      <m:t>𝑖</m:t>
                                    </m:r>
                                  </m:sub>
                                </m:sSub>
                                <m:r>
                                  <a:rPr lang="en-US" sz="900" i="0" baseline="0">
                                    <a:latin typeface="Cambria Math" panose="02040503050406030204" pitchFamily="18" charset="0"/>
                                  </a:rPr>
                                  <m:t>−</m:t>
                                </m:r>
                                <m:acc>
                                  <m:accPr>
                                    <m:chr m:val="̅"/>
                                    <m:ctrlPr>
                                      <a:rPr lang="en-US" sz="900" i="1" baseline="0">
                                        <a:latin typeface="Cambria Math" panose="02040503050406030204" pitchFamily="18" charset="0"/>
                                      </a:rPr>
                                    </m:ctrlPr>
                                  </m:accPr>
                                  <m:e>
                                    <m:r>
                                      <a:rPr lang="en-US" sz="900" i="1" baseline="0">
                                        <a:latin typeface="Cambria Math" panose="02040503050406030204" pitchFamily="18" charset="0"/>
                                      </a:rPr>
                                      <m:t>𝑥</m:t>
                                    </m:r>
                                  </m:e>
                                </m:acc>
                              </m:e>
                            </m:d>
                            <m:d>
                              <m:dPr>
                                <m:ctrlPr>
                                  <a:rPr lang="en-US" sz="900" i="1" baseline="0">
                                    <a:latin typeface="Cambria Math" panose="02040503050406030204" pitchFamily="18" charset="0"/>
                                  </a:rPr>
                                </m:ctrlPr>
                              </m:dPr>
                              <m:e>
                                <m:sSub>
                                  <m:sSubPr>
                                    <m:ctrlPr>
                                      <a:rPr lang="en-US" sz="900" i="1" baseline="0">
                                        <a:latin typeface="Cambria Math" panose="02040503050406030204" pitchFamily="18" charset="0"/>
                                      </a:rPr>
                                    </m:ctrlPr>
                                  </m:sSubPr>
                                  <m:e>
                                    <m:r>
                                      <a:rPr lang="en-US" sz="900" i="1" baseline="0">
                                        <a:latin typeface="Cambria Math" panose="02040503050406030204" pitchFamily="18" charset="0"/>
                                      </a:rPr>
                                      <m:t>𝑦</m:t>
                                    </m:r>
                                  </m:e>
                                  <m:sub>
                                    <m:r>
                                      <a:rPr lang="en-US" sz="900" i="1" baseline="0">
                                        <a:latin typeface="Cambria Math" panose="02040503050406030204" pitchFamily="18" charset="0"/>
                                      </a:rPr>
                                      <m:t>𝑖</m:t>
                                    </m:r>
                                  </m:sub>
                                </m:sSub>
                                <m:r>
                                  <a:rPr lang="en-US" sz="900" i="0" baseline="0">
                                    <a:latin typeface="Cambria Math" panose="02040503050406030204" pitchFamily="18" charset="0"/>
                                  </a:rPr>
                                  <m:t>−</m:t>
                                </m:r>
                                <m:acc>
                                  <m:accPr>
                                    <m:chr m:val="̅"/>
                                    <m:ctrlPr>
                                      <a:rPr lang="en-US" sz="900" i="1" baseline="0">
                                        <a:latin typeface="Cambria Math" panose="02040503050406030204" pitchFamily="18" charset="0"/>
                                      </a:rPr>
                                    </m:ctrlPr>
                                  </m:accPr>
                                  <m:e>
                                    <m:r>
                                      <a:rPr lang="en-US" sz="900" i="1" baseline="0">
                                        <a:latin typeface="Cambria Math" panose="02040503050406030204" pitchFamily="18" charset="0"/>
                                      </a:rPr>
                                      <m:t>𝑦</m:t>
                                    </m:r>
                                  </m:e>
                                </m:acc>
                              </m:e>
                            </m:d>
                          </m:e>
                        </m:nary>
                      </m:num>
                      <m:den>
                        <m:nary>
                          <m:naryPr>
                            <m:chr m:val="∑"/>
                            <m:grow m:val="on"/>
                            <m:subHide m:val="on"/>
                            <m:supHide m:val="on"/>
                            <m:ctrlPr>
                              <a:rPr lang="en-US" sz="900" i="1" baseline="0">
                                <a:latin typeface="Cambria Math" panose="02040503050406030204" pitchFamily="18" charset="0"/>
                              </a:rPr>
                            </m:ctrlPr>
                          </m:naryPr>
                          <m:sub/>
                          <m:sup/>
                          <m:e>
                            <m:sSup>
                              <m:sSupPr>
                                <m:ctrlPr>
                                  <a:rPr lang="en-US" sz="900" i="1" baseline="0">
                                    <a:latin typeface="Cambria Math" panose="02040503050406030204" pitchFamily="18" charset="0"/>
                                  </a:rPr>
                                </m:ctrlPr>
                              </m:sSupPr>
                              <m:e>
                                <m:d>
                                  <m:dPr>
                                    <m:ctrlPr>
                                      <a:rPr lang="en-US" sz="900" i="1" baseline="0">
                                        <a:latin typeface="Cambria Math" panose="02040503050406030204" pitchFamily="18" charset="0"/>
                                      </a:rPr>
                                    </m:ctrlPr>
                                  </m:dPr>
                                  <m:e>
                                    <m:sSub>
                                      <m:sSubPr>
                                        <m:ctrlPr>
                                          <a:rPr lang="en-US" sz="900" i="1" baseline="0">
                                            <a:latin typeface="Cambria Math" panose="02040503050406030204" pitchFamily="18" charset="0"/>
                                          </a:rPr>
                                        </m:ctrlPr>
                                      </m:sSubPr>
                                      <m:e>
                                        <m:r>
                                          <a:rPr lang="en-US" sz="900" i="1" baseline="0">
                                            <a:latin typeface="Cambria Math" panose="02040503050406030204" pitchFamily="18" charset="0"/>
                                          </a:rPr>
                                          <m:t>𝑥</m:t>
                                        </m:r>
                                      </m:e>
                                      <m:sub>
                                        <m:r>
                                          <a:rPr lang="en-US" sz="900" i="1" baseline="0">
                                            <a:latin typeface="Cambria Math" panose="02040503050406030204" pitchFamily="18" charset="0"/>
                                          </a:rPr>
                                          <m:t>𝑖</m:t>
                                        </m:r>
                                      </m:sub>
                                    </m:sSub>
                                    <m:r>
                                      <a:rPr lang="en-US" sz="900" i="0" baseline="0">
                                        <a:latin typeface="Cambria Math" panose="02040503050406030204" pitchFamily="18" charset="0"/>
                                      </a:rPr>
                                      <m:t>−</m:t>
                                    </m:r>
                                    <m:acc>
                                      <m:accPr>
                                        <m:chr m:val="̅"/>
                                        <m:ctrlPr>
                                          <a:rPr lang="en-US" sz="900" i="1" baseline="0">
                                            <a:latin typeface="Cambria Math" panose="02040503050406030204" pitchFamily="18" charset="0"/>
                                          </a:rPr>
                                        </m:ctrlPr>
                                      </m:accPr>
                                      <m:e>
                                        <m:r>
                                          <a:rPr lang="en-US" sz="900" i="1" baseline="0">
                                            <a:latin typeface="Cambria Math" panose="02040503050406030204" pitchFamily="18" charset="0"/>
                                          </a:rPr>
                                          <m:t>𝑥</m:t>
                                        </m:r>
                                      </m:e>
                                    </m:acc>
                                  </m:e>
                                </m:d>
                              </m:e>
                              <m:sup>
                                <m:r>
                                  <a:rPr lang="en-US" sz="900" i="0" baseline="0">
                                    <a:latin typeface="Cambria Math" panose="02040503050406030204" pitchFamily="18" charset="0"/>
                                  </a:rPr>
                                  <m:t>2</m:t>
                                </m:r>
                              </m:sup>
                            </m:sSup>
                          </m:e>
                        </m:nary>
                      </m:den>
                    </m:f>
                  </m:oMath>
                </m:oMathPara>
              </a14:m>
              <a:endParaRPr lang="en-US" sz="900" baseline="0">
                <a:latin typeface="MS Reference Specialty" panose="05000500000000000000" pitchFamily="2" charset="2"/>
                <a:cs typeface="BrowalliaUPC" panose="020B0604020202020204" pitchFamily="34" charset="-34"/>
              </a:endParaRPr>
            </a:p>
          </xdr:txBody>
        </xdr:sp>
      </mc:Choice>
      <mc:Fallback xmlns="">
        <xdr:sp macro="" textlink="">
          <xdr:nvSpPr>
            <xdr:cNvPr id="2" name="TextBox 1">
              <a:extLst>
                <a:ext uri="{FF2B5EF4-FFF2-40B4-BE49-F238E27FC236}">
                  <a16:creationId xmlns:a16="http://schemas.microsoft.com/office/drawing/2014/main" id="{A6A2458D-1F98-4BC9-B91B-8999D791E008}"/>
                </a:ext>
              </a:extLst>
            </xdr:cNvPr>
            <xdr:cNvSpPr txBox="1"/>
          </xdr:nvSpPr>
          <xdr:spPr>
            <a:xfrm>
              <a:off x="5265605" y="617412"/>
              <a:ext cx="1215329" cy="2921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900" i="0" baseline="0">
                  <a:latin typeface="Cambria Math" panose="02040503050406030204" pitchFamily="18" charset="0"/>
                </a:rPr>
                <a:t>(∑128▒(𝑥_𝑖−𝑥 ̅ )(𝑦_𝑖−𝑦 ̅ ) )/(∑128▒(𝑥_𝑖−𝑥 ̅ )^2 )</a:t>
              </a:r>
              <a:endParaRPr lang="en-US" sz="900" baseline="0">
                <a:latin typeface="MS Reference Specialty" panose="05000500000000000000" pitchFamily="2" charset="2"/>
                <a:cs typeface="BrowalliaUPC" panose="020B0604020202020204" pitchFamily="34" charset="-34"/>
              </a:endParaRPr>
            </a:p>
          </xdr:txBody>
        </xdr:sp>
      </mc:Fallback>
    </mc:AlternateContent>
    <xdr:clientData/>
  </xdr:oneCellAnchor>
  <xdr:twoCellAnchor>
    <xdr:from>
      <xdr:col>19</xdr:col>
      <xdr:colOff>370410</xdr:colOff>
      <xdr:row>12</xdr:row>
      <xdr:rowOff>179917</xdr:rowOff>
    </xdr:from>
    <xdr:to>
      <xdr:col>19</xdr:col>
      <xdr:colOff>370410</xdr:colOff>
      <xdr:row>14</xdr:row>
      <xdr:rowOff>31750</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a:off x="15238935" y="2761192"/>
          <a:ext cx="0" cy="23283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1344083</xdr:colOff>
      <xdr:row>16</xdr:row>
      <xdr:rowOff>173567</xdr:rowOff>
    </xdr:from>
    <xdr:to>
      <xdr:col>19</xdr:col>
      <xdr:colOff>215899</xdr:colOff>
      <xdr:row>17</xdr:row>
      <xdr:rowOff>179917</xdr:rowOff>
    </xdr:to>
    <xdr:cxnSp macro="">
      <xdr:nvCxnSpPr>
        <xdr:cNvPr id="4" name="Straight Arrow Connector 3">
          <a:extLst>
            <a:ext uri="{FF2B5EF4-FFF2-40B4-BE49-F238E27FC236}">
              <a16:creationId xmlns:a16="http://schemas.microsoft.com/office/drawing/2014/main" id="{00000000-0008-0000-0500-000004000000}"/>
            </a:ext>
          </a:extLst>
        </xdr:cNvPr>
        <xdr:cNvCxnSpPr/>
      </xdr:nvCxnSpPr>
      <xdr:spPr>
        <a:xfrm flipH="1">
          <a:off x="14421908" y="3516842"/>
          <a:ext cx="662516" cy="1968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527049</xdr:colOff>
      <xdr:row>16</xdr:row>
      <xdr:rowOff>167217</xdr:rowOff>
    </xdr:from>
    <xdr:to>
      <xdr:col>19</xdr:col>
      <xdr:colOff>1322917</xdr:colOff>
      <xdr:row>17</xdr:row>
      <xdr:rowOff>179917</xdr:rowOff>
    </xdr:to>
    <xdr:cxnSp macro="">
      <xdr:nvCxnSpPr>
        <xdr:cNvPr id="5" name="Straight Arrow Connector 4">
          <a:extLst>
            <a:ext uri="{FF2B5EF4-FFF2-40B4-BE49-F238E27FC236}">
              <a16:creationId xmlns:a16="http://schemas.microsoft.com/office/drawing/2014/main" id="{00000000-0008-0000-0500-000005000000}"/>
            </a:ext>
          </a:extLst>
        </xdr:cNvPr>
        <xdr:cNvCxnSpPr/>
      </xdr:nvCxnSpPr>
      <xdr:spPr>
        <a:xfrm>
          <a:off x="15395574" y="3510492"/>
          <a:ext cx="795868" cy="2032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372529</xdr:colOff>
      <xdr:row>14</xdr:row>
      <xdr:rowOff>160870</xdr:rowOff>
    </xdr:from>
    <xdr:to>
      <xdr:col>19</xdr:col>
      <xdr:colOff>372529</xdr:colOff>
      <xdr:row>16</xdr:row>
      <xdr:rowOff>12703</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a:off x="15241054" y="3123145"/>
          <a:ext cx="0" cy="23283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370410</xdr:colOff>
      <xdr:row>10</xdr:row>
      <xdr:rowOff>169335</xdr:rowOff>
    </xdr:from>
    <xdr:to>
      <xdr:col>19</xdr:col>
      <xdr:colOff>370410</xdr:colOff>
      <xdr:row>12</xdr:row>
      <xdr:rowOff>21168</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a:off x="15238935" y="2321985"/>
          <a:ext cx="0" cy="28045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364060</xdr:colOff>
      <xdr:row>8</xdr:row>
      <xdr:rowOff>226485</xdr:rowOff>
    </xdr:from>
    <xdr:to>
      <xdr:col>19</xdr:col>
      <xdr:colOff>364060</xdr:colOff>
      <xdr:row>10</xdr:row>
      <xdr:rowOff>25402</xdr:rowOff>
    </xdr:to>
    <xdr:cxnSp macro="">
      <xdr:nvCxnSpPr>
        <xdr:cNvPr id="8" name="Straight Arrow Connector 7">
          <a:extLst>
            <a:ext uri="{FF2B5EF4-FFF2-40B4-BE49-F238E27FC236}">
              <a16:creationId xmlns:a16="http://schemas.microsoft.com/office/drawing/2014/main" id="{00000000-0008-0000-0500-000008000000}"/>
            </a:ext>
          </a:extLst>
        </xdr:cNvPr>
        <xdr:cNvCxnSpPr/>
      </xdr:nvCxnSpPr>
      <xdr:spPr>
        <a:xfrm>
          <a:off x="15232585" y="1960035"/>
          <a:ext cx="0" cy="2180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2266950</xdr:colOff>
      <xdr:row>9</xdr:row>
      <xdr:rowOff>0</xdr:rowOff>
    </xdr:from>
    <xdr:to>
      <xdr:col>20</xdr:col>
      <xdr:colOff>2266950</xdr:colOff>
      <xdr:row>10</xdr:row>
      <xdr:rowOff>27517</xdr:rowOff>
    </xdr:to>
    <xdr:cxnSp macro="">
      <xdr:nvCxnSpPr>
        <xdr:cNvPr id="9" name="Straight Arrow Connector 8">
          <a:extLst>
            <a:ext uri="{FF2B5EF4-FFF2-40B4-BE49-F238E27FC236}">
              <a16:creationId xmlns:a16="http://schemas.microsoft.com/office/drawing/2014/main" id="{00000000-0008-0000-0500-000009000000}"/>
            </a:ext>
          </a:extLst>
        </xdr:cNvPr>
        <xdr:cNvCxnSpPr/>
      </xdr:nvCxnSpPr>
      <xdr:spPr>
        <a:xfrm>
          <a:off x="19659600" y="1962150"/>
          <a:ext cx="0" cy="2180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2276475</xdr:colOff>
      <xdr:row>10</xdr:row>
      <xdr:rowOff>190500</xdr:rowOff>
    </xdr:from>
    <xdr:to>
      <xdr:col>20</xdr:col>
      <xdr:colOff>2276475</xdr:colOff>
      <xdr:row>12</xdr:row>
      <xdr:rowOff>17992</xdr:rowOff>
    </xdr:to>
    <xdr:cxnSp macro="">
      <xdr:nvCxnSpPr>
        <xdr:cNvPr id="10" name="Straight Arrow Connector 9">
          <a:extLst>
            <a:ext uri="{FF2B5EF4-FFF2-40B4-BE49-F238E27FC236}">
              <a16:creationId xmlns:a16="http://schemas.microsoft.com/office/drawing/2014/main" id="{00000000-0008-0000-0500-00000A000000}"/>
            </a:ext>
          </a:extLst>
        </xdr:cNvPr>
        <xdr:cNvCxnSpPr/>
      </xdr:nvCxnSpPr>
      <xdr:spPr>
        <a:xfrm>
          <a:off x="19669125" y="2343150"/>
          <a:ext cx="0" cy="2561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2278716</xdr:colOff>
      <xdr:row>12</xdr:row>
      <xdr:rowOff>180975</xdr:rowOff>
    </xdr:from>
    <xdr:to>
      <xdr:col>20</xdr:col>
      <xdr:colOff>2278716</xdr:colOff>
      <xdr:row>14</xdr:row>
      <xdr:rowOff>17992</xdr:rowOff>
    </xdr:to>
    <xdr:cxnSp macro="">
      <xdr:nvCxnSpPr>
        <xdr:cNvPr id="11" name="Straight Arrow Connector 10">
          <a:extLst>
            <a:ext uri="{FF2B5EF4-FFF2-40B4-BE49-F238E27FC236}">
              <a16:creationId xmlns:a16="http://schemas.microsoft.com/office/drawing/2014/main" id="{00000000-0008-0000-0500-00000B000000}"/>
            </a:ext>
          </a:extLst>
        </xdr:cNvPr>
        <xdr:cNvCxnSpPr/>
      </xdr:nvCxnSpPr>
      <xdr:spPr>
        <a:xfrm>
          <a:off x="19671366" y="2762250"/>
          <a:ext cx="0" cy="2180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352425</xdr:colOff>
      <xdr:row>0</xdr:row>
      <xdr:rowOff>19050</xdr:rowOff>
    </xdr:from>
    <xdr:to>
      <xdr:col>21</xdr:col>
      <xdr:colOff>1676585</xdr:colOff>
      <xdr:row>2</xdr:row>
      <xdr:rowOff>47682</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288500" y="19050"/>
          <a:ext cx="1324160" cy="409632"/>
        </a:xfrm>
        <a:prstGeom prst="rect">
          <a:avLst/>
        </a:prstGeom>
      </xdr:spPr>
    </xdr:pic>
    <xdr:clientData/>
  </xdr:twoCellAnchor>
  <xdr:twoCellAnchor>
    <xdr:from>
      <xdr:col>20</xdr:col>
      <xdr:colOff>2524125</xdr:colOff>
      <xdr:row>4</xdr:row>
      <xdr:rowOff>104776</xdr:rowOff>
    </xdr:from>
    <xdr:to>
      <xdr:col>21</xdr:col>
      <xdr:colOff>180975</xdr:colOff>
      <xdr:row>14</xdr:row>
      <xdr:rowOff>142875</xdr:rowOff>
    </xdr:to>
    <xdr:cxnSp macro="">
      <xdr:nvCxnSpPr>
        <xdr:cNvPr id="13" name="Straight Arrow Connector 12">
          <a:extLst>
            <a:ext uri="{FF2B5EF4-FFF2-40B4-BE49-F238E27FC236}">
              <a16:creationId xmlns:a16="http://schemas.microsoft.com/office/drawing/2014/main" id="{00000000-0008-0000-0500-00000D000000}"/>
            </a:ext>
          </a:extLst>
        </xdr:cNvPr>
        <xdr:cNvCxnSpPr/>
      </xdr:nvCxnSpPr>
      <xdr:spPr>
        <a:xfrm flipV="1">
          <a:off x="19916775" y="1066801"/>
          <a:ext cx="2200275" cy="203834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2505075</xdr:colOff>
      <xdr:row>4</xdr:row>
      <xdr:rowOff>85726</xdr:rowOff>
    </xdr:from>
    <xdr:to>
      <xdr:col>20</xdr:col>
      <xdr:colOff>1714500</xdr:colOff>
      <xdr:row>18</xdr:row>
      <xdr:rowOff>28575</xdr:rowOff>
    </xdr:to>
    <xdr:cxnSp macro="">
      <xdr:nvCxnSpPr>
        <xdr:cNvPr id="14" name="Straight Arrow Connector 13">
          <a:extLst>
            <a:ext uri="{FF2B5EF4-FFF2-40B4-BE49-F238E27FC236}">
              <a16:creationId xmlns:a16="http://schemas.microsoft.com/office/drawing/2014/main" id="{00000000-0008-0000-0500-00000E000000}"/>
            </a:ext>
          </a:extLst>
        </xdr:cNvPr>
        <xdr:cNvCxnSpPr/>
      </xdr:nvCxnSpPr>
      <xdr:spPr>
        <a:xfrm flipV="1">
          <a:off x="17373600" y="1047751"/>
          <a:ext cx="1733550" cy="27050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609600</xdr:colOff>
      <xdr:row>4</xdr:row>
      <xdr:rowOff>133350</xdr:rowOff>
    </xdr:from>
    <xdr:to>
      <xdr:col>19</xdr:col>
      <xdr:colOff>209550</xdr:colOff>
      <xdr:row>18</xdr:row>
      <xdr:rowOff>19050</xdr:rowOff>
    </xdr:to>
    <xdr:cxnSp macro="">
      <xdr:nvCxnSpPr>
        <xdr:cNvPr id="15" name="Straight Arrow Connector 14">
          <a:extLst>
            <a:ext uri="{FF2B5EF4-FFF2-40B4-BE49-F238E27FC236}">
              <a16:creationId xmlns:a16="http://schemas.microsoft.com/office/drawing/2014/main" id="{00000000-0008-0000-0500-00000F000000}"/>
            </a:ext>
          </a:extLst>
        </xdr:cNvPr>
        <xdr:cNvCxnSpPr/>
      </xdr:nvCxnSpPr>
      <xdr:spPr>
        <a:xfrm flipV="1">
          <a:off x="13687425" y="1095375"/>
          <a:ext cx="1390650" cy="26479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oneCellAnchor>
    <xdr:from>
      <xdr:col>8</xdr:col>
      <xdr:colOff>560255</xdr:colOff>
      <xdr:row>3</xdr:row>
      <xdr:rowOff>45912</xdr:rowOff>
    </xdr:from>
    <xdr:ext cx="1215329" cy="292131"/>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5265605" y="617412"/>
              <a:ext cx="1215329" cy="2921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900" i="1" baseline="0">
                            <a:latin typeface="Cambria Math" panose="02040503050406030204" pitchFamily="18" charset="0"/>
                          </a:rPr>
                        </m:ctrlPr>
                      </m:fPr>
                      <m:num>
                        <m:nary>
                          <m:naryPr>
                            <m:chr m:val="∑"/>
                            <m:grow m:val="on"/>
                            <m:subHide m:val="on"/>
                            <m:supHide m:val="on"/>
                            <m:ctrlPr>
                              <a:rPr lang="en-US" sz="900" i="1" baseline="0">
                                <a:latin typeface="Cambria Math" panose="02040503050406030204" pitchFamily="18" charset="0"/>
                              </a:rPr>
                            </m:ctrlPr>
                          </m:naryPr>
                          <m:sub/>
                          <m:sup/>
                          <m:e>
                            <m:d>
                              <m:dPr>
                                <m:ctrlPr>
                                  <a:rPr lang="en-US" sz="900" i="1" baseline="0">
                                    <a:latin typeface="Cambria Math" panose="02040503050406030204" pitchFamily="18" charset="0"/>
                                  </a:rPr>
                                </m:ctrlPr>
                              </m:dPr>
                              <m:e>
                                <m:sSub>
                                  <m:sSubPr>
                                    <m:ctrlPr>
                                      <a:rPr lang="en-US" sz="900" i="1" baseline="0">
                                        <a:latin typeface="Cambria Math" panose="02040503050406030204" pitchFamily="18" charset="0"/>
                                      </a:rPr>
                                    </m:ctrlPr>
                                  </m:sSubPr>
                                  <m:e>
                                    <m:r>
                                      <a:rPr lang="en-US" sz="900" i="1" baseline="0">
                                        <a:latin typeface="Cambria Math" panose="02040503050406030204" pitchFamily="18" charset="0"/>
                                      </a:rPr>
                                      <m:t>𝑥</m:t>
                                    </m:r>
                                  </m:e>
                                  <m:sub>
                                    <m:r>
                                      <a:rPr lang="en-US" sz="900" i="1" baseline="0">
                                        <a:latin typeface="Cambria Math" panose="02040503050406030204" pitchFamily="18" charset="0"/>
                                      </a:rPr>
                                      <m:t>𝑖</m:t>
                                    </m:r>
                                  </m:sub>
                                </m:sSub>
                                <m:r>
                                  <a:rPr lang="en-US" sz="900" i="0" baseline="0">
                                    <a:latin typeface="Cambria Math" panose="02040503050406030204" pitchFamily="18" charset="0"/>
                                  </a:rPr>
                                  <m:t>−</m:t>
                                </m:r>
                                <m:acc>
                                  <m:accPr>
                                    <m:chr m:val="̅"/>
                                    <m:ctrlPr>
                                      <a:rPr lang="en-US" sz="900" i="1" baseline="0">
                                        <a:latin typeface="Cambria Math" panose="02040503050406030204" pitchFamily="18" charset="0"/>
                                      </a:rPr>
                                    </m:ctrlPr>
                                  </m:accPr>
                                  <m:e>
                                    <m:r>
                                      <a:rPr lang="en-US" sz="900" i="1" baseline="0">
                                        <a:latin typeface="Cambria Math" panose="02040503050406030204" pitchFamily="18" charset="0"/>
                                      </a:rPr>
                                      <m:t>𝑥</m:t>
                                    </m:r>
                                  </m:e>
                                </m:acc>
                              </m:e>
                            </m:d>
                            <m:d>
                              <m:dPr>
                                <m:ctrlPr>
                                  <a:rPr lang="en-US" sz="900" i="1" baseline="0">
                                    <a:latin typeface="Cambria Math" panose="02040503050406030204" pitchFamily="18" charset="0"/>
                                  </a:rPr>
                                </m:ctrlPr>
                              </m:dPr>
                              <m:e>
                                <m:sSub>
                                  <m:sSubPr>
                                    <m:ctrlPr>
                                      <a:rPr lang="en-US" sz="900" i="1" baseline="0">
                                        <a:latin typeface="Cambria Math" panose="02040503050406030204" pitchFamily="18" charset="0"/>
                                      </a:rPr>
                                    </m:ctrlPr>
                                  </m:sSubPr>
                                  <m:e>
                                    <m:r>
                                      <a:rPr lang="en-US" sz="900" i="1" baseline="0">
                                        <a:latin typeface="Cambria Math" panose="02040503050406030204" pitchFamily="18" charset="0"/>
                                      </a:rPr>
                                      <m:t>𝑦</m:t>
                                    </m:r>
                                  </m:e>
                                  <m:sub>
                                    <m:r>
                                      <a:rPr lang="en-US" sz="900" i="1" baseline="0">
                                        <a:latin typeface="Cambria Math" panose="02040503050406030204" pitchFamily="18" charset="0"/>
                                      </a:rPr>
                                      <m:t>𝑖</m:t>
                                    </m:r>
                                  </m:sub>
                                </m:sSub>
                                <m:r>
                                  <a:rPr lang="en-US" sz="900" i="0" baseline="0">
                                    <a:latin typeface="Cambria Math" panose="02040503050406030204" pitchFamily="18" charset="0"/>
                                  </a:rPr>
                                  <m:t>−</m:t>
                                </m:r>
                                <m:acc>
                                  <m:accPr>
                                    <m:chr m:val="̅"/>
                                    <m:ctrlPr>
                                      <a:rPr lang="en-US" sz="900" i="1" baseline="0">
                                        <a:latin typeface="Cambria Math" panose="02040503050406030204" pitchFamily="18" charset="0"/>
                                      </a:rPr>
                                    </m:ctrlPr>
                                  </m:accPr>
                                  <m:e>
                                    <m:r>
                                      <a:rPr lang="en-US" sz="900" i="1" baseline="0">
                                        <a:latin typeface="Cambria Math" panose="02040503050406030204" pitchFamily="18" charset="0"/>
                                      </a:rPr>
                                      <m:t>𝑦</m:t>
                                    </m:r>
                                  </m:e>
                                </m:acc>
                              </m:e>
                            </m:d>
                          </m:e>
                        </m:nary>
                      </m:num>
                      <m:den>
                        <m:nary>
                          <m:naryPr>
                            <m:chr m:val="∑"/>
                            <m:grow m:val="on"/>
                            <m:subHide m:val="on"/>
                            <m:supHide m:val="on"/>
                            <m:ctrlPr>
                              <a:rPr lang="en-US" sz="900" i="1" baseline="0">
                                <a:latin typeface="Cambria Math" panose="02040503050406030204" pitchFamily="18" charset="0"/>
                              </a:rPr>
                            </m:ctrlPr>
                          </m:naryPr>
                          <m:sub/>
                          <m:sup/>
                          <m:e>
                            <m:sSup>
                              <m:sSupPr>
                                <m:ctrlPr>
                                  <a:rPr lang="en-US" sz="900" i="1" baseline="0">
                                    <a:latin typeface="Cambria Math" panose="02040503050406030204" pitchFamily="18" charset="0"/>
                                  </a:rPr>
                                </m:ctrlPr>
                              </m:sSupPr>
                              <m:e>
                                <m:d>
                                  <m:dPr>
                                    <m:ctrlPr>
                                      <a:rPr lang="en-US" sz="900" i="1" baseline="0">
                                        <a:latin typeface="Cambria Math" panose="02040503050406030204" pitchFamily="18" charset="0"/>
                                      </a:rPr>
                                    </m:ctrlPr>
                                  </m:dPr>
                                  <m:e>
                                    <m:sSub>
                                      <m:sSubPr>
                                        <m:ctrlPr>
                                          <a:rPr lang="en-US" sz="900" i="1" baseline="0">
                                            <a:latin typeface="Cambria Math" panose="02040503050406030204" pitchFamily="18" charset="0"/>
                                          </a:rPr>
                                        </m:ctrlPr>
                                      </m:sSubPr>
                                      <m:e>
                                        <m:r>
                                          <a:rPr lang="en-US" sz="900" i="1" baseline="0">
                                            <a:latin typeface="Cambria Math" panose="02040503050406030204" pitchFamily="18" charset="0"/>
                                          </a:rPr>
                                          <m:t>𝑥</m:t>
                                        </m:r>
                                      </m:e>
                                      <m:sub>
                                        <m:r>
                                          <a:rPr lang="en-US" sz="900" i="1" baseline="0">
                                            <a:latin typeface="Cambria Math" panose="02040503050406030204" pitchFamily="18" charset="0"/>
                                          </a:rPr>
                                          <m:t>𝑖</m:t>
                                        </m:r>
                                      </m:sub>
                                    </m:sSub>
                                    <m:r>
                                      <a:rPr lang="en-US" sz="900" i="0" baseline="0">
                                        <a:latin typeface="Cambria Math" panose="02040503050406030204" pitchFamily="18" charset="0"/>
                                      </a:rPr>
                                      <m:t>−</m:t>
                                    </m:r>
                                    <m:acc>
                                      <m:accPr>
                                        <m:chr m:val="̅"/>
                                        <m:ctrlPr>
                                          <a:rPr lang="en-US" sz="900" i="1" baseline="0">
                                            <a:latin typeface="Cambria Math" panose="02040503050406030204" pitchFamily="18" charset="0"/>
                                          </a:rPr>
                                        </m:ctrlPr>
                                      </m:accPr>
                                      <m:e>
                                        <m:r>
                                          <a:rPr lang="en-US" sz="900" i="1" baseline="0">
                                            <a:latin typeface="Cambria Math" panose="02040503050406030204" pitchFamily="18" charset="0"/>
                                          </a:rPr>
                                          <m:t>𝑥</m:t>
                                        </m:r>
                                      </m:e>
                                    </m:acc>
                                  </m:e>
                                </m:d>
                              </m:e>
                              <m:sup>
                                <m:r>
                                  <a:rPr lang="en-US" sz="900" i="0" baseline="0">
                                    <a:latin typeface="Cambria Math" panose="02040503050406030204" pitchFamily="18" charset="0"/>
                                  </a:rPr>
                                  <m:t>2</m:t>
                                </m:r>
                              </m:sup>
                            </m:sSup>
                          </m:e>
                        </m:nary>
                      </m:den>
                    </m:f>
                  </m:oMath>
                </m:oMathPara>
              </a14:m>
              <a:endParaRPr lang="en-US" sz="900" baseline="0">
                <a:latin typeface="MS Reference Specialty" panose="05000500000000000000" pitchFamily="2" charset="2"/>
                <a:cs typeface="BrowalliaUPC" panose="020B0604020202020204" pitchFamily="34" charset="-34"/>
              </a:endParaRPr>
            </a:p>
          </xdr:txBody>
        </xdr:sp>
      </mc:Choice>
      <mc:Fallback xmlns="">
        <xdr:sp macro="" textlink="">
          <xdr:nvSpPr>
            <xdr:cNvPr id="2" name="TextBox 1">
              <a:extLst>
                <a:ext uri="{FF2B5EF4-FFF2-40B4-BE49-F238E27FC236}">
                  <a16:creationId xmlns:a16="http://schemas.microsoft.com/office/drawing/2014/main" id="{8E26D518-4996-464A-8C1D-41A627652F99}"/>
                </a:ext>
              </a:extLst>
            </xdr:cNvPr>
            <xdr:cNvSpPr txBox="1"/>
          </xdr:nvSpPr>
          <xdr:spPr>
            <a:xfrm>
              <a:off x="5265605" y="617412"/>
              <a:ext cx="1215329" cy="2921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900" i="0" baseline="0">
                  <a:latin typeface="Cambria Math" panose="02040503050406030204" pitchFamily="18" charset="0"/>
                </a:rPr>
                <a:t>(∑128▒(𝑥_𝑖−𝑥 ̅ )(𝑦_𝑖−𝑦 ̅ ) )/(∑128▒(𝑥_𝑖−𝑥 ̅ )^2 )</a:t>
              </a:r>
              <a:endParaRPr lang="en-US" sz="900" baseline="0">
                <a:latin typeface="MS Reference Specialty" panose="05000500000000000000" pitchFamily="2" charset="2"/>
                <a:cs typeface="BrowalliaUPC" panose="020B0604020202020204" pitchFamily="34" charset="-34"/>
              </a:endParaRPr>
            </a:p>
          </xdr:txBody>
        </xdr:sp>
      </mc:Fallback>
    </mc:AlternateContent>
    <xdr:clientData/>
  </xdr:oneCellAnchor>
  <xdr:twoCellAnchor>
    <xdr:from>
      <xdr:col>19</xdr:col>
      <xdr:colOff>370410</xdr:colOff>
      <xdr:row>12</xdr:row>
      <xdr:rowOff>179917</xdr:rowOff>
    </xdr:from>
    <xdr:to>
      <xdr:col>19</xdr:col>
      <xdr:colOff>370410</xdr:colOff>
      <xdr:row>14</xdr:row>
      <xdr:rowOff>31750</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a:off x="15238935" y="2761192"/>
          <a:ext cx="0" cy="23283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1344083</xdr:colOff>
      <xdr:row>16</xdr:row>
      <xdr:rowOff>173567</xdr:rowOff>
    </xdr:from>
    <xdr:to>
      <xdr:col>19</xdr:col>
      <xdr:colOff>215899</xdr:colOff>
      <xdr:row>17</xdr:row>
      <xdr:rowOff>179917</xdr:rowOff>
    </xdr:to>
    <xdr:cxnSp macro="">
      <xdr:nvCxnSpPr>
        <xdr:cNvPr id="4" name="Straight Arrow Connector 3">
          <a:extLst>
            <a:ext uri="{FF2B5EF4-FFF2-40B4-BE49-F238E27FC236}">
              <a16:creationId xmlns:a16="http://schemas.microsoft.com/office/drawing/2014/main" id="{00000000-0008-0000-0600-000004000000}"/>
            </a:ext>
          </a:extLst>
        </xdr:cNvPr>
        <xdr:cNvCxnSpPr/>
      </xdr:nvCxnSpPr>
      <xdr:spPr>
        <a:xfrm flipH="1">
          <a:off x="14421908" y="3516842"/>
          <a:ext cx="662516" cy="1968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527049</xdr:colOff>
      <xdr:row>16</xdr:row>
      <xdr:rowOff>167217</xdr:rowOff>
    </xdr:from>
    <xdr:to>
      <xdr:col>19</xdr:col>
      <xdr:colOff>1322917</xdr:colOff>
      <xdr:row>17</xdr:row>
      <xdr:rowOff>179917</xdr:rowOff>
    </xdr:to>
    <xdr:cxnSp macro="">
      <xdr:nvCxnSpPr>
        <xdr:cNvPr id="5" name="Straight Arrow Connector 4">
          <a:extLst>
            <a:ext uri="{FF2B5EF4-FFF2-40B4-BE49-F238E27FC236}">
              <a16:creationId xmlns:a16="http://schemas.microsoft.com/office/drawing/2014/main" id="{00000000-0008-0000-0600-000005000000}"/>
            </a:ext>
          </a:extLst>
        </xdr:cNvPr>
        <xdr:cNvCxnSpPr/>
      </xdr:nvCxnSpPr>
      <xdr:spPr>
        <a:xfrm>
          <a:off x="15395574" y="3510492"/>
          <a:ext cx="795868" cy="2032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372529</xdr:colOff>
      <xdr:row>14</xdr:row>
      <xdr:rowOff>160870</xdr:rowOff>
    </xdr:from>
    <xdr:to>
      <xdr:col>19</xdr:col>
      <xdr:colOff>372529</xdr:colOff>
      <xdr:row>16</xdr:row>
      <xdr:rowOff>12703</xdr:rowOff>
    </xdr:to>
    <xdr:cxnSp macro="">
      <xdr:nvCxnSpPr>
        <xdr:cNvPr id="6" name="Straight Arrow Connector 5">
          <a:extLst>
            <a:ext uri="{FF2B5EF4-FFF2-40B4-BE49-F238E27FC236}">
              <a16:creationId xmlns:a16="http://schemas.microsoft.com/office/drawing/2014/main" id="{00000000-0008-0000-0600-000006000000}"/>
            </a:ext>
          </a:extLst>
        </xdr:cNvPr>
        <xdr:cNvCxnSpPr/>
      </xdr:nvCxnSpPr>
      <xdr:spPr>
        <a:xfrm>
          <a:off x="15241054" y="3123145"/>
          <a:ext cx="0" cy="23283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370410</xdr:colOff>
      <xdr:row>10</xdr:row>
      <xdr:rowOff>169335</xdr:rowOff>
    </xdr:from>
    <xdr:to>
      <xdr:col>19</xdr:col>
      <xdr:colOff>370410</xdr:colOff>
      <xdr:row>12</xdr:row>
      <xdr:rowOff>21168</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a:off x="15238935" y="2321985"/>
          <a:ext cx="0" cy="28045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364060</xdr:colOff>
      <xdr:row>8</xdr:row>
      <xdr:rowOff>226485</xdr:rowOff>
    </xdr:from>
    <xdr:to>
      <xdr:col>19</xdr:col>
      <xdr:colOff>364060</xdr:colOff>
      <xdr:row>10</xdr:row>
      <xdr:rowOff>25402</xdr:rowOff>
    </xdr:to>
    <xdr:cxnSp macro="">
      <xdr:nvCxnSpPr>
        <xdr:cNvPr id="8" name="Straight Arrow Connector 7">
          <a:extLst>
            <a:ext uri="{FF2B5EF4-FFF2-40B4-BE49-F238E27FC236}">
              <a16:creationId xmlns:a16="http://schemas.microsoft.com/office/drawing/2014/main" id="{00000000-0008-0000-0600-000008000000}"/>
            </a:ext>
          </a:extLst>
        </xdr:cNvPr>
        <xdr:cNvCxnSpPr/>
      </xdr:nvCxnSpPr>
      <xdr:spPr>
        <a:xfrm>
          <a:off x="15232585" y="1960035"/>
          <a:ext cx="0" cy="2180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2266950</xdr:colOff>
      <xdr:row>9</xdr:row>
      <xdr:rowOff>0</xdr:rowOff>
    </xdr:from>
    <xdr:to>
      <xdr:col>20</xdr:col>
      <xdr:colOff>2266950</xdr:colOff>
      <xdr:row>10</xdr:row>
      <xdr:rowOff>27517</xdr:rowOff>
    </xdr:to>
    <xdr:cxnSp macro="">
      <xdr:nvCxnSpPr>
        <xdr:cNvPr id="9" name="Straight Arrow Connector 8">
          <a:extLst>
            <a:ext uri="{FF2B5EF4-FFF2-40B4-BE49-F238E27FC236}">
              <a16:creationId xmlns:a16="http://schemas.microsoft.com/office/drawing/2014/main" id="{00000000-0008-0000-0600-000009000000}"/>
            </a:ext>
          </a:extLst>
        </xdr:cNvPr>
        <xdr:cNvCxnSpPr/>
      </xdr:nvCxnSpPr>
      <xdr:spPr>
        <a:xfrm>
          <a:off x="19659600" y="1962150"/>
          <a:ext cx="0" cy="2180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2276475</xdr:colOff>
      <xdr:row>10</xdr:row>
      <xdr:rowOff>190500</xdr:rowOff>
    </xdr:from>
    <xdr:to>
      <xdr:col>20</xdr:col>
      <xdr:colOff>2276475</xdr:colOff>
      <xdr:row>12</xdr:row>
      <xdr:rowOff>17992</xdr:rowOff>
    </xdr:to>
    <xdr:cxnSp macro="">
      <xdr:nvCxnSpPr>
        <xdr:cNvPr id="10" name="Straight Arrow Connector 9">
          <a:extLst>
            <a:ext uri="{FF2B5EF4-FFF2-40B4-BE49-F238E27FC236}">
              <a16:creationId xmlns:a16="http://schemas.microsoft.com/office/drawing/2014/main" id="{00000000-0008-0000-0600-00000A000000}"/>
            </a:ext>
          </a:extLst>
        </xdr:cNvPr>
        <xdr:cNvCxnSpPr/>
      </xdr:nvCxnSpPr>
      <xdr:spPr>
        <a:xfrm>
          <a:off x="19669125" y="2343150"/>
          <a:ext cx="0" cy="2561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2278716</xdr:colOff>
      <xdr:row>12</xdr:row>
      <xdr:rowOff>180975</xdr:rowOff>
    </xdr:from>
    <xdr:to>
      <xdr:col>20</xdr:col>
      <xdr:colOff>2278716</xdr:colOff>
      <xdr:row>14</xdr:row>
      <xdr:rowOff>17992</xdr:rowOff>
    </xdr:to>
    <xdr:cxnSp macro="">
      <xdr:nvCxnSpPr>
        <xdr:cNvPr id="11" name="Straight Arrow Connector 10">
          <a:extLst>
            <a:ext uri="{FF2B5EF4-FFF2-40B4-BE49-F238E27FC236}">
              <a16:creationId xmlns:a16="http://schemas.microsoft.com/office/drawing/2014/main" id="{00000000-0008-0000-0600-00000B000000}"/>
            </a:ext>
          </a:extLst>
        </xdr:cNvPr>
        <xdr:cNvCxnSpPr/>
      </xdr:nvCxnSpPr>
      <xdr:spPr>
        <a:xfrm>
          <a:off x="19671366" y="2762250"/>
          <a:ext cx="0" cy="2180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352425</xdr:colOff>
      <xdr:row>0</xdr:row>
      <xdr:rowOff>19050</xdr:rowOff>
    </xdr:from>
    <xdr:to>
      <xdr:col>21</xdr:col>
      <xdr:colOff>1676585</xdr:colOff>
      <xdr:row>2</xdr:row>
      <xdr:rowOff>47682</xdr:rowOff>
    </xdr:to>
    <xdr:pic>
      <xdr:nvPicPr>
        <xdr:cNvPr id="12" name="Picture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288500" y="19050"/>
          <a:ext cx="1324160" cy="409632"/>
        </a:xfrm>
        <a:prstGeom prst="rect">
          <a:avLst/>
        </a:prstGeom>
      </xdr:spPr>
    </xdr:pic>
    <xdr:clientData/>
  </xdr:twoCellAnchor>
  <xdr:twoCellAnchor>
    <xdr:from>
      <xdr:col>20</xdr:col>
      <xdr:colOff>2524125</xdr:colOff>
      <xdr:row>4</xdr:row>
      <xdr:rowOff>104776</xdr:rowOff>
    </xdr:from>
    <xdr:to>
      <xdr:col>21</xdr:col>
      <xdr:colOff>180975</xdr:colOff>
      <xdr:row>14</xdr:row>
      <xdr:rowOff>142875</xdr:rowOff>
    </xdr:to>
    <xdr:cxnSp macro="">
      <xdr:nvCxnSpPr>
        <xdr:cNvPr id="13" name="Straight Arrow Connector 12">
          <a:extLst>
            <a:ext uri="{FF2B5EF4-FFF2-40B4-BE49-F238E27FC236}">
              <a16:creationId xmlns:a16="http://schemas.microsoft.com/office/drawing/2014/main" id="{00000000-0008-0000-0600-00000D000000}"/>
            </a:ext>
          </a:extLst>
        </xdr:cNvPr>
        <xdr:cNvCxnSpPr/>
      </xdr:nvCxnSpPr>
      <xdr:spPr>
        <a:xfrm flipV="1">
          <a:off x="19916775" y="1066801"/>
          <a:ext cx="2200275" cy="203834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2505075</xdr:colOff>
      <xdr:row>4</xdr:row>
      <xdr:rowOff>85726</xdr:rowOff>
    </xdr:from>
    <xdr:to>
      <xdr:col>20</xdr:col>
      <xdr:colOff>1714500</xdr:colOff>
      <xdr:row>18</xdr:row>
      <xdr:rowOff>28575</xdr:rowOff>
    </xdr:to>
    <xdr:cxnSp macro="">
      <xdr:nvCxnSpPr>
        <xdr:cNvPr id="14" name="Straight Arrow Connector 13">
          <a:extLst>
            <a:ext uri="{FF2B5EF4-FFF2-40B4-BE49-F238E27FC236}">
              <a16:creationId xmlns:a16="http://schemas.microsoft.com/office/drawing/2014/main" id="{00000000-0008-0000-0600-00000E000000}"/>
            </a:ext>
          </a:extLst>
        </xdr:cNvPr>
        <xdr:cNvCxnSpPr/>
      </xdr:nvCxnSpPr>
      <xdr:spPr>
        <a:xfrm flipV="1">
          <a:off x="17373600" y="1047751"/>
          <a:ext cx="1733550" cy="27050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609600</xdr:colOff>
      <xdr:row>4</xdr:row>
      <xdr:rowOff>133350</xdr:rowOff>
    </xdr:from>
    <xdr:to>
      <xdr:col>19</xdr:col>
      <xdr:colOff>209550</xdr:colOff>
      <xdr:row>18</xdr:row>
      <xdr:rowOff>19050</xdr:rowOff>
    </xdr:to>
    <xdr:cxnSp macro="">
      <xdr:nvCxnSpPr>
        <xdr:cNvPr id="15" name="Straight Arrow Connector 14">
          <a:extLst>
            <a:ext uri="{FF2B5EF4-FFF2-40B4-BE49-F238E27FC236}">
              <a16:creationId xmlns:a16="http://schemas.microsoft.com/office/drawing/2014/main" id="{00000000-0008-0000-0600-00000F000000}"/>
            </a:ext>
          </a:extLst>
        </xdr:cNvPr>
        <xdr:cNvCxnSpPr/>
      </xdr:nvCxnSpPr>
      <xdr:spPr>
        <a:xfrm flipV="1">
          <a:off x="13687425" y="1095375"/>
          <a:ext cx="1390650" cy="26479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9525</xdr:colOff>
          <xdr:row>18</xdr:row>
          <xdr:rowOff>19050</xdr:rowOff>
        </xdr:from>
        <xdr:to>
          <xdr:col>23</xdr:col>
          <xdr:colOff>742950</xdr:colOff>
          <xdr:row>19</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7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Mod 1 Test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20</xdr:row>
          <xdr:rowOff>28575</xdr:rowOff>
        </xdr:from>
        <xdr:to>
          <xdr:col>23</xdr:col>
          <xdr:colOff>742950</xdr:colOff>
          <xdr:row>21</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7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Mod 2 Test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22</xdr:row>
          <xdr:rowOff>19050</xdr:rowOff>
        </xdr:from>
        <xdr:to>
          <xdr:col>23</xdr:col>
          <xdr:colOff>742950</xdr:colOff>
          <xdr:row>22</xdr:row>
          <xdr:rowOff>180975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700-000005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Mod 3 Test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19</xdr:row>
          <xdr:rowOff>9525</xdr:rowOff>
        </xdr:from>
        <xdr:to>
          <xdr:col>23</xdr:col>
          <xdr:colOff>742950</xdr:colOff>
          <xdr:row>19</xdr:row>
          <xdr:rowOff>171450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7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Mod 1 Test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21</xdr:row>
          <xdr:rowOff>9525</xdr:rowOff>
        </xdr:from>
        <xdr:to>
          <xdr:col>23</xdr:col>
          <xdr:colOff>742950</xdr:colOff>
          <xdr:row>21</xdr:row>
          <xdr:rowOff>180975</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700-000007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Mod 2 Test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23</xdr:row>
          <xdr:rowOff>9525</xdr:rowOff>
        </xdr:from>
        <xdr:to>
          <xdr:col>23</xdr:col>
          <xdr:colOff>742950</xdr:colOff>
          <xdr:row>23</xdr:row>
          <xdr:rowOff>171450</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7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Mod 3 Test 2</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7.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1" Type="http://schemas.openxmlformats.org/officeDocument/2006/relationships/hyperlink" Target="https://d.docs.live.net/dd5ecb63e39b129b/Documents/____DataAnalyst/____AcadGild/DataAnalytics/ACD_BART_Session_12-13_Project1.1/ACD_BART_Session_Project1.1_Final/to_GitHub/MyFE2011_v5_Final.xls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1118"/>
  <sheetViews>
    <sheetView showGridLines="0" zoomScaleNormal="100" workbookViewId="0">
      <selection activeCell="B14" sqref="B14"/>
    </sheetView>
  </sheetViews>
  <sheetFormatPr defaultRowHeight="15"/>
  <cols>
    <col min="1" max="1" width="12.7109375" style="1" customWidth="1"/>
    <col min="2" max="2" width="17.28515625" style="1" customWidth="1"/>
    <col min="3" max="3" width="8" style="1" customWidth="1"/>
    <col min="4" max="4" width="10.42578125" style="1" customWidth="1"/>
    <col min="5" max="5" width="11.85546875" style="1" customWidth="1"/>
    <col min="6" max="6" width="17.42578125" style="1" customWidth="1"/>
    <col min="7" max="7" width="17.5703125" style="1" customWidth="1"/>
    <col min="8" max="8" width="19.7109375" style="1" customWidth="1"/>
    <col min="9" max="9" width="15.140625" style="66" customWidth="1"/>
    <col min="10" max="10" width="11.85546875" style="1" customWidth="1"/>
    <col min="11" max="12" width="8.5703125" style="1" bestFit="1" customWidth="1"/>
    <col min="13" max="14" width="17.85546875" style="1" bestFit="1" customWidth="1"/>
    <col min="15" max="15" width="8.5703125" style="1" bestFit="1" customWidth="1"/>
    <col min="16" max="16" width="8.85546875" style="1" bestFit="1" customWidth="1"/>
    <col min="17" max="18" width="9.140625" style="1"/>
    <col min="19" max="19" width="8.85546875" style="1" bestFit="1" customWidth="1"/>
    <col min="20" max="16384" width="9.140625" style="1"/>
  </cols>
  <sheetData>
    <row r="1" spans="1:31" s="217" customFormat="1" ht="30" customHeight="1" thickBot="1">
      <c r="A1" s="289"/>
      <c r="B1" s="349"/>
      <c r="C1" s="349"/>
      <c r="G1" s="275"/>
      <c r="H1" s="275"/>
      <c r="I1" s="275"/>
      <c r="J1" s="275"/>
      <c r="K1" s="275"/>
      <c r="L1"/>
      <c r="M1"/>
      <c r="N1"/>
      <c r="O1"/>
      <c r="P1"/>
      <c r="Q1"/>
      <c r="R1"/>
      <c r="S1"/>
      <c r="T1"/>
      <c r="U1"/>
      <c r="V1"/>
      <c r="W1"/>
      <c r="X1"/>
      <c r="Y1"/>
      <c r="Z1"/>
      <c r="AA1"/>
      <c r="AB1"/>
      <c r="AC1"/>
      <c r="AD1"/>
      <c r="AE1"/>
    </row>
    <row r="2" spans="1:31" s="297" customFormat="1" ht="33" customHeight="1">
      <c r="A2" s="347" t="s">
        <v>169</v>
      </c>
      <c r="B2" s="348"/>
      <c r="C2" s="348"/>
      <c r="D2" s="348"/>
      <c r="E2" s="348"/>
      <c r="F2" s="348"/>
      <c r="G2" s="299"/>
      <c r="H2" s="299"/>
      <c r="I2" s="299"/>
      <c r="J2" s="299"/>
      <c r="K2" s="299"/>
      <c r="L2" s="299"/>
      <c r="M2" s="336" t="s">
        <v>170</v>
      </c>
      <c r="N2" s="337"/>
      <c r="O2" s="337"/>
      <c r="P2" s="337"/>
      <c r="Q2" s="337"/>
      <c r="R2" s="337"/>
      <c r="S2" s="338"/>
    </row>
    <row r="3" spans="1:31" s="217" customFormat="1">
      <c r="A3" s="306" t="s">
        <v>49</v>
      </c>
      <c r="B3" s="306" t="s">
        <v>126</v>
      </c>
      <c r="C3" s="301" t="s">
        <v>1</v>
      </c>
      <c r="D3" s="70" t="s">
        <v>3</v>
      </c>
      <c r="E3" s="70" t="s">
        <v>4</v>
      </c>
      <c r="F3" s="70" t="s">
        <v>5</v>
      </c>
      <c r="G3" s="70" t="s">
        <v>6</v>
      </c>
      <c r="H3" s="70" t="s">
        <v>7</v>
      </c>
      <c r="I3" s="70" t="s">
        <v>8</v>
      </c>
      <c r="J3" s="70" t="s">
        <v>9</v>
      </c>
      <c r="K3" s="306" t="s">
        <v>0</v>
      </c>
      <c r="L3" s="300" t="s">
        <v>2</v>
      </c>
      <c r="M3" s="339"/>
      <c r="N3" s="340"/>
      <c r="O3" s="340"/>
      <c r="P3" s="340"/>
      <c r="Q3" s="340"/>
      <c r="R3" s="340"/>
      <c r="S3" s="341"/>
    </row>
    <row r="4" spans="1:31" s="217" customFormat="1">
      <c r="A4" s="316">
        <f t="array" ref="A4">INDEX(C4:K4,MATCH(MAX(ABS(C4:K4)),ABS(C4:K4),0))</f>
        <v>-0.78739382573110284</v>
      </c>
      <c r="B4" s="303" t="s">
        <v>89</v>
      </c>
      <c r="C4" s="69">
        <f t="shared" ref="C4:L4" si="0">CORREL(C11:C1117, $L$11:$L$1117)</f>
        <v>-0.74021798131253269</v>
      </c>
      <c r="D4" s="69">
        <f t="shared" si="0"/>
        <v>-0.21128487573648</v>
      </c>
      <c r="E4" s="69">
        <f t="shared" si="0"/>
        <v>-0.27193886690099928</v>
      </c>
      <c r="F4" s="69">
        <f t="shared" si="0"/>
        <v>-6.9621679054323746E-2</v>
      </c>
      <c r="G4" s="69">
        <f t="shared" si="0"/>
        <v>0.28034403171689953</v>
      </c>
      <c r="H4" s="69">
        <f t="shared" si="0"/>
        <v>0.33565285358367758</v>
      </c>
      <c r="I4" s="69">
        <f t="shared" si="0"/>
        <v>0.12495277925496739</v>
      </c>
      <c r="J4" s="69">
        <f t="shared" si="0"/>
        <v>9.6211274745917286E-2</v>
      </c>
      <c r="K4" s="302">
        <f t="shared" si="0"/>
        <v>-0.78739382573110284</v>
      </c>
      <c r="L4" s="69">
        <f t="shared" si="0"/>
        <v>1</v>
      </c>
      <c r="M4" s="339"/>
      <c r="N4" s="340"/>
      <c r="O4" s="340"/>
      <c r="P4" s="340"/>
      <c r="Q4" s="340"/>
      <c r="R4" s="340"/>
      <c r="S4" s="341"/>
    </row>
    <row r="5" spans="1:31" s="217" customFormat="1" ht="15.75" thickBot="1">
      <c r="A5" s="317"/>
      <c r="B5" s="304"/>
      <c r="C5" s="69"/>
      <c r="D5" s="69"/>
      <c r="E5" s="69"/>
      <c r="F5" s="69"/>
      <c r="G5" s="69"/>
      <c r="H5" s="69"/>
      <c r="I5" s="69"/>
      <c r="J5" s="69"/>
      <c r="K5" s="314"/>
      <c r="L5" s="69"/>
      <c r="M5" s="249"/>
      <c r="N5" s="250"/>
      <c r="O5" s="250"/>
      <c r="P5" s="250"/>
      <c r="Q5" s="250"/>
      <c r="R5" s="250"/>
      <c r="S5" s="251"/>
    </row>
    <row r="6" spans="1:31" s="217" customFormat="1" ht="15.75" thickBot="1">
      <c r="A6" s="318">
        <f>HLOOKUP(A4,C4:K7,3,FALSE)</f>
        <v>0.64554692200311448</v>
      </c>
      <c r="B6" s="305" t="s">
        <v>150</v>
      </c>
      <c r="C6" s="69">
        <f t="shared" ref="C6:L6" si="1">SKEW(C11:C1117)</f>
        <v>1.0357904158967042</v>
      </c>
      <c r="D6" s="69">
        <f t="shared" si="1"/>
        <v>-1.5909322520154092</v>
      </c>
      <c r="E6" s="69">
        <f t="shared" si="1"/>
        <v>-0.77386084364141527</v>
      </c>
      <c r="F6" s="69">
        <f t="shared" si="1"/>
        <v>4.1951116003303817</v>
      </c>
      <c r="G6" s="69">
        <f t="shared" si="1"/>
        <v>-2.1596707098742103</v>
      </c>
      <c r="H6" s="69">
        <f t="shared" si="1"/>
        <v>-1.9345870451324982</v>
      </c>
      <c r="I6" s="69">
        <f t="shared" si="1"/>
        <v>-1.6943686742687845</v>
      </c>
      <c r="J6" s="69">
        <f t="shared" si="1"/>
        <v>1.7869206145353351</v>
      </c>
      <c r="K6" s="314">
        <f t="shared" si="1"/>
        <v>0.64554692200311448</v>
      </c>
      <c r="L6" s="69">
        <f t="shared" si="1"/>
        <v>0.60130699214936301</v>
      </c>
      <c r="M6" s="249"/>
      <c r="N6" s="252"/>
      <c r="O6" s="261" t="s">
        <v>0</v>
      </c>
      <c r="P6" s="262" t="s">
        <v>149</v>
      </c>
      <c r="Q6" s="250"/>
      <c r="R6" s="250"/>
      <c r="S6" s="251"/>
    </row>
    <row r="7" spans="1:31" s="217" customFormat="1">
      <c r="A7" s="319">
        <f t="array" ref="A7">HLOOKUP(A4,C4:K7,4,FALSE)</f>
        <v>-0.23620795365428693</v>
      </c>
      <c r="B7" s="320" t="s">
        <v>151</v>
      </c>
      <c r="C7" s="73">
        <f t="shared" ref="C7:L7" si="2">KURT(C11:C1117)</f>
        <v>1.5492411658596796</v>
      </c>
      <c r="D7" s="73">
        <f t="shared" si="2"/>
        <v>2.9448167016777052</v>
      </c>
      <c r="E7" s="73">
        <f t="shared" si="2"/>
        <v>-1.4036786707127711</v>
      </c>
      <c r="F7" s="73">
        <f t="shared" si="2"/>
        <v>15.627191526640054</v>
      </c>
      <c r="G7" s="73">
        <f t="shared" si="2"/>
        <v>3.3579362129181614</v>
      </c>
      <c r="H7" s="73">
        <f t="shared" si="2"/>
        <v>2.1004637662279682</v>
      </c>
      <c r="I7" s="73">
        <f t="shared" si="2"/>
        <v>0.87245819675657321</v>
      </c>
      <c r="J7" s="73">
        <f t="shared" si="2"/>
        <v>1.1952414435813608</v>
      </c>
      <c r="K7" s="315">
        <f t="shared" si="2"/>
        <v>-0.23620795365428693</v>
      </c>
      <c r="L7" s="73">
        <f t="shared" si="2"/>
        <v>0.79074175400939772</v>
      </c>
      <c r="M7" s="249"/>
      <c r="N7" s="253" t="s">
        <v>11</v>
      </c>
      <c r="O7" s="254">
        <f>SKEW(K11:K1117)</f>
        <v>0.64554692200311448</v>
      </c>
      <c r="P7" s="255">
        <f>SKEW(S11:S1117)</f>
        <v>-6.266119747939175E-2</v>
      </c>
      <c r="Q7" s="250"/>
      <c r="R7" s="250"/>
      <c r="S7" s="251"/>
    </row>
    <row r="8" spans="1:31" s="217" customFormat="1" ht="15.75" thickBot="1">
      <c r="A8" s="243"/>
      <c r="B8" s="244"/>
      <c r="C8" s="244"/>
      <c r="D8" s="244"/>
      <c r="E8" s="244"/>
      <c r="F8" s="244"/>
      <c r="G8" s="244"/>
      <c r="H8" s="244"/>
      <c r="I8" s="244"/>
      <c r="J8" s="244"/>
      <c r="K8" s="244"/>
      <c r="L8" s="244"/>
      <c r="M8" s="249"/>
      <c r="N8" s="256" t="s">
        <v>12</v>
      </c>
      <c r="O8" s="257">
        <f>KURT(K11:K1117)</f>
        <v>-0.23620795365428693</v>
      </c>
      <c r="P8" s="258">
        <f>KURT(S11:S1117)</f>
        <v>-0.64686459846927269</v>
      </c>
      <c r="Q8" s="250"/>
      <c r="R8" s="250"/>
      <c r="S8" s="251"/>
    </row>
    <row r="9" spans="1:31" s="220" customFormat="1" ht="15" customHeight="1">
      <c r="A9" s="243"/>
      <c r="B9" s="244"/>
      <c r="C9" s="309"/>
      <c r="D9" s="310"/>
      <c r="E9" s="310"/>
      <c r="F9" s="310"/>
      <c r="G9" s="310"/>
      <c r="H9" s="310"/>
      <c r="I9" s="310"/>
      <c r="J9" s="310"/>
      <c r="K9" s="300" t="s">
        <v>22</v>
      </c>
      <c r="L9" s="307" t="s">
        <v>23</v>
      </c>
      <c r="M9" s="279"/>
      <c r="N9" s="280"/>
      <c r="O9" s="280"/>
      <c r="P9" s="280"/>
      <c r="Q9" s="280"/>
      <c r="R9" s="250"/>
      <c r="S9" s="263" t="s">
        <v>22</v>
      </c>
    </row>
    <row r="10" spans="1:31" ht="15.75" thickBot="1">
      <c r="A10" s="243"/>
      <c r="B10" s="244"/>
      <c r="C10" s="63" t="s">
        <v>1</v>
      </c>
      <c r="D10" s="63" t="s">
        <v>3</v>
      </c>
      <c r="E10" s="63" t="s">
        <v>4</v>
      </c>
      <c r="F10" s="63" t="s">
        <v>5</v>
      </c>
      <c r="G10" s="63" t="s">
        <v>6</v>
      </c>
      <c r="H10" s="63" t="s">
        <v>7</v>
      </c>
      <c r="I10" s="63" t="s">
        <v>8</v>
      </c>
      <c r="J10" s="63" t="s">
        <v>9</v>
      </c>
      <c r="K10" s="70" t="s">
        <v>0</v>
      </c>
      <c r="L10" s="300" t="s">
        <v>2</v>
      </c>
      <c r="M10" s="345" t="s">
        <v>63</v>
      </c>
      <c r="N10" s="346"/>
      <c r="O10" s="346"/>
      <c r="P10" s="346"/>
      <c r="Q10" s="346"/>
      <c r="R10" s="346"/>
      <c r="S10" s="264" t="s">
        <v>149</v>
      </c>
    </row>
    <row r="11" spans="1:31">
      <c r="A11" s="243"/>
      <c r="B11" s="244"/>
      <c r="C11" s="311">
        <v>8</v>
      </c>
      <c r="D11" s="244">
        <v>6</v>
      </c>
      <c r="E11" s="244">
        <v>1</v>
      </c>
      <c r="F11" s="244">
        <v>0</v>
      </c>
      <c r="G11" s="244">
        <v>2</v>
      </c>
      <c r="H11" s="244">
        <v>2</v>
      </c>
      <c r="I11" s="244">
        <v>1</v>
      </c>
      <c r="J11" s="244">
        <v>0</v>
      </c>
      <c r="K11" s="276">
        <v>4.7</v>
      </c>
      <c r="L11" s="277">
        <v>28.0198</v>
      </c>
      <c r="M11" s="345"/>
      <c r="N11" s="346"/>
      <c r="O11" s="346"/>
      <c r="P11" s="346"/>
      <c r="Q11" s="346"/>
      <c r="R11" s="346"/>
      <c r="S11" s="265">
        <f t="shared" ref="S11:S74" si="3">LOG10(K11)</f>
        <v>0.67209785793571752</v>
      </c>
      <c r="W11"/>
    </row>
    <row r="12" spans="1:31">
      <c r="A12" s="243"/>
      <c r="B12" s="244"/>
      <c r="C12" s="311">
        <v>8</v>
      </c>
      <c r="D12" s="244">
        <v>6</v>
      </c>
      <c r="E12" s="244">
        <v>1</v>
      </c>
      <c r="F12" s="244">
        <v>0</v>
      </c>
      <c r="G12" s="244">
        <v>2</v>
      </c>
      <c r="H12" s="244">
        <v>2</v>
      </c>
      <c r="I12" s="244">
        <v>1</v>
      </c>
      <c r="J12" s="244">
        <v>0</v>
      </c>
      <c r="K12" s="276">
        <v>4.7</v>
      </c>
      <c r="L12" s="277">
        <v>25.609400000000001</v>
      </c>
      <c r="M12" s="249"/>
      <c r="N12" s="250"/>
      <c r="O12" s="250"/>
      <c r="P12" s="250"/>
      <c r="Q12" s="250"/>
      <c r="R12" s="250"/>
      <c r="S12" s="266">
        <f t="shared" si="3"/>
        <v>0.67209785793571752</v>
      </c>
      <c r="W12"/>
    </row>
    <row r="13" spans="1:31">
      <c r="A13" s="243"/>
      <c r="B13" s="244"/>
      <c r="C13" s="311">
        <v>8</v>
      </c>
      <c r="D13" s="244">
        <v>6</v>
      </c>
      <c r="E13" s="244">
        <v>1</v>
      </c>
      <c r="F13" s="244">
        <v>0</v>
      </c>
      <c r="G13" s="244">
        <v>2</v>
      </c>
      <c r="H13" s="244">
        <v>2</v>
      </c>
      <c r="I13" s="244">
        <v>1</v>
      </c>
      <c r="J13" s="244">
        <v>0</v>
      </c>
      <c r="K13" s="276">
        <v>4.2</v>
      </c>
      <c r="L13" s="277">
        <v>26.8</v>
      </c>
      <c r="M13" s="249"/>
      <c r="N13" s="250"/>
      <c r="O13" s="250"/>
      <c r="P13" s="250"/>
      <c r="Q13" s="250"/>
      <c r="R13" s="250"/>
      <c r="S13" s="266">
        <f t="shared" si="3"/>
        <v>0.62324929039790045</v>
      </c>
      <c r="W13"/>
    </row>
    <row r="14" spans="1:31">
      <c r="A14" s="243"/>
      <c r="B14" s="244"/>
      <c r="C14" s="311">
        <v>8</v>
      </c>
      <c r="D14" s="244">
        <v>6</v>
      </c>
      <c r="E14" s="244">
        <v>1</v>
      </c>
      <c r="F14" s="244">
        <v>0</v>
      </c>
      <c r="G14" s="244">
        <v>2</v>
      </c>
      <c r="H14" s="244">
        <v>2</v>
      </c>
      <c r="I14" s="244">
        <v>1</v>
      </c>
      <c r="J14" s="244">
        <v>0</v>
      </c>
      <c r="K14" s="276">
        <v>4.2</v>
      </c>
      <c r="L14" s="277">
        <v>25.045100000000001</v>
      </c>
      <c r="M14" s="249"/>
      <c r="N14" s="250"/>
      <c r="O14" s="250"/>
      <c r="P14" s="250"/>
      <c r="Q14" s="250"/>
      <c r="R14" s="250"/>
      <c r="S14" s="266">
        <f t="shared" si="3"/>
        <v>0.62324929039790045</v>
      </c>
      <c r="W14"/>
    </row>
    <row r="15" spans="1:31">
      <c r="A15" s="243"/>
      <c r="B15" s="244"/>
      <c r="C15" s="311">
        <v>10</v>
      </c>
      <c r="D15" s="244">
        <v>6</v>
      </c>
      <c r="E15" s="244">
        <v>0</v>
      </c>
      <c r="F15" s="244">
        <v>0</v>
      </c>
      <c r="G15" s="244">
        <v>2</v>
      </c>
      <c r="H15" s="244">
        <v>2</v>
      </c>
      <c r="I15" s="244">
        <v>1</v>
      </c>
      <c r="J15" s="244">
        <v>0</v>
      </c>
      <c r="K15" s="276">
        <v>5.2</v>
      </c>
      <c r="L15" s="277">
        <v>24.8</v>
      </c>
      <c r="M15" s="249"/>
      <c r="N15" s="250"/>
      <c r="O15" s="250"/>
      <c r="P15" s="250"/>
      <c r="Q15" s="250"/>
      <c r="R15" s="250"/>
      <c r="S15" s="266">
        <f t="shared" si="3"/>
        <v>0.71600334363479923</v>
      </c>
      <c r="W15"/>
    </row>
    <row r="16" spans="1:31">
      <c r="A16" s="243"/>
      <c r="B16" s="244"/>
      <c r="C16" s="311">
        <v>10</v>
      </c>
      <c r="D16" s="244">
        <v>6</v>
      </c>
      <c r="E16" s="244">
        <v>0</v>
      </c>
      <c r="F16" s="244">
        <v>0</v>
      </c>
      <c r="G16" s="244">
        <v>2</v>
      </c>
      <c r="H16" s="244">
        <v>2</v>
      </c>
      <c r="I16" s="244">
        <v>1</v>
      </c>
      <c r="J16" s="244">
        <v>0</v>
      </c>
      <c r="K16" s="276">
        <v>5.2</v>
      </c>
      <c r="L16" s="277">
        <v>23.9</v>
      </c>
      <c r="M16" s="249"/>
      <c r="N16" s="250"/>
      <c r="O16" s="250"/>
      <c r="P16" s="250"/>
      <c r="Q16" s="250"/>
      <c r="R16" s="250"/>
      <c r="S16" s="266">
        <f t="shared" si="3"/>
        <v>0.71600334363479923</v>
      </c>
      <c r="W16"/>
    </row>
    <row r="17" spans="1:23">
      <c r="A17" s="243"/>
      <c r="B17" s="244"/>
      <c r="C17" s="311">
        <v>4</v>
      </c>
      <c r="D17" s="244">
        <v>6</v>
      </c>
      <c r="E17" s="244">
        <v>0</v>
      </c>
      <c r="F17" s="244">
        <v>0</v>
      </c>
      <c r="G17" s="244">
        <v>2</v>
      </c>
      <c r="H17" s="244">
        <v>2</v>
      </c>
      <c r="I17" s="244">
        <v>1</v>
      </c>
      <c r="J17" s="244">
        <v>0</v>
      </c>
      <c r="K17" s="276">
        <v>2</v>
      </c>
      <c r="L17" s="277">
        <v>39.7256</v>
      </c>
      <c r="M17" s="249"/>
      <c r="N17" s="250"/>
      <c r="O17" s="250"/>
      <c r="P17" s="250"/>
      <c r="Q17" s="250"/>
      <c r="R17" s="250"/>
      <c r="S17" s="266">
        <f t="shared" si="3"/>
        <v>0.3010299956639812</v>
      </c>
      <c r="W17"/>
    </row>
    <row r="18" spans="1:23">
      <c r="A18" s="243"/>
      <c r="B18" s="244"/>
      <c r="C18" s="311">
        <v>12</v>
      </c>
      <c r="D18" s="244">
        <v>6</v>
      </c>
      <c r="E18" s="244">
        <v>0</v>
      </c>
      <c r="F18" s="244">
        <v>0</v>
      </c>
      <c r="G18" s="244">
        <v>2</v>
      </c>
      <c r="H18" s="244">
        <v>2</v>
      </c>
      <c r="I18" s="244">
        <v>1</v>
      </c>
      <c r="J18" s="244">
        <v>0</v>
      </c>
      <c r="K18" s="276">
        <v>6</v>
      </c>
      <c r="L18" s="277">
        <v>24.4</v>
      </c>
      <c r="M18" s="249"/>
      <c r="N18" s="250"/>
      <c r="O18" s="250"/>
      <c r="P18" s="250"/>
      <c r="Q18" s="250"/>
      <c r="R18" s="250"/>
      <c r="S18" s="266">
        <f t="shared" si="3"/>
        <v>0.77815125038364363</v>
      </c>
      <c r="W18"/>
    </row>
    <row r="19" spans="1:23">
      <c r="A19" s="243"/>
      <c r="B19" s="244"/>
      <c r="C19" s="311">
        <v>6</v>
      </c>
      <c r="D19" s="244">
        <v>6</v>
      </c>
      <c r="E19" s="244">
        <v>1</v>
      </c>
      <c r="F19" s="244">
        <v>0</v>
      </c>
      <c r="G19" s="244">
        <v>2</v>
      </c>
      <c r="H19" s="244">
        <v>2</v>
      </c>
      <c r="I19" s="244">
        <v>1</v>
      </c>
      <c r="J19" s="244">
        <v>1</v>
      </c>
      <c r="K19" s="276">
        <v>3</v>
      </c>
      <c r="L19" s="277">
        <v>39.710299999999997</v>
      </c>
      <c r="M19" s="249"/>
      <c r="N19" s="250"/>
      <c r="O19" s="250"/>
      <c r="P19" s="250"/>
      <c r="Q19" s="250"/>
      <c r="R19" s="250"/>
      <c r="S19" s="266">
        <f t="shared" si="3"/>
        <v>0.47712125471966244</v>
      </c>
    </row>
    <row r="20" spans="1:23">
      <c r="A20" s="243"/>
      <c r="B20" s="244"/>
      <c r="C20" s="311">
        <v>6</v>
      </c>
      <c r="D20" s="244">
        <v>6</v>
      </c>
      <c r="E20" s="244">
        <v>0</v>
      </c>
      <c r="F20" s="244">
        <v>0</v>
      </c>
      <c r="G20" s="244">
        <v>2</v>
      </c>
      <c r="H20" s="244">
        <v>2</v>
      </c>
      <c r="I20" s="244">
        <v>1</v>
      </c>
      <c r="J20" s="244">
        <v>1</v>
      </c>
      <c r="K20" s="276">
        <v>3</v>
      </c>
      <c r="L20" s="277">
        <v>38.7896</v>
      </c>
      <c r="M20" s="249"/>
      <c r="N20" s="250"/>
      <c r="O20" s="250"/>
      <c r="P20" s="250"/>
      <c r="Q20" s="250"/>
      <c r="R20" s="250"/>
      <c r="S20" s="266">
        <f t="shared" si="3"/>
        <v>0.47712125471966244</v>
      </c>
    </row>
    <row r="21" spans="1:23">
      <c r="A21" s="243"/>
      <c r="B21" s="244"/>
      <c r="C21" s="311">
        <v>6</v>
      </c>
      <c r="D21" s="244">
        <v>7</v>
      </c>
      <c r="E21" s="244">
        <v>1</v>
      </c>
      <c r="F21" s="244">
        <v>0</v>
      </c>
      <c r="G21" s="244">
        <v>2</v>
      </c>
      <c r="H21" s="244">
        <v>2</v>
      </c>
      <c r="I21" s="244">
        <v>1</v>
      </c>
      <c r="J21" s="244">
        <v>0</v>
      </c>
      <c r="K21" s="276">
        <v>3</v>
      </c>
      <c r="L21" s="277">
        <v>33.629600000000003</v>
      </c>
      <c r="M21" s="249"/>
      <c r="N21" s="250"/>
      <c r="O21" s="250"/>
      <c r="P21" s="250"/>
      <c r="Q21" s="250"/>
      <c r="R21" s="250"/>
      <c r="S21" s="266">
        <f t="shared" si="3"/>
        <v>0.47712125471966244</v>
      </c>
    </row>
    <row r="22" spans="1:23">
      <c r="A22" s="243"/>
      <c r="B22" s="244"/>
      <c r="C22" s="311">
        <v>6</v>
      </c>
      <c r="D22" s="244">
        <v>6</v>
      </c>
      <c r="E22" s="244">
        <v>0</v>
      </c>
      <c r="F22" s="244">
        <v>0</v>
      </c>
      <c r="G22" s="244">
        <v>2</v>
      </c>
      <c r="H22" s="244">
        <v>2</v>
      </c>
      <c r="I22" s="244">
        <v>1</v>
      </c>
      <c r="J22" s="244">
        <v>0</v>
      </c>
      <c r="K22" s="276">
        <v>3</v>
      </c>
      <c r="L22" s="277">
        <v>35.267800000000001</v>
      </c>
      <c r="M22" s="249"/>
      <c r="N22" s="250"/>
      <c r="O22" s="250"/>
      <c r="P22" s="250"/>
      <c r="Q22" s="250"/>
      <c r="R22" s="250"/>
      <c r="S22" s="266">
        <f t="shared" si="3"/>
        <v>0.47712125471966244</v>
      </c>
    </row>
    <row r="23" spans="1:23">
      <c r="A23" s="243"/>
      <c r="B23" s="244"/>
      <c r="C23" s="311">
        <v>16</v>
      </c>
      <c r="D23" s="244">
        <v>7</v>
      </c>
      <c r="E23" s="244">
        <v>0</v>
      </c>
      <c r="F23" s="244">
        <v>0</v>
      </c>
      <c r="G23" s="244">
        <v>2</v>
      </c>
      <c r="H23" s="244">
        <v>2</v>
      </c>
      <c r="I23" s="244">
        <v>1</v>
      </c>
      <c r="J23" s="244">
        <v>0</v>
      </c>
      <c r="K23" s="276">
        <v>8</v>
      </c>
      <c r="L23" s="277">
        <v>17.8</v>
      </c>
      <c r="M23" s="249"/>
      <c r="N23" s="250"/>
      <c r="O23" s="250"/>
      <c r="P23" s="250"/>
      <c r="Q23" s="250"/>
      <c r="R23" s="250"/>
      <c r="S23" s="266">
        <f t="shared" si="3"/>
        <v>0.90308998699194354</v>
      </c>
    </row>
    <row r="24" spans="1:23">
      <c r="A24" s="243"/>
      <c r="B24" s="244"/>
      <c r="C24" s="311">
        <v>8</v>
      </c>
      <c r="D24" s="244">
        <v>6</v>
      </c>
      <c r="E24" s="244">
        <v>0</v>
      </c>
      <c r="F24" s="244">
        <v>0</v>
      </c>
      <c r="G24" s="244">
        <v>1</v>
      </c>
      <c r="H24" s="244">
        <v>1</v>
      </c>
      <c r="I24" s="244">
        <v>0</v>
      </c>
      <c r="J24" s="244">
        <v>0</v>
      </c>
      <c r="K24" s="276">
        <v>6.2</v>
      </c>
      <c r="L24" s="277">
        <v>27.1</v>
      </c>
      <c r="M24" s="249"/>
      <c r="N24" s="250"/>
      <c r="O24" s="250"/>
      <c r="P24" s="250"/>
      <c r="Q24" s="250"/>
      <c r="R24" s="250"/>
      <c r="S24" s="266">
        <f t="shared" si="3"/>
        <v>0.79239168949825389</v>
      </c>
    </row>
    <row r="25" spans="1:23">
      <c r="A25" s="243"/>
      <c r="B25" s="244"/>
      <c r="C25" s="311">
        <v>8</v>
      </c>
      <c r="D25" s="244">
        <v>6</v>
      </c>
      <c r="E25" s="244">
        <v>1</v>
      </c>
      <c r="F25" s="244">
        <v>0</v>
      </c>
      <c r="G25" s="244">
        <v>1</v>
      </c>
      <c r="H25" s="244">
        <v>1</v>
      </c>
      <c r="I25" s="244">
        <v>0</v>
      </c>
      <c r="J25" s="244">
        <v>0</v>
      </c>
      <c r="K25" s="276">
        <v>6.2</v>
      </c>
      <c r="L25" s="277">
        <v>34.349299999999999</v>
      </c>
      <c r="M25" s="249"/>
      <c r="N25" s="250"/>
      <c r="O25" s="250"/>
      <c r="P25" s="250"/>
      <c r="Q25" s="250"/>
      <c r="R25" s="250"/>
      <c r="S25" s="266">
        <f t="shared" si="3"/>
        <v>0.79239168949825389</v>
      </c>
    </row>
    <row r="26" spans="1:23" ht="15" customHeight="1">
      <c r="A26" s="243"/>
      <c r="B26" s="244"/>
      <c r="C26" s="311">
        <v>8</v>
      </c>
      <c r="D26" s="244">
        <v>6</v>
      </c>
      <c r="E26" s="244">
        <v>0</v>
      </c>
      <c r="F26" s="244">
        <v>0</v>
      </c>
      <c r="G26" s="244">
        <v>1</v>
      </c>
      <c r="H26" s="244">
        <v>1</v>
      </c>
      <c r="I26" s="244">
        <v>0</v>
      </c>
      <c r="J26" s="244">
        <v>0</v>
      </c>
      <c r="K26" s="276">
        <v>6.2</v>
      </c>
      <c r="L26" s="277">
        <v>35.799999999999997</v>
      </c>
      <c r="M26" s="281"/>
      <c r="N26" s="282"/>
      <c r="O26" s="282"/>
      <c r="P26" s="282"/>
      <c r="Q26" s="282"/>
      <c r="R26" s="250"/>
      <c r="S26" s="266">
        <f t="shared" si="3"/>
        <v>0.79239168949825389</v>
      </c>
    </row>
    <row r="27" spans="1:23">
      <c r="A27" s="243"/>
      <c r="B27" s="244"/>
      <c r="C27" s="311">
        <v>8</v>
      </c>
      <c r="D27" s="244">
        <v>6</v>
      </c>
      <c r="E27" s="244">
        <v>0</v>
      </c>
      <c r="F27" s="244">
        <v>0</v>
      </c>
      <c r="G27" s="244">
        <v>1</v>
      </c>
      <c r="H27" s="244">
        <v>1</v>
      </c>
      <c r="I27" s="244">
        <v>0</v>
      </c>
      <c r="J27" s="244">
        <v>0</v>
      </c>
      <c r="K27" s="276">
        <v>7</v>
      </c>
      <c r="L27" s="277">
        <v>33.700000000000003</v>
      </c>
      <c r="M27" s="342" t="s">
        <v>154</v>
      </c>
      <c r="N27" s="343"/>
      <c r="O27" s="343"/>
      <c r="P27" s="343"/>
      <c r="Q27" s="343"/>
      <c r="R27" s="344"/>
      <c r="S27" s="266">
        <f t="shared" si="3"/>
        <v>0.84509804001425681</v>
      </c>
    </row>
    <row r="28" spans="1:23">
      <c r="A28" s="243"/>
      <c r="B28" s="244"/>
      <c r="C28" s="311">
        <v>10</v>
      </c>
      <c r="D28" s="244">
        <v>6</v>
      </c>
      <c r="E28" s="244">
        <v>0</v>
      </c>
      <c r="F28" s="244">
        <v>0</v>
      </c>
      <c r="G28" s="244">
        <v>1</v>
      </c>
      <c r="H28" s="244">
        <v>1</v>
      </c>
      <c r="I28" s="244">
        <v>1</v>
      </c>
      <c r="J28" s="244">
        <v>0</v>
      </c>
      <c r="K28" s="276">
        <v>8.4</v>
      </c>
      <c r="L28" s="277">
        <v>30</v>
      </c>
      <c r="M28" s="342"/>
      <c r="N28" s="343"/>
      <c r="O28" s="343"/>
      <c r="P28" s="343"/>
      <c r="Q28" s="343"/>
      <c r="R28" s="344"/>
      <c r="S28" s="266">
        <f t="shared" si="3"/>
        <v>0.9242792860618817</v>
      </c>
    </row>
    <row r="29" spans="1:23">
      <c r="A29" s="243"/>
      <c r="B29" s="244"/>
      <c r="C29" s="311">
        <v>10</v>
      </c>
      <c r="D29" s="244">
        <v>6</v>
      </c>
      <c r="E29" s="244">
        <v>0</v>
      </c>
      <c r="F29" s="244">
        <v>0</v>
      </c>
      <c r="G29" s="244">
        <v>1</v>
      </c>
      <c r="H29" s="244">
        <v>1</v>
      </c>
      <c r="I29" s="244">
        <v>1</v>
      </c>
      <c r="J29" s="244">
        <v>0</v>
      </c>
      <c r="K29" s="276">
        <v>8.4</v>
      </c>
      <c r="L29" s="277">
        <v>30</v>
      </c>
      <c r="M29" s="249"/>
      <c r="N29" s="250"/>
      <c r="O29" s="250"/>
      <c r="P29" s="250"/>
      <c r="Q29" s="250"/>
      <c r="R29" s="250"/>
      <c r="S29" s="266">
        <f t="shared" si="3"/>
        <v>0.9242792860618817</v>
      </c>
    </row>
    <row r="30" spans="1:23">
      <c r="A30" s="243"/>
      <c r="B30" s="244"/>
      <c r="C30" s="311">
        <v>8</v>
      </c>
      <c r="D30" s="244">
        <v>7</v>
      </c>
      <c r="E30" s="244">
        <v>0</v>
      </c>
      <c r="F30" s="244">
        <v>0</v>
      </c>
      <c r="G30" s="244">
        <v>2</v>
      </c>
      <c r="H30" s="244">
        <v>2</v>
      </c>
      <c r="I30" s="244">
        <v>1</v>
      </c>
      <c r="J30" s="244">
        <v>0</v>
      </c>
      <c r="K30" s="276">
        <v>4.5</v>
      </c>
      <c r="L30" s="277">
        <v>24.349900000000002</v>
      </c>
      <c r="M30" s="249"/>
      <c r="N30" s="250"/>
      <c r="O30" s="250"/>
      <c r="P30" s="250"/>
      <c r="Q30" s="250"/>
      <c r="R30" s="250"/>
      <c r="S30" s="266">
        <f t="shared" si="3"/>
        <v>0.65321251377534373</v>
      </c>
    </row>
    <row r="31" spans="1:23">
      <c r="A31" s="243"/>
      <c r="B31" s="244"/>
      <c r="C31" s="311">
        <v>12</v>
      </c>
      <c r="D31" s="244">
        <v>6</v>
      </c>
      <c r="E31" s="244">
        <v>0</v>
      </c>
      <c r="F31" s="244">
        <v>0</v>
      </c>
      <c r="G31" s="244">
        <v>2</v>
      </c>
      <c r="H31" s="244">
        <v>2</v>
      </c>
      <c r="I31" s="244">
        <v>1</v>
      </c>
      <c r="J31" s="244">
        <v>0</v>
      </c>
      <c r="K31" s="276">
        <v>5.7</v>
      </c>
      <c r="L31" s="277">
        <v>20.99</v>
      </c>
      <c r="M31" s="249"/>
      <c r="N31" s="250"/>
      <c r="O31" s="250"/>
      <c r="P31" s="250"/>
      <c r="Q31" s="250"/>
      <c r="R31" s="250"/>
      <c r="S31" s="266">
        <f t="shared" si="3"/>
        <v>0.75587485567249146</v>
      </c>
    </row>
    <row r="32" spans="1:23">
      <c r="A32" s="243"/>
      <c r="B32" s="244"/>
      <c r="C32" s="311">
        <v>12</v>
      </c>
      <c r="D32" s="244">
        <v>6</v>
      </c>
      <c r="E32" s="244">
        <v>0</v>
      </c>
      <c r="F32" s="244">
        <v>0</v>
      </c>
      <c r="G32" s="244">
        <v>2</v>
      </c>
      <c r="H32" s="244">
        <v>2</v>
      </c>
      <c r="I32" s="244">
        <v>1</v>
      </c>
      <c r="J32" s="244">
        <v>0</v>
      </c>
      <c r="K32" s="276">
        <v>5.7</v>
      </c>
      <c r="L32" s="277">
        <v>21.1</v>
      </c>
      <c r="M32" s="249"/>
      <c r="N32" s="250"/>
      <c r="O32" s="250"/>
      <c r="P32" s="250"/>
      <c r="Q32" s="250"/>
      <c r="R32" s="250"/>
      <c r="S32" s="266">
        <f t="shared" si="3"/>
        <v>0.75587485567249146</v>
      </c>
    </row>
    <row r="33" spans="1:19">
      <c r="A33" s="243"/>
      <c r="B33" s="244"/>
      <c r="C33" s="311">
        <v>10</v>
      </c>
      <c r="D33" s="244">
        <v>6</v>
      </c>
      <c r="E33" s="244">
        <v>1</v>
      </c>
      <c r="F33" s="244">
        <v>0</v>
      </c>
      <c r="G33" s="244">
        <v>2</v>
      </c>
      <c r="H33" s="244">
        <v>2</v>
      </c>
      <c r="I33" s="244">
        <v>1</v>
      </c>
      <c r="J33" s="244">
        <v>0</v>
      </c>
      <c r="K33" s="276">
        <v>5.2</v>
      </c>
      <c r="L33" s="277">
        <v>25.4</v>
      </c>
      <c r="M33" s="249"/>
      <c r="N33" s="250"/>
      <c r="O33" s="250"/>
      <c r="P33" s="250"/>
      <c r="Q33" s="250"/>
      <c r="R33" s="250"/>
      <c r="S33" s="266">
        <f t="shared" si="3"/>
        <v>0.71600334363479923</v>
      </c>
    </row>
    <row r="34" spans="1:19">
      <c r="A34" s="243"/>
      <c r="B34" s="244"/>
      <c r="C34" s="311">
        <v>10</v>
      </c>
      <c r="D34" s="244">
        <v>6</v>
      </c>
      <c r="E34" s="244">
        <v>0</v>
      </c>
      <c r="F34" s="244">
        <v>0</v>
      </c>
      <c r="G34" s="244">
        <v>2</v>
      </c>
      <c r="H34" s="244">
        <v>2</v>
      </c>
      <c r="I34" s="244">
        <v>1</v>
      </c>
      <c r="J34" s="244">
        <v>0</v>
      </c>
      <c r="K34" s="276">
        <v>5.2</v>
      </c>
      <c r="L34" s="277">
        <v>24</v>
      </c>
      <c r="M34" s="249"/>
      <c r="N34" s="250"/>
      <c r="O34" s="250"/>
      <c r="P34" s="250"/>
      <c r="Q34" s="250"/>
      <c r="R34" s="250"/>
      <c r="S34" s="266">
        <f t="shared" si="3"/>
        <v>0.71600334363479923</v>
      </c>
    </row>
    <row r="35" spans="1:19">
      <c r="A35" s="243"/>
      <c r="B35" s="244"/>
      <c r="C35" s="311">
        <v>10</v>
      </c>
      <c r="D35" s="244">
        <v>6</v>
      </c>
      <c r="E35" s="244">
        <v>0</v>
      </c>
      <c r="F35" s="244">
        <v>0</v>
      </c>
      <c r="G35" s="244">
        <v>2</v>
      </c>
      <c r="H35" s="244">
        <v>2</v>
      </c>
      <c r="I35" s="244">
        <v>1</v>
      </c>
      <c r="J35" s="244">
        <v>0</v>
      </c>
      <c r="K35" s="276">
        <v>5.2</v>
      </c>
      <c r="L35" s="277">
        <v>25.4</v>
      </c>
      <c r="M35" s="249"/>
      <c r="N35" s="250"/>
      <c r="O35" s="250"/>
      <c r="P35" s="250"/>
      <c r="Q35" s="250"/>
      <c r="R35" s="250"/>
      <c r="S35" s="266">
        <f t="shared" si="3"/>
        <v>0.71600334363479923</v>
      </c>
    </row>
    <row r="36" spans="1:19">
      <c r="A36" s="243"/>
      <c r="B36" s="244"/>
      <c r="C36" s="311">
        <v>10</v>
      </c>
      <c r="D36" s="244">
        <v>6</v>
      </c>
      <c r="E36" s="244">
        <v>0</v>
      </c>
      <c r="F36" s="244">
        <v>0</v>
      </c>
      <c r="G36" s="244">
        <v>2</v>
      </c>
      <c r="H36" s="244">
        <v>2</v>
      </c>
      <c r="I36" s="244">
        <v>1</v>
      </c>
      <c r="J36" s="244">
        <v>0</v>
      </c>
      <c r="K36" s="276">
        <v>5.2</v>
      </c>
      <c r="L36" s="277">
        <v>22.6</v>
      </c>
      <c r="M36" s="249"/>
      <c r="N36" s="250"/>
      <c r="O36" s="250"/>
      <c r="P36" s="250"/>
      <c r="Q36" s="250"/>
      <c r="R36" s="250"/>
      <c r="S36" s="266">
        <f t="shared" si="3"/>
        <v>0.71600334363479923</v>
      </c>
    </row>
    <row r="37" spans="1:19">
      <c r="A37" s="243"/>
      <c r="B37" s="244"/>
      <c r="C37" s="311">
        <v>12</v>
      </c>
      <c r="D37" s="244">
        <v>7</v>
      </c>
      <c r="E37" s="244">
        <v>0</v>
      </c>
      <c r="F37" s="244">
        <v>0</v>
      </c>
      <c r="G37" s="244">
        <v>2</v>
      </c>
      <c r="H37" s="244">
        <v>2</v>
      </c>
      <c r="I37" s="244">
        <v>1</v>
      </c>
      <c r="J37" s="244">
        <v>0</v>
      </c>
      <c r="K37" s="276">
        <v>6.5</v>
      </c>
      <c r="L37" s="277">
        <v>17.5</v>
      </c>
      <c r="M37" s="249"/>
      <c r="N37" s="250"/>
      <c r="O37" s="250"/>
      <c r="P37" s="250"/>
      <c r="Q37" s="250"/>
      <c r="R37" s="250"/>
      <c r="S37" s="266">
        <f t="shared" si="3"/>
        <v>0.81291335664285558</v>
      </c>
    </row>
    <row r="38" spans="1:19">
      <c r="A38" s="243"/>
      <c r="B38" s="244"/>
      <c r="C38" s="311">
        <v>12</v>
      </c>
      <c r="D38" s="244">
        <v>7</v>
      </c>
      <c r="E38" s="244">
        <v>0</v>
      </c>
      <c r="F38" s="244">
        <v>0</v>
      </c>
      <c r="G38" s="244">
        <v>2</v>
      </c>
      <c r="H38" s="244">
        <v>2</v>
      </c>
      <c r="I38" s="244">
        <v>1</v>
      </c>
      <c r="J38" s="244">
        <v>0</v>
      </c>
      <c r="K38" s="276">
        <v>6.5</v>
      </c>
      <c r="L38" s="277">
        <v>19.899999999999999</v>
      </c>
      <c r="M38" s="249"/>
      <c r="N38" s="250"/>
      <c r="O38" s="250"/>
      <c r="P38" s="250"/>
      <c r="Q38" s="250"/>
      <c r="R38" s="250"/>
      <c r="S38" s="266">
        <f t="shared" si="3"/>
        <v>0.81291335664285558</v>
      </c>
    </row>
    <row r="39" spans="1:19">
      <c r="A39" s="243"/>
      <c r="B39" s="244"/>
      <c r="C39" s="311">
        <v>12</v>
      </c>
      <c r="D39" s="244">
        <v>7</v>
      </c>
      <c r="E39" s="244">
        <v>0</v>
      </c>
      <c r="F39" s="244">
        <v>0</v>
      </c>
      <c r="G39" s="244">
        <v>2</v>
      </c>
      <c r="H39" s="244">
        <v>2</v>
      </c>
      <c r="I39" s="244">
        <v>1</v>
      </c>
      <c r="J39" s="244">
        <v>0</v>
      </c>
      <c r="K39" s="276">
        <v>6.5</v>
      </c>
      <c r="L39" s="277">
        <v>19.899999999999999</v>
      </c>
      <c r="M39" s="249"/>
      <c r="N39" s="250"/>
      <c r="O39" s="250"/>
      <c r="P39" s="250"/>
      <c r="Q39" s="250"/>
      <c r="R39" s="250"/>
      <c r="S39" s="266">
        <f t="shared" si="3"/>
        <v>0.81291335664285558</v>
      </c>
    </row>
    <row r="40" spans="1:19">
      <c r="A40" s="243"/>
      <c r="B40" s="244"/>
      <c r="C40" s="311">
        <v>12</v>
      </c>
      <c r="D40" s="244">
        <v>7</v>
      </c>
      <c r="E40" s="244">
        <v>0</v>
      </c>
      <c r="F40" s="244">
        <v>0</v>
      </c>
      <c r="G40" s="244">
        <v>2</v>
      </c>
      <c r="H40" s="244">
        <v>2</v>
      </c>
      <c r="I40" s="244">
        <v>1</v>
      </c>
      <c r="J40" s="244">
        <v>0</v>
      </c>
      <c r="K40" s="276">
        <v>6.5</v>
      </c>
      <c r="L40" s="277">
        <v>17.5</v>
      </c>
      <c r="M40" s="249"/>
      <c r="N40" s="250"/>
      <c r="O40" s="250"/>
      <c r="P40" s="250"/>
      <c r="Q40" s="250"/>
      <c r="R40" s="250"/>
      <c r="S40" s="266">
        <f t="shared" si="3"/>
        <v>0.81291335664285558</v>
      </c>
    </row>
    <row r="41" spans="1:19">
      <c r="A41" s="243"/>
      <c r="B41" s="244"/>
      <c r="C41" s="311">
        <v>12</v>
      </c>
      <c r="D41" s="244">
        <v>7</v>
      </c>
      <c r="E41" s="244">
        <v>0</v>
      </c>
      <c r="F41" s="244">
        <v>0</v>
      </c>
      <c r="G41" s="244">
        <v>2</v>
      </c>
      <c r="H41" s="244">
        <v>2</v>
      </c>
      <c r="I41" s="244">
        <v>1</v>
      </c>
      <c r="J41" s="244">
        <v>0</v>
      </c>
      <c r="K41" s="276">
        <v>6.5</v>
      </c>
      <c r="L41" s="277">
        <v>19.899999999999999</v>
      </c>
      <c r="M41" s="249"/>
      <c r="N41" s="250"/>
      <c r="O41" s="250"/>
      <c r="P41" s="250"/>
      <c r="Q41" s="250"/>
      <c r="R41" s="250"/>
      <c r="S41" s="266">
        <f t="shared" si="3"/>
        <v>0.81291335664285558</v>
      </c>
    </row>
    <row r="42" spans="1:19">
      <c r="A42" s="243"/>
      <c r="B42" s="244"/>
      <c r="C42" s="311">
        <v>4</v>
      </c>
      <c r="D42" s="244">
        <v>6</v>
      </c>
      <c r="E42" s="244">
        <v>0</v>
      </c>
      <c r="F42" s="244">
        <v>0</v>
      </c>
      <c r="G42" s="244">
        <v>2</v>
      </c>
      <c r="H42" s="244">
        <v>2</v>
      </c>
      <c r="I42" s="244">
        <v>1</v>
      </c>
      <c r="J42" s="244">
        <v>1</v>
      </c>
      <c r="K42" s="276">
        <v>1.8</v>
      </c>
      <c r="L42" s="277">
        <v>37.619999999999997</v>
      </c>
      <c r="M42" s="249"/>
      <c r="N42" s="250"/>
      <c r="O42" s="250"/>
      <c r="P42" s="250"/>
      <c r="Q42" s="250"/>
      <c r="R42" s="250"/>
      <c r="S42" s="266">
        <f t="shared" si="3"/>
        <v>0.25527250510330607</v>
      </c>
    </row>
    <row r="43" spans="1:19">
      <c r="A43" s="243"/>
      <c r="B43" s="244"/>
      <c r="C43" s="311">
        <v>4</v>
      </c>
      <c r="D43" s="244">
        <v>6</v>
      </c>
      <c r="E43" s="244">
        <v>0</v>
      </c>
      <c r="F43" s="244">
        <v>0</v>
      </c>
      <c r="G43" s="244">
        <v>2</v>
      </c>
      <c r="H43" s="244">
        <v>2</v>
      </c>
      <c r="I43" s="244">
        <v>1</v>
      </c>
      <c r="J43" s="244">
        <v>1</v>
      </c>
      <c r="K43" s="276">
        <v>1.8</v>
      </c>
      <c r="L43" s="277">
        <v>37.002800000000001</v>
      </c>
      <c r="M43" s="249"/>
      <c r="N43" s="250"/>
      <c r="O43" s="250"/>
      <c r="P43" s="250"/>
      <c r="Q43" s="250"/>
      <c r="R43" s="250"/>
      <c r="S43" s="266">
        <f t="shared" si="3"/>
        <v>0.25527250510330607</v>
      </c>
    </row>
    <row r="44" spans="1:19">
      <c r="A44" s="243"/>
      <c r="B44" s="244"/>
      <c r="C44" s="311">
        <v>4</v>
      </c>
      <c r="D44" s="244">
        <v>5</v>
      </c>
      <c r="E44" s="244">
        <v>0</v>
      </c>
      <c r="F44" s="244">
        <v>0</v>
      </c>
      <c r="G44" s="244">
        <v>2</v>
      </c>
      <c r="H44" s="244">
        <v>2</v>
      </c>
      <c r="I44" s="244">
        <v>1</v>
      </c>
      <c r="J44" s="244">
        <v>0</v>
      </c>
      <c r="K44" s="276">
        <v>2</v>
      </c>
      <c r="L44" s="277">
        <v>38.995899999999999</v>
      </c>
      <c r="M44" s="249"/>
      <c r="N44" s="250"/>
      <c r="O44" s="250"/>
      <c r="P44" s="250"/>
      <c r="Q44" s="250"/>
      <c r="R44" s="250"/>
      <c r="S44" s="266">
        <f t="shared" si="3"/>
        <v>0.3010299956639812</v>
      </c>
    </row>
    <row r="45" spans="1:19">
      <c r="A45" s="243"/>
      <c r="B45" s="244"/>
      <c r="C45" s="311">
        <v>4</v>
      </c>
      <c r="D45" s="244">
        <v>6</v>
      </c>
      <c r="E45" s="244">
        <v>0</v>
      </c>
      <c r="F45" s="244">
        <v>0</v>
      </c>
      <c r="G45" s="244">
        <v>2</v>
      </c>
      <c r="H45" s="244">
        <v>2</v>
      </c>
      <c r="I45" s="244">
        <v>1</v>
      </c>
      <c r="J45" s="244">
        <v>0</v>
      </c>
      <c r="K45" s="276">
        <v>2</v>
      </c>
      <c r="L45" s="277">
        <v>39</v>
      </c>
      <c r="M45" s="249"/>
      <c r="N45" s="250"/>
      <c r="O45" s="250"/>
      <c r="P45" s="250"/>
      <c r="Q45" s="250"/>
      <c r="R45" s="250"/>
      <c r="S45" s="266">
        <f t="shared" si="3"/>
        <v>0.3010299956639812</v>
      </c>
    </row>
    <row r="46" spans="1:19">
      <c r="A46" s="243"/>
      <c r="B46" s="244"/>
      <c r="C46" s="311">
        <v>4</v>
      </c>
      <c r="D46" s="244">
        <v>6</v>
      </c>
      <c r="E46" s="244">
        <v>1</v>
      </c>
      <c r="F46" s="244">
        <v>0</v>
      </c>
      <c r="G46" s="244">
        <v>2</v>
      </c>
      <c r="H46" s="244">
        <v>2</v>
      </c>
      <c r="I46" s="244">
        <v>1</v>
      </c>
      <c r="J46" s="244">
        <v>0</v>
      </c>
      <c r="K46" s="276">
        <v>2</v>
      </c>
      <c r="L46" s="277">
        <v>38.512</v>
      </c>
      <c r="M46" s="249"/>
      <c r="N46" s="250"/>
      <c r="O46" s="250"/>
      <c r="P46" s="250"/>
      <c r="Q46" s="250"/>
      <c r="R46" s="250"/>
      <c r="S46" s="266">
        <f t="shared" si="3"/>
        <v>0.3010299956639812</v>
      </c>
    </row>
    <row r="47" spans="1:19">
      <c r="A47" s="243"/>
      <c r="B47" s="244"/>
      <c r="C47" s="311">
        <v>8</v>
      </c>
      <c r="D47" s="244">
        <v>7</v>
      </c>
      <c r="E47" s="244">
        <v>1</v>
      </c>
      <c r="F47" s="244">
        <v>0</v>
      </c>
      <c r="G47" s="244">
        <v>2</v>
      </c>
      <c r="H47" s="244">
        <v>2</v>
      </c>
      <c r="I47" s="244">
        <v>1</v>
      </c>
      <c r="J47" s="244">
        <v>0</v>
      </c>
      <c r="K47" s="276">
        <v>5.5</v>
      </c>
      <c r="L47" s="277">
        <v>29.3</v>
      </c>
      <c r="M47" s="249"/>
      <c r="N47" s="250"/>
      <c r="O47" s="250"/>
      <c r="P47" s="250"/>
      <c r="Q47" s="250"/>
      <c r="R47" s="250"/>
      <c r="S47" s="266">
        <f t="shared" si="3"/>
        <v>0.74036268949424389</v>
      </c>
    </row>
    <row r="48" spans="1:19">
      <c r="A48" s="243"/>
      <c r="B48" s="244"/>
      <c r="C48" s="311">
        <v>6</v>
      </c>
      <c r="D48" s="244">
        <v>6</v>
      </c>
      <c r="E48" s="244">
        <v>0</v>
      </c>
      <c r="F48" s="244">
        <v>0</v>
      </c>
      <c r="G48" s="244">
        <v>2</v>
      </c>
      <c r="H48" s="244">
        <v>2</v>
      </c>
      <c r="I48" s="244">
        <v>1</v>
      </c>
      <c r="J48" s="244">
        <v>0</v>
      </c>
      <c r="K48" s="276">
        <v>3</v>
      </c>
      <c r="L48" s="277">
        <v>35.9</v>
      </c>
      <c r="M48" s="249"/>
      <c r="N48" s="250"/>
      <c r="O48" s="250"/>
      <c r="P48" s="250"/>
      <c r="Q48" s="250"/>
      <c r="R48" s="250"/>
      <c r="S48" s="266">
        <f t="shared" si="3"/>
        <v>0.47712125471966244</v>
      </c>
    </row>
    <row r="49" spans="1:19">
      <c r="A49" s="243"/>
      <c r="B49" s="244"/>
      <c r="C49" s="311">
        <v>6</v>
      </c>
      <c r="D49" s="244">
        <v>7</v>
      </c>
      <c r="E49" s="244">
        <v>1</v>
      </c>
      <c r="F49" s="244">
        <v>0</v>
      </c>
      <c r="G49" s="244">
        <v>2</v>
      </c>
      <c r="H49" s="244">
        <v>2</v>
      </c>
      <c r="I49" s="244">
        <v>1</v>
      </c>
      <c r="J49" s="244">
        <v>0</v>
      </c>
      <c r="K49" s="276">
        <v>3.5</v>
      </c>
      <c r="L49" s="277">
        <v>36.200000000000003</v>
      </c>
      <c r="M49" s="249"/>
      <c r="N49" s="250"/>
      <c r="O49" s="250"/>
      <c r="P49" s="250"/>
      <c r="Q49" s="250"/>
      <c r="R49" s="250"/>
      <c r="S49" s="266">
        <f t="shared" si="3"/>
        <v>0.54406804435027567</v>
      </c>
    </row>
    <row r="50" spans="1:19">
      <c r="A50" s="243"/>
      <c r="B50" s="244"/>
      <c r="C50" s="311">
        <v>6</v>
      </c>
      <c r="D50" s="244">
        <v>7</v>
      </c>
      <c r="E50" s="244">
        <v>1</v>
      </c>
      <c r="F50" s="244">
        <v>0</v>
      </c>
      <c r="G50" s="244">
        <v>2</v>
      </c>
      <c r="H50" s="244">
        <v>2</v>
      </c>
      <c r="I50" s="244">
        <v>1</v>
      </c>
      <c r="J50" s="244">
        <v>0</v>
      </c>
      <c r="K50" s="276">
        <v>3.5</v>
      </c>
      <c r="L50" s="277">
        <v>34.5</v>
      </c>
      <c r="M50" s="249"/>
      <c r="N50" s="250"/>
      <c r="O50" s="250"/>
      <c r="P50" s="250"/>
      <c r="Q50" s="250"/>
      <c r="R50" s="250"/>
      <c r="S50" s="266">
        <f t="shared" si="3"/>
        <v>0.54406804435027567</v>
      </c>
    </row>
    <row r="51" spans="1:19">
      <c r="A51" s="243"/>
      <c r="B51" s="244"/>
      <c r="C51" s="311">
        <v>6</v>
      </c>
      <c r="D51" s="244">
        <v>6</v>
      </c>
      <c r="E51" s="244">
        <v>0</v>
      </c>
      <c r="F51" s="244">
        <v>0</v>
      </c>
      <c r="G51" s="244">
        <v>2</v>
      </c>
      <c r="H51" s="244">
        <v>2</v>
      </c>
      <c r="I51" s="244">
        <v>1</v>
      </c>
      <c r="J51" s="244">
        <v>0</v>
      </c>
      <c r="K51" s="276">
        <v>3.5</v>
      </c>
      <c r="L51" s="277">
        <v>34.792700000000004</v>
      </c>
      <c r="M51" s="249"/>
      <c r="N51" s="250"/>
      <c r="O51" s="250"/>
      <c r="P51" s="250"/>
      <c r="Q51" s="250"/>
      <c r="R51" s="250"/>
      <c r="S51" s="266">
        <f t="shared" si="3"/>
        <v>0.54406804435027567</v>
      </c>
    </row>
    <row r="52" spans="1:19">
      <c r="A52" s="243"/>
      <c r="B52" s="244"/>
      <c r="C52" s="311">
        <v>8</v>
      </c>
      <c r="D52" s="244">
        <v>7</v>
      </c>
      <c r="E52" s="244">
        <v>1</v>
      </c>
      <c r="F52" s="244">
        <v>0</v>
      </c>
      <c r="G52" s="244">
        <v>2</v>
      </c>
      <c r="H52" s="244">
        <v>1</v>
      </c>
      <c r="I52" s="244">
        <v>1</v>
      </c>
      <c r="J52" s="244">
        <v>0</v>
      </c>
      <c r="K52" s="276">
        <v>5.5</v>
      </c>
      <c r="L52" s="277">
        <v>30.8</v>
      </c>
      <c r="M52" s="249"/>
      <c r="N52" s="250"/>
      <c r="O52" s="250"/>
      <c r="P52" s="250"/>
      <c r="Q52" s="250"/>
      <c r="R52" s="250"/>
      <c r="S52" s="266">
        <f t="shared" si="3"/>
        <v>0.74036268949424389</v>
      </c>
    </row>
    <row r="53" spans="1:19">
      <c r="A53" s="243"/>
      <c r="B53" s="244"/>
      <c r="C53" s="311">
        <v>3</v>
      </c>
      <c r="D53" s="244">
        <v>5</v>
      </c>
      <c r="E53" s="244">
        <v>1</v>
      </c>
      <c r="F53" s="244">
        <v>0</v>
      </c>
      <c r="G53" s="244">
        <v>2</v>
      </c>
      <c r="H53" s="244">
        <v>2</v>
      </c>
      <c r="I53" s="244">
        <v>1</v>
      </c>
      <c r="J53" s="244">
        <v>0</v>
      </c>
      <c r="K53" s="276">
        <v>1</v>
      </c>
      <c r="L53" s="277">
        <v>57.8</v>
      </c>
      <c r="M53" s="249"/>
      <c r="N53" s="250"/>
      <c r="O53" s="250"/>
      <c r="P53" s="250"/>
      <c r="Q53" s="250"/>
      <c r="R53" s="250"/>
      <c r="S53" s="266">
        <f t="shared" si="3"/>
        <v>0</v>
      </c>
    </row>
    <row r="54" spans="1:19">
      <c r="A54" s="243"/>
      <c r="B54" s="244"/>
      <c r="C54" s="311">
        <v>3</v>
      </c>
      <c r="D54" s="244">
        <v>5</v>
      </c>
      <c r="E54" s="244">
        <v>1</v>
      </c>
      <c r="F54" s="244">
        <v>0</v>
      </c>
      <c r="G54" s="244">
        <v>2</v>
      </c>
      <c r="H54" s="244">
        <v>2</v>
      </c>
      <c r="I54" s="244">
        <v>1</v>
      </c>
      <c r="J54" s="244">
        <v>0</v>
      </c>
      <c r="K54" s="276">
        <v>1</v>
      </c>
      <c r="L54" s="277">
        <v>57.8</v>
      </c>
      <c r="M54" s="249"/>
      <c r="N54" s="250"/>
      <c r="O54" s="250"/>
      <c r="P54" s="250"/>
      <c r="Q54" s="250"/>
      <c r="R54" s="250"/>
      <c r="S54" s="266">
        <f t="shared" si="3"/>
        <v>0</v>
      </c>
    </row>
    <row r="55" spans="1:19">
      <c r="A55" s="243"/>
      <c r="B55" s="244"/>
      <c r="C55" s="311">
        <v>6</v>
      </c>
      <c r="D55" s="244">
        <v>6</v>
      </c>
      <c r="E55" s="244">
        <v>1</v>
      </c>
      <c r="F55" s="244">
        <v>0</v>
      </c>
      <c r="G55" s="244">
        <v>2</v>
      </c>
      <c r="H55" s="244">
        <v>2</v>
      </c>
      <c r="I55" s="244">
        <v>1</v>
      </c>
      <c r="J55" s="244">
        <v>1</v>
      </c>
      <c r="K55" s="276">
        <v>3.7</v>
      </c>
      <c r="L55" s="277">
        <v>35.980200000000004</v>
      </c>
      <c r="M55" s="249"/>
      <c r="N55" s="250"/>
      <c r="O55" s="250"/>
      <c r="P55" s="250"/>
      <c r="Q55" s="250"/>
      <c r="R55" s="250"/>
      <c r="S55" s="266">
        <f t="shared" si="3"/>
        <v>0.56820172406699498</v>
      </c>
    </row>
    <row r="56" spans="1:19">
      <c r="A56" s="243"/>
      <c r="B56" s="244"/>
      <c r="C56" s="311">
        <v>6</v>
      </c>
      <c r="D56" s="244">
        <v>7</v>
      </c>
      <c r="E56" s="244">
        <v>1</v>
      </c>
      <c r="F56" s="244">
        <v>0</v>
      </c>
      <c r="G56" s="244">
        <v>2</v>
      </c>
      <c r="H56" s="244">
        <v>2</v>
      </c>
      <c r="I56" s="244">
        <v>1</v>
      </c>
      <c r="J56" s="244">
        <v>1</v>
      </c>
      <c r="K56" s="276">
        <v>3.7</v>
      </c>
      <c r="L56" s="277">
        <v>36.9</v>
      </c>
      <c r="M56" s="249"/>
      <c r="N56" s="250"/>
      <c r="O56" s="250"/>
      <c r="P56" s="250"/>
      <c r="Q56" s="250"/>
      <c r="R56" s="250"/>
      <c r="S56" s="266">
        <f t="shared" si="3"/>
        <v>0.56820172406699498</v>
      </c>
    </row>
    <row r="57" spans="1:19">
      <c r="A57" s="243"/>
      <c r="B57" s="244"/>
      <c r="C57" s="311">
        <v>6</v>
      </c>
      <c r="D57" s="244">
        <v>7</v>
      </c>
      <c r="E57" s="244">
        <v>1</v>
      </c>
      <c r="F57" s="244">
        <v>0</v>
      </c>
      <c r="G57" s="244">
        <v>2</v>
      </c>
      <c r="H57" s="244">
        <v>2</v>
      </c>
      <c r="I57" s="244">
        <v>1</v>
      </c>
      <c r="J57" s="244">
        <v>1</v>
      </c>
      <c r="K57" s="276">
        <v>3.7</v>
      </c>
      <c r="L57" s="277">
        <v>34.583199999999998</v>
      </c>
      <c r="M57" s="249"/>
      <c r="N57" s="250"/>
      <c r="O57" s="250"/>
      <c r="P57" s="250"/>
      <c r="Q57" s="250"/>
      <c r="R57" s="250"/>
      <c r="S57" s="266">
        <f t="shared" si="3"/>
        <v>0.56820172406699498</v>
      </c>
    </row>
    <row r="58" spans="1:19">
      <c r="A58" s="243"/>
      <c r="B58" s="244"/>
      <c r="C58" s="311">
        <v>6</v>
      </c>
      <c r="D58" s="244">
        <v>6</v>
      </c>
      <c r="E58" s="244">
        <v>0</v>
      </c>
      <c r="F58" s="244">
        <v>0</v>
      </c>
      <c r="G58" s="244">
        <v>2</v>
      </c>
      <c r="H58" s="244">
        <v>2</v>
      </c>
      <c r="I58" s="244">
        <v>1</v>
      </c>
      <c r="J58" s="244">
        <v>1</v>
      </c>
      <c r="K58" s="276">
        <v>3.7</v>
      </c>
      <c r="L58" s="277">
        <v>34.9</v>
      </c>
      <c r="M58" s="249"/>
      <c r="N58" s="250"/>
      <c r="O58" s="250"/>
      <c r="P58" s="250"/>
      <c r="Q58" s="250"/>
      <c r="R58" s="250"/>
      <c r="S58" s="266">
        <f t="shared" si="3"/>
        <v>0.56820172406699498</v>
      </c>
    </row>
    <row r="59" spans="1:19">
      <c r="A59" s="243"/>
      <c r="B59" s="244"/>
      <c r="C59" s="311">
        <v>4</v>
      </c>
      <c r="D59" s="244">
        <v>5</v>
      </c>
      <c r="E59" s="244">
        <v>1</v>
      </c>
      <c r="F59" s="244">
        <v>0</v>
      </c>
      <c r="G59" s="244">
        <v>2</v>
      </c>
      <c r="H59" s="244">
        <v>2</v>
      </c>
      <c r="I59" s="244">
        <v>1</v>
      </c>
      <c r="J59" s="244">
        <v>0</v>
      </c>
      <c r="K59" s="276">
        <v>2</v>
      </c>
      <c r="L59" s="277">
        <v>37.5</v>
      </c>
      <c r="M59" s="249"/>
      <c r="N59" s="250"/>
      <c r="O59" s="250"/>
      <c r="P59" s="250"/>
      <c r="Q59" s="250"/>
      <c r="R59" s="250"/>
      <c r="S59" s="266">
        <f t="shared" si="3"/>
        <v>0.3010299956639812</v>
      </c>
    </row>
    <row r="60" spans="1:19">
      <c r="A60" s="243"/>
      <c r="B60" s="244"/>
      <c r="C60" s="311">
        <v>4</v>
      </c>
      <c r="D60" s="244">
        <v>5</v>
      </c>
      <c r="E60" s="244">
        <v>0</v>
      </c>
      <c r="F60" s="244">
        <v>0</v>
      </c>
      <c r="G60" s="244">
        <v>2</v>
      </c>
      <c r="H60" s="244">
        <v>2</v>
      </c>
      <c r="I60" s="244">
        <v>1</v>
      </c>
      <c r="J60" s="244">
        <v>0</v>
      </c>
      <c r="K60" s="276">
        <v>2</v>
      </c>
      <c r="L60" s="277">
        <v>40</v>
      </c>
      <c r="M60" s="249"/>
      <c r="N60" s="250"/>
      <c r="O60" s="250"/>
      <c r="P60" s="250"/>
      <c r="Q60" s="250"/>
      <c r="R60" s="250"/>
      <c r="S60" s="266">
        <f t="shared" si="3"/>
        <v>0.3010299956639812</v>
      </c>
    </row>
    <row r="61" spans="1:19">
      <c r="A61" s="243"/>
      <c r="B61" s="244"/>
      <c r="C61" s="311">
        <v>4</v>
      </c>
      <c r="D61" s="244">
        <v>5</v>
      </c>
      <c r="E61" s="244">
        <v>1</v>
      </c>
      <c r="F61" s="244">
        <v>0</v>
      </c>
      <c r="G61" s="244">
        <v>2</v>
      </c>
      <c r="H61" s="244">
        <v>2</v>
      </c>
      <c r="I61" s="244">
        <v>1</v>
      </c>
      <c r="J61" s="244">
        <v>0</v>
      </c>
      <c r="K61" s="276">
        <v>2.4</v>
      </c>
      <c r="L61" s="277">
        <v>33.6</v>
      </c>
      <c r="M61" s="249"/>
      <c r="N61" s="250"/>
      <c r="O61" s="250"/>
      <c r="P61" s="250"/>
      <c r="Q61" s="250"/>
      <c r="R61" s="250"/>
      <c r="S61" s="266">
        <f t="shared" si="3"/>
        <v>0.38021124171160603</v>
      </c>
    </row>
    <row r="62" spans="1:19">
      <c r="A62" s="243"/>
      <c r="B62" s="244"/>
      <c r="C62" s="311">
        <v>4</v>
      </c>
      <c r="D62" s="244">
        <v>5</v>
      </c>
      <c r="E62" s="244">
        <v>0</v>
      </c>
      <c r="F62" s="244">
        <v>0</v>
      </c>
      <c r="G62" s="244">
        <v>2</v>
      </c>
      <c r="H62" s="244">
        <v>2</v>
      </c>
      <c r="I62" s="244">
        <v>1</v>
      </c>
      <c r="J62" s="244">
        <v>0</v>
      </c>
      <c r="K62" s="276">
        <v>2.4</v>
      </c>
      <c r="L62" s="277">
        <v>36.4</v>
      </c>
      <c r="M62" s="249"/>
      <c r="N62" s="250"/>
      <c r="O62" s="250"/>
      <c r="P62" s="250"/>
      <c r="Q62" s="250"/>
      <c r="R62" s="250"/>
      <c r="S62" s="266">
        <f t="shared" si="3"/>
        <v>0.38021124171160603</v>
      </c>
    </row>
    <row r="63" spans="1:19">
      <c r="A63" s="243"/>
      <c r="B63" s="244"/>
      <c r="C63" s="311">
        <v>6</v>
      </c>
      <c r="D63" s="244">
        <v>6</v>
      </c>
      <c r="E63" s="244">
        <v>0</v>
      </c>
      <c r="F63" s="244">
        <v>0</v>
      </c>
      <c r="G63" s="244">
        <v>2</v>
      </c>
      <c r="H63" s="244">
        <v>2</v>
      </c>
      <c r="I63" s="244">
        <v>1</v>
      </c>
      <c r="J63" s="244">
        <v>1</v>
      </c>
      <c r="K63" s="276">
        <v>3.8</v>
      </c>
      <c r="L63" s="277">
        <v>28.5532</v>
      </c>
      <c r="M63" s="249"/>
      <c r="N63" s="250"/>
      <c r="O63" s="250"/>
      <c r="P63" s="250"/>
      <c r="Q63" s="250"/>
      <c r="R63" s="250"/>
      <c r="S63" s="266">
        <f t="shared" si="3"/>
        <v>0.57978359661681012</v>
      </c>
    </row>
    <row r="64" spans="1:19">
      <c r="A64" s="243"/>
      <c r="B64" s="244"/>
      <c r="C64" s="311">
        <v>6</v>
      </c>
      <c r="D64" s="244">
        <v>6</v>
      </c>
      <c r="E64" s="244">
        <v>0</v>
      </c>
      <c r="F64" s="244">
        <v>0</v>
      </c>
      <c r="G64" s="244">
        <v>2</v>
      </c>
      <c r="H64" s="244">
        <v>2</v>
      </c>
      <c r="I64" s="244">
        <v>1</v>
      </c>
      <c r="J64" s="244">
        <v>1</v>
      </c>
      <c r="K64" s="276">
        <v>3.8</v>
      </c>
      <c r="L64" s="277">
        <v>27.372</v>
      </c>
      <c r="M64" s="249"/>
      <c r="N64" s="250"/>
      <c r="O64" s="250"/>
      <c r="P64" s="250"/>
      <c r="Q64" s="250"/>
      <c r="R64" s="250"/>
      <c r="S64" s="266">
        <f t="shared" si="3"/>
        <v>0.57978359661681012</v>
      </c>
    </row>
    <row r="65" spans="1:19">
      <c r="A65" s="243"/>
      <c r="B65" s="244"/>
      <c r="C65" s="311">
        <v>6</v>
      </c>
      <c r="D65" s="244">
        <v>6</v>
      </c>
      <c r="E65" s="244">
        <v>0</v>
      </c>
      <c r="F65" s="244">
        <v>0</v>
      </c>
      <c r="G65" s="244">
        <v>2</v>
      </c>
      <c r="H65" s="244">
        <v>2</v>
      </c>
      <c r="I65" s="244">
        <v>1</v>
      </c>
      <c r="J65" s="244">
        <v>1</v>
      </c>
      <c r="K65" s="276">
        <v>2.9</v>
      </c>
      <c r="L65" s="277">
        <v>37.329599999999999</v>
      </c>
      <c r="M65" s="249"/>
      <c r="N65" s="250"/>
      <c r="O65" s="250"/>
      <c r="P65" s="250"/>
      <c r="Q65" s="250"/>
      <c r="R65" s="250"/>
      <c r="S65" s="266">
        <f t="shared" si="3"/>
        <v>0.46239799789895608</v>
      </c>
    </row>
    <row r="66" spans="1:19">
      <c r="A66" s="243"/>
      <c r="B66" s="244"/>
      <c r="C66" s="311">
        <v>6</v>
      </c>
      <c r="D66" s="244">
        <v>7</v>
      </c>
      <c r="E66" s="244">
        <v>0</v>
      </c>
      <c r="F66" s="244">
        <v>0</v>
      </c>
      <c r="G66" s="244">
        <v>2</v>
      </c>
      <c r="H66" s="244">
        <v>2</v>
      </c>
      <c r="I66" s="244">
        <v>1</v>
      </c>
      <c r="J66" s="244">
        <v>1</v>
      </c>
      <c r="K66" s="276">
        <v>2.9</v>
      </c>
      <c r="L66" s="277">
        <v>41.360799999999998</v>
      </c>
      <c r="M66" s="249"/>
      <c r="N66" s="250"/>
      <c r="O66" s="250"/>
      <c r="P66" s="250"/>
      <c r="Q66" s="250"/>
      <c r="R66" s="250"/>
      <c r="S66" s="266">
        <f t="shared" si="3"/>
        <v>0.46239799789895608</v>
      </c>
    </row>
    <row r="67" spans="1:19">
      <c r="A67" s="243"/>
      <c r="B67" s="244"/>
      <c r="C67" s="311">
        <v>6</v>
      </c>
      <c r="D67" s="244">
        <v>6</v>
      </c>
      <c r="E67" s="244">
        <v>0</v>
      </c>
      <c r="F67" s="244">
        <v>0</v>
      </c>
      <c r="G67" s="244">
        <v>2</v>
      </c>
      <c r="H67" s="244">
        <v>2</v>
      </c>
      <c r="I67" s="244">
        <v>1</v>
      </c>
      <c r="J67" s="244">
        <v>1</v>
      </c>
      <c r="K67" s="276">
        <v>3.4</v>
      </c>
      <c r="L67" s="277">
        <v>36.729900000000001</v>
      </c>
      <c r="M67" s="249"/>
      <c r="N67" s="250"/>
      <c r="O67" s="250"/>
      <c r="P67" s="250"/>
      <c r="Q67" s="250"/>
      <c r="R67" s="250"/>
      <c r="S67" s="266">
        <f t="shared" si="3"/>
        <v>0.53147891704225514</v>
      </c>
    </row>
    <row r="68" spans="1:19">
      <c r="A68" s="243"/>
      <c r="B68" s="244"/>
      <c r="C68" s="311">
        <v>6</v>
      </c>
      <c r="D68" s="244">
        <v>7</v>
      </c>
      <c r="E68" s="244">
        <v>0</v>
      </c>
      <c r="F68" s="244">
        <v>0</v>
      </c>
      <c r="G68" s="244">
        <v>2</v>
      </c>
      <c r="H68" s="244">
        <v>2</v>
      </c>
      <c r="I68" s="244">
        <v>1</v>
      </c>
      <c r="J68" s="244">
        <v>1</v>
      </c>
      <c r="K68" s="276">
        <v>3.4</v>
      </c>
      <c r="L68" s="277">
        <v>40.997799999999998</v>
      </c>
      <c r="M68" s="249"/>
      <c r="N68" s="250"/>
      <c r="O68" s="250"/>
      <c r="P68" s="250"/>
      <c r="Q68" s="250"/>
      <c r="R68" s="250"/>
      <c r="S68" s="266">
        <f t="shared" si="3"/>
        <v>0.53147891704225514</v>
      </c>
    </row>
    <row r="69" spans="1:19">
      <c r="A69" s="243"/>
      <c r="B69" s="244"/>
      <c r="C69" s="311">
        <v>6</v>
      </c>
      <c r="D69" s="244">
        <v>6</v>
      </c>
      <c r="E69" s="244">
        <v>0</v>
      </c>
      <c r="F69" s="244">
        <v>0</v>
      </c>
      <c r="G69" s="244">
        <v>2</v>
      </c>
      <c r="H69" s="244">
        <v>2</v>
      </c>
      <c r="I69" s="244">
        <v>1</v>
      </c>
      <c r="J69" s="244">
        <v>1</v>
      </c>
      <c r="K69" s="276">
        <v>2.9</v>
      </c>
      <c r="L69" s="277">
        <v>37.329599999999999</v>
      </c>
      <c r="M69" s="249"/>
      <c r="N69" s="250"/>
      <c r="O69" s="250"/>
      <c r="P69" s="250"/>
      <c r="Q69" s="250"/>
      <c r="R69" s="250"/>
      <c r="S69" s="266">
        <f t="shared" si="3"/>
        <v>0.46239799789895608</v>
      </c>
    </row>
    <row r="70" spans="1:19">
      <c r="A70" s="243"/>
      <c r="B70" s="244"/>
      <c r="C70" s="311">
        <v>6</v>
      </c>
      <c r="D70" s="244">
        <v>7</v>
      </c>
      <c r="E70" s="244">
        <v>0</v>
      </c>
      <c r="F70" s="244">
        <v>0</v>
      </c>
      <c r="G70" s="244">
        <v>2</v>
      </c>
      <c r="H70" s="244">
        <v>2</v>
      </c>
      <c r="I70" s="244">
        <v>1</v>
      </c>
      <c r="J70" s="244">
        <v>1</v>
      </c>
      <c r="K70" s="276">
        <v>2.9</v>
      </c>
      <c r="L70" s="277">
        <v>41.360799999999998</v>
      </c>
      <c r="M70" s="249"/>
      <c r="N70" s="250"/>
      <c r="O70" s="250"/>
      <c r="P70" s="250"/>
      <c r="Q70" s="250"/>
      <c r="R70" s="250"/>
      <c r="S70" s="266">
        <f t="shared" si="3"/>
        <v>0.46239799789895608</v>
      </c>
    </row>
    <row r="71" spans="1:19">
      <c r="A71" s="243"/>
      <c r="B71" s="244"/>
      <c r="C71" s="311">
        <v>6</v>
      </c>
      <c r="D71" s="244">
        <v>6</v>
      </c>
      <c r="E71" s="244">
        <v>0</v>
      </c>
      <c r="F71" s="244">
        <v>0</v>
      </c>
      <c r="G71" s="244">
        <v>2</v>
      </c>
      <c r="H71" s="244">
        <v>2</v>
      </c>
      <c r="I71" s="244">
        <v>1</v>
      </c>
      <c r="J71" s="244">
        <v>1</v>
      </c>
      <c r="K71" s="276">
        <v>3.4</v>
      </c>
      <c r="L71" s="277">
        <v>36.729900000000001</v>
      </c>
      <c r="M71" s="249"/>
      <c r="N71" s="250"/>
      <c r="O71" s="250"/>
      <c r="P71" s="250"/>
      <c r="Q71" s="250"/>
      <c r="R71" s="250"/>
      <c r="S71" s="266">
        <f t="shared" si="3"/>
        <v>0.53147891704225514</v>
      </c>
    </row>
    <row r="72" spans="1:19">
      <c r="A72" s="243"/>
      <c r="B72" s="244"/>
      <c r="C72" s="311">
        <v>6</v>
      </c>
      <c r="D72" s="244">
        <v>7</v>
      </c>
      <c r="E72" s="244">
        <v>0</v>
      </c>
      <c r="F72" s="244">
        <v>0</v>
      </c>
      <c r="G72" s="244">
        <v>2</v>
      </c>
      <c r="H72" s="244">
        <v>2</v>
      </c>
      <c r="I72" s="244">
        <v>1</v>
      </c>
      <c r="J72" s="244">
        <v>1</v>
      </c>
      <c r="K72" s="276">
        <v>3.4</v>
      </c>
      <c r="L72" s="277">
        <v>40.997799999999998</v>
      </c>
      <c r="M72" s="249"/>
      <c r="N72" s="250"/>
      <c r="O72" s="250"/>
      <c r="P72" s="250"/>
      <c r="Q72" s="250"/>
      <c r="R72" s="250"/>
      <c r="S72" s="266">
        <f t="shared" si="3"/>
        <v>0.53147891704225514</v>
      </c>
    </row>
    <row r="73" spans="1:19">
      <c r="A73" s="243"/>
      <c r="B73" s="244"/>
      <c r="C73" s="311">
        <v>4</v>
      </c>
      <c r="D73" s="244">
        <v>5</v>
      </c>
      <c r="E73" s="244">
        <v>1</v>
      </c>
      <c r="F73" s="244">
        <v>0</v>
      </c>
      <c r="G73" s="244">
        <v>2</v>
      </c>
      <c r="H73" s="244">
        <v>2</v>
      </c>
      <c r="I73" s="244">
        <v>1</v>
      </c>
      <c r="J73" s="244">
        <v>0</v>
      </c>
      <c r="K73" s="276">
        <v>2</v>
      </c>
      <c r="L73" s="277">
        <v>37.5</v>
      </c>
      <c r="M73" s="249"/>
      <c r="N73" s="250"/>
      <c r="O73" s="250"/>
      <c r="P73" s="250"/>
      <c r="Q73" s="250"/>
      <c r="R73" s="250"/>
      <c r="S73" s="266">
        <f t="shared" si="3"/>
        <v>0.3010299956639812</v>
      </c>
    </row>
    <row r="74" spans="1:19">
      <c r="A74" s="243"/>
      <c r="B74" s="244"/>
      <c r="C74" s="311">
        <v>4</v>
      </c>
      <c r="D74" s="244">
        <v>5</v>
      </c>
      <c r="E74" s="244">
        <v>0</v>
      </c>
      <c r="F74" s="244">
        <v>0</v>
      </c>
      <c r="G74" s="244">
        <v>2</v>
      </c>
      <c r="H74" s="244">
        <v>2</v>
      </c>
      <c r="I74" s="244">
        <v>1</v>
      </c>
      <c r="J74" s="244">
        <v>0</v>
      </c>
      <c r="K74" s="276">
        <v>2</v>
      </c>
      <c r="L74" s="277">
        <v>40</v>
      </c>
      <c r="M74" s="249"/>
      <c r="N74" s="250"/>
      <c r="O74" s="250"/>
      <c r="P74" s="250"/>
      <c r="Q74" s="250"/>
      <c r="R74" s="250"/>
      <c r="S74" s="266">
        <f t="shared" si="3"/>
        <v>0.3010299956639812</v>
      </c>
    </row>
    <row r="75" spans="1:19">
      <c r="A75" s="243"/>
      <c r="B75" s="244"/>
      <c r="C75" s="311">
        <v>4</v>
      </c>
      <c r="D75" s="244">
        <v>5</v>
      </c>
      <c r="E75" s="244">
        <v>0</v>
      </c>
      <c r="F75" s="244">
        <v>0</v>
      </c>
      <c r="G75" s="244">
        <v>2</v>
      </c>
      <c r="H75" s="244">
        <v>2</v>
      </c>
      <c r="I75" s="244">
        <v>1</v>
      </c>
      <c r="J75" s="244">
        <v>0</v>
      </c>
      <c r="K75" s="276">
        <v>2.4</v>
      </c>
      <c r="L75" s="277">
        <v>36.4</v>
      </c>
      <c r="M75" s="249"/>
      <c r="N75" s="250"/>
      <c r="O75" s="250"/>
      <c r="P75" s="250"/>
      <c r="Q75" s="250"/>
      <c r="R75" s="250"/>
      <c r="S75" s="266">
        <f t="shared" ref="S75:S138" si="4">LOG10(K75)</f>
        <v>0.38021124171160603</v>
      </c>
    </row>
    <row r="76" spans="1:19">
      <c r="A76" s="243"/>
      <c r="B76" s="244"/>
      <c r="C76" s="311">
        <v>4</v>
      </c>
      <c r="D76" s="244">
        <v>5</v>
      </c>
      <c r="E76" s="244">
        <v>1</v>
      </c>
      <c r="F76" s="244">
        <v>0</v>
      </c>
      <c r="G76" s="244">
        <v>2</v>
      </c>
      <c r="H76" s="244">
        <v>2</v>
      </c>
      <c r="I76" s="244">
        <v>1</v>
      </c>
      <c r="J76" s="244">
        <v>0</v>
      </c>
      <c r="K76" s="276">
        <v>2.4</v>
      </c>
      <c r="L76" s="277">
        <v>33.6</v>
      </c>
      <c r="M76" s="249"/>
      <c r="N76" s="250"/>
      <c r="O76" s="250"/>
      <c r="P76" s="250"/>
      <c r="Q76" s="250"/>
      <c r="R76" s="250"/>
      <c r="S76" s="266">
        <f t="shared" si="4"/>
        <v>0.38021124171160603</v>
      </c>
    </row>
    <row r="77" spans="1:19">
      <c r="A77" s="243"/>
      <c r="B77" s="244"/>
      <c r="C77" s="311">
        <v>8</v>
      </c>
      <c r="D77" s="244">
        <v>6</v>
      </c>
      <c r="E77" s="244">
        <v>1</v>
      </c>
      <c r="F77" s="244">
        <v>0</v>
      </c>
      <c r="G77" s="244">
        <v>3</v>
      </c>
      <c r="H77" s="244">
        <v>2</v>
      </c>
      <c r="I77" s="244">
        <v>1</v>
      </c>
      <c r="J77" s="244">
        <v>0</v>
      </c>
      <c r="K77" s="276">
        <v>4.2</v>
      </c>
      <c r="L77" s="277">
        <v>27.471</v>
      </c>
      <c r="M77" s="249"/>
      <c r="N77" s="250"/>
      <c r="O77" s="250"/>
      <c r="P77" s="250"/>
      <c r="Q77" s="250"/>
      <c r="R77" s="250"/>
      <c r="S77" s="266">
        <f t="shared" si="4"/>
        <v>0.62324929039790045</v>
      </c>
    </row>
    <row r="78" spans="1:19">
      <c r="A78" s="243"/>
      <c r="B78" s="244"/>
      <c r="C78" s="311">
        <v>12</v>
      </c>
      <c r="D78" s="244">
        <v>6</v>
      </c>
      <c r="E78" s="244">
        <v>1</v>
      </c>
      <c r="F78" s="244">
        <v>0</v>
      </c>
      <c r="G78" s="244">
        <v>2</v>
      </c>
      <c r="H78" s="244">
        <v>2</v>
      </c>
      <c r="I78" s="244">
        <v>0</v>
      </c>
      <c r="J78" s="244">
        <v>0</v>
      </c>
      <c r="K78" s="276">
        <v>5.9</v>
      </c>
      <c r="L78" s="277">
        <v>23.6523</v>
      </c>
      <c r="M78" s="249"/>
      <c r="N78" s="250"/>
      <c r="O78" s="250"/>
      <c r="P78" s="250"/>
      <c r="Q78" s="250"/>
      <c r="R78" s="250"/>
      <c r="S78" s="266">
        <f t="shared" si="4"/>
        <v>0.77085201164214423</v>
      </c>
    </row>
    <row r="79" spans="1:19">
      <c r="A79" s="243"/>
      <c r="B79" s="244"/>
      <c r="C79" s="311">
        <v>12</v>
      </c>
      <c r="D79" s="244">
        <v>6</v>
      </c>
      <c r="E79" s="244">
        <v>1</v>
      </c>
      <c r="F79" s="244">
        <v>0</v>
      </c>
      <c r="G79" s="244">
        <v>2</v>
      </c>
      <c r="H79" s="244">
        <v>2</v>
      </c>
      <c r="I79" s="244">
        <v>0</v>
      </c>
      <c r="J79" s="244">
        <v>0</v>
      </c>
      <c r="K79" s="276">
        <v>5.9</v>
      </c>
      <c r="L79" s="277">
        <v>27.2408</v>
      </c>
      <c r="M79" s="249"/>
      <c r="N79" s="250"/>
      <c r="O79" s="250"/>
      <c r="P79" s="250"/>
      <c r="Q79" s="250"/>
      <c r="R79" s="250"/>
      <c r="S79" s="266">
        <f t="shared" si="4"/>
        <v>0.77085201164214423</v>
      </c>
    </row>
    <row r="80" spans="1:19">
      <c r="A80" s="243"/>
      <c r="B80" s="244"/>
      <c r="C80" s="311">
        <v>12</v>
      </c>
      <c r="D80" s="244">
        <v>6</v>
      </c>
      <c r="E80" s="244">
        <v>1</v>
      </c>
      <c r="F80" s="244">
        <v>0</v>
      </c>
      <c r="G80" s="244">
        <v>2</v>
      </c>
      <c r="H80" s="244">
        <v>2</v>
      </c>
      <c r="I80" s="244">
        <v>0</v>
      </c>
      <c r="J80" s="244">
        <v>0</v>
      </c>
      <c r="K80" s="276">
        <v>5.9</v>
      </c>
      <c r="L80" s="277">
        <v>22.925799999999999</v>
      </c>
      <c r="M80" s="249"/>
      <c r="N80" s="250"/>
      <c r="O80" s="250"/>
      <c r="P80" s="250"/>
      <c r="Q80" s="250"/>
      <c r="R80" s="250"/>
      <c r="S80" s="266">
        <f t="shared" si="4"/>
        <v>0.77085201164214423</v>
      </c>
    </row>
    <row r="81" spans="1:19">
      <c r="A81" s="243"/>
      <c r="B81" s="244"/>
      <c r="C81" s="311">
        <v>12</v>
      </c>
      <c r="D81" s="244">
        <v>6</v>
      </c>
      <c r="E81" s="244">
        <v>1</v>
      </c>
      <c r="F81" s="244">
        <v>0</v>
      </c>
      <c r="G81" s="244">
        <v>2</v>
      </c>
      <c r="H81" s="244">
        <v>2</v>
      </c>
      <c r="I81" s="244">
        <v>0</v>
      </c>
      <c r="J81" s="244">
        <v>0</v>
      </c>
      <c r="K81" s="276">
        <v>5.9</v>
      </c>
      <c r="L81" s="277">
        <v>24.6983</v>
      </c>
      <c r="M81" s="249"/>
      <c r="N81" s="250"/>
      <c r="O81" s="250"/>
      <c r="P81" s="250"/>
      <c r="Q81" s="250"/>
      <c r="R81" s="250"/>
      <c r="S81" s="266">
        <f t="shared" si="4"/>
        <v>0.77085201164214423</v>
      </c>
    </row>
    <row r="82" spans="1:19">
      <c r="A82" s="243"/>
      <c r="B82" s="244"/>
      <c r="C82" s="311">
        <v>8</v>
      </c>
      <c r="D82" s="244">
        <v>7</v>
      </c>
      <c r="E82" s="244">
        <v>0</v>
      </c>
      <c r="F82" s="244">
        <v>0</v>
      </c>
      <c r="G82" s="244">
        <v>2</v>
      </c>
      <c r="H82" s="244">
        <v>2</v>
      </c>
      <c r="I82" s="244">
        <v>1</v>
      </c>
      <c r="J82" s="244">
        <v>0</v>
      </c>
      <c r="K82" s="276">
        <v>4.3</v>
      </c>
      <c r="L82" s="277">
        <v>26.1157</v>
      </c>
      <c r="M82" s="249"/>
      <c r="N82" s="250"/>
      <c r="O82" s="250"/>
      <c r="P82" s="250"/>
      <c r="Q82" s="250"/>
      <c r="R82" s="250"/>
      <c r="S82" s="266">
        <f t="shared" si="4"/>
        <v>0.63346845557958653</v>
      </c>
    </row>
    <row r="83" spans="1:19">
      <c r="A83" s="243"/>
      <c r="B83" s="244"/>
      <c r="C83" s="311">
        <v>8</v>
      </c>
      <c r="D83" s="244">
        <v>6</v>
      </c>
      <c r="E83" s="244">
        <v>1</v>
      </c>
      <c r="F83" s="244">
        <v>0</v>
      </c>
      <c r="G83" s="244">
        <v>2</v>
      </c>
      <c r="H83" s="244">
        <v>2</v>
      </c>
      <c r="I83" s="244">
        <v>1</v>
      </c>
      <c r="J83" s="244">
        <v>1</v>
      </c>
      <c r="K83" s="276">
        <v>5</v>
      </c>
      <c r="L83" s="277">
        <v>32.880800000000001</v>
      </c>
      <c r="M83" s="249"/>
      <c r="N83" s="250"/>
      <c r="O83" s="250"/>
      <c r="P83" s="250"/>
      <c r="Q83" s="250"/>
      <c r="R83" s="250"/>
      <c r="S83" s="266">
        <f t="shared" si="4"/>
        <v>0.69897000433601886</v>
      </c>
    </row>
    <row r="84" spans="1:19">
      <c r="A84" s="243"/>
      <c r="B84" s="244"/>
      <c r="C84" s="311">
        <v>8</v>
      </c>
      <c r="D84" s="244">
        <v>6</v>
      </c>
      <c r="E84" s="244">
        <v>1</v>
      </c>
      <c r="F84" s="244">
        <v>0</v>
      </c>
      <c r="G84" s="244">
        <v>2</v>
      </c>
      <c r="H84" s="244">
        <v>2</v>
      </c>
      <c r="I84" s="244">
        <v>1</v>
      </c>
      <c r="J84" s="244">
        <v>0</v>
      </c>
      <c r="K84" s="276">
        <v>5</v>
      </c>
      <c r="L84" s="277">
        <v>30.337800000000001</v>
      </c>
      <c r="M84" s="249"/>
      <c r="N84" s="250"/>
      <c r="O84" s="250"/>
      <c r="P84" s="250"/>
      <c r="Q84" s="250"/>
      <c r="R84" s="250"/>
      <c r="S84" s="266">
        <f t="shared" si="4"/>
        <v>0.69897000433601886</v>
      </c>
    </row>
    <row r="85" spans="1:19">
      <c r="A85" s="243"/>
      <c r="B85" s="244"/>
      <c r="C85" s="311">
        <v>8</v>
      </c>
      <c r="D85" s="244">
        <v>6</v>
      </c>
      <c r="E85" s="244">
        <v>1</v>
      </c>
      <c r="F85" s="244">
        <v>0</v>
      </c>
      <c r="G85" s="244">
        <v>2</v>
      </c>
      <c r="H85" s="244">
        <v>2</v>
      </c>
      <c r="I85" s="244">
        <v>1</v>
      </c>
      <c r="J85" s="244">
        <v>1</v>
      </c>
      <c r="K85" s="276">
        <v>5</v>
      </c>
      <c r="L85" s="277">
        <v>30.802700000000002</v>
      </c>
      <c r="M85" s="249"/>
      <c r="N85" s="250"/>
      <c r="O85" s="250"/>
      <c r="P85" s="250"/>
      <c r="Q85" s="250"/>
      <c r="R85" s="250"/>
      <c r="S85" s="266">
        <f t="shared" si="4"/>
        <v>0.69897000433601886</v>
      </c>
    </row>
    <row r="86" spans="1:19">
      <c r="A86" s="243"/>
      <c r="B86" s="244"/>
      <c r="C86" s="311">
        <v>8</v>
      </c>
      <c r="D86" s="244">
        <v>6</v>
      </c>
      <c r="E86" s="244">
        <v>1</v>
      </c>
      <c r="F86" s="244">
        <v>0</v>
      </c>
      <c r="G86" s="244">
        <v>2</v>
      </c>
      <c r="H86" s="244">
        <v>2</v>
      </c>
      <c r="I86" s="244">
        <v>1</v>
      </c>
      <c r="J86" s="244">
        <v>0</v>
      </c>
      <c r="K86" s="276">
        <v>4.3</v>
      </c>
      <c r="L86" s="277">
        <v>31.6</v>
      </c>
      <c r="M86" s="249"/>
      <c r="N86" s="250"/>
      <c r="O86" s="250"/>
      <c r="P86" s="250"/>
      <c r="Q86" s="250"/>
      <c r="R86" s="250"/>
      <c r="S86" s="266">
        <f t="shared" si="4"/>
        <v>0.63346845557958653</v>
      </c>
    </row>
    <row r="87" spans="1:19">
      <c r="A87" s="243"/>
      <c r="B87" s="244"/>
      <c r="C87" s="311">
        <v>6</v>
      </c>
      <c r="D87" s="244">
        <v>6</v>
      </c>
      <c r="E87" s="244">
        <v>0</v>
      </c>
      <c r="F87" s="244">
        <v>0</v>
      </c>
      <c r="G87" s="244">
        <v>2</v>
      </c>
      <c r="H87" s="244">
        <v>2</v>
      </c>
      <c r="I87" s="244">
        <v>1</v>
      </c>
      <c r="J87" s="244">
        <v>0</v>
      </c>
      <c r="K87" s="276">
        <v>3.5</v>
      </c>
      <c r="L87" s="277">
        <v>35.5</v>
      </c>
      <c r="M87" s="249"/>
      <c r="N87" s="250"/>
      <c r="O87" s="250"/>
      <c r="P87" s="250"/>
      <c r="Q87" s="250"/>
      <c r="R87" s="250"/>
      <c r="S87" s="266">
        <f t="shared" si="4"/>
        <v>0.54406804435027567</v>
      </c>
    </row>
    <row r="88" spans="1:19">
      <c r="A88" s="243"/>
      <c r="B88" s="244"/>
      <c r="C88" s="311">
        <v>4</v>
      </c>
      <c r="D88" s="244">
        <v>6</v>
      </c>
      <c r="E88" s="244">
        <v>0</v>
      </c>
      <c r="F88" s="244">
        <v>0</v>
      </c>
      <c r="G88" s="244">
        <v>2</v>
      </c>
      <c r="H88" s="244">
        <v>2</v>
      </c>
      <c r="I88" s="244">
        <v>1</v>
      </c>
      <c r="J88" s="244">
        <v>1</v>
      </c>
      <c r="K88" s="276">
        <v>1.6</v>
      </c>
      <c r="L88" s="277">
        <v>51.655500000000004</v>
      </c>
      <c r="M88" s="249"/>
      <c r="N88" s="250"/>
      <c r="O88" s="250"/>
      <c r="P88" s="250"/>
      <c r="Q88" s="250"/>
      <c r="R88" s="250"/>
      <c r="S88" s="266">
        <f t="shared" si="4"/>
        <v>0.20411998265592479</v>
      </c>
    </row>
    <row r="89" spans="1:19">
      <c r="A89" s="243"/>
      <c r="B89" s="244"/>
      <c r="C89" s="311">
        <v>4</v>
      </c>
      <c r="D89" s="244">
        <v>6</v>
      </c>
      <c r="E89" s="244">
        <v>1</v>
      </c>
      <c r="F89" s="244">
        <v>0</v>
      </c>
      <c r="G89" s="244">
        <v>2</v>
      </c>
      <c r="H89" s="244">
        <v>2</v>
      </c>
      <c r="I89" s="244">
        <v>1</v>
      </c>
      <c r="J89" s="244">
        <v>1</v>
      </c>
      <c r="K89" s="276">
        <v>1.6</v>
      </c>
      <c r="L89" s="277">
        <v>47.202500000000001</v>
      </c>
      <c r="M89" s="249"/>
      <c r="N89" s="250"/>
      <c r="O89" s="250"/>
      <c r="P89" s="250"/>
      <c r="Q89" s="250"/>
      <c r="R89" s="250"/>
      <c r="S89" s="266">
        <f t="shared" si="4"/>
        <v>0.20411998265592479</v>
      </c>
    </row>
    <row r="90" spans="1:19">
      <c r="A90" s="243"/>
      <c r="B90" s="244"/>
      <c r="C90" s="311">
        <v>4</v>
      </c>
      <c r="D90" s="244">
        <v>6</v>
      </c>
      <c r="E90" s="244">
        <v>0</v>
      </c>
      <c r="F90" s="244">
        <v>0</v>
      </c>
      <c r="G90" s="244">
        <v>2</v>
      </c>
      <c r="H90" s="244">
        <v>2</v>
      </c>
      <c r="I90" s="244">
        <v>1</v>
      </c>
      <c r="J90" s="244">
        <v>1</v>
      </c>
      <c r="K90" s="276">
        <v>1.6</v>
      </c>
      <c r="L90" s="277">
        <v>52</v>
      </c>
      <c r="M90" s="249"/>
      <c r="N90" s="250"/>
      <c r="O90" s="250"/>
      <c r="P90" s="250"/>
      <c r="Q90" s="250"/>
      <c r="R90" s="250"/>
      <c r="S90" s="266">
        <f t="shared" si="4"/>
        <v>0.20411998265592479</v>
      </c>
    </row>
    <row r="91" spans="1:19">
      <c r="A91" s="243"/>
      <c r="B91" s="244"/>
      <c r="C91" s="311">
        <v>4</v>
      </c>
      <c r="D91" s="244">
        <v>6</v>
      </c>
      <c r="E91" s="244">
        <v>1</v>
      </c>
      <c r="F91" s="244">
        <v>0</v>
      </c>
      <c r="G91" s="244">
        <v>2</v>
      </c>
      <c r="H91" s="244">
        <v>2</v>
      </c>
      <c r="I91" s="244">
        <v>1</v>
      </c>
      <c r="J91" s="244">
        <v>1</v>
      </c>
      <c r="K91" s="276">
        <v>1.6</v>
      </c>
      <c r="L91" s="277">
        <v>47.202500000000001</v>
      </c>
      <c r="M91" s="249"/>
      <c r="N91" s="250"/>
      <c r="O91" s="250"/>
      <c r="P91" s="250"/>
      <c r="Q91" s="250"/>
      <c r="R91" s="250"/>
      <c r="S91" s="266">
        <f t="shared" si="4"/>
        <v>0.20411998265592479</v>
      </c>
    </row>
    <row r="92" spans="1:19">
      <c r="A92" s="243"/>
      <c r="B92" s="244"/>
      <c r="C92" s="311">
        <v>4</v>
      </c>
      <c r="D92" s="244">
        <v>6</v>
      </c>
      <c r="E92" s="244">
        <v>1</v>
      </c>
      <c r="F92" s="244">
        <v>0</v>
      </c>
      <c r="G92" s="244">
        <v>2</v>
      </c>
      <c r="H92" s="244">
        <v>2</v>
      </c>
      <c r="I92" s="244">
        <v>1</v>
      </c>
      <c r="J92" s="244">
        <v>0</v>
      </c>
      <c r="K92" s="276">
        <v>1.6</v>
      </c>
      <c r="L92" s="277">
        <v>44.571399999999997</v>
      </c>
      <c r="M92" s="249"/>
      <c r="N92" s="250"/>
      <c r="O92" s="250"/>
      <c r="P92" s="250"/>
      <c r="Q92" s="250"/>
      <c r="R92" s="250"/>
      <c r="S92" s="266">
        <f t="shared" si="4"/>
        <v>0.20411998265592479</v>
      </c>
    </row>
    <row r="93" spans="1:19">
      <c r="A93" s="243"/>
      <c r="B93" s="244"/>
      <c r="C93" s="311">
        <v>4</v>
      </c>
      <c r="D93" s="244">
        <v>6</v>
      </c>
      <c r="E93" s="244">
        <v>0</v>
      </c>
      <c r="F93" s="244">
        <v>0</v>
      </c>
      <c r="G93" s="244">
        <v>2</v>
      </c>
      <c r="H93" s="244">
        <v>2</v>
      </c>
      <c r="I93" s="244">
        <v>1</v>
      </c>
      <c r="J93" s="244">
        <v>0</v>
      </c>
      <c r="K93" s="276">
        <v>1.6</v>
      </c>
      <c r="L93" s="277">
        <v>47.7592</v>
      </c>
      <c r="M93" s="249"/>
      <c r="N93" s="250"/>
      <c r="O93" s="250"/>
      <c r="P93" s="250"/>
      <c r="Q93" s="250"/>
      <c r="R93" s="250"/>
      <c r="S93" s="266">
        <f t="shared" si="4"/>
        <v>0.20411998265592479</v>
      </c>
    </row>
    <row r="94" spans="1:19">
      <c r="A94" s="243"/>
      <c r="B94" s="244"/>
      <c r="C94" s="311">
        <v>4</v>
      </c>
      <c r="D94" s="244">
        <v>6</v>
      </c>
      <c r="E94" s="244">
        <v>1</v>
      </c>
      <c r="F94" s="244">
        <v>0</v>
      </c>
      <c r="G94" s="244">
        <v>2</v>
      </c>
      <c r="H94" s="244">
        <v>2</v>
      </c>
      <c r="I94" s="244">
        <v>1</v>
      </c>
      <c r="J94" s="244">
        <v>0</v>
      </c>
      <c r="K94" s="276">
        <v>1.6</v>
      </c>
      <c r="L94" s="277">
        <v>44.571399999999997</v>
      </c>
      <c r="M94" s="249"/>
      <c r="N94" s="250"/>
      <c r="O94" s="250"/>
      <c r="P94" s="250"/>
      <c r="Q94" s="250"/>
      <c r="R94" s="250"/>
      <c r="S94" s="266">
        <f t="shared" si="4"/>
        <v>0.20411998265592479</v>
      </c>
    </row>
    <row r="95" spans="1:19">
      <c r="A95" s="243"/>
      <c r="B95" s="244"/>
      <c r="C95" s="311">
        <v>4</v>
      </c>
      <c r="D95" s="244">
        <v>6</v>
      </c>
      <c r="E95" s="244">
        <v>0</v>
      </c>
      <c r="F95" s="244">
        <v>0</v>
      </c>
      <c r="G95" s="244">
        <v>2</v>
      </c>
      <c r="H95" s="244">
        <v>2</v>
      </c>
      <c r="I95" s="244">
        <v>1</v>
      </c>
      <c r="J95" s="244">
        <v>0</v>
      </c>
      <c r="K95" s="276">
        <v>1.6</v>
      </c>
      <c r="L95" s="277">
        <v>47.7592</v>
      </c>
      <c r="M95" s="249"/>
      <c r="N95" s="250"/>
      <c r="O95" s="250"/>
      <c r="P95" s="250"/>
      <c r="Q95" s="250"/>
      <c r="R95" s="250"/>
      <c r="S95" s="266">
        <f t="shared" si="4"/>
        <v>0.20411998265592479</v>
      </c>
    </row>
    <row r="96" spans="1:19">
      <c r="A96" s="243"/>
      <c r="B96" s="244"/>
      <c r="C96" s="311">
        <v>4</v>
      </c>
      <c r="D96" s="244">
        <v>6</v>
      </c>
      <c r="E96" s="244">
        <v>0</v>
      </c>
      <c r="F96" s="244">
        <v>0</v>
      </c>
      <c r="G96" s="244">
        <v>2</v>
      </c>
      <c r="H96" s="244">
        <v>2</v>
      </c>
      <c r="I96" s="244">
        <v>1</v>
      </c>
      <c r="J96" s="244">
        <v>1</v>
      </c>
      <c r="K96" s="276">
        <v>1.6</v>
      </c>
      <c r="L96" s="277">
        <v>46.5047</v>
      </c>
      <c r="M96" s="249"/>
      <c r="N96" s="250"/>
      <c r="O96" s="250"/>
      <c r="P96" s="250"/>
      <c r="Q96" s="250"/>
      <c r="R96" s="250"/>
      <c r="S96" s="266">
        <f t="shared" si="4"/>
        <v>0.20411998265592479</v>
      </c>
    </row>
    <row r="97" spans="1:19">
      <c r="A97" s="243"/>
      <c r="B97" s="244"/>
      <c r="C97" s="311">
        <v>4</v>
      </c>
      <c r="D97" s="244">
        <v>6</v>
      </c>
      <c r="E97" s="244">
        <v>0</v>
      </c>
      <c r="F97" s="244">
        <v>0</v>
      </c>
      <c r="G97" s="244">
        <v>2</v>
      </c>
      <c r="H97" s="244">
        <v>2</v>
      </c>
      <c r="I97" s="244">
        <v>1</v>
      </c>
      <c r="J97" s="244">
        <v>1</v>
      </c>
      <c r="K97" s="276">
        <v>1.6</v>
      </c>
      <c r="L97" s="277">
        <v>46.5047</v>
      </c>
      <c r="M97" s="249"/>
      <c r="N97" s="250"/>
      <c r="O97" s="250"/>
      <c r="P97" s="250"/>
      <c r="Q97" s="250"/>
      <c r="R97" s="250"/>
      <c r="S97" s="266">
        <f t="shared" si="4"/>
        <v>0.20411998265592479</v>
      </c>
    </row>
    <row r="98" spans="1:19">
      <c r="A98" s="243"/>
      <c r="B98" s="244"/>
      <c r="C98" s="311">
        <v>4</v>
      </c>
      <c r="D98" s="244">
        <v>4</v>
      </c>
      <c r="E98" s="244">
        <v>1</v>
      </c>
      <c r="F98" s="244">
        <v>0</v>
      </c>
      <c r="G98" s="244">
        <v>2</v>
      </c>
      <c r="H98" s="244">
        <v>2</v>
      </c>
      <c r="I98" s="244">
        <v>0</v>
      </c>
      <c r="J98" s="244">
        <v>1</v>
      </c>
      <c r="K98" s="276">
        <v>2.4</v>
      </c>
      <c r="L98" s="277">
        <v>36.262799999999999</v>
      </c>
      <c r="M98" s="249"/>
      <c r="N98" s="250"/>
      <c r="O98" s="250"/>
      <c r="P98" s="250"/>
      <c r="Q98" s="250"/>
      <c r="R98" s="250"/>
      <c r="S98" s="266">
        <f t="shared" si="4"/>
        <v>0.38021124171160603</v>
      </c>
    </row>
    <row r="99" spans="1:19">
      <c r="A99" s="243"/>
      <c r="B99" s="244"/>
      <c r="C99" s="311">
        <v>6</v>
      </c>
      <c r="D99" s="244">
        <v>5</v>
      </c>
      <c r="E99" s="244">
        <v>1</v>
      </c>
      <c r="F99" s="244">
        <v>0</v>
      </c>
      <c r="G99" s="244">
        <v>2</v>
      </c>
      <c r="H99" s="244">
        <v>2</v>
      </c>
      <c r="I99" s="244">
        <v>0</v>
      </c>
      <c r="J99" s="244">
        <v>1</v>
      </c>
      <c r="K99" s="276">
        <v>3.8</v>
      </c>
      <c r="L99" s="277">
        <v>33.200000000000003</v>
      </c>
      <c r="M99" s="249"/>
      <c r="N99" s="250"/>
      <c r="O99" s="250"/>
      <c r="P99" s="250"/>
      <c r="Q99" s="250"/>
      <c r="R99" s="250"/>
      <c r="S99" s="266">
        <f t="shared" si="4"/>
        <v>0.57978359661681012</v>
      </c>
    </row>
    <row r="100" spans="1:19">
      <c r="A100" s="243"/>
      <c r="B100" s="244"/>
      <c r="C100" s="311">
        <v>6</v>
      </c>
      <c r="D100" s="244">
        <v>6</v>
      </c>
      <c r="E100" s="244">
        <v>0</v>
      </c>
      <c r="F100" s="244">
        <v>0</v>
      </c>
      <c r="G100" s="244">
        <v>2</v>
      </c>
      <c r="H100" s="244">
        <v>2</v>
      </c>
      <c r="I100" s="244">
        <v>1</v>
      </c>
      <c r="J100" s="244">
        <v>1</v>
      </c>
      <c r="K100" s="276">
        <v>3.6</v>
      </c>
      <c r="L100" s="277">
        <v>35.242699999999999</v>
      </c>
      <c r="M100" s="249"/>
      <c r="N100" s="250"/>
      <c r="O100" s="250"/>
      <c r="P100" s="250"/>
      <c r="Q100" s="250"/>
      <c r="R100" s="250"/>
      <c r="S100" s="266">
        <f t="shared" si="4"/>
        <v>0.55630250076728727</v>
      </c>
    </row>
    <row r="101" spans="1:19">
      <c r="A101" s="243"/>
      <c r="B101" s="244"/>
      <c r="C101" s="311">
        <v>6</v>
      </c>
      <c r="D101" s="244">
        <v>7</v>
      </c>
      <c r="E101" s="244">
        <v>0</v>
      </c>
      <c r="F101" s="244">
        <v>0</v>
      </c>
      <c r="G101" s="244">
        <v>2</v>
      </c>
      <c r="H101" s="244">
        <v>2</v>
      </c>
      <c r="I101" s="244">
        <v>1</v>
      </c>
      <c r="J101" s="244">
        <v>1</v>
      </c>
      <c r="K101" s="276">
        <v>3.6</v>
      </c>
      <c r="L101" s="277">
        <v>37.690800000000003</v>
      </c>
      <c r="M101" s="249"/>
      <c r="N101" s="250"/>
      <c r="O101" s="250"/>
      <c r="P101" s="250"/>
      <c r="Q101" s="250"/>
      <c r="R101" s="250"/>
      <c r="S101" s="266">
        <f t="shared" si="4"/>
        <v>0.55630250076728727</v>
      </c>
    </row>
    <row r="102" spans="1:19">
      <c r="A102" s="243"/>
      <c r="B102" s="244"/>
      <c r="C102" s="311">
        <v>6</v>
      </c>
      <c r="D102" s="244">
        <v>6</v>
      </c>
      <c r="E102" s="244">
        <v>0</v>
      </c>
      <c r="F102" s="244">
        <v>0</v>
      </c>
      <c r="G102" s="244">
        <v>2</v>
      </c>
      <c r="H102" s="244">
        <v>2</v>
      </c>
      <c r="I102" s="244">
        <v>1</v>
      </c>
      <c r="J102" s="244">
        <v>1</v>
      </c>
      <c r="K102" s="276">
        <v>3.6</v>
      </c>
      <c r="L102" s="277">
        <v>34.875399999999999</v>
      </c>
      <c r="M102" s="249"/>
      <c r="N102" s="250"/>
      <c r="O102" s="250"/>
      <c r="P102" s="250"/>
      <c r="Q102" s="250"/>
      <c r="R102" s="250"/>
      <c r="S102" s="266">
        <f t="shared" si="4"/>
        <v>0.55630250076728727</v>
      </c>
    </row>
    <row r="103" spans="1:19">
      <c r="A103" s="243"/>
      <c r="B103" s="244"/>
      <c r="C103" s="311">
        <v>6</v>
      </c>
      <c r="D103" s="244">
        <v>7</v>
      </c>
      <c r="E103" s="244">
        <v>0</v>
      </c>
      <c r="F103" s="244">
        <v>0</v>
      </c>
      <c r="G103" s="244">
        <v>2</v>
      </c>
      <c r="H103" s="244">
        <v>2</v>
      </c>
      <c r="I103" s="244">
        <v>1</v>
      </c>
      <c r="J103" s="244">
        <v>1</v>
      </c>
      <c r="K103" s="276">
        <v>3.6</v>
      </c>
      <c r="L103" s="277">
        <v>36.756300000000003</v>
      </c>
      <c r="M103" s="249"/>
      <c r="N103" s="250"/>
      <c r="O103" s="250"/>
      <c r="P103" s="250"/>
      <c r="Q103" s="250"/>
      <c r="R103" s="250"/>
      <c r="S103" s="266">
        <f t="shared" si="4"/>
        <v>0.55630250076728727</v>
      </c>
    </row>
    <row r="104" spans="1:19">
      <c r="A104" s="243"/>
      <c r="B104" s="244"/>
      <c r="C104" s="311">
        <v>6</v>
      </c>
      <c r="D104" s="244">
        <v>6</v>
      </c>
      <c r="E104" s="244">
        <v>0</v>
      </c>
      <c r="F104" s="244">
        <v>0</v>
      </c>
      <c r="G104" s="244">
        <v>2</v>
      </c>
      <c r="H104" s="244">
        <v>2</v>
      </c>
      <c r="I104" s="244">
        <v>1</v>
      </c>
      <c r="J104" s="244">
        <v>1</v>
      </c>
      <c r="K104" s="276">
        <v>3.6</v>
      </c>
      <c r="L104" s="277">
        <v>34.875399999999999</v>
      </c>
      <c r="M104" s="249"/>
      <c r="N104" s="250"/>
      <c r="O104" s="250"/>
      <c r="P104" s="250"/>
      <c r="Q104" s="250"/>
      <c r="R104" s="250"/>
      <c r="S104" s="266">
        <f t="shared" si="4"/>
        <v>0.55630250076728727</v>
      </c>
    </row>
    <row r="105" spans="1:19">
      <c r="A105" s="243"/>
      <c r="B105" s="244"/>
      <c r="C105" s="311">
        <v>6</v>
      </c>
      <c r="D105" s="244">
        <v>7</v>
      </c>
      <c r="E105" s="244">
        <v>0</v>
      </c>
      <c r="F105" s="244">
        <v>0</v>
      </c>
      <c r="G105" s="244">
        <v>2</v>
      </c>
      <c r="H105" s="244">
        <v>2</v>
      </c>
      <c r="I105" s="244">
        <v>1</v>
      </c>
      <c r="J105" s="244">
        <v>1</v>
      </c>
      <c r="K105" s="276">
        <v>3.6</v>
      </c>
      <c r="L105" s="277">
        <v>36.439500000000002</v>
      </c>
      <c r="M105" s="249"/>
      <c r="N105" s="250"/>
      <c r="O105" s="250"/>
      <c r="P105" s="250"/>
      <c r="Q105" s="250"/>
      <c r="R105" s="250"/>
      <c r="S105" s="266">
        <f t="shared" si="4"/>
        <v>0.55630250076728727</v>
      </c>
    </row>
    <row r="106" spans="1:19">
      <c r="A106" s="243"/>
      <c r="B106" s="244"/>
      <c r="C106" s="311">
        <v>6</v>
      </c>
      <c r="D106" s="244">
        <v>6</v>
      </c>
      <c r="E106" s="244">
        <v>0</v>
      </c>
      <c r="F106" s="244">
        <v>0</v>
      </c>
      <c r="G106" s="244">
        <v>2</v>
      </c>
      <c r="H106" s="244">
        <v>2</v>
      </c>
      <c r="I106" s="244">
        <v>1</v>
      </c>
      <c r="J106" s="244">
        <v>1</v>
      </c>
      <c r="K106" s="276">
        <v>3.6</v>
      </c>
      <c r="L106" s="277">
        <v>34.875399999999999</v>
      </c>
      <c r="M106" s="249"/>
      <c r="N106" s="250"/>
      <c r="O106" s="250"/>
      <c r="P106" s="250"/>
      <c r="Q106" s="250"/>
      <c r="R106" s="250"/>
      <c r="S106" s="266">
        <f t="shared" si="4"/>
        <v>0.55630250076728727</v>
      </c>
    </row>
    <row r="107" spans="1:19">
      <c r="A107" s="243"/>
      <c r="B107" s="244"/>
      <c r="C107" s="311">
        <v>6</v>
      </c>
      <c r="D107" s="244">
        <v>7</v>
      </c>
      <c r="E107" s="244">
        <v>0</v>
      </c>
      <c r="F107" s="244">
        <v>0</v>
      </c>
      <c r="G107" s="244">
        <v>2</v>
      </c>
      <c r="H107" s="244">
        <v>2</v>
      </c>
      <c r="I107" s="244">
        <v>1</v>
      </c>
      <c r="J107" s="244">
        <v>1</v>
      </c>
      <c r="K107" s="276">
        <v>3.6</v>
      </c>
      <c r="L107" s="277">
        <v>36.439500000000002</v>
      </c>
      <c r="M107" s="249"/>
      <c r="N107" s="250"/>
      <c r="O107" s="250"/>
      <c r="P107" s="250"/>
      <c r="Q107" s="250"/>
      <c r="R107" s="250"/>
      <c r="S107" s="266">
        <f t="shared" si="4"/>
        <v>0.55630250076728727</v>
      </c>
    </row>
    <row r="108" spans="1:19">
      <c r="A108" s="243"/>
      <c r="B108" s="244"/>
      <c r="C108" s="311">
        <v>6</v>
      </c>
      <c r="D108" s="244">
        <v>6</v>
      </c>
      <c r="E108" s="244">
        <v>0</v>
      </c>
      <c r="F108" s="244">
        <v>0</v>
      </c>
      <c r="G108" s="244">
        <v>2</v>
      </c>
      <c r="H108" s="244">
        <v>2</v>
      </c>
      <c r="I108" s="244">
        <v>1</v>
      </c>
      <c r="J108" s="244">
        <v>1</v>
      </c>
      <c r="K108" s="276">
        <v>3.8</v>
      </c>
      <c r="L108" s="277">
        <v>34.514800000000001</v>
      </c>
      <c r="M108" s="249"/>
      <c r="N108" s="250"/>
      <c r="O108" s="250"/>
      <c r="P108" s="250"/>
      <c r="Q108" s="250"/>
      <c r="R108" s="250"/>
      <c r="S108" s="266">
        <f t="shared" si="4"/>
        <v>0.57978359661681012</v>
      </c>
    </row>
    <row r="109" spans="1:19">
      <c r="A109" s="243"/>
      <c r="B109" s="244"/>
      <c r="C109" s="311">
        <v>6</v>
      </c>
      <c r="D109" s="244">
        <v>7</v>
      </c>
      <c r="E109" s="244">
        <v>0</v>
      </c>
      <c r="F109" s="244">
        <v>0</v>
      </c>
      <c r="G109" s="244">
        <v>2</v>
      </c>
      <c r="H109" s="244">
        <v>2</v>
      </c>
      <c r="I109" s="244">
        <v>1</v>
      </c>
      <c r="J109" s="244">
        <v>1</v>
      </c>
      <c r="K109" s="276">
        <v>3.8</v>
      </c>
      <c r="L109" s="277">
        <v>36.012999999999998</v>
      </c>
      <c r="M109" s="249"/>
      <c r="N109" s="250"/>
      <c r="O109" s="250"/>
      <c r="P109" s="250"/>
      <c r="Q109" s="250"/>
      <c r="R109" s="250"/>
      <c r="S109" s="266">
        <f t="shared" si="4"/>
        <v>0.57978359661681012</v>
      </c>
    </row>
    <row r="110" spans="1:19">
      <c r="A110" s="243"/>
      <c r="B110" s="244"/>
      <c r="C110" s="311">
        <v>6</v>
      </c>
      <c r="D110" s="244">
        <v>6</v>
      </c>
      <c r="E110" s="244">
        <v>0</v>
      </c>
      <c r="F110" s="244">
        <v>0</v>
      </c>
      <c r="G110" s="244">
        <v>2</v>
      </c>
      <c r="H110" s="244">
        <v>2</v>
      </c>
      <c r="I110" s="244">
        <v>1</v>
      </c>
      <c r="J110" s="244">
        <v>1</v>
      </c>
      <c r="K110" s="276">
        <v>3.8</v>
      </c>
      <c r="L110" s="277">
        <v>34.514800000000001</v>
      </c>
      <c r="M110" s="249"/>
      <c r="N110" s="250"/>
      <c r="O110" s="250"/>
      <c r="P110" s="250"/>
      <c r="Q110" s="250"/>
      <c r="R110" s="250"/>
      <c r="S110" s="266">
        <f t="shared" si="4"/>
        <v>0.57978359661681012</v>
      </c>
    </row>
    <row r="111" spans="1:19">
      <c r="A111" s="243"/>
      <c r="B111" s="244"/>
      <c r="C111" s="311">
        <v>6</v>
      </c>
      <c r="D111" s="244">
        <v>7</v>
      </c>
      <c r="E111" s="244">
        <v>0</v>
      </c>
      <c r="F111" s="244">
        <v>0</v>
      </c>
      <c r="G111" s="244">
        <v>2</v>
      </c>
      <c r="H111" s="244">
        <v>2</v>
      </c>
      <c r="I111" s="244">
        <v>1</v>
      </c>
      <c r="J111" s="244">
        <v>1</v>
      </c>
      <c r="K111" s="276">
        <v>3.8</v>
      </c>
      <c r="L111" s="277">
        <v>37.076900000000002</v>
      </c>
      <c r="M111" s="249"/>
      <c r="N111" s="250"/>
      <c r="O111" s="250"/>
      <c r="P111" s="250"/>
      <c r="Q111" s="250"/>
      <c r="R111" s="250"/>
      <c r="S111" s="266">
        <f t="shared" si="4"/>
        <v>0.57978359661681012</v>
      </c>
    </row>
    <row r="112" spans="1:19">
      <c r="A112" s="243"/>
      <c r="B112" s="244"/>
      <c r="C112" s="311">
        <v>6</v>
      </c>
      <c r="D112" s="244">
        <v>6</v>
      </c>
      <c r="E112" s="244">
        <v>0</v>
      </c>
      <c r="F112" s="244">
        <v>0</v>
      </c>
      <c r="G112" s="244">
        <v>2</v>
      </c>
      <c r="H112" s="244">
        <v>2</v>
      </c>
      <c r="I112" s="244">
        <v>1</v>
      </c>
      <c r="J112" s="244">
        <v>1</v>
      </c>
      <c r="K112" s="276">
        <v>3.8</v>
      </c>
      <c r="L112" s="277">
        <v>34.514800000000001</v>
      </c>
      <c r="M112" s="249"/>
      <c r="N112" s="250"/>
      <c r="O112" s="250"/>
      <c r="P112" s="250"/>
      <c r="Q112" s="250"/>
      <c r="R112" s="250"/>
      <c r="S112" s="266">
        <f t="shared" si="4"/>
        <v>0.57978359661681012</v>
      </c>
    </row>
    <row r="113" spans="1:19">
      <c r="A113" s="243"/>
      <c r="B113" s="244"/>
      <c r="C113" s="311">
        <v>6</v>
      </c>
      <c r="D113" s="244">
        <v>7</v>
      </c>
      <c r="E113" s="244">
        <v>0</v>
      </c>
      <c r="F113" s="244">
        <v>0</v>
      </c>
      <c r="G113" s="244">
        <v>2</v>
      </c>
      <c r="H113" s="244">
        <v>2</v>
      </c>
      <c r="I113" s="244">
        <v>1</v>
      </c>
      <c r="J113" s="244">
        <v>1</v>
      </c>
      <c r="K113" s="276">
        <v>3.8</v>
      </c>
      <c r="L113" s="277">
        <v>37.076900000000002</v>
      </c>
      <c r="M113" s="249"/>
      <c r="N113" s="250"/>
      <c r="O113" s="250"/>
      <c r="P113" s="250"/>
      <c r="Q113" s="250"/>
      <c r="R113" s="250"/>
      <c r="S113" s="266">
        <f t="shared" si="4"/>
        <v>0.57978359661681012</v>
      </c>
    </row>
    <row r="114" spans="1:19">
      <c r="A114" s="243"/>
      <c r="B114" s="244"/>
      <c r="C114" s="311">
        <v>6</v>
      </c>
      <c r="D114" s="244">
        <v>6</v>
      </c>
      <c r="E114" s="244">
        <v>0</v>
      </c>
      <c r="F114" s="244">
        <v>0</v>
      </c>
      <c r="G114" s="244">
        <v>2</v>
      </c>
      <c r="H114" s="244">
        <v>2</v>
      </c>
      <c r="I114" s="244">
        <v>1</v>
      </c>
      <c r="J114" s="244">
        <v>1</v>
      </c>
      <c r="K114" s="276">
        <v>3.6</v>
      </c>
      <c r="L114" s="277">
        <v>35.242699999999999</v>
      </c>
      <c r="M114" s="249"/>
      <c r="N114" s="250"/>
      <c r="O114" s="250"/>
      <c r="P114" s="250"/>
      <c r="Q114" s="250"/>
      <c r="R114" s="250"/>
      <c r="S114" s="266">
        <f t="shared" si="4"/>
        <v>0.55630250076728727</v>
      </c>
    </row>
    <row r="115" spans="1:19">
      <c r="A115" s="243"/>
      <c r="B115" s="244"/>
      <c r="C115" s="311">
        <v>6</v>
      </c>
      <c r="D115" s="244">
        <v>7</v>
      </c>
      <c r="E115" s="244">
        <v>0</v>
      </c>
      <c r="F115" s="244">
        <v>0</v>
      </c>
      <c r="G115" s="244">
        <v>2</v>
      </c>
      <c r="H115" s="244">
        <v>2</v>
      </c>
      <c r="I115" s="244">
        <v>1</v>
      </c>
      <c r="J115" s="244">
        <v>1</v>
      </c>
      <c r="K115" s="276">
        <v>3.6</v>
      </c>
      <c r="L115" s="277">
        <v>37.690800000000003</v>
      </c>
      <c r="M115" s="249"/>
      <c r="N115" s="250"/>
      <c r="O115" s="250"/>
      <c r="P115" s="250"/>
      <c r="Q115" s="250"/>
      <c r="R115" s="250"/>
      <c r="S115" s="266">
        <f t="shared" si="4"/>
        <v>0.55630250076728727</v>
      </c>
    </row>
    <row r="116" spans="1:19">
      <c r="A116" s="243"/>
      <c r="B116" s="244"/>
      <c r="C116" s="311">
        <v>6</v>
      </c>
      <c r="D116" s="244">
        <v>6</v>
      </c>
      <c r="E116" s="244">
        <v>0</v>
      </c>
      <c r="F116" s="244">
        <v>0</v>
      </c>
      <c r="G116" s="244">
        <v>2</v>
      </c>
      <c r="H116" s="244">
        <v>2</v>
      </c>
      <c r="I116" s="244">
        <v>1</v>
      </c>
      <c r="J116" s="244">
        <v>1</v>
      </c>
      <c r="K116" s="276">
        <v>3.8</v>
      </c>
      <c r="L116" s="277">
        <v>35.359400000000001</v>
      </c>
      <c r="M116" s="249"/>
      <c r="N116" s="250"/>
      <c r="O116" s="250"/>
      <c r="P116" s="250"/>
      <c r="Q116" s="250"/>
      <c r="R116" s="250"/>
      <c r="S116" s="266">
        <f t="shared" si="4"/>
        <v>0.57978359661681012</v>
      </c>
    </row>
    <row r="117" spans="1:19">
      <c r="A117" s="243"/>
      <c r="B117" s="244"/>
      <c r="C117" s="311">
        <v>6</v>
      </c>
      <c r="D117" s="244">
        <v>7</v>
      </c>
      <c r="E117" s="244">
        <v>0</v>
      </c>
      <c r="F117" s="244">
        <v>0</v>
      </c>
      <c r="G117" s="244">
        <v>2</v>
      </c>
      <c r="H117" s="244">
        <v>2</v>
      </c>
      <c r="I117" s="244">
        <v>1</v>
      </c>
      <c r="J117" s="244">
        <v>1</v>
      </c>
      <c r="K117" s="276">
        <v>3.8</v>
      </c>
      <c r="L117" s="277">
        <v>36.934699999999999</v>
      </c>
      <c r="M117" s="249"/>
      <c r="N117" s="250"/>
      <c r="O117" s="250"/>
      <c r="P117" s="250"/>
      <c r="Q117" s="250"/>
      <c r="R117" s="250"/>
      <c r="S117" s="266">
        <f t="shared" si="4"/>
        <v>0.57978359661681012</v>
      </c>
    </row>
    <row r="118" spans="1:19">
      <c r="A118" s="243"/>
      <c r="B118" s="244"/>
      <c r="C118" s="311">
        <v>6</v>
      </c>
      <c r="D118" s="244">
        <v>7</v>
      </c>
      <c r="E118" s="244">
        <v>0</v>
      </c>
      <c r="F118" s="244">
        <v>0</v>
      </c>
      <c r="G118" s="244">
        <v>2</v>
      </c>
      <c r="H118" s="244">
        <v>2</v>
      </c>
      <c r="I118" s="244">
        <v>1</v>
      </c>
      <c r="J118" s="244">
        <v>1</v>
      </c>
      <c r="K118" s="276">
        <v>3.8</v>
      </c>
      <c r="L118" s="277">
        <v>36.934699999999999</v>
      </c>
      <c r="M118" s="249"/>
      <c r="N118" s="250"/>
      <c r="O118" s="250"/>
      <c r="P118" s="250"/>
      <c r="Q118" s="250"/>
      <c r="R118" s="250"/>
      <c r="S118" s="266">
        <f t="shared" si="4"/>
        <v>0.57978359661681012</v>
      </c>
    </row>
    <row r="119" spans="1:19">
      <c r="A119" s="243"/>
      <c r="B119" s="244"/>
      <c r="C119" s="311">
        <v>6</v>
      </c>
      <c r="D119" s="244">
        <v>6</v>
      </c>
      <c r="E119" s="244">
        <v>0</v>
      </c>
      <c r="F119" s="244">
        <v>0</v>
      </c>
      <c r="G119" s="244">
        <v>2</v>
      </c>
      <c r="H119" s="244">
        <v>2</v>
      </c>
      <c r="I119" s="244">
        <v>1</v>
      </c>
      <c r="J119" s="244">
        <v>1</v>
      </c>
      <c r="K119" s="276">
        <v>3.8</v>
      </c>
      <c r="L119" s="277">
        <v>35.359400000000001</v>
      </c>
      <c r="M119" s="249"/>
      <c r="N119" s="250"/>
      <c r="O119" s="250"/>
      <c r="P119" s="250"/>
      <c r="Q119" s="250"/>
      <c r="R119" s="250"/>
      <c r="S119" s="266">
        <f t="shared" si="4"/>
        <v>0.57978359661681012</v>
      </c>
    </row>
    <row r="120" spans="1:19">
      <c r="A120" s="243"/>
      <c r="B120" s="244"/>
      <c r="C120" s="311">
        <v>6</v>
      </c>
      <c r="D120" s="244">
        <v>7</v>
      </c>
      <c r="E120" s="244">
        <v>1</v>
      </c>
      <c r="F120" s="244">
        <v>0</v>
      </c>
      <c r="G120" s="244">
        <v>2</v>
      </c>
      <c r="H120" s="244">
        <v>2</v>
      </c>
      <c r="I120" s="244">
        <v>1</v>
      </c>
      <c r="J120" s="244">
        <v>1</v>
      </c>
      <c r="K120" s="276">
        <v>3.8</v>
      </c>
      <c r="L120" s="277">
        <v>33.848199999999999</v>
      </c>
      <c r="M120" s="249"/>
      <c r="N120" s="250"/>
      <c r="O120" s="250"/>
      <c r="P120" s="250"/>
      <c r="Q120" s="250"/>
      <c r="R120" s="250"/>
      <c r="S120" s="266">
        <f t="shared" si="4"/>
        <v>0.57978359661681012</v>
      </c>
    </row>
    <row r="121" spans="1:19">
      <c r="A121" s="243"/>
      <c r="B121" s="244"/>
      <c r="C121" s="311">
        <v>6</v>
      </c>
      <c r="D121" s="244">
        <v>6</v>
      </c>
      <c r="E121" s="244">
        <v>0</v>
      </c>
      <c r="F121" s="244">
        <v>0</v>
      </c>
      <c r="G121" s="244">
        <v>2</v>
      </c>
      <c r="H121" s="244">
        <v>2</v>
      </c>
      <c r="I121" s="244">
        <v>1</v>
      </c>
      <c r="J121" s="244">
        <v>1</v>
      </c>
      <c r="K121" s="276">
        <v>3.8</v>
      </c>
      <c r="L121" s="277">
        <v>33.164900000000003</v>
      </c>
      <c r="M121" s="249"/>
      <c r="N121" s="250"/>
      <c r="O121" s="250"/>
      <c r="P121" s="250"/>
      <c r="Q121" s="250"/>
      <c r="R121" s="250"/>
      <c r="S121" s="266">
        <f t="shared" si="4"/>
        <v>0.57978359661681012</v>
      </c>
    </row>
    <row r="122" spans="1:19">
      <c r="A122" s="243"/>
      <c r="B122" s="244"/>
      <c r="C122" s="311">
        <v>6</v>
      </c>
      <c r="D122" s="244">
        <v>7</v>
      </c>
      <c r="E122" s="244">
        <v>1</v>
      </c>
      <c r="F122" s="244">
        <v>0</v>
      </c>
      <c r="G122" s="244">
        <v>2</v>
      </c>
      <c r="H122" s="244">
        <v>2</v>
      </c>
      <c r="I122" s="244">
        <v>1</v>
      </c>
      <c r="J122" s="244">
        <v>1</v>
      </c>
      <c r="K122" s="276">
        <v>3.8</v>
      </c>
      <c r="L122" s="277">
        <v>34.255000000000003</v>
      </c>
      <c r="M122" s="249"/>
      <c r="N122" s="250"/>
      <c r="O122" s="250"/>
      <c r="P122" s="250"/>
      <c r="Q122" s="250"/>
      <c r="R122" s="250"/>
      <c r="S122" s="266">
        <f t="shared" si="4"/>
        <v>0.57978359661681012</v>
      </c>
    </row>
    <row r="123" spans="1:19">
      <c r="A123" s="243"/>
      <c r="B123" s="244"/>
      <c r="C123" s="311">
        <v>6</v>
      </c>
      <c r="D123" s="244">
        <v>6</v>
      </c>
      <c r="E123" s="244">
        <v>0</v>
      </c>
      <c r="F123" s="244">
        <v>0</v>
      </c>
      <c r="G123" s="244">
        <v>2</v>
      </c>
      <c r="H123" s="244">
        <v>2</v>
      </c>
      <c r="I123" s="244">
        <v>1</v>
      </c>
      <c r="J123" s="244">
        <v>1</v>
      </c>
      <c r="K123" s="276">
        <v>3.8</v>
      </c>
      <c r="L123" s="277">
        <v>33.235700000000001</v>
      </c>
      <c r="M123" s="249"/>
      <c r="N123" s="250"/>
      <c r="O123" s="250"/>
      <c r="P123" s="250"/>
      <c r="Q123" s="250"/>
      <c r="R123" s="250"/>
      <c r="S123" s="266">
        <f t="shared" si="4"/>
        <v>0.57978359661681012</v>
      </c>
    </row>
    <row r="124" spans="1:19">
      <c r="A124" s="243"/>
      <c r="B124" s="244"/>
      <c r="C124" s="311">
        <v>6</v>
      </c>
      <c r="D124" s="244">
        <v>7</v>
      </c>
      <c r="E124" s="244">
        <v>1</v>
      </c>
      <c r="F124" s="244">
        <v>0</v>
      </c>
      <c r="G124" s="244">
        <v>2</v>
      </c>
      <c r="H124" s="244">
        <v>2</v>
      </c>
      <c r="I124" s="244">
        <v>1</v>
      </c>
      <c r="J124" s="244">
        <v>1</v>
      </c>
      <c r="K124" s="276">
        <v>3.8</v>
      </c>
      <c r="L124" s="277">
        <v>33.848199999999999</v>
      </c>
      <c r="M124" s="249"/>
      <c r="N124" s="250"/>
      <c r="O124" s="250"/>
      <c r="P124" s="250"/>
      <c r="Q124" s="250"/>
      <c r="R124" s="250"/>
      <c r="S124" s="266">
        <f t="shared" si="4"/>
        <v>0.57978359661681012</v>
      </c>
    </row>
    <row r="125" spans="1:19">
      <c r="A125" s="243"/>
      <c r="B125" s="244"/>
      <c r="C125" s="311">
        <v>6</v>
      </c>
      <c r="D125" s="244">
        <v>7</v>
      </c>
      <c r="E125" s="244">
        <v>1</v>
      </c>
      <c r="F125" s="244">
        <v>0</v>
      </c>
      <c r="G125" s="244">
        <v>2</v>
      </c>
      <c r="H125" s="244">
        <v>2</v>
      </c>
      <c r="I125" s="244">
        <v>1</v>
      </c>
      <c r="J125" s="244">
        <v>1</v>
      </c>
      <c r="K125" s="276">
        <v>3.8</v>
      </c>
      <c r="L125" s="277">
        <v>34.255000000000003</v>
      </c>
      <c r="M125" s="249"/>
      <c r="N125" s="250"/>
      <c r="O125" s="250"/>
      <c r="P125" s="250"/>
      <c r="Q125" s="250"/>
      <c r="R125" s="250"/>
      <c r="S125" s="266">
        <f t="shared" si="4"/>
        <v>0.57978359661681012</v>
      </c>
    </row>
    <row r="126" spans="1:19">
      <c r="A126" s="243"/>
      <c r="B126" s="244"/>
      <c r="C126" s="311">
        <v>5</v>
      </c>
      <c r="D126" s="244">
        <v>6</v>
      </c>
      <c r="E126" s="244">
        <v>0</v>
      </c>
      <c r="F126" s="244">
        <v>0</v>
      </c>
      <c r="G126" s="244">
        <v>2</v>
      </c>
      <c r="H126" s="244">
        <v>2</v>
      </c>
      <c r="I126" s="244">
        <v>1</v>
      </c>
      <c r="J126" s="244">
        <v>0</v>
      </c>
      <c r="K126" s="276">
        <v>2.5</v>
      </c>
      <c r="L126" s="277">
        <v>39.726700000000001</v>
      </c>
      <c r="M126" s="249"/>
      <c r="N126" s="250"/>
      <c r="O126" s="250"/>
      <c r="P126" s="250"/>
      <c r="Q126" s="250"/>
      <c r="R126" s="250"/>
      <c r="S126" s="266">
        <f t="shared" si="4"/>
        <v>0.3979400086720376</v>
      </c>
    </row>
    <row r="127" spans="1:19">
      <c r="A127" s="243"/>
      <c r="B127" s="244"/>
      <c r="C127" s="311">
        <v>12</v>
      </c>
      <c r="D127" s="244">
        <v>6</v>
      </c>
      <c r="E127" s="244">
        <v>1</v>
      </c>
      <c r="F127" s="244">
        <v>0</v>
      </c>
      <c r="G127" s="244">
        <v>2</v>
      </c>
      <c r="H127" s="244">
        <v>2</v>
      </c>
      <c r="I127" s="244">
        <v>0</v>
      </c>
      <c r="J127" s="244">
        <v>0</v>
      </c>
      <c r="K127" s="276">
        <v>5.9</v>
      </c>
      <c r="L127" s="277">
        <v>26.620799999999999</v>
      </c>
      <c r="M127" s="249"/>
      <c r="N127" s="250"/>
      <c r="O127" s="250"/>
      <c r="P127" s="250"/>
      <c r="Q127" s="250"/>
      <c r="R127" s="250"/>
      <c r="S127" s="266">
        <f t="shared" si="4"/>
        <v>0.77085201164214423</v>
      </c>
    </row>
    <row r="128" spans="1:19">
      <c r="A128" s="243"/>
      <c r="B128" s="244"/>
      <c r="C128" s="311">
        <v>4</v>
      </c>
      <c r="D128" s="244">
        <v>1</v>
      </c>
      <c r="E128" s="244">
        <v>0</v>
      </c>
      <c r="F128" s="244">
        <v>0</v>
      </c>
      <c r="G128" s="244">
        <v>2</v>
      </c>
      <c r="H128" s="244">
        <v>2</v>
      </c>
      <c r="I128" s="244">
        <v>1</v>
      </c>
      <c r="J128" s="244">
        <v>1</v>
      </c>
      <c r="K128" s="276">
        <v>2</v>
      </c>
      <c r="L128" s="277">
        <v>42.774299999999997</v>
      </c>
      <c r="M128" s="249"/>
      <c r="N128" s="250"/>
      <c r="O128" s="250"/>
      <c r="P128" s="250"/>
      <c r="Q128" s="250"/>
      <c r="R128" s="250"/>
      <c r="S128" s="266">
        <f t="shared" si="4"/>
        <v>0.3010299956639812</v>
      </c>
    </row>
    <row r="129" spans="1:19">
      <c r="A129" s="243"/>
      <c r="B129" s="244"/>
      <c r="C129" s="311">
        <v>4</v>
      </c>
      <c r="D129" s="244">
        <v>6</v>
      </c>
      <c r="E129" s="244">
        <v>1</v>
      </c>
      <c r="F129" s="244">
        <v>0</v>
      </c>
      <c r="G129" s="244">
        <v>2</v>
      </c>
      <c r="H129" s="244">
        <v>2</v>
      </c>
      <c r="I129" s="244">
        <v>1</v>
      </c>
      <c r="J129" s="244">
        <v>1</v>
      </c>
      <c r="K129" s="276">
        <v>2</v>
      </c>
      <c r="L129" s="277">
        <v>37</v>
      </c>
      <c r="M129" s="249"/>
      <c r="N129" s="250"/>
      <c r="O129" s="250"/>
      <c r="P129" s="250"/>
      <c r="Q129" s="250"/>
      <c r="R129" s="250"/>
      <c r="S129" s="266">
        <f t="shared" si="4"/>
        <v>0.3010299956639812</v>
      </c>
    </row>
    <row r="130" spans="1:19">
      <c r="A130" s="243"/>
      <c r="B130" s="244"/>
      <c r="C130" s="311">
        <v>4</v>
      </c>
      <c r="D130" s="244">
        <v>6</v>
      </c>
      <c r="E130" s="244">
        <v>1</v>
      </c>
      <c r="F130" s="244">
        <v>0</v>
      </c>
      <c r="G130" s="244">
        <v>2</v>
      </c>
      <c r="H130" s="244">
        <v>2</v>
      </c>
      <c r="I130" s="244">
        <v>1</v>
      </c>
      <c r="J130" s="244">
        <v>1</v>
      </c>
      <c r="K130" s="276">
        <v>2</v>
      </c>
      <c r="L130" s="277">
        <v>37.798900000000003</v>
      </c>
      <c r="M130" s="249"/>
      <c r="N130" s="250"/>
      <c r="O130" s="250"/>
      <c r="P130" s="250"/>
      <c r="Q130" s="250"/>
      <c r="R130" s="250"/>
      <c r="S130" s="266">
        <f t="shared" si="4"/>
        <v>0.3010299956639812</v>
      </c>
    </row>
    <row r="131" spans="1:19">
      <c r="A131" s="243"/>
      <c r="B131" s="244"/>
      <c r="C131" s="311">
        <v>4</v>
      </c>
      <c r="D131" s="244">
        <v>6</v>
      </c>
      <c r="E131" s="244">
        <v>1</v>
      </c>
      <c r="F131" s="244">
        <v>0</v>
      </c>
      <c r="G131" s="244">
        <v>2</v>
      </c>
      <c r="H131" s="244">
        <v>2</v>
      </c>
      <c r="I131" s="244">
        <v>1</v>
      </c>
      <c r="J131" s="244">
        <v>1</v>
      </c>
      <c r="K131" s="276">
        <v>2</v>
      </c>
      <c r="L131" s="277">
        <v>42.575000000000003</v>
      </c>
      <c r="M131" s="249"/>
      <c r="N131" s="250"/>
      <c r="O131" s="250"/>
      <c r="P131" s="250"/>
      <c r="Q131" s="250"/>
      <c r="R131" s="250"/>
      <c r="S131" s="266">
        <f t="shared" si="4"/>
        <v>0.3010299956639812</v>
      </c>
    </row>
    <row r="132" spans="1:19">
      <c r="A132" s="243"/>
      <c r="B132" s="244"/>
      <c r="C132" s="311">
        <v>6</v>
      </c>
      <c r="D132" s="244">
        <v>6</v>
      </c>
      <c r="E132" s="244">
        <v>0</v>
      </c>
      <c r="F132" s="244">
        <v>0</v>
      </c>
      <c r="G132" s="244">
        <v>2</v>
      </c>
      <c r="H132" s="244">
        <v>2</v>
      </c>
      <c r="I132" s="244">
        <v>1</v>
      </c>
      <c r="J132" s="244">
        <v>1</v>
      </c>
      <c r="K132" s="276">
        <v>3.2</v>
      </c>
      <c r="L132" s="277">
        <v>36.200000000000003</v>
      </c>
      <c r="M132" s="249"/>
      <c r="N132" s="250"/>
      <c r="O132" s="250"/>
      <c r="P132" s="250"/>
      <c r="Q132" s="250"/>
      <c r="R132" s="250"/>
      <c r="S132" s="266">
        <f t="shared" si="4"/>
        <v>0.50514997831990605</v>
      </c>
    </row>
    <row r="133" spans="1:19">
      <c r="A133" s="243"/>
      <c r="B133" s="244"/>
      <c r="C133" s="311">
        <v>8</v>
      </c>
      <c r="D133" s="244">
        <v>6</v>
      </c>
      <c r="E133" s="244">
        <v>1</v>
      </c>
      <c r="F133" s="244">
        <v>0</v>
      </c>
      <c r="G133" s="244">
        <v>2</v>
      </c>
      <c r="H133" s="244">
        <v>2</v>
      </c>
      <c r="I133" s="244">
        <v>1</v>
      </c>
      <c r="J133" s="244">
        <v>0</v>
      </c>
      <c r="K133" s="276">
        <v>4.2</v>
      </c>
      <c r="L133" s="277">
        <v>31</v>
      </c>
      <c r="M133" s="249"/>
      <c r="N133" s="250"/>
      <c r="O133" s="250"/>
      <c r="P133" s="250"/>
      <c r="Q133" s="250"/>
      <c r="R133" s="250"/>
      <c r="S133" s="266">
        <f t="shared" si="4"/>
        <v>0.62324929039790045</v>
      </c>
    </row>
    <row r="134" spans="1:19">
      <c r="A134" s="243"/>
      <c r="B134" s="244"/>
      <c r="C134" s="311">
        <v>8</v>
      </c>
      <c r="D134" s="244">
        <v>6</v>
      </c>
      <c r="E134" s="244">
        <v>0</v>
      </c>
      <c r="F134" s="244">
        <v>0</v>
      </c>
      <c r="G134" s="244">
        <v>2</v>
      </c>
      <c r="H134" s="244">
        <v>2</v>
      </c>
      <c r="I134" s="244">
        <v>1</v>
      </c>
      <c r="J134" s="244">
        <v>0</v>
      </c>
      <c r="K134" s="276">
        <v>4.2</v>
      </c>
      <c r="L134" s="277">
        <v>29.3</v>
      </c>
      <c r="M134" s="249"/>
      <c r="N134" s="250"/>
      <c r="O134" s="250"/>
      <c r="P134" s="250"/>
      <c r="Q134" s="250"/>
      <c r="R134" s="250"/>
      <c r="S134" s="266">
        <f t="shared" si="4"/>
        <v>0.62324929039790045</v>
      </c>
    </row>
    <row r="135" spans="1:19">
      <c r="A135" s="243"/>
      <c r="B135" s="244"/>
      <c r="C135" s="311">
        <v>6</v>
      </c>
      <c r="D135" s="244">
        <v>7</v>
      </c>
      <c r="E135" s="244">
        <v>0</v>
      </c>
      <c r="F135" s="244">
        <v>0</v>
      </c>
      <c r="G135" s="244">
        <v>2</v>
      </c>
      <c r="H135" s="244">
        <v>2</v>
      </c>
      <c r="I135" s="244">
        <v>1</v>
      </c>
      <c r="J135" s="244">
        <v>0</v>
      </c>
      <c r="K135" s="276">
        <v>3</v>
      </c>
      <c r="L135" s="277">
        <v>34</v>
      </c>
      <c r="M135" s="249"/>
      <c r="N135" s="250"/>
      <c r="O135" s="250"/>
      <c r="P135" s="250"/>
      <c r="Q135" s="250"/>
      <c r="R135" s="250"/>
      <c r="S135" s="266">
        <f t="shared" si="4"/>
        <v>0.47712125471966244</v>
      </c>
    </row>
    <row r="136" spans="1:19">
      <c r="A136" s="243"/>
      <c r="B136" s="244"/>
      <c r="C136" s="311">
        <v>4</v>
      </c>
      <c r="D136" s="244">
        <v>6</v>
      </c>
      <c r="E136" s="244">
        <v>0</v>
      </c>
      <c r="F136" s="244">
        <v>0</v>
      </c>
      <c r="G136" s="244">
        <v>2</v>
      </c>
      <c r="H136" s="244">
        <v>2</v>
      </c>
      <c r="I136" s="244">
        <v>1</v>
      </c>
      <c r="J136" s="244">
        <v>0</v>
      </c>
      <c r="K136" s="276">
        <v>2</v>
      </c>
      <c r="L136" s="277">
        <v>39.7256</v>
      </c>
      <c r="M136" s="249"/>
      <c r="N136" s="250"/>
      <c r="O136" s="250"/>
      <c r="P136" s="250"/>
      <c r="Q136" s="250"/>
      <c r="R136" s="250"/>
      <c r="S136" s="266">
        <f t="shared" si="4"/>
        <v>0.3010299956639812</v>
      </c>
    </row>
    <row r="137" spans="1:19">
      <c r="A137" s="243"/>
      <c r="B137" s="244"/>
      <c r="C137" s="311">
        <v>12</v>
      </c>
      <c r="D137" s="244">
        <v>6</v>
      </c>
      <c r="E137" s="244">
        <v>1</v>
      </c>
      <c r="F137" s="244">
        <v>0</v>
      </c>
      <c r="G137" s="244">
        <v>2</v>
      </c>
      <c r="H137" s="244">
        <v>2</v>
      </c>
      <c r="I137" s="244">
        <v>1</v>
      </c>
      <c r="J137" s="244">
        <v>0</v>
      </c>
      <c r="K137" s="276">
        <v>6</v>
      </c>
      <c r="L137" s="277">
        <v>23.2715</v>
      </c>
      <c r="M137" s="249"/>
      <c r="N137" s="250"/>
      <c r="O137" s="250"/>
      <c r="P137" s="250"/>
      <c r="Q137" s="250"/>
      <c r="R137" s="250"/>
      <c r="S137" s="266">
        <f t="shared" si="4"/>
        <v>0.77815125038364363</v>
      </c>
    </row>
    <row r="138" spans="1:19">
      <c r="A138" s="243"/>
      <c r="B138" s="244"/>
      <c r="C138" s="311">
        <v>6</v>
      </c>
      <c r="D138" s="244">
        <v>6</v>
      </c>
      <c r="E138" s="244">
        <v>1</v>
      </c>
      <c r="F138" s="244">
        <v>0</v>
      </c>
      <c r="G138" s="244">
        <v>2</v>
      </c>
      <c r="H138" s="244">
        <v>2</v>
      </c>
      <c r="I138" s="244">
        <v>1</v>
      </c>
      <c r="J138" s="244">
        <v>1</v>
      </c>
      <c r="K138" s="276">
        <v>3</v>
      </c>
      <c r="L138" s="277">
        <v>38.169600000000003</v>
      </c>
      <c r="M138" s="249"/>
      <c r="N138" s="250"/>
      <c r="O138" s="250"/>
      <c r="P138" s="250"/>
      <c r="Q138" s="250"/>
      <c r="R138" s="250"/>
      <c r="S138" s="266">
        <f t="shared" si="4"/>
        <v>0.47712125471966244</v>
      </c>
    </row>
    <row r="139" spans="1:19">
      <c r="A139" s="243"/>
      <c r="B139" s="244"/>
      <c r="C139" s="311">
        <v>6</v>
      </c>
      <c r="D139" s="244">
        <v>6</v>
      </c>
      <c r="E139" s="244">
        <v>0</v>
      </c>
      <c r="F139" s="244">
        <v>0</v>
      </c>
      <c r="G139" s="244">
        <v>2</v>
      </c>
      <c r="H139" s="244">
        <v>2</v>
      </c>
      <c r="I139" s="244">
        <v>1</v>
      </c>
      <c r="J139" s="244">
        <v>1</v>
      </c>
      <c r="K139" s="276">
        <v>3</v>
      </c>
      <c r="L139" s="277">
        <v>38.7896</v>
      </c>
      <c r="M139" s="249"/>
      <c r="N139" s="250"/>
      <c r="O139" s="250"/>
      <c r="P139" s="250"/>
      <c r="Q139" s="250"/>
      <c r="R139" s="250"/>
      <c r="S139" s="266">
        <f t="shared" ref="S139:S202" si="5">LOG10(K139)</f>
        <v>0.47712125471966244</v>
      </c>
    </row>
    <row r="140" spans="1:19">
      <c r="A140" s="243"/>
      <c r="B140" s="244"/>
      <c r="C140" s="311">
        <v>6</v>
      </c>
      <c r="D140" s="244">
        <v>6</v>
      </c>
      <c r="E140" s="244">
        <v>1</v>
      </c>
      <c r="F140" s="244">
        <v>0</v>
      </c>
      <c r="G140" s="244">
        <v>2</v>
      </c>
      <c r="H140" s="244">
        <v>2</v>
      </c>
      <c r="I140" s="244">
        <v>1</v>
      </c>
      <c r="J140" s="244">
        <v>1</v>
      </c>
      <c r="K140" s="276">
        <v>3</v>
      </c>
      <c r="L140" s="277">
        <v>39.710299999999997</v>
      </c>
      <c r="M140" s="249"/>
      <c r="N140" s="250"/>
      <c r="O140" s="250"/>
      <c r="P140" s="250"/>
      <c r="Q140" s="250"/>
      <c r="R140" s="250"/>
      <c r="S140" s="266">
        <f t="shared" si="5"/>
        <v>0.47712125471966244</v>
      </c>
    </row>
    <row r="141" spans="1:19">
      <c r="A141" s="243"/>
      <c r="B141" s="244"/>
      <c r="C141" s="311">
        <v>6</v>
      </c>
      <c r="D141" s="244">
        <v>6</v>
      </c>
      <c r="E141" s="244">
        <v>0</v>
      </c>
      <c r="F141" s="244">
        <v>0</v>
      </c>
      <c r="G141" s="244">
        <v>2</v>
      </c>
      <c r="H141" s="244">
        <v>2</v>
      </c>
      <c r="I141" s="244">
        <v>1</v>
      </c>
      <c r="J141" s="244">
        <v>1</v>
      </c>
      <c r="K141" s="276">
        <v>3</v>
      </c>
      <c r="L141" s="277">
        <v>38.7896</v>
      </c>
      <c r="M141" s="249"/>
      <c r="N141" s="250"/>
      <c r="O141" s="250"/>
      <c r="P141" s="250"/>
      <c r="Q141" s="250"/>
      <c r="R141" s="250"/>
      <c r="S141" s="266">
        <f t="shared" si="5"/>
        <v>0.47712125471966244</v>
      </c>
    </row>
    <row r="142" spans="1:19">
      <c r="A142" s="243"/>
      <c r="B142" s="244"/>
      <c r="C142" s="311">
        <v>6</v>
      </c>
      <c r="D142" s="244">
        <v>6</v>
      </c>
      <c r="E142" s="244">
        <v>1</v>
      </c>
      <c r="F142" s="244">
        <v>0</v>
      </c>
      <c r="G142" s="244">
        <v>2</v>
      </c>
      <c r="H142" s="244">
        <v>2</v>
      </c>
      <c r="I142" s="244">
        <v>1</v>
      </c>
      <c r="J142" s="244">
        <v>0</v>
      </c>
      <c r="K142" s="276">
        <v>3</v>
      </c>
      <c r="L142" s="277">
        <v>35.5</v>
      </c>
      <c r="M142" s="249"/>
      <c r="N142" s="250"/>
      <c r="O142" s="250"/>
      <c r="P142" s="250"/>
      <c r="Q142" s="250"/>
      <c r="R142" s="250"/>
      <c r="S142" s="266">
        <f t="shared" si="5"/>
        <v>0.47712125471966244</v>
      </c>
    </row>
    <row r="143" spans="1:19">
      <c r="A143" s="243"/>
      <c r="B143" s="244"/>
      <c r="C143" s="311">
        <v>6</v>
      </c>
      <c r="D143" s="244">
        <v>6</v>
      </c>
      <c r="E143" s="244">
        <v>0</v>
      </c>
      <c r="F143" s="244">
        <v>0</v>
      </c>
      <c r="G143" s="244">
        <v>2</v>
      </c>
      <c r="H143" s="244">
        <v>2</v>
      </c>
      <c r="I143" s="244">
        <v>1</v>
      </c>
      <c r="J143" s="244">
        <v>0</v>
      </c>
      <c r="K143" s="276">
        <v>3</v>
      </c>
      <c r="L143" s="277">
        <v>35.267800000000001</v>
      </c>
      <c r="M143" s="249"/>
      <c r="N143" s="250"/>
      <c r="O143" s="250"/>
      <c r="P143" s="250"/>
      <c r="Q143" s="250"/>
      <c r="R143" s="250"/>
      <c r="S143" s="266">
        <f t="shared" si="5"/>
        <v>0.47712125471966244</v>
      </c>
    </row>
    <row r="144" spans="1:19">
      <c r="A144" s="243"/>
      <c r="B144" s="244"/>
      <c r="C144" s="311">
        <v>6</v>
      </c>
      <c r="D144" s="244">
        <v>6</v>
      </c>
      <c r="E144" s="244">
        <v>1</v>
      </c>
      <c r="F144" s="244">
        <v>0</v>
      </c>
      <c r="G144" s="244">
        <v>2</v>
      </c>
      <c r="H144" s="244">
        <v>2</v>
      </c>
      <c r="I144" s="244">
        <v>1</v>
      </c>
      <c r="J144" s="244">
        <v>0</v>
      </c>
      <c r="K144" s="276">
        <v>3</v>
      </c>
      <c r="L144" s="277">
        <v>36.154800000000002</v>
      </c>
      <c r="M144" s="249"/>
      <c r="N144" s="250"/>
      <c r="O144" s="250"/>
      <c r="P144" s="250"/>
      <c r="Q144" s="250"/>
      <c r="R144" s="250"/>
      <c r="S144" s="266">
        <f t="shared" si="5"/>
        <v>0.47712125471966244</v>
      </c>
    </row>
    <row r="145" spans="1:19">
      <c r="A145" s="243"/>
      <c r="B145" s="244"/>
      <c r="C145" s="311">
        <v>6</v>
      </c>
      <c r="D145" s="244">
        <v>6</v>
      </c>
      <c r="E145" s="244">
        <v>0</v>
      </c>
      <c r="F145" s="244">
        <v>0</v>
      </c>
      <c r="G145" s="244">
        <v>2</v>
      </c>
      <c r="H145" s="244">
        <v>2</v>
      </c>
      <c r="I145" s="244">
        <v>1</v>
      </c>
      <c r="J145" s="244">
        <v>0</v>
      </c>
      <c r="K145" s="276">
        <v>3</v>
      </c>
      <c r="L145" s="277">
        <v>35.708100000000002</v>
      </c>
      <c r="M145" s="249"/>
      <c r="N145" s="250"/>
      <c r="O145" s="250"/>
      <c r="P145" s="250"/>
      <c r="Q145" s="250"/>
      <c r="R145" s="250"/>
      <c r="S145" s="266">
        <f t="shared" si="5"/>
        <v>0.47712125471966244</v>
      </c>
    </row>
    <row r="146" spans="1:19">
      <c r="A146" s="243"/>
      <c r="B146" s="244"/>
      <c r="C146" s="311">
        <v>6</v>
      </c>
      <c r="D146" s="244">
        <v>6</v>
      </c>
      <c r="E146" s="244">
        <v>1</v>
      </c>
      <c r="F146" s="244">
        <v>0</v>
      </c>
      <c r="G146" s="244">
        <v>2</v>
      </c>
      <c r="H146" s="244">
        <v>2</v>
      </c>
      <c r="I146" s="244">
        <v>1</v>
      </c>
      <c r="J146" s="244">
        <v>1</v>
      </c>
      <c r="K146" s="276">
        <v>3</v>
      </c>
      <c r="L146" s="277">
        <v>39.710299999999997</v>
      </c>
      <c r="M146" s="249"/>
      <c r="N146" s="250"/>
      <c r="O146" s="250"/>
      <c r="P146" s="250"/>
      <c r="Q146" s="250"/>
      <c r="R146" s="250"/>
      <c r="S146" s="266">
        <f t="shared" si="5"/>
        <v>0.47712125471966244</v>
      </c>
    </row>
    <row r="147" spans="1:19">
      <c r="A147" s="243"/>
      <c r="B147" s="244"/>
      <c r="C147" s="311">
        <v>6</v>
      </c>
      <c r="D147" s="244">
        <v>6</v>
      </c>
      <c r="E147" s="244">
        <v>0</v>
      </c>
      <c r="F147" s="244">
        <v>0</v>
      </c>
      <c r="G147" s="244">
        <v>2</v>
      </c>
      <c r="H147" s="244">
        <v>2</v>
      </c>
      <c r="I147" s="244">
        <v>1</v>
      </c>
      <c r="J147" s="244">
        <v>1</v>
      </c>
      <c r="K147" s="276">
        <v>3</v>
      </c>
      <c r="L147" s="277">
        <v>38.7896</v>
      </c>
      <c r="M147" s="249"/>
      <c r="N147" s="250"/>
      <c r="O147" s="250"/>
      <c r="P147" s="250"/>
      <c r="Q147" s="250"/>
      <c r="R147" s="250"/>
      <c r="S147" s="266">
        <f t="shared" si="5"/>
        <v>0.47712125471966244</v>
      </c>
    </row>
    <row r="148" spans="1:19">
      <c r="A148" s="243"/>
      <c r="B148" s="244"/>
      <c r="C148" s="311">
        <v>6</v>
      </c>
      <c r="D148" s="244">
        <v>6</v>
      </c>
      <c r="E148" s="244">
        <v>1</v>
      </c>
      <c r="F148" s="244">
        <v>0</v>
      </c>
      <c r="G148" s="244">
        <v>2</v>
      </c>
      <c r="H148" s="244">
        <v>2</v>
      </c>
      <c r="I148" s="244">
        <v>1</v>
      </c>
      <c r="J148" s="244">
        <v>1</v>
      </c>
      <c r="K148" s="276">
        <v>3</v>
      </c>
      <c r="L148" s="277">
        <v>38.169600000000003</v>
      </c>
      <c r="M148" s="249"/>
      <c r="N148" s="250"/>
      <c r="O148" s="250"/>
      <c r="P148" s="250"/>
      <c r="Q148" s="250"/>
      <c r="R148" s="250"/>
      <c r="S148" s="266">
        <f t="shared" si="5"/>
        <v>0.47712125471966244</v>
      </c>
    </row>
    <row r="149" spans="1:19">
      <c r="A149" s="243"/>
      <c r="B149" s="244"/>
      <c r="C149" s="311">
        <v>6</v>
      </c>
      <c r="D149" s="244">
        <v>6</v>
      </c>
      <c r="E149" s="244">
        <v>1</v>
      </c>
      <c r="F149" s="244">
        <v>0</v>
      </c>
      <c r="G149" s="244">
        <v>2</v>
      </c>
      <c r="H149" s="244">
        <v>2</v>
      </c>
      <c r="I149" s="244">
        <v>1</v>
      </c>
      <c r="J149" s="244">
        <v>1</v>
      </c>
      <c r="K149" s="276">
        <v>3</v>
      </c>
      <c r="L149" s="277">
        <v>36.798000000000002</v>
      </c>
      <c r="M149" s="249"/>
      <c r="N149" s="250"/>
      <c r="O149" s="250"/>
      <c r="P149" s="250"/>
      <c r="Q149" s="250"/>
      <c r="R149" s="250"/>
      <c r="S149" s="266">
        <f t="shared" si="5"/>
        <v>0.47712125471966244</v>
      </c>
    </row>
    <row r="150" spans="1:19">
      <c r="A150" s="243"/>
      <c r="B150" s="244"/>
      <c r="C150" s="311">
        <v>6</v>
      </c>
      <c r="D150" s="244">
        <v>6</v>
      </c>
      <c r="E150" s="244">
        <v>1</v>
      </c>
      <c r="F150" s="244">
        <v>0</v>
      </c>
      <c r="G150" s="244">
        <v>2</v>
      </c>
      <c r="H150" s="244">
        <v>2</v>
      </c>
      <c r="I150" s="244">
        <v>1</v>
      </c>
      <c r="J150" s="244">
        <v>1</v>
      </c>
      <c r="K150" s="276">
        <v>3</v>
      </c>
      <c r="L150" s="277">
        <v>35.540399999999998</v>
      </c>
      <c r="M150" s="249"/>
      <c r="N150" s="250"/>
      <c r="O150" s="250"/>
      <c r="P150" s="250"/>
      <c r="Q150" s="250"/>
      <c r="R150" s="250"/>
      <c r="S150" s="266">
        <f t="shared" si="5"/>
        <v>0.47712125471966244</v>
      </c>
    </row>
    <row r="151" spans="1:19">
      <c r="A151" s="243"/>
      <c r="B151" s="244"/>
      <c r="C151" s="311">
        <v>6</v>
      </c>
      <c r="D151" s="244">
        <v>6</v>
      </c>
      <c r="E151" s="244">
        <v>0</v>
      </c>
      <c r="F151" s="244">
        <v>0</v>
      </c>
      <c r="G151" s="244">
        <v>2</v>
      </c>
      <c r="H151" s="244">
        <v>2</v>
      </c>
      <c r="I151" s="244">
        <v>1</v>
      </c>
      <c r="J151" s="244">
        <v>1</v>
      </c>
      <c r="K151" s="276">
        <v>3</v>
      </c>
      <c r="L151" s="277">
        <v>35.460599999999999</v>
      </c>
      <c r="M151" s="249"/>
      <c r="N151" s="250"/>
      <c r="O151" s="250"/>
      <c r="P151" s="250"/>
      <c r="Q151" s="250"/>
      <c r="R151" s="250"/>
      <c r="S151" s="266">
        <f t="shared" si="5"/>
        <v>0.47712125471966244</v>
      </c>
    </row>
    <row r="152" spans="1:19">
      <c r="A152" s="243"/>
      <c r="B152" s="244"/>
      <c r="C152" s="311">
        <v>6</v>
      </c>
      <c r="D152" s="244">
        <v>6</v>
      </c>
      <c r="E152" s="244">
        <v>1</v>
      </c>
      <c r="F152" s="244">
        <v>0</v>
      </c>
      <c r="G152" s="244">
        <v>2</v>
      </c>
      <c r="H152" s="244">
        <v>2</v>
      </c>
      <c r="I152" s="244">
        <v>1</v>
      </c>
      <c r="J152" s="244">
        <v>0</v>
      </c>
      <c r="K152" s="276">
        <v>3</v>
      </c>
      <c r="L152" s="277">
        <v>36.154800000000002</v>
      </c>
      <c r="M152" s="249"/>
      <c r="N152" s="250"/>
      <c r="O152" s="250"/>
      <c r="P152" s="250"/>
      <c r="Q152" s="250"/>
      <c r="R152" s="250"/>
      <c r="S152" s="266">
        <f t="shared" si="5"/>
        <v>0.47712125471966244</v>
      </c>
    </row>
    <row r="153" spans="1:19">
      <c r="A153" s="243"/>
      <c r="B153" s="244"/>
      <c r="C153" s="311">
        <v>6</v>
      </c>
      <c r="D153" s="244">
        <v>6</v>
      </c>
      <c r="E153" s="244">
        <v>0</v>
      </c>
      <c r="F153" s="244">
        <v>0</v>
      </c>
      <c r="G153" s="244">
        <v>2</v>
      </c>
      <c r="H153" s="244">
        <v>2</v>
      </c>
      <c r="I153" s="244">
        <v>1</v>
      </c>
      <c r="J153" s="244">
        <v>0</v>
      </c>
      <c r="K153" s="276">
        <v>3</v>
      </c>
      <c r="L153" s="277">
        <v>35.708100000000002</v>
      </c>
      <c r="M153" s="249"/>
      <c r="N153" s="250"/>
      <c r="O153" s="250"/>
      <c r="P153" s="250"/>
      <c r="Q153" s="250"/>
      <c r="R153" s="250"/>
      <c r="S153" s="266">
        <f t="shared" si="5"/>
        <v>0.47712125471966244</v>
      </c>
    </row>
    <row r="154" spans="1:19">
      <c r="A154" s="243"/>
      <c r="B154" s="244"/>
      <c r="C154" s="311">
        <v>6</v>
      </c>
      <c r="D154" s="244">
        <v>6</v>
      </c>
      <c r="E154" s="244">
        <v>1</v>
      </c>
      <c r="F154" s="244">
        <v>0</v>
      </c>
      <c r="G154" s="244">
        <v>2</v>
      </c>
      <c r="H154" s="244">
        <v>2</v>
      </c>
      <c r="I154" s="244">
        <v>1</v>
      </c>
      <c r="J154" s="244">
        <v>0</v>
      </c>
      <c r="K154" s="276">
        <v>3</v>
      </c>
      <c r="L154" s="277">
        <v>36.154800000000002</v>
      </c>
      <c r="M154" s="249"/>
      <c r="N154" s="250"/>
      <c r="O154" s="250"/>
      <c r="P154" s="250"/>
      <c r="Q154" s="250"/>
      <c r="R154" s="250"/>
      <c r="S154" s="266">
        <f t="shared" si="5"/>
        <v>0.47712125471966244</v>
      </c>
    </row>
    <row r="155" spans="1:19">
      <c r="A155" s="243"/>
      <c r="B155" s="244"/>
      <c r="C155" s="311">
        <v>6</v>
      </c>
      <c r="D155" s="244">
        <v>6</v>
      </c>
      <c r="E155" s="244">
        <v>0</v>
      </c>
      <c r="F155" s="244">
        <v>0</v>
      </c>
      <c r="G155" s="244">
        <v>2</v>
      </c>
      <c r="H155" s="244">
        <v>2</v>
      </c>
      <c r="I155" s="244">
        <v>1</v>
      </c>
      <c r="J155" s="244">
        <v>0</v>
      </c>
      <c r="K155" s="276">
        <v>3</v>
      </c>
      <c r="L155" s="277">
        <v>35.708100000000002</v>
      </c>
      <c r="M155" s="249"/>
      <c r="N155" s="250"/>
      <c r="O155" s="250"/>
      <c r="P155" s="250"/>
      <c r="Q155" s="250"/>
      <c r="R155" s="250"/>
      <c r="S155" s="266">
        <f t="shared" si="5"/>
        <v>0.47712125471966244</v>
      </c>
    </row>
    <row r="156" spans="1:19">
      <c r="A156" s="243"/>
      <c r="B156" s="244"/>
      <c r="C156" s="311">
        <v>6</v>
      </c>
      <c r="D156" s="244">
        <v>6</v>
      </c>
      <c r="E156" s="244">
        <v>1</v>
      </c>
      <c r="F156" s="244">
        <v>0</v>
      </c>
      <c r="G156" s="244">
        <v>2</v>
      </c>
      <c r="H156" s="244">
        <v>2</v>
      </c>
      <c r="I156" s="244">
        <v>1</v>
      </c>
      <c r="J156" s="244">
        <v>0</v>
      </c>
      <c r="K156" s="276">
        <v>3</v>
      </c>
      <c r="L156" s="277">
        <v>34.7288</v>
      </c>
      <c r="M156" s="249"/>
      <c r="N156" s="250"/>
      <c r="O156" s="250"/>
      <c r="P156" s="250"/>
      <c r="Q156" s="250"/>
      <c r="R156" s="250"/>
      <c r="S156" s="266">
        <f t="shared" si="5"/>
        <v>0.47712125471966244</v>
      </c>
    </row>
    <row r="157" spans="1:19">
      <c r="A157" s="243"/>
      <c r="B157" s="244"/>
      <c r="C157" s="311">
        <v>6</v>
      </c>
      <c r="D157" s="244">
        <v>6</v>
      </c>
      <c r="E157" s="244">
        <v>1</v>
      </c>
      <c r="F157" s="244">
        <v>0</v>
      </c>
      <c r="G157" s="244">
        <v>2</v>
      </c>
      <c r="H157" s="244">
        <v>2</v>
      </c>
      <c r="I157" s="244">
        <v>1</v>
      </c>
      <c r="J157" s="244">
        <v>0</v>
      </c>
      <c r="K157" s="276">
        <v>3</v>
      </c>
      <c r="L157" s="277">
        <v>34.285299999999999</v>
      </c>
      <c r="M157" s="249"/>
      <c r="N157" s="250"/>
      <c r="O157" s="250"/>
      <c r="P157" s="250"/>
      <c r="Q157" s="250"/>
      <c r="R157" s="250"/>
      <c r="S157" s="266">
        <f t="shared" si="5"/>
        <v>0.47712125471966244</v>
      </c>
    </row>
    <row r="158" spans="1:19">
      <c r="A158" s="243"/>
      <c r="B158" s="244"/>
      <c r="C158" s="311">
        <v>8</v>
      </c>
      <c r="D158" s="244">
        <v>6</v>
      </c>
      <c r="E158" s="244">
        <v>1</v>
      </c>
      <c r="F158" s="244">
        <v>0</v>
      </c>
      <c r="G158" s="244">
        <v>2</v>
      </c>
      <c r="H158" s="244">
        <v>2</v>
      </c>
      <c r="I158" s="244">
        <v>1</v>
      </c>
      <c r="J158" s="244">
        <v>1</v>
      </c>
      <c r="K158" s="276">
        <v>4.8</v>
      </c>
      <c r="L158" s="277">
        <v>30.537500000000001</v>
      </c>
      <c r="M158" s="249"/>
      <c r="N158" s="250"/>
      <c r="O158" s="250"/>
      <c r="P158" s="250"/>
      <c r="Q158" s="250"/>
      <c r="R158" s="250"/>
      <c r="S158" s="266">
        <f t="shared" si="5"/>
        <v>0.68124123737558717</v>
      </c>
    </row>
    <row r="159" spans="1:19">
      <c r="A159" s="243"/>
      <c r="B159" s="244"/>
      <c r="C159" s="311">
        <v>8</v>
      </c>
      <c r="D159" s="244">
        <v>6</v>
      </c>
      <c r="E159" s="244">
        <v>1</v>
      </c>
      <c r="F159" s="244">
        <v>0</v>
      </c>
      <c r="G159" s="244">
        <v>2</v>
      </c>
      <c r="H159" s="244">
        <v>2</v>
      </c>
      <c r="I159" s="244">
        <v>1</v>
      </c>
      <c r="J159" s="244">
        <v>1</v>
      </c>
      <c r="K159" s="276">
        <v>4.8</v>
      </c>
      <c r="L159" s="277">
        <v>31.374700000000001</v>
      </c>
      <c r="M159" s="249"/>
      <c r="N159" s="250"/>
      <c r="O159" s="250"/>
      <c r="P159" s="250"/>
      <c r="Q159" s="250"/>
      <c r="R159" s="250"/>
      <c r="S159" s="266">
        <f t="shared" si="5"/>
        <v>0.68124123737558717</v>
      </c>
    </row>
    <row r="160" spans="1:19">
      <c r="A160" s="243"/>
      <c r="B160" s="244"/>
      <c r="C160" s="311">
        <v>8</v>
      </c>
      <c r="D160" s="244">
        <v>6</v>
      </c>
      <c r="E160" s="244">
        <v>1</v>
      </c>
      <c r="F160" s="244">
        <v>0</v>
      </c>
      <c r="G160" s="244">
        <v>2</v>
      </c>
      <c r="H160" s="244">
        <v>2</v>
      </c>
      <c r="I160" s="244">
        <v>1</v>
      </c>
      <c r="J160" s="244">
        <v>1</v>
      </c>
      <c r="K160" s="276">
        <v>4.8</v>
      </c>
      <c r="L160" s="277">
        <v>28.8</v>
      </c>
      <c r="M160" s="249"/>
      <c r="N160" s="250"/>
      <c r="O160" s="250"/>
      <c r="P160" s="250"/>
      <c r="Q160" s="250"/>
      <c r="R160" s="250"/>
      <c r="S160" s="266">
        <f t="shared" si="5"/>
        <v>0.68124123737558717</v>
      </c>
    </row>
    <row r="161" spans="1:19">
      <c r="A161" s="243"/>
      <c r="B161" s="244"/>
      <c r="C161" s="311">
        <v>8</v>
      </c>
      <c r="D161" s="244">
        <v>6</v>
      </c>
      <c r="E161" s="244">
        <v>1</v>
      </c>
      <c r="F161" s="244">
        <v>0</v>
      </c>
      <c r="G161" s="244">
        <v>2</v>
      </c>
      <c r="H161" s="244">
        <v>2</v>
      </c>
      <c r="I161" s="244">
        <v>1</v>
      </c>
      <c r="J161" s="244">
        <v>1</v>
      </c>
      <c r="K161" s="276">
        <v>4.8</v>
      </c>
      <c r="L161" s="277">
        <v>31.8</v>
      </c>
      <c r="M161" s="249"/>
      <c r="N161" s="250"/>
      <c r="O161" s="250"/>
      <c r="P161" s="250"/>
      <c r="Q161" s="250"/>
      <c r="R161" s="250"/>
      <c r="S161" s="266">
        <f t="shared" si="5"/>
        <v>0.68124123737558717</v>
      </c>
    </row>
    <row r="162" spans="1:19">
      <c r="A162" s="243"/>
      <c r="B162" s="244"/>
      <c r="C162" s="311">
        <v>8</v>
      </c>
      <c r="D162" s="244">
        <v>7</v>
      </c>
      <c r="E162" s="244">
        <v>1</v>
      </c>
      <c r="F162" s="244">
        <v>0</v>
      </c>
      <c r="G162" s="244">
        <v>2</v>
      </c>
      <c r="H162" s="244">
        <v>2</v>
      </c>
      <c r="I162" s="244">
        <v>1</v>
      </c>
      <c r="J162" s="244">
        <v>0</v>
      </c>
      <c r="K162" s="276">
        <v>4</v>
      </c>
      <c r="L162" s="277">
        <v>27.3704</v>
      </c>
      <c r="M162" s="249"/>
      <c r="N162" s="250"/>
      <c r="O162" s="250"/>
      <c r="P162" s="250"/>
      <c r="Q162" s="250"/>
      <c r="R162" s="250"/>
      <c r="S162" s="266">
        <f t="shared" si="5"/>
        <v>0.6020599913279624</v>
      </c>
    </row>
    <row r="163" spans="1:19">
      <c r="A163" s="243"/>
      <c r="B163" s="244"/>
      <c r="C163" s="311">
        <v>8</v>
      </c>
      <c r="D163" s="244">
        <v>6</v>
      </c>
      <c r="E163" s="244">
        <v>0</v>
      </c>
      <c r="F163" s="244">
        <v>0</v>
      </c>
      <c r="G163" s="244">
        <v>2</v>
      </c>
      <c r="H163" s="244">
        <v>2</v>
      </c>
      <c r="I163" s="244">
        <v>1</v>
      </c>
      <c r="J163" s="244">
        <v>0</v>
      </c>
      <c r="K163" s="276">
        <v>4</v>
      </c>
      <c r="L163" s="277">
        <v>27.3</v>
      </c>
      <c r="M163" s="249"/>
      <c r="N163" s="250"/>
      <c r="O163" s="250"/>
      <c r="P163" s="250"/>
      <c r="Q163" s="250"/>
      <c r="R163" s="250"/>
      <c r="S163" s="266">
        <f t="shared" si="5"/>
        <v>0.6020599913279624</v>
      </c>
    </row>
    <row r="164" spans="1:19">
      <c r="A164" s="243"/>
      <c r="B164" s="244"/>
      <c r="C164" s="311">
        <v>8</v>
      </c>
      <c r="D164" s="244">
        <v>6</v>
      </c>
      <c r="E164" s="244">
        <v>0</v>
      </c>
      <c r="F164" s="244">
        <v>0</v>
      </c>
      <c r="G164" s="244">
        <v>2</v>
      </c>
      <c r="H164" s="244">
        <v>2</v>
      </c>
      <c r="I164" s="244">
        <v>1</v>
      </c>
      <c r="J164" s="244">
        <v>0</v>
      </c>
      <c r="K164" s="276">
        <v>4</v>
      </c>
      <c r="L164" s="277">
        <v>28.4</v>
      </c>
      <c r="M164" s="249"/>
      <c r="N164" s="250"/>
      <c r="O164" s="250"/>
      <c r="P164" s="250"/>
      <c r="Q164" s="250"/>
      <c r="R164" s="250"/>
      <c r="S164" s="266">
        <f t="shared" si="5"/>
        <v>0.6020599913279624</v>
      </c>
    </row>
    <row r="165" spans="1:19">
      <c r="A165" s="243"/>
      <c r="B165" s="244"/>
      <c r="C165" s="311">
        <v>8</v>
      </c>
      <c r="D165" s="244">
        <v>7</v>
      </c>
      <c r="E165" s="244">
        <v>1</v>
      </c>
      <c r="F165" s="244">
        <v>0</v>
      </c>
      <c r="G165" s="244">
        <v>2</v>
      </c>
      <c r="H165" s="244">
        <v>2</v>
      </c>
      <c r="I165" s="244">
        <v>1</v>
      </c>
      <c r="J165" s="244">
        <v>0</v>
      </c>
      <c r="K165" s="276">
        <v>4</v>
      </c>
      <c r="L165" s="277">
        <v>27.9711</v>
      </c>
      <c r="M165" s="249"/>
      <c r="N165" s="250"/>
      <c r="O165" s="250"/>
      <c r="P165" s="250"/>
      <c r="Q165" s="250"/>
      <c r="R165" s="250"/>
      <c r="S165" s="266">
        <f t="shared" si="5"/>
        <v>0.6020599913279624</v>
      </c>
    </row>
    <row r="166" spans="1:19">
      <c r="A166" s="243"/>
      <c r="B166" s="244"/>
      <c r="C166" s="311">
        <v>10</v>
      </c>
      <c r="D166" s="244">
        <v>6</v>
      </c>
      <c r="E166" s="244">
        <v>1</v>
      </c>
      <c r="F166" s="244">
        <v>0</v>
      </c>
      <c r="G166" s="244">
        <v>2</v>
      </c>
      <c r="H166" s="244">
        <v>2</v>
      </c>
      <c r="I166" s="244">
        <v>1</v>
      </c>
      <c r="J166" s="244">
        <v>0</v>
      </c>
      <c r="K166" s="276">
        <v>5</v>
      </c>
      <c r="L166" s="277">
        <v>23.227</v>
      </c>
      <c r="M166" s="249"/>
      <c r="N166" s="250"/>
      <c r="O166" s="250"/>
      <c r="P166" s="250"/>
      <c r="Q166" s="250"/>
      <c r="R166" s="250"/>
      <c r="S166" s="266">
        <f t="shared" si="5"/>
        <v>0.69897000433601886</v>
      </c>
    </row>
    <row r="167" spans="1:19">
      <c r="A167" s="243"/>
      <c r="B167" s="244"/>
      <c r="C167" s="311">
        <v>10</v>
      </c>
      <c r="D167" s="244">
        <v>7</v>
      </c>
      <c r="E167" s="244">
        <v>1</v>
      </c>
      <c r="F167" s="244">
        <v>0</v>
      </c>
      <c r="G167" s="244">
        <v>2</v>
      </c>
      <c r="H167" s="244">
        <v>2</v>
      </c>
      <c r="I167" s="244">
        <v>1</v>
      </c>
      <c r="J167" s="244">
        <v>0</v>
      </c>
      <c r="K167" s="276">
        <v>5</v>
      </c>
      <c r="L167" s="277">
        <v>23.618200000000002</v>
      </c>
      <c r="M167" s="249"/>
      <c r="N167" s="250"/>
      <c r="O167" s="250"/>
      <c r="P167" s="250"/>
      <c r="Q167" s="250"/>
      <c r="R167" s="250"/>
      <c r="S167" s="266">
        <f t="shared" si="5"/>
        <v>0.69897000433601886</v>
      </c>
    </row>
    <row r="168" spans="1:19">
      <c r="A168" s="243"/>
      <c r="B168" s="244"/>
      <c r="C168" s="311">
        <v>10</v>
      </c>
      <c r="D168" s="244">
        <v>6</v>
      </c>
      <c r="E168" s="244">
        <v>1</v>
      </c>
      <c r="F168" s="244">
        <v>0</v>
      </c>
      <c r="G168" s="244">
        <v>2</v>
      </c>
      <c r="H168" s="244">
        <v>2</v>
      </c>
      <c r="I168" s="244">
        <v>1</v>
      </c>
      <c r="J168" s="244">
        <v>0</v>
      </c>
      <c r="K168" s="276">
        <v>5</v>
      </c>
      <c r="L168" s="277">
        <v>23.7</v>
      </c>
      <c r="M168" s="249"/>
      <c r="N168" s="250"/>
      <c r="O168" s="250"/>
      <c r="P168" s="250"/>
      <c r="Q168" s="250"/>
      <c r="R168" s="250"/>
      <c r="S168" s="266">
        <f t="shared" si="5"/>
        <v>0.69897000433601886</v>
      </c>
    </row>
    <row r="169" spans="1:19">
      <c r="A169" s="243"/>
      <c r="B169" s="244"/>
      <c r="C169" s="311">
        <v>10</v>
      </c>
      <c r="D169" s="244">
        <v>7</v>
      </c>
      <c r="E169" s="244">
        <v>1</v>
      </c>
      <c r="F169" s="244">
        <v>0</v>
      </c>
      <c r="G169" s="244">
        <v>2</v>
      </c>
      <c r="H169" s="244">
        <v>2</v>
      </c>
      <c r="I169" s="244">
        <v>1</v>
      </c>
      <c r="J169" s="244">
        <v>0</v>
      </c>
      <c r="K169" s="276">
        <v>5</v>
      </c>
      <c r="L169" s="277">
        <v>24.0505</v>
      </c>
      <c r="M169" s="249"/>
      <c r="N169" s="250"/>
      <c r="O169" s="250"/>
      <c r="P169" s="250"/>
      <c r="Q169" s="250"/>
      <c r="R169" s="250"/>
      <c r="S169" s="266">
        <f t="shared" si="5"/>
        <v>0.69897000433601886</v>
      </c>
    </row>
    <row r="170" spans="1:19">
      <c r="A170" s="243"/>
      <c r="B170" s="244"/>
      <c r="C170" s="311">
        <v>4</v>
      </c>
      <c r="D170" s="244">
        <v>4</v>
      </c>
      <c r="E170" s="244">
        <v>1</v>
      </c>
      <c r="F170" s="244">
        <v>0</v>
      </c>
      <c r="G170" s="244">
        <v>2</v>
      </c>
      <c r="H170" s="244">
        <v>2</v>
      </c>
      <c r="I170" s="244">
        <v>1</v>
      </c>
      <c r="J170" s="244">
        <v>0</v>
      </c>
      <c r="K170" s="276">
        <v>1.6</v>
      </c>
      <c r="L170" s="277">
        <v>47.9</v>
      </c>
      <c r="M170" s="249"/>
      <c r="N170" s="250"/>
      <c r="O170" s="250"/>
      <c r="P170" s="250"/>
      <c r="Q170" s="250"/>
      <c r="R170" s="250"/>
      <c r="S170" s="266">
        <f t="shared" si="5"/>
        <v>0.20411998265592479</v>
      </c>
    </row>
    <row r="171" spans="1:19">
      <c r="A171" s="243"/>
      <c r="B171" s="244"/>
      <c r="C171" s="311">
        <v>4</v>
      </c>
      <c r="D171" s="244">
        <v>5</v>
      </c>
      <c r="E171" s="244">
        <v>0</v>
      </c>
      <c r="F171" s="244">
        <v>0</v>
      </c>
      <c r="G171" s="244">
        <v>2</v>
      </c>
      <c r="H171" s="244">
        <v>2</v>
      </c>
      <c r="I171" s="244">
        <v>1</v>
      </c>
      <c r="J171" s="244">
        <v>0</v>
      </c>
      <c r="K171" s="276">
        <v>1.6</v>
      </c>
      <c r="L171" s="277">
        <v>48.9</v>
      </c>
      <c r="M171" s="249"/>
      <c r="N171" s="250"/>
      <c r="O171" s="250"/>
      <c r="P171" s="250"/>
      <c r="Q171" s="250"/>
      <c r="R171" s="250"/>
      <c r="S171" s="266">
        <f t="shared" si="5"/>
        <v>0.20411998265592479</v>
      </c>
    </row>
    <row r="172" spans="1:19">
      <c r="A172" s="243"/>
      <c r="B172" s="244"/>
      <c r="C172" s="311">
        <v>4</v>
      </c>
      <c r="D172" s="244">
        <v>5</v>
      </c>
      <c r="E172" s="244">
        <v>0</v>
      </c>
      <c r="F172" s="244">
        <v>0</v>
      </c>
      <c r="G172" s="244">
        <v>2</v>
      </c>
      <c r="H172" s="244">
        <v>2</v>
      </c>
      <c r="I172" s="244">
        <v>1</v>
      </c>
      <c r="J172" s="244">
        <v>0</v>
      </c>
      <c r="K172" s="276">
        <v>2.2000000000000002</v>
      </c>
      <c r="L172" s="277">
        <v>51.9</v>
      </c>
      <c r="M172" s="249"/>
      <c r="N172" s="250"/>
      <c r="O172" s="250"/>
      <c r="P172" s="250"/>
      <c r="Q172" s="250"/>
      <c r="R172" s="250"/>
      <c r="S172" s="266">
        <f t="shared" si="5"/>
        <v>0.34242268082220628</v>
      </c>
    </row>
    <row r="173" spans="1:19">
      <c r="A173" s="243"/>
      <c r="B173" s="244"/>
      <c r="C173" s="311">
        <v>4</v>
      </c>
      <c r="D173" s="244">
        <v>4</v>
      </c>
      <c r="E173" s="244">
        <v>1</v>
      </c>
      <c r="F173" s="244">
        <v>0</v>
      </c>
      <c r="G173" s="244">
        <v>2</v>
      </c>
      <c r="H173" s="244">
        <v>2</v>
      </c>
      <c r="I173" s="244">
        <v>1</v>
      </c>
      <c r="J173" s="244">
        <v>0</v>
      </c>
      <c r="K173" s="276">
        <v>2.2000000000000002</v>
      </c>
      <c r="L173" s="277">
        <v>46.8</v>
      </c>
      <c r="M173" s="249"/>
      <c r="N173" s="250"/>
      <c r="O173" s="250"/>
      <c r="P173" s="250"/>
      <c r="Q173" s="250"/>
      <c r="R173" s="250"/>
      <c r="S173" s="266">
        <f t="shared" si="5"/>
        <v>0.34242268082220628</v>
      </c>
    </row>
    <row r="174" spans="1:19">
      <c r="A174" s="243"/>
      <c r="B174" s="244"/>
      <c r="C174" s="311">
        <v>4</v>
      </c>
      <c r="D174" s="244">
        <v>5</v>
      </c>
      <c r="E174" s="244">
        <v>0</v>
      </c>
      <c r="F174" s="244">
        <v>0</v>
      </c>
      <c r="G174" s="244">
        <v>2</v>
      </c>
      <c r="H174" s="244">
        <v>2</v>
      </c>
      <c r="I174" s="244">
        <v>1</v>
      </c>
      <c r="J174" s="244">
        <v>0</v>
      </c>
      <c r="K174" s="276">
        <v>2</v>
      </c>
      <c r="L174" s="277">
        <v>41.9</v>
      </c>
      <c r="M174" s="249"/>
      <c r="N174" s="250"/>
      <c r="O174" s="250"/>
      <c r="P174" s="250"/>
      <c r="Q174" s="250"/>
      <c r="R174" s="250"/>
      <c r="S174" s="266">
        <f t="shared" si="5"/>
        <v>0.3010299956639812</v>
      </c>
    </row>
    <row r="175" spans="1:19">
      <c r="A175" s="243"/>
      <c r="B175" s="244"/>
      <c r="C175" s="311">
        <v>4</v>
      </c>
      <c r="D175" s="244">
        <v>5</v>
      </c>
      <c r="E175" s="244">
        <v>0</v>
      </c>
      <c r="F175" s="244">
        <v>0</v>
      </c>
      <c r="G175" s="244">
        <v>2</v>
      </c>
      <c r="H175" s="244">
        <v>2</v>
      </c>
      <c r="I175" s="244">
        <v>1</v>
      </c>
      <c r="J175" s="244">
        <v>0</v>
      </c>
      <c r="K175" s="276">
        <v>2.2000000000000002</v>
      </c>
      <c r="L175" s="277">
        <v>51.9</v>
      </c>
      <c r="M175" s="249"/>
      <c r="N175" s="250"/>
      <c r="O175" s="250"/>
      <c r="P175" s="250"/>
      <c r="Q175" s="250"/>
      <c r="R175" s="250"/>
      <c r="S175" s="266">
        <f t="shared" si="5"/>
        <v>0.34242268082220628</v>
      </c>
    </row>
    <row r="176" spans="1:19">
      <c r="A176" s="243"/>
      <c r="B176" s="244"/>
      <c r="C176" s="311">
        <v>6</v>
      </c>
      <c r="D176" s="244">
        <v>5</v>
      </c>
      <c r="E176" s="244">
        <v>1</v>
      </c>
      <c r="F176" s="244">
        <v>1</v>
      </c>
      <c r="G176" s="244">
        <v>1</v>
      </c>
      <c r="H176" s="244">
        <v>1</v>
      </c>
      <c r="I176" s="244">
        <v>0</v>
      </c>
      <c r="J176" s="244">
        <v>0</v>
      </c>
      <c r="K176" s="276">
        <v>4</v>
      </c>
      <c r="L176" s="277">
        <v>32.756799999999998</v>
      </c>
      <c r="M176" s="249"/>
      <c r="N176" s="250"/>
      <c r="O176" s="250"/>
      <c r="P176" s="250"/>
      <c r="Q176" s="250"/>
      <c r="R176" s="250"/>
      <c r="S176" s="266">
        <f t="shared" si="5"/>
        <v>0.6020599913279624</v>
      </c>
    </row>
    <row r="177" spans="1:19">
      <c r="A177" s="243"/>
      <c r="B177" s="244"/>
      <c r="C177" s="311">
        <v>6</v>
      </c>
      <c r="D177" s="244">
        <v>5</v>
      </c>
      <c r="E177" s="244">
        <v>0</v>
      </c>
      <c r="F177" s="244">
        <v>0</v>
      </c>
      <c r="G177" s="244">
        <v>1</v>
      </c>
      <c r="H177" s="244">
        <v>1</v>
      </c>
      <c r="I177" s="244">
        <v>0</v>
      </c>
      <c r="J177" s="244">
        <v>0</v>
      </c>
      <c r="K177" s="276">
        <v>4</v>
      </c>
      <c r="L177" s="277">
        <v>36.392600000000002</v>
      </c>
      <c r="M177" s="249"/>
      <c r="N177" s="250"/>
      <c r="O177" s="250"/>
      <c r="P177" s="250"/>
      <c r="Q177" s="250"/>
      <c r="R177" s="250"/>
      <c r="S177" s="266">
        <f t="shared" si="5"/>
        <v>0.6020599913279624</v>
      </c>
    </row>
    <row r="178" spans="1:19">
      <c r="A178" s="243"/>
      <c r="B178" s="244"/>
      <c r="C178" s="311">
        <v>8</v>
      </c>
      <c r="D178" s="244">
        <v>5</v>
      </c>
      <c r="E178" s="244">
        <v>1</v>
      </c>
      <c r="F178" s="244">
        <v>1</v>
      </c>
      <c r="G178" s="244">
        <v>2</v>
      </c>
      <c r="H178" s="244">
        <v>1</v>
      </c>
      <c r="I178" s="244">
        <v>1</v>
      </c>
      <c r="J178" s="244">
        <v>0</v>
      </c>
      <c r="K178" s="276">
        <v>4.5999999999999996</v>
      </c>
      <c r="L178" s="277">
        <v>32.110900000000001</v>
      </c>
      <c r="M178" s="249"/>
      <c r="N178" s="250"/>
      <c r="O178" s="250"/>
      <c r="P178" s="250"/>
      <c r="Q178" s="250"/>
      <c r="R178" s="250"/>
      <c r="S178" s="266">
        <f t="shared" si="5"/>
        <v>0.66275783168157409</v>
      </c>
    </row>
    <row r="179" spans="1:19">
      <c r="A179" s="243"/>
      <c r="B179" s="244"/>
      <c r="C179" s="311">
        <v>8</v>
      </c>
      <c r="D179" s="244">
        <v>5</v>
      </c>
      <c r="E179" s="244">
        <v>0</v>
      </c>
      <c r="F179" s="244">
        <v>1</v>
      </c>
      <c r="G179" s="244">
        <v>2</v>
      </c>
      <c r="H179" s="244">
        <v>1</v>
      </c>
      <c r="I179" s="244">
        <v>1</v>
      </c>
      <c r="J179" s="244">
        <v>0</v>
      </c>
      <c r="K179" s="276">
        <v>4.5999999999999996</v>
      </c>
      <c r="L179" s="277">
        <v>33.799999999999997</v>
      </c>
      <c r="M179" s="249"/>
      <c r="N179" s="250"/>
      <c r="O179" s="250"/>
      <c r="P179" s="250"/>
      <c r="Q179" s="250"/>
      <c r="R179" s="250"/>
      <c r="S179" s="266">
        <f t="shared" si="5"/>
        <v>0.66275783168157409</v>
      </c>
    </row>
    <row r="180" spans="1:19">
      <c r="A180" s="243"/>
      <c r="B180" s="244"/>
      <c r="C180" s="311">
        <v>8</v>
      </c>
      <c r="D180" s="244">
        <v>6</v>
      </c>
      <c r="E180" s="244">
        <v>0</v>
      </c>
      <c r="F180" s="244">
        <v>0</v>
      </c>
      <c r="G180" s="244">
        <v>2</v>
      </c>
      <c r="H180" s="244">
        <v>2</v>
      </c>
      <c r="I180" s="244">
        <v>0</v>
      </c>
      <c r="J180" s="244">
        <v>0</v>
      </c>
      <c r="K180" s="276">
        <v>5.4</v>
      </c>
      <c r="L180" s="277">
        <v>30.4</v>
      </c>
      <c r="M180" s="249"/>
      <c r="N180" s="250"/>
      <c r="O180" s="250"/>
      <c r="P180" s="250"/>
      <c r="Q180" s="250"/>
      <c r="R180" s="250"/>
      <c r="S180" s="266">
        <f t="shared" si="5"/>
        <v>0.7323937598229685</v>
      </c>
    </row>
    <row r="181" spans="1:19">
      <c r="A181" s="243"/>
      <c r="B181" s="244"/>
      <c r="C181" s="311">
        <v>4</v>
      </c>
      <c r="D181" s="244">
        <v>5</v>
      </c>
      <c r="E181" s="244">
        <v>1</v>
      </c>
      <c r="F181" s="244">
        <v>0</v>
      </c>
      <c r="G181" s="244">
        <v>2</v>
      </c>
      <c r="H181" s="244">
        <v>2</v>
      </c>
      <c r="I181" s="244">
        <v>1</v>
      </c>
      <c r="J181" s="244">
        <v>1</v>
      </c>
      <c r="K181" s="276">
        <v>1.8</v>
      </c>
      <c r="L181" s="277">
        <v>50.5</v>
      </c>
      <c r="M181" s="249"/>
      <c r="N181" s="250"/>
      <c r="O181" s="250"/>
      <c r="P181" s="250"/>
      <c r="Q181" s="250"/>
      <c r="R181" s="250"/>
      <c r="S181" s="266">
        <f t="shared" si="5"/>
        <v>0.25527250510330607</v>
      </c>
    </row>
    <row r="182" spans="1:19">
      <c r="A182" s="243"/>
      <c r="B182" s="244"/>
      <c r="C182" s="311">
        <v>4</v>
      </c>
      <c r="D182" s="244">
        <v>5</v>
      </c>
      <c r="E182" s="244">
        <v>0</v>
      </c>
      <c r="F182" s="244">
        <v>0</v>
      </c>
      <c r="G182" s="244">
        <v>2</v>
      </c>
      <c r="H182" s="244">
        <v>2</v>
      </c>
      <c r="I182" s="244">
        <v>1</v>
      </c>
      <c r="J182" s="244">
        <v>1</v>
      </c>
      <c r="K182" s="276">
        <v>1.8</v>
      </c>
      <c r="L182" s="277">
        <v>48.6</v>
      </c>
      <c r="M182" s="249"/>
      <c r="N182" s="250"/>
      <c r="O182" s="250"/>
      <c r="P182" s="250"/>
      <c r="Q182" s="250"/>
      <c r="R182" s="250"/>
      <c r="S182" s="266">
        <f t="shared" si="5"/>
        <v>0.25527250510330607</v>
      </c>
    </row>
    <row r="183" spans="1:19">
      <c r="A183" s="243"/>
      <c r="B183" s="244"/>
      <c r="C183" s="311">
        <v>4</v>
      </c>
      <c r="D183" s="244">
        <v>5</v>
      </c>
      <c r="E183" s="244">
        <v>1</v>
      </c>
      <c r="F183" s="244">
        <v>0</v>
      </c>
      <c r="G183" s="244">
        <v>2</v>
      </c>
      <c r="H183" s="244">
        <v>2</v>
      </c>
      <c r="I183" s="244">
        <v>1</v>
      </c>
      <c r="J183" s="244">
        <v>1</v>
      </c>
      <c r="K183" s="276">
        <v>1.8</v>
      </c>
      <c r="L183" s="277">
        <v>51.191499999999998</v>
      </c>
      <c r="M183" s="249"/>
      <c r="N183" s="250"/>
      <c r="O183" s="250"/>
      <c r="P183" s="250"/>
      <c r="Q183" s="250"/>
      <c r="R183" s="250"/>
      <c r="S183" s="266">
        <f t="shared" si="5"/>
        <v>0.25527250510330607</v>
      </c>
    </row>
    <row r="184" spans="1:19">
      <c r="A184" s="243"/>
      <c r="B184" s="244"/>
      <c r="C184" s="311">
        <v>4</v>
      </c>
      <c r="D184" s="244">
        <v>6</v>
      </c>
      <c r="E184" s="244">
        <v>0</v>
      </c>
      <c r="F184" s="244">
        <v>0</v>
      </c>
      <c r="G184" s="244">
        <v>2</v>
      </c>
      <c r="H184" s="244">
        <v>2</v>
      </c>
      <c r="I184" s="244">
        <v>1</v>
      </c>
      <c r="J184" s="244">
        <v>1</v>
      </c>
      <c r="K184" s="276">
        <v>2</v>
      </c>
      <c r="L184" s="277">
        <v>40.5</v>
      </c>
      <c r="M184" s="249"/>
      <c r="N184" s="250"/>
      <c r="O184" s="250"/>
      <c r="P184" s="250"/>
      <c r="Q184" s="250"/>
      <c r="R184" s="250"/>
      <c r="S184" s="266">
        <f t="shared" si="5"/>
        <v>0.3010299956639812</v>
      </c>
    </row>
    <row r="185" spans="1:19">
      <c r="A185" s="243"/>
      <c r="B185" s="244"/>
      <c r="C185" s="311">
        <v>4</v>
      </c>
      <c r="D185" s="244">
        <v>5</v>
      </c>
      <c r="E185" s="244">
        <v>1</v>
      </c>
      <c r="F185" s="244">
        <v>0</v>
      </c>
      <c r="G185" s="244">
        <v>2</v>
      </c>
      <c r="H185" s="244">
        <v>2</v>
      </c>
      <c r="I185" s="244">
        <v>1</v>
      </c>
      <c r="J185" s="244">
        <v>0</v>
      </c>
      <c r="K185" s="276">
        <v>2</v>
      </c>
      <c r="L185" s="277">
        <v>41.799799999999998</v>
      </c>
      <c r="M185" s="249"/>
      <c r="N185" s="250"/>
      <c r="O185" s="250"/>
      <c r="P185" s="250"/>
      <c r="Q185" s="250"/>
      <c r="R185" s="250"/>
      <c r="S185" s="266">
        <f t="shared" si="5"/>
        <v>0.3010299956639812</v>
      </c>
    </row>
    <row r="186" spans="1:19">
      <c r="A186" s="243"/>
      <c r="B186" s="244"/>
      <c r="C186" s="311">
        <v>4</v>
      </c>
      <c r="D186" s="244">
        <v>6</v>
      </c>
      <c r="E186" s="244">
        <v>0</v>
      </c>
      <c r="F186" s="244">
        <v>0</v>
      </c>
      <c r="G186" s="244">
        <v>2</v>
      </c>
      <c r="H186" s="244">
        <v>2</v>
      </c>
      <c r="I186" s="244">
        <v>1</v>
      </c>
      <c r="J186" s="244">
        <v>0</v>
      </c>
      <c r="K186" s="276">
        <v>2</v>
      </c>
      <c r="L186" s="277">
        <v>42</v>
      </c>
      <c r="M186" s="249"/>
      <c r="N186" s="250"/>
      <c r="O186" s="250"/>
      <c r="P186" s="250"/>
      <c r="Q186" s="250"/>
      <c r="R186" s="250"/>
      <c r="S186" s="266">
        <f t="shared" si="5"/>
        <v>0.3010299956639812</v>
      </c>
    </row>
    <row r="187" spans="1:19">
      <c r="A187" s="243"/>
      <c r="B187" s="244"/>
      <c r="C187" s="311">
        <v>6</v>
      </c>
      <c r="D187" s="244">
        <v>6</v>
      </c>
      <c r="E187" s="244">
        <v>1</v>
      </c>
      <c r="F187" s="244">
        <v>0</v>
      </c>
      <c r="G187" s="244">
        <v>2</v>
      </c>
      <c r="H187" s="244">
        <v>2</v>
      </c>
      <c r="I187" s="244">
        <v>1</v>
      </c>
      <c r="J187" s="244">
        <v>0</v>
      </c>
      <c r="K187" s="276">
        <v>3.8</v>
      </c>
      <c r="L187" s="277">
        <v>38.048400000000001</v>
      </c>
      <c r="M187" s="249"/>
      <c r="N187" s="250"/>
      <c r="O187" s="250"/>
      <c r="P187" s="250"/>
      <c r="Q187" s="250"/>
      <c r="R187" s="250"/>
      <c r="S187" s="266">
        <f t="shared" si="5"/>
        <v>0.57978359661681012</v>
      </c>
    </row>
    <row r="188" spans="1:19">
      <c r="A188" s="243"/>
      <c r="B188" s="244"/>
      <c r="C188" s="311">
        <v>6</v>
      </c>
      <c r="D188" s="244">
        <v>6</v>
      </c>
      <c r="E188" s="244">
        <v>0</v>
      </c>
      <c r="F188" s="244">
        <v>0</v>
      </c>
      <c r="G188" s="244">
        <v>2</v>
      </c>
      <c r="H188" s="244">
        <v>2</v>
      </c>
      <c r="I188" s="244">
        <v>1</v>
      </c>
      <c r="J188" s="244">
        <v>0</v>
      </c>
      <c r="K188" s="276">
        <v>3.8</v>
      </c>
      <c r="L188" s="277">
        <v>36.4</v>
      </c>
      <c r="M188" s="249"/>
      <c r="N188" s="250"/>
      <c r="O188" s="250"/>
      <c r="P188" s="250"/>
      <c r="Q188" s="250"/>
      <c r="R188" s="250"/>
      <c r="S188" s="266">
        <f t="shared" si="5"/>
        <v>0.57978359661681012</v>
      </c>
    </row>
    <row r="189" spans="1:19">
      <c r="A189" s="243"/>
      <c r="B189" s="244"/>
      <c r="C189" s="311">
        <v>6</v>
      </c>
      <c r="D189" s="244">
        <v>6</v>
      </c>
      <c r="E189" s="244">
        <v>0</v>
      </c>
      <c r="F189" s="244">
        <v>0</v>
      </c>
      <c r="G189" s="244">
        <v>2</v>
      </c>
      <c r="H189" s="244">
        <v>2</v>
      </c>
      <c r="I189" s="244">
        <v>1</v>
      </c>
      <c r="J189" s="244">
        <v>1</v>
      </c>
      <c r="K189" s="276">
        <v>3.7</v>
      </c>
      <c r="L189" s="277">
        <v>32.974800000000002</v>
      </c>
      <c r="M189" s="249"/>
      <c r="N189" s="250"/>
      <c r="O189" s="250"/>
      <c r="P189" s="250"/>
      <c r="Q189" s="250"/>
      <c r="R189" s="250"/>
      <c r="S189" s="266">
        <f t="shared" si="5"/>
        <v>0.56820172406699498</v>
      </c>
    </row>
    <row r="190" spans="1:19">
      <c r="A190" s="243"/>
      <c r="B190" s="244"/>
      <c r="C190" s="311">
        <v>6</v>
      </c>
      <c r="D190" s="244">
        <v>7</v>
      </c>
      <c r="E190" s="244">
        <v>1</v>
      </c>
      <c r="F190" s="244">
        <v>0</v>
      </c>
      <c r="G190" s="244">
        <v>2</v>
      </c>
      <c r="H190" s="244">
        <v>2</v>
      </c>
      <c r="I190" s="244">
        <v>1</v>
      </c>
      <c r="J190" s="244">
        <v>1</v>
      </c>
      <c r="K190" s="276">
        <v>3.7</v>
      </c>
      <c r="L190" s="277">
        <v>35.2288</v>
      </c>
      <c r="M190" s="249"/>
      <c r="N190" s="250"/>
      <c r="O190" s="250"/>
      <c r="P190" s="250"/>
      <c r="Q190" s="250"/>
      <c r="R190" s="250"/>
      <c r="S190" s="266">
        <f t="shared" si="5"/>
        <v>0.56820172406699498</v>
      </c>
    </row>
    <row r="191" spans="1:19">
      <c r="A191" s="243"/>
      <c r="B191" s="244"/>
      <c r="C191" s="311">
        <v>6</v>
      </c>
      <c r="D191" s="244">
        <v>6</v>
      </c>
      <c r="E191" s="244">
        <v>0</v>
      </c>
      <c r="F191" s="244">
        <v>0</v>
      </c>
      <c r="G191" s="244">
        <v>2</v>
      </c>
      <c r="H191" s="244">
        <v>2</v>
      </c>
      <c r="I191" s="244">
        <v>1</v>
      </c>
      <c r="J191" s="244">
        <v>1</v>
      </c>
      <c r="K191" s="276">
        <v>3.7</v>
      </c>
      <c r="L191" s="277">
        <v>34.730499999999999</v>
      </c>
      <c r="M191" s="249"/>
      <c r="N191" s="250"/>
      <c r="O191" s="250"/>
      <c r="P191" s="250"/>
      <c r="Q191" s="250"/>
      <c r="R191" s="250"/>
      <c r="S191" s="266">
        <f t="shared" si="5"/>
        <v>0.56820172406699498</v>
      </c>
    </row>
    <row r="192" spans="1:19">
      <c r="A192" s="243"/>
      <c r="B192" s="244"/>
      <c r="C192" s="311">
        <v>6</v>
      </c>
      <c r="D192" s="244">
        <v>7</v>
      </c>
      <c r="E192" s="244">
        <v>1</v>
      </c>
      <c r="F192" s="244">
        <v>0</v>
      </c>
      <c r="G192" s="244">
        <v>2</v>
      </c>
      <c r="H192" s="244">
        <v>2</v>
      </c>
      <c r="I192" s="244">
        <v>1</v>
      </c>
      <c r="J192" s="244">
        <v>1</v>
      </c>
      <c r="K192" s="276">
        <v>3.7</v>
      </c>
      <c r="L192" s="277">
        <v>37.064999999999998</v>
      </c>
      <c r="M192" s="249"/>
      <c r="N192" s="250"/>
      <c r="O192" s="250"/>
      <c r="P192" s="250"/>
      <c r="Q192" s="250"/>
      <c r="R192" s="250"/>
      <c r="S192" s="266">
        <f t="shared" si="5"/>
        <v>0.56820172406699498</v>
      </c>
    </row>
    <row r="193" spans="1:19">
      <c r="A193" s="243"/>
      <c r="B193" s="244"/>
      <c r="C193" s="311">
        <v>6</v>
      </c>
      <c r="D193" s="244">
        <v>7</v>
      </c>
      <c r="E193" s="244">
        <v>1</v>
      </c>
      <c r="F193" s="244">
        <v>0</v>
      </c>
      <c r="G193" s="244">
        <v>2</v>
      </c>
      <c r="H193" s="244">
        <v>2</v>
      </c>
      <c r="I193" s="244">
        <v>1</v>
      </c>
      <c r="J193" s="244">
        <v>1</v>
      </c>
      <c r="K193" s="276">
        <v>3.7</v>
      </c>
      <c r="L193" s="277">
        <v>35.161999999999999</v>
      </c>
      <c r="M193" s="249"/>
      <c r="N193" s="250"/>
      <c r="O193" s="250"/>
      <c r="P193" s="250"/>
      <c r="Q193" s="250"/>
      <c r="R193" s="250"/>
      <c r="S193" s="266">
        <f t="shared" si="5"/>
        <v>0.56820172406699498</v>
      </c>
    </row>
    <row r="194" spans="1:19">
      <c r="A194" s="243"/>
      <c r="B194" s="244"/>
      <c r="C194" s="311">
        <v>6</v>
      </c>
      <c r="D194" s="244">
        <v>6</v>
      </c>
      <c r="E194" s="244">
        <v>1</v>
      </c>
      <c r="F194" s="244">
        <v>0</v>
      </c>
      <c r="G194" s="244">
        <v>2</v>
      </c>
      <c r="H194" s="244">
        <v>2</v>
      </c>
      <c r="I194" s="244">
        <v>1</v>
      </c>
      <c r="J194" s="244">
        <v>0</v>
      </c>
      <c r="K194" s="276">
        <v>2.5</v>
      </c>
      <c r="L194" s="277">
        <v>36.290100000000002</v>
      </c>
      <c r="M194" s="249"/>
      <c r="N194" s="250"/>
      <c r="O194" s="250"/>
      <c r="P194" s="250"/>
      <c r="Q194" s="250"/>
      <c r="R194" s="250"/>
      <c r="S194" s="266">
        <f t="shared" si="5"/>
        <v>0.3979400086720376</v>
      </c>
    </row>
    <row r="195" spans="1:19">
      <c r="A195" s="243"/>
      <c r="B195" s="244"/>
      <c r="C195" s="311">
        <v>6</v>
      </c>
      <c r="D195" s="244">
        <v>6</v>
      </c>
      <c r="E195" s="244">
        <v>0</v>
      </c>
      <c r="F195" s="244">
        <v>0</v>
      </c>
      <c r="G195" s="244">
        <v>2</v>
      </c>
      <c r="H195" s="244">
        <v>2</v>
      </c>
      <c r="I195" s="244">
        <v>1</v>
      </c>
      <c r="J195" s="244">
        <v>0</v>
      </c>
      <c r="K195" s="276">
        <v>2.5</v>
      </c>
      <c r="L195" s="277">
        <v>36.704700000000003</v>
      </c>
      <c r="M195" s="249"/>
      <c r="N195" s="250"/>
      <c r="O195" s="250"/>
      <c r="P195" s="250"/>
      <c r="Q195" s="250"/>
      <c r="R195" s="250"/>
      <c r="S195" s="266">
        <f t="shared" si="5"/>
        <v>0.3979400086720376</v>
      </c>
    </row>
    <row r="196" spans="1:19">
      <c r="A196" s="243"/>
      <c r="B196" s="244"/>
      <c r="C196" s="311">
        <v>6</v>
      </c>
      <c r="D196" s="244">
        <v>6</v>
      </c>
      <c r="E196" s="244">
        <v>1</v>
      </c>
      <c r="F196" s="244">
        <v>0</v>
      </c>
      <c r="G196" s="244">
        <v>2</v>
      </c>
      <c r="H196" s="244">
        <v>2</v>
      </c>
      <c r="I196" s="244">
        <v>1</v>
      </c>
      <c r="J196" s="244">
        <v>0</v>
      </c>
      <c r="K196" s="276">
        <v>2.5</v>
      </c>
      <c r="L196" s="277">
        <v>40.8247</v>
      </c>
      <c r="M196" s="249"/>
      <c r="N196" s="250"/>
      <c r="O196" s="250"/>
      <c r="P196" s="250"/>
      <c r="Q196" s="250"/>
      <c r="R196" s="250"/>
      <c r="S196" s="266">
        <f t="shared" si="5"/>
        <v>0.3979400086720376</v>
      </c>
    </row>
    <row r="197" spans="1:19">
      <c r="A197" s="243"/>
      <c r="B197" s="244"/>
      <c r="C197" s="311">
        <v>6</v>
      </c>
      <c r="D197" s="244">
        <v>6</v>
      </c>
      <c r="E197" s="244">
        <v>1</v>
      </c>
      <c r="F197" s="244">
        <v>0</v>
      </c>
      <c r="G197" s="244">
        <v>2</v>
      </c>
      <c r="H197" s="244">
        <v>2</v>
      </c>
      <c r="I197" s="244">
        <v>1</v>
      </c>
      <c r="J197" s="244">
        <v>0</v>
      </c>
      <c r="K197" s="276">
        <v>3.5</v>
      </c>
      <c r="L197" s="277">
        <v>36.556399999999996</v>
      </c>
      <c r="M197" s="249"/>
      <c r="N197" s="250"/>
      <c r="O197" s="250"/>
      <c r="P197" s="250"/>
      <c r="Q197" s="250"/>
      <c r="R197" s="250"/>
      <c r="S197" s="266">
        <f t="shared" si="5"/>
        <v>0.54406804435027567</v>
      </c>
    </row>
    <row r="198" spans="1:19">
      <c r="A198" s="243"/>
      <c r="B198" s="244"/>
      <c r="C198" s="311">
        <v>8</v>
      </c>
      <c r="D198" s="244">
        <v>8</v>
      </c>
      <c r="E198" s="244">
        <v>1</v>
      </c>
      <c r="F198" s="244">
        <v>0</v>
      </c>
      <c r="G198" s="244">
        <v>2</v>
      </c>
      <c r="H198" s="244">
        <v>2</v>
      </c>
      <c r="I198" s="244">
        <v>1</v>
      </c>
      <c r="J198" s="244">
        <v>0</v>
      </c>
      <c r="K198" s="276">
        <v>5</v>
      </c>
      <c r="L198" s="277">
        <v>32.088799999999999</v>
      </c>
      <c r="M198" s="249"/>
      <c r="N198" s="250"/>
      <c r="O198" s="250"/>
      <c r="P198" s="250"/>
      <c r="Q198" s="250"/>
      <c r="R198" s="250"/>
      <c r="S198" s="266">
        <f t="shared" si="5"/>
        <v>0.69897000433601886</v>
      </c>
    </row>
    <row r="199" spans="1:19">
      <c r="A199" s="243"/>
      <c r="B199" s="244"/>
      <c r="C199" s="311">
        <v>8</v>
      </c>
      <c r="D199" s="244">
        <v>6</v>
      </c>
      <c r="E199" s="244">
        <v>0</v>
      </c>
      <c r="F199" s="244">
        <v>0</v>
      </c>
      <c r="G199" s="244">
        <v>2</v>
      </c>
      <c r="H199" s="244">
        <v>2</v>
      </c>
      <c r="I199" s="244">
        <v>1</v>
      </c>
      <c r="J199" s="244">
        <v>0</v>
      </c>
      <c r="K199" s="276">
        <v>4.2</v>
      </c>
      <c r="L199" s="277">
        <v>26.881699999999999</v>
      </c>
      <c r="M199" s="249"/>
      <c r="N199" s="250"/>
      <c r="O199" s="250"/>
      <c r="P199" s="250"/>
      <c r="Q199" s="250"/>
      <c r="R199" s="250"/>
      <c r="S199" s="266">
        <f t="shared" si="5"/>
        <v>0.62324929039790045</v>
      </c>
    </row>
    <row r="200" spans="1:19">
      <c r="A200" s="243"/>
      <c r="B200" s="244"/>
      <c r="C200" s="311">
        <v>8</v>
      </c>
      <c r="D200" s="244">
        <v>6</v>
      </c>
      <c r="E200" s="244">
        <v>0</v>
      </c>
      <c r="F200" s="244">
        <v>0</v>
      </c>
      <c r="G200" s="244">
        <v>2</v>
      </c>
      <c r="H200" s="244">
        <v>2</v>
      </c>
      <c r="I200" s="244">
        <v>1</v>
      </c>
      <c r="J200" s="244">
        <v>0</v>
      </c>
      <c r="K200" s="276">
        <v>4.7</v>
      </c>
      <c r="L200" s="277">
        <v>26.702200000000001</v>
      </c>
      <c r="M200" s="249"/>
      <c r="N200" s="250"/>
      <c r="O200" s="250"/>
      <c r="P200" s="250"/>
      <c r="Q200" s="250"/>
      <c r="R200" s="250"/>
      <c r="S200" s="266">
        <f t="shared" si="5"/>
        <v>0.67209785793571752</v>
      </c>
    </row>
    <row r="201" spans="1:19">
      <c r="A201" s="243"/>
      <c r="B201" s="244"/>
      <c r="C201" s="311">
        <v>8</v>
      </c>
      <c r="D201" s="244">
        <v>6</v>
      </c>
      <c r="E201" s="244">
        <v>0</v>
      </c>
      <c r="F201" s="244">
        <v>0</v>
      </c>
      <c r="G201" s="244">
        <v>2</v>
      </c>
      <c r="H201" s="244">
        <v>2</v>
      </c>
      <c r="I201" s="244">
        <v>1</v>
      </c>
      <c r="J201" s="244">
        <v>0</v>
      </c>
      <c r="K201" s="276">
        <v>4.7</v>
      </c>
      <c r="L201" s="277">
        <v>26.560400000000001</v>
      </c>
      <c r="M201" s="249"/>
      <c r="N201" s="250"/>
      <c r="O201" s="250"/>
      <c r="P201" s="250"/>
      <c r="Q201" s="250"/>
      <c r="R201" s="250"/>
      <c r="S201" s="266">
        <f t="shared" si="5"/>
        <v>0.67209785793571752</v>
      </c>
    </row>
    <row r="202" spans="1:19">
      <c r="A202" s="243"/>
      <c r="B202" s="244"/>
      <c r="C202" s="311">
        <v>2</v>
      </c>
      <c r="D202" s="244">
        <v>6</v>
      </c>
      <c r="E202" s="244">
        <v>0</v>
      </c>
      <c r="F202" s="244">
        <v>0</v>
      </c>
      <c r="G202" s="244">
        <v>0</v>
      </c>
      <c r="H202" s="244">
        <v>0</v>
      </c>
      <c r="I202" s="244">
        <v>0</v>
      </c>
      <c r="J202" s="244">
        <v>0</v>
      </c>
      <c r="K202" s="276">
        <v>1.3</v>
      </c>
      <c r="L202" s="277">
        <v>30.2</v>
      </c>
      <c r="M202" s="249"/>
      <c r="N202" s="250"/>
      <c r="O202" s="250"/>
      <c r="P202" s="250"/>
      <c r="Q202" s="250"/>
      <c r="R202" s="250"/>
      <c r="S202" s="266">
        <f t="shared" si="5"/>
        <v>0.11394335230683679</v>
      </c>
    </row>
    <row r="203" spans="1:19">
      <c r="A203" s="243"/>
      <c r="B203" s="244"/>
      <c r="C203" s="311">
        <v>2</v>
      </c>
      <c r="D203" s="244">
        <v>6</v>
      </c>
      <c r="E203" s="244">
        <v>1</v>
      </c>
      <c r="F203" s="244">
        <v>0</v>
      </c>
      <c r="G203" s="244">
        <v>0</v>
      </c>
      <c r="H203" s="244">
        <v>0</v>
      </c>
      <c r="I203" s="244">
        <v>0</v>
      </c>
      <c r="J203" s="244">
        <v>0</v>
      </c>
      <c r="K203" s="276">
        <v>1.3</v>
      </c>
      <c r="L203" s="277">
        <v>32.1</v>
      </c>
      <c r="M203" s="249"/>
      <c r="N203" s="250"/>
      <c r="O203" s="250"/>
      <c r="P203" s="250"/>
      <c r="Q203" s="250"/>
      <c r="R203" s="250"/>
      <c r="S203" s="266">
        <f t="shared" ref="S203:S266" si="6">LOG10(K203)</f>
        <v>0.11394335230683679</v>
      </c>
    </row>
    <row r="204" spans="1:19">
      <c r="A204" s="243"/>
      <c r="B204" s="244"/>
      <c r="C204" s="311">
        <v>6</v>
      </c>
      <c r="D204" s="244">
        <v>7</v>
      </c>
      <c r="E204" s="244">
        <v>1</v>
      </c>
      <c r="F204" s="244">
        <v>0</v>
      </c>
      <c r="G204" s="244">
        <v>2</v>
      </c>
      <c r="H204" s="244">
        <v>2</v>
      </c>
      <c r="I204" s="244">
        <v>1</v>
      </c>
      <c r="J204" s="244">
        <v>0</v>
      </c>
      <c r="K204" s="276">
        <v>3.5</v>
      </c>
      <c r="L204" s="277">
        <v>36.087600000000002</v>
      </c>
      <c r="M204" s="249"/>
      <c r="N204" s="250"/>
      <c r="O204" s="250"/>
      <c r="P204" s="250"/>
      <c r="Q204" s="250"/>
      <c r="R204" s="250"/>
      <c r="S204" s="266">
        <f t="shared" si="6"/>
        <v>0.54406804435027567</v>
      </c>
    </row>
    <row r="205" spans="1:19">
      <c r="A205" s="243"/>
      <c r="B205" s="244"/>
      <c r="C205" s="311">
        <v>8</v>
      </c>
      <c r="D205" s="244">
        <v>7</v>
      </c>
      <c r="E205" s="244">
        <v>1</v>
      </c>
      <c r="F205" s="244">
        <v>0</v>
      </c>
      <c r="G205" s="244">
        <v>2</v>
      </c>
      <c r="H205" s="244">
        <v>2</v>
      </c>
      <c r="I205" s="244">
        <v>1</v>
      </c>
      <c r="J205" s="244">
        <v>0</v>
      </c>
      <c r="K205" s="276">
        <v>5.5</v>
      </c>
      <c r="L205" s="277">
        <v>31.7</v>
      </c>
      <c r="M205" s="249"/>
      <c r="N205" s="250"/>
      <c r="O205" s="250"/>
      <c r="P205" s="250"/>
      <c r="Q205" s="250"/>
      <c r="R205" s="250"/>
      <c r="S205" s="266">
        <f t="shared" si="6"/>
        <v>0.74036268949424389</v>
      </c>
    </row>
    <row r="206" spans="1:19">
      <c r="A206" s="243"/>
      <c r="B206" s="244"/>
      <c r="C206" s="311">
        <v>4</v>
      </c>
      <c r="D206" s="244">
        <v>6</v>
      </c>
      <c r="E206" s="244">
        <v>0</v>
      </c>
      <c r="F206" s="244">
        <v>0</v>
      </c>
      <c r="G206" s="244">
        <v>2</v>
      </c>
      <c r="H206" s="244">
        <v>2</v>
      </c>
      <c r="I206" s="244">
        <v>1</v>
      </c>
      <c r="J206" s="244">
        <v>1</v>
      </c>
      <c r="K206" s="276">
        <v>1.6</v>
      </c>
      <c r="L206" s="277">
        <v>51.655500000000004</v>
      </c>
      <c r="M206" s="249"/>
      <c r="N206" s="250"/>
      <c r="O206" s="250"/>
      <c r="P206" s="250"/>
      <c r="Q206" s="250"/>
      <c r="R206" s="250"/>
      <c r="S206" s="266">
        <f t="shared" si="6"/>
        <v>0.20411998265592479</v>
      </c>
    </row>
    <row r="207" spans="1:19">
      <c r="A207" s="243"/>
      <c r="B207" s="244"/>
      <c r="C207" s="311">
        <v>4</v>
      </c>
      <c r="D207" s="244">
        <v>6</v>
      </c>
      <c r="E207" s="244">
        <v>1</v>
      </c>
      <c r="F207" s="244">
        <v>0</v>
      </c>
      <c r="G207" s="244">
        <v>2</v>
      </c>
      <c r="H207" s="244">
        <v>2</v>
      </c>
      <c r="I207" s="244">
        <v>1</v>
      </c>
      <c r="J207" s="244">
        <v>1</v>
      </c>
      <c r="K207" s="276">
        <v>1.6</v>
      </c>
      <c r="L207" s="277">
        <v>47.202500000000001</v>
      </c>
      <c r="M207" s="249"/>
      <c r="N207" s="250"/>
      <c r="O207" s="250"/>
      <c r="P207" s="250"/>
      <c r="Q207" s="250"/>
      <c r="R207" s="250"/>
      <c r="S207" s="266">
        <f t="shared" si="6"/>
        <v>0.20411998265592479</v>
      </c>
    </row>
    <row r="208" spans="1:19">
      <c r="A208" s="243"/>
      <c r="B208" s="244"/>
      <c r="C208" s="311">
        <v>4</v>
      </c>
      <c r="D208" s="244">
        <v>6</v>
      </c>
      <c r="E208" s="244">
        <v>1</v>
      </c>
      <c r="F208" s="244">
        <v>0</v>
      </c>
      <c r="G208" s="244">
        <v>2</v>
      </c>
      <c r="H208" s="244">
        <v>2</v>
      </c>
      <c r="I208" s="244">
        <v>1</v>
      </c>
      <c r="J208" s="244">
        <v>0</v>
      </c>
      <c r="K208" s="276">
        <v>1.6</v>
      </c>
      <c r="L208" s="277">
        <v>44.571399999999997</v>
      </c>
      <c r="M208" s="249"/>
      <c r="N208" s="250"/>
      <c r="O208" s="250"/>
      <c r="P208" s="250"/>
      <c r="Q208" s="250"/>
      <c r="R208" s="250"/>
      <c r="S208" s="266">
        <f t="shared" si="6"/>
        <v>0.20411998265592479</v>
      </c>
    </row>
    <row r="209" spans="1:19">
      <c r="A209" s="243"/>
      <c r="B209" s="244"/>
      <c r="C209" s="311">
        <v>4</v>
      </c>
      <c r="D209" s="244">
        <v>6</v>
      </c>
      <c r="E209" s="244">
        <v>0</v>
      </c>
      <c r="F209" s="244">
        <v>0</v>
      </c>
      <c r="G209" s="244">
        <v>2</v>
      </c>
      <c r="H209" s="244">
        <v>2</v>
      </c>
      <c r="I209" s="244">
        <v>1</v>
      </c>
      <c r="J209" s="244">
        <v>0</v>
      </c>
      <c r="K209" s="276">
        <v>1.6</v>
      </c>
      <c r="L209" s="277">
        <v>47.7592</v>
      </c>
      <c r="M209" s="249"/>
      <c r="N209" s="250"/>
      <c r="O209" s="250"/>
      <c r="P209" s="250"/>
      <c r="Q209" s="250"/>
      <c r="R209" s="250"/>
      <c r="S209" s="266">
        <f t="shared" si="6"/>
        <v>0.20411998265592479</v>
      </c>
    </row>
    <row r="210" spans="1:19">
      <c r="A210" s="243"/>
      <c r="B210" s="244"/>
      <c r="C210" s="311">
        <v>4</v>
      </c>
      <c r="D210" s="244">
        <v>6</v>
      </c>
      <c r="E210" s="244">
        <v>0</v>
      </c>
      <c r="F210" s="244">
        <v>0</v>
      </c>
      <c r="G210" s="244">
        <v>2</v>
      </c>
      <c r="H210" s="244">
        <v>2</v>
      </c>
      <c r="I210" s="244">
        <v>1</v>
      </c>
      <c r="J210" s="244">
        <v>1</v>
      </c>
      <c r="K210" s="276">
        <v>1.6</v>
      </c>
      <c r="L210" s="277">
        <v>46.5047</v>
      </c>
      <c r="M210" s="249"/>
      <c r="N210" s="250"/>
      <c r="O210" s="250"/>
      <c r="P210" s="250"/>
      <c r="Q210" s="250"/>
      <c r="R210" s="250"/>
      <c r="S210" s="266">
        <f t="shared" si="6"/>
        <v>0.20411998265592479</v>
      </c>
    </row>
    <row r="211" spans="1:19">
      <c r="A211" s="243"/>
      <c r="B211" s="244"/>
      <c r="C211" s="311">
        <v>4</v>
      </c>
      <c r="D211" s="244">
        <v>5</v>
      </c>
      <c r="E211" s="244">
        <v>0</v>
      </c>
      <c r="F211" s="244">
        <v>0</v>
      </c>
      <c r="G211" s="244">
        <v>2</v>
      </c>
      <c r="H211" s="244">
        <v>2</v>
      </c>
      <c r="I211" s="244">
        <v>0</v>
      </c>
      <c r="J211" s="244">
        <v>1</v>
      </c>
      <c r="K211" s="276">
        <v>2.4</v>
      </c>
      <c r="L211" s="277">
        <v>38.599499999999999</v>
      </c>
      <c r="M211" s="249"/>
      <c r="N211" s="250"/>
      <c r="O211" s="250"/>
      <c r="P211" s="250"/>
      <c r="Q211" s="250"/>
      <c r="R211" s="250"/>
      <c r="S211" s="266">
        <f t="shared" si="6"/>
        <v>0.38021124171160603</v>
      </c>
    </row>
    <row r="212" spans="1:19">
      <c r="A212" s="243"/>
      <c r="B212" s="244"/>
      <c r="C212" s="311">
        <v>4</v>
      </c>
      <c r="D212" s="244">
        <v>4</v>
      </c>
      <c r="E212" s="244">
        <v>1</v>
      </c>
      <c r="F212" s="244">
        <v>0</v>
      </c>
      <c r="G212" s="244">
        <v>2</v>
      </c>
      <c r="H212" s="244">
        <v>2</v>
      </c>
      <c r="I212" s="244">
        <v>0</v>
      </c>
      <c r="J212" s="244">
        <v>1</v>
      </c>
      <c r="K212" s="276">
        <v>2.4</v>
      </c>
      <c r="L212" s="277">
        <v>37.490200000000002</v>
      </c>
      <c r="M212" s="249"/>
      <c r="N212" s="250"/>
      <c r="O212" s="250"/>
      <c r="P212" s="250"/>
      <c r="Q212" s="250"/>
      <c r="R212" s="250"/>
      <c r="S212" s="266">
        <f t="shared" si="6"/>
        <v>0.38021124171160603</v>
      </c>
    </row>
    <row r="213" spans="1:19">
      <c r="A213" s="243"/>
      <c r="B213" s="244"/>
      <c r="C213" s="311">
        <v>6</v>
      </c>
      <c r="D213" s="244">
        <v>6</v>
      </c>
      <c r="E213" s="244">
        <v>0</v>
      </c>
      <c r="F213" s="244">
        <v>0</v>
      </c>
      <c r="G213" s="244">
        <v>2</v>
      </c>
      <c r="H213" s="244">
        <v>2</v>
      </c>
      <c r="I213" s="244">
        <v>0</v>
      </c>
      <c r="J213" s="244">
        <v>1</v>
      </c>
      <c r="K213" s="276">
        <v>3.8</v>
      </c>
      <c r="L213" s="277">
        <v>34.6</v>
      </c>
      <c r="M213" s="249"/>
      <c r="N213" s="250"/>
      <c r="O213" s="250"/>
      <c r="P213" s="250"/>
      <c r="Q213" s="250"/>
      <c r="R213" s="250"/>
      <c r="S213" s="266">
        <f t="shared" si="6"/>
        <v>0.57978359661681012</v>
      </c>
    </row>
    <row r="214" spans="1:19">
      <c r="A214" s="243"/>
      <c r="B214" s="244"/>
      <c r="C214" s="311">
        <v>6</v>
      </c>
      <c r="D214" s="244">
        <v>5</v>
      </c>
      <c r="E214" s="244">
        <v>1</v>
      </c>
      <c r="F214" s="244">
        <v>0</v>
      </c>
      <c r="G214" s="244">
        <v>2</v>
      </c>
      <c r="H214" s="244">
        <v>2</v>
      </c>
      <c r="I214" s="244">
        <v>0</v>
      </c>
      <c r="J214" s="244">
        <v>1</v>
      </c>
      <c r="K214" s="276">
        <v>3.8</v>
      </c>
      <c r="L214" s="277">
        <v>33.200000000000003</v>
      </c>
      <c r="M214" s="249"/>
      <c r="N214" s="250"/>
      <c r="O214" s="250"/>
      <c r="P214" s="250"/>
      <c r="Q214" s="250"/>
      <c r="R214" s="250"/>
      <c r="S214" s="266">
        <f t="shared" si="6"/>
        <v>0.57978359661681012</v>
      </c>
    </row>
    <row r="215" spans="1:19">
      <c r="A215" s="243"/>
      <c r="B215" s="244"/>
      <c r="C215" s="311">
        <v>4</v>
      </c>
      <c r="D215" s="244">
        <v>1</v>
      </c>
      <c r="E215" s="244">
        <v>1</v>
      </c>
      <c r="F215" s="244">
        <v>0</v>
      </c>
      <c r="G215" s="244">
        <v>2</v>
      </c>
      <c r="H215" s="244">
        <v>2</v>
      </c>
      <c r="I215" s="244">
        <v>1</v>
      </c>
      <c r="J215" s="244">
        <v>0</v>
      </c>
      <c r="K215" s="276">
        <v>2.5</v>
      </c>
      <c r="L215" s="277">
        <v>44.736499999999999</v>
      </c>
      <c r="M215" s="249"/>
      <c r="N215" s="250"/>
      <c r="O215" s="250"/>
      <c r="P215" s="250"/>
      <c r="Q215" s="250"/>
      <c r="R215" s="250"/>
      <c r="S215" s="266">
        <f t="shared" si="6"/>
        <v>0.3979400086720376</v>
      </c>
    </row>
    <row r="216" spans="1:19">
      <c r="A216" s="243"/>
      <c r="B216" s="244"/>
      <c r="C216" s="311">
        <v>4</v>
      </c>
      <c r="D216" s="244">
        <v>6</v>
      </c>
      <c r="E216" s="244">
        <v>0</v>
      </c>
      <c r="F216" s="244">
        <v>0</v>
      </c>
      <c r="G216" s="244">
        <v>2</v>
      </c>
      <c r="H216" s="244">
        <v>2</v>
      </c>
      <c r="I216" s="244">
        <v>1</v>
      </c>
      <c r="J216" s="244">
        <v>0</v>
      </c>
      <c r="K216" s="276">
        <v>2.5</v>
      </c>
      <c r="L216" s="277">
        <v>43.8</v>
      </c>
      <c r="M216" s="249"/>
      <c r="N216" s="250"/>
      <c r="O216" s="250"/>
      <c r="P216" s="250"/>
      <c r="Q216" s="250"/>
      <c r="R216" s="250"/>
      <c r="S216" s="266">
        <f t="shared" si="6"/>
        <v>0.3979400086720376</v>
      </c>
    </row>
    <row r="217" spans="1:19">
      <c r="A217" s="243"/>
      <c r="B217" s="244"/>
      <c r="C217" s="311">
        <v>6</v>
      </c>
      <c r="D217" s="244">
        <v>6</v>
      </c>
      <c r="E217" s="244">
        <v>0</v>
      </c>
      <c r="F217" s="244">
        <v>0</v>
      </c>
      <c r="G217" s="244">
        <v>2</v>
      </c>
      <c r="H217" s="244">
        <v>2</v>
      </c>
      <c r="I217" s="244">
        <v>1</v>
      </c>
      <c r="J217" s="244">
        <v>0</v>
      </c>
      <c r="K217" s="276">
        <v>3.5</v>
      </c>
      <c r="L217" s="277">
        <v>37.962800000000001</v>
      </c>
      <c r="M217" s="249"/>
      <c r="N217" s="250"/>
      <c r="O217" s="250"/>
      <c r="P217" s="250"/>
      <c r="Q217" s="250"/>
      <c r="R217" s="250"/>
      <c r="S217" s="266">
        <f t="shared" si="6"/>
        <v>0.54406804435027567</v>
      </c>
    </row>
    <row r="218" spans="1:19">
      <c r="A218" s="243"/>
      <c r="B218" s="244"/>
      <c r="C218" s="311">
        <v>6</v>
      </c>
      <c r="D218" s="244">
        <v>1</v>
      </c>
      <c r="E218" s="244">
        <v>1</v>
      </c>
      <c r="F218" s="244">
        <v>0</v>
      </c>
      <c r="G218" s="244">
        <v>2</v>
      </c>
      <c r="H218" s="244">
        <v>2</v>
      </c>
      <c r="I218" s="244">
        <v>1</v>
      </c>
      <c r="J218" s="244">
        <v>0</v>
      </c>
      <c r="K218" s="276">
        <v>3.5</v>
      </c>
      <c r="L218" s="277">
        <v>38.0169</v>
      </c>
      <c r="M218" s="249"/>
      <c r="N218" s="250"/>
      <c r="O218" s="250"/>
      <c r="P218" s="250"/>
      <c r="Q218" s="250"/>
      <c r="R218" s="250"/>
      <c r="S218" s="266">
        <f t="shared" si="6"/>
        <v>0.54406804435027567</v>
      </c>
    </row>
    <row r="219" spans="1:19">
      <c r="A219" s="243"/>
      <c r="B219" s="244"/>
      <c r="C219" s="311">
        <v>6</v>
      </c>
      <c r="D219" s="244">
        <v>6</v>
      </c>
      <c r="E219" s="244">
        <v>1</v>
      </c>
      <c r="F219" s="244">
        <v>0</v>
      </c>
      <c r="G219" s="244">
        <v>2</v>
      </c>
      <c r="H219" s="244">
        <v>2</v>
      </c>
      <c r="I219" s="244">
        <v>1</v>
      </c>
      <c r="J219" s="244">
        <v>0</v>
      </c>
      <c r="K219" s="276">
        <v>3.8</v>
      </c>
      <c r="L219" s="277">
        <v>29.0307</v>
      </c>
      <c r="M219" s="249"/>
      <c r="N219" s="250"/>
      <c r="O219" s="250"/>
      <c r="P219" s="250"/>
      <c r="Q219" s="250"/>
      <c r="R219" s="250"/>
      <c r="S219" s="266">
        <f t="shared" si="6"/>
        <v>0.57978359661681012</v>
      </c>
    </row>
    <row r="220" spans="1:19">
      <c r="A220" s="243"/>
      <c r="B220" s="244"/>
      <c r="C220" s="311">
        <v>4</v>
      </c>
      <c r="D220" s="244">
        <v>5</v>
      </c>
      <c r="E220" s="244">
        <v>0</v>
      </c>
      <c r="F220" s="244">
        <v>0</v>
      </c>
      <c r="G220" s="244">
        <v>2</v>
      </c>
      <c r="H220" s="244">
        <v>2</v>
      </c>
      <c r="I220" s="244">
        <v>1</v>
      </c>
      <c r="J220" s="244">
        <v>0</v>
      </c>
      <c r="K220" s="276">
        <v>2.2000000000000002</v>
      </c>
      <c r="L220" s="277">
        <v>51.9</v>
      </c>
      <c r="M220" s="249"/>
      <c r="N220" s="250"/>
      <c r="O220" s="250"/>
      <c r="P220" s="250"/>
      <c r="Q220" s="250"/>
      <c r="R220" s="250"/>
      <c r="S220" s="266">
        <f t="shared" si="6"/>
        <v>0.34242268082220628</v>
      </c>
    </row>
    <row r="221" spans="1:19">
      <c r="A221" s="243"/>
      <c r="B221" s="244"/>
      <c r="C221" s="311">
        <v>4</v>
      </c>
      <c r="D221" s="244">
        <v>4</v>
      </c>
      <c r="E221" s="244">
        <v>1</v>
      </c>
      <c r="F221" s="244">
        <v>0</v>
      </c>
      <c r="G221" s="244">
        <v>2</v>
      </c>
      <c r="H221" s="244">
        <v>2</v>
      </c>
      <c r="I221" s="244">
        <v>1</v>
      </c>
      <c r="J221" s="244">
        <v>0</v>
      </c>
      <c r="K221" s="276">
        <v>2.2000000000000002</v>
      </c>
      <c r="L221" s="277">
        <v>46.8</v>
      </c>
      <c r="M221" s="249"/>
      <c r="N221" s="250"/>
      <c r="O221" s="250"/>
      <c r="P221" s="250"/>
      <c r="Q221" s="250"/>
      <c r="R221" s="250"/>
      <c r="S221" s="266">
        <f t="shared" si="6"/>
        <v>0.34242268082220628</v>
      </c>
    </row>
    <row r="222" spans="1:19">
      <c r="A222" s="243"/>
      <c r="B222" s="244"/>
      <c r="C222" s="311">
        <v>4</v>
      </c>
      <c r="D222" s="244">
        <v>4</v>
      </c>
      <c r="E222" s="244">
        <v>1</v>
      </c>
      <c r="F222" s="244">
        <v>0</v>
      </c>
      <c r="G222" s="244">
        <v>2</v>
      </c>
      <c r="H222" s="244">
        <v>2</v>
      </c>
      <c r="I222" s="244">
        <v>1</v>
      </c>
      <c r="J222" s="244">
        <v>0</v>
      </c>
      <c r="K222" s="276">
        <v>2.2000000000000002</v>
      </c>
      <c r="L222" s="277">
        <v>46.8</v>
      </c>
      <c r="M222" s="249"/>
      <c r="N222" s="250"/>
      <c r="O222" s="250"/>
      <c r="P222" s="250"/>
      <c r="Q222" s="250"/>
      <c r="R222" s="250"/>
      <c r="S222" s="266">
        <f t="shared" si="6"/>
        <v>0.34242268082220628</v>
      </c>
    </row>
    <row r="223" spans="1:19">
      <c r="A223" s="243"/>
      <c r="B223" s="244"/>
      <c r="C223" s="311">
        <v>4</v>
      </c>
      <c r="D223" s="244">
        <v>5</v>
      </c>
      <c r="E223" s="244">
        <v>0</v>
      </c>
      <c r="F223" s="244">
        <v>0</v>
      </c>
      <c r="G223" s="244">
        <v>2</v>
      </c>
      <c r="H223" s="244">
        <v>2</v>
      </c>
      <c r="I223" s="244">
        <v>1</v>
      </c>
      <c r="J223" s="244">
        <v>0</v>
      </c>
      <c r="K223" s="276">
        <v>2.2000000000000002</v>
      </c>
      <c r="L223" s="277">
        <v>51.9</v>
      </c>
      <c r="M223" s="249"/>
      <c r="N223" s="250"/>
      <c r="O223" s="250"/>
      <c r="P223" s="250"/>
      <c r="Q223" s="250"/>
      <c r="R223" s="250"/>
      <c r="S223" s="266">
        <f t="shared" si="6"/>
        <v>0.34242268082220628</v>
      </c>
    </row>
    <row r="224" spans="1:19">
      <c r="A224" s="243"/>
      <c r="B224" s="244"/>
      <c r="C224" s="311">
        <v>4</v>
      </c>
      <c r="D224" s="244">
        <v>5</v>
      </c>
      <c r="E224" s="244">
        <v>0</v>
      </c>
      <c r="F224" s="244">
        <v>0</v>
      </c>
      <c r="G224" s="244">
        <v>2</v>
      </c>
      <c r="H224" s="244">
        <v>2</v>
      </c>
      <c r="I224" s="244">
        <v>1</v>
      </c>
      <c r="J224" s="244">
        <v>0</v>
      </c>
      <c r="K224" s="276">
        <v>2.2000000000000002</v>
      </c>
      <c r="L224" s="277">
        <v>51.9</v>
      </c>
      <c r="M224" s="249"/>
      <c r="N224" s="250"/>
      <c r="O224" s="250"/>
      <c r="P224" s="250"/>
      <c r="Q224" s="250"/>
      <c r="R224" s="250"/>
      <c r="S224" s="266">
        <f t="shared" si="6"/>
        <v>0.34242268082220628</v>
      </c>
    </row>
    <row r="225" spans="1:19">
      <c r="A225" s="243"/>
      <c r="B225" s="244"/>
      <c r="C225" s="311">
        <v>8</v>
      </c>
      <c r="D225" s="244">
        <v>5</v>
      </c>
      <c r="E225" s="244">
        <v>1</v>
      </c>
      <c r="F225" s="244">
        <v>0</v>
      </c>
      <c r="G225" s="244">
        <v>2</v>
      </c>
      <c r="H225" s="244">
        <v>1</v>
      </c>
      <c r="I225" s="244">
        <v>1</v>
      </c>
      <c r="J225" s="244">
        <v>0</v>
      </c>
      <c r="K225" s="276">
        <v>4.5999999999999996</v>
      </c>
      <c r="L225" s="277">
        <v>29.14</v>
      </c>
      <c r="M225" s="249"/>
      <c r="N225" s="250"/>
      <c r="O225" s="250"/>
      <c r="P225" s="250"/>
      <c r="Q225" s="250"/>
      <c r="R225" s="250"/>
      <c r="S225" s="266">
        <f t="shared" si="6"/>
        <v>0.66275783168157409</v>
      </c>
    </row>
    <row r="226" spans="1:19">
      <c r="A226" s="243"/>
      <c r="B226" s="244"/>
      <c r="C226" s="311">
        <v>8</v>
      </c>
      <c r="D226" s="244">
        <v>5</v>
      </c>
      <c r="E226" s="244">
        <v>0</v>
      </c>
      <c r="F226" s="244">
        <v>0</v>
      </c>
      <c r="G226" s="244">
        <v>2</v>
      </c>
      <c r="H226" s="244">
        <v>1</v>
      </c>
      <c r="I226" s="244">
        <v>1</v>
      </c>
      <c r="J226" s="244">
        <v>0</v>
      </c>
      <c r="K226" s="276">
        <v>4.5999999999999996</v>
      </c>
      <c r="L226" s="277">
        <v>31.61</v>
      </c>
      <c r="M226" s="249"/>
      <c r="N226" s="250"/>
      <c r="O226" s="250"/>
      <c r="P226" s="250"/>
      <c r="Q226" s="250"/>
      <c r="R226" s="250"/>
      <c r="S226" s="266">
        <f t="shared" si="6"/>
        <v>0.66275783168157409</v>
      </c>
    </row>
    <row r="227" spans="1:19">
      <c r="A227" s="243"/>
      <c r="B227" s="244"/>
      <c r="C227" s="311">
        <v>4</v>
      </c>
      <c r="D227" s="244">
        <v>6</v>
      </c>
      <c r="E227" s="244">
        <v>0</v>
      </c>
      <c r="F227" s="244">
        <v>0</v>
      </c>
      <c r="G227" s="244">
        <v>2</v>
      </c>
      <c r="H227" s="244">
        <v>2</v>
      </c>
      <c r="I227" s="244">
        <v>0</v>
      </c>
      <c r="J227" s="244">
        <v>0</v>
      </c>
      <c r="K227" s="276">
        <v>2</v>
      </c>
      <c r="L227" s="277">
        <v>41.2</v>
      </c>
      <c r="M227" s="249"/>
      <c r="N227" s="250"/>
      <c r="O227" s="250"/>
      <c r="P227" s="250"/>
      <c r="Q227" s="250"/>
      <c r="R227" s="250"/>
      <c r="S227" s="266">
        <f t="shared" si="6"/>
        <v>0.3010299956639812</v>
      </c>
    </row>
    <row r="228" spans="1:19">
      <c r="A228" s="243"/>
      <c r="B228" s="244"/>
      <c r="C228" s="311">
        <v>4</v>
      </c>
      <c r="D228" s="244">
        <v>5</v>
      </c>
      <c r="E228" s="244">
        <v>1</v>
      </c>
      <c r="F228" s="244">
        <v>0</v>
      </c>
      <c r="G228" s="244">
        <v>2</v>
      </c>
      <c r="H228" s="244">
        <v>2</v>
      </c>
      <c r="I228" s="244">
        <v>0</v>
      </c>
      <c r="J228" s="244">
        <v>0</v>
      </c>
      <c r="K228" s="276">
        <v>2</v>
      </c>
      <c r="L228" s="277">
        <v>37.5</v>
      </c>
      <c r="M228" s="249"/>
      <c r="N228" s="250"/>
      <c r="O228" s="250"/>
      <c r="P228" s="250"/>
      <c r="Q228" s="250"/>
      <c r="R228" s="250"/>
      <c r="S228" s="266">
        <f t="shared" si="6"/>
        <v>0.3010299956639812</v>
      </c>
    </row>
    <row r="229" spans="1:19">
      <c r="A229" s="243"/>
      <c r="B229" s="244"/>
      <c r="C229" s="311">
        <v>4</v>
      </c>
      <c r="D229" s="244">
        <v>5</v>
      </c>
      <c r="E229" s="244">
        <v>0</v>
      </c>
      <c r="F229" s="244">
        <v>0</v>
      </c>
      <c r="G229" s="244">
        <v>2</v>
      </c>
      <c r="H229" s="244">
        <v>2</v>
      </c>
      <c r="I229" s="244">
        <v>1</v>
      </c>
      <c r="J229" s="244">
        <v>0</v>
      </c>
      <c r="K229" s="276">
        <v>1.6</v>
      </c>
      <c r="L229" s="277">
        <v>48.9</v>
      </c>
      <c r="M229" s="249"/>
      <c r="N229" s="250"/>
      <c r="O229" s="250"/>
      <c r="P229" s="250"/>
      <c r="Q229" s="250"/>
      <c r="R229" s="250"/>
      <c r="S229" s="266">
        <f t="shared" si="6"/>
        <v>0.20411998265592479</v>
      </c>
    </row>
    <row r="230" spans="1:19">
      <c r="A230" s="243"/>
      <c r="B230" s="244"/>
      <c r="C230" s="311">
        <v>4</v>
      </c>
      <c r="D230" s="244">
        <v>4</v>
      </c>
      <c r="E230" s="244">
        <v>1</v>
      </c>
      <c r="F230" s="244">
        <v>0</v>
      </c>
      <c r="G230" s="244">
        <v>2</v>
      </c>
      <c r="H230" s="244">
        <v>2</v>
      </c>
      <c r="I230" s="244">
        <v>1</v>
      </c>
      <c r="J230" s="244">
        <v>0</v>
      </c>
      <c r="K230" s="276">
        <v>1.6</v>
      </c>
      <c r="L230" s="277">
        <v>42.1</v>
      </c>
      <c r="M230" s="249"/>
      <c r="N230" s="250"/>
      <c r="O230" s="250"/>
      <c r="P230" s="250"/>
      <c r="Q230" s="250"/>
      <c r="R230" s="250"/>
      <c r="S230" s="266">
        <f t="shared" si="6"/>
        <v>0.20411998265592479</v>
      </c>
    </row>
    <row r="231" spans="1:19">
      <c r="A231" s="243"/>
      <c r="B231" s="244"/>
      <c r="C231" s="311">
        <v>4</v>
      </c>
      <c r="D231" s="244">
        <v>4</v>
      </c>
      <c r="E231" s="244">
        <v>1</v>
      </c>
      <c r="F231" s="244">
        <v>0</v>
      </c>
      <c r="G231" s="244">
        <v>2</v>
      </c>
      <c r="H231" s="244">
        <v>2</v>
      </c>
      <c r="I231" s="244">
        <v>1</v>
      </c>
      <c r="J231" s="244">
        <v>0</v>
      </c>
      <c r="K231" s="276">
        <v>2.4</v>
      </c>
      <c r="L231" s="277">
        <v>40.200000000000003</v>
      </c>
      <c r="M231" s="249"/>
      <c r="N231" s="250"/>
      <c r="O231" s="250"/>
      <c r="P231" s="250"/>
      <c r="Q231" s="250"/>
      <c r="R231" s="250"/>
      <c r="S231" s="266">
        <f t="shared" si="6"/>
        <v>0.38021124171160603</v>
      </c>
    </row>
    <row r="232" spans="1:19">
      <c r="A232" s="243"/>
      <c r="B232" s="244"/>
      <c r="C232" s="311">
        <v>4</v>
      </c>
      <c r="D232" s="244">
        <v>5</v>
      </c>
      <c r="E232" s="244">
        <v>0</v>
      </c>
      <c r="F232" s="244">
        <v>0</v>
      </c>
      <c r="G232" s="244">
        <v>2</v>
      </c>
      <c r="H232" s="244">
        <v>2</v>
      </c>
      <c r="I232" s="244">
        <v>1</v>
      </c>
      <c r="J232" s="244">
        <v>0</v>
      </c>
      <c r="K232" s="276">
        <v>2.4</v>
      </c>
      <c r="L232" s="277">
        <v>38.200000000000003</v>
      </c>
      <c r="M232" s="249"/>
      <c r="N232" s="250"/>
      <c r="O232" s="250"/>
      <c r="P232" s="250"/>
      <c r="Q232" s="250"/>
      <c r="R232" s="250"/>
      <c r="S232" s="266">
        <f t="shared" si="6"/>
        <v>0.38021124171160603</v>
      </c>
    </row>
    <row r="233" spans="1:19">
      <c r="A233" s="243"/>
      <c r="B233" s="244"/>
      <c r="C233" s="311">
        <v>4</v>
      </c>
      <c r="D233" s="244">
        <v>4</v>
      </c>
      <c r="E233" s="244">
        <v>1</v>
      </c>
      <c r="F233" s="244">
        <v>0</v>
      </c>
      <c r="G233" s="244">
        <v>2</v>
      </c>
      <c r="H233" s="244">
        <v>2</v>
      </c>
      <c r="I233" s="244">
        <v>1</v>
      </c>
      <c r="J233" s="244">
        <v>0</v>
      </c>
      <c r="K233" s="276">
        <v>1.8</v>
      </c>
      <c r="L233" s="277">
        <v>47.2</v>
      </c>
      <c r="M233" s="249"/>
      <c r="N233" s="250"/>
      <c r="O233" s="250"/>
      <c r="P233" s="250"/>
      <c r="Q233" s="250"/>
      <c r="R233" s="250"/>
      <c r="S233" s="266">
        <f t="shared" si="6"/>
        <v>0.25527250510330607</v>
      </c>
    </row>
    <row r="234" spans="1:19">
      <c r="A234" s="243"/>
      <c r="B234" s="244"/>
      <c r="C234" s="311">
        <v>4</v>
      </c>
      <c r="D234" s="244">
        <v>5</v>
      </c>
      <c r="E234" s="244">
        <v>0</v>
      </c>
      <c r="F234" s="244">
        <v>0</v>
      </c>
      <c r="G234" s="244">
        <v>2</v>
      </c>
      <c r="H234" s="244">
        <v>2</v>
      </c>
      <c r="I234" s="244">
        <v>1</v>
      </c>
      <c r="J234" s="244">
        <v>0</v>
      </c>
      <c r="K234" s="276">
        <v>1.8</v>
      </c>
      <c r="L234" s="277">
        <v>46.9</v>
      </c>
      <c r="M234" s="249"/>
      <c r="N234" s="250"/>
      <c r="O234" s="250"/>
      <c r="P234" s="250"/>
      <c r="Q234" s="250"/>
      <c r="R234" s="250"/>
      <c r="S234" s="266">
        <f t="shared" si="6"/>
        <v>0.25527250510330607</v>
      </c>
    </row>
    <row r="235" spans="1:19">
      <c r="A235" s="243"/>
      <c r="B235" s="244"/>
      <c r="C235" s="311">
        <v>4</v>
      </c>
      <c r="D235" s="244">
        <v>4</v>
      </c>
      <c r="E235" s="244">
        <v>1</v>
      </c>
      <c r="F235" s="244">
        <v>0</v>
      </c>
      <c r="G235" s="244">
        <v>2</v>
      </c>
      <c r="H235" s="244">
        <v>2</v>
      </c>
      <c r="I235" s="244">
        <v>1</v>
      </c>
      <c r="J235" s="244">
        <v>0</v>
      </c>
      <c r="K235" s="276">
        <v>1.5</v>
      </c>
      <c r="L235" s="277">
        <v>48.862200000000001</v>
      </c>
      <c r="M235" s="249"/>
      <c r="N235" s="250"/>
      <c r="O235" s="250"/>
      <c r="P235" s="250"/>
      <c r="Q235" s="250"/>
      <c r="R235" s="250"/>
      <c r="S235" s="266">
        <f t="shared" si="6"/>
        <v>0.17609125905568124</v>
      </c>
    </row>
    <row r="236" spans="1:19">
      <c r="A236" s="243"/>
      <c r="B236" s="244"/>
      <c r="C236" s="311">
        <v>4</v>
      </c>
      <c r="D236" s="244">
        <v>5</v>
      </c>
      <c r="E236" s="244">
        <v>0</v>
      </c>
      <c r="F236" s="244">
        <v>0</v>
      </c>
      <c r="G236" s="244">
        <v>2</v>
      </c>
      <c r="H236" s="244">
        <v>2</v>
      </c>
      <c r="I236" s="244">
        <v>1</v>
      </c>
      <c r="J236" s="244">
        <v>0</v>
      </c>
      <c r="K236" s="276">
        <v>1.5</v>
      </c>
      <c r="L236" s="277">
        <v>50.672499999999999</v>
      </c>
      <c r="M236" s="249"/>
      <c r="N236" s="250"/>
      <c r="O236" s="250"/>
      <c r="P236" s="250"/>
      <c r="Q236" s="250"/>
      <c r="R236" s="250"/>
      <c r="S236" s="266">
        <f t="shared" si="6"/>
        <v>0.17609125905568124</v>
      </c>
    </row>
    <row r="237" spans="1:19">
      <c r="A237" s="243"/>
      <c r="B237" s="244"/>
      <c r="C237" s="311">
        <v>4</v>
      </c>
      <c r="D237" s="244">
        <v>6</v>
      </c>
      <c r="E237" s="244">
        <v>0</v>
      </c>
      <c r="F237" s="244">
        <v>0</v>
      </c>
      <c r="G237" s="244">
        <v>2</v>
      </c>
      <c r="H237" s="244">
        <v>2</v>
      </c>
      <c r="I237" s="244">
        <v>1</v>
      </c>
      <c r="J237" s="244">
        <v>0</v>
      </c>
      <c r="K237" s="276">
        <v>2</v>
      </c>
      <c r="L237" s="277">
        <v>41.521000000000001</v>
      </c>
      <c r="M237" s="249"/>
      <c r="N237" s="250"/>
      <c r="O237" s="250"/>
      <c r="P237" s="250"/>
      <c r="Q237" s="250"/>
      <c r="R237" s="250"/>
      <c r="S237" s="266">
        <f t="shared" si="6"/>
        <v>0.3010299956639812</v>
      </c>
    </row>
    <row r="238" spans="1:19">
      <c r="A238" s="243"/>
      <c r="B238" s="244"/>
      <c r="C238" s="311">
        <v>4</v>
      </c>
      <c r="D238" s="244">
        <v>6</v>
      </c>
      <c r="E238" s="244">
        <v>0</v>
      </c>
      <c r="F238" s="244">
        <v>0</v>
      </c>
      <c r="G238" s="244">
        <v>2</v>
      </c>
      <c r="H238" s="244">
        <v>2</v>
      </c>
      <c r="I238" s="244">
        <v>1</v>
      </c>
      <c r="J238" s="244">
        <v>0</v>
      </c>
      <c r="K238" s="276">
        <v>2</v>
      </c>
      <c r="L238" s="277">
        <v>41.315600000000003</v>
      </c>
      <c r="M238" s="249"/>
      <c r="N238" s="250"/>
      <c r="O238" s="250"/>
      <c r="P238" s="250"/>
      <c r="Q238" s="250"/>
      <c r="R238" s="250"/>
      <c r="S238" s="266">
        <f t="shared" si="6"/>
        <v>0.3010299956639812</v>
      </c>
    </row>
    <row r="239" spans="1:19">
      <c r="A239" s="243"/>
      <c r="B239" s="244"/>
      <c r="C239" s="311">
        <v>5</v>
      </c>
      <c r="D239" s="244">
        <v>6</v>
      </c>
      <c r="E239" s="244">
        <v>0</v>
      </c>
      <c r="F239" s="244">
        <v>0</v>
      </c>
      <c r="G239" s="244">
        <v>2</v>
      </c>
      <c r="H239" s="244">
        <v>2</v>
      </c>
      <c r="I239" s="244">
        <v>1</v>
      </c>
      <c r="J239" s="244">
        <v>0</v>
      </c>
      <c r="K239" s="276">
        <v>2.5</v>
      </c>
      <c r="L239" s="277">
        <v>40.799999999999997</v>
      </c>
      <c r="M239" s="249"/>
      <c r="N239" s="250"/>
      <c r="O239" s="250"/>
      <c r="P239" s="250"/>
      <c r="Q239" s="250"/>
      <c r="R239" s="250"/>
      <c r="S239" s="266">
        <f t="shared" si="6"/>
        <v>0.3979400086720376</v>
      </c>
    </row>
    <row r="240" spans="1:19">
      <c r="A240" s="243"/>
      <c r="B240" s="244"/>
      <c r="C240" s="311">
        <v>5</v>
      </c>
      <c r="D240" s="244">
        <v>5</v>
      </c>
      <c r="E240" s="244">
        <v>0</v>
      </c>
      <c r="F240" s="244">
        <v>0</v>
      </c>
      <c r="G240" s="244">
        <v>2</v>
      </c>
      <c r="H240" s="244">
        <v>2</v>
      </c>
      <c r="I240" s="244">
        <v>1</v>
      </c>
      <c r="J240" s="244">
        <v>0</v>
      </c>
      <c r="K240" s="276">
        <v>2.5</v>
      </c>
      <c r="L240" s="277">
        <v>39.375300000000003</v>
      </c>
      <c r="M240" s="249"/>
      <c r="N240" s="250"/>
      <c r="O240" s="250"/>
      <c r="P240" s="250"/>
      <c r="Q240" s="250"/>
      <c r="R240" s="250"/>
      <c r="S240" s="266">
        <f t="shared" si="6"/>
        <v>0.3979400086720376</v>
      </c>
    </row>
    <row r="241" spans="1:19">
      <c r="A241" s="243"/>
      <c r="B241" s="244"/>
      <c r="C241" s="311">
        <v>5</v>
      </c>
      <c r="D241" s="244">
        <v>5</v>
      </c>
      <c r="E241" s="244">
        <v>1</v>
      </c>
      <c r="F241" s="244">
        <v>0</v>
      </c>
      <c r="G241" s="244">
        <v>2</v>
      </c>
      <c r="H241" s="244">
        <v>2</v>
      </c>
      <c r="I241" s="244">
        <v>1</v>
      </c>
      <c r="J241" s="244">
        <v>0</v>
      </c>
      <c r="K241" s="276">
        <v>2.5</v>
      </c>
      <c r="L241" s="277">
        <v>38.4</v>
      </c>
      <c r="M241" s="249"/>
      <c r="N241" s="250"/>
      <c r="O241" s="250"/>
      <c r="P241" s="250"/>
      <c r="Q241" s="250"/>
      <c r="R241" s="250"/>
      <c r="S241" s="266">
        <f t="shared" si="6"/>
        <v>0.3979400086720376</v>
      </c>
    </row>
    <row r="242" spans="1:19">
      <c r="A242" s="243"/>
      <c r="B242" s="244"/>
      <c r="C242" s="311">
        <v>5</v>
      </c>
      <c r="D242" s="244">
        <v>6</v>
      </c>
      <c r="E242" s="244">
        <v>0</v>
      </c>
      <c r="F242" s="244">
        <v>0</v>
      </c>
      <c r="G242" s="244">
        <v>2</v>
      </c>
      <c r="H242" s="244">
        <v>2</v>
      </c>
      <c r="I242" s="244">
        <v>1</v>
      </c>
      <c r="J242" s="244">
        <v>0</v>
      </c>
      <c r="K242" s="276">
        <v>2.5</v>
      </c>
      <c r="L242" s="277">
        <v>38.6</v>
      </c>
      <c r="M242" s="249"/>
      <c r="N242" s="250"/>
      <c r="O242" s="250"/>
      <c r="P242" s="250"/>
      <c r="Q242" s="250"/>
      <c r="R242" s="250"/>
      <c r="S242" s="266">
        <f t="shared" si="6"/>
        <v>0.3979400086720376</v>
      </c>
    </row>
    <row r="243" spans="1:19">
      <c r="A243" s="243"/>
      <c r="B243" s="244"/>
      <c r="C243" s="311">
        <v>4</v>
      </c>
      <c r="D243" s="244">
        <v>6</v>
      </c>
      <c r="E243" s="244">
        <v>0</v>
      </c>
      <c r="F243" s="244">
        <v>0</v>
      </c>
      <c r="G243" s="244">
        <v>2</v>
      </c>
      <c r="H243" s="244">
        <v>2</v>
      </c>
      <c r="I243" s="244">
        <v>1</v>
      </c>
      <c r="J243" s="244">
        <v>0</v>
      </c>
      <c r="K243" s="276">
        <v>2.4</v>
      </c>
      <c r="L243" s="277">
        <v>39.299999999999997</v>
      </c>
      <c r="M243" s="249"/>
      <c r="N243" s="250"/>
      <c r="O243" s="250"/>
      <c r="P243" s="250"/>
      <c r="Q243" s="250"/>
      <c r="R243" s="250"/>
      <c r="S243" s="266">
        <f t="shared" si="6"/>
        <v>0.38021124171160603</v>
      </c>
    </row>
    <row r="244" spans="1:19">
      <c r="A244" s="243"/>
      <c r="B244" s="244"/>
      <c r="C244" s="311">
        <v>4</v>
      </c>
      <c r="D244" s="244">
        <v>5</v>
      </c>
      <c r="E244" s="244">
        <v>1</v>
      </c>
      <c r="F244" s="244">
        <v>0</v>
      </c>
      <c r="G244" s="244">
        <v>2</v>
      </c>
      <c r="H244" s="244">
        <v>2</v>
      </c>
      <c r="I244" s="244">
        <v>1</v>
      </c>
      <c r="J244" s="244">
        <v>0</v>
      </c>
      <c r="K244" s="276">
        <v>2.4</v>
      </c>
      <c r="L244" s="277">
        <v>42.3</v>
      </c>
      <c r="M244" s="249"/>
      <c r="N244" s="250"/>
      <c r="O244" s="250"/>
      <c r="P244" s="250"/>
      <c r="Q244" s="250"/>
      <c r="R244" s="250"/>
      <c r="S244" s="266">
        <f t="shared" si="6"/>
        <v>0.38021124171160603</v>
      </c>
    </row>
    <row r="245" spans="1:19">
      <c r="A245" s="243"/>
      <c r="B245" s="244"/>
      <c r="C245" s="311">
        <v>6</v>
      </c>
      <c r="D245" s="244">
        <v>5</v>
      </c>
      <c r="E245" s="244">
        <v>1</v>
      </c>
      <c r="F245" s="244">
        <v>0</v>
      </c>
      <c r="G245" s="244">
        <v>2</v>
      </c>
      <c r="H245" s="244">
        <v>2</v>
      </c>
      <c r="I245" s="244">
        <v>1</v>
      </c>
      <c r="J245" s="244">
        <v>1</v>
      </c>
      <c r="K245" s="276">
        <v>3.5</v>
      </c>
      <c r="L245" s="277">
        <v>37.6</v>
      </c>
      <c r="M245" s="249"/>
      <c r="N245" s="250"/>
      <c r="O245" s="250"/>
      <c r="P245" s="250"/>
      <c r="Q245" s="250"/>
      <c r="R245" s="250"/>
      <c r="S245" s="266">
        <f t="shared" si="6"/>
        <v>0.54406804435027567</v>
      </c>
    </row>
    <row r="246" spans="1:19">
      <c r="A246" s="243"/>
      <c r="B246" s="244"/>
      <c r="C246" s="311">
        <v>4</v>
      </c>
      <c r="D246" s="244">
        <v>1</v>
      </c>
      <c r="E246" s="244">
        <v>0</v>
      </c>
      <c r="F246" s="244">
        <v>0</v>
      </c>
      <c r="G246" s="244">
        <v>2</v>
      </c>
      <c r="H246" s="244">
        <v>2</v>
      </c>
      <c r="I246" s="244">
        <v>1</v>
      </c>
      <c r="J246" s="244">
        <v>1</v>
      </c>
      <c r="K246" s="276">
        <v>2</v>
      </c>
      <c r="L246" s="277">
        <v>42.774299999999997</v>
      </c>
      <c r="M246" s="249"/>
      <c r="N246" s="250"/>
      <c r="O246" s="250"/>
      <c r="P246" s="250"/>
      <c r="Q246" s="250"/>
      <c r="R246" s="250"/>
      <c r="S246" s="266">
        <f t="shared" si="6"/>
        <v>0.3010299956639812</v>
      </c>
    </row>
    <row r="247" spans="1:19">
      <c r="A247" s="243"/>
      <c r="B247" s="244"/>
      <c r="C247" s="311">
        <v>4</v>
      </c>
      <c r="D247" s="244">
        <v>6</v>
      </c>
      <c r="E247" s="244">
        <v>1</v>
      </c>
      <c r="F247" s="244">
        <v>0</v>
      </c>
      <c r="G247" s="244">
        <v>2</v>
      </c>
      <c r="H247" s="244">
        <v>2</v>
      </c>
      <c r="I247" s="244">
        <v>1</v>
      </c>
      <c r="J247" s="244">
        <v>1</v>
      </c>
      <c r="K247" s="276">
        <v>2</v>
      </c>
      <c r="L247" s="277">
        <v>37.798900000000003</v>
      </c>
      <c r="M247" s="249"/>
      <c r="N247" s="250"/>
      <c r="O247" s="250"/>
      <c r="P247" s="250"/>
      <c r="Q247" s="250"/>
      <c r="R247" s="250"/>
      <c r="S247" s="266">
        <f t="shared" si="6"/>
        <v>0.3010299956639812</v>
      </c>
    </row>
    <row r="248" spans="1:19">
      <c r="A248" s="243"/>
      <c r="B248" s="244"/>
      <c r="C248" s="311">
        <v>4</v>
      </c>
      <c r="D248" s="244">
        <v>6</v>
      </c>
      <c r="E248" s="244">
        <v>1</v>
      </c>
      <c r="F248" s="244">
        <v>0</v>
      </c>
      <c r="G248" s="244">
        <v>2</v>
      </c>
      <c r="H248" s="244">
        <v>2</v>
      </c>
      <c r="I248" s="244">
        <v>1</v>
      </c>
      <c r="J248" s="244">
        <v>1</v>
      </c>
      <c r="K248" s="276">
        <v>2</v>
      </c>
      <c r="L248" s="277">
        <v>42.575000000000003</v>
      </c>
      <c r="M248" s="249"/>
      <c r="N248" s="250"/>
      <c r="O248" s="250"/>
      <c r="P248" s="250"/>
      <c r="Q248" s="250"/>
      <c r="R248" s="250"/>
      <c r="S248" s="266">
        <f t="shared" si="6"/>
        <v>0.3010299956639812</v>
      </c>
    </row>
    <row r="249" spans="1:19">
      <c r="A249" s="243"/>
      <c r="B249" s="244"/>
      <c r="C249" s="311">
        <v>6</v>
      </c>
      <c r="D249" s="244">
        <v>6</v>
      </c>
      <c r="E249" s="244">
        <v>0</v>
      </c>
      <c r="F249" s="244">
        <v>0</v>
      </c>
      <c r="G249" s="244">
        <v>2</v>
      </c>
      <c r="H249" s="244">
        <v>2</v>
      </c>
      <c r="I249" s="244">
        <v>1</v>
      </c>
      <c r="J249" s="244">
        <v>0</v>
      </c>
      <c r="K249" s="276">
        <v>3</v>
      </c>
      <c r="L249" s="277">
        <v>34.1</v>
      </c>
      <c r="M249" s="249"/>
      <c r="N249" s="250"/>
      <c r="O249" s="250"/>
      <c r="P249" s="250"/>
      <c r="Q249" s="250"/>
      <c r="R249" s="250"/>
      <c r="S249" s="266">
        <f t="shared" si="6"/>
        <v>0.47712125471966244</v>
      </c>
    </row>
    <row r="250" spans="1:19">
      <c r="A250" s="243"/>
      <c r="B250" s="244"/>
      <c r="C250" s="311">
        <v>6</v>
      </c>
      <c r="D250" s="244">
        <v>7</v>
      </c>
      <c r="E250" s="244">
        <v>0</v>
      </c>
      <c r="F250" s="244">
        <v>0</v>
      </c>
      <c r="G250" s="244">
        <v>2</v>
      </c>
      <c r="H250" s="244">
        <v>2</v>
      </c>
      <c r="I250" s="244">
        <v>1</v>
      </c>
      <c r="J250" s="244">
        <v>0</v>
      </c>
      <c r="K250" s="276">
        <v>3</v>
      </c>
      <c r="L250" s="277">
        <v>35</v>
      </c>
      <c r="M250" s="249"/>
      <c r="N250" s="250"/>
      <c r="O250" s="250"/>
      <c r="P250" s="250"/>
      <c r="Q250" s="250"/>
      <c r="R250" s="250"/>
      <c r="S250" s="266">
        <f t="shared" si="6"/>
        <v>0.47712125471966244</v>
      </c>
    </row>
    <row r="251" spans="1:19">
      <c r="A251" s="243"/>
      <c r="B251" s="244"/>
      <c r="C251" s="311">
        <v>8</v>
      </c>
      <c r="D251" s="244">
        <v>6</v>
      </c>
      <c r="E251" s="244">
        <v>0</v>
      </c>
      <c r="F251" s="244">
        <v>0</v>
      </c>
      <c r="G251" s="244">
        <v>1</v>
      </c>
      <c r="H251" s="244">
        <v>1</v>
      </c>
      <c r="I251" s="244">
        <v>0</v>
      </c>
      <c r="J251" s="244">
        <v>0</v>
      </c>
      <c r="K251" s="276">
        <v>6.8</v>
      </c>
      <c r="L251" s="277">
        <v>21.006</v>
      </c>
      <c r="M251" s="249"/>
      <c r="N251" s="250"/>
      <c r="O251" s="250"/>
      <c r="P251" s="250"/>
      <c r="Q251" s="250"/>
      <c r="R251" s="250"/>
      <c r="S251" s="266">
        <f t="shared" si="6"/>
        <v>0.83250891270623628</v>
      </c>
    </row>
    <row r="252" spans="1:19">
      <c r="A252" s="243"/>
      <c r="B252" s="244"/>
      <c r="C252" s="311">
        <v>8</v>
      </c>
      <c r="D252" s="244">
        <v>6</v>
      </c>
      <c r="E252" s="244">
        <v>0</v>
      </c>
      <c r="F252" s="244">
        <v>0</v>
      </c>
      <c r="G252" s="244">
        <v>1</v>
      </c>
      <c r="H252" s="244">
        <v>1</v>
      </c>
      <c r="I252" s="244">
        <v>0</v>
      </c>
      <c r="J252" s="244">
        <v>0</v>
      </c>
      <c r="K252" s="276">
        <v>6.8</v>
      </c>
      <c r="L252" s="277">
        <v>21.006</v>
      </c>
      <c r="M252" s="249"/>
      <c r="N252" s="250"/>
      <c r="O252" s="250"/>
      <c r="P252" s="250"/>
      <c r="Q252" s="250"/>
      <c r="R252" s="250"/>
      <c r="S252" s="266">
        <f t="shared" si="6"/>
        <v>0.83250891270623628</v>
      </c>
    </row>
    <row r="253" spans="1:19">
      <c r="A253" s="243"/>
      <c r="B253" s="244"/>
      <c r="C253" s="311">
        <v>12</v>
      </c>
      <c r="D253" s="244">
        <v>6</v>
      </c>
      <c r="E253" s="244">
        <v>1</v>
      </c>
      <c r="F253" s="244">
        <v>0</v>
      </c>
      <c r="G253" s="244">
        <v>2</v>
      </c>
      <c r="H253" s="244">
        <v>2</v>
      </c>
      <c r="I253" s="244">
        <v>1</v>
      </c>
      <c r="J253" s="244">
        <v>0</v>
      </c>
      <c r="K253" s="276">
        <v>6</v>
      </c>
      <c r="L253" s="277">
        <v>23.8</v>
      </c>
      <c r="M253" s="249"/>
      <c r="N253" s="250"/>
      <c r="O253" s="250"/>
      <c r="P253" s="250"/>
      <c r="Q253" s="250"/>
      <c r="R253" s="250"/>
      <c r="S253" s="266">
        <f t="shared" si="6"/>
        <v>0.77815125038364363</v>
      </c>
    </row>
    <row r="254" spans="1:19">
      <c r="A254" s="243"/>
      <c r="B254" s="244"/>
      <c r="C254" s="311">
        <v>6</v>
      </c>
      <c r="D254" s="244">
        <v>6</v>
      </c>
      <c r="E254" s="244">
        <v>1</v>
      </c>
      <c r="F254" s="244">
        <v>0</v>
      </c>
      <c r="G254" s="244">
        <v>2</v>
      </c>
      <c r="H254" s="244">
        <v>2</v>
      </c>
      <c r="I254" s="244">
        <v>1</v>
      </c>
      <c r="J254" s="244">
        <v>1</v>
      </c>
      <c r="K254" s="276">
        <v>3</v>
      </c>
      <c r="L254" s="277">
        <v>39.710299999999997</v>
      </c>
      <c r="M254" s="249"/>
      <c r="N254" s="250"/>
      <c r="O254" s="250"/>
      <c r="P254" s="250"/>
      <c r="Q254" s="250"/>
      <c r="R254" s="250"/>
      <c r="S254" s="266">
        <f t="shared" si="6"/>
        <v>0.47712125471966244</v>
      </c>
    </row>
    <row r="255" spans="1:19">
      <c r="A255" s="243"/>
      <c r="B255" s="244"/>
      <c r="C255" s="311">
        <v>6</v>
      </c>
      <c r="D255" s="244">
        <v>6</v>
      </c>
      <c r="E255" s="244">
        <v>0</v>
      </c>
      <c r="F255" s="244">
        <v>0</v>
      </c>
      <c r="G255" s="244">
        <v>2</v>
      </c>
      <c r="H255" s="244">
        <v>2</v>
      </c>
      <c r="I255" s="244">
        <v>1</v>
      </c>
      <c r="J255" s="244">
        <v>1</v>
      </c>
      <c r="K255" s="276">
        <v>3</v>
      </c>
      <c r="L255" s="277">
        <v>38.7896</v>
      </c>
      <c r="M255" s="249"/>
      <c r="N255" s="250"/>
      <c r="O255" s="250"/>
      <c r="P255" s="250"/>
      <c r="Q255" s="250"/>
      <c r="R255" s="250"/>
      <c r="S255" s="266">
        <f t="shared" si="6"/>
        <v>0.47712125471966244</v>
      </c>
    </row>
    <row r="256" spans="1:19">
      <c r="A256" s="243"/>
      <c r="B256" s="244"/>
      <c r="C256" s="311">
        <v>6</v>
      </c>
      <c r="D256" s="244">
        <v>6</v>
      </c>
      <c r="E256" s="244">
        <v>1</v>
      </c>
      <c r="F256" s="244">
        <v>0</v>
      </c>
      <c r="G256" s="244">
        <v>2</v>
      </c>
      <c r="H256" s="244">
        <v>2</v>
      </c>
      <c r="I256" s="244">
        <v>1</v>
      </c>
      <c r="J256" s="244">
        <v>1</v>
      </c>
      <c r="K256" s="276">
        <v>3</v>
      </c>
      <c r="L256" s="277">
        <v>35.540399999999998</v>
      </c>
      <c r="M256" s="249"/>
      <c r="N256" s="250"/>
      <c r="O256" s="250"/>
      <c r="P256" s="250"/>
      <c r="Q256" s="250"/>
      <c r="R256" s="250"/>
      <c r="S256" s="266">
        <f t="shared" si="6"/>
        <v>0.47712125471966244</v>
      </c>
    </row>
    <row r="257" spans="1:19">
      <c r="A257" s="243"/>
      <c r="B257" s="244"/>
      <c r="C257" s="311">
        <v>6</v>
      </c>
      <c r="D257" s="244">
        <v>6</v>
      </c>
      <c r="E257" s="244">
        <v>0</v>
      </c>
      <c r="F257" s="244">
        <v>0</v>
      </c>
      <c r="G257" s="244">
        <v>2</v>
      </c>
      <c r="H257" s="244">
        <v>2</v>
      </c>
      <c r="I257" s="244">
        <v>1</v>
      </c>
      <c r="J257" s="244">
        <v>1</v>
      </c>
      <c r="K257" s="276">
        <v>3</v>
      </c>
      <c r="L257" s="277">
        <v>35.460599999999999</v>
      </c>
      <c r="M257" s="249"/>
      <c r="N257" s="250"/>
      <c r="O257" s="250"/>
      <c r="P257" s="250"/>
      <c r="Q257" s="250"/>
      <c r="R257" s="250"/>
      <c r="S257" s="266">
        <f t="shared" si="6"/>
        <v>0.47712125471966244</v>
      </c>
    </row>
    <row r="258" spans="1:19">
      <c r="A258" s="243"/>
      <c r="B258" s="244"/>
      <c r="C258" s="311">
        <v>6</v>
      </c>
      <c r="D258" s="244">
        <v>6</v>
      </c>
      <c r="E258" s="244">
        <v>1</v>
      </c>
      <c r="F258" s="244">
        <v>0</v>
      </c>
      <c r="G258" s="244">
        <v>2</v>
      </c>
      <c r="H258" s="244">
        <v>2</v>
      </c>
      <c r="I258" s="244">
        <v>0</v>
      </c>
      <c r="J258" s="244">
        <v>0</v>
      </c>
      <c r="K258" s="276">
        <v>3</v>
      </c>
      <c r="L258" s="277">
        <v>51.1</v>
      </c>
      <c r="M258" s="249"/>
      <c r="N258" s="250"/>
      <c r="O258" s="250"/>
      <c r="P258" s="250"/>
      <c r="Q258" s="250"/>
      <c r="R258" s="250"/>
      <c r="S258" s="266">
        <f t="shared" si="6"/>
        <v>0.47712125471966244</v>
      </c>
    </row>
    <row r="259" spans="1:19">
      <c r="A259" s="243"/>
      <c r="B259" s="244"/>
      <c r="C259" s="311">
        <v>6</v>
      </c>
      <c r="D259" s="244">
        <v>6</v>
      </c>
      <c r="E259" s="244">
        <v>1</v>
      </c>
      <c r="F259" s="244">
        <v>0</v>
      </c>
      <c r="G259" s="244">
        <v>2</v>
      </c>
      <c r="H259" s="244">
        <v>2</v>
      </c>
      <c r="I259" s="244">
        <v>1</v>
      </c>
      <c r="J259" s="244">
        <v>0</v>
      </c>
      <c r="K259" s="276">
        <v>3</v>
      </c>
      <c r="L259" s="277">
        <v>36.154800000000002</v>
      </c>
      <c r="M259" s="249"/>
      <c r="N259" s="250"/>
      <c r="O259" s="250"/>
      <c r="P259" s="250"/>
      <c r="Q259" s="250"/>
      <c r="R259" s="250"/>
      <c r="S259" s="266">
        <f t="shared" si="6"/>
        <v>0.47712125471966244</v>
      </c>
    </row>
    <row r="260" spans="1:19">
      <c r="A260" s="243"/>
      <c r="B260" s="244"/>
      <c r="C260" s="311">
        <v>6</v>
      </c>
      <c r="D260" s="244">
        <v>6</v>
      </c>
      <c r="E260" s="244">
        <v>0</v>
      </c>
      <c r="F260" s="244">
        <v>0</v>
      </c>
      <c r="G260" s="244">
        <v>2</v>
      </c>
      <c r="H260" s="244">
        <v>2</v>
      </c>
      <c r="I260" s="244">
        <v>1</v>
      </c>
      <c r="J260" s="244">
        <v>0</v>
      </c>
      <c r="K260" s="276">
        <v>3</v>
      </c>
      <c r="L260" s="277">
        <v>35.708100000000002</v>
      </c>
      <c r="M260" s="249"/>
      <c r="N260" s="250"/>
      <c r="O260" s="250"/>
      <c r="P260" s="250"/>
      <c r="Q260" s="250"/>
      <c r="R260" s="250"/>
      <c r="S260" s="266">
        <f t="shared" si="6"/>
        <v>0.47712125471966244</v>
      </c>
    </row>
    <row r="261" spans="1:19">
      <c r="A261" s="243"/>
      <c r="B261" s="244"/>
      <c r="C261" s="311">
        <v>6</v>
      </c>
      <c r="D261" s="244">
        <v>6</v>
      </c>
      <c r="E261" s="244">
        <v>1</v>
      </c>
      <c r="F261" s="244">
        <v>0</v>
      </c>
      <c r="G261" s="244">
        <v>2</v>
      </c>
      <c r="H261" s="244">
        <v>2</v>
      </c>
      <c r="I261" s="244">
        <v>1</v>
      </c>
      <c r="J261" s="244">
        <v>0</v>
      </c>
      <c r="K261" s="276">
        <v>3</v>
      </c>
      <c r="L261" s="277">
        <v>34.7288</v>
      </c>
      <c r="M261" s="249"/>
      <c r="N261" s="250"/>
      <c r="O261" s="250"/>
      <c r="P261" s="250"/>
      <c r="Q261" s="250"/>
      <c r="R261" s="250"/>
      <c r="S261" s="266">
        <f t="shared" si="6"/>
        <v>0.47712125471966244</v>
      </c>
    </row>
    <row r="262" spans="1:19">
      <c r="A262" s="243"/>
      <c r="B262" s="244"/>
      <c r="C262" s="311">
        <v>6</v>
      </c>
      <c r="D262" s="244">
        <v>6</v>
      </c>
      <c r="E262" s="244">
        <v>1</v>
      </c>
      <c r="F262" s="244">
        <v>0</v>
      </c>
      <c r="G262" s="244">
        <v>2</v>
      </c>
      <c r="H262" s="244">
        <v>2</v>
      </c>
      <c r="I262" s="244">
        <v>1</v>
      </c>
      <c r="J262" s="244">
        <v>0</v>
      </c>
      <c r="K262" s="276">
        <v>3</v>
      </c>
      <c r="L262" s="277">
        <v>34.285299999999999</v>
      </c>
      <c r="M262" s="249"/>
      <c r="N262" s="250"/>
      <c r="O262" s="250"/>
      <c r="P262" s="250"/>
      <c r="Q262" s="250"/>
      <c r="R262" s="250"/>
      <c r="S262" s="266">
        <f t="shared" si="6"/>
        <v>0.47712125471966244</v>
      </c>
    </row>
    <row r="263" spans="1:19">
      <c r="A263" s="243"/>
      <c r="B263" s="244"/>
      <c r="C263" s="311">
        <v>8</v>
      </c>
      <c r="D263" s="244">
        <v>6</v>
      </c>
      <c r="E263" s="244">
        <v>0</v>
      </c>
      <c r="F263" s="244">
        <v>0</v>
      </c>
      <c r="G263" s="244">
        <v>2</v>
      </c>
      <c r="H263" s="244">
        <v>2</v>
      </c>
      <c r="I263" s="244">
        <v>1</v>
      </c>
      <c r="J263" s="244">
        <v>0</v>
      </c>
      <c r="K263" s="276">
        <v>4</v>
      </c>
      <c r="L263" s="277">
        <v>28.4</v>
      </c>
      <c r="M263" s="249"/>
      <c r="N263" s="250"/>
      <c r="O263" s="250"/>
      <c r="P263" s="250"/>
      <c r="Q263" s="250"/>
      <c r="R263" s="250"/>
      <c r="S263" s="266">
        <f t="shared" si="6"/>
        <v>0.6020599913279624</v>
      </c>
    </row>
    <row r="264" spans="1:19">
      <c r="A264" s="243"/>
      <c r="B264" s="244"/>
      <c r="C264" s="311">
        <v>8</v>
      </c>
      <c r="D264" s="244">
        <v>7</v>
      </c>
      <c r="E264" s="244">
        <v>1</v>
      </c>
      <c r="F264" s="244">
        <v>0</v>
      </c>
      <c r="G264" s="244">
        <v>2</v>
      </c>
      <c r="H264" s="244">
        <v>2</v>
      </c>
      <c r="I264" s="244">
        <v>1</v>
      </c>
      <c r="J264" s="244">
        <v>0</v>
      </c>
      <c r="K264" s="276">
        <v>4</v>
      </c>
      <c r="L264" s="277">
        <v>27.9711</v>
      </c>
      <c r="M264" s="249"/>
      <c r="N264" s="250"/>
      <c r="O264" s="250"/>
      <c r="P264" s="250"/>
      <c r="Q264" s="250"/>
      <c r="R264" s="250"/>
      <c r="S264" s="266">
        <f t="shared" si="6"/>
        <v>0.6020599913279624</v>
      </c>
    </row>
    <row r="265" spans="1:19">
      <c r="A265" s="243"/>
      <c r="B265" s="244"/>
      <c r="C265" s="311">
        <v>4</v>
      </c>
      <c r="D265" s="244">
        <v>4</v>
      </c>
      <c r="E265" s="244">
        <v>1</v>
      </c>
      <c r="F265" s="244">
        <v>0</v>
      </c>
      <c r="G265" s="244">
        <v>2</v>
      </c>
      <c r="H265" s="244">
        <v>2</v>
      </c>
      <c r="I265" s="244">
        <v>1</v>
      </c>
      <c r="J265" s="244">
        <v>0</v>
      </c>
      <c r="K265" s="276">
        <v>1.6</v>
      </c>
      <c r="L265" s="277">
        <v>47.9</v>
      </c>
      <c r="M265" s="249"/>
      <c r="N265" s="250"/>
      <c r="O265" s="250"/>
      <c r="P265" s="250"/>
      <c r="Q265" s="250"/>
      <c r="R265" s="250"/>
      <c r="S265" s="266">
        <f t="shared" si="6"/>
        <v>0.20411998265592479</v>
      </c>
    </row>
    <row r="266" spans="1:19">
      <c r="A266" s="243"/>
      <c r="B266" s="244"/>
      <c r="C266" s="311">
        <v>4</v>
      </c>
      <c r="D266" s="244">
        <v>5</v>
      </c>
      <c r="E266" s="244">
        <v>0</v>
      </c>
      <c r="F266" s="244">
        <v>0</v>
      </c>
      <c r="G266" s="244">
        <v>2</v>
      </c>
      <c r="H266" s="244">
        <v>2</v>
      </c>
      <c r="I266" s="244">
        <v>1</v>
      </c>
      <c r="J266" s="244">
        <v>0</v>
      </c>
      <c r="K266" s="276">
        <v>1.6</v>
      </c>
      <c r="L266" s="277">
        <v>48.9</v>
      </c>
      <c r="M266" s="249"/>
      <c r="N266" s="250"/>
      <c r="O266" s="250"/>
      <c r="P266" s="250"/>
      <c r="Q266" s="250"/>
      <c r="R266" s="250"/>
      <c r="S266" s="266">
        <f t="shared" si="6"/>
        <v>0.20411998265592479</v>
      </c>
    </row>
    <row r="267" spans="1:19">
      <c r="A267" s="243"/>
      <c r="B267" s="244"/>
      <c r="C267" s="311">
        <v>6</v>
      </c>
      <c r="D267" s="244">
        <v>6</v>
      </c>
      <c r="E267" s="244">
        <v>0</v>
      </c>
      <c r="F267" s="244">
        <v>0</v>
      </c>
      <c r="G267" s="244">
        <v>2</v>
      </c>
      <c r="H267" s="244">
        <v>2</v>
      </c>
      <c r="I267" s="244">
        <v>1</v>
      </c>
      <c r="J267" s="244">
        <v>0</v>
      </c>
      <c r="K267" s="276">
        <v>3.6</v>
      </c>
      <c r="L267" s="277">
        <v>40.4</v>
      </c>
      <c r="M267" s="249"/>
      <c r="N267" s="250"/>
      <c r="O267" s="250"/>
      <c r="P267" s="250"/>
      <c r="Q267" s="250"/>
      <c r="R267" s="250"/>
      <c r="S267" s="266">
        <f t="shared" ref="S267:S330" si="7">LOG10(K267)</f>
        <v>0.55630250076728727</v>
      </c>
    </row>
    <row r="268" spans="1:19">
      <c r="A268" s="243"/>
      <c r="B268" s="244"/>
      <c r="C268" s="311">
        <v>6</v>
      </c>
      <c r="D268" s="244">
        <v>6</v>
      </c>
      <c r="E268" s="244">
        <v>1</v>
      </c>
      <c r="F268" s="244">
        <v>0</v>
      </c>
      <c r="G268" s="244">
        <v>2</v>
      </c>
      <c r="H268" s="244">
        <v>2</v>
      </c>
      <c r="I268" s="244">
        <v>1</v>
      </c>
      <c r="J268" s="244">
        <v>0</v>
      </c>
      <c r="K268" s="276">
        <v>3.6</v>
      </c>
      <c r="L268" s="277">
        <v>40</v>
      </c>
      <c r="M268" s="249"/>
      <c r="N268" s="250"/>
      <c r="O268" s="250"/>
      <c r="P268" s="250"/>
      <c r="Q268" s="250"/>
      <c r="R268" s="250"/>
      <c r="S268" s="266">
        <f t="shared" si="7"/>
        <v>0.55630250076728727</v>
      </c>
    </row>
    <row r="269" spans="1:19">
      <c r="A269" s="243"/>
      <c r="B269" s="244"/>
      <c r="C269" s="311">
        <v>8</v>
      </c>
      <c r="D269" s="244">
        <v>6</v>
      </c>
      <c r="E269" s="244">
        <v>0</v>
      </c>
      <c r="F269" s="244">
        <v>0</v>
      </c>
      <c r="G269" s="244">
        <v>1</v>
      </c>
      <c r="H269" s="244">
        <v>1</v>
      </c>
      <c r="I269" s="244">
        <v>0</v>
      </c>
      <c r="J269" s="244">
        <v>0</v>
      </c>
      <c r="K269" s="276">
        <v>6.2</v>
      </c>
      <c r="L269" s="277">
        <v>33.799999999999997</v>
      </c>
      <c r="M269" s="249"/>
      <c r="N269" s="250"/>
      <c r="O269" s="250"/>
      <c r="P269" s="250"/>
      <c r="Q269" s="250"/>
      <c r="R269" s="250"/>
      <c r="S269" s="266">
        <f t="shared" si="7"/>
        <v>0.79239168949825389</v>
      </c>
    </row>
    <row r="270" spans="1:19">
      <c r="A270" s="243"/>
      <c r="B270" s="244"/>
      <c r="C270" s="311">
        <v>8</v>
      </c>
      <c r="D270" s="244">
        <v>6</v>
      </c>
      <c r="E270" s="244">
        <v>1</v>
      </c>
      <c r="F270" s="244">
        <v>0</v>
      </c>
      <c r="G270" s="244">
        <v>1</v>
      </c>
      <c r="H270" s="244">
        <v>1</v>
      </c>
      <c r="I270" s="244">
        <v>1</v>
      </c>
      <c r="J270" s="244">
        <v>0</v>
      </c>
      <c r="K270" s="276">
        <v>6.2</v>
      </c>
      <c r="L270" s="277">
        <v>35.200000000000003</v>
      </c>
      <c r="M270" s="249"/>
      <c r="N270" s="250"/>
      <c r="O270" s="250"/>
      <c r="P270" s="250"/>
      <c r="Q270" s="250"/>
      <c r="R270" s="250"/>
      <c r="S270" s="266">
        <f t="shared" si="7"/>
        <v>0.79239168949825389</v>
      </c>
    </row>
    <row r="271" spans="1:19">
      <c r="A271" s="243"/>
      <c r="B271" s="244"/>
      <c r="C271" s="311">
        <v>4</v>
      </c>
      <c r="D271" s="244">
        <v>5</v>
      </c>
      <c r="E271" s="244">
        <v>0</v>
      </c>
      <c r="F271" s="244">
        <v>0</v>
      </c>
      <c r="G271" s="244">
        <v>2</v>
      </c>
      <c r="H271" s="244">
        <v>2</v>
      </c>
      <c r="I271" s="244">
        <v>1</v>
      </c>
      <c r="J271" s="244">
        <v>0</v>
      </c>
      <c r="K271" s="276">
        <v>2.2000000000000002</v>
      </c>
      <c r="L271" s="277">
        <v>51.9</v>
      </c>
      <c r="M271" s="249"/>
      <c r="N271" s="250"/>
      <c r="O271" s="250"/>
      <c r="P271" s="250"/>
      <c r="Q271" s="250"/>
      <c r="R271" s="250"/>
      <c r="S271" s="266">
        <f t="shared" si="7"/>
        <v>0.34242268082220628</v>
      </c>
    </row>
    <row r="272" spans="1:19">
      <c r="A272" s="243"/>
      <c r="B272" s="244"/>
      <c r="C272" s="311">
        <v>4</v>
      </c>
      <c r="D272" s="244">
        <v>4</v>
      </c>
      <c r="E272" s="244">
        <v>1</v>
      </c>
      <c r="F272" s="244">
        <v>0</v>
      </c>
      <c r="G272" s="244">
        <v>2</v>
      </c>
      <c r="H272" s="244">
        <v>2</v>
      </c>
      <c r="I272" s="244">
        <v>1</v>
      </c>
      <c r="J272" s="244">
        <v>0</v>
      </c>
      <c r="K272" s="276">
        <v>2.2000000000000002</v>
      </c>
      <c r="L272" s="277">
        <v>46.8</v>
      </c>
      <c r="M272" s="249"/>
      <c r="N272" s="250"/>
      <c r="O272" s="250"/>
      <c r="P272" s="250"/>
      <c r="Q272" s="250"/>
      <c r="R272" s="250"/>
      <c r="S272" s="266">
        <f t="shared" si="7"/>
        <v>0.34242268082220628</v>
      </c>
    </row>
    <row r="273" spans="1:19">
      <c r="A273" s="243"/>
      <c r="B273" s="244"/>
      <c r="C273" s="311">
        <v>4</v>
      </c>
      <c r="D273" s="244">
        <v>5</v>
      </c>
      <c r="E273" s="244">
        <v>0</v>
      </c>
      <c r="F273" s="244">
        <v>0</v>
      </c>
      <c r="G273" s="244">
        <v>2</v>
      </c>
      <c r="H273" s="244">
        <v>2</v>
      </c>
      <c r="I273" s="244">
        <v>1</v>
      </c>
      <c r="J273" s="244">
        <v>0</v>
      </c>
      <c r="K273" s="276">
        <v>2.2000000000000002</v>
      </c>
      <c r="L273" s="277">
        <v>51.9</v>
      </c>
      <c r="M273" s="249"/>
      <c r="N273" s="250"/>
      <c r="O273" s="250"/>
      <c r="P273" s="250"/>
      <c r="Q273" s="250"/>
      <c r="R273" s="250"/>
      <c r="S273" s="266">
        <f t="shared" si="7"/>
        <v>0.34242268082220628</v>
      </c>
    </row>
    <row r="274" spans="1:19">
      <c r="A274" s="243"/>
      <c r="B274" s="244"/>
      <c r="C274" s="311">
        <v>4</v>
      </c>
      <c r="D274" s="244">
        <v>4</v>
      </c>
      <c r="E274" s="244">
        <v>1</v>
      </c>
      <c r="F274" s="244">
        <v>0</v>
      </c>
      <c r="G274" s="244">
        <v>2</v>
      </c>
      <c r="H274" s="244">
        <v>2</v>
      </c>
      <c r="I274" s="244">
        <v>1</v>
      </c>
      <c r="J274" s="244">
        <v>0</v>
      </c>
      <c r="K274" s="276">
        <v>2.4</v>
      </c>
      <c r="L274" s="277">
        <v>40.1</v>
      </c>
      <c r="M274" s="249"/>
      <c r="N274" s="250"/>
      <c r="O274" s="250"/>
      <c r="P274" s="250"/>
      <c r="Q274" s="250"/>
      <c r="R274" s="250"/>
      <c r="S274" s="266">
        <f t="shared" si="7"/>
        <v>0.38021124171160603</v>
      </c>
    </row>
    <row r="275" spans="1:19">
      <c r="A275" s="243"/>
      <c r="B275" s="244"/>
      <c r="C275" s="311">
        <v>6</v>
      </c>
      <c r="D275" s="244">
        <v>4</v>
      </c>
      <c r="E275" s="244">
        <v>1</v>
      </c>
      <c r="F275" s="244">
        <v>0</v>
      </c>
      <c r="G275" s="244">
        <v>2</v>
      </c>
      <c r="H275" s="244">
        <v>2</v>
      </c>
      <c r="I275" s="244">
        <v>0</v>
      </c>
      <c r="J275" s="244">
        <v>0</v>
      </c>
      <c r="K275" s="276">
        <v>2.7</v>
      </c>
      <c r="L275" s="277">
        <v>36.5</v>
      </c>
      <c r="M275" s="249"/>
      <c r="N275" s="250"/>
      <c r="O275" s="250"/>
      <c r="P275" s="250"/>
      <c r="Q275" s="250"/>
      <c r="R275" s="250"/>
      <c r="S275" s="266">
        <f t="shared" si="7"/>
        <v>0.43136376415898736</v>
      </c>
    </row>
    <row r="276" spans="1:19">
      <c r="A276" s="243"/>
      <c r="B276" s="244"/>
      <c r="C276" s="311">
        <v>6</v>
      </c>
      <c r="D276" s="244">
        <v>6</v>
      </c>
      <c r="E276" s="244">
        <v>1</v>
      </c>
      <c r="F276" s="244">
        <v>0</v>
      </c>
      <c r="G276" s="244">
        <v>2</v>
      </c>
      <c r="H276" s="244">
        <v>2</v>
      </c>
      <c r="I276" s="244">
        <v>0</v>
      </c>
      <c r="J276" s="244">
        <v>0</v>
      </c>
      <c r="K276" s="276">
        <v>3.5</v>
      </c>
      <c r="L276" s="277">
        <v>37.6</v>
      </c>
      <c r="M276" s="249"/>
      <c r="N276" s="250"/>
      <c r="O276" s="250"/>
      <c r="P276" s="250"/>
      <c r="Q276" s="250"/>
      <c r="R276" s="250"/>
      <c r="S276" s="266">
        <f t="shared" si="7"/>
        <v>0.54406804435027567</v>
      </c>
    </row>
    <row r="277" spans="1:19">
      <c r="A277" s="243"/>
      <c r="B277" s="244"/>
      <c r="C277" s="311">
        <v>6</v>
      </c>
      <c r="D277" s="244">
        <v>5</v>
      </c>
      <c r="E277" s="244">
        <v>1</v>
      </c>
      <c r="F277" s="244">
        <v>0</v>
      </c>
      <c r="G277" s="244">
        <v>2</v>
      </c>
      <c r="H277" s="244">
        <v>2</v>
      </c>
      <c r="I277" s="244">
        <v>0</v>
      </c>
      <c r="J277" s="244">
        <v>0</v>
      </c>
      <c r="K277" s="276">
        <v>3.5</v>
      </c>
      <c r="L277" s="277">
        <v>34.700000000000003</v>
      </c>
      <c r="M277" s="249"/>
      <c r="N277" s="250"/>
      <c r="O277" s="250"/>
      <c r="P277" s="250"/>
      <c r="Q277" s="250"/>
      <c r="R277" s="250"/>
      <c r="S277" s="266">
        <f t="shared" si="7"/>
        <v>0.54406804435027567</v>
      </c>
    </row>
    <row r="278" spans="1:19">
      <c r="A278" s="243"/>
      <c r="B278" s="244"/>
      <c r="C278" s="311">
        <v>8</v>
      </c>
      <c r="D278" s="244">
        <v>5</v>
      </c>
      <c r="E278" s="244">
        <v>1</v>
      </c>
      <c r="F278" s="244">
        <v>0</v>
      </c>
      <c r="G278" s="244">
        <v>1</v>
      </c>
      <c r="H278" s="244">
        <v>1</v>
      </c>
      <c r="I278" s="244">
        <v>1</v>
      </c>
      <c r="J278" s="244">
        <v>0</v>
      </c>
      <c r="K278" s="276">
        <v>5.7</v>
      </c>
      <c r="L278" s="277">
        <v>34.5</v>
      </c>
      <c r="M278" s="249"/>
      <c r="N278" s="250"/>
      <c r="O278" s="250"/>
      <c r="P278" s="250"/>
      <c r="Q278" s="250"/>
      <c r="R278" s="250"/>
      <c r="S278" s="266">
        <f t="shared" si="7"/>
        <v>0.75587485567249146</v>
      </c>
    </row>
    <row r="279" spans="1:19">
      <c r="A279" s="243"/>
      <c r="B279" s="244"/>
      <c r="C279" s="311">
        <v>8</v>
      </c>
      <c r="D279" s="244">
        <v>6</v>
      </c>
      <c r="E279" s="244">
        <v>0</v>
      </c>
      <c r="F279" s="244">
        <v>0</v>
      </c>
      <c r="G279" s="244">
        <v>1</v>
      </c>
      <c r="H279" s="244">
        <v>1</v>
      </c>
      <c r="I279" s="244">
        <v>1</v>
      </c>
      <c r="J279" s="244">
        <v>0</v>
      </c>
      <c r="K279" s="276">
        <v>5.7</v>
      </c>
      <c r="L279" s="277">
        <v>33.6</v>
      </c>
      <c r="M279" s="249"/>
      <c r="N279" s="250"/>
      <c r="O279" s="250"/>
      <c r="P279" s="250"/>
      <c r="Q279" s="250"/>
      <c r="R279" s="250"/>
      <c r="S279" s="266">
        <f t="shared" si="7"/>
        <v>0.75587485567249146</v>
      </c>
    </row>
    <row r="280" spans="1:19">
      <c r="A280" s="243"/>
      <c r="B280" s="244"/>
      <c r="C280" s="311">
        <v>8</v>
      </c>
      <c r="D280" s="244">
        <v>6</v>
      </c>
      <c r="E280" s="244">
        <v>0</v>
      </c>
      <c r="F280" s="244">
        <v>0</v>
      </c>
      <c r="G280" s="244">
        <v>1</v>
      </c>
      <c r="H280" s="244">
        <v>1</v>
      </c>
      <c r="I280" s="244">
        <v>0</v>
      </c>
      <c r="J280" s="244">
        <v>0</v>
      </c>
      <c r="K280" s="276">
        <v>6.1</v>
      </c>
      <c r="L280" s="277">
        <v>30.1</v>
      </c>
      <c r="M280" s="249"/>
      <c r="N280" s="250"/>
      <c r="O280" s="250"/>
      <c r="P280" s="250"/>
      <c r="Q280" s="250"/>
      <c r="R280" s="250"/>
      <c r="S280" s="266">
        <f t="shared" si="7"/>
        <v>0.78532983501076703</v>
      </c>
    </row>
    <row r="281" spans="1:19">
      <c r="A281" s="243"/>
      <c r="B281" s="244"/>
      <c r="C281" s="311">
        <v>8</v>
      </c>
      <c r="D281" s="244">
        <v>5</v>
      </c>
      <c r="E281" s="244">
        <v>1</v>
      </c>
      <c r="F281" s="244">
        <v>0</v>
      </c>
      <c r="G281" s="244">
        <v>1</v>
      </c>
      <c r="H281" s="244">
        <v>1</v>
      </c>
      <c r="I281" s="244">
        <v>0</v>
      </c>
      <c r="J281" s="244">
        <v>0</v>
      </c>
      <c r="K281" s="276">
        <v>6.1</v>
      </c>
      <c r="L281" s="277">
        <v>26</v>
      </c>
      <c r="M281" s="249"/>
      <c r="N281" s="250"/>
      <c r="O281" s="250"/>
      <c r="P281" s="250"/>
      <c r="Q281" s="250"/>
      <c r="R281" s="250"/>
      <c r="S281" s="266">
        <f t="shared" si="7"/>
        <v>0.78532983501076703</v>
      </c>
    </row>
    <row r="282" spans="1:19">
      <c r="A282" s="243"/>
      <c r="B282" s="244"/>
      <c r="C282" s="311">
        <v>4</v>
      </c>
      <c r="D282" s="244">
        <v>4</v>
      </c>
      <c r="E282" s="244">
        <v>1</v>
      </c>
      <c r="F282" s="244">
        <v>0</v>
      </c>
      <c r="G282" s="244">
        <v>2</v>
      </c>
      <c r="H282" s="244">
        <v>2</v>
      </c>
      <c r="I282" s="244">
        <v>0</v>
      </c>
      <c r="J282" s="244">
        <v>0</v>
      </c>
      <c r="K282" s="276">
        <v>2</v>
      </c>
      <c r="L282" s="277">
        <v>47.327800000000003</v>
      </c>
      <c r="M282" s="249"/>
      <c r="N282" s="250"/>
      <c r="O282" s="250"/>
      <c r="P282" s="250"/>
      <c r="Q282" s="250"/>
      <c r="R282" s="250"/>
      <c r="S282" s="266">
        <f t="shared" si="7"/>
        <v>0.3010299956639812</v>
      </c>
    </row>
    <row r="283" spans="1:19">
      <c r="A283" s="243"/>
      <c r="B283" s="244"/>
      <c r="C283" s="311">
        <v>4</v>
      </c>
      <c r="D283" s="244">
        <v>5</v>
      </c>
      <c r="E283" s="244">
        <v>0</v>
      </c>
      <c r="F283" s="244">
        <v>0</v>
      </c>
      <c r="G283" s="244">
        <v>2</v>
      </c>
      <c r="H283" s="244">
        <v>2</v>
      </c>
      <c r="I283" s="244">
        <v>0</v>
      </c>
      <c r="J283" s="244">
        <v>0</v>
      </c>
      <c r="K283" s="276">
        <v>2</v>
      </c>
      <c r="L283" s="277">
        <v>49.3</v>
      </c>
      <c r="M283" s="249"/>
      <c r="N283" s="250"/>
      <c r="O283" s="250"/>
      <c r="P283" s="250"/>
      <c r="Q283" s="250"/>
      <c r="R283" s="250"/>
      <c r="S283" s="266">
        <f t="shared" si="7"/>
        <v>0.3010299956639812</v>
      </c>
    </row>
    <row r="284" spans="1:19">
      <c r="A284" s="243"/>
      <c r="B284" s="244"/>
      <c r="C284" s="311">
        <v>4</v>
      </c>
      <c r="D284" s="244">
        <v>5</v>
      </c>
      <c r="E284" s="244">
        <v>0</v>
      </c>
      <c r="F284" s="244">
        <v>0</v>
      </c>
      <c r="G284" s="244">
        <v>2</v>
      </c>
      <c r="H284" s="244">
        <v>2</v>
      </c>
      <c r="I284" s="244">
        <v>1</v>
      </c>
      <c r="J284" s="244">
        <v>1</v>
      </c>
      <c r="K284" s="276">
        <v>2.4</v>
      </c>
      <c r="L284" s="277">
        <v>43.5</v>
      </c>
      <c r="M284" s="249"/>
      <c r="N284" s="250"/>
      <c r="O284" s="250"/>
      <c r="P284" s="250"/>
      <c r="Q284" s="250"/>
      <c r="R284" s="250"/>
      <c r="S284" s="266">
        <f t="shared" si="7"/>
        <v>0.38021124171160603</v>
      </c>
    </row>
    <row r="285" spans="1:19">
      <c r="A285" s="243"/>
      <c r="B285" s="244"/>
      <c r="C285" s="311">
        <v>4</v>
      </c>
      <c r="D285" s="244">
        <v>5</v>
      </c>
      <c r="E285" s="244">
        <v>1</v>
      </c>
      <c r="F285" s="244">
        <v>0</v>
      </c>
      <c r="G285" s="244">
        <v>2</v>
      </c>
      <c r="H285" s="244">
        <v>2</v>
      </c>
      <c r="I285" s="244">
        <v>1</v>
      </c>
      <c r="J285" s="244">
        <v>1</v>
      </c>
      <c r="K285" s="276">
        <v>2.4</v>
      </c>
      <c r="L285" s="277">
        <v>43.3</v>
      </c>
      <c r="M285" s="249"/>
      <c r="N285" s="250"/>
      <c r="O285" s="250"/>
      <c r="P285" s="250"/>
      <c r="Q285" s="250"/>
      <c r="R285" s="250"/>
      <c r="S285" s="266">
        <f t="shared" si="7"/>
        <v>0.38021124171160603</v>
      </c>
    </row>
    <row r="286" spans="1:19">
      <c r="A286" s="243"/>
      <c r="B286" s="244"/>
      <c r="C286" s="311">
        <v>6</v>
      </c>
      <c r="D286" s="244">
        <v>6</v>
      </c>
      <c r="E286" s="244">
        <v>0</v>
      </c>
      <c r="F286" s="244">
        <v>0</v>
      </c>
      <c r="G286" s="244">
        <v>2</v>
      </c>
      <c r="H286" s="244">
        <v>2</v>
      </c>
      <c r="I286" s="244">
        <v>1</v>
      </c>
      <c r="J286" s="244">
        <v>1</v>
      </c>
      <c r="K286" s="276">
        <v>3.5</v>
      </c>
      <c r="L286" s="277">
        <v>35.5</v>
      </c>
      <c r="M286" s="249"/>
      <c r="N286" s="250"/>
      <c r="O286" s="250"/>
      <c r="P286" s="250"/>
      <c r="Q286" s="250"/>
      <c r="R286" s="250"/>
      <c r="S286" s="266">
        <f t="shared" si="7"/>
        <v>0.54406804435027567</v>
      </c>
    </row>
    <row r="287" spans="1:19">
      <c r="A287" s="243"/>
      <c r="B287" s="244"/>
      <c r="C287" s="311">
        <v>6</v>
      </c>
      <c r="D287" s="244">
        <v>5</v>
      </c>
      <c r="E287" s="244">
        <v>1</v>
      </c>
      <c r="F287" s="244">
        <v>0</v>
      </c>
      <c r="G287" s="244">
        <v>2</v>
      </c>
      <c r="H287" s="244">
        <v>2</v>
      </c>
      <c r="I287" s="244">
        <v>1</v>
      </c>
      <c r="J287" s="244">
        <v>1</v>
      </c>
      <c r="K287" s="276">
        <v>3.5</v>
      </c>
      <c r="L287" s="277">
        <v>39.9</v>
      </c>
      <c r="M287" s="249"/>
      <c r="N287" s="250"/>
      <c r="O287" s="250"/>
      <c r="P287" s="250"/>
      <c r="Q287" s="250"/>
      <c r="R287" s="250"/>
      <c r="S287" s="266">
        <f t="shared" si="7"/>
        <v>0.54406804435027567</v>
      </c>
    </row>
    <row r="288" spans="1:19">
      <c r="A288" s="243"/>
      <c r="B288" s="244"/>
      <c r="C288" s="311">
        <v>4</v>
      </c>
      <c r="D288" s="244">
        <v>1</v>
      </c>
      <c r="E288" s="244">
        <v>1</v>
      </c>
      <c r="F288" s="244">
        <v>0</v>
      </c>
      <c r="G288" s="244">
        <v>1</v>
      </c>
      <c r="H288" s="244">
        <v>1</v>
      </c>
      <c r="I288" s="244">
        <v>1</v>
      </c>
      <c r="J288" s="244">
        <v>1</v>
      </c>
      <c r="K288" s="276">
        <v>1.3</v>
      </c>
      <c r="L288" s="277">
        <v>65</v>
      </c>
      <c r="M288" s="249"/>
      <c r="N288" s="250"/>
      <c r="O288" s="250"/>
      <c r="P288" s="250"/>
      <c r="Q288" s="250"/>
      <c r="R288" s="250"/>
      <c r="S288" s="266">
        <f t="shared" si="7"/>
        <v>0.11394335230683679</v>
      </c>
    </row>
    <row r="289" spans="1:19">
      <c r="A289" s="243"/>
      <c r="B289" s="244"/>
      <c r="C289" s="311">
        <v>4</v>
      </c>
      <c r="D289" s="244">
        <v>1</v>
      </c>
      <c r="E289" s="244">
        <v>1</v>
      </c>
      <c r="F289" s="244">
        <v>0</v>
      </c>
      <c r="G289" s="244">
        <v>1</v>
      </c>
      <c r="H289" s="244">
        <v>1</v>
      </c>
      <c r="I289" s="244">
        <v>1</v>
      </c>
      <c r="J289" s="244">
        <v>1</v>
      </c>
      <c r="K289" s="276">
        <v>1.3</v>
      </c>
      <c r="L289" s="277">
        <v>62.267400000000002</v>
      </c>
      <c r="M289" s="249"/>
      <c r="N289" s="250"/>
      <c r="O289" s="250"/>
      <c r="P289" s="250"/>
      <c r="Q289" s="250"/>
      <c r="R289" s="250"/>
      <c r="S289" s="266">
        <f t="shared" si="7"/>
        <v>0.11394335230683679</v>
      </c>
    </row>
    <row r="290" spans="1:19">
      <c r="A290" s="243"/>
      <c r="B290" s="244"/>
      <c r="C290" s="311">
        <v>4</v>
      </c>
      <c r="D290" s="244">
        <v>1</v>
      </c>
      <c r="E290" s="244">
        <v>1</v>
      </c>
      <c r="F290" s="244">
        <v>0</v>
      </c>
      <c r="G290" s="244">
        <v>1</v>
      </c>
      <c r="H290" s="244">
        <v>1</v>
      </c>
      <c r="I290" s="244">
        <v>1</v>
      </c>
      <c r="J290" s="244">
        <v>1</v>
      </c>
      <c r="K290" s="276">
        <v>1.3</v>
      </c>
      <c r="L290" s="277">
        <v>61.2</v>
      </c>
      <c r="M290" s="249"/>
      <c r="N290" s="250"/>
      <c r="O290" s="250"/>
      <c r="P290" s="250"/>
      <c r="Q290" s="250"/>
      <c r="R290" s="250"/>
      <c r="S290" s="266">
        <f t="shared" si="7"/>
        <v>0.11394335230683679</v>
      </c>
    </row>
    <row r="291" spans="1:19">
      <c r="A291" s="243"/>
      <c r="B291" s="244"/>
      <c r="C291" s="311">
        <v>4</v>
      </c>
      <c r="D291" s="244">
        <v>4</v>
      </c>
      <c r="E291" s="244">
        <v>1</v>
      </c>
      <c r="F291" s="244">
        <v>0</v>
      </c>
      <c r="G291" s="244">
        <v>2</v>
      </c>
      <c r="H291" s="244">
        <v>2</v>
      </c>
      <c r="I291" s="244">
        <v>1</v>
      </c>
      <c r="J291" s="244">
        <v>0</v>
      </c>
      <c r="K291" s="276">
        <v>1.6</v>
      </c>
      <c r="L291" s="277">
        <v>50.4</v>
      </c>
      <c r="M291" s="249"/>
      <c r="N291" s="250"/>
      <c r="O291" s="250"/>
      <c r="P291" s="250"/>
      <c r="Q291" s="250"/>
      <c r="R291" s="250"/>
      <c r="S291" s="266">
        <f t="shared" si="7"/>
        <v>0.20411998265592479</v>
      </c>
    </row>
    <row r="292" spans="1:19">
      <c r="A292" s="243"/>
      <c r="B292" s="244"/>
      <c r="C292" s="311">
        <v>4</v>
      </c>
      <c r="D292" s="244">
        <v>5</v>
      </c>
      <c r="E292" s="244">
        <v>0</v>
      </c>
      <c r="F292" s="244">
        <v>0</v>
      </c>
      <c r="G292" s="244">
        <v>2</v>
      </c>
      <c r="H292" s="244">
        <v>2</v>
      </c>
      <c r="I292" s="244">
        <v>1</v>
      </c>
      <c r="J292" s="244">
        <v>0</v>
      </c>
      <c r="K292" s="276">
        <v>1.6</v>
      </c>
      <c r="L292" s="277">
        <v>48.2</v>
      </c>
      <c r="M292" s="249"/>
      <c r="N292" s="250"/>
      <c r="O292" s="250"/>
      <c r="P292" s="250"/>
      <c r="Q292" s="250"/>
      <c r="R292" s="250"/>
      <c r="S292" s="266">
        <f t="shared" si="7"/>
        <v>0.20411998265592479</v>
      </c>
    </row>
    <row r="293" spans="1:19">
      <c r="A293" s="243"/>
      <c r="B293" s="244"/>
      <c r="C293" s="311">
        <v>4</v>
      </c>
      <c r="D293" s="244">
        <v>5</v>
      </c>
      <c r="E293" s="244">
        <v>0</v>
      </c>
      <c r="F293" s="244">
        <v>0</v>
      </c>
      <c r="G293" s="244">
        <v>2</v>
      </c>
      <c r="H293" s="244">
        <v>2</v>
      </c>
      <c r="I293" s="244">
        <v>1</v>
      </c>
      <c r="J293" s="244">
        <v>0</v>
      </c>
      <c r="K293" s="276">
        <v>1.6</v>
      </c>
      <c r="L293" s="277">
        <v>50.820500000000003</v>
      </c>
      <c r="M293" s="249"/>
      <c r="N293" s="250"/>
      <c r="O293" s="250"/>
      <c r="P293" s="250"/>
      <c r="Q293" s="250"/>
      <c r="R293" s="250"/>
      <c r="S293" s="266">
        <f t="shared" si="7"/>
        <v>0.20411998265592479</v>
      </c>
    </row>
    <row r="294" spans="1:19">
      <c r="A294" s="243"/>
      <c r="B294" s="244"/>
      <c r="C294" s="311">
        <v>4</v>
      </c>
      <c r="D294" s="244">
        <v>4</v>
      </c>
      <c r="E294" s="244">
        <v>1</v>
      </c>
      <c r="F294" s="244">
        <v>0</v>
      </c>
      <c r="G294" s="244">
        <v>2</v>
      </c>
      <c r="H294" s="244">
        <v>2</v>
      </c>
      <c r="I294" s="244">
        <v>1</v>
      </c>
      <c r="J294" s="244">
        <v>0</v>
      </c>
      <c r="K294" s="276">
        <v>2</v>
      </c>
      <c r="L294" s="277">
        <v>47.296399999999998</v>
      </c>
      <c r="M294" s="249"/>
      <c r="N294" s="250"/>
      <c r="O294" s="250"/>
      <c r="P294" s="250"/>
      <c r="Q294" s="250"/>
      <c r="R294" s="250"/>
      <c r="S294" s="266">
        <f t="shared" si="7"/>
        <v>0.3010299956639812</v>
      </c>
    </row>
    <row r="295" spans="1:19">
      <c r="A295" s="243"/>
      <c r="B295" s="244"/>
      <c r="C295" s="311">
        <v>4</v>
      </c>
      <c r="D295" s="244">
        <v>5</v>
      </c>
      <c r="E295" s="244">
        <v>1</v>
      </c>
      <c r="F295" s="244">
        <v>0</v>
      </c>
      <c r="G295" s="244">
        <v>2</v>
      </c>
      <c r="H295" s="244">
        <v>2</v>
      </c>
      <c r="I295" s="244">
        <v>1</v>
      </c>
      <c r="J295" s="244">
        <v>0</v>
      </c>
      <c r="K295" s="276">
        <v>2</v>
      </c>
      <c r="L295" s="277">
        <v>50.9</v>
      </c>
      <c r="M295" s="249"/>
      <c r="N295" s="250"/>
      <c r="O295" s="250"/>
      <c r="P295" s="250"/>
      <c r="Q295" s="250"/>
      <c r="R295" s="250"/>
      <c r="S295" s="266">
        <f t="shared" si="7"/>
        <v>0.3010299956639812</v>
      </c>
    </row>
    <row r="296" spans="1:19">
      <c r="A296" s="243"/>
      <c r="B296" s="244"/>
      <c r="C296" s="311">
        <v>4</v>
      </c>
      <c r="D296" s="244">
        <v>5</v>
      </c>
      <c r="E296" s="244">
        <v>0</v>
      </c>
      <c r="F296" s="244">
        <v>0</v>
      </c>
      <c r="G296" s="244">
        <v>2</v>
      </c>
      <c r="H296" s="244">
        <v>2</v>
      </c>
      <c r="I296" s="244">
        <v>1</v>
      </c>
      <c r="J296" s="244">
        <v>0</v>
      </c>
      <c r="K296" s="276">
        <v>2</v>
      </c>
      <c r="L296" s="277">
        <v>47.4</v>
      </c>
      <c r="M296" s="249"/>
      <c r="N296" s="250"/>
      <c r="O296" s="250"/>
      <c r="P296" s="250"/>
      <c r="Q296" s="250"/>
      <c r="R296" s="250"/>
      <c r="S296" s="266">
        <f t="shared" si="7"/>
        <v>0.3010299956639812</v>
      </c>
    </row>
    <row r="297" spans="1:19">
      <c r="A297" s="243"/>
      <c r="B297" s="244"/>
      <c r="C297" s="311">
        <v>4</v>
      </c>
      <c r="D297" s="244">
        <v>5</v>
      </c>
      <c r="E297" s="244">
        <v>1</v>
      </c>
      <c r="F297" s="244">
        <v>0</v>
      </c>
      <c r="G297" s="244">
        <v>2</v>
      </c>
      <c r="H297" s="244">
        <v>2</v>
      </c>
      <c r="I297" s="244">
        <v>1</v>
      </c>
      <c r="J297" s="244">
        <v>0</v>
      </c>
      <c r="K297" s="276">
        <v>2.4</v>
      </c>
      <c r="L297" s="277">
        <v>44.344000000000001</v>
      </c>
      <c r="M297" s="249"/>
      <c r="N297" s="250"/>
      <c r="O297" s="250"/>
      <c r="P297" s="250"/>
      <c r="Q297" s="250"/>
      <c r="R297" s="250"/>
      <c r="S297" s="266">
        <f t="shared" si="7"/>
        <v>0.38021124171160603</v>
      </c>
    </row>
    <row r="298" spans="1:19">
      <c r="A298" s="243"/>
      <c r="B298" s="244"/>
      <c r="C298" s="311">
        <v>4</v>
      </c>
      <c r="D298" s="244">
        <v>6</v>
      </c>
      <c r="E298" s="244">
        <v>0</v>
      </c>
      <c r="F298" s="244">
        <v>0</v>
      </c>
      <c r="G298" s="244">
        <v>2</v>
      </c>
      <c r="H298" s="244">
        <v>2</v>
      </c>
      <c r="I298" s="244">
        <v>1</v>
      </c>
      <c r="J298" s="244">
        <v>0</v>
      </c>
      <c r="K298" s="276">
        <v>2.4</v>
      </c>
      <c r="L298" s="277">
        <v>44.6</v>
      </c>
      <c r="M298" s="249"/>
      <c r="N298" s="250"/>
      <c r="O298" s="250"/>
      <c r="P298" s="250"/>
      <c r="Q298" s="250"/>
      <c r="R298" s="250"/>
      <c r="S298" s="266">
        <f t="shared" si="7"/>
        <v>0.38021124171160603</v>
      </c>
    </row>
    <row r="299" spans="1:19">
      <c r="A299" s="243"/>
      <c r="B299" s="244"/>
      <c r="C299" s="311">
        <v>4</v>
      </c>
      <c r="D299" s="244">
        <v>4</v>
      </c>
      <c r="E299" s="244">
        <v>1</v>
      </c>
      <c r="F299" s="244">
        <v>0</v>
      </c>
      <c r="G299" s="244">
        <v>2</v>
      </c>
      <c r="H299" s="244">
        <v>2</v>
      </c>
      <c r="I299" s="244">
        <v>1</v>
      </c>
      <c r="J299" s="244">
        <v>0</v>
      </c>
      <c r="K299" s="276">
        <v>1.6</v>
      </c>
      <c r="L299" s="277">
        <v>50.2669</v>
      </c>
      <c r="M299" s="249"/>
      <c r="N299" s="250"/>
      <c r="O299" s="250"/>
      <c r="P299" s="250"/>
      <c r="Q299" s="250"/>
      <c r="R299" s="250"/>
      <c r="S299" s="266">
        <f t="shared" si="7"/>
        <v>0.20411998265592479</v>
      </c>
    </row>
    <row r="300" spans="1:19">
      <c r="A300" s="243"/>
      <c r="B300" s="244"/>
      <c r="C300" s="311">
        <v>4</v>
      </c>
      <c r="D300" s="244">
        <v>5</v>
      </c>
      <c r="E300" s="244">
        <v>0</v>
      </c>
      <c r="F300" s="244">
        <v>0</v>
      </c>
      <c r="G300" s="244">
        <v>2</v>
      </c>
      <c r="H300" s="244">
        <v>2</v>
      </c>
      <c r="I300" s="244">
        <v>1</v>
      </c>
      <c r="J300" s="244">
        <v>0</v>
      </c>
      <c r="K300" s="276">
        <v>1.6</v>
      </c>
      <c r="L300" s="277">
        <v>48.318800000000003</v>
      </c>
      <c r="M300" s="249"/>
      <c r="N300" s="250"/>
      <c r="O300" s="250"/>
      <c r="P300" s="250"/>
      <c r="Q300" s="250"/>
      <c r="R300" s="250"/>
      <c r="S300" s="266">
        <f t="shared" si="7"/>
        <v>0.20411998265592479</v>
      </c>
    </row>
    <row r="301" spans="1:19">
      <c r="A301" s="243"/>
      <c r="B301" s="244"/>
      <c r="C301" s="311">
        <v>6</v>
      </c>
      <c r="D301" s="244">
        <v>1</v>
      </c>
      <c r="E301" s="244">
        <v>0</v>
      </c>
      <c r="F301" s="244">
        <v>0</v>
      </c>
      <c r="G301" s="244">
        <v>2</v>
      </c>
      <c r="H301" s="244">
        <v>2</v>
      </c>
      <c r="I301" s="244">
        <v>1</v>
      </c>
      <c r="J301" s="244">
        <v>0</v>
      </c>
      <c r="K301" s="276">
        <v>3.5</v>
      </c>
      <c r="L301" s="277">
        <v>35.349400000000003</v>
      </c>
      <c r="M301" s="249"/>
      <c r="N301" s="250"/>
      <c r="O301" s="250"/>
      <c r="P301" s="250"/>
      <c r="Q301" s="250"/>
      <c r="R301" s="250"/>
      <c r="S301" s="266">
        <f t="shared" si="7"/>
        <v>0.54406804435027567</v>
      </c>
    </row>
    <row r="302" spans="1:19">
      <c r="A302" s="243"/>
      <c r="B302" s="244"/>
      <c r="C302" s="311">
        <v>4</v>
      </c>
      <c r="D302" s="244">
        <v>1</v>
      </c>
      <c r="E302" s="244">
        <v>0</v>
      </c>
      <c r="F302" s="244">
        <v>0</v>
      </c>
      <c r="G302" s="244">
        <v>2</v>
      </c>
      <c r="H302" s="244">
        <v>2</v>
      </c>
      <c r="I302" s="244">
        <v>1</v>
      </c>
      <c r="J302" s="244">
        <v>0</v>
      </c>
      <c r="K302" s="276">
        <v>2.4</v>
      </c>
      <c r="L302" s="277">
        <v>47.408099999999997</v>
      </c>
      <c r="M302" s="249"/>
      <c r="N302" s="250"/>
      <c r="O302" s="250"/>
      <c r="P302" s="250"/>
      <c r="Q302" s="250"/>
      <c r="R302" s="250"/>
      <c r="S302" s="266">
        <f t="shared" si="7"/>
        <v>0.38021124171160603</v>
      </c>
    </row>
    <row r="303" spans="1:19">
      <c r="A303" s="243"/>
      <c r="B303" s="244"/>
      <c r="C303" s="311">
        <v>4</v>
      </c>
      <c r="D303" s="244">
        <v>5</v>
      </c>
      <c r="E303" s="244">
        <v>1</v>
      </c>
      <c r="F303" s="244">
        <v>0</v>
      </c>
      <c r="G303" s="244">
        <v>2</v>
      </c>
      <c r="H303" s="244">
        <v>2</v>
      </c>
      <c r="I303" s="244">
        <v>1</v>
      </c>
      <c r="J303" s="244">
        <v>0</v>
      </c>
      <c r="K303" s="276">
        <v>2</v>
      </c>
      <c r="L303" s="277">
        <v>46.624000000000002</v>
      </c>
      <c r="M303" s="249"/>
      <c r="N303" s="250"/>
      <c r="O303" s="250"/>
      <c r="P303" s="250"/>
      <c r="Q303" s="250"/>
      <c r="R303" s="250"/>
      <c r="S303" s="266">
        <f t="shared" si="7"/>
        <v>0.3010299956639812</v>
      </c>
    </row>
    <row r="304" spans="1:19">
      <c r="A304" s="243"/>
      <c r="B304" s="244"/>
      <c r="C304" s="311">
        <v>4</v>
      </c>
      <c r="D304" s="244">
        <v>5</v>
      </c>
      <c r="E304" s="244">
        <v>0</v>
      </c>
      <c r="F304" s="244">
        <v>0</v>
      </c>
      <c r="G304" s="244">
        <v>2</v>
      </c>
      <c r="H304" s="244">
        <v>2</v>
      </c>
      <c r="I304" s="244">
        <v>1</v>
      </c>
      <c r="J304" s="244">
        <v>0</v>
      </c>
      <c r="K304" s="276">
        <v>2</v>
      </c>
      <c r="L304" s="277">
        <v>46.438699999999997</v>
      </c>
      <c r="M304" s="249"/>
      <c r="N304" s="250"/>
      <c r="O304" s="250"/>
      <c r="P304" s="250"/>
      <c r="Q304" s="250"/>
      <c r="R304" s="250"/>
      <c r="S304" s="266">
        <f t="shared" si="7"/>
        <v>0.3010299956639812</v>
      </c>
    </row>
    <row r="305" spans="1:19">
      <c r="A305" s="243"/>
      <c r="B305" s="244"/>
      <c r="C305" s="311">
        <v>4</v>
      </c>
      <c r="D305" s="244">
        <v>6</v>
      </c>
      <c r="E305" s="244">
        <v>0</v>
      </c>
      <c r="F305" s="244">
        <v>0</v>
      </c>
      <c r="G305" s="244">
        <v>2</v>
      </c>
      <c r="H305" s="244">
        <v>2</v>
      </c>
      <c r="I305" s="244">
        <v>1</v>
      </c>
      <c r="J305" s="244">
        <v>0</v>
      </c>
      <c r="K305" s="276">
        <v>2.5</v>
      </c>
      <c r="L305" s="277">
        <v>40.187600000000003</v>
      </c>
      <c r="M305" s="249"/>
      <c r="N305" s="250"/>
      <c r="O305" s="250"/>
      <c r="P305" s="250"/>
      <c r="Q305" s="250"/>
      <c r="R305" s="250"/>
      <c r="S305" s="266">
        <f t="shared" si="7"/>
        <v>0.3979400086720376</v>
      </c>
    </row>
    <row r="306" spans="1:19">
      <c r="A306" s="243"/>
      <c r="B306" s="244"/>
      <c r="C306" s="311">
        <v>4</v>
      </c>
      <c r="D306" s="244">
        <v>5</v>
      </c>
      <c r="E306" s="244">
        <v>1</v>
      </c>
      <c r="F306" s="244">
        <v>0</v>
      </c>
      <c r="G306" s="244">
        <v>2</v>
      </c>
      <c r="H306" s="244">
        <v>2</v>
      </c>
      <c r="I306" s="244">
        <v>1</v>
      </c>
      <c r="J306" s="244">
        <v>0</v>
      </c>
      <c r="K306" s="276">
        <v>2.5</v>
      </c>
      <c r="L306" s="277">
        <v>40.887300000000003</v>
      </c>
      <c r="M306" s="249"/>
      <c r="N306" s="250"/>
      <c r="O306" s="250"/>
      <c r="P306" s="250"/>
      <c r="Q306" s="250"/>
      <c r="R306" s="250"/>
      <c r="S306" s="266">
        <f t="shared" si="7"/>
        <v>0.3979400086720376</v>
      </c>
    </row>
    <row r="307" spans="1:19">
      <c r="A307" s="243"/>
      <c r="B307" s="244"/>
      <c r="C307" s="311">
        <v>6</v>
      </c>
      <c r="D307" s="244">
        <v>6</v>
      </c>
      <c r="E307" s="244">
        <v>0</v>
      </c>
      <c r="F307" s="244">
        <v>0</v>
      </c>
      <c r="G307" s="244">
        <v>2</v>
      </c>
      <c r="H307" s="244">
        <v>2</v>
      </c>
      <c r="I307" s="244">
        <v>1</v>
      </c>
      <c r="J307" s="244">
        <v>0</v>
      </c>
      <c r="K307" s="276">
        <v>3</v>
      </c>
      <c r="L307" s="277">
        <v>35.799999999999997</v>
      </c>
      <c r="M307" s="249"/>
      <c r="N307" s="250"/>
      <c r="O307" s="250"/>
      <c r="P307" s="250"/>
      <c r="Q307" s="250"/>
      <c r="R307" s="250"/>
      <c r="S307" s="266">
        <f t="shared" si="7"/>
        <v>0.47712125471966244</v>
      </c>
    </row>
    <row r="308" spans="1:19">
      <c r="A308" s="243"/>
      <c r="B308" s="244"/>
      <c r="C308" s="311">
        <v>6</v>
      </c>
      <c r="D308" s="244">
        <v>7</v>
      </c>
      <c r="E308" s="244">
        <v>1</v>
      </c>
      <c r="F308" s="244">
        <v>0</v>
      </c>
      <c r="G308" s="244">
        <v>2</v>
      </c>
      <c r="H308" s="244">
        <v>2</v>
      </c>
      <c r="I308" s="244">
        <v>1</v>
      </c>
      <c r="J308" s="244">
        <v>0</v>
      </c>
      <c r="K308" s="276">
        <v>3</v>
      </c>
      <c r="L308" s="277">
        <v>35.731099999999998</v>
      </c>
      <c r="M308" s="249"/>
      <c r="N308" s="250"/>
      <c r="O308" s="250"/>
      <c r="P308" s="250"/>
      <c r="Q308" s="250"/>
      <c r="R308" s="250"/>
      <c r="S308" s="266">
        <f t="shared" si="7"/>
        <v>0.47712125471966244</v>
      </c>
    </row>
    <row r="309" spans="1:19">
      <c r="A309" s="243"/>
      <c r="B309" s="244"/>
      <c r="C309" s="311">
        <v>6</v>
      </c>
      <c r="D309" s="244">
        <v>7</v>
      </c>
      <c r="E309" s="244">
        <v>1</v>
      </c>
      <c r="F309" s="244">
        <v>0</v>
      </c>
      <c r="G309" s="244">
        <v>2</v>
      </c>
      <c r="H309" s="244">
        <v>2</v>
      </c>
      <c r="I309" s="244">
        <v>1</v>
      </c>
      <c r="J309" s="244">
        <v>0</v>
      </c>
      <c r="K309" s="276">
        <v>3.5</v>
      </c>
      <c r="L309" s="277">
        <v>35.9</v>
      </c>
      <c r="M309" s="249"/>
      <c r="N309" s="250"/>
      <c r="O309" s="250"/>
      <c r="P309" s="250"/>
      <c r="Q309" s="250"/>
      <c r="R309" s="250"/>
      <c r="S309" s="266">
        <f t="shared" si="7"/>
        <v>0.54406804435027567</v>
      </c>
    </row>
    <row r="310" spans="1:19">
      <c r="A310" s="243"/>
      <c r="B310" s="244"/>
      <c r="C310" s="311">
        <v>6</v>
      </c>
      <c r="D310" s="244">
        <v>7</v>
      </c>
      <c r="E310" s="244">
        <v>1</v>
      </c>
      <c r="F310" s="244">
        <v>0</v>
      </c>
      <c r="G310" s="244">
        <v>2</v>
      </c>
      <c r="H310" s="244">
        <v>2</v>
      </c>
      <c r="I310" s="244">
        <v>1</v>
      </c>
      <c r="J310" s="244">
        <v>0</v>
      </c>
      <c r="K310" s="276">
        <v>3</v>
      </c>
      <c r="L310" s="277">
        <v>34.9</v>
      </c>
      <c r="M310" s="249"/>
      <c r="N310" s="250"/>
      <c r="O310" s="250"/>
      <c r="P310" s="250"/>
      <c r="Q310" s="250"/>
      <c r="R310" s="250"/>
      <c r="S310" s="266">
        <f t="shared" si="7"/>
        <v>0.47712125471966244</v>
      </c>
    </row>
    <row r="311" spans="1:19">
      <c r="A311" s="243"/>
      <c r="B311" s="244"/>
      <c r="C311" s="311">
        <v>6</v>
      </c>
      <c r="D311" s="244">
        <v>7</v>
      </c>
      <c r="E311" s="244">
        <v>1</v>
      </c>
      <c r="F311" s="244">
        <v>0</v>
      </c>
      <c r="G311" s="244">
        <v>2</v>
      </c>
      <c r="H311" s="244">
        <v>2</v>
      </c>
      <c r="I311" s="244">
        <v>1</v>
      </c>
      <c r="J311" s="244">
        <v>0</v>
      </c>
      <c r="K311" s="276">
        <v>3.5</v>
      </c>
      <c r="L311" s="277">
        <v>33.9</v>
      </c>
      <c r="M311" s="249"/>
      <c r="N311" s="250"/>
      <c r="O311" s="250"/>
      <c r="P311" s="250"/>
      <c r="Q311" s="250"/>
      <c r="R311" s="250"/>
      <c r="S311" s="266">
        <f t="shared" si="7"/>
        <v>0.54406804435027567</v>
      </c>
    </row>
    <row r="312" spans="1:19">
      <c r="A312" s="243"/>
      <c r="B312" s="244"/>
      <c r="C312" s="311">
        <v>6</v>
      </c>
      <c r="D312" s="244">
        <v>7</v>
      </c>
      <c r="E312" s="244">
        <v>1</v>
      </c>
      <c r="F312" s="244">
        <v>0</v>
      </c>
      <c r="G312" s="244">
        <v>2</v>
      </c>
      <c r="H312" s="244">
        <v>2</v>
      </c>
      <c r="I312" s="244">
        <v>1</v>
      </c>
      <c r="J312" s="244">
        <v>0</v>
      </c>
      <c r="K312" s="276">
        <v>3.5</v>
      </c>
      <c r="L312" s="277">
        <v>34.6</v>
      </c>
      <c r="M312" s="249"/>
      <c r="N312" s="250"/>
      <c r="O312" s="250"/>
      <c r="P312" s="250"/>
      <c r="Q312" s="250"/>
      <c r="R312" s="250"/>
      <c r="S312" s="266">
        <f t="shared" si="7"/>
        <v>0.54406804435027567</v>
      </c>
    </row>
    <row r="313" spans="1:19">
      <c r="A313" s="243"/>
      <c r="B313" s="244"/>
      <c r="C313" s="311">
        <v>8</v>
      </c>
      <c r="D313" s="244">
        <v>7</v>
      </c>
      <c r="E313" s="244">
        <v>1</v>
      </c>
      <c r="F313" s="244">
        <v>0</v>
      </c>
      <c r="G313" s="244">
        <v>2</v>
      </c>
      <c r="H313" s="244">
        <v>2</v>
      </c>
      <c r="I313" s="244">
        <v>1</v>
      </c>
      <c r="J313" s="244">
        <v>0</v>
      </c>
      <c r="K313" s="276">
        <v>6.3</v>
      </c>
      <c r="L313" s="277">
        <v>26.6722</v>
      </c>
      <c r="M313" s="249"/>
      <c r="N313" s="250"/>
      <c r="O313" s="250"/>
      <c r="P313" s="250"/>
      <c r="Q313" s="250"/>
      <c r="R313" s="250"/>
      <c r="S313" s="266">
        <f t="shared" si="7"/>
        <v>0.79934054945358168</v>
      </c>
    </row>
    <row r="314" spans="1:19">
      <c r="A314" s="243"/>
      <c r="B314" s="244"/>
      <c r="C314" s="311">
        <v>8</v>
      </c>
      <c r="D314" s="244">
        <v>7</v>
      </c>
      <c r="E314" s="244">
        <v>1</v>
      </c>
      <c r="F314" s="244">
        <v>0</v>
      </c>
      <c r="G314" s="244">
        <v>2</v>
      </c>
      <c r="H314" s="244">
        <v>2</v>
      </c>
      <c r="I314" s="244">
        <v>1</v>
      </c>
      <c r="J314" s="244">
        <v>0</v>
      </c>
      <c r="K314" s="276">
        <v>5.5</v>
      </c>
      <c r="L314" s="277">
        <v>29.2</v>
      </c>
      <c r="M314" s="249"/>
      <c r="N314" s="250"/>
      <c r="O314" s="250"/>
      <c r="P314" s="250"/>
      <c r="Q314" s="250"/>
      <c r="R314" s="250"/>
      <c r="S314" s="266">
        <f t="shared" si="7"/>
        <v>0.74036268949424389</v>
      </c>
    </row>
    <row r="315" spans="1:19">
      <c r="A315" s="243"/>
      <c r="B315" s="244"/>
      <c r="C315" s="311">
        <v>12</v>
      </c>
      <c r="D315" s="244">
        <v>5</v>
      </c>
      <c r="E315" s="244">
        <v>1</v>
      </c>
      <c r="F315" s="244">
        <v>0</v>
      </c>
      <c r="G315" s="244">
        <v>2</v>
      </c>
      <c r="H315" s="244">
        <v>1</v>
      </c>
      <c r="I315" s="244">
        <v>1</v>
      </c>
      <c r="J315" s="244">
        <v>0</v>
      </c>
      <c r="K315" s="276">
        <v>5.5</v>
      </c>
      <c r="L315" s="277">
        <v>23.9</v>
      </c>
      <c r="M315" s="249"/>
      <c r="N315" s="250"/>
      <c r="O315" s="250"/>
      <c r="P315" s="250"/>
      <c r="Q315" s="250"/>
      <c r="R315" s="250"/>
      <c r="S315" s="266">
        <f t="shared" si="7"/>
        <v>0.74036268949424389</v>
      </c>
    </row>
    <row r="316" spans="1:19">
      <c r="A316" s="243"/>
      <c r="B316" s="244"/>
      <c r="C316" s="311">
        <v>8</v>
      </c>
      <c r="D316" s="244">
        <v>7</v>
      </c>
      <c r="E316" s="244">
        <v>1</v>
      </c>
      <c r="F316" s="244">
        <v>0</v>
      </c>
      <c r="G316" s="244">
        <v>2</v>
      </c>
      <c r="H316" s="244">
        <v>2</v>
      </c>
      <c r="I316" s="244">
        <v>1</v>
      </c>
      <c r="J316" s="244">
        <v>0</v>
      </c>
      <c r="K316" s="276">
        <v>6.3</v>
      </c>
      <c r="L316" s="277">
        <v>24.7</v>
      </c>
      <c r="M316" s="249"/>
      <c r="N316" s="250"/>
      <c r="O316" s="250"/>
      <c r="P316" s="250"/>
      <c r="Q316" s="250"/>
      <c r="R316" s="250"/>
      <c r="S316" s="266">
        <f t="shared" si="7"/>
        <v>0.79934054945358168</v>
      </c>
    </row>
    <row r="317" spans="1:19">
      <c r="A317" s="243"/>
      <c r="B317" s="244"/>
      <c r="C317" s="311">
        <v>12</v>
      </c>
      <c r="D317" s="244">
        <v>5</v>
      </c>
      <c r="E317" s="244">
        <v>1</v>
      </c>
      <c r="F317" s="244">
        <v>0</v>
      </c>
      <c r="G317" s="244">
        <v>2</v>
      </c>
      <c r="H317" s="244">
        <v>1</v>
      </c>
      <c r="I317" s="244">
        <v>1</v>
      </c>
      <c r="J317" s="244">
        <v>0</v>
      </c>
      <c r="K317" s="276">
        <v>6</v>
      </c>
      <c r="L317" s="277">
        <v>23.4</v>
      </c>
      <c r="M317" s="249"/>
      <c r="N317" s="250"/>
      <c r="O317" s="250"/>
      <c r="P317" s="250"/>
      <c r="Q317" s="250"/>
      <c r="R317" s="250"/>
      <c r="S317" s="266">
        <f t="shared" si="7"/>
        <v>0.77815125038364363</v>
      </c>
    </row>
    <row r="318" spans="1:19">
      <c r="A318" s="243"/>
      <c r="B318" s="244"/>
      <c r="C318" s="311">
        <v>8</v>
      </c>
      <c r="D318" s="244">
        <v>7</v>
      </c>
      <c r="E318" s="244">
        <v>1</v>
      </c>
      <c r="F318" s="244">
        <v>0</v>
      </c>
      <c r="G318" s="244">
        <v>2</v>
      </c>
      <c r="H318" s="244">
        <v>2</v>
      </c>
      <c r="I318" s="244">
        <v>1</v>
      </c>
      <c r="J318" s="244">
        <v>0</v>
      </c>
      <c r="K318" s="276">
        <v>5.5</v>
      </c>
      <c r="L318" s="277">
        <v>29</v>
      </c>
      <c r="M318" s="249"/>
      <c r="N318" s="250"/>
      <c r="O318" s="250"/>
      <c r="P318" s="250"/>
      <c r="Q318" s="250"/>
      <c r="R318" s="250"/>
      <c r="S318" s="266">
        <f t="shared" si="7"/>
        <v>0.74036268949424389</v>
      </c>
    </row>
    <row r="319" spans="1:19">
      <c r="A319" s="243"/>
      <c r="B319" s="244"/>
      <c r="C319" s="311">
        <v>8</v>
      </c>
      <c r="D319" s="244">
        <v>7</v>
      </c>
      <c r="E319" s="244">
        <v>1</v>
      </c>
      <c r="F319" s="244">
        <v>0</v>
      </c>
      <c r="G319" s="244">
        <v>2</v>
      </c>
      <c r="H319" s="244">
        <v>2</v>
      </c>
      <c r="I319" s="244">
        <v>1</v>
      </c>
      <c r="J319" s="244">
        <v>0</v>
      </c>
      <c r="K319" s="276">
        <v>6.3</v>
      </c>
      <c r="L319" s="277">
        <v>24.8202</v>
      </c>
      <c r="M319" s="249"/>
      <c r="N319" s="250"/>
      <c r="O319" s="250"/>
      <c r="P319" s="250"/>
      <c r="Q319" s="250"/>
      <c r="R319" s="250"/>
      <c r="S319" s="266">
        <f t="shared" si="7"/>
        <v>0.79934054945358168</v>
      </c>
    </row>
    <row r="320" spans="1:19">
      <c r="A320" s="243"/>
      <c r="B320" s="244"/>
      <c r="C320" s="311">
        <v>4</v>
      </c>
      <c r="D320" s="244">
        <v>5</v>
      </c>
      <c r="E320" s="244">
        <v>0</v>
      </c>
      <c r="F320" s="244">
        <v>0</v>
      </c>
      <c r="G320" s="244">
        <v>2</v>
      </c>
      <c r="H320" s="244">
        <v>2</v>
      </c>
      <c r="I320" s="244">
        <v>1</v>
      </c>
      <c r="J320" s="244">
        <v>0</v>
      </c>
      <c r="K320" s="276">
        <v>2</v>
      </c>
      <c r="L320" s="277">
        <v>42.936300000000003</v>
      </c>
      <c r="M320" s="249"/>
      <c r="N320" s="250"/>
      <c r="O320" s="250"/>
      <c r="P320" s="250"/>
      <c r="Q320" s="250"/>
      <c r="R320" s="250"/>
      <c r="S320" s="266">
        <f t="shared" si="7"/>
        <v>0.3010299956639812</v>
      </c>
    </row>
    <row r="321" spans="1:19">
      <c r="A321" s="243"/>
      <c r="B321" s="244"/>
      <c r="C321" s="311">
        <v>4</v>
      </c>
      <c r="D321" s="244">
        <v>1</v>
      </c>
      <c r="E321" s="244">
        <v>0</v>
      </c>
      <c r="F321" s="244">
        <v>0</v>
      </c>
      <c r="G321" s="244">
        <v>2</v>
      </c>
      <c r="H321" s="244">
        <v>2</v>
      </c>
      <c r="I321" s="244">
        <v>1</v>
      </c>
      <c r="J321" s="244">
        <v>0</v>
      </c>
      <c r="K321" s="276">
        <v>2</v>
      </c>
      <c r="L321" s="277">
        <v>42.457900000000002</v>
      </c>
      <c r="M321" s="249"/>
      <c r="N321" s="250"/>
      <c r="O321" s="250"/>
      <c r="P321" s="250"/>
      <c r="Q321" s="250"/>
      <c r="R321" s="250"/>
      <c r="S321" s="266">
        <f t="shared" si="7"/>
        <v>0.3010299956639812</v>
      </c>
    </row>
    <row r="322" spans="1:19">
      <c r="A322" s="243"/>
      <c r="B322" s="244"/>
      <c r="C322" s="311">
        <v>4</v>
      </c>
      <c r="D322" s="244">
        <v>6</v>
      </c>
      <c r="E322" s="244">
        <v>1</v>
      </c>
      <c r="F322" s="244">
        <v>0</v>
      </c>
      <c r="G322" s="244">
        <v>2</v>
      </c>
      <c r="H322" s="244">
        <v>2</v>
      </c>
      <c r="I322" s="244">
        <v>1</v>
      </c>
      <c r="J322" s="244">
        <v>0</v>
      </c>
      <c r="K322" s="276">
        <v>2</v>
      </c>
      <c r="L322" s="277">
        <v>34.9</v>
      </c>
      <c r="M322" s="249"/>
      <c r="N322" s="250"/>
      <c r="O322" s="250"/>
      <c r="P322" s="250"/>
      <c r="Q322" s="250"/>
      <c r="R322" s="250"/>
      <c r="S322" s="266">
        <f t="shared" si="7"/>
        <v>0.3010299956639812</v>
      </c>
    </row>
    <row r="323" spans="1:19">
      <c r="A323" s="243"/>
      <c r="B323" s="244"/>
      <c r="C323" s="311">
        <v>4</v>
      </c>
      <c r="D323" s="244">
        <v>5</v>
      </c>
      <c r="E323" s="244">
        <v>0</v>
      </c>
      <c r="F323" s="244">
        <v>0</v>
      </c>
      <c r="G323" s="244">
        <v>2</v>
      </c>
      <c r="H323" s="244">
        <v>2</v>
      </c>
      <c r="I323" s="244">
        <v>1</v>
      </c>
      <c r="J323" s="244">
        <v>0</v>
      </c>
      <c r="K323" s="276">
        <v>2.4</v>
      </c>
      <c r="L323" s="277">
        <v>38.876899999999999</v>
      </c>
      <c r="M323" s="249"/>
      <c r="N323" s="250"/>
      <c r="O323" s="250"/>
      <c r="P323" s="250"/>
      <c r="Q323" s="250"/>
      <c r="R323" s="250"/>
      <c r="S323" s="266">
        <f t="shared" si="7"/>
        <v>0.38021124171160603</v>
      </c>
    </row>
    <row r="324" spans="1:19">
      <c r="A324" s="243"/>
      <c r="B324" s="244"/>
      <c r="C324" s="311">
        <v>4</v>
      </c>
      <c r="D324" s="244">
        <v>1</v>
      </c>
      <c r="E324" s="244">
        <v>0</v>
      </c>
      <c r="F324" s="244">
        <v>0</v>
      </c>
      <c r="G324" s="244">
        <v>2</v>
      </c>
      <c r="H324" s="244">
        <v>2</v>
      </c>
      <c r="I324" s="244">
        <v>1</v>
      </c>
      <c r="J324" s="244">
        <v>0</v>
      </c>
      <c r="K324" s="276">
        <v>2.4</v>
      </c>
      <c r="L324" s="277">
        <v>40.370600000000003</v>
      </c>
      <c r="M324" s="249"/>
      <c r="N324" s="250"/>
      <c r="O324" s="250"/>
      <c r="P324" s="250"/>
      <c r="Q324" s="250"/>
      <c r="R324" s="250"/>
      <c r="S324" s="266">
        <f t="shared" si="7"/>
        <v>0.38021124171160603</v>
      </c>
    </row>
    <row r="325" spans="1:19">
      <c r="A325" s="243"/>
      <c r="B325" s="244"/>
      <c r="C325" s="311">
        <v>4</v>
      </c>
      <c r="D325" s="244">
        <v>5</v>
      </c>
      <c r="E325" s="244">
        <v>0</v>
      </c>
      <c r="F325" s="244">
        <v>0</v>
      </c>
      <c r="G325" s="244">
        <v>2</v>
      </c>
      <c r="H325" s="244">
        <v>2</v>
      </c>
      <c r="I325" s="244">
        <v>1</v>
      </c>
      <c r="J325" s="244">
        <v>0</v>
      </c>
      <c r="K325" s="276">
        <v>2</v>
      </c>
      <c r="L325" s="277">
        <v>30.6</v>
      </c>
      <c r="M325" s="249"/>
      <c r="N325" s="250"/>
      <c r="O325" s="250"/>
      <c r="P325" s="250"/>
      <c r="Q325" s="250"/>
      <c r="R325" s="250"/>
      <c r="S325" s="266">
        <f t="shared" si="7"/>
        <v>0.3010299956639812</v>
      </c>
    </row>
    <row r="326" spans="1:19">
      <c r="A326" s="243"/>
      <c r="B326" s="244"/>
      <c r="C326" s="311">
        <v>4</v>
      </c>
      <c r="D326" s="244">
        <v>6</v>
      </c>
      <c r="E326" s="244">
        <v>1</v>
      </c>
      <c r="F326" s="244">
        <v>0</v>
      </c>
      <c r="G326" s="244">
        <v>2</v>
      </c>
      <c r="H326" s="244">
        <v>2</v>
      </c>
      <c r="I326" s="244">
        <v>1</v>
      </c>
      <c r="J326" s="244">
        <v>0</v>
      </c>
      <c r="K326" s="276">
        <v>2</v>
      </c>
      <c r="L326" s="277">
        <v>31.1</v>
      </c>
      <c r="M326" s="249"/>
      <c r="N326" s="250"/>
      <c r="O326" s="250"/>
      <c r="P326" s="250"/>
      <c r="Q326" s="250"/>
      <c r="R326" s="250"/>
      <c r="S326" s="266">
        <f t="shared" si="7"/>
        <v>0.3010299956639812</v>
      </c>
    </row>
    <row r="327" spans="1:19">
      <c r="A327" s="243"/>
      <c r="B327" s="244"/>
      <c r="C327" s="311">
        <v>4</v>
      </c>
      <c r="D327" s="244">
        <v>4</v>
      </c>
      <c r="E327" s="244">
        <v>1</v>
      </c>
      <c r="F327" s="244">
        <v>0</v>
      </c>
      <c r="G327" s="244">
        <v>2</v>
      </c>
      <c r="H327" s="244">
        <v>2</v>
      </c>
      <c r="I327" s="244">
        <v>1</v>
      </c>
      <c r="J327" s="244">
        <v>0</v>
      </c>
      <c r="K327" s="276">
        <v>1.6</v>
      </c>
      <c r="L327" s="277">
        <v>47.9</v>
      </c>
      <c r="M327" s="249"/>
      <c r="N327" s="250"/>
      <c r="O327" s="250"/>
      <c r="P327" s="250"/>
      <c r="Q327" s="250"/>
      <c r="R327" s="250"/>
      <c r="S327" s="266">
        <f t="shared" si="7"/>
        <v>0.20411998265592479</v>
      </c>
    </row>
    <row r="328" spans="1:19">
      <c r="A328" s="243"/>
      <c r="B328" s="244"/>
      <c r="C328" s="311">
        <v>4</v>
      </c>
      <c r="D328" s="244">
        <v>5</v>
      </c>
      <c r="E328" s="244">
        <v>0</v>
      </c>
      <c r="F328" s="244">
        <v>0</v>
      </c>
      <c r="G328" s="244">
        <v>2</v>
      </c>
      <c r="H328" s="244">
        <v>2</v>
      </c>
      <c r="I328" s="244">
        <v>1</v>
      </c>
      <c r="J328" s="244">
        <v>0</v>
      </c>
      <c r="K328" s="276">
        <v>1.6</v>
      </c>
      <c r="L328" s="277">
        <v>48.9</v>
      </c>
      <c r="M328" s="249"/>
      <c r="N328" s="250"/>
      <c r="O328" s="250"/>
      <c r="P328" s="250"/>
      <c r="Q328" s="250"/>
      <c r="R328" s="250"/>
      <c r="S328" s="266">
        <f t="shared" si="7"/>
        <v>0.20411998265592479</v>
      </c>
    </row>
    <row r="329" spans="1:19">
      <c r="A329" s="243"/>
      <c r="B329" s="244"/>
      <c r="C329" s="311">
        <v>4</v>
      </c>
      <c r="D329" s="244">
        <v>4</v>
      </c>
      <c r="E329" s="244">
        <v>1</v>
      </c>
      <c r="F329" s="244">
        <v>0</v>
      </c>
      <c r="G329" s="244">
        <v>2</v>
      </c>
      <c r="H329" s="244">
        <v>2</v>
      </c>
      <c r="I329" s="244">
        <v>1</v>
      </c>
      <c r="J329" s="244">
        <v>0</v>
      </c>
      <c r="K329" s="276">
        <v>2.4</v>
      </c>
      <c r="L329" s="277">
        <v>42.8</v>
      </c>
      <c r="M329" s="249"/>
      <c r="N329" s="250"/>
      <c r="O329" s="250"/>
      <c r="P329" s="250"/>
      <c r="Q329" s="250"/>
      <c r="R329" s="250"/>
      <c r="S329" s="266">
        <f t="shared" si="7"/>
        <v>0.38021124171160603</v>
      </c>
    </row>
    <row r="330" spans="1:19">
      <c r="A330" s="243"/>
      <c r="B330" s="244"/>
      <c r="C330" s="311">
        <v>4</v>
      </c>
      <c r="D330" s="244">
        <v>6</v>
      </c>
      <c r="E330" s="244">
        <v>1</v>
      </c>
      <c r="F330" s="244">
        <v>0</v>
      </c>
      <c r="G330" s="244">
        <v>2</v>
      </c>
      <c r="H330" s="244">
        <v>2</v>
      </c>
      <c r="I330" s="244">
        <v>1</v>
      </c>
      <c r="J330" s="244">
        <v>0</v>
      </c>
      <c r="K330" s="276">
        <v>2.4</v>
      </c>
      <c r="L330" s="277">
        <v>46.9</v>
      </c>
      <c r="M330" s="249"/>
      <c r="N330" s="250"/>
      <c r="O330" s="250"/>
      <c r="P330" s="250"/>
      <c r="Q330" s="250"/>
      <c r="R330" s="250"/>
      <c r="S330" s="266">
        <f t="shared" si="7"/>
        <v>0.38021124171160603</v>
      </c>
    </row>
    <row r="331" spans="1:19">
      <c r="A331" s="243"/>
      <c r="B331" s="244"/>
      <c r="C331" s="311">
        <v>4</v>
      </c>
      <c r="D331" s="244">
        <v>4</v>
      </c>
      <c r="E331" s="244">
        <v>1</v>
      </c>
      <c r="F331" s="244">
        <v>0</v>
      </c>
      <c r="G331" s="244">
        <v>2</v>
      </c>
      <c r="H331" s="244">
        <v>2</v>
      </c>
      <c r="I331" s="244">
        <v>1</v>
      </c>
      <c r="J331" s="244">
        <v>0</v>
      </c>
      <c r="K331" s="276">
        <v>2.4</v>
      </c>
      <c r="L331" s="277">
        <v>42.6</v>
      </c>
      <c r="M331" s="249"/>
      <c r="N331" s="250"/>
      <c r="O331" s="250"/>
      <c r="P331" s="250"/>
      <c r="Q331" s="250"/>
      <c r="R331" s="250"/>
      <c r="S331" s="266">
        <f t="shared" ref="S331:S394" si="8">LOG10(K331)</f>
        <v>0.38021124171160603</v>
      </c>
    </row>
    <row r="332" spans="1:19">
      <c r="A332" s="243"/>
      <c r="B332" s="244"/>
      <c r="C332" s="311">
        <v>4</v>
      </c>
      <c r="D332" s="244">
        <v>6</v>
      </c>
      <c r="E332" s="244">
        <v>1</v>
      </c>
      <c r="F332" s="244">
        <v>0</v>
      </c>
      <c r="G332" s="244">
        <v>2</v>
      </c>
      <c r="H332" s="244">
        <v>2</v>
      </c>
      <c r="I332" s="244">
        <v>1</v>
      </c>
      <c r="J332" s="244">
        <v>0</v>
      </c>
      <c r="K332" s="276">
        <v>2.4</v>
      </c>
      <c r="L332" s="277">
        <v>46.8</v>
      </c>
      <c r="M332" s="249"/>
      <c r="N332" s="250"/>
      <c r="O332" s="250"/>
      <c r="P332" s="250"/>
      <c r="Q332" s="250"/>
      <c r="R332" s="250"/>
      <c r="S332" s="266">
        <f t="shared" si="8"/>
        <v>0.38021124171160603</v>
      </c>
    </row>
    <row r="333" spans="1:19">
      <c r="A333" s="243"/>
      <c r="B333" s="244"/>
      <c r="C333" s="311">
        <v>6</v>
      </c>
      <c r="D333" s="244">
        <v>4</v>
      </c>
      <c r="E333" s="244">
        <v>1</v>
      </c>
      <c r="F333" s="244">
        <v>0</v>
      </c>
      <c r="G333" s="244">
        <v>1</v>
      </c>
      <c r="H333" s="244">
        <v>1</v>
      </c>
      <c r="I333" s="244">
        <v>1</v>
      </c>
      <c r="J333" s="244">
        <v>0</v>
      </c>
      <c r="K333" s="276">
        <v>3.5</v>
      </c>
      <c r="L333" s="277">
        <v>40.299999999999997</v>
      </c>
      <c r="M333" s="249"/>
      <c r="N333" s="250"/>
      <c r="O333" s="250"/>
      <c r="P333" s="250"/>
      <c r="Q333" s="250"/>
      <c r="R333" s="250"/>
      <c r="S333" s="266">
        <f t="shared" si="8"/>
        <v>0.54406804435027567</v>
      </c>
    </row>
    <row r="334" spans="1:19">
      <c r="A334" s="243"/>
      <c r="B334" s="244"/>
      <c r="C334" s="311">
        <v>6</v>
      </c>
      <c r="D334" s="244">
        <v>4</v>
      </c>
      <c r="E334" s="244">
        <v>1</v>
      </c>
      <c r="F334" s="244">
        <v>0</v>
      </c>
      <c r="G334" s="244">
        <v>1</v>
      </c>
      <c r="H334" s="244">
        <v>1</v>
      </c>
      <c r="I334" s="244">
        <v>1</v>
      </c>
      <c r="J334" s="244">
        <v>0</v>
      </c>
      <c r="K334" s="276">
        <v>3.5</v>
      </c>
      <c r="L334" s="277">
        <v>41.2</v>
      </c>
      <c r="M334" s="249"/>
      <c r="N334" s="250"/>
      <c r="O334" s="250"/>
      <c r="P334" s="250"/>
      <c r="Q334" s="250"/>
      <c r="R334" s="250"/>
      <c r="S334" s="266">
        <f t="shared" si="8"/>
        <v>0.54406804435027567</v>
      </c>
    </row>
    <row r="335" spans="1:19">
      <c r="A335" s="243"/>
      <c r="B335" s="244"/>
      <c r="C335" s="311">
        <v>6</v>
      </c>
      <c r="D335" s="244">
        <v>6</v>
      </c>
      <c r="E335" s="244">
        <v>1</v>
      </c>
      <c r="F335" s="244">
        <v>0</v>
      </c>
      <c r="G335" s="244">
        <v>2</v>
      </c>
      <c r="H335" s="244">
        <v>2</v>
      </c>
      <c r="I335" s="244">
        <v>1</v>
      </c>
      <c r="J335" s="244">
        <v>0</v>
      </c>
      <c r="K335" s="276">
        <v>3.6</v>
      </c>
      <c r="L335" s="277">
        <v>35.6</v>
      </c>
      <c r="M335" s="249"/>
      <c r="N335" s="250"/>
      <c r="O335" s="250"/>
      <c r="P335" s="250"/>
      <c r="Q335" s="250"/>
      <c r="R335" s="250"/>
      <c r="S335" s="266">
        <f t="shared" si="8"/>
        <v>0.55630250076728727</v>
      </c>
    </row>
    <row r="336" spans="1:19">
      <c r="A336" s="243"/>
      <c r="B336" s="244"/>
      <c r="C336" s="311">
        <v>6</v>
      </c>
      <c r="D336" s="244">
        <v>4</v>
      </c>
      <c r="E336" s="244">
        <v>1</v>
      </c>
      <c r="F336" s="244">
        <v>0</v>
      </c>
      <c r="G336" s="244">
        <v>2</v>
      </c>
      <c r="H336" s="244">
        <v>2</v>
      </c>
      <c r="I336" s="244">
        <v>1</v>
      </c>
      <c r="J336" s="244">
        <v>0</v>
      </c>
      <c r="K336" s="276">
        <v>3.6</v>
      </c>
      <c r="L336" s="277">
        <v>31</v>
      </c>
      <c r="M336" s="249"/>
      <c r="N336" s="250"/>
      <c r="O336" s="250"/>
      <c r="P336" s="250"/>
      <c r="Q336" s="250"/>
      <c r="R336" s="250"/>
      <c r="S336" s="266">
        <f t="shared" si="8"/>
        <v>0.55630250076728727</v>
      </c>
    </row>
    <row r="337" spans="1:19">
      <c r="A337" s="243"/>
      <c r="B337" s="244"/>
      <c r="C337" s="311">
        <v>12</v>
      </c>
      <c r="D337" s="244">
        <v>6</v>
      </c>
      <c r="E337" s="244">
        <v>1</v>
      </c>
      <c r="F337" s="244">
        <v>0</v>
      </c>
      <c r="G337" s="244">
        <v>2</v>
      </c>
      <c r="H337" s="244">
        <v>2</v>
      </c>
      <c r="I337" s="244">
        <v>1</v>
      </c>
      <c r="J337" s="244">
        <v>0</v>
      </c>
      <c r="K337" s="276">
        <v>6.7</v>
      </c>
      <c r="L337" s="277">
        <v>24.2</v>
      </c>
      <c r="M337" s="249"/>
      <c r="N337" s="250"/>
      <c r="O337" s="250"/>
      <c r="P337" s="250"/>
      <c r="Q337" s="250"/>
      <c r="R337" s="250"/>
      <c r="S337" s="266">
        <f t="shared" si="8"/>
        <v>0.82607480270082645</v>
      </c>
    </row>
    <row r="338" spans="1:19">
      <c r="A338" s="243"/>
      <c r="B338" s="244"/>
      <c r="C338" s="311">
        <v>12</v>
      </c>
      <c r="D338" s="244">
        <v>6</v>
      </c>
      <c r="E338" s="244">
        <v>1</v>
      </c>
      <c r="F338" s="244">
        <v>0</v>
      </c>
      <c r="G338" s="244">
        <v>2</v>
      </c>
      <c r="H338" s="244">
        <v>2</v>
      </c>
      <c r="I338" s="244">
        <v>1</v>
      </c>
      <c r="J338" s="244">
        <v>0</v>
      </c>
      <c r="K338" s="276">
        <v>6.7</v>
      </c>
      <c r="L338" s="277">
        <v>24.2</v>
      </c>
      <c r="M338" s="249"/>
      <c r="N338" s="250"/>
      <c r="O338" s="250"/>
      <c r="P338" s="250"/>
      <c r="Q338" s="250"/>
      <c r="R338" s="250"/>
      <c r="S338" s="266">
        <f t="shared" si="8"/>
        <v>0.82607480270082645</v>
      </c>
    </row>
    <row r="339" spans="1:19">
      <c r="A339" s="243"/>
      <c r="B339" s="244"/>
      <c r="C339" s="311">
        <v>4</v>
      </c>
      <c r="D339" s="244">
        <v>5</v>
      </c>
      <c r="E339" s="244">
        <v>1</v>
      </c>
      <c r="F339" s="244">
        <v>0</v>
      </c>
      <c r="G339" s="244">
        <v>2</v>
      </c>
      <c r="H339" s="244">
        <v>2</v>
      </c>
      <c r="I339" s="244">
        <v>0</v>
      </c>
      <c r="J339" s="244">
        <v>0</v>
      </c>
      <c r="K339" s="276">
        <v>2</v>
      </c>
      <c r="L339" s="277">
        <v>37.1</v>
      </c>
      <c r="M339" s="249"/>
      <c r="N339" s="250"/>
      <c r="O339" s="250"/>
      <c r="P339" s="250"/>
      <c r="Q339" s="250"/>
      <c r="R339" s="250"/>
      <c r="S339" s="266">
        <f t="shared" si="8"/>
        <v>0.3010299956639812</v>
      </c>
    </row>
    <row r="340" spans="1:19">
      <c r="A340" s="243"/>
      <c r="B340" s="244"/>
      <c r="C340" s="311">
        <v>4</v>
      </c>
      <c r="D340" s="244">
        <v>6</v>
      </c>
      <c r="E340" s="244">
        <v>0</v>
      </c>
      <c r="F340" s="244">
        <v>0</v>
      </c>
      <c r="G340" s="244">
        <v>2</v>
      </c>
      <c r="H340" s="244">
        <v>2</v>
      </c>
      <c r="I340" s="244">
        <v>0</v>
      </c>
      <c r="J340" s="244">
        <v>0</v>
      </c>
      <c r="K340" s="276">
        <v>2</v>
      </c>
      <c r="L340" s="277">
        <v>41.113199999999999</v>
      </c>
      <c r="M340" s="249"/>
      <c r="N340" s="250"/>
      <c r="O340" s="250"/>
      <c r="P340" s="250"/>
      <c r="Q340" s="250"/>
      <c r="R340" s="250"/>
      <c r="S340" s="266">
        <f t="shared" si="8"/>
        <v>0.3010299956639812</v>
      </c>
    </row>
    <row r="341" spans="1:19">
      <c r="A341" s="243"/>
      <c r="B341" s="244"/>
      <c r="C341" s="311">
        <v>4</v>
      </c>
      <c r="D341" s="244">
        <v>6</v>
      </c>
      <c r="E341" s="244">
        <v>1</v>
      </c>
      <c r="F341" s="244">
        <v>0</v>
      </c>
      <c r="G341" s="244">
        <v>2</v>
      </c>
      <c r="H341" s="244">
        <v>2</v>
      </c>
      <c r="I341" s="244">
        <v>0</v>
      </c>
      <c r="J341" s="244">
        <v>0</v>
      </c>
      <c r="K341" s="276">
        <v>2</v>
      </c>
      <c r="L341" s="277">
        <v>38.462699999999998</v>
      </c>
      <c r="M341" s="249"/>
      <c r="N341" s="250"/>
      <c r="O341" s="250"/>
      <c r="P341" s="250"/>
      <c r="Q341" s="250"/>
      <c r="R341" s="250"/>
      <c r="S341" s="266">
        <f t="shared" si="8"/>
        <v>0.3010299956639812</v>
      </c>
    </row>
    <row r="342" spans="1:19">
      <c r="A342" s="243"/>
      <c r="B342" s="244"/>
      <c r="C342" s="311">
        <v>4</v>
      </c>
      <c r="D342" s="244">
        <v>6</v>
      </c>
      <c r="E342" s="244">
        <v>0</v>
      </c>
      <c r="F342" s="244">
        <v>0</v>
      </c>
      <c r="G342" s="244">
        <v>2</v>
      </c>
      <c r="H342" s="244">
        <v>2</v>
      </c>
      <c r="I342" s="244">
        <v>0</v>
      </c>
      <c r="J342" s="244">
        <v>0</v>
      </c>
      <c r="K342" s="276">
        <v>2</v>
      </c>
      <c r="L342" s="277">
        <v>43.1</v>
      </c>
      <c r="M342" s="249"/>
      <c r="N342" s="250"/>
      <c r="O342" s="250"/>
      <c r="P342" s="250"/>
      <c r="Q342" s="250"/>
      <c r="R342" s="250"/>
      <c r="S342" s="266">
        <f t="shared" si="8"/>
        <v>0.3010299956639812</v>
      </c>
    </row>
    <row r="343" spans="1:19">
      <c r="A343" s="243"/>
      <c r="B343" s="244"/>
      <c r="C343" s="311">
        <v>4</v>
      </c>
      <c r="D343" s="244">
        <v>5</v>
      </c>
      <c r="E343" s="244">
        <v>1</v>
      </c>
      <c r="F343" s="244">
        <v>0</v>
      </c>
      <c r="G343" s="244">
        <v>2</v>
      </c>
      <c r="H343" s="244">
        <v>2</v>
      </c>
      <c r="I343" s="244">
        <v>0</v>
      </c>
      <c r="J343" s="244">
        <v>0</v>
      </c>
      <c r="K343" s="276">
        <v>2</v>
      </c>
      <c r="L343" s="277">
        <v>38.499699999999997</v>
      </c>
      <c r="M343" s="249"/>
      <c r="N343" s="250"/>
      <c r="O343" s="250"/>
      <c r="P343" s="250"/>
      <c r="Q343" s="250"/>
      <c r="R343" s="250"/>
      <c r="S343" s="266">
        <f t="shared" si="8"/>
        <v>0.3010299956639812</v>
      </c>
    </row>
    <row r="344" spans="1:19">
      <c r="A344" s="243"/>
      <c r="B344" s="244"/>
      <c r="C344" s="311">
        <v>4</v>
      </c>
      <c r="D344" s="244">
        <v>5</v>
      </c>
      <c r="E344" s="244">
        <v>0</v>
      </c>
      <c r="F344" s="244">
        <v>0</v>
      </c>
      <c r="G344" s="244">
        <v>2</v>
      </c>
      <c r="H344" s="244">
        <v>2</v>
      </c>
      <c r="I344" s="244">
        <v>0</v>
      </c>
      <c r="J344" s="244">
        <v>1</v>
      </c>
      <c r="K344" s="276">
        <v>2.5</v>
      </c>
      <c r="L344" s="277">
        <v>37.070999999999998</v>
      </c>
      <c r="M344" s="249"/>
      <c r="N344" s="250"/>
      <c r="O344" s="250"/>
      <c r="P344" s="250"/>
      <c r="Q344" s="250"/>
      <c r="R344" s="250"/>
      <c r="S344" s="266">
        <f t="shared" si="8"/>
        <v>0.3979400086720376</v>
      </c>
    </row>
    <row r="345" spans="1:19">
      <c r="A345" s="243"/>
      <c r="B345" s="244"/>
      <c r="C345" s="311">
        <v>4</v>
      </c>
      <c r="D345" s="244">
        <v>4</v>
      </c>
      <c r="E345" s="244">
        <v>1</v>
      </c>
      <c r="F345" s="244">
        <v>0</v>
      </c>
      <c r="G345" s="244">
        <v>2</v>
      </c>
      <c r="H345" s="244">
        <v>2</v>
      </c>
      <c r="I345" s="244">
        <v>0</v>
      </c>
      <c r="J345" s="244">
        <v>1</v>
      </c>
      <c r="K345" s="276">
        <v>2.5</v>
      </c>
      <c r="L345" s="277">
        <v>35.922600000000003</v>
      </c>
      <c r="M345" s="249"/>
      <c r="N345" s="250"/>
      <c r="O345" s="250"/>
      <c r="P345" s="250"/>
      <c r="Q345" s="250"/>
      <c r="R345" s="250"/>
      <c r="S345" s="266">
        <f t="shared" si="8"/>
        <v>0.3979400086720376</v>
      </c>
    </row>
    <row r="346" spans="1:19">
      <c r="A346" s="243"/>
      <c r="B346" s="244"/>
      <c r="C346" s="311">
        <v>4</v>
      </c>
      <c r="D346" s="244">
        <v>5</v>
      </c>
      <c r="E346" s="244">
        <v>0</v>
      </c>
      <c r="F346" s="244">
        <v>0</v>
      </c>
      <c r="G346" s="244">
        <v>2</v>
      </c>
      <c r="H346" s="244">
        <v>2</v>
      </c>
      <c r="I346" s="244">
        <v>1</v>
      </c>
      <c r="J346" s="244">
        <v>0</v>
      </c>
      <c r="K346" s="276">
        <v>2.5</v>
      </c>
      <c r="L346" s="277">
        <v>34.143500000000003</v>
      </c>
      <c r="M346" s="249"/>
      <c r="N346" s="250"/>
      <c r="O346" s="250"/>
      <c r="P346" s="250"/>
      <c r="Q346" s="250"/>
      <c r="R346" s="250"/>
      <c r="S346" s="266">
        <f t="shared" si="8"/>
        <v>0.3979400086720376</v>
      </c>
    </row>
    <row r="347" spans="1:19">
      <c r="A347" s="243"/>
      <c r="B347" s="244"/>
      <c r="C347" s="311">
        <v>4</v>
      </c>
      <c r="D347" s="244">
        <v>4</v>
      </c>
      <c r="E347" s="244">
        <v>1</v>
      </c>
      <c r="F347" s="244">
        <v>0</v>
      </c>
      <c r="G347" s="244">
        <v>2</v>
      </c>
      <c r="H347" s="244">
        <v>2</v>
      </c>
      <c r="I347" s="244">
        <v>1</v>
      </c>
      <c r="J347" s="244">
        <v>0</v>
      </c>
      <c r="K347" s="276">
        <v>2.5</v>
      </c>
      <c r="L347" s="277">
        <v>32.910299999999999</v>
      </c>
      <c r="M347" s="249"/>
      <c r="N347" s="250"/>
      <c r="O347" s="250"/>
      <c r="P347" s="250"/>
      <c r="Q347" s="250"/>
      <c r="R347" s="250"/>
      <c r="S347" s="266">
        <f t="shared" si="8"/>
        <v>0.3979400086720376</v>
      </c>
    </row>
    <row r="348" spans="1:19">
      <c r="A348" s="243"/>
      <c r="B348" s="244"/>
      <c r="C348" s="311">
        <v>4</v>
      </c>
      <c r="D348" s="244">
        <v>1</v>
      </c>
      <c r="E348" s="244">
        <v>0</v>
      </c>
      <c r="F348" s="244">
        <v>0</v>
      </c>
      <c r="G348" s="244">
        <v>2</v>
      </c>
      <c r="H348" s="244">
        <v>2</v>
      </c>
      <c r="I348" s="244">
        <v>1</v>
      </c>
      <c r="J348" s="244">
        <v>0</v>
      </c>
      <c r="K348" s="276">
        <v>2.4</v>
      </c>
      <c r="L348" s="277">
        <v>42.3947</v>
      </c>
      <c r="M348" s="249"/>
      <c r="N348" s="250"/>
      <c r="O348" s="250"/>
      <c r="P348" s="250"/>
      <c r="Q348" s="250"/>
      <c r="R348" s="250"/>
      <c r="S348" s="266">
        <f t="shared" si="8"/>
        <v>0.38021124171160603</v>
      </c>
    </row>
    <row r="349" spans="1:19">
      <c r="A349" s="243"/>
      <c r="B349" s="244"/>
      <c r="C349" s="311">
        <v>4</v>
      </c>
      <c r="D349" s="244">
        <v>6</v>
      </c>
      <c r="E349" s="244">
        <v>0</v>
      </c>
      <c r="F349" s="244">
        <v>0</v>
      </c>
      <c r="G349" s="244">
        <v>2</v>
      </c>
      <c r="H349" s="244">
        <v>2</v>
      </c>
      <c r="I349" s="244">
        <v>1</v>
      </c>
      <c r="J349" s="244">
        <v>0</v>
      </c>
      <c r="K349" s="276">
        <v>2.4</v>
      </c>
      <c r="L349" s="277">
        <v>41.395899999999997</v>
      </c>
      <c r="M349" s="249"/>
      <c r="N349" s="250"/>
      <c r="O349" s="250"/>
      <c r="P349" s="250"/>
      <c r="Q349" s="250"/>
      <c r="R349" s="250"/>
      <c r="S349" s="266">
        <f t="shared" si="8"/>
        <v>0.38021124171160603</v>
      </c>
    </row>
    <row r="350" spans="1:19">
      <c r="A350" s="243"/>
      <c r="B350" s="244"/>
      <c r="C350" s="311">
        <v>4</v>
      </c>
      <c r="D350" s="244">
        <v>1</v>
      </c>
      <c r="E350" s="244">
        <v>0</v>
      </c>
      <c r="F350" s="244">
        <v>0</v>
      </c>
      <c r="G350" s="244">
        <v>2</v>
      </c>
      <c r="H350" s="244">
        <v>2</v>
      </c>
      <c r="I350" s="244">
        <v>1</v>
      </c>
      <c r="J350" s="244">
        <v>0</v>
      </c>
      <c r="K350" s="276">
        <v>2.4</v>
      </c>
      <c r="L350" s="277">
        <v>40.832099999999997</v>
      </c>
      <c r="M350" s="249"/>
      <c r="N350" s="250"/>
      <c r="O350" s="250"/>
      <c r="P350" s="250"/>
      <c r="Q350" s="250"/>
      <c r="R350" s="250"/>
      <c r="S350" s="266">
        <f t="shared" si="8"/>
        <v>0.38021124171160603</v>
      </c>
    </row>
    <row r="351" spans="1:19">
      <c r="A351" s="243"/>
      <c r="B351" s="244"/>
      <c r="C351" s="311">
        <v>4</v>
      </c>
      <c r="D351" s="244">
        <v>1</v>
      </c>
      <c r="E351" s="244">
        <v>0</v>
      </c>
      <c r="F351" s="244">
        <v>0</v>
      </c>
      <c r="G351" s="244">
        <v>2</v>
      </c>
      <c r="H351" s="244">
        <v>2</v>
      </c>
      <c r="I351" s="244">
        <v>1</v>
      </c>
      <c r="J351" s="244">
        <v>0</v>
      </c>
      <c r="K351" s="276">
        <v>2.4</v>
      </c>
      <c r="L351" s="277">
        <v>44.081800000000001</v>
      </c>
      <c r="M351" s="249"/>
      <c r="N351" s="250"/>
      <c r="O351" s="250"/>
      <c r="P351" s="250"/>
      <c r="Q351" s="250"/>
      <c r="R351" s="250"/>
      <c r="S351" s="266">
        <f t="shared" si="8"/>
        <v>0.38021124171160603</v>
      </c>
    </row>
    <row r="352" spans="1:19">
      <c r="A352" s="243"/>
      <c r="B352" s="244"/>
      <c r="C352" s="311">
        <v>4</v>
      </c>
      <c r="D352" s="244">
        <v>6</v>
      </c>
      <c r="E352" s="244">
        <v>0</v>
      </c>
      <c r="F352" s="244">
        <v>0</v>
      </c>
      <c r="G352" s="244">
        <v>2</v>
      </c>
      <c r="H352" s="244">
        <v>2</v>
      </c>
      <c r="I352" s="244">
        <v>1</v>
      </c>
      <c r="J352" s="244">
        <v>0</v>
      </c>
      <c r="K352" s="276">
        <v>2.4</v>
      </c>
      <c r="L352" s="277">
        <v>43.003500000000003</v>
      </c>
      <c r="M352" s="249"/>
      <c r="N352" s="250"/>
      <c r="O352" s="250"/>
      <c r="P352" s="250"/>
      <c r="Q352" s="250"/>
      <c r="R352" s="250"/>
      <c r="S352" s="266">
        <f t="shared" si="8"/>
        <v>0.38021124171160603</v>
      </c>
    </row>
    <row r="353" spans="1:19">
      <c r="A353" s="243"/>
      <c r="B353" s="244"/>
      <c r="C353" s="311">
        <v>4</v>
      </c>
      <c r="D353" s="244">
        <v>1</v>
      </c>
      <c r="E353" s="244">
        <v>0</v>
      </c>
      <c r="F353" s="244">
        <v>0</v>
      </c>
      <c r="G353" s="244">
        <v>2</v>
      </c>
      <c r="H353" s="244">
        <v>2</v>
      </c>
      <c r="I353" s="244">
        <v>1</v>
      </c>
      <c r="J353" s="244">
        <v>0</v>
      </c>
      <c r="K353" s="276">
        <v>2.4</v>
      </c>
      <c r="L353" s="277">
        <v>41.585799999999999</v>
      </c>
      <c r="M353" s="249"/>
      <c r="N353" s="250"/>
      <c r="O353" s="250"/>
      <c r="P353" s="250"/>
      <c r="Q353" s="250"/>
      <c r="R353" s="250"/>
      <c r="S353" s="266">
        <f t="shared" si="8"/>
        <v>0.38021124171160603</v>
      </c>
    </row>
    <row r="354" spans="1:19">
      <c r="A354" s="243"/>
      <c r="B354" s="244"/>
      <c r="C354" s="311">
        <v>4</v>
      </c>
      <c r="D354" s="244">
        <v>6</v>
      </c>
      <c r="E354" s="244">
        <v>0</v>
      </c>
      <c r="F354" s="244">
        <v>0</v>
      </c>
      <c r="G354" s="244">
        <v>2</v>
      </c>
      <c r="H354" s="244">
        <v>2</v>
      </c>
      <c r="I354" s="244">
        <v>1</v>
      </c>
      <c r="J354" s="244">
        <v>0</v>
      </c>
      <c r="K354" s="276">
        <v>2</v>
      </c>
      <c r="L354" s="277">
        <v>46.362900000000003</v>
      </c>
      <c r="M354" s="249"/>
      <c r="N354" s="250"/>
      <c r="O354" s="250"/>
      <c r="P354" s="250"/>
      <c r="Q354" s="250"/>
      <c r="R354" s="250"/>
      <c r="S354" s="266">
        <f t="shared" si="8"/>
        <v>0.3010299956639812</v>
      </c>
    </row>
    <row r="355" spans="1:19">
      <c r="A355" s="243"/>
      <c r="B355" s="244"/>
      <c r="C355" s="311">
        <v>4</v>
      </c>
      <c r="D355" s="244">
        <v>1</v>
      </c>
      <c r="E355" s="244">
        <v>1</v>
      </c>
      <c r="F355" s="244">
        <v>0</v>
      </c>
      <c r="G355" s="244">
        <v>2</v>
      </c>
      <c r="H355" s="244">
        <v>2</v>
      </c>
      <c r="I355" s="244">
        <v>1</v>
      </c>
      <c r="J355" s="244">
        <v>0</v>
      </c>
      <c r="K355" s="276">
        <v>2</v>
      </c>
      <c r="L355" s="277">
        <v>45.190100000000001</v>
      </c>
      <c r="M355" s="249"/>
      <c r="N355" s="250"/>
      <c r="O355" s="250"/>
      <c r="P355" s="250"/>
      <c r="Q355" s="250"/>
      <c r="R355" s="250"/>
      <c r="S355" s="266">
        <f t="shared" si="8"/>
        <v>0.3010299956639812</v>
      </c>
    </row>
    <row r="356" spans="1:19">
      <c r="A356" s="243"/>
      <c r="B356" s="244"/>
      <c r="C356" s="311">
        <v>4</v>
      </c>
      <c r="D356" s="244">
        <v>6</v>
      </c>
      <c r="E356" s="244">
        <v>0</v>
      </c>
      <c r="F356" s="244">
        <v>0</v>
      </c>
      <c r="G356" s="244">
        <v>2</v>
      </c>
      <c r="H356" s="244">
        <v>2</v>
      </c>
      <c r="I356" s="244">
        <v>1</v>
      </c>
      <c r="J356" s="244">
        <v>0</v>
      </c>
      <c r="K356" s="276">
        <v>2</v>
      </c>
      <c r="L356" s="277">
        <v>44.707999999999998</v>
      </c>
      <c r="M356" s="249"/>
      <c r="N356" s="250"/>
      <c r="O356" s="250"/>
      <c r="P356" s="250"/>
      <c r="Q356" s="250"/>
      <c r="R356" s="250"/>
      <c r="S356" s="266">
        <f t="shared" si="8"/>
        <v>0.3010299956639812</v>
      </c>
    </row>
    <row r="357" spans="1:19">
      <c r="A357" s="243"/>
      <c r="B357" s="244"/>
      <c r="C357" s="311">
        <v>4</v>
      </c>
      <c r="D357" s="244">
        <v>1</v>
      </c>
      <c r="E357" s="244">
        <v>1</v>
      </c>
      <c r="F357" s="244">
        <v>0</v>
      </c>
      <c r="G357" s="244">
        <v>2</v>
      </c>
      <c r="H357" s="244">
        <v>2</v>
      </c>
      <c r="I357" s="244">
        <v>1</v>
      </c>
      <c r="J357" s="244">
        <v>0</v>
      </c>
      <c r="K357" s="276">
        <v>2</v>
      </c>
      <c r="L357" s="277">
        <v>41.566099999999999</v>
      </c>
      <c r="M357" s="249"/>
      <c r="N357" s="250"/>
      <c r="O357" s="250"/>
      <c r="P357" s="250"/>
      <c r="Q357" s="250"/>
      <c r="R357" s="250"/>
      <c r="S357" s="266">
        <f t="shared" si="8"/>
        <v>0.3010299956639812</v>
      </c>
    </row>
    <row r="358" spans="1:19">
      <c r="A358" s="243"/>
      <c r="B358" s="244"/>
      <c r="C358" s="311">
        <v>4</v>
      </c>
      <c r="D358" s="244">
        <v>4</v>
      </c>
      <c r="E358" s="244">
        <v>1</v>
      </c>
      <c r="F358" s="244">
        <v>0</v>
      </c>
      <c r="G358" s="244">
        <v>2</v>
      </c>
      <c r="H358" s="244">
        <v>2</v>
      </c>
      <c r="I358" s="244">
        <v>1</v>
      </c>
      <c r="J358" s="244">
        <v>0</v>
      </c>
      <c r="K358" s="276">
        <v>1.8</v>
      </c>
      <c r="L358" s="277">
        <v>48.4</v>
      </c>
      <c r="M358" s="249"/>
      <c r="N358" s="250"/>
      <c r="O358" s="250"/>
      <c r="P358" s="250"/>
      <c r="Q358" s="250"/>
      <c r="R358" s="250"/>
      <c r="S358" s="266">
        <f t="shared" si="8"/>
        <v>0.25527250510330607</v>
      </c>
    </row>
    <row r="359" spans="1:19">
      <c r="A359" s="243"/>
      <c r="B359" s="244"/>
      <c r="C359" s="311">
        <v>4</v>
      </c>
      <c r="D359" s="244">
        <v>5</v>
      </c>
      <c r="E359" s="244">
        <v>0</v>
      </c>
      <c r="F359" s="244">
        <v>0</v>
      </c>
      <c r="G359" s="244">
        <v>2</v>
      </c>
      <c r="H359" s="244">
        <v>2</v>
      </c>
      <c r="I359" s="244">
        <v>1</v>
      </c>
      <c r="J359" s="244">
        <v>0</v>
      </c>
      <c r="K359" s="276">
        <v>1.8</v>
      </c>
      <c r="L359" s="277">
        <v>50</v>
      </c>
      <c r="M359" s="249"/>
      <c r="N359" s="250"/>
      <c r="O359" s="250"/>
      <c r="P359" s="250"/>
      <c r="Q359" s="250"/>
      <c r="R359" s="250"/>
      <c r="S359" s="266">
        <f t="shared" si="8"/>
        <v>0.25527250510330607</v>
      </c>
    </row>
    <row r="360" spans="1:19">
      <c r="A360" s="243"/>
      <c r="B360" s="244"/>
      <c r="C360" s="311">
        <v>4</v>
      </c>
      <c r="D360" s="244">
        <v>5</v>
      </c>
      <c r="E360" s="244">
        <v>0</v>
      </c>
      <c r="F360" s="244">
        <v>0</v>
      </c>
      <c r="G360" s="244">
        <v>2</v>
      </c>
      <c r="H360" s="244">
        <v>2</v>
      </c>
      <c r="I360" s="244">
        <v>1</v>
      </c>
      <c r="J360" s="244">
        <v>0</v>
      </c>
      <c r="K360" s="276">
        <v>2.4</v>
      </c>
      <c r="L360" s="277">
        <v>42.2</v>
      </c>
      <c r="M360" s="249"/>
      <c r="N360" s="250"/>
      <c r="O360" s="250"/>
      <c r="P360" s="250"/>
      <c r="Q360" s="250"/>
      <c r="R360" s="250"/>
      <c r="S360" s="266">
        <f t="shared" si="8"/>
        <v>0.38021124171160603</v>
      </c>
    </row>
    <row r="361" spans="1:19">
      <c r="A361" s="243"/>
      <c r="B361" s="244"/>
      <c r="C361" s="311">
        <v>4</v>
      </c>
      <c r="D361" s="244">
        <v>5</v>
      </c>
      <c r="E361" s="244">
        <v>1</v>
      </c>
      <c r="F361" s="244">
        <v>0</v>
      </c>
      <c r="G361" s="244">
        <v>2</v>
      </c>
      <c r="H361" s="244">
        <v>2</v>
      </c>
      <c r="I361" s="244">
        <v>1</v>
      </c>
      <c r="J361" s="244">
        <v>0</v>
      </c>
      <c r="K361" s="276">
        <v>2.4</v>
      </c>
      <c r="L361" s="277">
        <v>42.6</v>
      </c>
      <c r="M361" s="249"/>
      <c r="N361" s="250"/>
      <c r="O361" s="250"/>
      <c r="P361" s="250"/>
      <c r="Q361" s="250"/>
      <c r="R361" s="250"/>
      <c r="S361" s="266">
        <f t="shared" si="8"/>
        <v>0.38021124171160603</v>
      </c>
    </row>
    <row r="362" spans="1:19">
      <c r="A362" s="243"/>
      <c r="B362" s="244"/>
      <c r="C362" s="311">
        <v>4</v>
      </c>
      <c r="D362" s="244">
        <v>6</v>
      </c>
      <c r="E362" s="244">
        <v>0</v>
      </c>
      <c r="F362" s="244">
        <v>0</v>
      </c>
      <c r="G362" s="244">
        <v>2</v>
      </c>
      <c r="H362" s="244">
        <v>2</v>
      </c>
      <c r="I362" s="244">
        <v>1</v>
      </c>
      <c r="J362" s="244">
        <v>0</v>
      </c>
      <c r="K362" s="276">
        <v>2</v>
      </c>
      <c r="L362" s="277">
        <v>42</v>
      </c>
      <c r="M362" s="249"/>
      <c r="N362" s="250"/>
      <c r="O362" s="250"/>
      <c r="P362" s="250"/>
      <c r="Q362" s="250"/>
      <c r="R362" s="250"/>
      <c r="S362" s="266">
        <f t="shared" si="8"/>
        <v>0.3010299956639812</v>
      </c>
    </row>
    <row r="363" spans="1:19">
      <c r="A363" s="243"/>
      <c r="B363" s="244"/>
      <c r="C363" s="311">
        <v>4</v>
      </c>
      <c r="D363" s="244">
        <v>6</v>
      </c>
      <c r="E363" s="244">
        <v>0</v>
      </c>
      <c r="F363" s="244">
        <v>0</v>
      </c>
      <c r="G363" s="244">
        <v>2</v>
      </c>
      <c r="H363" s="244">
        <v>2</v>
      </c>
      <c r="I363" s="244">
        <v>1</v>
      </c>
      <c r="J363" s="244">
        <v>0</v>
      </c>
      <c r="K363" s="276">
        <v>2</v>
      </c>
      <c r="L363" s="277">
        <v>41.521000000000001</v>
      </c>
      <c r="M363" s="249"/>
      <c r="N363" s="250"/>
      <c r="O363" s="250"/>
      <c r="P363" s="250"/>
      <c r="Q363" s="250"/>
      <c r="R363" s="250"/>
      <c r="S363" s="266">
        <f t="shared" si="8"/>
        <v>0.3010299956639812</v>
      </c>
    </row>
    <row r="364" spans="1:19">
      <c r="A364" s="243"/>
      <c r="B364" s="244"/>
      <c r="C364" s="311">
        <v>6</v>
      </c>
      <c r="D364" s="244">
        <v>6</v>
      </c>
      <c r="E364" s="244">
        <v>0</v>
      </c>
      <c r="F364" s="244">
        <v>0</v>
      </c>
      <c r="G364" s="244">
        <v>2</v>
      </c>
      <c r="H364" s="244">
        <v>2</v>
      </c>
      <c r="I364" s="244">
        <v>1</v>
      </c>
      <c r="J364" s="244">
        <v>0</v>
      </c>
      <c r="K364" s="276">
        <v>3.6</v>
      </c>
      <c r="L364" s="277">
        <v>35.1</v>
      </c>
      <c r="M364" s="249"/>
      <c r="N364" s="250"/>
      <c r="O364" s="250"/>
      <c r="P364" s="250"/>
      <c r="Q364" s="250"/>
      <c r="R364" s="250"/>
      <c r="S364" s="266">
        <f t="shared" si="8"/>
        <v>0.55630250076728727</v>
      </c>
    </row>
    <row r="365" spans="1:19">
      <c r="A365" s="243"/>
      <c r="B365" s="244"/>
      <c r="C365" s="311">
        <v>6</v>
      </c>
      <c r="D365" s="244">
        <v>6</v>
      </c>
      <c r="E365" s="244">
        <v>0</v>
      </c>
      <c r="F365" s="244">
        <v>0</v>
      </c>
      <c r="G365" s="244">
        <v>2</v>
      </c>
      <c r="H365" s="244">
        <v>2</v>
      </c>
      <c r="I365" s="244">
        <v>1</v>
      </c>
      <c r="J365" s="244">
        <v>0</v>
      </c>
      <c r="K365" s="276">
        <v>3.6</v>
      </c>
      <c r="L365" s="277">
        <v>33.5</v>
      </c>
      <c r="M365" s="249"/>
      <c r="N365" s="250"/>
      <c r="O365" s="250"/>
      <c r="P365" s="250"/>
      <c r="Q365" s="250"/>
      <c r="R365" s="250"/>
      <c r="S365" s="266">
        <f t="shared" si="8"/>
        <v>0.55630250076728727</v>
      </c>
    </row>
    <row r="366" spans="1:19">
      <c r="A366" s="243"/>
      <c r="B366" s="244"/>
      <c r="C366" s="311">
        <v>4</v>
      </c>
      <c r="D366" s="244">
        <v>6</v>
      </c>
      <c r="E366" s="244">
        <v>0</v>
      </c>
      <c r="F366" s="244">
        <v>0</v>
      </c>
      <c r="G366" s="244">
        <v>2</v>
      </c>
      <c r="H366" s="244">
        <v>2</v>
      </c>
      <c r="I366" s="244">
        <v>0</v>
      </c>
      <c r="J366" s="244">
        <v>0</v>
      </c>
      <c r="K366" s="276">
        <v>2</v>
      </c>
      <c r="L366" s="277">
        <v>60.1</v>
      </c>
      <c r="M366" s="249"/>
      <c r="N366" s="250"/>
      <c r="O366" s="250"/>
      <c r="P366" s="250"/>
      <c r="Q366" s="250"/>
      <c r="R366" s="250"/>
      <c r="S366" s="266">
        <f t="shared" si="8"/>
        <v>0.3010299956639812</v>
      </c>
    </row>
    <row r="367" spans="1:19">
      <c r="A367" s="243"/>
      <c r="B367" s="244"/>
      <c r="C367" s="311">
        <v>4</v>
      </c>
      <c r="D367" s="244">
        <v>6</v>
      </c>
      <c r="E367" s="244">
        <v>0</v>
      </c>
      <c r="F367" s="244">
        <v>0</v>
      </c>
      <c r="G367" s="244">
        <v>2</v>
      </c>
      <c r="H367" s="244">
        <v>2</v>
      </c>
      <c r="I367" s="244">
        <v>0</v>
      </c>
      <c r="J367" s="244">
        <v>0</v>
      </c>
      <c r="K367" s="276">
        <v>2</v>
      </c>
      <c r="L367" s="277">
        <v>58.534999999999997</v>
      </c>
      <c r="M367" s="249"/>
      <c r="N367" s="250"/>
      <c r="O367" s="250"/>
      <c r="P367" s="250"/>
      <c r="Q367" s="250"/>
      <c r="R367" s="250"/>
      <c r="S367" s="266">
        <f t="shared" si="8"/>
        <v>0.3010299956639812</v>
      </c>
    </row>
    <row r="368" spans="1:19">
      <c r="A368" s="243"/>
      <c r="B368" s="244"/>
      <c r="C368" s="311">
        <v>5</v>
      </c>
      <c r="D368" s="244">
        <v>5</v>
      </c>
      <c r="E368" s="244">
        <v>0</v>
      </c>
      <c r="F368" s="244">
        <v>0</v>
      </c>
      <c r="G368" s="244">
        <v>2</v>
      </c>
      <c r="H368" s="244">
        <v>2</v>
      </c>
      <c r="I368" s="244">
        <v>1</v>
      </c>
      <c r="J368" s="244">
        <v>0</v>
      </c>
      <c r="K368" s="276">
        <v>2.5</v>
      </c>
      <c r="L368" s="277">
        <v>39.614699999999999</v>
      </c>
      <c r="M368" s="249"/>
      <c r="N368" s="250"/>
      <c r="O368" s="250"/>
      <c r="P368" s="250"/>
      <c r="Q368" s="250"/>
      <c r="R368" s="250"/>
      <c r="S368" s="266">
        <f t="shared" si="8"/>
        <v>0.3979400086720376</v>
      </c>
    </row>
    <row r="369" spans="1:19">
      <c r="A369" s="243"/>
      <c r="B369" s="244"/>
      <c r="C369" s="311">
        <v>5</v>
      </c>
      <c r="D369" s="244">
        <v>6</v>
      </c>
      <c r="E369" s="244">
        <v>0</v>
      </c>
      <c r="F369" s="244">
        <v>0</v>
      </c>
      <c r="G369" s="244">
        <v>2</v>
      </c>
      <c r="H369" s="244">
        <v>2</v>
      </c>
      <c r="I369" s="244">
        <v>1</v>
      </c>
      <c r="J369" s="244">
        <v>0</v>
      </c>
      <c r="K369" s="276">
        <v>2.5</v>
      </c>
      <c r="L369" s="277">
        <v>40.240900000000003</v>
      </c>
      <c r="M369" s="249"/>
      <c r="N369" s="250"/>
      <c r="O369" s="250"/>
      <c r="P369" s="250"/>
      <c r="Q369" s="250"/>
      <c r="R369" s="250"/>
      <c r="S369" s="266">
        <f t="shared" si="8"/>
        <v>0.3979400086720376</v>
      </c>
    </row>
    <row r="370" spans="1:19">
      <c r="A370" s="243"/>
      <c r="B370" s="244"/>
      <c r="C370" s="311">
        <v>4</v>
      </c>
      <c r="D370" s="244">
        <v>6</v>
      </c>
      <c r="E370" s="244">
        <v>0</v>
      </c>
      <c r="F370" s="244">
        <v>0</v>
      </c>
      <c r="G370" s="244">
        <v>2</v>
      </c>
      <c r="H370" s="244">
        <v>2</v>
      </c>
      <c r="I370" s="244">
        <v>1</v>
      </c>
      <c r="J370" s="244">
        <v>0</v>
      </c>
      <c r="K370" s="276">
        <v>2</v>
      </c>
      <c r="L370" s="277">
        <v>43.541400000000003</v>
      </c>
      <c r="M370" s="249"/>
      <c r="N370" s="250"/>
      <c r="O370" s="250"/>
      <c r="P370" s="250"/>
      <c r="Q370" s="250"/>
      <c r="R370" s="250"/>
      <c r="S370" s="266">
        <f t="shared" si="8"/>
        <v>0.3010299956639812</v>
      </c>
    </row>
    <row r="371" spans="1:19">
      <c r="A371" s="243"/>
      <c r="B371" s="244"/>
      <c r="C371" s="311">
        <v>4</v>
      </c>
      <c r="D371" s="244">
        <v>6</v>
      </c>
      <c r="E371" s="244">
        <v>0</v>
      </c>
      <c r="F371" s="244">
        <v>0</v>
      </c>
      <c r="G371" s="244">
        <v>2</v>
      </c>
      <c r="H371" s="244">
        <v>2</v>
      </c>
      <c r="I371" s="244">
        <v>1</v>
      </c>
      <c r="J371" s="244">
        <v>0</v>
      </c>
      <c r="K371" s="276">
        <v>2</v>
      </c>
      <c r="L371" s="277">
        <v>41.521000000000001</v>
      </c>
      <c r="M371" s="249"/>
      <c r="N371" s="250"/>
      <c r="O371" s="250"/>
      <c r="P371" s="250"/>
      <c r="Q371" s="250"/>
      <c r="R371" s="250"/>
      <c r="S371" s="266">
        <f t="shared" si="8"/>
        <v>0.3010299956639812</v>
      </c>
    </row>
    <row r="372" spans="1:19">
      <c r="A372" s="243"/>
      <c r="B372" s="244"/>
      <c r="C372" s="311">
        <v>4</v>
      </c>
      <c r="D372" s="244">
        <v>6</v>
      </c>
      <c r="E372" s="244">
        <v>0</v>
      </c>
      <c r="F372" s="244">
        <v>0</v>
      </c>
      <c r="G372" s="244">
        <v>2</v>
      </c>
      <c r="H372" s="244">
        <v>2</v>
      </c>
      <c r="I372" s="244">
        <v>1</v>
      </c>
      <c r="J372" s="244">
        <v>0</v>
      </c>
      <c r="K372" s="276">
        <v>2</v>
      </c>
      <c r="L372" s="277">
        <v>43.541400000000003</v>
      </c>
      <c r="M372" s="249"/>
      <c r="N372" s="250"/>
      <c r="O372" s="250"/>
      <c r="P372" s="250"/>
      <c r="Q372" s="250"/>
      <c r="R372" s="250"/>
      <c r="S372" s="266">
        <f t="shared" si="8"/>
        <v>0.3010299956639812</v>
      </c>
    </row>
    <row r="373" spans="1:19">
      <c r="A373" s="243"/>
      <c r="B373" s="244"/>
      <c r="C373" s="311">
        <v>4</v>
      </c>
      <c r="D373" s="244">
        <v>6</v>
      </c>
      <c r="E373" s="244">
        <v>0</v>
      </c>
      <c r="F373" s="244">
        <v>0</v>
      </c>
      <c r="G373" s="244">
        <v>2</v>
      </c>
      <c r="H373" s="244">
        <v>2</v>
      </c>
      <c r="I373" s="244">
        <v>1</v>
      </c>
      <c r="J373" s="244">
        <v>0</v>
      </c>
      <c r="K373" s="276">
        <v>2</v>
      </c>
      <c r="L373" s="277">
        <v>41.521000000000001</v>
      </c>
      <c r="M373" s="249"/>
      <c r="N373" s="250"/>
      <c r="O373" s="250"/>
      <c r="P373" s="250"/>
      <c r="Q373" s="250"/>
      <c r="R373" s="250"/>
      <c r="S373" s="266">
        <f t="shared" si="8"/>
        <v>0.3010299956639812</v>
      </c>
    </row>
    <row r="374" spans="1:19">
      <c r="A374" s="243"/>
      <c r="B374" s="244"/>
      <c r="C374" s="311">
        <v>4</v>
      </c>
      <c r="D374" s="244">
        <v>6</v>
      </c>
      <c r="E374" s="244">
        <v>0</v>
      </c>
      <c r="F374" s="244">
        <v>0</v>
      </c>
      <c r="G374" s="244">
        <v>2</v>
      </c>
      <c r="H374" s="244">
        <v>2</v>
      </c>
      <c r="I374" s="244">
        <v>0</v>
      </c>
      <c r="J374" s="244">
        <v>0</v>
      </c>
      <c r="K374" s="276">
        <v>2</v>
      </c>
      <c r="L374" s="277">
        <v>60.1</v>
      </c>
      <c r="M374" s="249"/>
      <c r="N374" s="250"/>
      <c r="O374" s="250"/>
      <c r="P374" s="250"/>
      <c r="Q374" s="250"/>
      <c r="R374" s="250"/>
      <c r="S374" s="266">
        <f t="shared" si="8"/>
        <v>0.3010299956639812</v>
      </c>
    </row>
    <row r="375" spans="1:19">
      <c r="A375" s="243"/>
      <c r="B375" s="244"/>
      <c r="C375" s="311">
        <v>4</v>
      </c>
      <c r="D375" s="244">
        <v>6</v>
      </c>
      <c r="E375" s="244">
        <v>0</v>
      </c>
      <c r="F375" s="244">
        <v>0</v>
      </c>
      <c r="G375" s="244">
        <v>2</v>
      </c>
      <c r="H375" s="244">
        <v>2</v>
      </c>
      <c r="I375" s="244">
        <v>0</v>
      </c>
      <c r="J375" s="244">
        <v>0</v>
      </c>
      <c r="K375" s="276">
        <v>2</v>
      </c>
      <c r="L375" s="277">
        <v>58.534999999999997</v>
      </c>
      <c r="M375" s="249"/>
      <c r="N375" s="250"/>
      <c r="O375" s="250"/>
      <c r="P375" s="250"/>
      <c r="Q375" s="250"/>
      <c r="R375" s="250"/>
      <c r="S375" s="266">
        <f t="shared" si="8"/>
        <v>0.3010299956639812</v>
      </c>
    </row>
    <row r="376" spans="1:19">
      <c r="A376" s="243"/>
      <c r="B376" s="244"/>
      <c r="C376" s="311">
        <v>5</v>
      </c>
      <c r="D376" s="244">
        <v>5</v>
      </c>
      <c r="E376" s="244">
        <v>0</v>
      </c>
      <c r="F376" s="244">
        <v>0</v>
      </c>
      <c r="G376" s="244">
        <v>2</v>
      </c>
      <c r="H376" s="244">
        <v>2</v>
      </c>
      <c r="I376" s="244">
        <v>1</v>
      </c>
      <c r="J376" s="244">
        <v>0</v>
      </c>
      <c r="K376" s="276">
        <v>2.5</v>
      </c>
      <c r="L376" s="277">
        <v>39.571399999999997</v>
      </c>
      <c r="M376" s="249"/>
      <c r="N376" s="250"/>
      <c r="O376" s="250"/>
      <c r="P376" s="250"/>
      <c r="Q376" s="250"/>
      <c r="R376" s="250"/>
      <c r="S376" s="266">
        <f t="shared" si="8"/>
        <v>0.3979400086720376</v>
      </c>
    </row>
    <row r="377" spans="1:19">
      <c r="A377" s="243"/>
      <c r="B377" s="244"/>
      <c r="C377" s="311">
        <v>5</v>
      </c>
      <c r="D377" s="244">
        <v>6</v>
      </c>
      <c r="E377" s="244">
        <v>0</v>
      </c>
      <c r="F377" s="244">
        <v>0</v>
      </c>
      <c r="G377" s="244">
        <v>2</v>
      </c>
      <c r="H377" s="244">
        <v>2</v>
      </c>
      <c r="I377" s="244">
        <v>1</v>
      </c>
      <c r="J377" s="244">
        <v>0</v>
      </c>
      <c r="K377" s="276">
        <v>2.5</v>
      </c>
      <c r="L377" s="277">
        <v>40.0169</v>
      </c>
      <c r="M377" s="249"/>
      <c r="N377" s="250"/>
      <c r="O377" s="250"/>
      <c r="P377" s="250"/>
      <c r="Q377" s="250"/>
      <c r="R377" s="250"/>
      <c r="S377" s="266">
        <f t="shared" si="8"/>
        <v>0.3979400086720376</v>
      </c>
    </row>
    <row r="378" spans="1:19">
      <c r="A378" s="243"/>
      <c r="B378" s="244"/>
      <c r="C378" s="311">
        <v>5</v>
      </c>
      <c r="D378" s="244">
        <v>5</v>
      </c>
      <c r="E378" s="244">
        <v>1</v>
      </c>
      <c r="F378" s="244">
        <v>0</v>
      </c>
      <c r="G378" s="244">
        <v>2</v>
      </c>
      <c r="H378" s="244">
        <v>2</v>
      </c>
      <c r="I378" s="244">
        <v>1</v>
      </c>
      <c r="J378" s="244">
        <v>0</v>
      </c>
      <c r="K378" s="276">
        <v>2.4</v>
      </c>
      <c r="L378" s="277">
        <v>39.347999999999999</v>
      </c>
      <c r="M378" s="249"/>
      <c r="N378" s="250"/>
      <c r="O378" s="250"/>
      <c r="P378" s="250"/>
      <c r="Q378" s="250"/>
      <c r="R378" s="250"/>
      <c r="S378" s="266">
        <f t="shared" si="8"/>
        <v>0.38021124171160603</v>
      </c>
    </row>
    <row r="379" spans="1:19">
      <c r="A379" s="243"/>
      <c r="B379" s="244"/>
      <c r="C379" s="311">
        <v>5</v>
      </c>
      <c r="D379" s="244">
        <v>5</v>
      </c>
      <c r="E379" s="244">
        <v>0</v>
      </c>
      <c r="F379" s="244">
        <v>0</v>
      </c>
      <c r="G379" s="244">
        <v>2</v>
      </c>
      <c r="H379" s="244">
        <v>2</v>
      </c>
      <c r="I379" s="244">
        <v>1</v>
      </c>
      <c r="J379" s="244">
        <v>0</v>
      </c>
      <c r="K379" s="276">
        <v>2.4</v>
      </c>
      <c r="L379" s="277">
        <v>39.299999999999997</v>
      </c>
      <c r="M379" s="249"/>
      <c r="N379" s="250"/>
      <c r="O379" s="250"/>
      <c r="P379" s="250"/>
      <c r="Q379" s="250"/>
      <c r="R379" s="250"/>
      <c r="S379" s="266">
        <f t="shared" si="8"/>
        <v>0.38021124171160603</v>
      </c>
    </row>
    <row r="380" spans="1:19">
      <c r="A380" s="243"/>
      <c r="B380" s="244"/>
      <c r="C380" s="311">
        <v>5</v>
      </c>
      <c r="D380" s="244">
        <v>5</v>
      </c>
      <c r="E380" s="244">
        <v>1</v>
      </c>
      <c r="F380" s="244">
        <v>0</v>
      </c>
      <c r="G380" s="244">
        <v>2</v>
      </c>
      <c r="H380" s="244">
        <v>2</v>
      </c>
      <c r="I380" s="244">
        <v>1</v>
      </c>
      <c r="J380" s="244">
        <v>0</v>
      </c>
      <c r="K380" s="276">
        <v>2.5</v>
      </c>
      <c r="L380" s="277">
        <v>40.6</v>
      </c>
      <c r="M380" s="249"/>
      <c r="N380" s="250"/>
      <c r="O380" s="250"/>
      <c r="P380" s="250"/>
      <c r="Q380" s="250"/>
      <c r="R380" s="250"/>
      <c r="S380" s="266">
        <f t="shared" si="8"/>
        <v>0.3979400086720376</v>
      </c>
    </row>
    <row r="381" spans="1:19">
      <c r="A381" s="243"/>
      <c r="B381" s="244"/>
      <c r="C381" s="311">
        <v>5</v>
      </c>
      <c r="D381" s="244">
        <v>6</v>
      </c>
      <c r="E381" s="244">
        <v>0</v>
      </c>
      <c r="F381" s="244">
        <v>0</v>
      </c>
      <c r="G381" s="244">
        <v>2</v>
      </c>
      <c r="H381" s="244">
        <v>2</v>
      </c>
      <c r="I381" s="244">
        <v>1</v>
      </c>
      <c r="J381" s="244">
        <v>0</v>
      </c>
      <c r="K381" s="276">
        <v>2.5</v>
      </c>
      <c r="L381" s="277">
        <v>40.4</v>
      </c>
      <c r="M381" s="249"/>
      <c r="N381" s="250"/>
      <c r="O381" s="250"/>
      <c r="P381" s="250"/>
      <c r="Q381" s="250"/>
      <c r="R381" s="250"/>
      <c r="S381" s="266">
        <f t="shared" si="8"/>
        <v>0.3979400086720376</v>
      </c>
    </row>
    <row r="382" spans="1:19">
      <c r="A382" s="243"/>
      <c r="B382" s="244"/>
      <c r="C382" s="311">
        <v>5</v>
      </c>
      <c r="D382" s="244">
        <v>5</v>
      </c>
      <c r="E382" s="244">
        <v>1</v>
      </c>
      <c r="F382" s="244">
        <v>0</v>
      </c>
      <c r="G382" s="244">
        <v>2</v>
      </c>
      <c r="H382" s="244">
        <v>2</v>
      </c>
      <c r="I382" s="244">
        <v>1</v>
      </c>
      <c r="J382" s="244">
        <v>0</v>
      </c>
      <c r="K382" s="276">
        <v>2.5</v>
      </c>
      <c r="L382" s="277">
        <v>37.799999999999997</v>
      </c>
      <c r="M382" s="249"/>
      <c r="N382" s="250"/>
      <c r="O382" s="250"/>
      <c r="P382" s="250"/>
      <c r="Q382" s="250"/>
      <c r="R382" s="250"/>
      <c r="S382" s="266">
        <f t="shared" si="8"/>
        <v>0.3979400086720376</v>
      </c>
    </row>
    <row r="383" spans="1:19">
      <c r="A383" s="243"/>
      <c r="B383" s="244"/>
      <c r="C383" s="311">
        <v>5</v>
      </c>
      <c r="D383" s="244">
        <v>6</v>
      </c>
      <c r="E383" s="244">
        <v>0</v>
      </c>
      <c r="F383" s="244">
        <v>0</v>
      </c>
      <c r="G383" s="244">
        <v>2</v>
      </c>
      <c r="H383" s="244">
        <v>2</v>
      </c>
      <c r="I383" s="244">
        <v>1</v>
      </c>
      <c r="J383" s="244">
        <v>0</v>
      </c>
      <c r="K383" s="276">
        <v>2.5</v>
      </c>
      <c r="L383" s="277">
        <v>37.799999999999997</v>
      </c>
      <c r="M383" s="249"/>
      <c r="N383" s="250"/>
      <c r="O383" s="250"/>
      <c r="P383" s="250"/>
      <c r="Q383" s="250"/>
      <c r="R383" s="250"/>
      <c r="S383" s="266">
        <f t="shared" si="8"/>
        <v>0.3979400086720376</v>
      </c>
    </row>
    <row r="384" spans="1:19">
      <c r="A384" s="243"/>
      <c r="B384" s="244"/>
      <c r="C384" s="311">
        <v>5</v>
      </c>
      <c r="D384" s="244">
        <v>5</v>
      </c>
      <c r="E384" s="244">
        <v>1</v>
      </c>
      <c r="F384" s="244">
        <v>0</v>
      </c>
      <c r="G384" s="244">
        <v>2</v>
      </c>
      <c r="H384" s="244">
        <v>2</v>
      </c>
      <c r="I384" s="244">
        <v>1</v>
      </c>
      <c r="J384" s="244">
        <v>0</v>
      </c>
      <c r="K384" s="276">
        <v>2.4</v>
      </c>
      <c r="L384" s="277">
        <v>39.347999999999999</v>
      </c>
      <c r="M384" s="249"/>
      <c r="N384" s="250"/>
      <c r="O384" s="250"/>
      <c r="P384" s="250"/>
      <c r="Q384" s="250"/>
      <c r="R384" s="250"/>
      <c r="S384" s="266">
        <f t="shared" si="8"/>
        <v>0.38021124171160603</v>
      </c>
    </row>
    <row r="385" spans="1:19">
      <c r="A385" s="243"/>
      <c r="B385" s="244"/>
      <c r="C385" s="311">
        <v>5</v>
      </c>
      <c r="D385" s="244">
        <v>5</v>
      </c>
      <c r="E385" s="244">
        <v>0</v>
      </c>
      <c r="F385" s="244">
        <v>0</v>
      </c>
      <c r="G385" s="244">
        <v>2</v>
      </c>
      <c r="H385" s="244">
        <v>2</v>
      </c>
      <c r="I385" s="244">
        <v>1</v>
      </c>
      <c r="J385" s="244">
        <v>0</v>
      </c>
      <c r="K385" s="276">
        <v>2.4</v>
      </c>
      <c r="L385" s="277">
        <v>39.299999999999997</v>
      </c>
      <c r="M385" s="249"/>
      <c r="N385" s="250"/>
      <c r="O385" s="250"/>
      <c r="P385" s="250"/>
      <c r="Q385" s="250"/>
      <c r="R385" s="250"/>
      <c r="S385" s="266">
        <f t="shared" si="8"/>
        <v>0.38021124171160603</v>
      </c>
    </row>
    <row r="386" spans="1:19">
      <c r="A386" s="243"/>
      <c r="B386" s="244"/>
      <c r="C386" s="311">
        <v>5</v>
      </c>
      <c r="D386" s="244">
        <v>5</v>
      </c>
      <c r="E386" s="244">
        <v>1</v>
      </c>
      <c r="F386" s="244">
        <v>0</v>
      </c>
      <c r="G386" s="244">
        <v>2</v>
      </c>
      <c r="H386" s="244">
        <v>2</v>
      </c>
      <c r="I386" s="244">
        <v>1</v>
      </c>
      <c r="J386" s="244">
        <v>0</v>
      </c>
      <c r="K386" s="276">
        <v>2.5</v>
      </c>
      <c r="L386" s="277">
        <v>40.6</v>
      </c>
      <c r="M386" s="249"/>
      <c r="N386" s="250"/>
      <c r="O386" s="250"/>
      <c r="P386" s="250"/>
      <c r="Q386" s="250"/>
      <c r="R386" s="250"/>
      <c r="S386" s="266">
        <f t="shared" si="8"/>
        <v>0.3979400086720376</v>
      </c>
    </row>
    <row r="387" spans="1:19">
      <c r="A387" s="243"/>
      <c r="B387" s="244"/>
      <c r="C387" s="311">
        <v>5</v>
      </c>
      <c r="D387" s="244">
        <v>6</v>
      </c>
      <c r="E387" s="244">
        <v>0</v>
      </c>
      <c r="F387" s="244">
        <v>0</v>
      </c>
      <c r="G387" s="244">
        <v>2</v>
      </c>
      <c r="H387" s="244">
        <v>2</v>
      </c>
      <c r="I387" s="244">
        <v>1</v>
      </c>
      <c r="J387" s="244">
        <v>0</v>
      </c>
      <c r="K387" s="276">
        <v>2.5</v>
      </c>
      <c r="L387" s="277">
        <v>40.4</v>
      </c>
      <c r="M387" s="249"/>
      <c r="N387" s="250"/>
      <c r="O387" s="250"/>
      <c r="P387" s="250"/>
      <c r="Q387" s="250"/>
      <c r="R387" s="250"/>
      <c r="S387" s="266">
        <f t="shared" si="8"/>
        <v>0.3979400086720376</v>
      </c>
    </row>
    <row r="388" spans="1:19">
      <c r="A388" s="243"/>
      <c r="B388" s="244"/>
      <c r="C388" s="311">
        <v>6</v>
      </c>
      <c r="D388" s="244">
        <v>5</v>
      </c>
      <c r="E388" s="244">
        <v>1</v>
      </c>
      <c r="F388" s="244">
        <v>0</v>
      </c>
      <c r="G388" s="244">
        <v>2</v>
      </c>
      <c r="H388" s="244">
        <v>2</v>
      </c>
      <c r="I388" s="244">
        <v>1</v>
      </c>
      <c r="J388" s="244">
        <v>1</v>
      </c>
      <c r="K388" s="276">
        <v>3.7</v>
      </c>
      <c r="L388" s="277">
        <v>30.9</v>
      </c>
      <c r="M388" s="249"/>
      <c r="N388" s="250"/>
      <c r="O388" s="250"/>
      <c r="P388" s="250"/>
      <c r="Q388" s="250"/>
      <c r="R388" s="250"/>
      <c r="S388" s="266">
        <f t="shared" si="8"/>
        <v>0.56820172406699498</v>
      </c>
    </row>
    <row r="389" spans="1:19">
      <c r="A389" s="243"/>
      <c r="B389" s="244"/>
      <c r="C389" s="311">
        <v>6</v>
      </c>
      <c r="D389" s="244">
        <v>5</v>
      </c>
      <c r="E389" s="244">
        <v>1</v>
      </c>
      <c r="F389" s="244">
        <v>0</v>
      </c>
      <c r="G389" s="244">
        <v>2</v>
      </c>
      <c r="H389" s="244">
        <v>2</v>
      </c>
      <c r="I389" s="244">
        <v>1</v>
      </c>
      <c r="J389" s="244">
        <v>1</v>
      </c>
      <c r="K389" s="276">
        <v>3.5</v>
      </c>
      <c r="L389" s="277">
        <v>36.799999999999997</v>
      </c>
      <c r="M389" s="249"/>
      <c r="N389" s="250"/>
      <c r="O389" s="250"/>
      <c r="P389" s="250"/>
      <c r="Q389" s="250"/>
      <c r="R389" s="250"/>
      <c r="S389" s="266">
        <f t="shared" si="8"/>
        <v>0.54406804435027567</v>
      </c>
    </row>
    <row r="390" spans="1:19">
      <c r="A390" s="243"/>
      <c r="B390" s="244"/>
      <c r="C390" s="311">
        <v>6</v>
      </c>
      <c r="D390" s="244">
        <v>5</v>
      </c>
      <c r="E390" s="244">
        <v>1</v>
      </c>
      <c r="F390" s="244">
        <v>0</v>
      </c>
      <c r="G390" s="244">
        <v>2</v>
      </c>
      <c r="H390" s="244">
        <v>2</v>
      </c>
      <c r="I390" s="244">
        <v>1</v>
      </c>
      <c r="J390" s="244">
        <v>1</v>
      </c>
      <c r="K390" s="276">
        <v>3.7</v>
      </c>
      <c r="L390" s="277">
        <v>34.299999999999997</v>
      </c>
      <c r="M390" s="249"/>
      <c r="N390" s="250"/>
      <c r="O390" s="250"/>
      <c r="P390" s="250"/>
      <c r="Q390" s="250"/>
      <c r="R390" s="250"/>
      <c r="S390" s="266">
        <f t="shared" si="8"/>
        <v>0.56820172406699498</v>
      </c>
    </row>
    <row r="391" spans="1:19">
      <c r="A391" s="243"/>
      <c r="B391" s="244"/>
      <c r="C391" s="311">
        <v>6</v>
      </c>
      <c r="D391" s="244">
        <v>6</v>
      </c>
      <c r="E391" s="244">
        <v>0</v>
      </c>
      <c r="F391" s="244">
        <v>0</v>
      </c>
      <c r="G391" s="244">
        <v>2</v>
      </c>
      <c r="H391" s="244">
        <v>2</v>
      </c>
      <c r="I391" s="244">
        <v>1</v>
      </c>
      <c r="J391" s="244">
        <v>1</v>
      </c>
      <c r="K391" s="276">
        <v>3.7</v>
      </c>
      <c r="L391" s="277">
        <v>34.4</v>
      </c>
      <c r="M391" s="249"/>
      <c r="N391" s="250"/>
      <c r="O391" s="250"/>
      <c r="P391" s="250"/>
      <c r="Q391" s="250"/>
      <c r="R391" s="250"/>
      <c r="S391" s="266">
        <f t="shared" si="8"/>
        <v>0.56820172406699498</v>
      </c>
    </row>
    <row r="392" spans="1:19">
      <c r="A392" s="243"/>
      <c r="B392" s="244"/>
      <c r="C392" s="311">
        <v>6</v>
      </c>
      <c r="D392" s="244">
        <v>1</v>
      </c>
      <c r="E392" s="244">
        <v>0</v>
      </c>
      <c r="F392" s="244">
        <v>0</v>
      </c>
      <c r="G392" s="244">
        <v>2</v>
      </c>
      <c r="H392" s="244">
        <v>2</v>
      </c>
      <c r="I392" s="244">
        <v>1</v>
      </c>
      <c r="J392" s="244">
        <v>1</v>
      </c>
      <c r="K392" s="276">
        <v>3.2</v>
      </c>
      <c r="L392" s="277">
        <v>38.9</v>
      </c>
      <c r="M392" s="249"/>
      <c r="N392" s="250"/>
      <c r="O392" s="250"/>
      <c r="P392" s="250"/>
      <c r="Q392" s="250"/>
      <c r="R392" s="250"/>
      <c r="S392" s="266">
        <f t="shared" si="8"/>
        <v>0.50514997831990605</v>
      </c>
    </row>
    <row r="393" spans="1:19">
      <c r="A393" s="243"/>
      <c r="B393" s="244"/>
      <c r="C393" s="311">
        <v>6</v>
      </c>
      <c r="D393" s="244">
        <v>6</v>
      </c>
      <c r="E393" s="244">
        <v>1</v>
      </c>
      <c r="F393" s="244">
        <v>0</v>
      </c>
      <c r="G393" s="244">
        <v>2</v>
      </c>
      <c r="H393" s="244">
        <v>2</v>
      </c>
      <c r="I393" s="244">
        <v>1</v>
      </c>
      <c r="J393" s="244">
        <v>0</v>
      </c>
      <c r="K393" s="276">
        <v>3</v>
      </c>
      <c r="L393" s="277">
        <v>34.7286</v>
      </c>
      <c r="M393" s="249"/>
      <c r="N393" s="250"/>
      <c r="O393" s="250"/>
      <c r="P393" s="250"/>
      <c r="Q393" s="250"/>
      <c r="R393" s="250"/>
      <c r="S393" s="266">
        <f t="shared" si="8"/>
        <v>0.47712125471966244</v>
      </c>
    </row>
    <row r="394" spans="1:19">
      <c r="A394" s="243"/>
      <c r="B394" s="244"/>
      <c r="C394" s="311">
        <v>8</v>
      </c>
      <c r="D394" s="244">
        <v>6</v>
      </c>
      <c r="E394" s="244">
        <v>1</v>
      </c>
      <c r="F394" s="244">
        <v>0</v>
      </c>
      <c r="G394" s="244">
        <v>2</v>
      </c>
      <c r="H394" s="244">
        <v>2</v>
      </c>
      <c r="I394" s="244">
        <v>1</v>
      </c>
      <c r="J394" s="244">
        <v>0</v>
      </c>
      <c r="K394" s="276">
        <v>4.2</v>
      </c>
      <c r="L394" s="277">
        <v>31.5002</v>
      </c>
      <c r="M394" s="249"/>
      <c r="N394" s="250"/>
      <c r="O394" s="250"/>
      <c r="P394" s="250"/>
      <c r="Q394" s="250"/>
      <c r="R394" s="250"/>
      <c r="S394" s="266">
        <f t="shared" si="8"/>
        <v>0.62324929039790045</v>
      </c>
    </row>
    <row r="395" spans="1:19">
      <c r="A395" s="243"/>
      <c r="B395" s="244"/>
      <c r="C395" s="311">
        <v>8</v>
      </c>
      <c r="D395" s="244">
        <v>6</v>
      </c>
      <c r="E395" s="244">
        <v>1</v>
      </c>
      <c r="F395" s="244">
        <v>0</v>
      </c>
      <c r="G395" s="244">
        <v>2</v>
      </c>
      <c r="H395" s="244">
        <v>2</v>
      </c>
      <c r="I395" s="244">
        <v>1</v>
      </c>
      <c r="J395" s="244">
        <v>0</v>
      </c>
      <c r="K395" s="276">
        <v>4.2</v>
      </c>
      <c r="L395" s="277">
        <v>31.5002</v>
      </c>
      <c r="M395" s="249"/>
      <c r="N395" s="250"/>
      <c r="O395" s="250"/>
      <c r="P395" s="250"/>
      <c r="Q395" s="250"/>
      <c r="R395" s="250"/>
      <c r="S395" s="266">
        <f t="shared" ref="S395:S458" si="9">LOG10(K395)</f>
        <v>0.62324929039790045</v>
      </c>
    </row>
    <row r="396" spans="1:19">
      <c r="A396" s="243"/>
      <c r="B396" s="244"/>
      <c r="C396" s="311">
        <v>10</v>
      </c>
      <c r="D396" s="244">
        <v>6</v>
      </c>
      <c r="E396" s="244">
        <v>0</v>
      </c>
      <c r="F396" s="244">
        <v>0</v>
      </c>
      <c r="G396" s="244">
        <v>2</v>
      </c>
      <c r="H396" s="244">
        <v>2</v>
      </c>
      <c r="I396" s="244">
        <v>1</v>
      </c>
      <c r="J396" s="244">
        <v>0</v>
      </c>
      <c r="K396" s="276">
        <v>5.2</v>
      </c>
      <c r="L396" s="277">
        <v>26.7</v>
      </c>
      <c r="M396" s="249"/>
      <c r="N396" s="250"/>
      <c r="O396" s="250"/>
      <c r="P396" s="250"/>
      <c r="Q396" s="250"/>
      <c r="R396" s="250"/>
      <c r="S396" s="266">
        <f t="shared" si="9"/>
        <v>0.71600334363479923</v>
      </c>
    </row>
    <row r="397" spans="1:19">
      <c r="A397" s="243"/>
      <c r="B397" s="244"/>
      <c r="C397" s="311">
        <v>12</v>
      </c>
      <c r="D397" s="244">
        <v>6</v>
      </c>
      <c r="E397" s="244">
        <v>1</v>
      </c>
      <c r="F397" s="244">
        <v>0</v>
      </c>
      <c r="G397" s="244">
        <v>2</v>
      </c>
      <c r="H397" s="244">
        <v>2</v>
      </c>
      <c r="I397" s="244">
        <v>1</v>
      </c>
      <c r="J397" s="244">
        <v>0</v>
      </c>
      <c r="K397" s="276">
        <v>6</v>
      </c>
      <c r="L397" s="277">
        <v>23.2715</v>
      </c>
      <c r="M397" s="249"/>
      <c r="N397" s="250"/>
      <c r="O397" s="250"/>
      <c r="P397" s="250"/>
      <c r="Q397" s="250"/>
      <c r="R397" s="250"/>
      <c r="S397" s="266">
        <f t="shared" si="9"/>
        <v>0.77815125038364363</v>
      </c>
    </row>
    <row r="398" spans="1:19">
      <c r="A398" s="243"/>
      <c r="B398" s="244"/>
      <c r="C398" s="311">
        <v>6</v>
      </c>
      <c r="D398" s="244">
        <v>6</v>
      </c>
      <c r="E398" s="244">
        <v>1</v>
      </c>
      <c r="F398" s="244">
        <v>0</v>
      </c>
      <c r="G398" s="244">
        <v>2</v>
      </c>
      <c r="H398" s="244">
        <v>2</v>
      </c>
      <c r="I398" s="244">
        <v>1</v>
      </c>
      <c r="J398" s="244">
        <v>1</v>
      </c>
      <c r="K398" s="276">
        <v>3</v>
      </c>
      <c r="L398" s="277">
        <v>38.169600000000003</v>
      </c>
      <c r="M398" s="249"/>
      <c r="N398" s="250"/>
      <c r="O398" s="250"/>
      <c r="P398" s="250"/>
      <c r="Q398" s="250"/>
      <c r="R398" s="250"/>
      <c r="S398" s="266">
        <f t="shared" si="9"/>
        <v>0.47712125471966244</v>
      </c>
    </row>
    <row r="399" spans="1:19">
      <c r="A399" s="243"/>
      <c r="B399" s="244"/>
      <c r="C399" s="311">
        <v>6</v>
      </c>
      <c r="D399" s="244">
        <v>6</v>
      </c>
      <c r="E399" s="244">
        <v>0</v>
      </c>
      <c r="F399" s="244">
        <v>0</v>
      </c>
      <c r="G399" s="244">
        <v>2</v>
      </c>
      <c r="H399" s="244">
        <v>2</v>
      </c>
      <c r="I399" s="244">
        <v>1</v>
      </c>
      <c r="J399" s="244">
        <v>1</v>
      </c>
      <c r="K399" s="276">
        <v>3</v>
      </c>
      <c r="L399" s="277">
        <v>38.7896</v>
      </c>
      <c r="M399" s="249"/>
      <c r="N399" s="250"/>
      <c r="O399" s="250"/>
      <c r="P399" s="250"/>
      <c r="Q399" s="250"/>
      <c r="R399" s="250"/>
      <c r="S399" s="266">
        <f t="shared" si="9"/>
        <v>0.47712125471966244</v>
      </c>
    </row>
    <row r="400" spans="1:19">
      <c r="A400" s="243"/>
      <c r="B400" s="244"/>
      <c r="C400" s="311">
        <v>6</v>
      </c>
      <c r="D400" s="244">
        <v>6</v>
      </c>
      <c r="E400" s="244">
        <v>1</v>
      </c>
      <c r="F400" s="244">
        <v>0</v>
      </c>
      <c r="G400" s="244">
        <v>2</v>
      </c>
      <c r="H400" s="244">
        <v>2</v>
      </c>
      <c r="I400" s="244">
        <v>1</v>
      </c>
      <c r="J400" s="244">
        <v>1</v>
      </c>
      <c r="K400" s="276">
        <v>3</v>
      </c>
      <c r="L400" s="277">
        <v>34.781799999999997</v>
      </c>
      <c r="M400" s="249"/>
      <c r="N400" s="250"/>
      <c r="O400" s="250"/>
      <c r="P400" s="250"/>
      <c r="Q400" s="250"/>
      <c r="R400" s="250"/>
      <c r="S400" s="266">
        <f t="shared" si="9"/>
        <v>0.47712125471966244</v>
      </c>
    </row>
    <row r="401" spans="1:19">
      <c r="A401" s="243"/>
      <c r="B401" s="244"/>
      <c r="C401" s="311">
        <v>6</v>
      </c>
      <c r="D401" s="244">
        <v>6</v>
      </c>
      <c r="E401" s="244">
        <v>0</v>
      </c>
      <c r="F401" s="244">
        <v>0</v>
      </c>
      <c r="G401" s="244">
        <v>2</v>
      </c>
      <c r="H401" s="244">
        <v>2</v>
      </c>
      <c r="I401" s="244">
        <v>1</v>
      </c>
      <c r="J401" s="244">
        <v>1</v>
      </c>
      <c r="K401" s="276">
        <v>3</v>
      </c>
      <c r="L401" s="277">
        <v>35.460599999999999</v>
      </c>
      <c r="M401" s="249"/>
      <c r="N401" s="250"/>
      <c r="O401" s="250"/>
      <c r="P401" s="250"/>
      <c r="Q401" s="250"/>
      <c r="R401" s="250"/>
      <c r="S401" s="266">
        <f t="shared" si="9"/>
        <v>0.47712125471966244</v>
      </c>
    </row>
    <row r="402" spans="1:19">
      <c r="A402" s="243"/>
      <c r="B402" s="244"/>
      <c r="C402" s="311">
        <v>6</v>
      </c>
      <c r="D402" s="244">
        <v>6</v>
      </c>
      <c r="E402" s="244">
        <v>1</v>
      </c>
      <c r="F402" s="244">
        <v>0</v>
      </c>
      <c r="G402" s="244">
        <v>2</v>
      </c>
      <c r="H402" s="244">
        <v>2</v>
      </c>
      <c r="I402" s="244">
        <v>1</v>
      </c>
      <c r="J402" s="244">
        <v>0</v>
      </c>
      <c r="K402" s="276">
        <v>3</v>
      </c>
      <c r="L402" s="277">
        <v>35.883099999999999</v>
      </c>
      <c r="M402" s="249"/>
      <c r="N402" s="250"/>
      <c r="O402" s="250"/>
      <c r="P402" s="250"/>
      <c r="Q402" s="250"/>
      <c r="R402" s="250"/>
      <c r="S402" s="266">
        <f t="shared" si="9"/>
        <v>0.47712125471966244</v>
      </c>
    </row>
    <row r="403" spans="1:19">
      <c r="A403" s="243"/>
      <c r="B403" s="244"/>
      <c r="C403" s="311">
        <v>6</v>
      </c>
      <c r="D403" s="244">
        <v>6</v>
      </c>
      <c r="E403" s="244">
        <v>0</v>
      </c>
      <c r="F403" s="244">
        <v>0</v>
      </c>
      <c r="G403" s="244">
        <v>2</v>
      </c>
      <c r="H403" s="244">
        <v>2</v>
      </c>
      <c r="I403" s="244">
        <v>1</v>
      </c>
      <c r="J403" s="244">
        <v>0</v>
      </c>
      <c r="K403" s="276">
        <v>3</v>
      </c>
      <c r="L403" s="277">
        <v>35.708100000000002</v>
      </c>
      <c r="M403" s="249"/>
      <c r="N403" s="250"/>
      <c r="O403" s="250"/>
      <c r="P403" s="250"/>
      <c r="Q403" s="250"/>
      <c r="R403" s="250"/>
      <c r="S403" s="266">
        <f t="shared" si="9"/>
        <v>0.47712125471966244</v>
      </c>
    </row>
    <row r="404" spans="1:19">
      <c r="A404" s="243"/>
      <c r="B404" s="244"/>
      <c r="C404" s="311">
        <v>6</v>
      </c>
      <c r="D404" s="244">
        <v>6</v>
      </c>
      <c r="E404" s="244">
        <v>1</v>
      </c>
      <c r="F404" s="244">
        <v>0</v>
      </c>
      <c r="G404" s="244">
        <v>2</v>
      </c>
      <c r="H404" s="244">
        <v>2</v>
      </c>
      <c r="I404" s="244">
        <v>1</v>
      </c>
      <c r="J404" s="244">
        <v>0</v>
      </c>
      <c r="K404" s="276">
        <v>3</v>
      </c>
      <c r="L404" s="277">
        <v>34.7288</v>
      </c>
      <c r="M404" s="249"/>
      <c r="N404" s="250"/>
      <c r="O404" s="250"/>
      <c r="P404" s="250"/>
      <c r="Q404" s="250"/>
      <c r="R404" s="250"/>
      <c r="S404" s="266">
        <f t="shared" si="9"/>
        <v>0.47712125471966244</v>
      </c>
    </row>
    <row r="405" spans="1:19">
      <c r="A405" s="243"/>
      <c r="B405" s="244"/>
      <c r="C405" s="311">
        <v>6</v>
      </c>
      <c r="D405" s="244">
        <v>6</v>
      </c>
      <c r="E405" s="244">
        <v>1</v>
      </c>
      <c r="F405" s="244">
        <v>0</v>
      </c>
      <c r="G405" s="244">
        <v>2</v>
      </c>
      <c r="H405" s="244">
        <v>2</v>
      </c>
      <c r="I405" s="244">
        <v>1</v>
      </c>
      <c r="J405" s="244">
        <v>0</v>
      </c>
      <c r="K405" s="276">
        <v>3</v>
      </c>
      <c r="L405" s="277">
        <v>34.285299999999999</v>
      </c>
      <c r="M405" s="249"/>
      <c r="N405" s="250"/>
      <c r="O405" s="250"/>
      <c r="P405" s="250"/>
      <c r="Q405" s="250"/>
      <c r="R405" s="250"/>
      <c r="S405" s="266">
        <f t="shared" si="9"/>
        <v>0.47712125471966244</v>
      </c>
    </row>
    <row r="406" spans="1:19">
      <c r="A406" s="243"/>
      <c r="B406" s="244"/>
      <c r="C406" s="311">
        <v>8</v>
      </c>
      <c r="D406" s="244">
        <v>6</v>
      </c>
      <c r="E406" s="244">
        <v>1</v>
      </c>
      <c r="F406" s="244">
        <v>0</v>
      </c>
      <c r="G406" s="244">
        <v>2</v>
      </c>
      <c r="H406" s="244">
        <v>2</v>
      </c>
      <c r="I406" s="244">
        <v>1</v>
      </c>
      <c r="J406" s="244">
        <v>1</v>
      </c>
      <c r="K406" s="276">
        <v>4.8</v>
      </c>
      <c r="L406" s="277">
        <v>30.537500000000001</v>
      </c>
      <c r="M406" s="249"/>
      <c r="N406" s="250"/>
      <c r="O406" s="250"/>
      <c r="P406" s="250"/>
      <c r="Q406" s="250"/>
      <c r="R406" s="250"/>
      <c r="S406" s="266">
        <f t="shared" si="9"/>
        <v>0.68124123737558717</v>
      </c>
    </row>
    <row r="407" spans="1:19">
      <c r="A407" s="243"/>
      <c r="B407" s="244"/>
      <c r="C407" s="311">
        <v>8</v>
      </c>
      <c r="D407" s="244">
        <v>6</v>
      </c>
      <c r="E407" s="244">
        <v>1</v>
      </c>
      <c r="F407" s="244">
        <v>0</v>
      </c>
      <c r="G407" s="244">
        <v>2</v>
      </c>
      <c r="H407" s="244">
        <v>2</v>
      </c>
      <c r="I407" s="244">
        <v>1</v>
      </c>
      <c r="J407" s="244">
        <v>1</v>
      </c>
      <c r="K407" s="276">
        <v>4.8</v>
      </c>
      <c r="L407" s="277">
        <v>31.374700000000001</v>
      </c>
      <c r="M407" s="249"/>
      <c r="N407" s="250"/>
      <c r="O407" s="250"/>
      <c r="P407" s="250"/>
      <c r="Q407" s="250"/>
      <c r="R407" s="250"/>
      <c r="S407" s="266">
        <f t="shared" si="9"/>
        <v>0.68124123737558717</v>
      </c>
    </row>
    <row r="408" spans="1:19">
      <c r="A408" s="243"/>
      <c r="B408" s="244"/>
      <c r="C408" s="311">
        <v>10</v>
      </c>
      <c r="D408" s="244">
        <v>6</v>
      </c>
      <c r="E408" s="244">
        <v>1</v>
      </c>
      <c r="F408" s="244">
        <v>0</v>
      </c>
      <c r="G408" s="244">
        <v>2</v>
      </c>
      <c r="H408" s="244">
        <v>2</v>
      </c>
      <c r="I408" s="244">
        <v>1</v>
      </c>
      <c r="J408" s="244">
        <v>0</v>
      </c>
      <c r="K408" s="276">
        <v>5</v>
      </c>
      <c r="L408" s="277">
        <v>23.227</v>
      </c>
      <c r="M408" s="249"/>
      <c r="N408" s="250"/>
      <c r="O408" s="250"/>
      <c r="P408" s="250"/>
      <c r="Q408" s="250"/>
      <c r="R408" s="250"/>
      <c r="S408" s="266">
        <f t="shared" si="9"/>
        <v>0.69897000433601886</v>
      </c>
    </row>
    <row r="409" spans="1:19">
      <c r="A409" s="243"/>
      <c r="B409" s="244"/>
      <c r="C409" s="311">
        <v>10</v>
      </c>
      <c r="D409" s="244">
        <v>7</v>
      </c>
      <c r="E409" s="244">
        <v>1</v>
      </c>
      <c r="F409" s="244">
        <v>0</v>
      </c>
      <c r="G409" s="244">
        <v>2</v>
      </c>
      <c r="H409" s="244">
        <v>2</v>
      </c>
      <c r="I409" s="244">
        <v>1</v>
      </c>
      <c r="J409" s="244">
        <v>0</v>
      </c>
      <c r="K409" s="276">
        <v>5</v>
      </c>
      <c r="L409" s="277">
        <v>23.618200000000002</v>
      </c>
      <c r="M409" s="249"/>
      <c r="N409" s="250"/>
      <c r="O409" s="250"/>
      <c r="P409" s="250"/>
      <c r="Q409" s="250"/>
      <c r="R409" s="250"/>
      <c r="S409" s="266">
        <f t="shared" si="9"/>
        <v>0.69897000433601886</v>
      </c>
    </row>
    <row r="410" spans="1:19">
      <c r="A410" s="243"/>
      <c r="B410" s="244"/>
      <c r="C410" s="311">
        <v>4</v>
      </c>
      <c r="D410" s="244">
        <v>6</v>
      </c>
      <c r="E410" s="244">
        <v>1</v>
      </c>
      <c r="F410" s="244">
        <v>0</v>
      </c>
      <c r="G410" s="244">
        <v>2</v>
      </c>
      <c r="H410" s="244">
        <v>2</v>
      </c>
      <c r="I410" s="244">
        <v>1</v>
      </c>
      <c r="J410" s="244">
        <v>0</v>
      </c>
      <c r="K410" s="276">
        <v>2.4</v>
      </c>
      <c r="L410" s="277">
        <v>41.695999999999998</v>
      </c>
      <c r="M410" s="249"/>
      <c r="N410" s="250"/>
      <c r="O410" s="250"/>
      <c r="P410" s="250"/>
      <c r="Q410" s="250"/>
      <c r="R410" s="250"/>
      <c r="S410" s="266">
        <f t="shared" si="9"/>
        <v>0.38021124171160603</v>
      </c>
    </row>
    <row r="411" spans="1:19">
      <c r="A411" s="243"/>
      <c r="B411" s="244"/>
      <c r="C411" s="311">
        <v>6</v>
      </c>
      <c r="D411" s="244">
        <v>6</v>
      </c>
      <c r="E411" s="244">
        <v>1</v>
      </c>
      <c r="F411" s="244">
        <v>0</v>
      </c>
      <c r="G411" s="244">
        <v>2</v>
      </c>
      <c r="H411" s="244">
        <v>2</v>
      </c>
      <c r="I411" s="244">
        <v>1</v>
      </c>
      <c r="J411" s="244">
        <v>0</v>
      </c>
      <c r="K411" s="276">
        <v>3</v>
      </c>
      <c r="L411" s="277">
        <v>36.1</v>
      </c>
      <c r="M411" s="249"/>
      <c r="N411" s="250"/>
      <c r="O411" s="250"/>
      <c r="P411" s="250"/>
      <c r="Q411" s="250"/>
      <c r="R411" s="250"/>
      <c r="S411" s="266">
        <f t="shared" si="9"/>
        <v>0.47712125471966244</v>
      </c>
    </row>
    <row r="412" spans="1:19">
      <c r="A412" s="243"/>
      <c r="B412" s="244"/>
      <c r="C412" s="311">
        <v>6</v>
      </c>
      <c r="D412" s="244">
        <v>6</v>
      </c>
      <c r="E412" s="244">
        <v>1</v>
      </c>
      <c r="F412" s="244">
        <v>0</v>
      </c>
      <c r="G412" s="244">
        <v>2</v>
      </c>
      <c r="H412" s="244">
        <v>2</v>
      </c>
      <c r="I412" s="244">
        <v>1</v>
      </c>
      <c r="J412" s="244">
        <v>0</v>
      </c>
      <c r="K412" s="276">
        <v>3.6</v>
      </c>
      <c r="L412" s="277">
        <v>38.1</v>
      </c>
      <c r="M412" s="249"/>
      <c r="N412" s="250"/>
      <c r="O412" s="250"/>
      <c r="P412" s="250"/>
      <c r="Q412" s="250"/>
      <c r="R412" s="250"/>
      <c r="S412" s="266">
        <f t="shared" si="9"/>
        <v>0.55630250076728727</v>
      </c>
    </row>
    <row r="413" spans="1:19">
      <c r="A413" s="243"/>
      <c r="B413" s="244"/>
      <c r="C413" s="311">
        <v>6</v>
      </c>
      <c r="D413" s="244">
        <v>6</v>
      </c>
      <c r="E413" s="244">
        <v>1</v>
      </c>
      <c r="F413" s="244">
        <v>0</v>
      </c>
      <c r="G413" s="244">
        <v>2</v>
      </c>
      <c r="H413" s="244">
        <v>2</v>
      </c>
      <c r="I413" s="244">
        <v>1</v>
      </c>
      <c r="J413" s="244">
        <v>0</v>
      </c>
      <c r="K413" s="276">
        <v>3</v>
      </c>
      <c r="L413" s="277">
        <v>34.4</v>
      </c>
      <c r="M413" s="249"/>
      <c r="N413" s="250"/>
      <c r="O413" s="250"/>
      <c r="P413" s="250"/>
      <c r="Q413" s="250"/>
      <c r="R413" s="250"/>
      <c r="S413" s="266">
        <f t="shared" si="9"/>
        <v>0.47712125471966244</v>
      </c>
    </row>
    <row r="414" spans="1:19">
      <c r="A414" s="243"/>
      <c r="B414" s="244"/>
      <c r="C414" s="311">
        <v>6</v>
      </c>
      <c r="D414" s="244">
        <v>6</v>
      </c>
      <c r="E414" s="244">
        <v>1</v>
      </c>
      <c r="F414" s="244">
        <v>0</v>
      </c>
      <c r="G414" s="244">
        <v>2</v>
      </c>
      <c r="H414" s="244">
        <v>2</v>
      </c>
      <c r="I414" s="244">
        <v>1</v>
      </c>
      <c r="J414" s="244">
        <v>0</v>
      </c>
      <c r="K414" s="276">
        <v>3</v>
      </c>
      <c r="L414" s="277">
        <v>38.299999999999997</v>
      </c>
      <c r="M414" s="249"/>
      <c r="N414" s="250"/>
      <c r="O414" s="250"/>
      <c r="P414" s="250"/>
      <c r="Q414" s="250"/>
      <c r="R414" s="250"/>
      <c r="S414" s="266">
        <f t="shared" si="9"/>
        <v>0.47712125471966244</v>
      </c>
    </row>
    <row r="415" spans="1:19">
      <c r="A415" s="243"/>
      <c r="B415" s="244"/>
      <c r="C415" s="311">
        <v>6</v>
      </c>
      <c r="D415" s="244">
        <v>6</v>
      </c>
      <c r="E415" s="244">
        <v>0</v>
      </c>
      <c r="F415" s="244">
        <v>0</v>
      </c>
      <c r="G415" s="244">
        <v>2</v>
      </c>
      <c r="H415" s="244">
        <v>2</v>
      </c>
      <c r="I415" s="244">
        <v>1</v>
      </c>
      <c r="J415" s="244">
        <v>0</v>
      </c>
      <c r="K415" s="276">
        <v>3</v>
      </c>
      <c r="L415" s="277">
        <v>36</v>
      </c>
      <c r="M415" s="249"/>
      <c r="N415" s="250"/>
      <c r="O415" s="250"/>
      <c r="P415" s="250"/>
      <c r="Q415" s="250"/>
      <c r="R415" s="250"/>
      <c r="S415" s="266">
        <f t="shared" si="9"/>
        <v>0.47712125471966244</v>
      </c>
    </row>
    <row r="416" spans="1:19">
      <c r="A416" s="243"/>
      <c r="B416" s="244"/>
      <c r="C416" s="311">
        <v>6</v>
      </c>
      <c r="D416" s="244">
        <v>6</v>
      </c>
      <c r="E416" s="244">
        <v>0</v>
      </c>
      <c r="F416" s="244">
        <v>0</v>
      </c>
      <c r="G416" s="244">
        <v>2</v>
      </c>
      <c r="H416" s="244">
        <v>2</v>
      </c>
      <c r="I416" s="244">
        <v>1</v>
      </c>
      <c r="J416" s="244">
        <v>0</v>
      </c>
      <c r="K416" s="276">
        <v>3.6</v>
      </c>
      <c r="L416" s="277">
        <v>34.9</v>
      </c>
      <c r="M416" s="249"/>
      <c r="N416" s="250"/>
      <c r="O416" s="250"/>
      <c r="P416" s="250"/>
      <c r="Q416" s="250"/>
      <c r="R416" s="250"/>
      <c r="S416" s="266">
        <f t="shared" si="9"/>
        <v>0.55630250076728727</v>
      </c>
    </row>
    <row r="417" spans="1:19">
      <c r="A417" s="243"/>
      <c r="B417" s="244"/>
      <c r="C417" s="311">
        <v>6</v>
      </c>
      <c r="D417" s="244">
        <v>6</v>
      </c>
      <c r="E417" s="244">
        <v>1</v>
      </c>
      <c r="F417" s="244">
        <v>0</v>
      </c>
      <c r="G417" s="244">
        <v>2</v>
      </c>
      <c r="H417" s="244">
        <v>2</v>
      </c>
      <c r="I417" s="244">
        <v>1</v>
      </c>
      <c r="J417" s="244">
        <v>0</v>
      </c>
      <c r="K417" s="276">
        <v>3.6</v>
      </c>
      <c r="L417" s="277">
        <v>40</v>
      </c>
      <c r="M417" s="249"/>
      <c r="N417" s="250"/>
      <c r="O417" s="250"/>
      <c r="P417" s="250"/>
      <c r="Q417" s="250"/>
      <c r="R417" s="250"/>
      <c r="S417" s="266">
        <f t="shared" si="9"/>
        <v>0.55630250076728727</v>
      </c>
    </row>
    <row r="418" spans="1:19">
      <c r="A418" s="243"/>
      <c r="B418" s="244"/>
      <c r="C418" s="311">
        <v>8</v>
      </c>
      <c r="D418" s="244">
        <v>6</v>
      </c>
      <c r="E418" s="244">
        <v>1</v>
      </c>
      <c r="F418" s="244">
        <v>0</v>
      </c>
      <c r="G418" s="244">
        <v>1</v>
      </c>
      <c r="H418" s="244">
        <v>1</v>
      </c>
      <c r="I418" s="244">
        <v>0</v>
      </c>
      <c r="J418" s="244">
        <v>0</v>
      </c>
      <c r="K418" s="276">
        <v>6.2</v>
      </c>
      <c r="L418" s="277">
        <v>24.9754</v>
      </c>
      <c r="M418" s="249"/>
      <c r="N418" s="250"/>
      <c r="O418" s="250"/>
      <c r="P418" s="250"/>
      <c r="Q418" s="250"/>
      <c r="R418" s="250"/>
      <c r="S418" s="266">
        <f t="shared" si="9"/>
        <v>0.79239168949825389</v>
      </c>
    </row>
    <row r="419" spans="1:19">
      <c r="A419" s="243"/>
      <c r="B419" s="244"/>
      <c r="C419" s="311">
        <v>8</v>
      </c>
      <c r="D419" s="244">
        <v>6</v>
      </c>
      <c r="E419" s="244">
        <v>0</v>
      </c>
      <c r="F419" s="244">
        <v>0</v>
      </c>
      <c r="G419" s="244">
        <v>1</v>
      </c>
      <c r="H419" s="244">
        <v>1</v>
      </c>
      <c r="I419" s="244">
        <v>0</v>
      </c>
      <c r="J419" s="244">
        <v>0</v>
      </c>
      <c r="K419" s="276">
        <v>6.2</v>
      </c>
      <c r="L419" s="277">
        <v>26.299900000000001</v>
      </c>
      <c r="M419" s="249"/>
      <c r="N419" s="250"/>
      <c r="O419" s="250"/>
      <c r="P419" s="250"/>
      <c r="Q419" s="250"/>
      <c r="R419" s="250"/>
      <c r="S419" s="266">
        <f t="shared" si="9"/>
        <v>0.79239168949825389</v>
      </c>
    </row>
    <row r="420" spans="1:19">
      <c r="A420" s="243"/>
      <c r="B420" s="244"/>
      <c r="C420" s="311">
        <v>6</v>
      </c>
      <c r="D420" s="244">
        <v>6</v>
      </c>
      <c r="E420" s="244">
        <v>1</v>
      </c>
      <c r="F420" s="244">
        <v>0</v>
      </c>
      <c r="G420" s="244">
        <v>2</v>
      </c>
      <c r="H420" s="244">
        <v>2</v>
      </c>
      <c r="I420" s="244">
        <v>1</v>
      </c>
      <c r="J420" s="244">
        <v>0</v>
      </c>
      <c r="K420" s="276">
        <v>3</v>
      </c>
      <c r="L420" s="277">
        <v>36.1</v>
      </c>
      <c r="M420" s="249"/>
      <c r="N420" s="250"/>
      <c r="O420" s="250"/>
      <c r="P420" s="250"/>
      <c r="Q420" s="250"/>
      <c r="R420" s="250"/>
      <c r="S420" s="266">
        <f t="shared" si="9"/>
        <v>0.47712125471966244</v>
      </c>
    </row>
    <row r="421" spans="1:19">
      <c r="A421" s="243"/>
      <c r="B421" s="244"/>
      <c r="C421" s="311">
        <v>6</v>
      </c>
      <c r="D421" s="244">
        <v>6</v>
      </c>
      <c r="E421" s="244">
        <v>1</v>
      </c>
      <c r="F421" s="244">
        <v>0</v>
      </c>
      <c r="G421" s="244">
        <v>2</v>
      </c>
      <c r="H421" s="244">
        <v>2</v>
      </c>
      <c r="I421" s="244">
        <v>1</v>
      </c>
      <c r="J421" s="244">
        <v>0</v>
      </c>
      <c r="K421" s="276">
        <v>3.6</v>
      </c>
      <c r="L421" s="277">
        <v>37.200000000000003</v>
      </c>
      <c r="M421" s="249"/>
      <c r="N421" s="250"/>
      <c r="O421" s="250"/>
      <c r="P421" s="250"/>
      <c r="Q421" s="250"/>
      <c r="R421" s="250"/>
      <c r="S421" s="266">
        <f t="shared" si="9"/>
        <v>0.55630250076728727</v>
      </c>
    </row>
    <row r="422" spans="1:19">
      <c r="A422" s="243"/>
      <c r="B422" s="244"/>
      <c r="C422" s="311">
        <v>6</v>
      </c>
      <c r="D422" s="244">
        <v>6</v>
      </c>
      <c r="E422" s="244">
        <v>1</v>
      </c>
      <c r="F422" s="244">
        <v>0</v>
      </c>
      <c r="G422" s="244">
        <v>2</v>
      </c>
      <c r="H422" s="244">
        <v>2</v>
      </c>
      <c r="I422" s="244">
        <v>1</v>
      </c>
      <c r="J422" s="244">
        <v>0</v>
      </c>
      <c r="K422" s="276">
        <v>3.6</v>
      </c>
      <c r="L422" s="277">
        <v>40</v>
      </c>
      <c r="M422" s="249"/>
      <c r="N422" s="250"/>
      <c r="O422" s="250"/>
      <c r="P422" s="250"/>
      <c r="Q422" s="250"/>
      <c r="R422" s="250"/>
      <c r="S422" s="266">
        <f t="shared" si="9"/>
        <v>0.55630250076728727</v>
      </c>
    </row>
    <row r="423" spans="1:19">
      <c r="A423" s="243"/>
      <c r="B423" s="244"/>
      <c r="C423" s="311">
        <v>8</v>
      </c>
      <c r="D423" s="244">
        <v>6</v>
      </c>
      <c r="E423" s="244">
        <v>1</v>
      </c>
      <c r="F423" s="244">
        <v>0</v>
      </c>
      <c r="G423" s="244">
        <v>2</v>
      </c>
      <c r="H423" s="244">
        <v>2</v>
      </c>
      <c r="I423" s="244">
        <v>0</v>
      </c>
      <c r="J423" s="244">
        <v>0</v>
      </c>
      <c r="K423" s="276">
        <v>4.5999999999999996</v>
      </c>
      <c r="L423" s="277">
        <v>34.1</v>
      </c>
      <c r="M423" s="249"/>
      <c r="N423" s="250"/>
      <c r="O423" s="250"/>
      <c r="P423" s="250"/>
      <c r="Q423" s="250"/>
      <c r="R423" s="250"/>
      <c r="S423" s="266">
        <f t="shared" si="9"/>
        <v>0.66275783168157409</v>
      </c>
    </row>
    <row r="424" spans="1:19">
      <c r="A424" s="243"/>
      <c r="B424" s="244"/>
      <c r="C424" s="311">
        <v>6</v>
      </c>
      <c r="D424" s="244">
        <v>6</v>
      </c>
      <c r="E424" s="244">
        <v>1</v>
      </c>
      <c r="F424" s="244">
        <v>0</v>
      </c>
      <c r="G424" s="244">
        <v>2</v>
      </c>
      <c r="H424" s="244">
        <v>2</v>
      </c>
      <c r="I424" s="244">
        <v>1</v>
      </c>
      <c r="J424" s="244">
        <v>0</v>
      </c>
      <c r="K424" s="276">
        <v>3.6</v>
      </c>
      <c r="L424" s="277">
        <v>37.200000000000003</v>
      </c>
      <c r="M424" s="249"/>
      <c r="N424" s="250"/>
      <c r="O424" s="250"/>
      <c r="P424" s="250"/>
      <c r="Q424" s="250"/>
      <c r="R424" s="250"/>
      <c r="S424" s="266">
        <f t="shared" si="9"/>
        <v>0.55630250076728727</v>
      </c>
    </row>
    <row r="425" spans="1:19">
      <c r="A425" s="243"/>
      <c r="B425" s="244"/>
      <c r="C425" s="311">
        <v>8</v>
      </c>
      <c r="D425" s="244">
        <v>6</v>
      </c>
      <c r="E425" s="244">
        <v>1</v>
      </c>
      <c r="F425" s="244">
        <v>0</v>
      </c>
      <c r="G425" s="244">
        <v>2</v>
      </c>
      <c r="H425" s="244">
        <v>2</v>
      </c>
      <c r="I425" s="244">
        <v>0</v>
      </c>
      <c r="J425" s="244">
        <v>0</v>
      </c>
      <c r="K425" s="276">
        <v>4.5999999999999996</v>
      </c>
      <c r="L425" s="277">
        <v>30.299900000000001</v>
      </c>
      <c r="M425" s="249"/>
      <c r="N425" s="250"/>
      <c r="O425" s="250"/>
      <c r="P425" s="250"/>
      <c r="Q425" s="250"/>
      <c r="R425" s="250"/>
      <c r="S425" s="266">
        <f t="shared" si="9"/>
        <v>0.66275783168157409</v>
      </c>
    </row>
    <row r="426" spans="1:19">
      <c r="A426" s="243"/>
      <c r="B426" s="244"/>
      <c r="C426" s="311">
        <v>4</v>
      </c>
      <c r="D426" s="244">
        <v>4</v>
      </c>
      <c r="E426" s="244">
        <v>1</v>
      </c>
      <c r="F426" s="244">
        <v>0</v>
      </c>
      <c r="G426" s="244">
        <v>2</v>
      </c>
      <c r="H426" s="244">
        <v>2</v>
      </c>
      <c r="I426" s="244">
        <v>1</v>
      </c>
      <c r="J426" s="244">
        <v>0</v>
      </c>
      <c r="K426" s="276">
        <v>2.4</v>
      </c>
      <c r="L426" s="277">
        <v>42.8</v>
      </c>
      <c r="M426" s="249"/>
      <c r="N426" s="250"/>
      <c r="O426" s="250"/>
      <c r="P426" s="250"/>
      <c r="Q426" s="250"/>
      <c r="R426" s="250"/>
      <c r="S426" s="266">
        <f t="shared" si="9"/>
        <v>0.38021124171160603</v>
      </c>
    </row>
    <row r="427" spans="1:19">
      <c r="A427" s="243"/>
      <c r="B427" s="244"/>
      <c r="C427" s="311">
        <v>4</v>
      </c>
      <c r="D427" s="244">
        <v>6</v>
      </c>
      <c r="E427" s="244">
        <v>1</v>
      </c>
      <c r="F427" s="244">
        <v>0</v>
      </c>
      <c r="G427" s="244">
        <v>2</v>
      </c>
      <c r="H427" s="244">
        <v>2</v>
      </c>
      <c r="I427" s="244">
        <v>1</v>
      </c>
      <c r="J427" s="244">
        <v>0</v>
      </c>
      <c r="K427" s="276">
        <v>2.4</v>
      </c>
      <c r="L427" s="277">
        <v>46.9</v>
      </c>
      <c r="M427" s="249"/>
      <c r="N427" s="250"/>
      <c r="O427" s="250"/>
      <c r="P427" s="250"/>
      <c r="Q427" s="250"/>
      <c r="R427" s="250"/>
      <c r="S427" s="266">
        <f t="shared" si="9"/>
        <v>0.38021124171160603</v>
      </c>
    </row>
    <row r="428" spans="1:19">
      <c r="A428" s="243"/>
      <c r="B428" s="244"/>
      <c r="C428" s="311">
        <v>4</v>
      </c>
      <c r="D428" s="244">
        <v>4</v>
      </c>
      <c r="E428" s="244">
        <v>1</v>
      </c>
      <c r="F428" s="244">
        <v>0</v>
      </c>
      <c r="G428" s="244">
        <v>2</v>
      </c>
      <c r="H428" s="244">
        <v>2</v>
      </c>
      <c r="I428" s="244">
        <v>1</v>
      </c>
      <c r="J428" s="244">
        <v>0</v>
      </c>
      <c r="K428" s="276">
        <v>2.4</v>
      </c>
      <c r="L428" s="277">
        <v>42.6</v>
      </c>
      <c r="M428" s="249"/>
      <c r="N428" s="250"/>
      <c r="O428" s="250"/>
      <c r="P428" s="250"/>
      <c r="Q428" s="250"/>
      <c r="R428" s="250"/>
      <c r="S428" s="266">
        <f t="shared" si="9"/>
        <v>0.38021124171160603</v>
      </c>
    </row>
    <row r="429" spans="1:19">
      <c r="A429" s="243"/>
      <c r="B429" s="244"/>
      <c r="C429" s="311">
        <v>4</v>
      </c>
      <c r="D429" s="244">
        <v>6</v>
      </c>
      <c r="E429" s="244">
        <v>1</v>
      </c>
      <c r="F429" s="244">
        <v>0</v>
      </c>
      <c r="G429" s="244">
        <v>2</v>
      </c>
      <c r="H429" s="244">
        <v>2</v>
      </c>
      <c r="I429" s="244">
        <v>1</v>
      </c>
      <c r="J429" s="244">
        <v>0</v>
      </c>
      <c r="K429" s="276">
        <v>2.4</v>
      </c>
      <c r="L429" s="277">
        <v>46.8</v>
      </c>
      <c r="M429" s="249"/>
      <c r="N429" s="250"/>
      <c r="O429" s="250"/>
      <c r="P429" s="250"/>
      <c r="Q429" s="250"/>
      <c r="R429" s="250"/>
      <c r="S429" s="266">
        <f t="shared" si="9"/>
        <v>0.38021124171160603</v>
      </c>
    </row>
    <row r="430" spans="1:19">
      <c r="A430" s="243"/>
      <c r="B430" s="244"/>
      <c r="C430" s="311">
        <v>6</v>
      </c>
      <c r="D430" s="244">
        <v>4</v>
      </c>
      <c r="E430" s="244">
        <v>1</v>
      </c>
      <c r="F430" s="244">
        <v>0</v>
      </c>
      <c r="G430" s="244">
        <v>1</v>
      </c>
      <c r="H430" s="244">
        <v>1</v>
      </c>
      <c r="I430" s="244">
        <v>1</v>
      </c>
      <c r="J430" s="244">
        <v>0</v>
      </c>
      <c r="K430" s="276">
        <v>3.5</v>
      </c>
      <c r="L430" s="277">
        <v>40.299999999999997</v>
      </c>
      <c r="M430" s="249"/>
      <c r="N430" s="250"/>
      <c r="O430" s="250"/>
      <c r="P430" s="250"/>
      <c r="Q430" s="250"/>
      <c r="R430" s="250"/>
      <c r="S430" s="266">
        <f t="shared" si="9"/>
        <v>0.54406804435027567</v>
      </c>
    </row>
    <row r="431" spans="1:19">
      <c r="A431" s="243"/>
      <c r="B431" s="244"/>
      <c r="C431" s="311">
        <v>6</v>
      </c>
      <c r="D431" s="244">
        <v>4</v>
      </c>
      <c r="E431" s="244">
        <v>1</v>
      </c>
      <c r="F431" s="244">
        <v>0</v>
      </c>
      <c r="G431" s="244">
        <v>1</v>
      </c>
      <c r="H431" s="244">
        <v>1</v>
      </c>
      <c r="I431" s="244">
        <v>1</v>
      </c>
      <c r="J431" s="244">
        <v>0</v>
      </c>
      <c r="K431" s="276">
        <v>3.5</v>
      </c>
      <c r="L431" s="277">
        <v>41.2</v>
      </c>
      <c r="M431" s="249"/>
      <c r="N431" s="250"/>
      <c r="O431" s="250"/>
      <c r="P431" s="250"/>
      <c r="Q431" s="250"/>
      <c r="R431" s="250"/>
      <c r="S431" s="266">
        <f t="shared" si="9"/>
        <v>0.54406804435027567</v>
      </c>
    </row>
    <row r="432" spans="1:19">
      <c r="A432" s="243"/>
      <c r="B432" s="244"/>
      <c r="C432" s="311">
        <v>6</v>
      </c>
      <c r="D432" s="244">
        <v>6</v>
      </c>
      <c r="E432" s="244">
        <v>1</v>
      </c>
      <c r="F432" s="244">
        <v>0</v>
      </c>
      <c r="G432" s="244">
        <v>2</v>
      </c>
      <c r="H432" s="244">
        <v>2</v>
      </c>
      <c r="I432" s="244">
        <v>1</v>
      </c>
      <c r="J432" s="244">
        <v>0</v>
      </c>
      <c r="K432" s="276">
        <v>3.6</v>
      </c>
      <c r="L432" s="277">
        <v>35.6</v>
      </c>
      <c r="M432" s="249"/>
      <c r="N432" s="250"/>
      <c r="O432" s="250"/>
      <c r="P432" s="250"/>
      <c r="Q432" s="250"/>
      <c r="R432" s="250"/>
      <c r="S432" s="266">
        <f t="shared" si="9"/>
        <v>0.55630250076728727</v>
      </c>
    </row>
    <row r="433" spans="1:19">
      <c r="A433" s="243"/>
      <c r="B433" s="244"/>
      <c r="C433" s="311">
        <v>4</v>
      </c>
      <c r="D433" s="244">
        <v>4</v>
      </c>
      <c r="E433" s="244">
        <v>1</v>
      </c>
      <c r="F433" s="244">
        <v>0</v>
      </c>
      <c r="G433" s="244">
        <v>2</v>
      </c>
      <c r="H433" s="244">
        <v>2</v>
      </c>
      <c r="I433" s="244">
        <v>1</v>
      </c>
      <c r="J433" s="244">
        <v>0</v>
      </c>
      <c r="K433" s="276">
        <v>2.4</v>
      </c>
      <c r="L433" s="277">
        <v>48.1</v>
      </c>
      <c r="M433" s="249"/>
      <c r="N433" s="250"/>
      <c r="O433" s="250"/>
      <c r="P433" s="250"/>
      <c r="Q433" s="250"/>
      <c r="R433" s="250"/>
      <c r="S433" s="266">
        <f t="shared" si="9"/>
        <v>0.38021124171160603</v>
      </c>
    </row>
    <row r="434" spans="1:19">
      <c r="A434" s="243"/>
      <c r="B434" s="244"/>
      <c r="C434" s="311">
        <v>4</v>
      </c>
      <c r="D434" s="244">
        <v>4</v>
      </c>
      <c r="E434" s="244">
        <v>1</v>
      </c>
      <c r="F434" s="244">
        <v>0</v>
      </c>
      <c r="G434" s="244">
        <v>2</v>
      </c>
      <c r="H434" s="244">
        <v>2</v>
      </c>
      <c r="I434" s="244">
        <v>1</v>
      </c>
      <c r="J434" s="244">
        <v>0</v>
      </c>
      <c r="K434" s="276">
        <v>2.4</v>
      </c>
      <c r="L434" s="277">
        <v>41.699800000000003</v>
      </c>
      <c r="M434" s="249"/>
      <c r="N434" s="250"/>
      <c r="O434" s="250"/>
      <c r="P434" s="250"/>
      <c r="Q434" s="250"/>
      <c r="R434" s="250"/>
      <c r="S434" s="266">
        <f t="shared" si="9"/>
        <v>0.38021124171160603</v>
      </c>
    </row>
    <row r="435" spans="1:19">
      <c r="A435" s="243"/>
      <c r="B435" s="244"/>
      <c r="C435" s="311">
        <v>6</v>
      </c>
      <c r="D435" s="244">
        <v>4</v>
      </c>
      <c r="E435" s="244">
        <v>1</v>
      </c>
      <c r="F435" s="244">
        <v>0</v>
      </c>
      <c r="G435" s="244">
        <v>2</v>
      </c>
      <c r="H435" s="244">
        <v>2</v>
      </c>
      <c r="I435" s="244">
        <v>0</v>
      </c>
      <c r="J435" s="244">
        <v>0</v>
      </c>
      <c r="K435" s="276">
        <v>2.7</v>
      </c>
      <c r="L435" s="277">
        <v>38.299999999999997</v>
      </c>
      <c r="M435" s="249"/>
      <c r="N435" s="250"/>
      <c r="O435" s="250"/>
      <c r="P435" s="250"/>
      <c r="Q435" s="250"/>
      <c r="R435" s="250"/>
      <c r="S435" s="266">
        <f t="shared" si="9"/>
        <v>0.43136376415898736</v>
      </c>
    </row>
    <row r="436" spans="1:19">
      <c r="A436" s="243"/>
      <c r="B436" s="244"/>
      <c r="C436" s="311">
        <v>6</v>
      </c>
      <c r="D436" s="244">
        <v>6</v>
      </c>
      <c r="E436" s="244">
        <v>1</v>
      </c>
      <c r="F436" s="244">
        <v>0</v>
      </c>
      <c r="G436" s="244">
        <v>2</v>
      </c>
      <c r="H436" s="244">
        <v>2</v>
      </c>
      <c r="I436" s="244">
        <v>0</v>
      </c>
      <c r="J436" s="244">
        <v>0</v>
      </c>
      <c r="K436" s="276">
        <v>3.5</v>
      </c>
      <c r="L436" s="277">
        <v>37.6</v>
      </c>
      <c r="M436" s="249"/>
      <c r="N436" s="250"/>
      <c r="O436" s="250"/>
      <c r="P436" s="250"/>
      <c r="Q436" s="250"/>
      <c r="R436" s="250"/>
      <c r="S436" s="266">
        <f t="shared" si="9"/>
        <v>0.54406804435027567</v>
      </c>
    </row>
    <row r="437" spans="1:19">
      <c r="A437" s="243"/>
      <c r="B437" s="244"/>
      <c r="C437" s="311">
        <v>4</v>
      </c>
      <c r="D437" s="244">
        <v>4</v>
      </c>
      <c r="E437" s="244">
        <v>1</v>
      </c>
      <c r="F437" s="244">
        <v>0</v>
      </c>
      <c r="G437" s="244">
        <v>2</v>
      </c>
      <c r="H437" s="244">
        <v>2</v>
      </c>
      <c r="I437" s="244">
        <v>1</v>
      </c>
      <c r="J437" s="244">
        <v>0</v>
      </c>
      <c r="K437" s="276">
        <v>2.4</v>
      </c>
      <c r="L437" s="277">
        <v>41.699800000000003</v>
      </c>
      <c r="M437" s="249"/>
      <c r="N437" s="250"/>
      <c r="O437" s="250"/>
      <c r="P437" s="250"/>
      <c r="Q437" s="250"/>
      <c r="R437" s="250"/>
      <c r="S437" s="266">
        <f t="shared" si="9"/>
        <v>0.38021124171160603</v>
      </c>
    </row>
    <row r="438" spans="1:19">
      <c r="A438" s="243"/>
      <c r="B438" s="244"/>
      <c r="C438" s="311">
        <v>6</v>
      </c>
      <c r="D438" s="244">
        <v>4</v>
      </c>
      <c r="E438" s="244">
        <v>1</v>
      </c>
      <c r="F438" s="244">
        <v>0</v>
      </c>
      <c r="G438" s="244">
        <v>2</v>
      </c>
      <c r="H438" s="244">
        <v>2</v>
      </c>
      <c r="I438" s="244">
        <v>0</v>
      </c>
      <c r="J438" s="244">
        <v>0</v>
      </c>
      <c r="K438" s="276">
        <v>2.7</v>
      </c>
      <c r="L438" s="277">
        <v>38.299999999999997</v>
      </c>
      <c r="M438" s="249"/>
      <c r="N438" s="250"/>
      <c r="O438" s="250"/>
      <c r="P438" s="250"/>
      <c r="Q438" s="250"/>
      <c r="R438" s="250"/>
      <c r="S438" s="266">
        <f t="shared" si="9"/>
        <v>0.43136376415898736</v>
      </c>
    </row>
    <row r="439" spans="1:19">
      <c r="A439" s="243"/>
      <c r="B439" s="244"/>
      <c r="C439" s="311">
        <v>6</v>
      </c>
      <c r="D439" s="244">
        <v>6</v>
      </c>
      <c r="E439" s="244">
        <v>1</v>
      </c>
      <c r="F439" s="244">
        <v>0</v>
      </c>
      <c r="G439" s="244">
        <v>2</v>
      </c>
      <c r="H439" s="244">
        <v>2</v>
      </c>
      <c r="I439" s="244">
        <v>0</v>
      </c>
      <c r="J439" s="244">
        <v>0</v>
      </c>
      <c r="K439" s="276">
        <v>3.5</v>
      </c>
      <c r="L439" s="277">
        <v>37.6</v>
      </c>
      <c r="M439" s="249"/>
      <c r="N439" s="250"/>
      <c r="O439" s="250"/>
      <c r="P439" s="250"/>
      <c r="Q439" s="250"/>
      <c r="R439" s="250"/>
      <c r="S439" s="266">
        <f t="shared" si="9"/>
        <v>0.54406804435027567</v>
      </c>
    </row>
    <row r="440" spans="1:19">
      <c r="A440" s="243"/>
      <c r="B440" s="244"/>
      <c r="C440" s="311">
        <v>12</v>
      </c>
      <c r="D440" s="244">
        <v>6</v>
      </c>
      <c r="E440" s="244">
        <v>0</v>
      </c>
      <c r="F440" s="244">
        <v>0</v>
      </c>
      <c r="G440" s="244">
        <v>2</v>
      </c>
      <c r="H440" s="244">
        <v>2</v>
      </c>
      <c r="I440" s="244">
        <v>1</v>
      </c>
      <c r="J440" s="244">
        <v>0</v>
      </c>
      <c r="K440" s="276">
        <v>5.7</v>
      </c>
      <c r="L440" s="277">
        <v>21.7</v>
      </c>
      <c r="M440" s="249"/>
      <c r="N440" s="250"/>
      <c r="O440" s="250"/>
      <c r="P440" s="250"/>
      <c r="Q440" s="250"/>
      <c r="R440" s="250"/>
      <c r="S440" s="266">
        <f t="shared" si="9"/>
        <v>0.75587485567249146</v>
      </c>
    </row>
    <row r="441" spans="1:19">
      <c r="A441" s="243"/>
      <c r="B441" s="244"/>
      <c r="C441" s="311">
        <v>12</v>
      </c>
      <c r="D441" s="244">
        <v>6</v>
      </c>
      <c r="E441" s="244">
        <v>0</v>
      </c>
      <c r="F441" s="244">
        <v>0</v>
      </c>
      <c r="G441" s="244">
        <v>2</v>
      </c>
      <c r="H441" s="244">
        <v>2</v>
      </c>
      <c r="I441" s="244">
        <v>1</v>
      </c>
      <c r="J441" s="244">
        <v>0</v>
      </c>
      <c r="K441" s="276">
        <v>5.7</v>
      </c>
      <c r="L441" s="277">
        <v>21.3</v>
      </c>
      <c r="M441" s="249"/>
      <c r="N441" s="250"/>
      <c r="O441" s="250"/>
      <c r="P441" s="250"/>
      <c r="Q441" s="250"/>
      <c r="R441" s="250"/>
      <c r="S441" s="266">
        <f t="shared" si="9"/>
        <v>0.75587485567249146</v>
      </c>
    </row>
    <row r="442" spans="1:19">
      <c r="A442" s="243"/>
      <c r="B442" s="244"/>
      <c r="C442" s="311">
        <v>6</v>
      </c>
      <c r="D442" s="244">
        <v>6</v>
      </c>
      <c r="E442" s="244">
        <v>1</v>
      </c>
      <c r="F442" s="244">
        <v>1</v>
      </c>
      <c r="G442" s="244">
        <v>2</v>
      </c>
      <c r="H442" s="244">
        <v>2</v>
      </c>
      <c r="I442" s="244">
        <v>1</v>
      </c>
      <c r="J442" s="244">
        <v>0</v>
      </c>
      <c r="K442" s="276">
        <v>3.5</v>
      </c>
      <c r="L442" s="277">
        <v>33.5</v>
      </c>
      <c r="M442" s="249"/>
      <c r="N442" s="250"/>
      <c r="O442" s="250"/>
      <c r="P442" s="250"/>
      <c r="Q442" s="250"/>
      <c r="R442" s="250"/>
      <c r="S442" s="266">
        <f t="shared" si="9"/>
        <v>0.54406804435027567</v>
      </c>
    </row>
    <row r="443" spans="1:19">
      <c r="A443" s="243"/>
      <c r="B443" s="244"/>
      <c r="C443" s="311">
        <v>6</v>
      </c>
      <c r="D443" s="244">
        <v>6</v>
      </c>
      <c r="E443" s="244">
        <v>1</v>
      </c>
      <c r="F443" s="244">
        <v>1</v>
      </c>
      <c r="G443" s="244">
        <v>2</v>
      </c>
      <c r="H443" s="244">
        <v>2</v>
      </c>
      <c r="I443" s="244">
        <v>1</v>
      </c>
      <c r="J443" s="244">
        <v>0</v>
      </c>
      <c r="K443" s="276">
        <v>3</v>
      </c>
      <c r="L443" s="277">
        <v>35.465499999999999</v>
      </c>
      <c r="M443" s="249"/>
      <c r="N443" s="250"/>
      <c r="O443" s="250"/>
      <c r="P443" s="250"/>
      <c r="Q443" s="250"/>
      <c r="R443" s="250"/>
      <c r="S443" s="266">
        <f t="shared" si="9"/>
        <v>0.47712125471966244</v>
      </c>
    </row>
    <row r="444" spans="1:19">
      <c r="A444" s="243"/>
      <c r="B444" s="244"/>
      <c r="C444" s="311">
        <v>4</v>
      </c>
      <c r="D444" s="244">
        <v>6</v>
      </c>
      <c r="E444" s="244">
        <v>1</v>
      </c>
      <c r="F444" s="244">
        <v>0</v>
      </c>
      <c r="G444" s="244">
        <v>2</v>
      </c>
      <c r="H444" s="244">
        <v>2</v>
      </c>
      <c r="I444" s="244">
        <v>1</v>
      </c>
      <c r="J444" s="244">
        <v>0</v>
      </c>
      <c r="K444" s="276">
        <v>2.5</v>
      </c>
      <c r="L444" s="277">
        <v>42.908000000000001</v>
      </c>
      <c r="M444" s="249"/>
      <c r="N444" s="250"/>
      <c r="O444" s="250"/>
      <c r="P444" s="250"/>
      <c r="Q444" s="250"/>
      <c r="R444" s="250"/>
      <c r="S444" s="266">
        <f t="shared" si="9"/>
        <v>0.3979400086720376</v>
      </c>
    </row>
    <row r="445" spans="1:19">
      <c r="A445" s="243"/>
      <c r="B445" s="244"/>
      <c r="C445" s="311">
        <v>4</v>
      </c>
      <c r="D445" s="244">
        <v>6</v>
      </c>
      <c r="E445" s="244">
        <v>0</v>
      </c>
      <c r="F445" s="244">
        <v>0</v>
      </c>
      <c r="G445" s="244">
        <v>2</v>
      </c>
      <c r="H445" s="244">
        <v>2</v>
      </c>
      <c r="I445" s="244">
        <v>1</v>
      </c>
      <c r="J445" s="244">
        <v>0</v>
      </c>
      <c r="K445" s="276">
        <v>2.5</v>
      </c>
      <c r="L445" s="277">
        <v>40.200000000000003</v>
      </c>
      <c r="M445" s="249"/>
      <c r="N445" s="250"/>
      <c r="O445" s="250"/>
      <c r="P445" s="250"/>
      <c r="Q445" s="250"/>
      <c r="R445" s="250"/>
      <c r="S445" s="266">
        <f t="shared" si="9"/>
        <v>0.3979400086720376</v>
      </c>
    </row>
    <row r="446" spans="1:19">
      <c r="A446" s="243"/>
      <c r="B446" s="244"/>
      <c r="C446" s="311">
        <v>6</v>
      </c>
      <c r="D446" s="244">
        <v>6</v>
      </c>
      <c r="E446" s="244">
        <v>1</v>
      </c>
      <c r="F446" s="244">
        <v>1</v>
      </c>
      <c r="G446" s="244">
        <v>2</v>
      </c>
      <c r="H446" s="244">
        <v>2</v>
      </c>
      <c r="I446" s="244">
        <v>1</v>
      </c>
      <c r="J446" s="244">
        <v>0</v>
      </c>
      <c r="K446" s="276">
        <v>3</v>
      </c>
      <c r="L446" s="277">
        <v>37.9</v>
      </c>
      <c r="M446" s="249"/>
      <c r="N446" s="250"/>
      <c r="O446" s="250"/>
      <c r="P446" s="250"/>
      <c r="Q446" s="250"/>
      <c r="R446" s="250"/>
      <c r="S446" s="266">
        <f t="shared" si="9"/>
        <v>0.47712125471966244</v>
      </c>
    </row>
    <row r="447" spans="1:19">
      <c r="A447" s="243"/>
      <c r="B447" s="244"/>
      <c r="C447" s="311">
        <v>6</v>
      </c>
      <c r="D447" s="244">
        <v>6</v>
      </c>
      <c r="E447" s="244">
        <v>1</v>
      </c>
      <c r="F447" s="244">
        <v>1</v>
      </c>
      <c r="G447" s="244">
        <v>2</v>
      </c>
      <c r="H447" s="244">
        <v>2</v>
      </c>
      <c r="I447" s="244">
        <v>1</v>
      </c>
      <c r="J447" s="244">
        <v>0</v>
      </c>
      <c r="K447" s="276">
        <v>3.5</v>
      </c>
      <c r="L447" s="277">
        <v>37.4</v>
      </c>
      <c r="M447" s="249"/>
      <c r="N447" s="250"/>
      <c r="O447" s="250"/>
      <c r="P447" s="250"/>
      <c r="Q447" s="250"/>
      <c r="R447" s="250"/>
      <c r="S447" s="266">
        <f t="shared" si="9"/>
        <v>0.54406804435027567</v>
      </c>
    </row>
    <row r="448" spans="1:19">
      <c r="A448" s="243"/>
      <c r="B448" s="244"/>
      <c r="C448" s="311">
        <v>4</v>
      </c>
      <c r="D448" s="244">
        <v>1</v>
      </c>
      <c r="E448" s="244">
        <v>0</v>
      </c>
      <c r="F448" s="244">
        <v>0</v>
      </c>
      <c r="G448" s="244">
        <v>2</v>
      </c>
      <c r="H448" s="244">
        <v>2</v>
      </c>
      <c r="I448" s="244">
        <v>1</v>
      </c>
      <c r="J448" s="244">
        <v>0</v>
      </c>
      <c r="K448" s="276">
        <v>2.5</v>
      </c>
      <c r="L448" s="277">
        <v>51.6</v>
      </c>
      <c r="M448" s="249"/>
      <c r="N448" s="250"/>
      <c r="O448" s="250"/>
      <c r="P448" s="250"/>
      <c r="Q448" s="250"/>
      <c r="R448" s="250"/>
      <c r="S448" s="266">
        <f t="shared" si="9"/>
        <v>0.3979400086720376</v>
      </c>
    </row>
    <row r="449" spans="1:19">
      <c r="A449" s="243"/>
      <c r="B449" s="244"/>
      <c r="C449" s="311">
        <v>4</v>
      </c>
      <c r="D449" s="244">
        <v>6</v>
      </c>
      <c r="E449" s="244">
        <v>0</v>
      </c>
      <c r="F449" s="244">
        <v>1</v>
      </c>
      <c r="G449" s="244">
        <v>2</v>
      </c>
      <c r="H449" s="244">
        <v>2</v>
      </c>
      <c r="I449" s="244">
        <v>1</v>
      </c>
      <c r="J449" s="244">
        <v>0</v>
      </c>
      <c r="K449" s="276">
        <v>2.5</v>
      </c>
      <c r="L449" s="277">
        <v>44.2</v>
      </c>
      <c r="M449" s="249"/>
      <c r="N449" s="250"/>
      <c r="O449" s="250"/>
      <c r="P449" s="250"/>
      <c r="Q449" s="250"/>
      <c r="R449" s="250"/>
      <c r="S449" s="266">
        <f t="shared" si="9"/>
        <v>0.3979400086720376</v>
      </c>
    </row>
    <row r="450" spans="1:19">
      <c r="A450" s="243"/>
      <c r="B450" s="244"/>
      <c r="C450" s="311">
        <v>4</v>
      </c>
      <c r="D450" s="244">
        <v>6</v>
      </c>
      <c r="E450" s="244">
        <v>1</v>
      </c>
      <c r="F450" s="244">
        <v>0</v>
      </c>
      <c r="G450" s="244">
        <v>2</v>
      </c>
      <c r="H450" s="244">
        <v>2</v>
      </c>
      <c r="I450" s="244">
        <v>1</v>
      </c>
      <c r="J450" s="244">
        <v>0</v>
      </c>
      <c r="K450" s="276">
        <v>2.5</v>
      </c>
      <c r="L450" s="277">
        <v>47.649299999999997</v>
      </c>
      <c r="M450" s="249"/>
      <c r="N450" s="250"/>
      <c r="O450" s="250"/>
      <c r="P450" s="250"/>
      <c r="Q450" s="250"/>
      <c r="R450" s="250"/>
      <c r="S450" s="266">
        <f t="shared" si="9"/>
        <v>0.3979400086720376</v>
      </c>
    </row>
    <row r="451" spans="1:19">
      <c r="A451" s="243"/>
      <c r="B451" s="244"/>
      <c r="C451" s="311">
        <v>4</v>
      </c>
      <c r="D451" s="244">
        <v>4</v>
      </c>
      <c r="E451" s="244">
        <v>1</v>
      </c>
      <c r="F451" s="244">
        <v>0</v>
      </c>
      <c r="G451" s="244">
        <v>2</v>
      </c>
      <c r="H451" s="244">
        <v>2</v>
      </c>
      <c r="I451" s="244">
        <v>1</v>
      </c>
      <c r="J451" s="244">
        <v>0</v>
      </c>
      <c r="K451" s="276">
        <v>2</v>
      </c>
      <c r="L451" s="277">
        <v>47.7</v>
      </c>
      <c r="M451" s="249"/>
      <c r="N451" s="250"/>
      <c r="O451" s="250"/>
      <c r="P451" s="250"/>
      <c r="Q451" s="250"/>
      <c r="R451" s="250"/>
      <c r="S451" s="266">
        <f t="shared" si="9"/>
        <v>0.3010299956639812</v>
      </c>
    </row>
    <row r="452" spans="1:19">
      <c r="A452" s="243"/>
      <c r="B452" s="244"/>
      <c r="C452" s="311">
        <v>4</v>
      </c>
      <c r="D452" s="244">
        <v>5</v>
      </c>
      <c r="E452" s="244">
        <v>0</v>
      </c>
      <c r="F452" s="244">
        <v>0</v>
      </c>
      <c r="G452" s="244">
        <v>2</v>
      </c>
      <c r="H452" s="244">
        <v>2</v>
      </c>
      <c r="I452" s="244">
        <v>1</v>
      </c>
      <c r="J452" s="244">
        <v>0</v>
      </c>
      <c r="K452" s="276">
        <v>2</v>
      </c>
      <c r="L452" s="277">
        <v>48.2</v>
      </c>
      <c r="M452" s="249"/>
      <c r="N452" s="250"/>
      <c r="O452" s="250"/>
      <c r="P452" s="250"/>
      <c r="Q452" s="250"/>
      <c r="R452" s="250"/>
      <c r="S452" s="266">
        <f t="shared" si="9"/>
        <v>0.3010299956639812</v>
      </c>
    </row>
    <row r="453" spans="1:19">
      <c r="A453" s="243"/>
      <c r="B453" s="244"/>
      <c r="C453" s="311">
        <v>4</v>
      </c>
      <c r="D453" s="244">
        <v>5</v>
      </c>
      <c r="E453" s="244">
        <v>0</v>
      </c>
      <c r="F453" s="244">
        <v>0</v>
      </c>
      <c r="G453" s="244">
        <v>2</v>
      </c>
      <c r="H453" s="244">
        <v>2</v>
      </c>
      <c r="I453" s="244">
        <v>1</v>
      </c>
      <c r="J453" s="244">
        <v>0</v>
      </c>
      <c r="K453" s="276">
        <v>2</v>
      </c>
      <c r="L453" s="277">
        <v>49.216999999999999</v>
      </c>
      <c r="M453" s="249"/>
      <c r="N453" s="250"/>
      <c r="O453" s="250"/>
      <c r="P453" s="250"/>
      <c r="Q453" s="250"/>
      <c r="R453" s="250"/>
      <c r="S453" s="266">
        <f t="shared" si="9"/>
        <v>0.3010299956639812</v>
      </c>
    </row>
    <row r="454" spans="1:19">
      <c r="A454" s="243"/>
      <c r="B454" s="244"/>
      <c r="C454" s="311">
        <v>6</v>
      </c>
      <c r="D454" s="244">
        <v>6</v>
      </c>
      <c r="E454" s="244">
        <v>0</v>
      </c>
      <c r="F454" s="244">
        <v>0</v>
      </c>
      <c r="G454" s="244">
        <v>2</v>
      </c>
      <c r="H454" s="244">
        <v>2</v>
      </c>
      <c r="I454" s="244">
        <v>1</v>
      </c>
      <c r="J454" s="244">
        <v>1</v>
      </c>
      <c r="K454" s="276">
        <v>3.7</v>
      </c>
      <c r="L454" s="277">
        <v>34.730499999999999</v>
      </c>
      <c r="M454" s="249"/>
      <c r="N454" s="250"/>
      <c r="O454" s="250"/>
      <c r="P454" s="250"/>
      <c r="Q454" s="250"/>
      <c r="R454" s="250"/>
      <c r="S454" s="266">
        <f t="shared" si="9"/>
        <v>0.56820172406699498</v>
      </c>
    </row>
    <row r="455" spans="1:19">
      <c r="A455" s="243"/>
      <c r="B455" s="244"/>
      <c r="C455" s="311">
        <v>6</v>
      </c>
      <c r="D455" s="244">
        <v>7</v>
      </c>
      <c r="E455" s="244">
        <v>1</v>
      </c>
      <c r="F455" s="244">
        <v>0</v>
      </c>
      <c r="G455" s="244">
        <v>2</v>
      </c>
      <c r="H455" s="244">
        <v>2</v>
      </c>
      <c r="I455" s="244">
        <v>1</v>
      </c>
      <c r="J455" s="244">
        <v>1</v>
      </c>
      <c r="K455" s="276">
        <v>3.7</v>
      </c>
      <c r="L455" s="277">
        <v>37.064999999999998</v>
      </c>
      <c r="M455" s="249"/>
      <c r="N455" s="250"/>
      <c r="O455" s="250"/>
      <c r="P455" s="250"/>
      <c r="Q455" s="250"/>
      <c r="R455" s="250"/>
      <c r="S455" s="266">
        <f t="shared" si="9"/>
        <v>0.56820172406699498</v>
      </c>
    </row>
    <row r="456" spans="1:19">
      <c r="A456" s="243"/>
      <c r="B456" s="244"/>
      <c r="C456" s="311">
        <v>6</v>
      </c>
      <c r="D456" s="244">
        <v>7</v>
      </c>
      <c r="E456" s="244">
        <v>1</v>
      </c>
      <c r="F456" s="244">
        <v>0</v>
      </c>
      <c r="G456" s="244">
        <v>2</v>
      </c>
      <c r="H456" s="244">
        <v>2</v>
      </c>
      <c r="I456" s="244">
        <v>1</v>
      </c>
      <c r="J456" s="244">
        <v>1</v>
      </c>
      <c r="K456" s="276">
        <v>3.7</v>
      </c>
      <c r="L456" s="277">
        <v>35.161999999999999</v>
      </c>
      <c r="M456" s="249"/>
      <c r="N456" s="250"/>
      <c r="O456" s="250"/>
      <c r="P456" s="250"/>
      <c r="Q456" s="250"/>
      <c r="R456" s="250"/>
      <c r="S456" s="266">
        <f t="shared" si="9"/>
        <v>0.56820172406699498</v>
      </c>
    </row>
    <row r="457" spans="1:19">
      <c r="A457" s="243"/>
      <c r="B457" s="244"/>
      <c r="C457" s="311">
        <v>8</v>
      </c>
      <c r="D457" s="244">
        <v>6</v>
      </c>
      <c r="E457" s="244">
        <v>1</v>
      </c>
      <c r="F457" s="244">
        <v>0</v>
      </c>
      <c r="G457" s="244">
        <v>2</v>
      </c>
      <c r="H457" s="244">
        <v>2</v>
      </c>
      <c r="I457" s="244">
        <v>1</v>
      </c>
      <c r="J457" s="244">
        <v>0</v>
      </c>
      <c r="K457" s="276">
        <v>4.2</v>
      </c>
      <c r="L457" s="277">
        <v>34.485500000000002</v>
      </c>
      <c r="M457" s="249"/>
      <c r="N457" s="250"/>
      <c r="O457" s="250"/>
      <c r="P457" s="250"/>
      <c r="Q457" s="250"/>
      <c r="R457" s="250"/>
      <c r="S457" s="266">
        <f t="shared" si="9"/>
        <v>0.62324929039790045</v>
      </c>
    </row>
    <row r="458" spans="1:19">
      <c r="A458" s="243"/>
      <c r="B458" s="244"/>
      <c r="C458" s="311">
        <v>8</v>
      </c>
      <c r="D458" s="244">
        <v>6</v>
      </c>
      <c r="E458" s="244">
        <v>1</v>
      </c>
      <c r="F458" s="244">
        <v>0</v>
      </c>
      <c r="G458" s="244">
        <v>2</v>
      </c>
      <c r="H458" s="244">
        <v>2</v>
      </c>
      <c r="I458" s="244">
        <v>1</v>
      </c>
      <c r="J458" s="244">
        <v>0</v>
      </c>
      <c r="K458" s="276">
        <v>5</v>
      </c>
      <c r="L458" s="277">
        <v>29.7559</v>
      </c>
      <c r="M458" s="249"/>
      <c r="N458" s="250"/>
      <c r="O458" s="250"/>
      <c r="P458" s="250"/>
      <c r="Q458" s="250"/>
      <c r="R458" s="250"/>
      <c r="S458" s="266">
        <f t="shared" si="9"/>
        <v>0.69897000433601886</v>
      </c>
    </row>
    <row r="459" spans="1:19">
      <c r="A459" s="243"/>
      <c r="B459" s="244"/>
      <c r="C459" s="311">
        <v>8</v>
      </c>
      <c r="D459" s="244">
        <v>6</v>
      </c>
      <c r="E459" s="244">
        <v>1</v>
      </c>
      <c r="F459" s="244">
        <v>0</v>
      </c>
      <c r="G459" s="244">
        <v>2</v>
      </c>
      <c r="H459" s="244">
        <v>2</v>
      </c>
      <c r="I459" s="244">
        <v>1</v>
      </c>
      <c r="J459" s="244">
        <v>1</v>
      </c>
      <c r="K459" s="276">
        <v>5</v>
      </c>
      <c r="L459" s="277">
        <v>32.670099999999998</v>
      </c>
      <c r="M459" s="249"/>
      <c r="N459" s="250"/>
      <c r="O459" s="250"/>
      <c r="P459" s="250"/>
      <c r="Q459" s="250"/>
      <c r="R459" s="250"/>
      <c r="S459" s="266">
        <f t="shared" ref="S459:S522" si="10">LOG10(K459)</f>
        <v>0.69897000433601886</v>
      </c>
    </row>
    <row r="460" spans="1:19">
      <c r="A460" s="243"/>
      <c r="B460" s="244"/>
      <c r="C460" s="311">
        <v>4</v>
      </c>
      <c r="D460" s="244">
        <v>5</v>
      </c>
      <c r="E460" s="244">
        <v>1</v>
      </c>
      <c r="F460" s="244">
        <v>0</v>
      </c>
      <c r="G460" s="244">
        <v>2</v>
      </c>
      <c r="H460" s="244">
        <v>2</v>
      </c>
      <c r="I460" s="244">
        <v>1</v>
      </c>
      <c r="J460" s="244">
        <v>0</v>
      </c>
      <c r="K460" s="276">
        <v>2.4</v>
      </c>
      <c r="L460" s="277">
        <v>44.6</v>
      </c>
      <c r="M460" s="249"/>
      <c r="N460" s="250"/>
      <c r="O460" s="250"/>
      <c r="P460" s="250"/>
      <c r="Q460" s="250"/>
      <c r="R460" s="250"/>
      <c r="S460" s="266">
        <f t="shared" si="10"/>
        <v>0.38021124171160603</v>
      </c>
    </row>
    <row r="461" spans="1:19">
      <c r="A461" s="243"/>
      <c r="B461" s="244"/>
      <c r="C461" s="311">
        <v>4</v>
      </c>
      <c r="D461" s="244">
        <v>5</v>
      </c>
      <c r="E461" s="244">
        <v>0</v>
      </c>
      <c r="F461" s="244">
        <v>0</v>
      </c>
      <c r="G461" s="244">
        <v>2</v>
      </c>
      <c r="H461" s="244">
        <v>2</v>
      </c>
      <c r="I461" s="244">
        <v>1</v>
      </c>
      <c r="J461" s="244">
        <v>0</v>
      </c>
      <c r="K461" s="276">
        <v>2.4</v>
      </c>
      <c r="L461" s="277">
        <v>44.6</v>
      </c>
      <c r="M461" s="249"/>
      <c r="N461" s="250"/>
      <c r="O461" s="250"/>
      <c r="P461" s="250"/>
      <c r="Q461" s="250"/>
      <c r="R461" s="250"/>
      <c r="S461" s="266">
        <f t="shared" si="10"/>
        <v>0.38021124171160603</v>
      </c>
    </row>
    <row r="462" spans="1:19">
      <c r="A462" s="243"/>
      <c r="B462" s="244"/>
      <c r="C462" s="311">
        <v>6</v>
      </c>
      <c r="D462" s="244">
        <v>5</v>
      </c>
      <c r="E462" s="244">
        <v>1</v>
      </c>
      <c r="F462" s="244">
        <v>0</v>
      </c>
      <c r="G462" s="244">
        <v>2</v>
      </c>
      <c r="H462" s="244">
        <v>2</v>
      </c>
      <c r="I462" s="244">
        <v>1</v>
      </c>
      <c r="J462" s="244">
        <v>0</v>
      </c>
      <c r="K462" s="276">
        <v>2.7</v>
      </c>
      <c r="L462" s="277">
        <v>39.799999999999997</v>
      </c>
      <c r="M462" s="249"/>
      <c r="N462" s="250"/>
      <c r="O462" s="250"/>
      <c r="P462" s="250"/>
      <c r="Q462" s="250"/>
      <c r="R462" s="250"/>
      <c r="S462" s="266">
        <f t="shared" si="10"/>
        <v>0.43136376415898736</v>
      </c>
    </row>
    <row r="463" spans="1:19">
      <c r="A463" s="243"/>
      <c r="B463" s="244"/>
      <c r="C463" s="311">
        <v>6</v>
      </c>
      <c r="D463" s="244">
        <v>6</v>
      </c>
      <c r="E463" s="244">
        <v>1</v>
      </c>
      <c r="F463" s="244">
        <v>0</v>
      </c>
      <c r="G463" s="244">
        <v>2</v>
      </c>
      <c r="H463" s="244">
        <v>2</v>
      </c>
      <c r="I463" s="244">
        <v>1</v>
      </c>
      <c r="J463" s="244">
        <v>0</v>
      </c>
      <c r="K463" s="276">
        <v>3.5</v>
      </c>
      <c r="L463" s="277">
        <v>38.299999999999997</v>
      </c>
      <c r="M463" s="249"/>
      <c r="N463" s="250"/>
      <c r="O463" s="250"/>
      <c r="P463" s="250"/>
      <c r="Q463" s="250"/>
      <c r="R463" s="250"/>
      <c r="S463" s="266">
        <f t="shared" si="10"/>
        <v>0.54406804435027567</v>
      </c>
    </row>
    <row r="464" spans="1:19">
      <c r="A464" s="243"/>
      <c r="B464" s="244"/>
      <c r="C464" s="311">
        <v>6</v>
      </c>
      <c r="D464" s="244">
        <v>6</v>
      </c>
      <c r="E464" s="244">
        <v>1</v>
      </c>
      <c r="F464" s="244">
        <v>0</v>
      </c>
      <c r="G464" s="244">
        <v>2</v>
      </c>
      <c r="H464" s="244">
        <v>2</v>
      </c>
      <c r="I464" s="244">
        <v>1</v>
      </c>
      <c r="J464" s="244">
        <v>0</v>
      </c>
      <c r="K464" s="276">
        <v>3.5</v>
      </c>
      <c r="L464" s="277">
        <v>36.556399999999996</v>
      </c>
      <c r="M464" s="249"/>
      <c r="N464" s="250"/>
      <c r="O464" s="250"/>
      <c r="P464" s="250"/>
      <c r="Q464" s="250"/>
      <c r="R464" s="250"/>
      <c r="S464" s="266">
        <f t="shared" si="10"/>
        <v>0.54406804435027567</v>
      </c>
    </row>
    <row r="465" spans="1:19">
      <c r="A465" s="243"/>
      <c r="B465" s="244"/>
      <c r="C465" s="311">
        <v>6</v>
      </c>
      <c r="D465" s="244">
        <v>6</v>
      </c>
      <c r="E465" s="244">
        <v>1</v>
      </c>
      <c r="F465" s="244">
        <v>0</v>
      </c>
      <c r="G465" s="244">
        <v>2</v>
      </c>
      <c r="H465" s="244">
        <v>2</v>
      </c>
      <c r="I465" s="244">
        <v>1</v>
      </c>
      <c r="J465" s="244">
        <v>0</v>
      </c>
      <c r="K465" s="276">
        <v>3.5</v>
      </c>
      <c r="L465" s="277">
        <v>34.749400000000001</v>
      </c>
      <c r="M465" s="249"/>
      <c r="N465" s="250"/>
      <c r="O465" s="250"/>
      <c r="P465" s="250"/>
      <c r="Q465" s="250"/>
      <c r="R465" s="250"/>
      <c r="S465" s="266">
        <f t="shared" si="10"/>
        <v>0.54406804435027567</v>
      </c>
    </row>
    <row r="466" spans="1:19">
      <c r="A466" s="243"/>
      <c r="B466" s="244"/>
      <c r="C466" s="311">
        <v>8</v>
      </c>
      <c r="D466" s="244">
        <v>8</v>
      </c>
      <c r="E466" s="244">
        <v>1</v>
      </c>
      <c r="F466" s="244">
        <v>0</v>
      </c>
      <c r="G466" s="244">
        <v>2</v>
      </c>
      <c r="H466" s="244">
        <v>2</v>
      </c>
      <c r="I466" s="244">
        <v>1</v>
      </c>
      <c r="J466" s="244">
        <v>0</v>
      </c>
      <c r="K466" s="276">
        <v>4.5999999999999996</v>
      </c>
      <c r="L466" s="277">
        <v>34.049900000000001</v>
      </c>
      <c r="M466" s="249"/>
      <c r="N466" s="250"/>
      <c r="O466" s="250"/>
      <c r="P466" s="250"/>
      <c r="Q466" s="250"/>
      <c r="R466" s="250"/>
      <c r="S466" s="266">
        <f t="shared" si="10"/>
        <v>0.66275783168157409</v>
      </c>
    </row>
    <row r="467" spans="1:19">
      <c r="A467" s="243"/>
      <c r="B467" s="244"/>
      <c r="C467" s="311">
        <v>8</v>
      </c>
      <c r="D467" s="244">
        <v>8</v>
      </c>
      <c r="E467" s="244">
        <v>1</v>
      </c>
      <c r="F467" s="244">
        <v>0</v>
      </c>
      <c r="G467" s="244">
        <v>2</v>
      </c>
      <c r="H467" s="244">
        <v>2</v>
      </c>
      <c r="I467" s="244">
        <v>1</v>
      </c>
      <c r="J467" s="244">
        <v>0</v>
      </c>
      <c r="K467" s="276">
        <v>4.5999999999999996</v>
      </c>
      <c r="L467" s="277">
        <v>33.550899999999999</v>
      </c>
      <c r="M467" s="249"/>
      <c r="N467" s="250"/>
      <c r="O467" s="250"/>
      <c r="P467" s="250"/>
      <c r="Q467" s="250"/>
      <c r="R467" s="250"/>
      <c r="S467" s="266">
        <f t="shared" si="10"/>
        <v>0.66275783168157409</v>
      </c>
    </row>
    <row r="468" spans="1:19">
      <c r="A468" s="243"/>
      <c r="B468" s="244"/>
      <c r="C468" s="311">
        <v>8</v>
      </c>
      <c r="D468" s="244">
        <v>8</v>
      </c>
      <c r="E468" s="244">
        <v>1</v>
      </c>
      <c r="F468" s="244">
        <v>0</v>
      </c>
      <c r="G468" s="244">
        <v>2</v>
      </c>
      <c r="H468" s="244">
        <v>2</v>
      </c>
      <c r="I468" s="244">
        <v>1</v>
      </c>
      <c r="J468" s="244">
        <v>0</v>
      </c>
      <c r="K468" s="276">
        <v>4.5999999999999996</v>
      </c>
      <c r="L468" s="277">
        <v>32.149900000000002</v>
      </c>
      <c r="M468" s="249"/>
      <c r="N468" s="250"/>
      <c r="O468" s="250"/>
      <c r="P468" s="250"/>
      <c r="Q468" s="250"/>
      <c r="R468" s="250"/>
      <c r="S468" s="266">
        <f t="shared" si="10"/>
        <v>0.66275783168157409</v>
      </c>
    </row>
    <row r="469" spans="1:19">
      <c r="A469" s="243"/>
      <c r="B469" s="244"/>
      <c r="C469" s="311">
        <v>8</v>
      </c>
      <c r="D469" s="244">
        <v>8</v>
      </c>
      <c r="E469" s="244">
        <v>1</v>
      </c>
      <c r="F469" s="244">
        <v>0</v>
      </c>
      <c r="G469" s="244">
        <v>2</v>
      </c>
      <c r="H469" s="244">
        <v>2</v>
      </c>
      <c r="I469" s="244">
        <v>1</v>
      </c>
      <c r="J469" s="244">
        <v>0</v>
      </c>
      <c r="K469" s="276">
        <v>4.5999999999999996</v>
      </c>
      <c r="L469" s="277">
        <v>33.550899999999999</v>
      </c>
      <c r="M469" s="249"/>
      <c r="N469" s="250"/>
      <c r="O469" s="250"/>
      <c r="P469" s="250"/>
      <c r="Q469" s="250"/>
      <c r="R469" s="250"/>
      <c r="S469" s="266">
        <f t="shared" si="10"/>
        <v>0.66275783168157409</v>
      </c>
    </row>
    <row r="470" spans="1:19">
      <c r="A470" s="243"/>
      <c r="B470" s="244"/>
      <c r="C470" s="311">
        <v>8</v>
      </c>
      <c r="D470" s="244">
        <v>8</v>
      </c>
      <c r="E470" s="244">
        <v>1</v>
      </c>
      <c r="F470" s="244">
        <v>0</v>
      </c>
      <c r="G470" s="244">
        <v>2</v>
      </c>
      <c r="H470" s="244">
        <v>2</v>
      </c>
      <c r="I470" s="244">
        <v>1</v>
      </c>
      <c r="J470" s="244">
        <v>0</v>
      </c>
      <c r="K470" s="276">
        <v>4.5999999999999996</v>
      </c>
      <c r="L470" s="277">
        <v>32.149900000000002</v>
      </c>
      <c r="M470" s="249"/>
      <c r="N470" s="250"/>
      <c r="O470" s="250"/>
      <c r="P470" s="250"/>
      <c r="Q470" s="250"/>
      <c r="R470" s="250"/>
      <c r="S470" s="266">
        <f t="shared" si="10"/>
        <v>0.66275783168157409</v>
      </c>
    </row>
    <row r="471" spans="1:19">
      <c r="A471" s="243"/>
      <c r="B471" s="244"/>
      <c r="C471" s="311">
        <v>8</v>
      </c>
      <c r="D471" s="244">
        <v>1</v>
      </c>
      <c r="E471" s="244">
        <v>0</v>
      </c>
      <c r="F471" s="244">
        <v>0</v>
      </c>
      <c r="G471" s="244">
        <v>2</v>
      </c>
      <c r="H471" s="244">
        <v>2</v>
      </c>
      <c r="I471" s="244">
        <v>1</v>
      </c>
      <c r="J471" s="244">
        <v>0</v>
      </c>
      <c r="K471" s="276">
        <v>5</v>
      </c>
      <c r="L471" s="277">
        <v>30.3</v>
      </c>
      <c r="M471" s="249"/>
      <c r="N471" s="250"/>
      <c r="O471" s="250"/>
      <c r="P471" s="250"/>
      <c r="Q471" s="250"/>
      <c r="R471" s="250"/>
      <c r="S471" s="266">
        <f t="shared" si="10"/>
        <v>0.69897000433601886</v>
      </c>
    </row>
    <row r="472" spans="1:19">
      <c r="A472" s="243"/>
      <c r="B472" s="244"/>
      <c r="C472" s="311">
        <v>6</v>
      </c>
      <c r="D472" s="244">
        <v>6</v>
      </c>
      <c r="E472" s="244">
        <v>1</v>
      </c>
      <c r="F472" s="244">
        <v>1</v>
      </c>
      <c r="G472" s="244">
        <v>2</v>
      </c>
      <c r="H472" s="244">
        <v>2</v>
      </c>
      <c r="I472" s="244">
        <v>1</v>
      </c>
      <c r="J472" s="244">
        <v>0</v>
      </c>
      <c r="K472" s="276">
        <v>3</v>
      </c>
      <c r="L472" s="277">
        <v>35.465499999999999</v>
      </c>
      <c r="M472" s="249"/>
      <c r="N472" s="250"/>
      <c r="O472" s="250"/>
      <c r="P472" s="250"/>
      <c r="Q472" s="250"/>
      <c r="R472" s="250"/>
      <c r="S472" s="266">
        <f t="shared" si="10"/>
        <v>0.47712125471966244</v>
      </c>
    </row>
    <row r="473" spans="1:19">
      <c r="A473" s="243"/>
      <c r="B473" s="244"/>
      <c r="C473" s="311">
        <v>4</v>
      </c>
      <c r="D473" s="244">
        <v>6</v>
      </c>
      <c r="E473" s="244">
        <v>1</v>
      </c>
      <c r="F473" s="244">
        <v>0</v>
      </c>
      <c r="G473" s="244">
        <v>2</v>
      </c>
      <c r="H473" s="244">
        <v>2</v>
      </c>
      <c r="I473" s="244">
        <v>1</v>
      </c>
      <c r="J473" s="244">
        <v>0</v>
      </c>
      <c r="K473" s="276">
        <v>2.5</v>
      </c>
      <c r="L473" s="277">
        <v>42.908000000000001</v>
      </c>
      <c r="M473" s="249"/>
      <c r="N473" s="250"/>
      <c r="O473" s="250"/>
      <c r="P473" s="250"/>
      <c r="Q473" s="250"/>
      <c r="R473" s="250"/>
      <c r="S473" s="266">
        <f t="shared" si="10"/>
        <v>0.3979400086720376</v>
      </c>
    </row>
    <row r="474" spans="1:19">
      <c r="A474" s="243"/>
      <c r="B474" s="244"/>
      <c r="C474" s="311">
        <v>4</v>
      </c>
      <c r="D474" s="244">
        <v>6</v>
      </c>
      <c r="E474" s="244">
        <v>0</v>
      </c>
      <c r="F474" s="244">
        <v>1</v>
      </c>
      <c r="G474" s="244">
        <v>2</v>
      </c>
      <c r="H474" s="244">
        <v>2</v>
      </c>
      <c r="I474" s="244">
        <v>1</v>
      </c>
      <c r="J474" s="244">
        <v>0</v>
      </c>
      <c r="K474" s="276">
        <v>2.5</v>
      </c>
      <c r="L474" s="277">
        <v>40.200000000000003</v>
      </c>
      <c r="M474" s="249"/>
      <c r="N474" s="250"/>
      <c r="O474" s="250"/>
      <c r="P474" s="250"/>
      <c r="Q474" s="250"/>
      <c r="R474" s="250"/>
      <c r="S474" s="266">
        <f t="shared" si="10"/>
        <v>0.3979400086720376</v>
      </c>
    </row>
    <row r="475" spans="1:19">
      <c r="A475" s="243"/>
      <c r="B475" s="244"/>
      <c r="C475" s="311">
        <v>6</v>
      </c>
      <c r="D475" s="244">
        <v>6</v>
      </c>
      <c r="E475" s="244">
        <v>1</v>
      </c>
      <c r="F475" s="244">
        <v>1</v>
      </c>
      <c r="G475" s="244">
        <v>2</v>
      </c>
      <c r="H475" s="244">
        <v>2</v>
      </c>
      <c r="I475" s="244">
        <v>1</v>
      </c>
      <c r="J475" s="244">
        <v>0</v>
      </c>
      <c r="K475" s="276">
        <v>3</v>
      </c>
      <c r="L475" s="277">
        <v>37.9</v>
      </c>
      <c r="M475" s="249"/>
      <c r="N475" s="250"/>
      <c r="O475" s="250"/>
      <c r="P475" s="250"/>
      <c r="Q475" s="250"/>
      <c r="R475" s="250"/>
      <c r="S475" s="266">
        <f t="shared" si="10"/>
        <v>0.47712125471966244</v>
      </c>
    </row>
    <row r="476" spans="1:19">
      <c r="A476" s="243"/>
      <c r="B476" s="244"/>
      <c r="C476" s="311">
        <v>4</v>
      </c>
      <c r="D476" s="244">
        <v>1</v>
      </c>
      <c r="E476" s="244">
        <v>0</v>
      </c>
      <c r="F476" s="244">
        <v>0</v>
      </c>
      <c r="G476" s="244">
        <v>2</v>
      </c>
      <c r="H476" s="244">
        <v>2</v>
      </c>
      <c r="I476" s="244">
        <v>1</v>
      </c>
      <c r="J476" s="244">
        <v>0</v>
      </c>
      <c r="K476" s="276">
        <v>2.5</v>
      </c>
      <c r="L476" s="277">
        <v>51.6</v>
      </c>
      <c r="M476" s="249"/>
      <c r="N476" s="250"/>
      <c r="O476" s="250"/>
      <c r="P476" s="250"/>
      <c r="Q476" s="250"/>
      <c r="R476" s="250"/>
      <c r="S476" s="266">
        <f t="shared" si="10"/>
        <v>0.3979400086720376</v>
      </c>
    </row>
    <row r="477" spans="1:19">
      <c r="A477" s="243"/>
      <c r="B477" s="244"/>
      <c r="C477" s="311">
        <v>4</v>
      </c>
      <c r="D477" s="244">
        <v>6</v>
      </c>
      <c r="E477" s="244">
        <v>1</v>
      </c>
      <c r="F477" s="244">
        <v>1</v>
      </c>
      <c r="G477" s="244">
        <v>2</v>
      </c>
      <c r="H477" s="244">
        <v>2</v>
      </c>
      <c r="I477" s="244">
        <v>1</v>
      </c>
      <c r="J477" s="244">
        <v>0</v>
      </c>
      <c r="K477" s="276">
        <v>2.5</v>
      </c>
      <c r="L477" s="277">
        <v>47.649299999999997</v>
      </c>
      <c r="M477" s="249"/>
      <c r="N477" s="250"/>
      <c r="O477" s="250"/>
      <c r="P477" s="250"/>
      <c r="Q477" s="250"/>
      <c r="R477" s="250"/>
      <c r="S477" s="266">
        <f t="shared" si="10"/>
        <v>0.3979400086720376</v>
      </c>
    </row>
    <row r="478" spans="1:19">
      <c r="A478" s="243"/>
      <c r="B478" s="244"/>
      <c r="C478" s="311">
        <v>4</v>
      </c>
      <c r="D478" s="244">
        <v>6</v>
      </c>
      <c r="E478" s="244">
        <v>0</v>
      </c>
      <c r="F478" s="244">
        <v>1</v>
      </c>
      <c r="G478" s="244">
        <v>2</v>
      </c>
      <c r="H478" s="244">
        <v>2</v>
      </c>
      <c r="I478" s="244">
        <v>1</v>
      </c>
      <c r="J478" s="244">
        <v>0</v>
      </c>
      <c r="K478" s="276">
        <v>2.5</v>
      </c>
      <c r="L478" s="277">
        <v>44.2</v>
      </c>
      <c r="M478" s="249"/>
      <c r="N478" s="250"/>
      <c r="O478" s="250"/>
      <c r="P478" s="250"/>
      <c r="Q478" s="250"/>
      <c r="R478" s="250"/>
      <c r="S478" s="266">
        <f t="shared" si="10"/>
        <v>0.3979400086720376</v>
      </c>
    </row>
    <row r="479" spans="1:19">
      <c r="A479" s="243"/>
      <c r="B479" s="244"/>
      <c r="C479" s="311">
        <v>6</v>
      </c>
      <c r="D479" s="244">
        <v>6</v>
      </c>
      <c r="E479" s="244">
        <v>1</v>
      </c>
      <c r="F479" s="244">
        <v>0</v>
      </c>
      <c r="G479" s="244">
        <v>2</v>
      </c>
      <c r="H479" s="244">
        <v>2</v>
      </c>
      <c r="I479" s="244">
        <v>1</v>
      </c>
      <c r="J479" s="244">
        <v>0</v>
      </c>
      <c r="K479" s="276">
        <v>3.5</v>
      </c>
      <c r="L479" s="277">
        <v>33.5</v>
      </c>
      <c r="M479" s="249"/>
      <c r="N479" s="250"/>
      <c r="O479" s="250"/>
      <c r="P479" s="250"/>
      <c r="Q479" s="250"/>
      <c r="R479" s="250"/>
      <c r="S479" s="266">
        <f t="shared" si="10"/>
        <v>0.54406804435027567</v>
      </c>
    </row>
    <row r="480" spans="1:19">
      <c r="A480" s="243"/>
      <c r="B480" s="244"/>
      <c r="C480" s="311">
        <v>6</v>
      </c>
      <c r="D480" s="244">
        <v>6</v>
      </c>
      <c r="E480" s="244">
        <v>1</v>
      </c>
      <c r="F480" s="244">
        <v>0</v>
      </c>
      <c r="G480" s="244">
        <v>2</v>
      </c>
      <c r="H480" s="244">
        <v>2</v>
      </c>
      <c r="I480" s="244">
        <v>1</v>
      </c>
      <c r="J480" s="244">
        <v>0</v>
      </c>
      <c r="K480" s="276">
        <v>3.5</v>
      </c>
      <c r="L480" s="277">
        <v>37.4</v>
      </c>
      <c r="M480" s="249"/>
      <c r="N480" s="250"/>
      <c r="O480" s="250"/>
      <c r="P480" s="250"/>
      <c r="Q480" s="250"/>
      <c r="R480" s="250"/>
      <c r="S480" s="266">
        <f t="shared" si="10"/>
        <v>0.54406804435027567</v>
      </c>
    </row>
    <row r="481" spans="1:19">
      <c r="A481" s="243"/>
      <c r="B481" s="244"/>
      <c r="C481" s="311">
        <v>4</v>
      </c>
      <c r="D481" s="244">
        <v>6</v>
      </c>
      <c r="E481" s="244">
        <v>0</v>
      </c>
      <c r="F481" s="244">
        <v>0</v>
      </c>
      <c r="G481" s="244">
        <v>2</v>
      </c>
      <c r="H481" s="244">
        <v>2</v>
      </c>
      <c r="I481" s="244">
        <v>1</v>
      </c>
      <c r="J481" s="244">
        <v>0</v>
      </c>
      <c r="K481" s="276">
        <v>2.5</v>
      </c>
      <c r="L481" s="277">
        <v>40.193100000000001</v>
      </c>
      <c r="M481" s="249"/>
      <c r="N481" s="250"/>
      <c r="O481" s="250"/>
      <c r="P481" s="250"/>
      <c r="Q481" s="250"/>
      <c r="R481" s="250"/>
      <c r="S481" s="266">
        <f t="shared" si="10"/>
        <v>0.3979400086720376</v>
      </c>
    </row>
    <row r="482" spans="1:19">
      <c r="A482" s="243"/>
      <c r="B482" s="244"/>
      <c r="C482" s="311">
        <v>4</v>
      </c>
      <c r="D482" s="244">
        <v>5</v>
      </c>
      <c r="E482" s="244">
        <v>1</v>
      </c>
      <c r="F482" s="244">
        <v>0</v>
      </c>
      <c r="G482" s="244">
        <v>2</v>
      </c>
      <c r="H482" s="244">
        <v>2</v>
      </c>
      <c r="I482" s="244">
        <v>1</v>
      </c>
      <c r="J482" s="244">
        <v>0</v>
      </c>
      <c r="K482" s="276">
        <v>2.5</v>
      </c>
      <c r="L482" s="277">
        <v>41.664200000000001</v>
      </c>
      <c r="M482" s="249"/>
      <c r="N482" s="250"/>
      <c r="O482" s="250"/>
      <c r="P482" s="250"/>
      <c r="Q482" s="250"/>
      <c r="R482" s="250"/>
      <c r="S482" s="266">
        <f t="shared" si="10"/>
        <v>0.3979400086720376</v>
      </c>
    </row>
    <row r="483" spans="1:19">
      <c r="A483" s="243"/>
      <c r="B483" s="244"/>
      <c r="C483" s="311">
        <v>6</v>
      </c>
      <c r="D483" s="244">
        <v>6</v>
      </c>
      <c r="E483" s="244">
        <v>1</v>
      </c>
      <c r="F483" s="244">
        <v>0</v>
      </c>
      <c r="G483" s="244">
        <v>2</v>
      </c>
      <c r="H483" s="244">
        <v>2</v>
      </c>
      <c r="I483" s="244">
        <v>1</v>
      </c>
      <c r="J483" s="244">
        <v>0</v>
      </c>
      <c r="K483" s="276">
        <v>3.7</v>
      </c>
      <c r="L483" s="277">
        <v>34.823500000000003</v>
      </c>
      <c r="M483" s="249"/>
      <c r="N483" s="250"/>
      <c r="O483" s="250"/>
      <c r="P483" s="250"/>
      <c r="Q483" s="250"/>
      <c r="R483" s="250"/>
      <c r="S483" s="266">
        <f t="shared" si="10"/>
        <v>0.56820172406699498</v>
      </c>
    </row>
    <row r="484" spans="1:19">
      <c r="A484" s="243"/>
      <c r="B484" s="244"/>
      <c r="C484" s="311">
        <v>4</v>
      </c>
      <c r="D484" s="244">
        <v>6</v>
      </c>
      <c r="E484" s="244">
        <v>0</v>
      </c>
      <c r="F484" s="244">
        <v>0</v>
      </c>
      <c r="G484" s="244">
        <v>2</v>
      </c>
      <c r="H484" s="244">
        <v>2</v>
      </c>
      <c r="I484" s="244">
        <v>1</v>
      </c>
      <c r="J484" s="244">
        <v>0</v>
      </c>
      <c r="K484" s="276">
        <v>2.2999999999999998</v>
      </c>
      <c r="L484" s="277">
        <v>34.700000000000003</v>
      </c>
      <c r="M484" s="249"/>
      <c r="N484" s="250"/>
      <c r="O484" s="250"/>
      <c r="P484" s="250"/>
      <c r="Q484" s="250"/>
      <c r="R484" s="250"/>
      <c r="S484" s="266">
        <f t="shared" si="10"/>
        <v>0.36172783601759284</v>
      </c>
    </row>
    <row r="485" spans="1:19">
      <c r="A485" s="243"/>
      <c r="B485" s="244"/>
      <c r="C485" s="311">
        <v>6</v>
      </c>
      <c r="D485" s="244">
        <v>7</v>
      </c>
      <c r="E485" s="244">
        <v>1</v>
      </c>
      <c r="F485" s="244">
        <v>0</v>
      </c>
      <c r="G485" s="244">
        <v>2</v>
      </c>
      <c r="H485" s="244">
        <v>2</v>
      </c>
      <c r="I485" s="244">
        <v>1</v>
      </c>
      <c r="J485" s="244">
        <v>0</v>
      </c>
      <c r="K485" s="276">
        <v>3.5</v>
      </c>
      <c r="L485" s="277">
        <v>36.200000000000003</v>
      </c>
      <c r="M485" s="249"/>
      <c r="N485" s="250"/>
      <c r="O485" s="250"/>
      <c r="P485" s="250"/>
      <c r="Q485" s="250"/>
      <c r="R485" s="250"/>
      <c r="S485" s="266">
        <f t="shared" si="10"/>
        <v>0.54406804435027567</v>
      </c>
    </row>
    <row r="486" spans="1:19">
      <c r="A486" s="243"/>
      <c r="B486" s="244"/>
      <c r="C486" s="311">
        <v>6</v>
      </c>
      <c r="D486" s="244">
        <v>7</v>
      </c>
      <c r="E486" s="244">
        <v>1</v>
      </c>
      <c r="F486" s="244">
        <v>0</v>
      </c>
      <c r="G486" s="244">
        <v>2</v>
      </c>
      <c r="H486" s="244">
        <v>2</v>
      </c>
      <c r="I486" s="244">
        <v>1</v>
      </c>
      <c r="J486" s="244">
        <v>0</v>
      </c>
      <c r="K486" s="276">
        <v>3.5</v>
      </c>
      <c r="L486" s="277">
        <v>33.200000000000003</v>
      </c>
      <c r="M486" s="249"/>
      <c r="N486" s="250"/>
      <c r="O486" s="250"/>
      <c r="P486" s="250"/>
      <c r="Q486" s="250"/>
      <c r="R486" s="250"/>
      <c r="S486" s="266">
        <f t="shared" si="10"/>
        <v>0.54406804435027567</v>
      </c>
    </row>
    <row r="487" spans="1:19">
      <c r="A487" s="243"/>
      <c r="B487" s="244"/>
      <c r="C487" s="311">
        <v>8</v>
      </c>
      <c r="D487" s="244">
        <v>7</v>
      </c>
      <c r="E487" s="244">
        <v>1</v>
      </c>
      <c r="F487" s="244">
        <v>0</v>
      </c>
      <c r="G487" s="244">
        <v>2</v>
      </c>
      <c r="H487" s="244">
        <v>2</v>
      </c>
      <c r="I487" s="244">
        <v>1</v>
      </c>
      <c r="J487" s="244">
        <v>0</v>
      </c>
      <c r="K487" s="276">
        <v>5.5</v>
      </c>
      <c r="L487" s="277">
        <v>33</v>
      </c>
      <c r="M487" s="249"/>
      <c r="N487" s="250"/>
      <c r="O487" s="250"/>
      <c r="P487" s="250"/>
      <c r="Q487" s="250"/>
      <c r="R487" s="250"/>
      <c r="S487" s="266">
        <f t="shared" si="10"/>
        <v>0.74036268949424389</v>
      </c>
    </row>
    <row r="488" spans="1:19">
      <c r="A488" s="243"/>
      <c r="B488" s="244"/>
      <c r="C488" s="311">
        <v>8</v>
      </c>
      <c r="D488" s="244">
        <v>7</v>
      </c>
      <c r="E488" s="244">
        <v>1</v>
      </c>
      <c r="F488" s="244">
        <v>0</v>
      </c>
      <c r="G488" s="244">
        <v>2</v>
      </c>
      <c r="H488" s="244">
        <v>2</v>
      </c>
      <c r="I488" s="244">
        <v>1</v>
      </c>
      <c r="J488" s="244">
        <v>0</v>
      </c>
      <c r="K488" s="276">
        <v>5.5</v>
      </c>
      <c r="L488" s="277">
        <v>32.299999999999997</v>
      </c>
      <c r="M488" s="249"/>
      <c r="N488" s="250"/>
      <c r="O488" s="250"/>
      <c r="P488" s="250"/>
      <c r="Q488" s="250"/>
      <c r="R488" s="250"/>
      <c r="S488" s="266">
        <f t="shared" si="10"/>
        <v>0.74036268949424389</v>
      </c>
    </row>
    <row r="489" spans="1:19">
      <c r="A489" s="243"/>
      <c r="B489" s="244"/>
      <c r="C489" s="311">
        <v>8</v>
      </c>
      <c r="D489" s="244">
        <v>7</v>
      </c>
      <c r="E489" s="244">
        <v>1</v>
      </c>
      <c r="F489" s="244">
        <v>0</v>
      </c>
      <c r="G489" s="244">
        <v>2</v>
      </c>
      <c r="H489" s="244">
        <v>2</v>
      </c>
      <c r="I489" s="244">
        <v>1</v>
      </c>
      <c r="J489" s="244">
        <v>0</v>
      </c>
      <c r="K489" s="276">
        <v>6.3</v>
      </c>
      <c r="L489" s="277">
        <v>27.1158</v>
      </c>
      <c r="M489" s="249"/>
      <c r="N489" s="250"/>
      <c r="O489" s="250"/>
      <c r="P489" s="250"/>
      <c r="Q489" s="250"/>
      <c r="R489" s="250"/>
      <c r="S489" s="266">
        <f t="shared" si="10"/>
        <v>0.79934054945358168</v>
      </c>
    </row>
    <row r="490" spans="1:19">
      <c r="A490" s="243"/>
      <c r="B490" s="244"/>
      <c r="C490" s="311">
        <v>4</v>
      </c>
      <c r="D490" s="244">
        <v>4</v>
      </c>
      <c r="E490" s="244">
        <v>1</v>
      </c>
      <c r="F490" s="244">
        <v>0</v>
      </c>
      <c r="G490" s="244">
        <v>2</v>
      </c>
      <c r="H490" s="244">
        <v>2</v>
      </c>
      <c r="I490" s="244">
        <v>0</v>
      </c>
      <c r="J490" s="244">
        <v>1</v>
      </c>
      <c r="K490" s="276">
        <v>2.4</v>
      </c>
      <c r="L490" s="277">
        <v>42.214599999999997</v>
      </c>
      <c r="M490" s="249"/>
      <c r="N490" s="250"/>
      <c r="O490" s="250"/>
      <c r="P490" s="250"/>
      <c r="Q490" s="250"/>
      <c r="R490" s="250"/>
      <c r="S490" s="266">
        <f t="shared" si="10"/>
        <v>0.38021124171160603</v>
      </c>
    </row>
    <row r="491" spans="1:19">
      <c r="A491" s="243"/>
      <c r="B491" s="244"/>
      <c r="C491" s="311">
        <v>4</v>
      </c>
      <c r="D491" s="244">
        <v>1</v>
      </c>
      <c r="E491" s="244">
        <v>1</v>
      </c>
      <c r="F491" s="244">
        <v>0</v>
      </c>
      <c r="G491" s="244">
        <v>2</v>
      </c>
      <c r="H491" s="244">
        <v>2</v>
      </c>
      <c r="I491" s="244">
        <v>1</v>
      </c>
      <c r="J491" s="244">
        <v>0</v>
      </c>
      <c r="K491" s="276">
        <v>2.5</v>
      </c>
      <c r="L491" s="277">
        <v>45.672899999999998</v>
      </c>
      <c r="M491" s="249"/>
      <c r="N491" s="250"/>
      <c r="O491" s="250"/>
      <c r="P491" s="250"/>
      <c r="Q491" s="250"/>
      <c r="R491" s="250"/>
      <c r="S491" s="266">
        <f t="shared" si="10"/>
        <v>0.3979400086720376</v>
      </c>
    </row>
    <row r="492" spans="1:19">
      <c r="A492" s="243"/>
      <c r="B492" s="244"/>
      <c r="C492" s="311">
        <v>6</v>
      </c>
      <c r="D492" s="244">
        <v>6</v>
      </c>
      <c r="E492" s="244">
        <v>0</v>
      </c>
      <c r="F492" s="244">
        <v>0</v>
      </c>
      <c r="G492" s="244">
        <v>2</v>
      </c>
      <c r="H492" s="244">
        <v>2</v>
      </c>
      <c r="I492" s="244">
        <v>1</v>
      </c>
      <c r="J492" s="244">
        <v>0</v>
      </c>
      <c r="K492" s="276">
        <v>3.5</v>
      </c>
      <c r="L492" s="277">
        <v>37.9499</v>
      </c>
      <c r="M492" s="249"/>
      <c r="N492" s="250"/>
      <c r="O492" s="250"/>
      <c r="P492" s="250"/>
      <c r="Q492" s="250"/>
      <c r="R492" s="250"/>
      <c r="S492" s="266">
        <f t="shared" si="10"/>
        <v>0.54406804435027567</v>
      </c>
    </row>
    <row r="493" spans="1:19">
      <c r="A493" s="243"/>
      <c r="B493" s="244"/>
      <c r="C493" s="311">
        <v>6</v>
      </c>
      <c r="D493" s="244">
        <v>1</v>
      </c>
      <c r="E493" s="244">
        <v>1</v>
      </c>
      <c r="F493" s="244">
        <v>0</v>
      </c>
      <c r="G493" s="244">
        <v>2</v>
      </c>
      <c r="H493" s="244">
        <v>2</v>
      </c>
      <c r="I493" s="244">
        <v>1</v>
      </c>
      <c r="J493" s="244">
        <v>0</v>
      </c>
      <c r="K493" s="276">
        <v>3.5</v>
      </c>
      <c r="L493" s="277">
        <v>38.034700000000001</v>
      </c>
      <c r="M493" s="249"/>
      <c r="N493" s="250"/>
      <c r="O493" s="250"/>
      <c r="P493" s="250"/>
      <c r="Q493" s="250"/>
      <c r="R493" s="250"/>
      <c r="S493" s="266">
        <f t="shared" si="10"/>
        <v>0.54406804435027567</v>
      </c>
    </row>
    <row r="494" spans="1:19">
      <c r="A494" s="243"/>
      <c r="B494" s="244"/>
      <c r="C494" s="311">
        <v>4</v>
      </c>
      <c r="D494" s="244">
        <v>1</v>
      </c>
      <c r="E494" s="244">
        <v>1</v>
      </c>
      <c r="F494" s="244">
        <v>0</v>
      </c>
      <c r="G494" s="244">
        <v>2</v>
      </c>
      <c r="H494" s="244">
        <v>2</v>
      </c>
      <c r="I494" s="244">
        <v>1</v>
      </c>
      <c r="J494" s="244">
        <v>0</v>
      </c>
      <c r="K494" s="276">
        <v>2.5</v>
      </c>
      <c r="L494" s="277">
        <v>46.6</v>
      </c>
      <c r="M494" s="249"/>
      <c r="N494" s="250"/>
      <c r="O494" s="250"/>
      <c r="P494" s="250"/>
      <c r="Q494" s="250"/>
      <c r="R494" s="250"/>
      <c r="S494" s="266">
        <f t="shared" si="10"/>
        <v>0.3979400086720376</v>
      </c>
    </row>
    <row r="495" spans="1:19">
      <c r="A495" s="243"/>
      <c r="B495" s="244"/>
      <c r="C495" s="311">
        <v>6</v>
      </c>
      <c r="D495" s="244">
        <v>1</v>
      </c>
      <c r="E495" s="244">
        <v>1</v>
      </c>
      <c r="F495" s="244">
        <v>0</v>
      </c>
      <c r="G495" s="244">
        <v>2</v>
      </c>
      <c r="H495" s="244">
        <v>2</v>
      </c>
      <c r="I495" s="244">
        <v>1</v>
      </c>
      <c r="J495" s="244">
        <v>0</v>
      </c>
      <c r="K495" s="276">
        <v>3.5</v>
      </c>
      <c r="L495" s="277">
        <v>36.410200000000003</v>
      </c>
      <c r="M495" s="249"/>
      <c r="N495" s="250"/>
      <c r="O495" s="250"/>
      <c r="P495" s="250"/>
      <c r="Q495" s="250"/>
      <c r="R495" s="250"/>
      <c r="S495" s="266">
        <f t="shared" si="10"/>
        <v>0.54406804435027567</v>
      </c>
    </row>
    <row r="496" spans="1:19">
      <c r="A496" s="243"/>
      <c r="B496" s="244"/>
      <c r="C496" s="311">
        <v>4</v>
      </c>
      <c r="D496" s="244">
        <v>6</v>
      </c>
      <c r="E496" s="244">
        <v>0</v>
      </c>
      <c r="F496" s="244">
        <v>0</v>
      </c>
      <c r="G496" s="244">
        <v>2</v>
      </c>
      <c r="H496" s="244">
        <v>2</v>
      </c>
      <c r="I496" s="244">
        <v>1</v>
      </c>
      <c r="J496" s="244">
        <v>0</v>
      </c>
      <c r="K496" s="276">
        <v>2</v>
      </c>
      <c r="L496" s="277">
        <v>43</v>
      </c>
      <c r="M496" s="249"/>
      <c r="N496" s="250"/>
      <c r="O496" s="250"/>
      <c r="P496" s="250"/>
      <c r="Q496" s="250"/>
      <c r="R496" s="250"/>
      <c r="S496" s="266">
        <f t="shared" si="10"/>
        <v>0.3010299956639812</v>
      </c>
    </row>
    <row r="497" spans="1:19">
      <c r="A497" s="243"/>
      <c r="B497" s="244"/>
      <c r="C497" s="311">
        <v>4</v>
      </c>
      <c r="D497" s="244">
        <v>1</v>
      </c>
      <c r="E497" s="244">
        <v>1</v>
      </c>
      <c r="F497" s="244">
        <v>0</v>
      </c>
      <c r="G497" s="244">
        <v>2</v>
      </c>
      <c r="H497" s="244">
        <v>2</v>
      </c>
      <c r="I497" s="244">
        <v>1</v>
      </c>
      <c r="J497" s="244">
        <v>0</v>
      </c>
      <c r="K497" s="276">
        <v>2</v>
      </c>
      <c r="L497" s="277">
        <v>47.512900000000002</v>
      </c>
      <c r="M497" s="249"/>
      <c r="N497" s="250"/>
      <c r="O497" s="250"/>
      <c r="P497" s="250"/>
      <c r="Q497" s="250"/>
      <c r="R497" s="250"/>
      <c r="S497" s="266">
        <f t="shared" si="10"/>
        <v>0.3010299956639812</v>
      </c>
    </row>
    <row r="498" spans="1:19">
      <c r="A498" s="243"/>
      <c r="B498" s="244"/>
      <c r="C498" s="311">
        <v>4</v>
      </c>
      <c r="D498" s="244">
        <v>6</v>
      </c>
      <c r="E498" s="244">
        <v>0</v>
      </c>
      <c r="F498" s="244">
        <v>0</v>
      </c>
      <c r="G498" s="244">
        <v>2</v>
      </c>
      <c r="H498" s="244">
        <v>2</v>
      </c>
      <c r="I498" s="244">
        <v>1</v>
      </c>
      <c r="J498" s="244">
        <v>0</v>
      </c>
      <c r="K498" s="276">
        <v>2.5</v>
      </c>
      <c r="L498" s="277">
        <v>39.6</v>
      </c>
      <c r="M498" s="249"/>
      <c r="N498" s="250"/>
      <c r="O498" s="250"/>
      <c r="P498" s="250"/>
      <c r="Q498" s="250"/>
      <c r="R498" s="250"/>
      <c r="S498" s="266">
        <f t="shared" si="10"/>
        <v>0.3979400086720376</v>
      </c>
    </row>
    <row r="499" spans="1:19">
      <c r="A499" s="243"/>
      <c r="B499" s="244"/>
      <c r="C499" s="311">
        <v>4</v>
      </c>
      <c r="D499" s="244">
        <v>1</v>
      </c>
      <c r="E499" s="244">
        <v>1</v>
      </c>
      <c r="F499" s="244">
        <v>0</v>
      </c>
      <c r="G499" s="244">
        <v>2</v>
      </c>
      <c r="H499" s="244">
        <v>2</v>
      </c>
      <c r="I499" s="244">
        <v>1</v>
      </c>
      <c r="J499" s="244">
        <v>0</v>
      </c>
      <c r="K499" s="276">
        <v>2.5</v>
      </c>
      <c r="L499" s="277">
        <v>42.699800000000003</v>
      </c>
      <c r="M499" s="249"/>
      <c r="N499" s="250"/>
      <c r="O499" s="250"/>
      <c r="P499" s="250"/>
      <c r="Q499" s="250"/>
      <c r="R499" s="250"/>
      <c r="S499" s="266">
        <f t="shared" si="10"/>
        <v>0.3979400086720376</v>
      </c>
    </row>
    <row r="500" spans="1:19">
      <c r="A500" s="243"/>
      <c r="B500" s="244"/>
      <c r="C500" s="311">
        <v>4</v>
      </c>
      <c r="D500" s="244">
        <v>4</v>
      </c>
      <c r="E500" s="244">
        <v>1</v>
      </c>
      <c r="F500" s="244">
        <v>0</v>
      </c>
      <c r="G500" s="244">
        <v>2</v>
      </c>
      <c r="H500" s="244">
        <v>2</v>
      </c>
      <c r="I500" s="244">
        <v>1</v>
      </c>
      <c r="J500" s="244">
        <v>0</v>
      </c>
      <c r="K500" s="276">
        <v>1.6</v>
      </c>
      <c r="L500" s="277">
        <v>46.5</v>
      </c>
      <c r="M500" s="249"/>
      <c r="N500" s="250"/>
      <c r="O500" s="250"/>
      <c r="P500" s="250"/>
      <c r="Q500" s="250"/>
      <c r="R500" s="250"/>
      <c r="S500" s="266">
        <f t="shared" si="10"/>
        <v>0.20411998265592479</v>
      </c>
    </row>
    <row r="501" spans="1:19">
      <c r="A501" s="243"/>
      <c r="B501" s="244"/>
      <c r="C501" s="311">
        <v>4</v>
      </c>
      <c r="D501" s="244">
        <v>5</v>
      </c>
      <c r="E501" s="244">
        <v>0</v>
      </c>
      <c r="F501" s="244">
        <v>0</v>
      </c>
      <c r="G501" s="244">
        <v>2</v>
      </c>
      <c r="H501" s="244">
        <v>2</v>
      </c>
      <c r="I501" s="244">
        <v>1</v>
      </c>
      <c r="J501" s="244">
        <v>0</v>
      </c>
      <c r="K501" s="276">
        <v>1.6</v>
      </c>
      <c r="L501" s="277">
        <v>47.3</v>
      </c>
      <c r="M501" s="249"/>
      <c r="N501" s="250"/>
      <c r="O501" s="250"/>
      <c r="P501" s="250"/>
      <c r="Q501" s="250"/>
      <c r="R501" s="250"/>
      <c r="S501" s="266">
        <f t="shared" si="10"/>
        <v>0.20411998265592479</v>
      </c>
    </row>
    <row r="502" spans="1:19">
      <c r="A502" s="243"/>
      <c r="B502" s="244"/>
      <c r="C502" s="311">
        <v>4</v>
      </c>
      <c r="D502" s="244">
        <v>1</v>
      </c>
      <c r="E502" s="244">
        <v>1</v>
      </c>
      <c r="F502" s="244">
        <v>0</v>
      </c>
      <c r="G502" s="244">
        <v>2</v>
      </c>
      <c r="H502" s="244">
        <v>2</v>
      </c>
      <c r="I502" s="244">
        <v>1</v>
      </c>
      <c r="J502" s="244">
        <v>0</v>
      </c>
      <c r="K502" s="276">
        <v>1.8</v>
      </c>
      <c r="L502" s="277">
        <v>47.5</v>
      </c>
      <c r="M502" s="249"/>
      <c r="N502" s="250"/>
      <c r="O502" s="250"/>
      <c r="P502" s="250"/>
      <c r="Q502" s="250"/>
      <c r="R502" s="250"/>
      <c r="S502" s="266">
        <f t="shared" si="10"/>
        <v>0.25527250510330607</v>
      </c>
    </row>
    <row r="503" spans="1:19">
      <c r="A503" s="243"/>
      <c r="B503" s="244"/>
      <c r="C503" s="311">
        <v>4</v>
      </c>
      <c r="D503" s="244">
        <v>4</v>
      </c>
      <c r="E503" s="244">
        <v>1</v>
      </c>
      <c r="F503" s="244">
        <v>0</v>
      </c>
      <c r="G503" s="244">
        <v>2</v>
      </c>
      <c r="H503" s="244">
        <v>2</v>
      </c>
      <c r="I503" s="244">
        <v>1</v>
      </c>
      <c r="J503" s="244">
        <v>0</v>
      </c>
      <c r="K503" s="276">
        <v>1.8</v>
      </c>
      <c r="L503" s="277">
        <v>44.9</v>
      </c>
      <c r="M503" s="249"/>
      <c r="N503" s="250"/>
      <c r="O503" s="250"/>
      <c r="P503" s="250"/>
      <c r="Q503" s="250"/>
      <c r="R503" s="250"/>
      <c r="S503" s="266">
        <f t="shared" si="10"/>
        <v>0.25527250510330607</v>
      </c>
    </row>
    <row r="504" spans="1:19">
      <c r="A504" s="243"/>
      <c r="B504" s="244"/>
      <c r="C504" s="311">
        <v>4</v>
      </c>
      <c r="D504" s="244">
        <v>6</v>
      </c>
      <c r="E504" s="244">
        <v>0</v>
      </c>
      <c r="F504" s="244">
        <v>0</v>
      </c>
      <c r="G504" s="244">
        <v>2</v>
      </c>
      <c r="H504" s="244">
        <v>2</v>
      </c>
      <c r="I504" s="244">
        <v>1</v>
      </c>
      <c r="J504" s="244">
        <v>0</v>
      </c>
      <c r="K504" s="276">
        <v>1.8</v>
      </c>
      <c r="L504" s="277">
        <v>44.2</v>
      </c>
      <c r="M504" s="249"/>
      <c r="N504" s="250"/>
      <c r="O504" s="250"/>
      <c r="P504" s="250"/>
      <c r="Q504" s="250"/>
      <c r="R504" s="250"/>
      <c r="S504" s="266">
        <f t="shared" si="10"/>
        <v>0.25527250510330607</v>
      </c>
    </row>
    <row r="505" spans="1:19">
      <c r="A505" s="243"/>
      <c r="B505" s="244"/>
      <c r="C505" s="311">
        <v>12</v>
      </c>
      <c r="D505" s="244">
        <v>6</v>
      </c>
      <c r="E505" s="244">
        <v>1</v>
      </c>
      <c r="F505" s="244">
        <v>0</v>
      </c>
      <c r="G505" s="244">
        <v>2</v>
      </c>
      <c r="H505" s="244">
        <v>2</v>
      </c>
      <c r="I505" s="244">
        <v>1</v>
      </c>
      <c r="J505" s="244">
        <v>0</v>
      </c>
      <c r="K505" s="276">
        <v>6.7</v>
      </c>
      <c r="L505" s="277">
        <v>24.2</v>
      </c>
      <c r="M505" s="249"/>
      <c r="N505" s="250"/>
      <c r="O505" s="250"/>
      <c r="P505" s="250"/>
      <c r="Q505" s="250"/>
      <c r="R505" s="250"/>
      <c r="S505" s="266">
        <f t="shared" si="10"/>
        <v>0.82607480270082645</v>
      </c>
    </row>
    <row r="506" spans="1:19">
      <c r="A506" s="243"/>
      <c r="B506" s="244"/>
      <c r="C506" s="311">
        <v>6</v>
      </c>
      <c r="D506" s="244">
        <v>6</v>
      </c>
      <c r="E506" s="244">
        <v>0</v>
      </c>
      <c r="F506" s="244">
        <v>0</v>
      </c>
      <c r="G506" s="244">
        <v>2</v>
      </c>
      <c r="H506" s="244">
        <v>2</v>
      </c>
      <c r="I506" s="244">
        <v>1</v>
      </c>
      <c r="J506" s="244">
        <v>0</v>
      </c>
      <c r="K506" s="276">
        <v>2.8</v>
      </c>
      <c r="L506" s="277">
        <v>37.118499999999997</v>
      </c>
      <c r="M506" s="249"/>
      <c r="N506" s="250"/>
      <c r="O506" s="250"/>
      <c r="P506" s="250"/>
      <c r="Q506" s="250"/>
      <c r="R506" s="250"/>
      <c r="S506" s="266">
        <f t="shared" si="10"/>
        <v>0.44715803134221921</v>
      </c>
    </row>
    <row r="507" spans="1:19">
      <c r="A507" s="243"/>
      <c r="B507" s="244"/>
      <c r="C507" s="311">
        <v>4</v>
      </c>
      <c r="D507" s="244">
        <v>6</v>
      </c>
      <c r="E507" s="244">
        <v>1</v>
      </c>
      <c r="F507" s="244">
        <v>0</v>
      </c>
      <c r="G507" s="244">
        <v>2</v>
      </c>
      <c r="H507" s="244">
        <v>2</v>
      </c>
      <c r="I507" s="244">
        <v>1</v>
      </c>
      <c r="J507" s="244">
        <v>0</v>
      </c>
      <c r="K507" s="276">
        <v>2.4</v>
      </c>
      <c r="L507" s="277">
        <v>46.9</v>
      </c>
      <c r="M507" s="249"/>
      <c r="N507" s="250"/>
      <c r="O507" s="250"/>
      <c r="P507" s="250"/>
      <c r="Q507" s="250"/>
      <c r="R507" s="250"/>
      <c r="S507" s="266">
        <f t="shared" si="10"/>
        <v>0.38021124171160603</v>
      </c>
    </row>
    <row r="508" spans="1:19">
      <c r="A508" s="243"/>
      <c r="B508" s="244"/>
      <c r="C508" s="311">
        <v>4</v>
      </c>
      <c r="D508" s="244">
        <v>6</v>
      </c>
      <c r="E508" s="244">
        <v>1</v>
      </c>
      <c r="F508" s="244">
        <v>0</v>
      </c>
      <c r="G508" s="244">
        <v>2</v>
      </c>
      <c r="H508" s="244">
        <v>2</v>
      </c>
      <c r="I508" s="244">
        <v>1</v>
      </c>
      <c r="J508" s="244">
        <v>0</v>
      </c>
      <c r="K508" s="276">
        <v>2.4</v>
      </c>
      <c r="L508" s="277">
        <v>46.8</v>
      </c>
      <c r="M508" s="249"/>
      <c r="N508" s="250"/>
      <c r="O508" s="250"/>
      <c r="P508" s="250"/>
      <c r="Q508" s="250"/>
      <c r="R508" s="250"/>
      <c r="S508" s="266">
        <f t="shared" si="10"/>
        <v>0.38021124171160603</v>
      </c>
    </row>
    <row r="509" spans="1:19">
      <c r="A509" s="243"/>
      <c r="B509" s="244"/>
      <c r="C509" s="311">
        <v>6</v>
      </c>
      <c r="D509" s="244">
        <v>6</v>
      </c>
      <c r="E509" s="244">
        <v>1</v>
      </c>
      <c r="F509" s="244">
        <v>0</v>
      </c>
      <c r="G509" s="244">
        <v>2</v>
      </c>
      <c r="H509" s="244">
        <v>2</v>
      </c>
      <c r="I509" s="244">
        <v>1</v>
      </c>
      <c r="J509" s="244">
        <v>0</v>
      </c>
      <c r="K509" s="276">
        <v>3.6</v>
      </c>
      <c r="L509" s="277">
        <v>35.6</v>
      </c>
      <c r="M509" s="249"/>
      <c r="N509" s="250"/>
      <c r="O509" s="250"/>
      <c r="P509" s="250"/>
      <c r="Q509" s="250"/>
      <c r="R509" s="250"/>
      <c r="S509" s="266">
        <f t="shared" si="10"/>
        <v>0.55630250076728727</v>
      </c>
    </row>
    <row r="510" spans="1:19">
      <c r="A510" s="243"/>
      <c r="B510" s="244"/>
      <c r="C510" s="311">
        <v>4</v>
      </c>
      <c r="D510" s="244">
        <v>6</v>
      </c>
      <c r="E510" s="244">
        <v>0</v>
      </c>
      <c r="F510" s="244">
        <v>0</v>
      </c>
      <c r="G510" s="244">
        <v>2</v>
      </c>
      <c r="H510" s="244">
        <v>2</v>
      </c>
      <c r="I510" s="244">
        <v>0</v>
      </c>
      <c r="J510" s="244">
        <v>1</v>
      </c>
      <c r="K510" s="276">
        <v>2.5</v>
      </c>
      <c r="L510" s="277">
        <v>37.057400000000001</v>
      </c>
      <c r="M510" s="249"/>
      <c r="N510" s="250"/>
      <c r="O510" s="250"/>
      <c r="P510" s="250"/>
      <c r="Q510" s="250"/>
      <c r="R510" s="250"/>
      <c r="S510" s="266">
        <f t="shared" si="10"/>
        <v>0.3979400086720376</v>
      </c>
    </row>
    <row r="511" spans="1:19">
      <c r="A511" s="243"/>
      <c r="B511" s="244"/>
      <c r="C511" s="311">
        <v>4</v>
      </c>
      <c r="D511" s="244">
        <v>6</v>
      </c>
      <c r="E511" s="244">
        <v>0</v>
      </c>
      <c r="F511" s="244">
        <v>0</v>
      </c>
      <c r="G511" s="244">
        <v>2</v>
      </c>
      <c r="H511" s="244">
        <v>2</v>
      </c>
      <c r="I511" s="244">
        <v>1</v>
      </c>
      <c r="J511" s="244">
        <v>0</v>
      </c>
      <c r="K511" s="276">
        <v>2.5</v>
      </c>
      <c r="L511" s="277">
        <v>34.6</v>
      </c>
      <c r="M511" s="249"/>
      <c r="N511" s="250"/>
      <c r="O511" s="250"/>
      <c r="P511" s="250"/>
      <c r="Q511" s="250"/>
      <c r="R511" s="250"/>
      <c r="S511" s="266">
        <f t="shared" si="10"/>
        <v>0.3979400086720376</v>
      </c>
    </row>
    <row r="512" spans="1:19">
      <c r="A512" s="243"/>
      <c r="B512" s="244"/>
      <c r="C512" s="311">
        <v>4</v>
      </c>
      <c r="D512" s="244">
        <v>1</v>
      </c>
      <c r="E512" s="244">
        <v>1</v>
      </c>
      <c r="F512" s="244">
        <v>0</v>
      </c>
      <c r="G512" s="244">
        <v>2</v>
      </c>
      <c r="H512" s="244">
        <v>2</v>
      </c>
      <c r="I512" s="244">
        <v>0</v>
      </c>
      <c r="J512" s="244">
        <v>1</v>
      </c>
      <c r="K512" s="276">
        <v>2.5</v>
      </c>
      <c r="L512" s="277">
        <v>42.921500000000002</v>
      </c>
      <c r="M512" s="249"/>
      <c r="N512" s="250"/>
      <c r="O512" s="250"/>
      <c r="P512" s="250"/>
      <c r="Q512" s="250"/>
      <c r="R512" s="250"/>
      <c r="S512" s="266">
        <f t="shared" si="10"/>
        <v>0.3979400086720376</v>
      </c>
    </row>
    <row r="513" spans="1:19">
      <c r="A513" s="243"/>
      <c r="B513" s="244"/>
      <c r="C513" s="311">
        <v>6</v>
      </c>
      <c r="D513" s="244">
        <v>5</v>
      </c>
      <c r="E513" s="244">
        <v>1</v>
      </c>
      <c r="F513" s="244">
        <v>0</v>
      </c>
      <c r="G513" s="244">
        <v>2</v>
      </c>
      <c r="H513" s="244">
        <v>2</v>
      </c>
      <c r="I513" s="244">
        <v>0</v>
      </c>
      <c r="J513" s="244">
        <v>1</v>
      </c>
      <c r="K513" s="276">
        <v>3.6</v>
      </c>
      <c r="L513" s="277">
        <v>34.270800000000001</v>
      </c>
      <c r="M513" s="249"/>
      <c r="N513" s="250"/>
      <c r="O513" s="250"/>
      <c r="P513" s="250"/>
      <c r="Q513" s="250"/>
      <c r="R513" s="250"/>
      <c r="S513" s="266">
        <f t="shared" si="10"/>
        <v>0.55630250076728727</v>
      </c>
    </row>
    <row r="514" spans="1:19">
      <c r="A514" s="243"/>
      <c r="B514" s="244"/>
      <c r="C514" s="311">
        <v>4</v>
      </c>
      <c r="D514" s="244">
        <v>6</v>
      </c>
      <c r="E514" s="244">
        <v>0</v>
      </c>
      <c r="F514" s="244">
        <v>0</v>
      </c>
      <c r="G514" s="244">
        <v>2</v>
      </c>
      <c r="H514" s="244">
        <v>2</v>
      </c>
      <c r="I514" s="244">
        <v>1</v>
      </c>
      <c r="J514" s="244">
        <v>0</v>
      </c>
      <c r="K514" s="276">
        <v>2.5</v>
      </c>
      <c r="L514" s="277">
        <v>46.8</v>
      </c>
      <c r="M514" s="249"/>
      <c r="N514" s="250"/>
      <c r="O514" s="250"/>
      <c r="P514" s="250"/>
      <c r="Q514" s="250"/>
      <c r="R514" s="250"/>
      <c r="S514" s="266">
        <f t="shared" si="10"/>
        <v>0.3979400086720376</v>
      </c>
    </row>
    <row r="515" spans="1:19">
      <c r="A515" s="243"/>
      <c r="B515" s="244"/>
      <c r="C515" s="311">
        <v>4</v>
      </c>
      <c r="D515" s="244">
        <v>6</v>
      </c>
      <c r="E515" s="244">
        <v>1</v>
      </c>
      <c r="F515" s="244">
        <v>0</v>
      </c>
      <c r="G515" s="244">
        <v>2</v>
      </c>
      <c r="H515" s="244">
        <v>2</v>
      </c>
      <c r="I515" s="244">
        <v>1</v>
      </c>
      <c r="J515" s="244">
        <v>0</v>
      </c>
      <c r="K515" s="276">
        <v>2.5</v>
      </c>
      <c r="L515" s="277">
        <v>45.056600000000003</v>
      </c>
      <c r="M515" s="249"/>
      <c r="N515" s="250"/>
      <c r="O515" s="250"/>
      <c r="P515" s="250"/>
      <c r="Q515" s="250"/>
      <c r="R515" s="250"/>
      <c r="S515" s="266">
        <f t="shared" si="10"/>
        <v>0.3979400086720376</v>
      </c>
    </row>
    <row r="516" spans="1:19">
      <c r="A516" s="243"/>
      <c r="B516" s="244"/>
      <c r="C516" s="311">
        <v>6</v>
      </c>
      <c r="D516" s="244">
        <v>6</v>
      </c>
      <c r="E516" s="244">
        <v>1</v>
      </c>
      <c r="F516" s="244">
        <v>0</v>
      </c>
      <c r="G516" s="244">
        <v>2</v>
      </c>
      <c r="H516" s="244">
        <v>2</v>
      </c>
      <c r="I516" s="244">
        <v>1</v>
      </c>
      <c r="J516" s="244">
        <v>0</v>
      </c>
      <c r="K516" s="276">
        <v>3.5</v>
      </c>
      <c r="L516" s="277">
        <v>39.799999999999997</v>
      </c>
      <c r="M516" s="249"/>
      <c r="N516" s="250"/>
      <c r="O516" s="250"/>
      <c r="P516" s="250"/>
      <c r="Q516" s="250"/>
      <c r="R516" s="250"/>
      <c r="S516" s="266">
        <f t="shared" si="10"/>
        <v>0.54406804435027567</v>
      </c>
    </row>
    <row r="517" spans="1:19">
      <c r="A517" s="243"/>
      <c r="B517" s="244"/>
      <c r="C517" s="311">
        <v>4</v>
      </c>
      <c r="D517" s="244">
        <v>1</v>
      </c>
      <c r="E517" s="244">
        <v>0</v>
      </c>
      <c r="F517" s="244">
        <v>0</v>
      </c>
      <c r="G517" s="244">
        <v>2</v>
      </c>
      <c r="H517" s="244">
        <v>2</v>
      </c>
      <c r="I517" s="244">
        <v>1</v>
      </c>
      <c r="J517" s="244">
        <v>0</v>
      </c>
      <c r="K517" s="276">
        <v>2.4</v>
      </c>
      <c r="L517" s="277">
        <v>48.2</v>
      </c>
      <c r="M517" s="249"/>
      <c r="N517" s="250"/>
      <c r="O517" s="250"/>
      <c r="P517" s="250"/>
      <c r="Q517" s="250"/>
      <c r="R517" s="250"/>
      <c r="S517" s="266">
        <f t="shared" si="10"/>
        <v>0.38021124171160603</v>
      </c>
    </row>
    <row r="518" spans="1:19">
      <c r="A518" s="243"/>
      <c r="B518" s="244"/>
      <c r="C518" s="311">
        <v>4</v>
      </c>
      <c r="D518" s="244">
        <v>1</v>
      </c>
      <c r="E518" s="244">
        <v>0</v>
      </c>
      <c r="F518" s="244">
        <v>0</v>
      </c>
      <c r="G518" s="244">
        <v>2</v>
      </c>
      <c r="H518" s="244">
        <v>2</v>
      </c>
      <c r="I518" s="244">
        <v>1</v>
      </c>
      <c r="J518" s="244">
        <v>0</v>
      </c>
      <c r="K518" s="276">
        <v>1.8</v>
      </c>
      <c r="L518" s="277">
        <v>69.6404</v>
      </c>
      <c r="M518" s="249"/>
      <c r="N518" s="250"/>
      <c r="O518" s="250"/>
      <c r="P518" s="250"/>
      <c r="Q518" s="250"/>
      <c r="R518" s="250"/>
      <c r="S518" s="266">
        <f t="shared" si="10"/>
        <v>0.25527250510330607</v>
      </c>
    </row>
    <row r="519" spans="1:19">
      <c r="A519" s="243"/>
      <c r="B519" s="244"/>
      <c r="C519" s="311">
        <v>4</v>
      </c>
      <c r="D519" s="244">
        <v>6</v>
      </c>
      <c r="E519" s="244">
        <v>0</v>
      </c>
      <c r="F519" s="244">
        <v>0</v>
      </c>
      <c r="G519" s="244">
        <v>2</v>
      </c>
      <c r="H519" s="244">
        <v>2</v>
      </c>
      <c r="I519" s="244">
        <v>1</v>
      </c>
      <c r="J519" s="244">
        <v>0</v>
      </c>
      <c r="K519" s="276">
        <v>2</v>
      </c>
      <c r="L519" s="277">
        <v>42</v>
      </c>
      <c r="M519" s="249"/>
      <c r="N519" s="250"/>
      <c r="O519" s="250"/>
      <c r="P519" s="250"/>
      <c r="Q519" s="250"/>
      <c r="R519" s="250"/>
      <c r="S519" s="266">
        <f t="shared" si="10"/>
        <v>0.3010299956639812</v>
      </c>
    </row>
    <row r="520" spans="1:19">
      <c r="A520" s="243"/>
      <c r="B520" s="244"/>
      <c r="C520" s="311">
        <v>6</v>
      </c>
      <c r="D520" s="244">
        <v>6</v>
      </c>
      <c r="E520" s="244">
        <v>1</v>
      </c>
      <c r="F520" s="244">
        <v>0</v>
      </c>
      <c r="G520" s="244">
        <v>2</v>
      </c>
      <c r="H520" s="244">
        <v>2</v>
      </c>
      <c r="I520" s="244">
        <v>1</v>
      </c>
      <c r="J520" s="244">
        <v>0</v>
      </c>
      <c r="K520" s="276">
        <v>3</v>
      </c>
      <c r="L520" s="277">
        <v>32</v>
      </c>
      <c r="M520" s="249"/>
      <c r="N520" s="250"/>
      <c r="O520" s="250"/>
      <c r="P520" s="250"/>
      <c r="Q520" s="250"/>
      <c r="R520" s="250"/>
      <c r="S520" s="266">
        <f t="shared" si="10"/>
        <v>0.47712125471966244</v>
      </c>
    </row>
    <row r="521" spans="1:19">
      <c r="A521" s="243"/>
      <c r="B521" s="244"/>
      <c r="C521" s="311">
        <v>8</v>
      </c>
      <c r="D521" s="244">
        <v>6</v>
      </c>
      <c r="E521" s="244">
        <v>1</v>
      </c>
      <c r="F521" s="244">
        <v>0</v>
      </c>
      <c r="G521" s="244">
        <v>2</v>
      </c>
      <c r="H521" s="244">
        <v>2</v>
      </c>
      <c r="I521" s="244">
        <v>1</v>
      </c>
      <c r="J521" s="244">
        <v>0</v>
      </c>
      <c r="K521" s="276">
        <v>4.4000000000000004</v>
      </c>
      <c r="L521" s="277">
        <v>30.8</v>
      </c>
      <c r="M521" s="249"/>
      <c r="N521" s="250"/>
      <c r="O521" s="250"/>
      <c r="P521" s="250"/>
      <c r="Q521" s="250"/>
      <c r="R521" s="250"/>
      <c r="S521" s="266">
        <f t="shared" si="10"/>
        <v>0.64345267648618742</v>
      </c>
    </row>
    <row r="522" spans="1:19">
      <c r="A522" s="243"/>
      <c r="B522" s="244"/>
      <c r="C522" s="311">
        <v>6</v>
      </c>
      <c r="D522" s="244">
        <v>6</v>
      </c>
      <c r="E522" s="244">
        <v>1</v>
      </c>
      <c r="F522" s="244">
        <v>0</v>
      </c>
      <c r="G522" s="244">
        <v>2</v>
      </c>
      <c r="H522" s="244">
        <v>2</v>
      </c>
      <c r="I522" s="244">
        <v>1</v>
      </c>
      <c r="J522" s="244">
        <v>0</v>
      </c>
      <c r="K522" s="276">
        <v>3.2</v>
      </c>
      <c r="L522" s="277">
        <v>36.4</v>
      </c>
      <c r="M522" s="249"/>
      <c r="N522" s="250"/>
      <c r="O522" s="250"/>
      <c r="P522" s="250"/>
      <c r="Q522" s="250"/>
      <c r="R522" s="250"/>
      <c r="S522" s="266">
        <f t="shared" si="10"/>
        <v>0.50514997831990605</v>
      </c>
    </row>
    <row r="523" spans="1:19">
      <c r="A523" s="243"/>
      <c r="B523" s="244"/>
      <c r="C523" s="311">
        <v>8</v>
      </c>
      <c r="D523" s="244">
        <v>6</v>
      </c>
      <c r="E523" s="244">
        <v>1</v>
      </c>
      <c r="F523" s="244">
        <v>0</v>
      </c>
      <c r="G523" s="244">
        <v>2</v>
      </c>
      <c r="H523" s="244">
        <v>2</v>
      </c>
      <c r="I523" s="244">
        <v>1</v>
      </c>
      <c r="J523" s="244">
        <v>0</v>
      </c>
      <c r="K523" s="276">
        <v>4.2</v>
      </c>
      <c r="L523" s="277">
        <v>31.5002</v>
      </c>
      <c r="M523" s="249"/>
      <c r="N523" s="250"/>
      <c r="O523" s="250"/>
      <c r="P523" s="250"/>
      <c r="Q523" s="250"/>
      <c r="R523" s="250"/>
      <c r="S523" s="266">
        <f t="shared" ref="S523:S586" si="11">LOG10(K523)</f>
        <v>0.62324929039790045</v>
      </c>
    </row>
    <row r="524" spans="1:19">
      <c r="A524" s="243"/>
      <c r="B524" s="244"/>
      <c r="C524" s="311">
        <v>6</v>
      </c>
      <c r="D524" s="244">
        <v>8</v>
      </c>
      <c r="E524" s="244">
        <v>1</v>
      </c>
      <c r="F524" s="244">
        <v>0</v>
      </c>
      <c r="G524" s="244">
        <v>2</v>
      </c>
      <c r="H524" s="244">
        <v>2</v>
      </c>
      <c r="I524" s="244">
        <v>1</v>
      </c>
      <c r="J524" s="244">
        <v>1</v>
      </c>
      <c r="K524" s="276">
        <v>3</v>
      </c>
      <c r="L524" s="277">
        <v>39.493699999999997</v>
      </c>
      <c r="M524" s="249"/>
      <c r="N524" s="250"/>
      <c r="O524" s="250"/>
      <c r="P524" s="250"/>
      <c r="Q524" s="250"/>
      <c r="R524" s="250"/>
      <c r="S524" s="266">
        <f t="shared" si="11"/>
        <v>0.47712125471966244</v>
      </c>
    </row>
    <row r="525" spans="1:19">
      <c r="A525" s="243"/>
      <c r="B525" s="244"/>
      <c r="C525" s="311">
        <v>8</v>
      </c>
      <c r="D525" s="244">
        <v>8</v>
      </c>
      <c r="E525" s="244">
        <v>1</v>
      </c>
      <c r="F525" s="244">
        <v>0</v>
      </c>
      <c r="G525" s="244">
        <v>2</v>
      </c>
      <c r="H525" s="244">
        <v>2</v>
      </c>
      <c r="I525" s="244">
        <v>1</v>
      </c>
      <c r="J525" s="244">
        <v>0</v>
      </c>
      <c r="K525" s="276">
        <v>4.4000000000000004</v>
      </c>
      <c r="L525" s="277">
        <v>30.953700000000001</v>
      </c>
      <c r="M525" s="249"/>
      <c r="N525" s="250"/>
      <c r="O525" s="250"/>
      <c r="P525" s="250"/>
      <c r="Q525" s="250"/>
      <c r="R525" s="250"/>
      <c r="S525" s="266">
        <f t="shared" si="11"/>
        <v>0.64345267648618742</v>
      </c>
    </row>
    <row r="526" spans="1:19">
      <c r="A526" s="243"/>
      <c r="B526" s="244"/>
      <c r="C526" s="311">
        <v>8</v>
      </c>
      <c r="D526" s="244">
        <v>8</v>
      </c>
      <c r="E526" s="244">
        <v>1</v>
      </c>
      <c r="F526" s="244">
        <v>0</v>
      </c>
      <c r="G526" s="244">
        <v>2</v>
      </c>
      <c r="H526" s="244">
        <v>2</v>
      </c>
      <c r="I526" s="244">
        <v>1</v>
      </c>
      <c r="J526" s="244">
        <v>0</v>
      </c>
      <c r="K526" s="276">
        <v>4.4000000000000004</v>
      </c>
      <c r="L526" s="277">
        <v>30.562000000000001</v>
      </c>
      <c r="M526" s="249"/>
      <c r="N526" s="250"/>
      <c r="O526" s="250"/>
      <c r="P526" s="250"/>
      <c r="Q526" s="250"/>
      <c r="R526" s="250"/>
      <c r="S526" s="266">
        <f t="shared" si="11"/>
        <v>0.64345267648618742</v>
      </c>
    </row>
    <row r="527" spans="1:19">
      <c r="A527" s="243"/>
      <c r="B527" s="244"/>
      <c r="C527" s="311">
        <v>8</v>
      </c>
      <c r="D527" s="244">
        <v>6</v>
      </c>
      <c r="E527" s="244">
        <v>1</v>
      </c>
      <c r="F527" s="244">
        <v>0</v>
      </c>
      <c r="G527" s="244">
        <v>2</v>
      </c>
      <c r="H527" s="244">
        <v>2</v>
      </c>
      <c r="I527" s="244">
        <v>1</v>
      </c>
      <c r="J527" s="244">
        <v>0</v>
      </c>
      <c r="K527" s="276">
        <v>4.4000000000000004</v>
      </c>
      <c r="L527" s="277">
        <v>30.172599999999999</v>
      </c>
      <c r="M527" s="249"/>
      <c r="N527" s="250"/>
      <c r="O527" s="250"/>
      <c r="P527" s="250"/>
      <c r="Q527" s="250"/>
      <c r="R527" s="250"/>
      <c r="S527" s="266">
        <f t="shared" si="11"/>
        <v>0.64345267648618742</v>
      </c>
    </row>
    <row r="528" spans="1:19">
      <c r="A528" s="243"/>
      <c r="B528" s="244"/>
      <c r="C528" s="311">
        <v>8</v>
      </c>
      <c r="D528" s="244">
        <v>6</v>
      </c>
      <c r="E528" s="244">
        <v>1</v>
      </c>
      <c r="F528" s="244">
        <v>0</v>
      </c>
      <c r="G528" s="244">
        <v>2</v>
      </c>
      <c r="H528" s="244">
        <v>2</v>
      </c>
      <c r="I528" s="244">
        <v>1</v>
      </c>
      <c r="J528" s="244">
        <v>0</v>
      </c>
      <c r="K528" s="276">
        <v>4.4000000000000004</v>
      </c>
      <c r="L528" s="277">
        <v>27.7</v>
      </c>
      <c r="M528" s="249"/>
      <c r="N528" s="250"/>
      <c r="O528" s="250"/>
      <c r="P528" s="250"/>
      <c r="Q528" s="250"/>
      <c r="R528" s="250"/>
      <c r="S528" s="266">
        <f t="shared" si="11"/>
        <v>0.64345267648618742</v>
      </c>
    </row>
    <row r="529" spans="1:19">
      <c r="A529" s="243"/>
      <c r="B529" s="244"/>
      <c r="C529" s="311">
        <v>8</v>
      </c>
      <c r="D529" s="244">
        <v>6</v>
      </c>
      <c r="E529" s="244">
        <v>1</v>
      </c>
      <c r="F529" s="244">
        <v>0</v>
      </c>
      <c r="G529" s="244">
        <v>2</v>
      </c>
      <c r="H529" s="244">
        <v>2</v>
      </c>
      <c r="I529" s="244">
        <v>1</v>
      </c>
      <c r="J529" s="244">
        <v>0</v>
      </c>
      <c r="K529" s="276">
        <v>4.4000000000000004</v>
      </c>
      <c r="L529" s="277">
        <v>29.452100000000002</v>
      </c>
      <c r="M529" s="249"/>
      <c r="N529" s="250"/>
      <c r="O529" s="250"/>
      <c r="P529" s="250"/>
      <c r="Q529" s="250"/>
      <c r="R529" s="250"/>
      <c r="S529" s="266">
        <f t="shared" si="11"/>
        <v>0.64345267648618742</v>
      </c>
    </row>
    <row r="530" spans="1:19">
      <c r="A530" s="243"/>
      <c r="B530" s="244"/>
      <c r="C530" s="311">
        <v>8</v>
      </c>
      <c r="D530" s="244">
        <v>6</v>
      </c>
      <c r="E530" s="244">
        <v>1</v>
      </c>
      <c r="F530" s="244">
        <v>0</v>
      </c>
      <c r="G530" s="244">
        <v>2</v>
      </c>
      <c r="H530" s="244">
        <v>2</v>
      </c>
      <c r="I530" s="244">
        <v>1</v>
      </c>
      <c r="J530" s="244">
        <v>0</v>
      </c>
      <c r="K530" s="276">
        <v>4.4000000000000004</v>
      </c>
      <c r="L530" s="277">
        <v>27.7</v>
      </c>
      <c r="M530" s="249"/>
      <c r="N530" s="250"/>
      <c r="O530" s="250"/>
      <c r="P530" s="250"/>
      <c r="Q530" s="250"/>
      <c r="R530" s="250"/>
      <c r="S530" s="266">
        <f t="shared" si="11"/>
        <v>0.64345267648618742</v>
      </c>
    </row>
    <row r="531" spans="1:19">
      <c r="A531" s="243"/>
      <c r="B531" s="244"/>
      <c r="C531" s="311">
        <v>12</v>
      </c>
      <c r="D531" s="244">
        <v>8</v>
      </c>
      <c r="E531" s="244">
        <v>1</v>
      </c>
      <c r="F531" s="244">
        <v>0</v>
      </c>
      <c r="G531" s="244">
        <v>2</v>
      </c>
      <c r="H531" s="244">
        <v>2</v>
      </c>
      <c r="I531" s="244">
        <v>1</v>
      </c>
      <c r="J531" s="244">
        <v>0</v>
      </c>
      <c r="K531" s="276">
        <v>6</v>
      </c>
      <c r="L531" s="277">
        <v>26.749500000000001</v>
      </c>
      <c r="M531" s="249"/>
      <c r="N531" s="250"/>
      <c r="O531" s="250"/>
      <c r="P531" s="250"/>
      <c r="Q531" s="250"/>
      <c r="R531" s="250"/>
      <c r="S531" s="266">
        <f t="shared" si="11"/>
        <v>0.77815125038364363</v>
      </c>
    </row>
    <row r="532" spans="1:19">
      <c r="A532" s="243"/>
      <c r="B532" s="244"/>
      <c r="C532" s="311">
        <v>6</v>
      </c>
      <c r="D532" s="244">
        <v>4</v>
      </c>
      <c r="E532" s="244">
        <v>1</v>
      </c>
      <c r="F532" s="244">
        <v>0</v>
      </c>
      <c r="G532" s="244">
        <v>1</v>
      </c>
      <c r="H532" s="244">
        <v>1</v>
      </c>
      <c r="I532" s="244">
        <v>1</v>
      </c>
      <c r="J532" s="244">
        <v>0</v>
      </c>
      <c r="K532" s="276">
        <v>3.9</v>
      </c>
      <c r="L532" s="277">
        <v>37.299999999999997</v>
      </c>
      <c r="M532" s="249"/>
      <c r="N532" s="250"/>
      <c r="O532" s="250"/>
      <c r="P532" s="250"/>
      <c r="Q532" s="250"/>
      <c r="R532" s="250"/>
      <c r="S532" s="266">
        <f t="shared" si="11"/>
        <v>0.59106460702649921</v>
      </c>
    </row>
    <row r="533" spans="1:19">
      <c r="A533" s="243"/>
      <c r="B533" s="244"/>
      <c r="C533" s="311">
        <v>6</v>
      </c>
      <c r="D533" s="244">
        <v>4</v>
      </c>
      <c r="E533" s="244">
        <v>1</v>
      </c>
      <c r="F533" s="244">
        <v>0</v>
      </c>
      <c r="G533" s="244">
        <v>1</v>
      </c>
      <c r="H533" s="244">
        <v>1</v>
      </c>
      <c r="I533" s="244">
        <v>1</v>
      </c>
      <c r="J533" s="244">
        <v>0</v>
      </c>
      <c r="K533" s="276">
        <v>3.9</v>
      </c>
      <c r="L533" s="277">
        <v>36.6</v>
      </c>
      <c r="M533" s="249"/>
      <c r="N533" s="250"/>
      <c r="O533" s="250"/>
      <c r="P533" s="250"/>
      <c r="Q533" s="250"/>
      <c r="R533" s="250"/>
      <c r="S533" s="266">
        <f t="shared" si="11"/>
        <v>0.59106460702649921</v>
      </c>
    </row>
    <row r="534" spans="1:19">
      <c r="A534" s="243"/>
      <c r="B534" s="244"/>
      <c r="C534" s="311">
        <v>8</v>
      </c>
      <c r="D534" s="244">
        <v>4</v>
      </c>
      <c r="E534" s="244">
        <v>1</v>
      </c>
      <c r="F534" s="244">
        <v>0</v>
      </c>
      <c r="G534" s="244">
        <v>2</v>
      </c>
      <c r="H534" s="244">
        <v>2</v>
      </c>
      <c r="I534" s="244">
        <v>0</v>
      </c>
      <c r="J534" s="244">
        <v>0</v>
      </c>
      <c r="K534" s="276">
        <v>4.5999999999999996</v>
      </c>
      <c r="L534" s="277">
        <v>31.9</v>
      </c>
      <c r="M534" s="249"/>
      <c r="N534" s="250"/>
      <c r="O534" s="250"/>
      <c r="P534" s="250"/>
      <c r="Q534" s="250"/>
      <c r="R534" s="250"/>
      <c r="S534" s="266">
        <f t="shared" si="11"/>
        <v>0.66275783168157409</v>
      </c>
    </row>
    <row r="535" spans="1:19">
      <c r="A535" s="243"/>
      <c r="B535" s="244"/>
      <c r="C535" s="311">
        <v>8</v>
      </c>
      <c r="D535" s="244">
        <v>4</v>
      </c>
      <c r="E535" s="244">
        <v>1</v>
      </c>
      <c r="F535" s="244">
        <v>0</v>
      </c>
      <c r="G535" s="244">
        <v>2</v>
      </c>
      <c r="H535" s="244">
        <v>2</v>
      </c>
      <c r="I535" s="244">
        <v>0</v>
      </c>
      <c r="J535" s="244">
        <v>0</v>
      </c>
      <c r="K535" s="276">
        <v>4.5999999999999996</v>
      </c>
      <c r="L535" s="277">
        <v>31.9</v>
      </c>
      <c r="M535" s="249"/>
      <c r="N535" s="250"/>
      <c r="O535" s="250"/>
      <c r="P535" s="250"/>
      <c r="Q535" s="250"/>
      <c r="R535" s="250"/>
      <c r="S535" s="266">
        <f t="shared" si="11"/>
        <v>0.66275783168157409</v>
      </c>
    </row>
    <row r="536" spans="1:19">
      <c r="A536" s="243"/>
      <c r="B536" s="244"/>
      <c r="C536" s="311">
        <v>8</v>
      </c>
      <c r="D536" s="244">
        <v>4</v>
      </c>
      <c r="E536" s="244">
        <v>1</v>
      </c>
      <c r="F536" s="244">
        <v>0</v>
      </c>
      <c r="G536" s="244">
        <v>2</v>
      </c>
      <c r="H536" s="244">
        <v>2</v>
      </c>
      <c r="I536" s="244">
        <v>0</v>
      </c>
      <c r="J536" s="244">
        <v>0</v>
      </c>
      <c r="K536" s="276">
        <v>4.5999999999999996</v>
      </c>
      <c r="L536" s="277">
        <v>31.9</v>
      </c>
      <c r="M536" s="249"/>
      <c r="N536" s="250"/>
      <c r="O536" s="250"/>
      <c r="P536" s="250"/>
      <c r="Q536" s="250"/>
      <c r="R536" s="250"/>
      <c r="S536" s="266">
        <f t="shared" si="11"/>
        <v>0.66275783168157409</v>
      </c>
    </row>
    <row r="537" spans="1:19">
      <c r="A537" s="243"/>
      <c r="B537" s="244"/>
      <c r="C537" s="311">
        <v>8</v>
      </c>
      <c r="D537" s="244">
        <v>4</v>
      </c>
      <c r="E537" s="244">
        <v>1</v>
      </c>
      <c r="F537" s="244">
        <v>0</v>
      </c>
      <c r="G537" s="244">
        <v>2</v>
      </c>
      <c r="H537" s="244">
        <v>2</v>
      </c>
      <c r="I537" s="244">
        <v>0</v>
      </c>
      <c r="J537" s="244">
        <v>0</v>
      </c>
      <c r="K537" s="276">
        <v>4.5999999999999996</v>
      </c>
      <c r="L537" s="277">
        <v>22.7</v>
      </c>
      <c r="M537" s="249"/>
      <c r="N537" s="250"/>
      <c r="O537" s="250"/>
      <c r="P537" s="250"/>
      <c r="Q537" s="250"/>
      <c r="R537" s="250"/>
      <c r="S537" s="266">
        <f t="shared" si="11"/>
        <v>0.66275783168157409</v>
      </c>
    </row>
    <row r="538" spans="1:19">
      <c r="A538" s="243"/>
      <c r="B538" s="244"/>
      <c r="C538" s="311">
        <v>8</v>
      </c>
      <c r="D538" s="244">
        <v>4</v>
      </c>
      <c r="E538" s="244">
        <v>1</v>
      </c>
      <c r="F538" s="244">
        <v>0</v>
      </c>
      <c r="G538" s="244">
        <v>2</v>
      </c>
      <c r="H538" s="244">
        <v>2</v>
      </c>
      <c r="I538" s="244">
        <v>0</v>
      </c>
      <c r="J538" s="244">
        <v>0</v>
      </c>
      <c r="K538" s="276">
        <v>4.5999999999999996</v>
      </c>
      <c r="L538" s="277">
        <v>24.5</v>
      </c>
      <c r="M538" s="249"/>
      <c r="N538" s="250"/>
      <c r="O538" s="250"/>
      <c r="P538" s="250"/>
      <c r="Q538" s="250"/>
      <c r="R538" s="250"/>
      <c r="S538" s="266">
        <f t="shared" si="11"/>
        <v>0.66275783168157409</v>
      </c>
    </row>
    <row r="539" spans="1:19">
      <c r="A539" s="243"/>
      <c r="B539" s="244"/>
      <c r="C539" s="311">
        <v>6</v>
      </c>
      <c r="D539" s="244">
        <v>4</v>
      </c>
      <c r="E539" s="244">
        <v>1</v>
      </c>
      <c r="F539" s="244">
        <v>0</v>
      </c>
      <c r="G539" s="244">
        <v>1</v>
      </c>
      <c r="H539" s="244">
        <v>1</v>
      </c>
      <c r="I539" s="244">
        <v>1</v>
      </c>
      <c r="J539" s="244">
        <v>0</v>
      </c>
      <c r="K539" s="276">
        <v>3.5</v>
      </c>
      <c r="L539" s="277">
        <v>40.299999999999997</v>
      </c>
      <c r="M539" s="249"/>
      <c r="N539" s="250"/>
      <c r="O539" s="250"/>
      <c r="P539" s="250"/>
      <c r="Q539" s="250"/>
      <c r="R539" s="250"/>
      <c r="S539" s="266">
        <f t="shared" si="11"/>
        <v>0.54406804435027567</v>
      </c>
    </row>
    <row r="540" spans="1:19">
      <c r="A540" s="243"/>
      <c r="B540" s="244"/>
      <c r="C540" s="311">
        <v>6</v>
      </c>
      <c r="D540" s="244">
        <v>4</v>
      </c>
      <c r="E540" s="244">
        <v>1</v>
      </c>
      <c r="F540" s="244">
        <v>0</v>
      </c>
      <c r="G540" s="244">
        <v>1</v>
      </c>
      <c r="H540" s="244">
        <v>1</v>
      </c>
      <c r="I540" s="244">
        <v>1</v>
      </c>
      <c r="J540" s="244">
        <v>0</v>
      </c>
      <c r="K540" s="276">
        <v>3.5</v>
      </c>
      <c r="L540" s="277">
        <v>41.2</v>
      </c>
      <c r="M540" s="249"/>
      <c r="N540" s="250"/>
      <c r="O540" s="250"/>
      <c r="P540" s="250"/>
      <c r="Q540" s="250"/>
      <c r="R540" s="250"/>
      <c r="S540" s="266">
        <f t="shared" si="11"/>
        <v>0.54406804435027567</v>
      </c>
    </row>
    <row r="541" spans="1:19">
      <c r="A541" s="243"/>
      <c r="B541" s="244"/>
      <c r="C541" s="311">
        <v>6</v>
      </c>
      <c r="D541" s="244">
        <v>4</v>
      </c>
      <c r="E541" s="244">
        <v>1</v>
      </c>
      <c r="F541" s="244">
        <v>0</v>
      </c>
      <c r="G541" s="244">
        <v>1</v>
      </c>
      <c r="H541" s="244">
        <v>1</v>
      </c>
      <c r="I541" s="244">
        <v>1</v>
      </c>
      <c r="J541" s="244">
        <v>0</v>
      </c>
      <c r="K541" s="276">
        <v>3.9</v>
      </c>
      <c r="L541" s="277">
        <v>37.299999999999997</v>
      </c>
      <c r="M541" s="249"/>
      <c r="N541" s="250"/>
      <c r="O541" s="250"/>
      <c r="P541" s="250"/>
      <c r="Q541" s="250"/>
      <c r="R541" s="250"/>
      <c r="S541" s="266">
        <f t="shared" si="11"/>
        <v>0.59106460702649921</v>
      </c>
    </row>
    <row r="542" spans="1:19">
      <c r="A542" s="243"/>
      <c r="B542" s="244"/>
      <c r="C542" s="311">
        <v>6</v>
      </c>
      <c r="D542" s="244">
        <v>5</v>
      </c>
      <c r="E542" s="244">
        <v>1</v>
      </c>
      <c r="F542" s="244">
        <v>0</v>
      </c>
      <c r="G542" s="244">
        <v>2</v>
      </c>
      <c r="H542" s="244">
        <v>2</v>
      </c>
      <c r="I542" s="244">
        <v>0</v>
      </c>
      <c r="J542" s="244">
        <v>0</v>
      </c>
      <c r="K542" s="276">
        <v>3.5</v>
      </c>
      <c r="L542" s="277">
        <v>32.1</v>
      </c>
      <c r="M542" s="249"/>
      <c r="N542" s="250"/>
      <c r="O542" s="250"/>
      <c r="P542" s="250"/>
      <c r="Q542" s="250"/>
      <c r="R542" s="250"/>
      <c r="S542" s="266">
        <f t="shared" si="11"/>
        <v>0.54406804435027567</v>
      </c>
    </row>
    <row r="543" spans="1:19">
      <c r="A543" s="243"/>
      <c r="B543" s="244"/>
      <c r="C543" s="311">
        <v>8</v>
      </c>
      <c r="D543" s="244">
        <v>5</v>
      </c>
      <c r="E543" s="244">
        <v>1</v>
      </c>
      <c r="F543" s="244">
        <v>0</v>
      </c>
      <c r="G543" s="244">
        <v>1</v>
      </c>
      <c r="H543" s="244">
        <v>1</v>
      </c>
      <c r="I543" s="244">
        <v>1</v>
      </c>
      <c r="J543" s="244">
        <v>0</v>
      </c>
      <c r="K543" s="276">
        <v>5.7</v>
      </c>
      <c r="L543" s="277">
        <v>31.9</v>
      </c>
      <c r="M543" s="249"/>
      <c r="N543" s="250"/>
      <c r="O543" s="250"/>
      <c r="P543" s="250"/>
      <c r="Q543" s="250"/>
      <c r="R543" s="250"/>
      <c r="S543" s="266">
        <f t="shared" si="11"/>
        <v>0.75587485567249146</v>
      </c>
    </row>
    <row r="544" spans="1:19">
      <c r="A544" s="243"/>
      <c r="B544" s="244"/>
      <c r="C544" s="311">
        <v>6</v>
      </c>
      <c r="D544" s="244">
        <v>4</v>
      </c>
      <c r="E544" s="244">
        <v>1</v>
      </c>
      <c r="F544" s="244">
        <v>0</v>
      </c>
      <c r="G544" s="244">
        <v>2</v>
      </c>
      <c r="H544" s="244">
        <v>2</v>
      </c>
      <c r="I544" s="244">
        <v>0</v>
      </c>
      <c r="J544" s="244">
        <v>0</v>
      </c>
      <c r="K544" s="276">
        <v>2.7</v>
      </c>
      <c r="L544" s="277">
        <v>35.700000000000003</v>
      </c>
      <c r="M544" s="249"/>
      <c r="N544" s="250"/>
      <c r="O544" s="250"/>
      <c r="P544" s="250"/>
      <c r="Q544" s="250"/>
      <c r="R544" s="250"/>
      <c r="S544" s="266">
        <f t="shared" si="11"/>
        <v>0.43136376415898736</v>
      </c>
    </row>
    <row r="545" spans="1:19">
      <c r="A545" s="243"/>
      <c r="B545" s="244"/>
      <c r="C545" s="311">
        <v>6</v>
      </c>
      <c r="D545" s="244">
        <v>4</v>
      </c>
      <c r="E545" s="244">
        <v>1</v>
      </c>
      <c r="F545" s="244">
        <v>0</v>
      </c>
      <c r="G545" s="244">
        <v>2</v>
      </c>
      <c r="H545" s="244">
        <v>2</v>
      </c>
      <c r="I545" s="244">
        <v>0</v>
      </c>
      <c r="J545" s="244">
        <v>0</v>
      </c>
      <c r="K545" s="276">
        <v>3.5</v>
      </c>
      <c r="L545" s="277">
        <v>34.200000000000003</v>
      </c>
      <c r="M545" s="249"/>
      <c r="N545" s="250"/>
      <c r="O545" s="250"/>
      <c r="P545" s="250"/>
      <c r="Q545" s="250"/>
      <c r="R545" s="250"/>
      <c r="S545" s="266">
        <f t="shared" si="11"/>
        <v>0.54406804435027567</v>
      </c>
    </row>
    <row r="546" spans="1:19">
      <c r="A546" s="243"/>
      <c r="B546" s="244"/>
      <c r="C546" s="311">
        <v>8</v>
      </c>
      <c r="D546" s="244">
        <v>5</v>
      </c>
      <c r="E546" s="244">
        <v>1</v>
      </c>
      <c r="F546" s="244">
        <v>0</v>
      </c>
      <c r="G546" s="244">
        <v>1</v>
      </c>
      <c r="H546" s="244">
        <v>1</v>
      </c>
      <c r="I546" s="244">
        <v>1</v>
      </c>
      <c r="J546" s="244">
        <v>0</v>
      </c>
      <c r="K546" s="276">
        <v>5.7</v>
      </c>
      <c r="L546" s="277">
        <v>34.5</v>
      </c>
      <c r="M546" s="249"/>
      <c r="N546" s="250"/>
      <c r="O546" s="250"/>
      <c r="P546" s="250"/>
      <c r="Q546" s="250"/>
      <c r="R546" s="250"/>
      <c r="S546" s="266">
        <f t="shared" si="11"/>
        <v>0.75587485567249146</v>
      </c>
    </row>
    <row r="547" spans="1:19">
      <c r="A547" s="243"/>
      <c r="B547" s="244"/>
      <c r="C547" s="311">
        <v>8</v>
      </c>
      <c r="D547" s="244">
        <v>5</v>
      </c>
      <c r="E547" s="244">
        <v>1</v>
      </c>
      <c r="F547" s="244">
        <v>0</v>
      </c>
      <c r="G547" s="244">
        <v>1</v>
      </c>
      <c r="H547" s="244">
        <v>1</v>
      </c>
      <c r="I547" s="244">
        <v>0</v>
      </c>
      <c r="J547" s="244">
        <v>0</v>
      </c>
      <c r="K547" s="276">
        <v>6.1</v>
      </c>
      <c r="L547" s="277">
        <v>26</v>
      </c>
      <c r="M547" s="249"/>
      <c r="N547" s="250"/>
      <c r="O547" s="250"/>
      <c r="P547" s="250"/>
      <c r="Q547" s="250"/>
      <c r="R547" s="250"/>
      <c r="S547" s="266">
        <f t="shared" si="11"/>
        <v>0.78532983501076703</v>
      </c>
    </row>
    <row r="548" spans="1:19">
      <c r="A548" s="243"/>
      <c r="B548" s="244"/>
      <c r="C548" s="311">
        <v>6</v>
      </c>
      <c r="D548" s="244">
        <v>4</v>
      </c>
      <c r="E548" s="244">
        <v>1</v>
      </c>
      <c r="F548" s="244">
        <v>0</v>
      </c>
      <c r="G548" s="244">
        <v>2</v>
      </c>
      <c r="H548" s="244">
        <v>2</v>
      </c>
      <c r="I548" s="244">
        <v>0</v>
      </c>
      <c r="J548" s="244">
        <v>0</v>
      </c>
      <c r="K548" s="276">
        <v>2.7</v>
      </c>
      <c r="L548" s="277">
        <v>35.700000000000003</v>
      </c>
      <c r="M548" s="249"/>
      <c r="N548" s="250"/>
      <c r="O548" s="250"/>
      <c r="P548" s="250"/>
      <c r="Q548" s="250"/>
      <c r="R548" s="250"/>
      <c r="S548" s="266">
        <f t="shared" si="11"/>
        <v>0.43136376415898736</v>
      </c>
    </row>
    <row r="549" spans="1:19">
      <c r="A549" s="243"/>
      <c r="B549" s="244"/>
      <c r="C549" s="311">
        <v>6</v>
      </c>
      <c r="D549" s="244">
        <v>4</v>
      </c>
      <c r="E549" s="244">
        <v>1</v>
      </c>
      <c r="F549" s="244">
        <v>0</v>
      </c>
      <c r="G549" s="244">
        <v>2</v>
      </c>
      <c r="H549" s="244">
        <v>2</v>
      </c>
      <c r="I549" s="244">
        <v>0</v>
      </c>
      <c r="J549" s="244">
        <v>0</v>
      </c>
      <c r="K549" s="276">
        <v>3.5</v>
      </c>
      <c r="L549" s="277">
        <v>34.200000000000003</v>
      </c>
      <c r="M549" s="249"/>
      <c r="N549" s="250"/>
      <c r="O549" s="250"/>
      <c r="P549" s="250"/>
      <c r="Q549" s="250"/>
      <c r="R549" s="250"/>
      <c r="S549" s="266">
        <f t="shared" si="11"/>
        <v>0.54406804435027567</v>
      </c>
    </row>
    <row r="550" spans="1:19">
      <c r="A550" s="243"/>
      <c r="B550" s="244"/>
      <c r="C550" s="311">
        <v>8</v>
      </c>
      <c r="D550" s="244">
        <v>5</v>
      </c>
      <c r="E550" s="244">
        <v>1</v>
      </c>
      <c r="F550" s="244">
        <v>0</v>
      </c>
      <c r="G550" s="244">
        <v>1</v>
      </c>
      <c r="H550" s="244">
        <v>1</v>
      </c>
      <c r="I550" s="244">
        <v>1</v>
      </c>
      <c r="J550" s="244">
        <v>0</v>
      </c>
      <c r="K550" s="276">
        <v>5.7</v>
      </c>
      <c r="L550" s="277">
        <v>34.5</v>
      </c>
      <c r="M550" s="249"/>
      <c r="N550" s="250"/>
      <c r="O550" s="250"/>
      <c r="P550" s="250"/>
      <c r="Q550" s="250"/>
      <c r="R550" s="250"/>
      <c r="S550" s="266">
        <f t="shared" si="11"/>
        <v>0.75587485567249146</v>
      </c>
    </row>
    <row r="551" spans="1:19">
      <c r="A551" s="243"/>
      <c r="B551" s="244"/>
      <c r="C551" s="311">
        <v>8</v>
      </c>
      <c r="D551" s="244">
        <v>5</v>
      </c>
      <c r="E551" s="244">
        <v>1</v>
      </c>
      <c r="F551" s="244">
        <v>0</v>
      </c>
      <c r="G551" s="244">
        <v>1</v>
      </c>
      <c r="H551" s="244">
        <v>1</v>
      </c>
      <c r="I551" s="244">
        <v>0</v>
      </c>
      <c r="J551" s="244">
        <v>0</v>
      </c>
      <c r="K551" s="276">
        <v>6.1</v>
      </c>
      <c r="L551" s="277">
        <v>26</v>
      </c>
      <c r="M551" s="249"/>
      <c r="N551" s="250"/>
      <c r="O551" s="250"/>
      <c r="P551" s="250"/>
      <c r="Q551" s="250"/>
      <c r="R551" s="250"/>
      <c r="S551" s="266">
        <f t="shared" si="11"/>
        <v>0.78532983501076703</v>
      </c>
    </row>
    <row r="552" spans="1:19">
      <c r="A552" s="243"/>
      <c r="B552" s="244"/>
      <c r="C552" s="311">
        <v>6</v>
      </c>
      <c r="D552" s="244">
        <v>5</v>
      </c>
      <c r="E552" s="244">
        <v>1</v>
      </c>
      <c r="F552" s="244">
        <v>0</v>
      </c>
      <c r="G552" s="244">
        <v>2</v>
      </c>
      <c r="H552" s="244">
        <v>2</v>
      </c>
      <c r="I552" s="244">
        <v>0</v>
      </c>
      <c r="J552" s="244">
        <v>0</v>
      </c>
      <c r="K552" s="276">
        <v>3.5</v>
      </c>
      <c r="L552" s="277">
        <v>32.1</v>
      </c>
      <c r="M552" s="249"/>
      <c r="N552" s="250"/>
      <c r="O552" s="250"/>
      <c r="P552" s="250"/>
      <c r="Q552" s="250"/>
      <c r="R552" s="250"/>
      <c r="S552" s="266">
        <f t="shared" si="11"/>
        <v>0.54406804435027567</v>
      </c>
    </row>
    <row r="553" spans="1:19">
      <c r="A553" s="243"/>
      <c r="B553" s="244"/>
      <c r="C553" s="311">
        <v>8</v>
      </c>
      <c r="D553" s="244">
        <v>5</v>
      </c>
      <c r="E553" s="244">
        <v>1</v>
      </c>
      <c r="F553" s="244">
        <v>0</v>
      </c>
      <c r="G553" s="244">
        <v>1</v>
      </c>
      <c r="H553" s="244">
        <v>1</v>
      </c>
      <c r="I553" s="244">
        <v>1</v>
      </c>
      <c r="J553" s="244">
        <v>0</v>
      </c>
      <c r="K553" s="276">
        <v>5.7</v>
      </c>
      <c r="L553" s="277">
        <v>31.9</v>
      </c>
      <c r="M553" s="249"/>
      <c r="N553" s="250"/>
      <c r="O553" s="250"/>
      <c r="P553" s="250"/>
      <c r="Q553" s="250"/>
      <c r="R553" s="250"/>
      <c r="S553" s="266">
        <f t="shared" si="11"/>
        <v>0.75587485567249146</v>
      </c>
    </row>
    <row r="554" spans="1:19">
      <c r="A554" s="243"/>
      <c r="B554" s="244"/>
      <c r="C554" s="311">
        <v>8</v>
      </c>
      <c r="D554" s="244">
        <v>4</v>
      </c>
      <c r="E554" s="244">
        <v>1</v>
      </c>
      <c r="F554" s="244">
        <v>1</v>
      </c>
      <c r="G554" s="244">
        <v>1</v>
      </c>
      <c r="H554" s="244">
        <v>1</v>
      </c>
      <c r="I554" s="244">
        <v>0</v>
      </c>
      <c r="J554" s="244">
        <v>0</v>
      </c>
      <c r="K554" s="276">
        <v>4.5999999999999996</v>
      </c>
      <c r="L554" s="277">
        <v>33.305199999999999</v>
      </c>
      <c r="M554" s="249"/>
      <c r="N554" s="250"/>
      <c r="O554" s="250"/>
      <c r="P554" s="250"/>
      <c r="Q554" s="250"/>
      <c r="R554" s="250"/>
      <c r="S554" s="266">
        <f t="shared" si="11"/>
        <v>0.66275783168157409</v>
      </c>
    </row>
    <row r="555" spans="1:19">
      <c r="A555" s="243"/>
      <c r="B555" s="244"/>
      <c r="C555" s="311">
        <v>6</v>
      </c>
      <c r="D555" s="244">
        <v>6</v>
      </c>
      <c r="E555" s="244">
        <v>1</v>
      </c>
      <c r="F555" s="244">
        <v>1</v>
      </c>
      <c r="G555" s="244">
        <v>2</v>
      </c>
      <c r="H555" s="244">
        <v>2</v>
      </c>
      <c r="I555" s="244">
        <v>1</v>
      </c>
      <c r="J555" s="244">
        <v>0</v>
      </c>
      <c r="K555" s="276">
        <v>3.5</v>
      </c>
      <c r="L555" s="277">
        <v>34.9</v>
      </c>
      <c r="M555" s="249"/>
      <c r="N555" s="250"/>
      <c r="O555" s="250"/>
      <c r="P555" s="250"/>
      <c r="Q555" s="250"/>
      <c r="R555" s="250"/>
      <c r="S555" s="266">
        <f t="shared" si="11"/>
        <v>0.54406804435027567</v>
      </c>
    </row>
    <row r="556" spans="1:19">
      <c r="A556" s="243"/>
      <c r="B556" s="244"/>
      <c r="C556" s="311">
        <v>6</v>
      </c>
      <c r="D556" s="244">
        <v>6</v>
      </c>
      <c r="E556" s="244">
        <v>1</v>
      </c>
      <c r="F556" s="244">
        <v>1</v>
      </c>
      <c r="G556" s="244">
        <v>2</v>
      </c>
      <c r="H556" s="244">
        <v>2</v>
      </c>
      <c r="I556" s="244">
        <v>1</v>
      </c>
      <c r="J556" s="244">
        <v>0</v>
      </c>
      <c r="K556" s="276">
        <v>3.5</v>
      </c>
      <c r="L556" s="277">
        <v>34.700000000000003</v>
      </c>
      <c r="M556" s="249"/>
      <c r="N556" s="250"/>
      <c r="O556" s="250"/>
      <c r="P556" s="250"/>
      <c r="Q556" s="250"/>
      <c r="R556" s="250"/>
      <c r="S556" s="266">
        <f t="shared" si="11"/>
        <v>0.54406804435027567</v>
      </c>
    </row>
    <row r="557" spans="1:19">
      <c r="A557" s="243"/>
      <c r="B557" s="244"/>
      <c r="C557" s="311">
        <v>6</v>
      </c>
      <c r="D557" s="244">
        <v>6</v>
      </c>
      <c r="E557" s="244">
        <v>1</v>
      </c>
      <c r="F557" s="244">
        <v>0</v>
      </c>
      <c r="G557" s="244">
        <v>2</v>
      </c>
      <c r="H557" s="244">
        <v>2</v>
      </c>
      <c r="I557" s="244">
        <v>1</v>
      </c>
      <c r="J557" s="244">
        <v>0</v>
      </c>
      <c r="K557" s="276">
        <v>3.5</v>
      </c>
      <c r="L557" s="277">
        <v>37.4</v>
      </c>
      <c r="M557" s="249"/>
      <c r="N557" s="250"/>
      <c r="O557" s="250"/>
      <c r="P557" s="250"/>
      <c r="Q557" s="250"/>
      <c r="R557" s="250"/>
      <c r="S557" s="266">
        <f t="shared" si="11"/>
        <v>0.54406804435027567</v>
      </c>
    </row>
    <row r="558" spans="1:19">
      <c r="A558" s="243"/>
      <c r="B558" s="244"/>
      <c r="C558" s="311">
        <v>6</v>
      </c>
      <c r="D558" s="244">
        <v>6</v>
      </c>
      <c r="E558" s="244">
        <v>1</v>
      </c>
      <c r="F558" s="244">
        <v>0</v>
      </c>
      <c r="G558" s="244">
        <v>2</v>
      </c>
      <c r="H558" s="244">
        <v>2</v>
      </c>
      <c r="I558" s="244">
        <v>1</v>
      </c>
      <c r="J558" s="244">
        <v>0</v>
      </c>
      <c r="K558" s="276">
        <v>3.5</v>
      </c>
      <c r="L558" s="277">
        <v>27.8</v>
      </c>
      <c r="M558" s="249"/>
      <c r="N558" s="250"/>
      <c r="O558" s="250"/>
      <c r="P558" s="250"/>
      <c r="Q558" s="250"/>
      <c r="R558" s="250"/>
      <c r="S558" s="266">
        <f t="shared" si="11"/>
        <v>0.54406804435027567</v>
      </c>
    </row>
    <row r="559" spans="1:19">
      <c r="A559" s="243"/>
      <c r="B559" s="244"/>
      <c r="C559" s="311">
        <v>4</v>
      </c>
      <c r="D559" s="244">
        <v>5</v>
      </c>
      <c r="E559" s="244">
        <v>0</v>
      </c>
      <c r="F559" s="244">
        <v>0</v>
      </c>
      <c r="G559" s="244">
        <v>2</v>
      </c>
      <c r="H559" s="244">
        <v>2</v>
      </c>
      <c r="I559" s="244">
        <v>1</v>
      </c>
      <c r="J559" s="244">
        <v>1</v>
      </c>
      <c r="K559" s="276">
        <v>2.4</v>
      </c>
      <c r="L559" s="277">
        <v>43.104300000000002</v>
      </c>
      <c r="M559" s="249"/>
      <c r="N559" s="250"/>
      <c r="O559" s="250"/>
      <c r="P559" s="250"/>
      <c r="Q559" s="250"/>
      <c r="R559" s="250"/>
      <c r="S559" s="266">
        <f t="shared" si="11"/>
        <v>0.38021124171160603</v>
      </c>
    </row>
    <row r="560" spans="1:19">
      <c r="A560" s="243"/>
      <c r="B560" s="244"/>
      <c r="C560" s="311">
        <v>4</v>
      </c>
      <c r="D560" s="244">
        <v>5</v>
      </c>
      <c r="E560" s="244">
        <v>1</v>
      </c>
      <c r="F560" s="244">
        <v>0</v>
      </c>
      <c r="G560" s="244">
        <v>2</v>
      </c>
      <c r="H560" s="244">
        <v>2</v>
      </c>
      <c r="I560" s="244">
        <v>1</v>
      </c>
      <c r="J560" s="244">
        <v>1</v>
      </c>
      <c r="K560" s="276">
        <v>2.4</v>
      </c>
      <c r="L560" s="277">
        <v>43.291600000000003</v>
      </c>
      <c r="M560" s="249"/>
      <c r="N560" s="250"/>
      <c r="O560" s="250"/>
      <c r="P560" s="250"/>
      <c r="Q560" s="250"/>
      <c r="R560" s="250"/>
      <c r="S560" s="266">
        <f t="shared" si="11"/>
        <v>0.38021124171160603</v>
      </c>
    </row>
    <row r="561" spans="1:19">
      <c r="A561" s="243"/>
      <c r="B561" s="244"/>
      <c r="C561" s="311">
        <v>6</v>
      </c>
      <c r="D561" s="244">
        <v>5</v>
      </c>
      <c r="E561" s="244">
        <v>1</v>
      </c>
      <c r="F561" s="244">
        <v>0</v>
      </c>
      <c r="G561" s="244">
        <v>2</v>
      </c>
      <c r="H561" s="244">
        <v>2</v>
      </c>
      <c r="I561" s="244">
        <v>1</v>
      </c>
      <c r="J561" s="244">
        <v>1</v>
      </c>
      <c r="K561" s="276">
        <v>3.5</v>
      </c>
      <c r="L561" s="277">
        <v>41.2</v>
      </c>
      <c r="M561" s="249"/>
      <c r="N561" s="250"/>
      <c r="O561" s="250"/>
      <c r="P561" s="250"/>
      <c r="Q561" s="250"/>
      <c r="R561" s="250"/>
      <c r="S561" s="266">
        <f t="shared" si="11"/>
        <v>0.54406804435027567</v>
      </c>
    </row>
    <row r="562" spans="1:19">
      <c r="A562" s="243"/>
      <c r="B562" s="244"/>
      <c r="C562" s="311">
        <v>6</v>
      </c>
      <c r="D562" s="244">
        <v>5</v>
      </c>
      <c r="E562" s="244">
        <v>1</v>
      </c>
      <c r="F562" s="244">
        <v>0</v>
      </c>
      <c r="G562" s="244">
        <v>2</v>
      </c>
      <c r="H562" s="244">
        <v>2</v>
      </c>
      <c r="I562" s="244">
        <v>1</v>
      </c>
      <c r="J562" s="244">
        <v>0</v>
      </c>
      <c r="K562" s="276">
        <v>3.3</v>
      </c>
      <c r="L562" s="277">
        <v>36.200000000000003</v>
      </c>
      <c r="M562" s="249"/>
      <c r="N562" s="250"/>
      <c r="O562" s="250"/>
      <c r="P562" s="250"/>
      <c r="Q562" s="250"/>
      <c r="R562" s="250"/>
      <c r="S562" s="266">
        <f t="shared" si="11"/>
        <v>0.51851393987788741</v>
      </c>
    </row>
    <row r="563" spans="1:19">
      <c r="A563" s="243"/>
      <c r="B563" s="244"/>
      <c r="C563" s="311">
        <v>6</v>
      </c>
      <c r="D563" s="244">
        <v>5</v>
      </c>
      <c r="E563" s="244">
        <v>1</v>
      </c>
      <c r="F563" s="244">
        <v>0</v>
      </c>
      <c r="G563" s="244">
        <v>2</v>
      </c>
      <c r="H563" s="244">
        <v>2</v>
      </c>
      <c r="I563" s="244">
        <v>1</v>
      </c>
      <c r="J563" s="244">
        <v>0</v>
      </c>
      <c r="K563" s="276">
        <v>3.8</v>
      </c>
      <c r="L563" s="277">
        <v>35.6</v>
      </c>
      <c r="M563" s="249"/>
      <c r="N563" s="250"/>
      <c r="O563" s="250"/>
      <c r="P563" s="250"/>
      <c r="Q563" s="250"/>
      <c r="R563" s="250"/>
      <c r="S563" s="266">
        <f t="shared" si="11"/>
        <v>0.57978359661681012</v>
      </c>
    </row>
    <row r="564" spans="1:19">
      <c r="A564" s="243"/>
      <c r="B564" s="244"/>
      <c r="C564" s="311">
        <v>6</v>
      </c>
      <c r="D564" s="244">
        <v>6</v>
      </c>
      <c r="E564" s="244">
        <v>1</v>
      </c>
      <c r="F564" s="244">
        <v>0</v>
      </c>
      <c r="G564" s="244">
        <v>2</v>
      </c>
      <c r="H564" s="244">
        <v>2</v>
      </c>
      <c r="I564" s="244">
        <v>1</v>
      </c>
      <c r="J564" s="244">
        <v>0</v>
      </c>
      <c r="K564" s="276">
        <v>3.8</v>
      </c>
      <c r="L564" s="277">
        <v>38.299999999999997</v>
      </c>
      <c r="M564" s="249"/>
      <c r="N564" s="250"/>
      <c r="O564" s="250"/>
      <c r="P564" s="250"/>
      <c r="Q564" s="250"/>
      <c r="R564" s="250"/>
      <c r="S564" s="266">
        <f t="shared" si="11"/>
        <v>0.57978359661681012</v>
      </c>
    </row>
    <row r="565" spans="1:19">
      <c r="A565" s="243"/>
      <c r="B565" s="244"/>
      <c r="C565" s="311">
        <v>8</v>
      </c>
      <c r="D565" s="244">
        <v>6</v>
      </c>
      <c r="E565" s="244">
        <v>1</v>
      </c>
      <c r="F565" s="244">
        <v>0</v>
      </c>
      <c r="G565" s="244">
        <v>2</v>
      </c>
      <c r="H565" s="244">
        <v>2</v>
      </c>
      <c r="I565" s="244">
        <v>1</v>
      </c>
      <c r="J565" s="244">
        <v>0</v>
      </c>
      <c r="K565" s="276">
        <v>4.5999999999999996</v>
      </c>
      <c r="L565" s="277">
        <v>34.200000000000003</v>
      </c>
      <c r="M565" s="249"/>
      <c r="N565" s="250"/>
      <c r="O565" s="250"/>
      <c r="P565" s="250"/>
      <c r="Q565" s="250"/>
      <c r="R565" s="250"/>
      <c r="S565" s="266">
        <f t="shared" si="11"/>
        <v>0.66275783168157409</v>
      </c>
    </row>
    <row r="566" spans="1:19">
      <c r="A566" s="243"/>
      <c r="B566" s="244"/>
      <c r="C566" s="311">
        <v>4</v>
      </c>
      <c r="D566" s="244">
        <v>5</v>
      </c>
      <c r="E566" s="244">
        <v>1</v>
      </c>
      <c r="F566" s="244">
        <v>0</v>
      </c>
      <c r="G566" s="244">
        <v>2</v>
      </c>
      <c r="H566" s="244">
        <v>2</v>
      </c>
      <c r="I566" s="244">
        <v>1</v>
      </c>
      <c r="J566" s="244">
        <v>0</v>
      </c>
      <c r="K566" s="276">
        <v>2.4</v>
      </c>
      <c r="L566" s="277">
        <v>44.4</v>
      </c>
      <c r="M566" s="249"/>
      <c r="N566" s="250"/>
      <c r="O566" s="250"/>
      <c r="P566" s="250"/>
      <c r="Q566" s="250"/>
      <c r="R566" s="250"/>
      <c r="S566" s="266">
        <f t="shared" si="11"/>
        <v>0.38021124171160603</v>
      </c>
    </row>
    <row r="567" spans="1:19">
      <c r="A567" s="243"/>
      <c r="B567" s="244"/>
      <c r="C567" s="311">
        <v>4</v>
      </c>
      <c r="D567" s="244">
        <v>5</v>
      </c>
      <c r="E567" s="244">
        <v>0</v>
      </c>
      <c r="F567" s="244">
        <v>0</v>
      </c>
      <c r="G567" s="244">
        <v>2</v>
      </c>
      <c r="H567" s="244">
        <v>2</v>
      </c>
      <c r="I567" s="244">
        <v>1</v>
      </c>
      <c r="J567" s="244">
        <v>0</v>
      </c>
      <c r="K567" s="276">
        <v>2.4</v>
      </c>
      <c r="L567" s="277">
        <v>44.8</v>
      </c>
      <c r="M567" s="249"/>
      <c r="N567" s="250"/>
      <c r="O567" s="250"/>
      <c r="P567" s="250"/>
      <c r="Q567" s="250"/>
      <c r="R567" s="250"/>
      <c r="S567" s="266">
        <f t="shared" si="11"/>
        <v>0.38021124171160603</v>
      </c>
    </row>
    <row r="568" spans="1:19">
      <c r="A568" s="243"/>
      <c r="B568" s="244"/>
      <c r="C568" s="311">
        <v>6</v>
      </c>
      <c r="D568" s="244">
        <v>5</v>
      </c>
      <c r="E568" s="244">
        <v>1</v>
      </c>
      <c r="F568" s="244">
        <v>0</v>
      </c>
      <c r="G568" s="244">
        <v>2</v>
      </c>
      <c r="H568" s="244">
        <v>2</v>
      </c>
      <c r="I568" s="244">
        <v>1</v>
      </c>
      <c r="J568" s="244">
        <v>0</v>
      </c>
      <c r="K568" s="276">
        <v>3.3</v>
      </c>
      <c r="L568" s="277">
        <v>40.1</v>
      </c>
      <c r="M568" s="249"/>
      <c r="N568" s="250"/>
      <c r="O568" s="250"/>
      <c r="P568" s="250"/>
      <c r="Q568" s="250"/>
      <c r="R568" s="250"/>
      <c r="S568" s="266">
        <f t="shared" si="11"/>
        <v>0.51851393987788741</v>
      </c>
    </row>
    <row r="569" spans="1:19">
      <c r="A569" s="243"/>
      <c r="B569" s="244"/>
      <c r="C569" s="311">
        <v>6</v>
      </c>
      <c r="D569" s="244">
        <v>7</v>
      </c>
      <c r="E569" s="244">
        <v>1</v>
      </c>
      <c r="F569" s="244">
        <v>0</v>
      </c>
      <c r="G569" s="244">
        <v>2</v>
      </c>
      <c r="H569" s="244">
        <v>2</v>
      </c>
      <c r="I569" s="244">
        <v>1</v>
      </c>
      <c r="J569" s="244">
        <v>0</v>
      </c>
      <c r="K569" s="276">
        <v>3.5</v>
      </c>
      <c r="L569" s="277">
        <v>34.1997</v>
      </c>
      <c r="M569" s="249"/>
      <c r="N569" s="250"/>
      <c r="O569" s="250"/>
      <c r="P569" s="250"/>
      <c r="Q569" s="250"/>
      <c r="R569" s="250"/>
      <c r="S569" s="266">
        <f t="shared" si="11"/>
        <v>0.54406804435027567</v>
      </c>
    </row>
    <row r="570" spans="1:19">
      <c r="A570" s="243"/>
      <c r="B570" s="244"/>
      <c r="C570" s="311">
        <v>6</v>
      </c>
      <c r="D570" s="244">
        <v>5</v>
      </c>
      <c r="E570" s="244">
        <v>1</v>
      </c>
      <c r="F570" s="244">
        <v>0</v>
      </c>
      <c r="G570" s="244">
        <v>2</v>
      </c>
      <c r="H570" s="244">
        <v>2</v>
      </c>
      <c r="I570" s="244">
        <v>1</v>
      </c>
      <c r="J570" s="244">
        <v>0</v>
      </c>
      <c r="K570" s="276">
        <v>3.5</v>
      </c>
      <c r="L570" s="277">
        <v>30.549900000000001</v>
      </c>
      <c r="M570" s="249"/>
      <c r="N570" s="250"/>
      <c r="O570" s="250"/>
      <c r="P570" s="250"/>
      <c r="Q570" s="250"/>
      <c r="R570" s="250"/>
      <c r="S570" s="266">
        <f t="shared" si="11"/>
        <v>0.54406804435027567</v>
      </c>
    </row>
    <row r="571" spans="1:19">
      <c r="A571" s="243"/>
      <c r="B571" s="244"/>
      <c r="C571" s="311">
        <v>8</v>
      </c>
      <c r="D571" s="244">
        <v>5</v>
      </c>
      <c r="E571" s="244">
        <v>1</v>
      </c>
      <c r="F571" s="244">
        <v>0</v>
      </c>
      <c r="G571" s="244">
        <v>2</v>
      </c>
      <c r="H571" s="244">
        <v>2</v>
      </c>
      <c r="I571" s="244">
        <v>1</v>
      </c>
      <c r="J571" s="244">
        <v>0</v>
      </c>
      <c r="K571" s="276">
        <v>4.5</v>
      </c>
      <c r="L571" s="277">
        <v>29.6</v>
      </c>
      <c r="M571" s="249"/>
      <c r="N571" s="250"/>
      <c r="O571" s="250"/>
      <c r="P571" s="250"/>
      <c r="Q571" s="250"/>
      <c r="R571" s="250"/>
      <c r="S571" s="266">
        <f t="shared" si="11"/>
        <v>0.65321251377534373</v>
      </c>
    </row>
    <row r="572" spans="1:19">
      <c r="A572" s="243"/>
      <c r="B572" s="244"/>
      <c r="C572" s="311">
        <v>8</v>
      </c>
      <c r="D572" s="244">
        <v>5</v>
      </c>
      <c r="E572" s="244">
        <v>1</v>
      </c>
      <c r="F572" s="244">
        <v>0</v>
      </c>
      <c r="G572" s="244">
        <v>2</v>
      </c>
      <c r="H572" s="244">
        <v>2</v>
      </c>
      <c r="I572" s="244">
        <v>1</v>
      </c>
      <c r="J572" s="244">
        <v>0</v>
      </c>
      <c r="K572" s="276">
        <v>4.5</v>
      </c>
      <c r="L572" s="277">
        <v>27.2</v>
      </c>
      <c r="M572" s="249"/>
      <c r="N572" s="250"/>
      <c r="O572" s="250"/>
      <c r="P572" s="250"/>
      <c r="Q572" s="250"/>
      <c r="R572" s="250"/>
      <c r="S572" s="266">
        <f t="shared" si="11"/>
        <v>0.65321251377534373</v>
      </c>
    </row>
    <row r="573" spans="1:19">
      <c r="A573" s="243"/>
      <c r="B573" s="244"/>
      <c r="C573" s="311">
        <v>8</v>
      </c>
      <c r="D573" s="244">
        <v>6</v>
      </c>
      <c r="E573" s="244">
        <v>1</v>
      </c>
      <c r="F573" s="244">
        <v>0</v>
      </c>
      <c r="G573" s="244">
        <v>2</v>
      </c>
      <c r="H573" s="244">
        <v>2</v>
      </c>
      <c r="I573" s="244">
        <v>1</v>
      </c>
      <c r="J573" s="244">
        <v>0</v>
      </c>
      <c r="K573" s="276">
        <v>5</v>
      </c>
      <c r="L573" s="277">
        <v>29.7559</v>
      </c>
      <c r="M573" s="249"/>
      <c r="N573" s="250"/>
      <c r="O573" s="250"/>
      <c r="P573" s="250"/>
      <c r="Q573" s="250"/>
      <c r="R573" s="250"/>
      <c r="S573" s="266">
        <f t="shared" si="11"/>
        <v>0.69897000433601886</v>
      </c>
    </row>
    <row r="574" spans="1:19">
      <c r="A574" s="243"/>
      <c r="B574" s="244"/>
      <c r="C574" s="311">
        <v>8</v>
      </c>
      <c r="D574" s="244">
        <v>6</v>
      </c>
      <c r="E574" s="244">
        <v>1</v>
      </c>
      <c r="F574" s="244">
        <v>0</v>
      </c>
      <c r="G574" s="244">
        <v>2</v>
      </c>
      <c r="H574" s="244">
        <v>2</v>
      </c>
      <c r="I574" s="244">
        <v>1</v>
      </c>
      <c r="J574" s="244">
        <v>1</v>
      </c>
      <c r="K574" s="276">
        <v>5</v>
      </c>
      <c r="L574" s="277">
        <v>32.670099999999998</v>
      </c>
      <c r="M574" s="249"/>
      <c r="N574" s="250"/>
      <c r="O574" s="250"/>
      <c r="P574" s="250"/>
      <c r="Q574" s="250"/>
      <c r="R574" s="250"/>
      <c r="S574" s="266">
        <f t="shared" si="11"/>
        <v>0.69897000433601886</v>
      </c>
    </row>
    <row r="575" spans="1:19">
      <c r="A575" s="243"/>
      <c r="B575" s="244"/>
      <c r="C575" s="311">
        <v>8</v>
      </c>
      <c r="D575" s="244">
        <v>6</v>
      </c>
      <c r="E575" s="244">
        <v>1</v>
      </c>
      <c r="F575" s="244">
        <v>0</v>
      </c>
      <c r="G575" s="244">
        <v>2</v>
      </c>
      <c r="H575" s="244">
        <v>2</v>
      </c>
      <c r="I575" s="244">
        <v>1</v>
      </c>
      <c r="J575" s="244">
        <v>1</v>
      </c>
      <c r="K575" s="276">
        <v>5</v>
      </c>
      <c r="L575" s="277">
        <v>31.073599999999999</v>
      </c>
      <c r="M575" s="249"/>
      <c r="N575" s="250"/>
      <c r="O575" s="250"/>
      <c r="P575" s="250"/>
      <c r="Q575" s="250"/>
      <c r="R575" s="250"/>
      <c r="S575" s="266">
        <f t="shared" si="11"/>
        <v>0.69897000433601886</v>
      </c>
    </row>
    <row r="576" spans="1:19">
      <c r="A576" s="243"/>
      <c r="B576" s="244"/>
      <c r="C576" s="311">
        <v>8</v>
      </c>
      <c r="D576" s="244">
        <v>4</v>
      </c>
      <c r="E576" s="244">
        <v>1</v>
      </c>
      <c r="F576" s="244">
        <v>1</v>
      </c>
      <c r="G576" s="244">
        <v>1</v>
      </c>
      <c r="H576" s="244">
        <v>1</v>
      </c>
      <c r="I576" s="244">
        <v>0</v>
      </c>
      <c r="J576" s="244">
        <v>0</v>
      </c>
      <c r="K576" s="276">
        <v>4.5999999999999996</v>
      </c>
      <c r="L576" s="277">
        <v>33.305199999999999</v>
      </c>
      <c r="M576" s="249"/>
      <c r="N576" s="250"/>
      <c r="O576" s="250"/>
      <c r="P576" s="250"/>
      <c r="Q576" s="250"/>
      <c r="R576" s="250"/>
      <c r="S576" s="266">
        <f t="shared" si="11"/>
        <v>0.66275783168157409</v>
      </c>
    </row>
    <row r="577" spans="1:19">
      <c r="A577" s="243"/>
      <c r="B577" s="244"/>
      <c r="C577" s="311">
        <v>6</v>
      </c>
      <c r="D577" s="244">
        <v>6</v>
      </c>
      <c r="E577" s="244">
        <v>1</v>
      </c>
      <c r="F577" s="244">
        <v>1</v>
      </c>
      <c r="G577" s="244">
        <v>2</v>
      </c>
      <c r="H577" s="244">
        <v>2</v>
      </c>
      <c r="I577" s="244">
        <v>1</v>
      </c>
      <c r="J577" s="244">
        <v>0</v>
      </c>
      <c r="K577" s="276">
        <v>3.5</v>
      </c>
      <c r="L577" s="277">
        <v>31.5</v>
      </c>
      <c r="M577" s="249"/>
      <c r="N577" s="250"/>
      <c r="O577" s="250"/>
      <c r="P577" s="250"/>
      <c r="Q577" s="250"/>
      <c r="R577" s="250"/>
      <c r="S577" s="266">
        <f t="shared" si="11"/>
        <v>0.54406804435027567</v>
      </c>
    </row>
    <row r="578" spans="1:19">
      <c r="A578" s="243"/>
      <c r="B578" s="244"/>
      <c r="C578" s="311">
        <v>6</v>
      </c>
      <c r="D578" s="244">
        <v>6</v>
      </c>
      <c r="E578" s="244">
        <v>1</v>
      </c>
      <c r="F578" s="244">
        <v>1</v>
      </c>
      <c r="G578" s="244">
        <v>2</v>
      </c>
      <c r="H578" s="244">
        <v>2</v>
      </c>
      <c r="I578" s="244">
        <v>1</v>
      </c>
      <c r="J578" s="244">
        <v>0</v>
      </c>
      <c r="K578" s="276">
        <v>3.5</v>
      </c>
      <c r="L578" s="277">
        <v>34.700000000000003</v>
      </c>
      <c r="M578" s="249"/>
      <c r="N578" s="250"/>
      <c r="O578" s="250"/>
      <c r="P578" s="250"/>
      <c r="Q578" s="250"/>
      <c r="R578" s="250"/>
      <c r="S578" s="266">
        <f t="shared" si="11"/>
        <v>0.54406804435027567</v>
      </c>
    </row>
    <row r="579" spans="1:19">
      <c r="A579" s="243"/>
      <c r="B579" s="244"/>
      <c r="C579" s="311">
        <v>6</v>
      </c>
      <c r="D579" s="244">
        <v>6</v>
      </c>
      <c r="E579" s="244">
        <v>1</v>
      </c>
      <c r="F579" s="244">
        <v>1</v>
      </c>
      <c r="G579" s="244">
        <v>2</v>
      </c>
      <c r="H579" s="244">
        <v>2</v>
      </c>
      <c r="I579" s="244">
        <v>1</v>
      </c>
      <c r="J579" s="244">
        <v>0</v>
      </c>
      <c r="K579" s="276">
        <v>3.5</v>
      </c>
      <c r="L579" s="277">
        <v>33</v>
      </c>
      <c r="M579" s="249"/>
      <c r="N579" s="250"/>
      <c r="O579" s="250"/>
      <c r="P579" s="250"/>
      <c r="Q579" s="250"/>
      <c r="R579" s="250"/>
      <c r="S579" s="266">
        <f t="shared" si="11"/>
        <v>0.54406804435027567</v>
      </c>
    </row>
    <row r="580" spans="1:19">
      <c r="A580" s="243"/>
      <c r="B580" s="244"/>
      <c r="C580" s="311">
        <v>8</v>
      </c>
      <c r="D580" s="244">
        <v>4</v>
      </c>
      <c r="E580" s="244">
        <v>1</v>
      </c>
      <c r="F580" s="244">
        <v>1</v>
      </c>
      <c r="G580" s="244">
        <v>1</v>
      </c>
      <c r="H580" s="244">
        <v>1</v>
      </c>
      <c r="I580" s="244">
        <v>0</v>
      </c>
      <c r="J580" s="244">
        <v>0</v>
      </c>
      <c r="K580" s="276">
        <v>4.5999999999999996</v>
      </c>
      <c r="L580" s="277">
        <v>33.305199999999999</v>
      </c>
      <c r="M580" s="249"/>
      <c r="N580" s="250"/>
      <c r="O580" s="250"/>
      <c r="P580" s="250"/>
      <c r="Q580" s="250"/>
      <c r="R580" s="250"/>
      <c r="S580" s="266">
        <f t="shared" si="11"/>
        <v>0.66275783168157409</v>
      </c>
    </row>
    <row r="581" spans="1:19">
      <c r="A581" s="243"/>
      <c r="B581" s="244"/>
      <c r="C581" s="311">
        <v>8</v>
      </c>
      <c r="D581" s="244">
        <v>6</v>
      </c>
      <c r="E581" s="244">
        <v>0</v>
      </c>
      <c r="F581" s="244">
        <v>0</v>
      </c>
      <c r="G581" s="244">
        <v>2</v>
      </c>
      <c r="H581" s="244">
        <v>2</v>
      </c>
      <c r="I581" s="244">
        <v>1</v>
      </c>
      <c r="J581" s="244">
        <v>0</v>
      </c>
      <c r="K581" s="276">
        <v>4.2</v>
      </c>
      <c r="L581" s="277">
        <v>24.183700000000002</v>
      </c>
      <c r="M581" s="249"/>
      <c r="N581" s="250"/>
      <c r="O581" s="250"/>
      <c r="P581" s="250"/>
      <c r="Q581" s="250"/>
      <c r="R581" s="250"/>
      <c r="S581" s="266">
        <f t="shared" si="11"/>
        <v>0.62324929039790045</v>
      </c>
    </row>
    <row r="582" spans="1:19">
      <c r="A582" s="243"/>
      <c r="B582" s="244"/>
      <c r="C582" s="311">
        <v>8</v>
      </c>
      <c r="D582" s="244">
        <v>6</v>
      </c>
      <c r="E582" s="244">
        <v>0</v>
      </c>
      <c r="F582" s="244">
        <v>0</v>
      </c>
      <c r="G582" s="244">
        <v>2</v>
      </c>
      <c r="H582" s="244">
        <v>2</v>
      </c>
      <c r="I582" s="244">
        <v>1</v>
      </c>
      <c r="J582" s="244">
        <v>0</v>
      </c>
      <c r="K582" s="276">
        <v>4.7</v>
      </c>
      <c r="L582" s="277">
        <v>25.510200000000001</v>
      </c>
      <c r="M582" s="249"/>
      <c r="N582" s="250"/>
      <c r="O582" s="250"/>
      <c r="P582" s="250"/>
      <c r="Q582" s="250"/>
      <c r="R582" s="250"/>
      <c r="S582" s="266">
        <f t="shared" si="11"/>
        <v>0.67209785793571752</v>
      </c>
    </row>
    <row r="583" spans="1:19">
      <c r="A583" s="243"/>
      <c r="B583" s="244"/>
      <c r="C583" s="311">
        <v>12</v>
      </c>
      <c r="D583" s="244">
        <v>5</v>
      </c>
      <c r="E583" s="244">
        <v>1</v>
      </c>
      <c r="F583" s="244">
        <v>0</v>
      </c>
      <c r="G583" s="244">
        <v>2</v>
      </c>
      <c r="H583" s="244">
        <v>1</v>
      </c>
      <c r="I583" s="244">
        <v>1</v>
      </c>
      <c r="J583" s="244">
        <v>0</v>
      </c>
      <c r="K583" s="276">
        <v>5.5</v>
      </c>
      <c r="L583" s="277">
        <v>21.4</v>
      </c>
      <c r="M583" s="249"/>
      <c r="N583" s="250"/>
      <c r="O583" s="250"/>
      <c r="P583" s="250"/>
      <c r="Q583" s="250"/>
      <c r="R583" s="250"/>
      <c r="S583" s="266">
        <f t="shared" si="11"/>
        <v>0.74036268949424389</v>
      </c>
    </row>
    <row r="584" spans="1:19">
      <c r="A584" s="243"/>
      <c r="B584" s="244"/>
      <c r="C584" s="311">
        <v>12</v>
      </c>
      <c r="D584" s="244">
        <v>5</v>
      </c>
      <c r="E584" s="244">
        <v>1</v>
      </c>
      <c r="F584" s="244">
        <v>0</v>
      </c>
      <c r="G584" s="244">
        <v>2</v>
      </c>
      <c r="H584" s="244">
        <v>1</v>
      </c>
      <c r="I584" s="244">
        <v>1</v>
      </c>
      <c r="J584" s="244">
        <v>0</v>
      </c>
      <c r="K584" s="276">
        <v>6</v>
      </c>
      <c r="L584" s="277">
        <v>21.4</v>
      </c>
      <c r="M584" s="249"/>
      <c r="N584" s="250"/>
      <c r="O584" s="250"/>
      <c r="P584" s="250"/>
      <c r="Q584" s="250"/>
      <c r="R584" s="250"/>
      <c r="S584" s="266">
        <f t="shared" si="11"/>
        <v>0.77815125038364363</v>
      </c>
    </row>
    <row r="585" spans="1:19">
      <c r="A585" s="243"/>
      <c r="B585" s="244"/>
      <c r="C585" s="311">
        <v>12</v>
      </c>
      <c r="D585" s="244">
        <v>5</v>
      </c>
      <c r="E585" s="244">
        <v>1</v>
      </c>
      <c r="F585" s="244">
        <v>0</v>
      </c>
      <c r="G585" s="244">
        <v>2</v>
      </c>
      <c r="H585" s="244">
        <v>1</v>
      </c>
      <c r="I585" s="244">
        <v>1</v>
      </c>
      <c r="J585" s="244">
        <v>0</v>
      </c>
      <c r="K585" s="276">
        <v>6</v>
      </c>
      <c r="L585" s="277">
        <v>21.7</v>
      </c>
      <c r="M585" s="249"/>
      <c r="N585" s="250"/>
      <c r="O585" s="250"/>
      <c r="P585" s="250"/>
      <c r="Q585" s="250"/>
      <c r="R585" s="250"/>
      <c r="S585" s="266">
        <f t="shared" si="11"/>
        <v>0.77815125038364363</v>
      </c>
    </row>
    <row r="586" spans="1:19">
      <c r="A586" s="243"/>
      <c r="B586" s="244"/>
      <c r="C586" s="311">
        <v>8</v>
      </c>
      <c r="D586" s="244">
        <v>7</v>
      </c>
      <c r="E586" s="244">
        <v>1</v>
      </c>
      <c r="F586" s="244">
        <v>0</v>
      </c>
      <c r="G586" s="244">
        <v>2</v>
      </c>
      <c r="H586" s="244">
        <v>2</v>
      </c>
      <c r="I586" s="244">
        <v>1</v>
      </c>
      <c r="J586" s="244">
        <v>0</v>
      </c>
      <c r="K586" s="276">
        <v>5.5</v>
      </c>
      <c r="L586" s="277">
        <v>32</v>
      </c>
      <c r="M586" s="249"/>
      <c r="N586" s="250"/>
      <c r="O586" s="250"/>
      <c r="P586" s="250"/>
      <c r="Q586" s="250"/>
      <c r="R586" s="250"/>
      <c r="S586" s="266">
        <f t="shared" si="11"/>
        <v>0.74036268949424389</v>
      </c>
    </row>
    <row r="587" spans="1:19">
      <c r="A587" s="243"/>
      <c r="B587" s="244"/>
      <c r="C587" s="311">
        <v>8</v>
      </c>
      <c r="D587" s="244">
        <v>7</v>
      </c>
      <c r="E587" s="244">
        <v>1</v>
      </c>
      <c r="F587" s="244">
        <v>0</v>
      </c>
      <c r="G587" s="244">
        <v>2</v>
      </c>
      <c r="H587" s="244">
        <v>2</v>
      </c>
      <c r="I587" s="244">
        <v>1</v>
      </c>
      <c r="J587" s="244">
        <v>0</v>
      </c>
      <c r="K587" s="276">
        <v>5.5</v>
      </c>
      <c r="L587" s="277">
        <v>29.8</v>
      </c>
      <c r="M587" s="249"/>
      <c r="N587" s="250"/>
      <c r="O587" s="250"/>
      <c r="P587" s="250"/>
      <c r="Q587" s="250"/>
      <c r="R587" s="250"/>
      <c r="S587" s="266">
        <f t="shared" ref="S587:S650" si="12">LOG10(K587)</f>
        <v>0.74036268949424389</v>
      </c>
    </row>
    <row r="588" spans="1:19">
      <c r="A588" s="243"/>
      <c r="B588" s="244"/>
      <c r="C588" s="311">
        <v>12</v>
      </c>
      <c r="D588" s="244">
        <v>5</v>
      </c>
      <c r="E588" s="244">
        <v>1</v>
      </c>
      <c r="F588" s="244">
        <v>0</v>
      </c>
      <c r="G588" s="244">
        <v>2</v>
      </c>
      <c r="H588" s="244">
        <v>1</v>
      </c>
      <c r="I588" s="244">
        <v>1</v>
      </c>
      <c r="J588" s="244">
        <v>0</v>
      </c>
      <c r="K588" s="276">
        <v>5.5</v>
      </c>
      <c r="L588" s="277">
        <v>23.9</v>
      </c>
      <c r="M588" s="249"/>
      <c r="N588" s="250"/>
      <c r="O588" s="250"/>
      <c r="P588" s="250"/>
      <c r="Q588" s="250"/>
      <c r="R588" s="250"/>
      <c r="S588" s="266">
        <f t="shared" si="12"/>
        <v>0.74036268949424389</v>
      </c>
    </row>
    <row r="589" spans="1:19">
      <c r="A589" s="243"/>
      <c r="B589" s="244"/>
      <c r="C589" s="311">
        <v>8</v>
      </c>
      <c r="D589" s="244">
        <v>7</v>
      </c>
      <c r="E589" s="244">
        <v>1</v>
      </c>
      <c r="F589" s="244">
        <v>0</v>
      </c>
      <c r="G589" s="244">
        <v>2</v>
      </c>
      <c r="H589" s="244">
        <v>2</v>
      </c>
      <c r="I589" s="244">
        <v>1</v>
      </c>
      <c r="J589" s="244">
        <v>0</v>
      </c>
      <c r="K589" s="276">
        <v>6.3</v>
      </c>
      <c r="L589" s="277">
        <v>24.6</v>
      </c>
      <c r="M589" s="249"/>
      <c r="N589" s="250"/>
      <c r="O589" s="250"/>
      <c r="P589" s="250"/>
      <c r="Q589" s="250"/>
      <c r="R589" s="250"/>
      <c r="S589" s="266">
        <f t="shared" si="12"/>
        <v>0.79934054945358168</v>
      </c>
    </row>
    <row r="590" spans="1:19">
      <c r="A590" s="243"/>
      <c r="B590" s="244"/>
      <c r="C590" s="311">
        <v>12</v>
      </c>
      <c r="D590" s="244">
        <v>5</v>
      </c>
      <c r="E590" s="244">
        <v>1</v>
      </c>
      <c r="F590" s="244">
        <v>0</v>
      </c>
      <c r="G590" s="244">
        <v>2</v>
      </c>
      <c r="H590" s="244">
        <v>1</v>
      </c>
      <c r="I590" s="244">
        <v>1</v>
      </c>
      <c r="J590" s="244">
        <v>0</v>
      </c>
      <c r="K590" s="276">
        <v>6</v>
      </c>
      <c r="L590" s="277">
        <v>23.1</v>
      </c>
      <c r="M590" s="249"/>
      <c r="N590" s="250"/>
      <c r="O590" s="250"/>
      <c r="P590" s="250"/>
      <c r="Q590" s="250"/>
      <c r="R590" s="250"/>
      <c r="S590" s="266">
        <f t="shared" si="12"/>
        <v>0.77815125038364363</v>
      </c>
    </row>
    <row r="591" spans="1:19">
      <c r="A591" s="243"/>
      <c r="B591" s="244"/>
      <c r="C591" s="311">
        <v>6</v>
      </c>
      <c r="D591" s="244">
        <v>7</v>
      </c>
      <c r="E591" s="244">
        <v>1</v>
      </c>
      <c r="F591" s="244">
        <v>0</v>
      </c>
      <c r="G591" s="244">
        <v>2</v>
      </c>
      <c r="H591" s="244">
        <v>2</v>
      </c>
      <c r="I591" s="244">
        <v>1</v>
      </c>
      <c r="J591" s="244">
        <v>0</v>
      </c>
      <c r="K591" s="276">
        <v>3.5</v>
      </c>
      <c r="L591" s="277">
        <v>35</v>
      </c>
      <c r="M591" s="249"/>
      <c r="N591" s="250"/>
      <c r="O591" s="250"/>
      <c r="P591" s="250"/>
      <c r="Q591" s="250"/>
      <c r="R591" s="250"/>
      <c r="S591" s="266">
        <f t="shared" si="12"/>
        <v>0.54406804435027567</v>
      </c>
    </row>
    <row r="592" spans="1:19">
      <c r="A592" s="243"/>
      <c r="B592" s="244"/>
      <c r="C592" s="311">
        <v>8</v>
      </c>
      <c r="D592" s="244">
        <v>7</v>
      </c>
      <c r="E592" s="244">
        <v>1</v>
      </c>
      <c r="F592" s="244">
        <v>0</v>
      </c>
      <c r="G592" s="244">
        <v>2</v>
      </c>
      <c r="H592" s="244">
        <v>2</v>
      </c>
      <c r="I592" s="244">
        <v>1</v>
      </c>
      <c r="J592" s="244">
        <v>1</v>
      </c>
      <c r="K592" s="276">
        <v>4.8</v>
      </c>
      <c r="L592" s="277">
        <v>33.260300000000001</v>
      </c>
      <c r="M592" s="249"/>
      <c r="N592" s="250"/>
      <c r="O592" s="250"/>
      <c r="P592" s="250"/>
      <c r="Q592" s="250"/>
      <c r="R592" s="250"/>
      <c r="S592" s="266">
        <f t="shared" si="12"/>
        <v>0.68124123737558717</v>
      </c>
    </row>
    <row r="593" spans="1:19">
      <c r="A593" s="243"/>
      <c r="B593" s="244"/>
      <c r="C593" s="311">
        <v>8</v>
      </c>
      <c r="D593" s="244">
        <v>7</v>
      </c>
      <c r="E593" s="244">
        <v>1</v>
      </c>
      <c r="F593" s="244">
        <v>0</v>
      </c>
      <c r="G593" s="244">
        <v>2</v>
      </c>
      <c r="H593" s="244">
        <v>2</v>
      </c>
      <c r="I593" s="244">
        <v>1</v>
      </c>
      <c r="J593" s="244">
        <v>1</v>
      </c>
      <c r="K593" s="276">
        <v>4.8</v>
      </c>
      <c r="L593" s="277">
        <v>33.260300000000001</v>
      </c>
      <c r="M593" s="249"/>
      <c r="N593" s="250"/>
      <c r="O593" s="250"/>
      <c r="P593" s="250"/>
      <c r="Q593" s="250"/>
      <c r="R593" s="250"/>
      <c r="S593" s="266">
        <f t="shared" si="12"/>
        <v>0.68124123737558717</v>
      </c>
    </row>
    <row r="594" spans="1:19">
      <c r="A594" s="243"/>
      <c r="B594" s="244"/>
      <c r="C594" s="311">
        <v>8</v>
      </c>
      <c r="D594" s="244">
        <v>7</v>
      </c>
      <c r="E594" s="244">
        <v>1</v>
      </c>
      <c r="F594" s="244">
        <v>0</v>
      </c>
      <c r="G594" s="244">
        <v>2</v>
      </c>
      <c r="H594" s="244">
        <v>2</v>
      </c>
      <c r="I594" s="244">
        <v>1</v>
      </c>
      <c r="J594" s="244">
        <v>1</v>
      </c>
      <c r="K594" s="276">
        <v>4.8</v>
      </c>
      <c r="L594" s="277">
        <v>32.026299999999999</v>
      </c>
      <c r="M594" s="249"/>
      <c r="N594" s="250"/>
      <c r="O594" s="250"/>
      <c r="P594" s="250"/>
      <c r="Q594" s="250"/>
      <c r="R594" s="250"/>
      <c r="S594" s="266">
        <f t="shared" si="12"/>
        <v>0.68124123737558717</v>
      </c>
    </row>
    <row r="595" spans="1:19">
      <c r="A595" s="243"/>
      <c r="B595" s="244"/>
      <c r="C595" s="311">
        <v>12</v>
      </c>
      <c r="D595" s="244">
        <v>8</v>
      </c>
      <c r="E595" s="244">
        <v>1</v>
      </c>
      <c r="F595" s="244">
        <v>0</v>
      </c>
      <c r="G595" s="244">
        <v>2</v>
      </c>
      <c r="H595" s="244">
        <v>2</v>
      </c>
      <c r="I595" s="244">
        <v>1</v>
      </c>
      <c r="J595" s="244">
        <v>0</v>
      </c>
      <c r="K595" s="276">
        <v>6.6</v>
      </c>
      <c r="L595" s="277">
        <v>27.3</v>
      </c>
      <c r="M595" s="249"/>
      <c r="N595" s="250"/>
      <c r="O595" s="250"/>
      <c r="P595" s="250"/>
      <c r="Q595" s="250"/>
      <c r="R595" s="250"/>
      <c r="S595" s="266">
        <f t="shared" si="12"/>
        <v>0.81954393554186866</v>
      </c>
    </row>
    <row r="596" spans="1:19">
      <c r="A596" s="243"/>
      <c r="B596" s="244"/>
      <c r="C596" s="311">
        <v>12</v>
      </c>
      <c r="D596" s="244">
        <v>6</v>
      </c>
      <c r="E596" s="244">
        <v>1</v>
      </c>
      <c r="F596" s="244">
        <v>0</v>
      </c>
      <c r="G596" s="244">
        <v>2</v>
      </c>
      <c r="H596" s="244">
        <v>2</v>
      </c>
      <c r="I596" s="244">
        <v>1</v>
      </c>
      <c r="J596" s="244">
        <v>0</v>
      </c>
      <c r="K596" s="276">
        <v>6.7</v>
      </c>
      <c r="L596" s="277">
        <v>24.2</v>
      </c>
      <c r="M596" s="249"/>
      <c r="N596" s="250"/>
      <c r="O596" s="250"/>
      <c r="P596" s="250"/>
      <c r="Q596" s="250"/>
      <c r="R596" s="250"/>
      <c r="S596" s="266">
        <f t="shared" si="12"/>
        <v>0.82607480270082645</v>
      </c>
    </row>
    <row r="597" spans="1:19">
      <c r="A597" s="243"/>
      <c r="B597" s="244"/>
      <c r="C597" s="311">
        <v>6</v>
      </c>
      <c r="D597" s="244">
        <v>6</v>
      </c>
      <c r="E597" s="244">
        <v>1</v>
      </c>
      <c r="F597" s="244">
        <v>0</v>
      </c>
      <c r="G597" s="244">
        <v>2</v>
      </c>
      <c r="H597" s="244">
        <v>2</v>
      </c>
      <c r="I597" s="244">
        <v>1</v>
      </c>
      <c r="J597" s="244">
        <v>0</v>
      </c>
      <c r="K597" s="276">
        <v>3.5</v>
      </c>
      <c r="L597" s="277">
        <v>39.799999999999997</v>
      </c>
      <c r="M597" s="249"/>
      <c r="N597" s="250"/>
      <c r="O597" s="250"/>
      <c r="P597" s="250"/>
      <c r="Q597" s="250"/>
      <c r="R597" s="250"/>
      <c r="S597" s="266">
        <f t="shared" si="12"/>
        <v>0.54406804435027567</v>
      </c>
    </row>
    <row r="598" spans="1:19">
      <c r="A598" s="243"/>
      <c r="B598" s="244"/>
      <c r="C598" s="311">
        <v>4</v>
      </c>
      <c r="D598" s="244">
        <v>6</v>
      </c>
      <c r="E598" s="244">
        <v>0</v>
      </c>
      <c r="F598" s="244">
        <v>0</v>
      </c>
      <c r="G598" s="244">
        <v>2</v>
      </c>
      <c r="H598" s="244">
        <v>2</v>
      </c>
      <c r="I598" s="244">
        <v>1</v>
      </c>
      <c r="J598" s="244">
        <v>0</v>
      </c>
      <c r="K598" s="276">
        <v>2</v>
      </c>
      <c r="L598" s="277">
        <v>40.400300000000001</v>
      </c>
      <c r="M598" s="249"/>
      <c r="N598" s="250"/>
      <c r="O598" s="250"/>
      <c r="P598" s="250"/>
      <c r="Q598" s="250"/>
      <c r="R598" s="250"/>
      <c r="S598" s="266">
        <f t="shared" si="12"/>
        <v>0.3010299956639812</v>
      </c>
    </row>
    <row r="599" spans="1:19">
      <c r="A599" s="243"/>
      <c r="B599" s="244"/>
      <c r="C599" s="311">
        <v>4</v>
      </c>
      <c r="D599" s="244">
        <v>6</v>
      </c>
      <c r="E599" s="244">
        <v>0</v>
      </c>
      <c r="F599" s="244">
        <v>0</v>
      </c>
      <c r="G599" s="244">
        <v>2</v>
      </c>
      <c r="H599" s="244">
        <v>2</v>
      </c>
      <c r="I599" s="244">
        <v>1</v>
      </c>
      <c r="J599" s="244">
        <v>0</v>
      </c>
      <c r="K599" s="276">
        <v>2</v>
      </c>
      <c r="L599" s="277">
        <v>38.870199999999997</v>
      </c>
      <c r="M599" s="249"/>
      <c r="N599" s="250"/>
      <c r="O599" s="250"/>
      <c r="P599" s="250"/>
      <c r="Q599" s="250"/>
      <c r="R599" s="250"/>
      <c r="S599" s="266">
        <f t="shared" si="12"/>
        <v>0.3010299956639812</v>
      </c>
    </row>
    <row r="600" spans="1:19">
      <c r="A600" s="243"/>
      <c r="B600" s="244"/>
      <c r="C600" s="311">
        <v>4</v>
      </c>
      <c r="D600" s="244">
        <v>6</v>
      </c>
      <c r="E600" s="244">
        <v>0</v>
      </c>
      <c r="F600" s="244">
        <v>0</v>
      </c>
      <c r="G600" s="244">
        <v>2</v>
      </c>
      <c r="H600" s="244">
        <v>2</v>
      </c>
      <c r="I600" s="244">
        <v>0</v>
      </c>
      <c r="J600" s="244">
        <v>0</v>
      </c>
      <c r="K600" s="276">
        <v>2</v>
      </c>
      <c r="L600" s="277">
        <v>60.1</v>
      </c>
      <c r="M600" s="249"/>
      <c r="N600" s="250"/>
      <c r="O600" s="250"/>
      <c r="P600" s="250"/>
      <c r="Q600" s="250"/>
      <c r="R600" s="250"/>
      <c r="S600" s="266">
        <f t="shared" si="12"/>
        <v>0.3010299956639812</v>
      </c>
    </row>
    <row r="601" spans="1:19">
      <c r="A601" s="243"/>
      <c r="B601" s="244"/>
      <c r="C601" s="311">
        <v>4</v>
      </c>
      <c r="D601" s="244">
        <v>6</v>
      </c>
      <c r="E601" s="244">
        <v>0</v>
      </c>
      <c r="F601" s="244">
        <v>0</v>
      </c>
      <c r="G601" s="244">
        <v>2</v>
      </c>
      <c r="H601" s="244">
        <v>2</v>
      </c>
      <c r="I601" s="244">
        <v>1</v>
      </c>
      <c r="J601" s="244">
        <v>0</v>
      </c>
      <c r="K601" s="276">
        <v>2</v>
      </c>
      <c r="L601" s="277">
        <v>37.1</v>
      </c>
      <c r="M601" s="249"/>
      <c r="N601" s="250"/>
      <c r="O601" s="250"/>
      <c r="P601" s="250"/>
      <c r="Q601" s="250"/>
      <c r="R601" s="250"/>
      <c r="S601" s="266">
        <f t="shared" si="12"/>
        <v>0.3010299956639812</v>
      </c>
    </row>
    <row r="602" spans="1:19">
      <c r="A602" s="243"/>
      <c r="B602" s="244"/>
      <c r="C602" s="311">
        <v>4</v>
      </c>
      <c r="D602" s="244">
        <v>6</v>
      </c>
      <c r="E602" s="244">
        <v>1</v>
      </c>
      <c r="F602" s="244">
        <v>0</v>
      </c>
      <c r="G602" s="244">
        <v>2</v>
      </c>
      <c r="H602" s="244">
        <v>2</v>
      </c>
      <c r="I602" s="244">
        <v>1</v>
      </c>
      <c r="J602" s="244">
        <v>1</v>
      </c>
      <c r="K602" s="276">
        <v>2</v>
      </c>
      <c r="L602" s="277">
        <v>37.798900000000003</v>
      </c>
      <c r="M602" s="249"/>
      <c r="N602" s="250"/>
      <c r="O602" s="250"/>
      <c r="P602" s="250"/>
      <c r="Q602" s="250"/>
      <c r="R602" s="250"/>
      <c r="S602" s="266">
        <f t="shared" si="12"/>
        <v>0.3010299956639812</v>
      </c>
    </row>
    <row r="603" spans="1:19">
      <c r="A603" s="243"/>
      <c r="B603" s="244"/>
      <c r="C603" s="311">
        <v>6</v>
      </c>
      <c r="D603" s="244">
        <v>6</v>
      </c>
      <c r="E603" s="244">
        <v>1</v>
      </c>
      <c r="F603" s="244">
        <v>0</v>
      </c>
      <c r="G603" s="244">
        <v>2</v>
      </c>
      <c r="H603" s="244">
        <v>2</v>
      </c>
      <c r="I603" s="244">
        <v>1</v>
      </c>
      <c r="J603" s="244">
        <v>1</v>
      </c>
      <c r="K603" s="276">
        <v>3</v>
      </c>
      <c r="L603" s="277">
        <v>38.169600000000003</v>
      </c>
      <c r="M603" s="249"/>
      <c r="N603" s="250"/>
      <c r="O603" s="250"/>
      <c r="P603" s="250"/>
      <c r="Q603" s="250"/>
      <c r="R603" s="250"/>
      <c r="S603" s="266">
        <f t="shared" si="12"/>
        <v>0.47712125471966244</v>
      </c>
    </row>
    <row r="604" spans="1:19">
      <c r="A604" s="243"/>
      <c r="B604" s="244"/>
      <c r="C604" s="311">
        <v>6</v>
      </c>
      <c r="D604" s="244">
        <v>6</v>
      </c>
      <c r="E604" s="244">
        <v>1</v>
      </c>
      <c r="F604" s="244">
        <v>0</v>
      </c>
      <c r="G604" s="244">
        <v>2</v>
      </c>
      <c r="H604" s="244">
        <v>2</v>
      </c>
      <c r="I604" s="244">
        <v>1</v>
      </c>
      <c r="J604" s="244">
        <v>1</v>
      </c>
      <c r="K604" s="276">
        <v>3</v>
      </c>
      <c r="L604" s="277">
        <v>36.798000000000002</v>
      </c>
      <c r="M604" s="249"/>
      <c r="N604" s="250"/>
      <c r="O604" s="250"/>
      <c r="P604" s="250"/>
      <c r="Q604" s="250"/>
      <c r="R604" s="250"/>
      <c r="S604" s="266">
        <f t="shared" si="12"/>
        <v>0.47712125471966244</v>
      </c>
    </row>
    <row r="605" spans="1:19">
      <c r="A605" s="243"/>
      <c r="B605" s="244"/>
      <c r="C605" s="311">
        <v>6</v>
      </c>
      <c r="D605" s="244">
        <v>6</v>
      </c>
      <c r="E605" s="244">
        <v>1</v>
      </c>
      <c r="F605" s="244">
        <v>0</v>
      </c>
      <c r="G605" s="244">
        <v>2</v>
      </c>
      <c r="H605" s="244">
        <v>2</v>
      </c>
      <c r="I605" s="244">
        <v>1</v>
      </c>
      <c r="J605" s="244">
        <v>1</v>
      </c>
      <c r="K605" s="276">
        <v>3</v>
      </c>
      <c r="L605" s="277">
        <v>35.540399999999998</v>
      </c>
      <c r="M605" s="249"/>
      <c r="N605" s="250"/>
      <c r="O605" s="250"/>
      <c r="P605" s="250"/>
      <c r="Q605" s="250"/>
      <c r="R605" s="250"/>
      <c r="S605" s="266">
        <f t="shared" si="12"/>
        <v>0.47712125471966244</v>
      </c>
    </row>
    <row r="606" spans="1:19">
      <c r="A606" s="243"/>
      <c r="B606" s="244"/>
      <c r="C606" s="311">
        <v>6</v>
      </c>
      <c r="D606" s="244">
        <v>6</v>
      </c>
      <c r="E606" s="244">
        <v>0</v>
      </c>
      <c r="F606" s="244">
        <v>0</v>
      </c>
      <c r="G606" s="244">
        <v>2</v>
      </c>
      <c r="H606" s="244">
        <v>2</v>
      </c>
      <c r="I606" s="244">
        <v>1</v>
      </c>
      <c r="J606" s="244">
        <v>1</v>
      </c>
      <c r="K606" s="276">
        <v>3</v>
      </c>
      <c r="L606" s="277">
        <v>35.460599999999999</v>
      </c>
      <c r="M606" s="249"/>
      <c r="N606" s="250"/>
      <c r="O606" s="250"/>
      <c r="P606" s="250"/>
      <c r="Q606" s="250"/>
      <c r="R606" s="250"/>
      <c r="S606" s="266">
        <f t="shared" si="12"/>
        <v>0.47712125471966244</v>
      </c>
    </row>
    <row r="607" spans="1:19">
      <c r="A607" s="243"/>
      <c r="B607" s="244"/>
      <c r="C607" s="311">
        <v>6</v>
      </c>
      <c r="D607" s="244">
        <v>6</v>
      </c>
      <c r="E607" s="244">
        <v>1</v>
      </c>
      <c r="F607" s="244">
        <v>0</v>
      </c>
      <c r="G607" s="244">
        <v>2</v>
      </c>
      <c r="H607" s="244">
        <v>2</v>
      </c>
      <c r="I607" s="244">
        <v>1</v>
      </c>
      <c r="J607" s="244">
        <v>0</v>
      </c>
      <c r="K607" s="276">
        <v>3</v>
      </c>
      <c r="L607" s="277">
        <v>38.299999999999997</v>
      </c>
      <c r="M607" s="249"/>
      <c r="N607" s="250"/>
      <c r="O607" s="250"/>
      <c r="P607" s="250"/>
      <c r="Q607" s="250"/>
      <c r="R607" s="250"/>
      <c r="S607" s="266">
        <f t="shared" si="12"/>
        <v>0.47712125471966244</v>
      </c>
    </row>
    <row r="608" spans="1:19">
      <c r="A608" s="243"/>
      <c r="B608" s="244"/>
      <c r="C608" s="311">
        <v>6</v>
      </c>
      <c r="D608" s="244">
        <v>6</v>
      </c>
      <c r="E608" s="244">
        <v>1</v>
      </c>
      <c r="F608" s="244">
        <v>0</v>
      </c>
      <c r="G608" s="244">
        <v>2</v>
      </c>
      <c r="H608" s="244">
        <v>2</v>
      </c>
      <c r="I608" s="244">
        <v>1</v>
      </c>
      <c r="J608" s="244">
        <v>0</v>
      </c>
      <c r="K608" s="276">
        <v>3.6</v>
      </c>
      <c r="L608" s="277">
        <v>37</v>
      </c>
      <c r="M608" s="249"/>
      <c r="N608" s="250"/>
      <c r="O608" s="250"/>
      <c r="P608" s="250"/>
      <c r="Q608" s="250"/>
      <c r="R608" s="250"/>
      <c r="S608" s="266">
        <f t="shared" si="12"/>
        <v>0.55630250076728727</v>
      </c>
    </row>
    <row r="609" spans="1:19">
      <c r="A609" s="243"/>
      <c r="B609" s="244"/>
      <c r="C609" s="311">
        <v>6</v>
      </c>
      <c r="D609" s="244">
        <v>6</v>
      </c>
      <c r="E609" s="244">
        <v>1</v>
      </c>
      <c r="F609" s="244">
        <v>0</v>
      </c>
      <c r="G609" s="244">
        <v>2</v>
      </c>
      <c r="H609" s="244">
        <v>2</v>
      </c>
      <c r="I609" s="244">
        <v>1</v>
      </c>
      <c r="J609" s="244">
        <v>0</v>
      </c>
      <c r="K609" s="276">
        <v>3</v>
      </c>
      <c r="L609" s="277">
        <v>36.1</v>
      </c>
      <c r="M609" s="249"/>
      <c r="N609" s="250"/>
      <c r="O609" s="250"/>
      <c r="P609" s="250"/>
      <c r="Q609" s="250"/>
      <c r="R609" s="250"/>
      <c r="S609" s="266">
        <f t="shared" si="12"/>
        <v>0.47712125471966244</v>
      </c>
    </row>
    <row r="610" spans="1:19">
      <c r="A610" s="243"/>
      <c r="B610" s="244"/>
      <c r="C610" s="311">
        <v>6</v>
      </c>
      <c r="D610" s="244">
        <v>6</v>
      </c>
      <c r="E610" s="244">
        <v>1</v>
      </c>
      <c r="F610" s="244">
        <v>0</v>
      </c>
      <c r="G610" s="244">
        <v>2</v>
      </c>
      <c r="H610" s="244">
        <v>2</v>
      </c>
      <c r="I610" s="244">
        <v>1</v>
      </c>
      <c r="J610" s="244">
        <v>0</v>
      </c>
      <c r="K610" s="276">
        <v>3.6</v>
      </c>
      <c r="L610" s="277">
        <v>37.200000000000003</v>
      </c>
      <c r="M610" s="249"/>
      <c r="N610" s="250"/>
      <c r="O610" s="250"/>
      <c r="P610" s="250"/>
      <c r="Q610" s="250"/>
      <c r="R610" s="250"/>
      <c r="S610" s="266">
        <f t="shared" si="12"/>
        <v>0.55630250076728727</v>
      </c>
    </row>
    <row r="611" spans="1:19">
      <c r="A611" s="243"/>
      <c r="B611" s="244"/>
      <c r="C611" s="311">
        <v>4</v>
      </c>
      <c r="D611" s="244">
        <v>5</v>
      </c>
      <c r="E611" s="244">
        <v>0</v>
      </c>
      <c r="F611" s="244">
        <v>0</v>
      </c>
      <c r="G611" s="244">
        <v>2</v>
      </c>
      <c r="H611" s="244">
        <v>2</v>
      </c>
      <c r="I611" s="244">
        <v>1</v>
      </c>
      <c r="J611" s="244">
        <v>0</v>
      </c>
      <c r="K611" s="276">
        <v>2</v>
      </c>
      <c r="L611" s="277">
        <v>43.9</v>
      </c>
      <c r="M611" s="249"/>
      <c r="N611" s="250"/>
      <c r="O611" s="250"/>
      <c r="P611" s="250"/>
      <c r="Q611" s="250"/>
      <c r="R611" s="250"/>
      <c r="S611" s="266">
        <f t="shared" si="12"/>
        <v>0.3010299956639812</v>
      </c>
    </row>
    <row r="612" spans="1:19">
      <c r="A612" s="243"/>
      <c r="B612" s="244"/>
      <c r="C612" s="311">
        <v>4</v>
      </c>
      <c r="D612" s="244">
        <v>1</v>
      </c>
      <c r="E612" s="244">
        <v>1</v>
      </c>
      <c r="F612" s="244">
        <v>0</v>
      </c>
      <c r="G612" s="244">
        <v>2</v>
      </c>
      <c r="H612" s="244">
        <v>2</v>
      </c>
      <c r="I612" s="244">
        <v>1</v>
      </c>
      <c r="J612" s="244">
        <v>0</v>
      </c>
      <c r="K612" s="276">
        <v>2</v>
      </c>
      <c r="L612" s="277">
        <v>38</v>
      </c>
      <c r="M612" s="249"/>
      <c r="N612" s="250"/>
      <c r="O612" s="250"/>
      <c r="P612" s="250"/>
      <c r="Q612" s="250"/>
      <c r="R612" s="250"/>
      <c r="S612" s="266">
        <f t="shared" si="12"/>
        <v>0.3010299956639812</v>
      </c>
    </row>
    <row r="613" spans="1:19">
      <c r="A613" s="243"/>
      <c r="B613" s="244"/>
      <c r="C613" s="311">
        <v>4</v>
      </c>
      <c r="D613" s="244">
        <v>1</v>
      </c>
      <c r="E613" s="244">
        <v>1</v>
      </c>
      <c r="F613" s="244">
        <v>0</v>
      </c>
      <c r="G613" s="244">
        <v>2</v>
      </c>
      <c r="H613" s="244">
        <v>2</v>
      </c>
      <c r="I613" s="244">
        <v>1</v>
      </c>
      <c r="J613" s="244">
        <v>0</v>
      </c>
      <c r="K613" s="276">
        <v>2.4</v>
      </c>
      <c r="L613" s="277">
        <v>35.299999999999997</v>
      </c>
      <c r="M613" s="249"/>
      <c r="N613" s="250"/>
      <c r="O613" s="250"/>
      <c r="P613" s="250"/>
      <c r="Q613" s="250"/>
      <c r="R613" s="250"/>
      <c r="S613" s="266">
        <f t="shared" si="12"/>
        <v>0.38021124171160603</v>
      </c>
    </row>
    <row r="614" spans="1:19">
      <c r="A614" s="243"/>
      <c r="B614" s="244"/>
      <c r="C614" s="311">
        <v>4</v>
      </c>
      <c r="D614" s="244">
        <v>5</v>
      </c>
      <c r="E614" s="244">
        <v>0</v>
      </c>
      <c r="F614" s="244">
        <v>0</v>
      </c>
      <c r="G614" s="244">
        <v>2</v>
      </c>
      <c r="H614" s="244">
        <v>2</v>
      </c>
      <c r="I614" s="244">
        <v>1</v>
      </c>
      <c r="J614" s="244">
        <v>0</v>
      </c>
      <c r="K614" s="276">
        <v>2.4</v>
      </c>
      <c r="L614" s="277">
        <v>40.1</v>
      </c>
      <c r="M614" s="249"/>
      <c r="N614" s="250"/>
      <c r="O614" s="250"/>
      <c r="P614" s="250"/>
      <c r="Q614" s="250"/>
      <c r="R614" s="250"/>
      <c r="S614" s="266">
        <f t="shared" si="12"/>
        <v>0.38021124171160603</v>
      </c>
    </row>
    <row r="615" spans="1:19">
      <c r="A615" s="243"/>
      <c r="B615" s="244"/>
      <c r="C615" s="311">
        <v>4</v>
      </c>
      <c r="D615" s="244">
        <v>5</v>
      </c>
      <c r="E615" s="244">
        <v>0</v>
      </c>
      <c r="F615" s="244">
        <v>0</v>
      </c>
      <c r="G615" s="244">
        <v>2</v>
      </c>
      <c r="H615" s="244">
        <v>2</v>
      </c>
      <c r="I615" s="244">
        <v>1</v>
      </c>
      <c r="J615" s="244">
        <v>0</v>
      </c>
      <c r="K615" s="276">
        <v>1.5</v>
      </c>
      <c r="L615" s="277">
        <v>46.2622</v>
      </c>
      <c r="M615" s="249"/>
      <c r="N615" s="250"/>
      <c r="O615" s="250"/>
      <c r="P615" s="250"/>
      <c r="Q615" s="250"/>
      <c r="R615" s="250"/>
      <c r="S615" s="266">
        <f t="shared" si="12"/>
        <v>0.17609125905568124</v>
      </c>
    </row>
    <row r="616" spans="1:19">
      <c r="A616" s="243"/>
      <c r="B616" s="244"/>
      <c r="C616" s="311">
        <v>4</v>
      </c>
      <c r="D616" s="244">
        <v>5</v>
      </c>
      <c r="E616" s="244">
        <v>1</v>
      </c>
      <c r="F616" s="244">
        <v>0</v>
      </c>
      <c r="G616" s="244">
        <v>2</v>
      </c>
      <c r="H616" s="244">
        <v>2</v>
      </c>
      <c r="I616" s="244">
        <v>1</v>
      </c>
      <c r="J616" s="244">
        <v>0</v>
      </c>
      <c r="K616" s="276">
        <v>1.5</v>
      </c>
      <c r="L616" s="277">
        <v>49.3</v>
      </c>
      <c r="M616" s="249"/>
      <c r="N616" s="250"/>
      <c r="O616" s="250"/>
      <c r="P616" s="250"/>
      <c r="Q616" s="250"/>
      <c r="R616" s="250"/>
      <c r="S616" s="266">
        <f t="shared" si="12"/>
        <v>0.17609125905568124</v>
      </c>
    </row>
    <row r="617" spans="1:19">
      <c r="A617" s="243"/>
      <c r="B617" s="244"/>
      <c r="C617" s="311">
        <v>4</v>
      </c>
      <c r="D617" s="244">
        <v>5</v>
      </c>
      <c r="E617" s="244">
        <v>1</v>
      </c>
      <c r="F617" s="244">
        <v>0</v>
      </c>
      <c r="G617" s="244">
        <v>2</v>
      </c>
      <c r="H617" s="244">
        <v>2</v>
      </c>
      <c r="I617" s="244">
        <v>1</v>
      </c>
      <c r="J617" s="244">
        <v>0</v>
      </c>
      <c r="K617" s="276">
        <v>1.5</v>
      </c>
      <c r="L617" s="277">
        <v>47.4</v>
      </c>
      <c r="M617" s="249"/>
      <c r="N617" s="250"/>
      <c r="O617" s="250"/>
      <c r="P617" s="250"/>
      <c r="Q617" s="250"/>
      <c r="R617" s="250"/>
      <c r="S617" s="266">
        <f t="shared" si="12"/>
        <v>0.17609125905568124</v>
      </c>
    </row>
    <row r="618" spans="1:19">
      <c r="A618" s="243"/>
      <c r="B618" s="244"/>
      <c r="C618" s="311">
        <v>4</v>
      </c>
      <c r="D618" s="244">
        <v>4</v>
      </c>
      <c r="E618" s="244">
        <v>1</v>
      </c>
      <c r="F618" s="244">
        <v>0</v>
      </c>
      <c r="G618" s="244">
        <v>2</v>
      </c>
      <c r="H618" s="244">
        <v>2</v>
      </c>
      <c r="I618" s="244">
        <v>1</v>
      </c>
      <c r="J618" s="244">
        <v>0</v>
      </c>
      <c r="K618" s="276">
        <v>2</v>
      </c>
      <c r="L618" s="277">
        <v>42.6</v>
      </c>
      <c r="M618" s="249"/>
      <c r="N618" s="250"/>
      <c r="O618" s="250"/>
      <c r="P618" s="250"/>
      <c r="Q618" s="250"/>
      <c r="R618" s="250"/>
      <c r="S618" s="266">
        <f t="shared" si="12"/>
        <v>0.3010299956639812</v>
      </c>
    </row>
    <row r="619" spans="1:19">
      <c r="A619" s="243"/>
      <c r="B619" s="244"/>
      <c r="C619" s="311">
        <v>4</v>
      </c>
      <c r="D619" s="244">
        <v>5</v>
      </c>
      <c r="E619" s="244">
        <v>0</v>
      </c>
      <c r="F619" s="244">
        <v>0</v>
      </c>
      <c r="G619" s="244">
        <v>2</v>
      </c>
      <c r="H619" s="244">
        <v>2</v>
      </c>
      <c r="I619" s="244">
        <v>1</v>
      </c>
      <c r="J619" s="244">
        <v>0</v>
      </c>
      <c r="K619" s="276">
        <v>2</v>
      </c>
      <c r="L619" s="277">
        <v>43.5</v>
      </c>
      <c r="M619" s="249"/>
      <c r="N619" s="250"/>
      <c r="O619" s="250"/>
      <c r="P619" s="250"/>
      <c r="Q619" s="250"/>
      <c r="R619" s="250"/>
      <c r="S619" s="266">
        <f t="shared" si="12"/>
        <v>0.3010299956639812</v>
      </c>
    </row>
    <row r="620" spans="1:19">
      <c r="A620" s="243"/>
      <c r="B620" s="244"/>
      <c r="C620" s="311">
        <v>6</v>
      </c>
      <c r="D620" s="244">
        <v>5</v>
      </c>
      <c r="E620" s="244">
        <v>1</v>
      </c>
      <c r="F620" s="244">
        <v>0</v>
      </c>
      <c r="G620" s="244">
        <v>2</v>
      </c>
      <c r="H620" s="244">
        <v>2</v>
      </c>
      <c r="I620" s="244">
        <v>1</v>
      </c>
      <c r="J620" s="244">
        <v>0</v>
      </c>
      <c r="K620" s="276">
        <v>3.5</v>
      </c>
      <c r="L620" s="277">
        <v>33.299999999999997</v>
      </c>
      <c r="M620" s="249"/>
      <c r="N620" s="250"/>
      <c r="O620" s="250"/>
      <c r="P620" s="250"/>
      <c r="Q620" s="250"/>
      <c r="R620" s="250"/>
      <c r="S620" s="266">
        <f t="shared" si="12"/>
        <v>0.54406804435027567</v>
      </c>
    </row>
    <row r="621" spans="1:19">
      <c r="A621" s="243"/>
      <c r="B621" s="244"/>
      <c r="C621" s="311">
        <v>6</v>
      </c>
      <c r="D621" s="244">
        <v>5</v>
      </c>
      <c r="E621" s="244">
        <v>1</v>
      </c>
      <c r="F621" s="244">
        <v>0</v>
      </c>
      <c r="G621" s="244">
        <v>2</v>
      </c>
      <c r="H621" s="244">
        <v>2</v>
      </c>
      <c r="I621" s="244">
        <v>1</v>
      </c>
      <c r="J621" s="244">
        <v>0</v>
      </c>
      <c r="K621" s="276">
        <v>3.5</v>
      </c>
      <c r="L621" s="277">
        <v>32.348999999999997</v>
      </c>
      <c r="M621" s="249"/>
      <c r="N621" s="250"/>
      <c r="O621" s="250"/>
      <c r="P621" s="250"/>
      <c r="Q621" s="250"/>
      <c r="R621" s="250"/>
      <c r="S621" s="266">
        <f t="shared" si="12"/>
        <v>0.54406804435027567</v>
      </c>
    </row>
    <row r="622" spans="1:19">
      <c r="A622" s="243"/>
      <c r="B622" s="244"/>
      <c r="C622" s="311">
        <v>4</v>
      </c>
      <c r="D622" s="244">
        <v>4</v>
      </c>
      <c r="E622" s="244">
        <v>1</v>
      </c>
      <c r="F622" s="244">
        <v>0</v>
      </c>
      <c r="G622" s="244">
        <v>2</v>
      </c>
      <c r="H622" s="244">
        <v>2</v>
      </c>
      <c r="I622" s="244">
        <v>1</v>
      </c>
      <c r="J622" s="244">
        <v>0</v>
      </c>
      <c r="K622" s="276">
        <v>1.6</v>
      </c>
      <c r="L622" s="277">
        <v>43.5</v>
      </c>
      <c r="M622" s="249"/>
      <c r="N622" s="250"/>
      <c r="O622" s="250"/>
      <c r="P622" s="250"/>
      <c r="Q622" s="250"/>
      <c r="R622" s="250"/>
      <c r="S622" s="266">
        <f t="shared" si="12"/>
        <v>0.20411998265592479</v>
      </c>
    </row>
    <row r="623" spans="1:19">
      <c r="A623" s="243"/>
      <c r="B623" s="244"/>
      <c r="C623" s="311">
        <v>4</v>
      </c>
      <c r="D623" s="244">
        <v>5</v>
      </c>
      <c r="E623" s="244">
        <v>0</v>
      </c>
      <c r="F623" s="244">
        <v>0</v>
      </c>
      <c r="G623" s="244">
        <v>2</v>
      </c>
      <c r="H623" s="244">
        <v>2</v>
      </c>
      <c r="I623" s="244">
        <v>1</v>
      </c>
      <c r="J623" s="244">
        <v>0</v>
      </c>
      <c r="K623" s="276">
        <v>1.6</v>
      </c>
      <c r="L623" s="277">
        <v>44.2</v>
      </c>
      <c r="M623" s="249"/>
      <c r="N623" s="250"/>
      <c r="O623" s="250"/>
      <c r="P623" s="250"/>
      <c r="Q623" s="250"/>
      <c r="R623" s="250"/>
      <c r="S623" s="266">
        <f t="shared" si="12"/>
        <v>0.20411998265592479</v>
      </c>
    </row>
    <row r="624" spans="1:19">
      <c r="A624" s="243"/>
      <c r="B624" s="244"/>
      <c r="C624" s="311">
        <v>4</v>
      </c>
      <c r="D624" s="244">
        <v>4</v>
      </c>
      <c r="E624" s="244">
        <v>1</v>
      </c>
      <c r="F624" s="244">
        <v>1</v>
      </c>
      <c r="G624" s="244">
        <v>2</v>
      </c>
      <c r="H624" s="244">
        <v>2</v>
      </c>
      <c r="I624" s="244">
        <v>1</v>
      </c>
      <c r="J624" s="244">
        <v>0</v>
      </c>
      <c r="K624" s="276">
        <v>2</v>
      </c>
      <c r="L624" s="277">
        <v>41.8</v>
      </c>
      <c r="M624" s="249"/>
      <c r="N624" s="250"/>
      <c r="O624" s="250"/>
      <c r="P624" s="250"/>
      <c r="Q624" s="250"/>
      <c r="R624" s="250"/>
      <c r="S624" s="266">
        <f t="shared" si="12"/>
        <v>0.3010299956639812</v>
      </c>
    </row>
    <row r="625" spans="1:19">
      <c r="A625" s="243"/>
      <c r="B625" s="244"/>
      <c r="C625" s="311">
        <v>4</v>
      </c>
      <c r="D625" s="244">
        <v>5</v>
      </c>
      <c r="E625" s="244">
        <v>0</v>
      </c>
      <c r="F625" s="244">
        <v>0</v>
      </c>
      <c r="G625" s="244">
        <v>2</v>
      </c>
      <c r="H625" s="244">
        <v>2</v>
      </c>
      <c r="I625" s="244">
        <v>1</v>
      </c>
      <c r="J625" s="244">
        <v>0</v>
      </c>
      <c r="K625" s="276">
        <v>2</v>
      </c>
      <c r="L625" s="277">
        <v>42.8</v>
      </c>
      <c r="M625" s="249"/>
      <c r="N625" s="250"/>
      <c r="O625" s="250"/>
      <c r="P625" s="250"/>
      <c r="Q625" s="250"/>
      <c r="R625" s="250"/>
      <c r="S625" s="266">
        <f t="shared" si="12"/>
        <v>0.3010299956639812</v>
      </c>
    </row>
    <row r="626" spans="1:19">
      <c r="A626" s="243"/>
      <c r="B626" s="244"/>
      <c r="C626" s="311">
        <v>4</v>
      </c>
      <c r="D626" s="244">
        <v>6</v>
      </c>
      <c r="E626" s="244">
        <v>1</v>
      </c>
      <c r="F626" s="244">
        <v>0</v>
      </c>
      <c r="G626" s="244">
        <v>2</v>
      </c>
      <c r="H626" s="244">
        <v>2</v>
      </c>
      <c r="I626" s="244">
        <v>1</v>
      </c>
      <c r="J626" s="244">
        <v>0</v>
      </c>
      <c r="K626" s="276">
        <v>2</v>
      </c>
      <c r="L626" s="277">
        <v>34.700000000000003</v>
      </c>
      <c r="M626" s="249"/>
      <c r="N626" s="250"/>
      <c r="O626" s="250"/>
      <c r="P626" s="250"/>
      <c r="Q626" s="250"/>
      <c r="R626" s="250"/>
      <c r="S626" s="266">
        <f t="shared" si="12"/>
        <v>0.3010299956639812</v>
      </c>
    </row>
    <row r="627" spans="1:19">
      <c r="A627" s="243"/>
      <c r="B627" s="244"/>
      <c r="C627" s="311">
        <v>4</v>
      </c>
      <c r="D627" s="244">
        <v>5</v>
      </c>
      <c r="E627" s="244">
        <v>0</v>
      </c>
      <c r="F627" s="244">
        <v>0</v>
      </c>
      <c r="G627" s="244">
        <v>2</v>
      </c>
      <c r="H627" s="244">
        <v>2</v>
      </c>
      <c r="I627" s="244">
        <v>1</v>
      </c>
      <c r="J627" s="244">
        <v>0</v>
      </c>
      <c r="K627" s="276">
        <v>2.4</v>
      </c>
      <c r="L627" s="277">
        <v>37.221800000000002</v>
      </c>
      <c r="M627" s="249"/>
      <c r="N627" s="250"/>
      <c r="O627" s="250"/>
      <c r="P627" s="250"/>
      <c r="Q627" s="250"/>
      <c r="R627" s="250"/>
      <c r="S627" s="266">
        <f t="shared" si="12"/>
        <v>0.38021124171160603</v>
      </c>
    </row>
    <row r="628" spans="1:19">
      <c r="A628" s="243"/>
      <c r="B628" s="244"/>
      <c r="C628" s="311">
        <v>4</v>
      </c>
      <c r="D628" s="244">
        <v>1</v>
      </c>
      <c r="E628" s="244">
        <v>0</v>
      </c>
      <c r="F628" s="244">
        <v>0</v>
      </c>
      <c r="G628" s="244">
        <v>2</v>
      </c>
      <c r="H628" s="244">
        <v>2</v>
      </c>
      <c r="I628" s="244">
        <v>1</v>
      </c>
      <c r="J628" s="244">
        <v>0</v>
      </c>
      <c r="K628" s="276">
        <v>2.4</v>
      </c>
      <c r="L628" s="277">
        <v>37.491100000000003</v>
      </c>
      <c r="M628" s="249"/>
      <c r="N628" s="250"/>
      <c r="O628" s="250"/>
      <c r="P628" s="250"/>
      <c r="Q628" s="250"/>
      <c r="R628" s="250"/>
      <c r="S628" s="266">
        <f t="shared" si="12"/>
        <v>0.38021124171160603</v>
      </c>
    </row>
    <row r="629" spans="1:19">
      <c r="A629" s="243"/>
      <c r="B629" s="244"/>
      <c r="C629" s="311">
        <v>4</v>
      </c>
      <c r="D629" s="244">
        <v>6</v>
      </c>
      <c r="E629" s="244">
        <v>0</v>
      </c>
      <c r="F629" s="244">
        <v>0</v>
      </c>
      <c r="G629" s="244">
        <v>2</v>
      </c>
      <c r="H629" s="244">
        <v>2</v>
      </c>
      <c r="I629" s="244">
        <v>1</v>
      </c>
      <c r="J629" s="244">
        <v>0</v>
      </c>
      <c r="K629" s="276">
        <v>1.8</v>
      </c>
      <c r="L629" s="277">
        <v>41.798999999999999</v>
      </c>
      <c r="M629" s="249"/>
      <c r="N629" s="250"/>
      <c r="O629" s="250"/>
      <c r="P629" s="250"/>
      <c r="Q629" s="250"/>
      <c r="R629" s="250"/>
      <c r="S629" s="266">
        <f t="shared" si="12"/>
        <v>0.25527250510330607</v>
      </c>
    </row>
    <row r="630" spans="1:19">
      <c r="A630" s="243"/>
      <c r="B630" s="244"/>
      <c r="C630" s="311">
        <v>4</v>
      </c>
      <c r="D630" s="244">
        <v>1</v>
      </c>
      <c r="E630" s="244">
        <v>1</v>
      </c>
      <c r="F630" s="244">
        <v>0</v>
      </c>
      <c r="G630" s="244">
        <v>2</v>
      </c>
      <c r="H630" s="244">
        <v>2</v>
      </c>
      <c r="I630" s="244">
        <v>1</v>
      </c>
      <c r="J630" s="244">
        <v>0</v>
      </c>
      <c r="K630" s="276">
        <v>1.8</v>
      </c>
      <c r="L630" s="277">
        <v>43.260899999999999</v>
      </c>
      <c r="M630" s="249"/>
      <c r="N630" s="250"/>
      <c r="O630" s="250"/>
      <c r="P630" s="250"/>
      <c r="Q630" s="250"/>
      <c r="R630" s="250"/>
      <c r="S630" s="266">
        <f t="shared" si="12"/>
        <v>0.25527250510330607</v>
      </c>
    </row>
    <row r="631" spans="1:19">
      <c r="A631" s="243"/>
      <c r="B631" s="244"/>
      <c r="C631" s="311">
        <v>4</v>
      </c>
      <c r="D631" s="244">
        <v>4</v>
      </c>
      <c r="E631" s="244">
        <v>1</v>
      </c>
      <c r="F631" s="244">
        <v>0</v>
      </c>
      <c r="G631" s="244">
        <v>2</v>
      </c>
      <c r="H631" s="244">
        <v>2</v>
      </c>
      <c r="I631" s="244">
        <v>1</v>
      </c>
      <c r="J631" s="244">
        <v>0</v>
      </c>
      <c r="K631" s="276">
        <v>1.8</v>
      </c>
      <c r="L631" s="277">
        <v>43.7</v>
      </c>
      <c r="M631" s="249"/>
      <c r="N631" s="250"/>
      <c r="O631" s="250"/>
      <c r="P631" s="250"/>
      <c r="Q631" s="250"/>
      <c r="R631" s="250"/>
      <c r="S631" s="266">
        <f t="shared" si="12"/>
        <v>0.25527250510330607</v>
      </c>
    </row>
    <row r="632" spans="1:19">
      <c r="A632" s="243"/>
      <c r="B632" s="244"/>
      <c r="C632" s="311">
        <v>4</v>
      </c>
      <c r="D632" s="244">
        <v>5</v>
      </c>
      <c r="E632" s="244">
        <v>0</v>
      </c>
      <c r="F632" s="244">
        <v>0</v>
      </c>
      <c r="G632" s="244">
        <v>2</v>
      </c>
      <c r="H632" s="244">
        <v>2</v>
      </c>
      <c r="I632" s="244">
        <v>1</v>
      </c>
      <c r="J632" s="244">
        <v>0</v>
      </c>
      <c r="K632" s="276">
        <v>1.8</v>
      </c>
      <c r="L632" s="277">
        <v>44.8</v>
      </c>
      <c r="M632" s="249"/>
      <c r="N632" s="250"/>
      <c r="O632" s="250"/>
      <c r="P632" s="250"/>
      <c r="Q632" s="250"/>
      <c r="R632" s="250"/>
      <c r="S632" s="266">
        <f t="shared" si="12"/>
        <v>0.25527250510330607</v>
      </c>
    </row>
    <row r="633" spans="1:19">
      <c r="A633" s="243"/>
      <c r="B633" s="244"/>
      <c r="C633" s="311">
        <v>4</v>
      </c>
      <c r="D633" s="244">
        <v>5</v>
      </c>
      <c r="E633" s="244">
        <v>1</v>
      </c>
      <c r="F633" s="244">
        <v>0</v>
      </c>
      <c r="G633" s="244">
        <v>2</v>
      </c>
      <c r="H633" s="244">
        <v>2</v>
      </c>
      <c r="I633" s="244">
        <v>1</v>
      </c>
      <c r="J633" s="244">
        <v>0</v>
      </c>
      <c r="K633" s="276">
        <v>2.4</v>
      </c>
      <c r="L633" s="277">
        <v>40</v>
      </c>
      <c r="M633" s="249"/>
      <c r="N633" s="250"/>
      <c r="O633" s="250"/>
      <c r="P633" s="250"/>
      <c r="Q633" s="250"/>
      <c r="R633" s="250"/>
      <c r="S633" s="266">
        <f t="shared" si="12"/>
        <v>0.38021124171160603</v>
      </c>
    </row>
    <row r="634" spans="1:19">
      <c r="A634" s="243"/>
      <c r="B634" s="244"/>
      <c r="C634" s="311">
        <v>4</v>
      </c>
      <c r="D634" s="244">
        <v>5</v>
      </c>
      <c r="E634" s="244">
        <v>0</v>
      </c>
      <c r="F634" s="244">
        <v>0</v>
      </c>
      <c r="G634" s="244">
        <v>2</v>
      </c>
      <c r="H634" s="244">
        <v>2</v>
      </c>
      <c r="I634" s="244">
        <v>1</v>
      </c>
      <c r="J634" s="244">
        <v>0</v>
      </c>
      <c r="K634" s="276">
        <v>2.4</v>
      </c>
      <c r="L634" s="277">
        <v>38.6</v>
      </c>
      <c r="M634" s="249"/>
      <c r="N634" s="250"/>
      <c r="O634" s="250"/>
      <c r="P634" s="250"/>
      <c r="Q634" s="250"/>
      <c r="R634" s="250"/>
      <c r="S634" s="266">
        <f t="shared" si="12"/>
        <v>0.38021124171160603</v>
      </c>
    </row>
    <row r="635" spans="1:19">
      <c r="A635" s="243"/>
      <c r="B635" s="244"/>
      <c r="C635" s="311">
        <v>4</v>
      </c>
      <c r="D635" s="244">
        <v>4</v>
      </c>
      <c r="E635" s="244">
        <v>1</v>
      </c>
      <c r="F635" s="244">
        <v>0</v>
      </c>
      <c r="G635" s="244">
        <v>2</v>
      </c>
      <c r="H635" s="244">
        <v>2</v>
      </c>
      <c r="I635" s="244">
        <v>1</v>
      </c>
      <c r="J635" s="244">
        <v>0</v>
      </c>
      <c r="K635" s="276">
        <v>2.4</v>
      </c>
      <c r="L635" s="277">
        <v>35.587699999999998</v>
      </c>
      <c r="M635" s="249"/>
      <c r="N635" s="250"/>
      <c r="O635" s="250"/>
      <c r="P635" s="250"/>
      <c r="Q635" s="250"/>
      <c r="R635" s="250"/>
      <c r="S635" s="266">
        <f t="shared" si="12"/>
        <v>0.38021124171160603</v>
      </c>
    </row>
    <row r="636" spans="1:19">
      <c r="A636" s="243"/>
      <c r="B636" s="244"/>
      <c r="C636" s="311">
        <v>4</v>
      </c>
      <c r="D636" s="244">
        <v>5</v>
      </c>
      <c r="E636" s="244">
        <v>1</v>
      </c>
      <c r="F636" s="244">
        <v>0</v>
      </c>
      <c r="G636" s="244">
        <v>2</v>
      </c>
      <c r="H636" s="244">
        <v>2</v>
      </c>
      <c r="I636" s="244">
        <v>0</v>
      </c>
      <c r="J636" s="244">
        <v>0</v>
      </c>
      <c r="K636" s="276">
        <v>2</v>
      </c>
      <c r="L636" s="277">
        <v>37.5</v>
      </c>
      <c r="M636" s="249"/>
      <c r="N636" s="250"/>
      <c r="O636" s="250"/>
      <c r="P636" s="250"/>
      <c r="Q636" s="250"/>
      <c r="R636" s="250"/>
      <c r="S636" s="266">
        <f t="shared" si="12"/>
        <v>0.3010299956639812</v>
      </c>
    </row>
    <row r="637" spans="1:19">
      <c r="A637" s="243"/>
      <c r="B637" s="244"/>
      <c r="C637" s="311">
        <v>4</v>
      </c>
      <c r="D637" s="244">
        <v>6</v>
      </c>
      <c r="E637" s="244">
        <v>0</v>
      </c>
      <c r="F637" s="244">
        <v>0</v>
      </c>
      <c r="G637" s="244">
        <v>2</v>
      </c>
      <c r="H637" s="244">
        <v>2</v>
      </c>
      <c r="I637" s="244">
        <v>0</v>
      </c>
      <c r="J637" s="244">
        <v>0</v>
      </c>
      <c r="K637" s="276">
        <v>2</v>
      </c>
      <c r="L637" s="277">
        <v>43.1</v>
      </c>
      <c r="M637" s="249"/>
      <c r="N637" s="250"/>
      <c r="O637" s="250"/>
      <c r="P637" s="250"/>
      <c r="Q637" s="250"/>
      <c r="R637" s="250"/>
      <c r="S637" s="266">
        <f t="shared" si="12"/>
        <v>0.3010299956639812</v>
      </c>
    </row>
    <row r="638" spans="1:19">
      <c r="A638" s="243"/>
      <c r="B638" s="244"/>
      <c r="C638" s="311">
        <v>4</v>
      </c>
      <c r="D638" s="244">
        <v>6</v>
      </c>
      <c r="E638" s="244">
        <v>0</v>
      </c>
      <c r="F638" s="244">
        <v>0</v>
      </c>
      <c r="G638" s="244">
        <v>2</v>
      </c>
      <c r="H638" s="244">
        <v>2</v>
      </c>
      <c r="I638" s="244">
        <v>0</v>
      </c>
      <c r="J638" s="244">
        <v>0</v>
      </c>
      <c r="K638" s="276">
        <v>2</v>
      </c>
      <c r="L638" s="277">
        <v>41.0456</v>
      </c>
      <c r="M638" s="249"/>
      <c r="N638" s="250"/>
      <c r="O638" s="250"/>
      <c r="P638" s="250"/>
      <c r="Q638" s="250"/>
      <c r="R638" s="250"/>
      <c r="S638" s="266">
        <f t="shared" si="12"/>
        <v>0.3010299956639812</v>
      </c>
    </row>
    <row r="639" spans="1:19">
      <c r="A639" s="243"/>
      <c r="B639" s="244"/>
      <c r="C639" s="311">
        <v>4</v>
      </c>
      <c r="D639" s="244">
        <v>6</v>
      </c>
      <c r="E639" s="244">
        <v>1</v>
      </c>
      <c r="F639" s="244">
        <v>0</v>
      </c>
      <c r="G639" s="244">
        <v>2</v>
      </c>
      <c r="H639" s="244">
        <v>2</v>
      </c>
      <c r="I639" s="244">
        <v>0</v>
      </c>
      <c r="J639" s="244">
        <v>0</v>
      </c>
      <c r="K639" s="276">
        <v>2</v>
      </c>
      <c r="L639" s="277">
        <v>38.462699999999998</v>
      </c>
      <c r="M639" s="249"/>
      <c r="N639" s="250"/>
      <c r="O639" s="250"/>
      <c r="P639" s="250"/>
      <c r="Q639" s="250"/>
      <c r="R639" s="250"/>
      <c r="S639" s="266">
        <f t="shared" si="12"/>
        <v>0.3010299956639812</v>
      </c>
    </row>
    <row r="640" spans="1:19">
      <c r="A640" s="243"/>
      <c r="B640" s="244"/>
      <c r="C640" s="311">
        <v>4</v>
      </c>
      <c r="D640" s="244">
        <v>5</v>
      </c>
      <c r="E640" s="244">
        <v>1</v>
      </c>
      <c r="F640" s="244">
        <v>0</v>
      </c>
      <c r="G640" s="244">
        <v>2</v>
      </c>
      <c r="H640" s="244">
        <v>2</v>
      </c>
      <c r="I640" s="244">
        <v>0</v>
      </c>
      <c r="J640" s="244">
        <v>0</v>
      </c>
      <c r="K640" s="276">
        <v>2</v>
      </c>
      <c r="L640" s="277">
        <v>38.200000000000003</v>
      </c>
      <c r="M640" s="249"/>
      <c r="N640" s="250"/>
      <c r="O640" s="250"/>
      <c r="P640" s="250"/>
      <c r="Q640" s="250"/>
      <c r="R640" s="250"/>
      <c r="S640" s="266">
        <f t="shared" si="12"/>
        <v>0.3010299956639812</v>
      </c>
    </row>
    <row r="641" spans="1:19">
      <c r="A641" s="243"/>
      <c r="B641" s="244"/>
      <c r="C641" s="311">
        <v>4</v>
      </c>
      <c r="D641" s="244">
        <v>5</v>
      </c>
      <c r="E641" s="244">
        <v>0</v>
      </c>
      <c r="F641" s="244">
        <v>0</v>
      </c>
      <c r="G641" s="244">
        <v>2</v>
      </c>
      <c r="H641" s="244">
        <v>2</v>
      </c>
      <c r="I641" s="244">
        <v>0</v>
      </c>
      <c r="J641" s="244">
        <v>1</v>
      </c>
      <c r="K641" s="276">
        <v>2.5</v>
      </c>
      <c r="L641" s="277">
        <v>37.070999999999998</v>
      </c>
      <c r="M641" s="249"/>
      <c r="N641" s="250"/>
      <c r="O641" s="250"/>
      <c r="P641" s="250"/>
      <c r="Q641" s="250"/>
      <c r="R641" s="250"/>
      <c r="S641" s="266">
        <f t="shared" si="12"/>
        <v>0.3979400086720376</v>
      </c>
    </row>
    <row r="642" spans="1:19">
      <c r="A642" s="243"/>
      <c r="B642" s="244"/>
      <c r="C642" s="311">
        <v>4</v>
      </c>
      <c r="D642" s="244">
        <v>4</v>
      </c>
      <c r="E642" s="244">
        <v>1</v>
      </c>
      <c r="F642" s="244">
        <v>0</v>
      </c>
      <c r="G642" s="244">
        <v>2</v>
      </c>
      <c r="H642" s="244">
        <v>2</v>
      </c>
      <c r="I642" s="244">
        <v>0</v>
      </c>
      <c r="J642" s="244">
        <v>1</v>
      </c>
      <c r="K642" s="276">
        <v>2.5</v>
      </c>
      <c r="L642" s="277">
        <v>35.922600000000003</v>
      </c>
      <c r="M642" s="249"/>
      <c r="N642" s="250"/>
      <c r="O642" s="250"/>
      <c r="P642" s="250"/>
      <c r="Q642" s="250"/>
      <c r="R642" s="250"/>
      <c r="S642" s="266">
        <f t="shared" si="12"/>
        <v>0.3979400086720376</v>
      </c>
    </row>
    <row r="643" spans="1:19">
      <c r="A643" s="243"/>
      <c r="B643" s="244"/>
      <c r="C643" s="311">
        <v>4</v>
      </c>
      <c r="D643" s="244">
        <v>5</v>
      </c>
      <c r="E643" s="244">
        <v>0</v>
      </c>
      <c r="F643" s="244">
        <v>0</v>
      </c>
      <c r="G643" s="244">
        <v>2</v>
      </c>
      <c r="H643" s="244">
        <v>2</v>
      </c>
      <c r="I643" s="244">
        <v>1</v>
      </c>
      <c r="J643" s="244">
        <v>0</v>
      </c>
      <c r="K643" s="276">
        <v>2.5</v>
      </c>
      <c r="L643" s="277">
        <v>34.143500000000003</v>
      </c>
      <c r="M643" s="249"/>
      <c r="N643" s="250"/>
      <c r="O643" s="250"/>
      <c r="P643" s="250"/>
      <c r="Q643" s="250"/>
      <c r="R643" s="250"/>
      <c r="S643" s="266">
        <f t="shared" si="12"/>
        <v>0.3979400086720376</v>
      </c>
    </row>
    <row r="644" spans="1:19">
      <c r="A644" s="243"/>
      <c r="B644" s="244"/>
      <c r="C644" s="311">
        <v>4</v>
      </c>
      <c r="D644" s="244">
        <v>4</v>
      </c>
      <c r="E644" s="244">
        <v>1</v>
      </c>
      <c r="F644" s="244">
        <v>0</v>
      </c>
      <c r="G644" s="244">
        <v>2</v>
      </c>
      <c r="H644" s="244">
        <v>2</v>
      </c>
      <c r="I644" s="244">
        <v>1</v>
      </c>
      <c r="J644" s="244">
        <v>0</v>
      </c>
      <c r="K644" s="276">
        <v>2.5</v>
      </c>
      <c r="L644" s="277">
        <v>32.910299999999999</v>
      </c>
      <c r="M644" s="249"/>
      <c r="N644" s="250"/>
      <c r="O644" s="250"/>
      <c r="P644" s="250"/>
      <c r="Q644" s="250"/>
      <c r="R644" s="250"/>
      <c r="S644" s="266">
        <f t="shared" si="12"/>
        <v>0.3979400086720376</v>
      </c>
    </row>
    <row r="645" spans="1:19">
      <c r="A645" s="243"/>
      <c r="B645" s="244"/>
      <c r="C645" s="311">
        <v>4</v>
      </c>
      <c r="D645" s="244">
        <v>6</v>
      </c>
      <c r="E645" s="244">
        <v>0</v>
      </c>
      <c r="F645" s="244">
        <v>0</v>
      </c>
      <c r="G645" s="244">
        <v>2</v>
      </c>
      <c r="H645" s="244">
        <v>2</v>
      </c>
      <c r="I645" s="244">
        <v>1</v>
      </c>
      <c r="J645" s="244">
        <v>0</v>
      </c>
      <c r="K645" s="276">
        <v>2.5</v>
      </c>
      <c r="L645" s="277">
        <v>31.8</v>
      </c>
      <c r="M645" s="249"/>
      <c r="N645" s="250"/>
      <c r="O645" s="250"/>
      <c r="P645" s="250"/>
      <c r="Q645" s="250"/>
      <c r="R645" s="250"/>
      <c r="S645" s="266">
        <f t="shared" si="12"/>
        <v>0.3979400086720376</v>
      </c>
    </row>
    <row r="646" spans="1:19">
      <c r="A646" s="243"/>
      <c r="B646" s="244"/>
      <c r="C646" s="311">
        <v>4</v>
      </c>
      <c r="D646" s="244">
        <v>6</v>
      </c>
      <c r="E646" s="244">
        <v>0</v>
      </c>
      <c r="F646" s="244">
        <v>0</v>
      </c>
      <c r="G646" s="244">
        <v>2</v>
      </c>
      <c r="H646" s="244">
        <v>2</v>
      </c>
      <c r="I646" s="244">
        <v>1</v>
      </c>
      <c r="J646" s="244">
        <v>0</v>
      </c>
      <c r="K646" s="276">
        <v>2</v>
      </c>
      <c r="L646" s="277">
        <v>42.3461</v>
      </c>
      <c r="M646" s="249"/>
      <c r="N646" s="250"/>
      <c r="O646" s="250"/>
      <c r="P646" s="250"/>
      <c r="Q646" s="250"/>
      <c r="R646" s="250"/>
      <c r="S646" s="266">
        <f t="shared" si="12"/>
        <v>0.3010299956639812</v>
      </c>
    </row>
    <row r="647" spans="1:19">
      <c r="A647" s="243"/>
      <c r="B647" s="244"/>
      <c r="C647" s="311">
        <v>4</v>
      </c>
      <c r="D647" s="244">
        <v>1</v>
      </c>
      <c r="E647" s="244">
        <v>1</v>
      </c>
      <c r="F647" s="244">
        <v>0</v>
      </c>
      <c r="G647" s="244">
        <v>2</v>
      </c>
      <c r="H647" s="244">
        <v>2</v>
      </c>
      <c r="I647" s="244">
        <v>1</v>
      </c>
      <c r="J647" s="244">
        <v>0</v>
      </c>
      <c r="K647" s="276">
        <v>2</v>
      </c>
      <c r="L647" s="277">
        <v>41.566099999999999</v>
      </c>
      <c r="M647" s="249"/>
      <c r="N647" s="250"/>
      <c r="O647" s="250"/>
      <c r="P647" s="250"/>
      <c r="Q647" s="250"/>
      <c r="R647" s="250"/>
      <c r="S647" s="266">
        <f t="shared" si="12"/>
        <v>0.3010299956639812</v>
      </c>
    </row>
    <row r="648" spans="1:19">
      <c r="A648" s="243"/>
      <c r="B648" s="244"/>
      <c r="C648" s="311">
        <v>4</v>
      </c>
      <c r="D648" s="244">
        <v>6</v>
      </c>
      <c r="E648" s="244">
        <v>0</v>
      </c>
      <c r="F648" s="244">
        <v>0</v>
      </c>
      <c r="G648" s="244">
        <v>2</v>
      </c>
      <c r="H648" s="244">
        <v>2</v>
      </c>
      <c r="I648" s="244">
        <v>1</v>
      </c>
      <c r="J648" s="244">
        <v>0</v>
      </c>
      <c r="K648" s="276">
        <v>2</v>
      </c>
      <c r="L648" s="277">
        <v>41.707799999999999</v>
      </c>
      <c r="M648" s="249"/>
      <c r="N648" s="250"/>
      <c r="O648" s="250"/>
      <c r="P648" s="250"/>
      <c r="Q648" s="250"/>
      <c r="R648" s="250"/>
      <c r="S648" s="266">
        <f t="shared" si="12"/>
        <v>0.3010299956639812</v>
      </c>
    </row>
    <row r="649" spans="1:19">
      <c r="A649" s="243"/>
      <c r="B649" s="244"/>
      <c r="C649" s="311">
        <v>4</v>
      </c>
      <c r="D649" s="244">
        <v>1</v>
      </c>
      <c r="E649" s="244">
        <v>1</v>
      </c>
      <c r="F649" s="244">
        <v>0</v>
      </c>
      <c r="G649" s="244">
        <v>2</v>
      </c>
      <c r="H649" s="244">
        <v>2</v>
      </c>
      <c r="I649" s="244">
        <v>1</v>
      </c>
      <c r="J649" s="244">
        <v>0</v>
      </c>
      <c r="K649" s="276">
        <v>2</v>
      </c>
      <c r="L649" s="277">
        <v>40.234499999999997</v>
      </c>
      <c r="M649" s="249"/>
      <c r="N649" s="250"/>
      <c r="O649" s="250"/>
      <c r="P649" s="250"/>
      <c r="Q649" s="250"/>
      <c r="R649" s="250"/>
      <c r="S649" s="266">
        <f t="shared" si="12"/>
        <v>0.3010299956639812</v>
      </c>
    </row>
    <row r="650" spans="1:19">
      <c r="A650" s="243"/>
      <c r="B650" s="244"/>
      <c r="C650" s="311">
        <v>4</v>
      </c>
      <c r="D650" s="244">
        <v>4</v>
      </c>
      <c r="E650" s="244">
        <v>1</v>
      </c>
      <c r="F650" s="244">
        <v>0</v>
      </c>
      <c r="G650" s="244">
        <v>2</v>
      </c>
      <c r="H650" s="244">
        <v>2</v>
      </c>
      <c r="I650" s="244">
        <v>1</v>
      </c>
      <c r="J650" s="244">
        <v>0</v>
      </c>
      <c r="K650" s="276">
        <v>1.8</v>
      </c>
      <c r="L650" s="277">
        <v>43.628999999999998</v>
      </c>
      <c r="M650" s="249"/>
      <c r="N650" s="250"/>
      <c r="O650" s="250"/>
      <c r="P650" s="250"/>
      <c r="Q650" s="250"/>
      <c r="R650" s="250"/>
      <c r="S650" s="266">
        <f t="shared" si="12"/>
        <v>0.25527250510330607</v>
      </c>
    </row>
    <row r="651" spans="1:19">
      <c r="A651" s="243"/>
      <c r="B651" s="244"/>
      <c r="C651" s="311">
        <v>4</v>
      </c>
      <c r="D651" s="244">
        <v>5</v>
      </c>
      <c r="E651" s="244">
        <v>0</v>
      </c>
      <c r="F651" s="244">
        <v>0</v>
      </c>
      <c r="G651" s="244">
        <v>2</v>
      </c>
      <c r="H651" s="244">
        <v>2</v>
      </c>
      <c r="I651" s="244">
        <v>1</v>
      </c>
      <c r="J651" s="244">
        <v>0</v>
      </c>
      <c r="K651" s="276">
        <v>1.8</v>
      </c>
      <c r="L651" s="277">
        <v>44.7393</v>
      </c>
      <c r="M651" s="249"/>
      <c r="N651" s="250"/>
      <c r="O651" s="250"/>
      <c r="P651" s="250"/>
      <c r="Q651" s="250"/>
      <c r="R651" s="250"/>
      <c r="S651" s="266">
        <f t="shared" ref="S651:S714" si="13">LOG10(K651)</f>
        <v>0.25527250510330607</v>
      </c>
    </row>
    <row r="652" spans="1:19">
      <c r="A652" s="243"/>
      <c r="B652" s="244"/>
      <c r="C652" s="311">
        <v>4</v>
      </c>
      <c r="D652" s="244">
        <v>4</v>
      </c>
      <c r="E652" s="244">
        <v>1</v>
      </c>
      <c r="F652" s="244">
        <v>0</v>
      </c>
      <c r="G652" s="244">
        <v>2</v>
      </c>
      <c r="H652" s="244">
        <v>2</v>
      </c>
      <c r="I652" s="244">
        <v>1</v>
      </c>
      <c r="J652" s="244">
        <v>0</v>
      </c>
      <c r="K652" s="276">
        <v>2.4</v>
      </c>
      <c r="L652" s="277">
        <v>36.159599999999998</v>
      </c>
      <c r="M652" s="249"/>
      <c r="N652" s="250"/>
      <c r="O652" s="250"/>
      <c r="P652" s="250"/>
      <c r="Q652" s="250"/>
      <c r="R652" s="250"/>
      <c r="S652" s="266">
        <f t="shared" si="13"/>
        <v>0.38021124171160603</v>
      </c>
    </row>
    <row r="653" spans="1:19">
      <c r="A653" s="243"/>
      <c r="B653" s="244"/>
      <c r="C653" s="311">
        <v>4</v>
      </c>
      <c r="D653" s="244">
        <v>5</v>
      </c>
      <c r="E653" s="244">
        <v>0</v>
      </c>
      <c r="F653" s="244">
        <v>0</v>
      </c>
      <c r="G653" s="244">
        <v>2</v>
      </c>
      <c r="H653" s="244">
        <v>2</v>
      </c>
      <c r="I653" s="244">
        <v>1</v>
      </c>
      <c r="J653" s="244">
        <v>0</v>
      </c>
      <c r="K653" s="276">
        <v>2.4</v>
      </c>
      <c r="L653" s="277">
        <v>38.957500000000003</v>
      </c>
      <c r="M653" s="249"/>
      <c r="N653" s="250"/>
      <c r="O653" s="250"/>
      <c r="P653" s="250"/>
      <c r="Q653" s="250"/>
      <c r="R653" s="250"/>
      <c r="S653" s="266">
        <f t="shared" si="13"/>
        <v>0.38021124171160603</v>
      </c>
    </row>
    <row r="654" spans="1:19">
      <c r="A654" s="243"/>
      <c r="B654" s="244"/>
      <c r="C654" s="311">
        <v>4</v>
      </c>
      <c r="D654" s="244">
        <v>5</v>
      </c>
      <c r="E654" s="244">
        <v>1</v>
      </c>
      <c r="F654" s="244">
        <v>0</v>
      </c>
      <c r="G654" s="244">
        <v>2</v>
      </c>
      <c r="H654" s="244">
        <v>2</v>
      </c>
      <c r="I654" s="244">
        <v>1</v>
      </c>
      <c r="J654" s="244">
        <v>0</v>
      </c>
      <c r="K654" s="276">
        <v>2.4</v>
      </c>
      <c r="L654" s="277">
        <v>40.279600000000002</v>
      </c>
      <c r="M654" s="249"/>
      <c r="N654" s="250"/>
      <c r="O654" s="250"/>
      <c r="P654" s="250"/>
      <c r="Q654" s="250"/>
      <c r="R654" s="250"/>
      <c r="S654" s="266">
        <f t="shared" si="13"/>
        <v>0.38021124171160603</v>
      </c>
    </row>
    <row r="655" spans="1:19">
      <c r="A655" s="243"/>
      <c r="B655" s="244"/>
      <c r="C655" s="311">
        <v>4</v>
      </c>
      <c r="D655" s="244">
        <v>5</v>
      </c>
      <c r="E655" s="244">
        <v>0</v>
      </c>
      <c r="F655" s="244">
        <v>0</v>
      </c>
      <c r="G655" s="244">
        <v>2</v>
      </c>
      <c r="H655" s="244">
        <v>2</v>
      </c>
      <c r="I655" s="244">
        <v>1</v>
      </c>
      <c r="J655" s="244">
        <v>0</v>
      </c>
      <c r="K655" s="276">
        <v>2.4</v>
      </c>
      <c r="L655" s="277">
        <v>38.700000000000003</v>
      </c>
      <c r="M655" s="249"/>
      <c r="N655" s="250"/>
      <c r="O655" s="250"/>
      <c r="P655" s="250"/>
      <c r="Q655" s="250"/>
      <c r="R655" s="250"/>
      <c r="S655" s="266">
        <f t="shared" si="13"/>
        <v>0.38021124171160603</v>
      </c>
    </row>
    <row r="656" spans="1:19">
      <c r="A656" s="243"/>
      <c r="B656" s="244"/>
      <c r="C656" s="311">
        <v>4</v>
      </c>
      <c r="D656" s="244">
        <v>4</v>
      </c>
      <c r="E656" s="244">
        <v>1</v>
      </c>
      <c r="F656" s="244">
        <v>0</v>
      </c>
      <c r="G656" s="244">
        <v>2</v>
      </c>
      <c r="H656" s="244">
        <v>2</v>
      </c>
      <c r="I656" s="244">
        <v>1</v>
      </c>
      <c r="J656" s="244">
        <v>0</v>
      </c>
      <c r="K656" s="276">
        <v>2.4</v>
      </c>
      <c r="L656" s="277">
        <v>38.700000000000003</v>
      </c>
      <c r="M656" s="249"/>
      <c r="N656" s="250"/>
      <c r="O656" s="250"/>
      <c r="P656" s="250"/>
      <c r="Q656" s="250"/>
      <c r="R656" s="250"/>
      <c r="S656" s="266">
        <f t="shared" si="13"/>
        <v>0.38021124171160603</v>
      </c>
    </row>
    <row r="657" spans="1:19">
      <c r="A657" s="243"/>
      <c r="B657" s="244"/>
      <c r="C657" s="311">
        <v>4</v>
      </c>
      <c r="D657" s="244">
        <v>6</v>
      </c>
      <c r="E657" s="244">
        <v>0</v>
      </c>
      <c r="F657" s="244">
        <v>0</v>
      </c>
      <c r="G657" s="244">
        <v>2</v>
      </c>
      <c r="H657" s="244">
        <v>2</v>
      </c>
      <c r="I657" s="244">
        <v>0</v>
      </c>
      <c r="J657" s="244">
        <v>0</v>
      </c>
      <c r="K657" s="276">
        <v>2</v>
      </c>
      <c r="L657" s="277">
        <v>60.1</v>
      </c>
      <c r="M657" s="249"/>
      <c r="N657" s="250"/>
      <c r="O657" s="250"/>
      <c r="P657" s="250"/>
      <c r="Q657" s="250"/>
      <c r="R657" s="250"/>
      <c r="S657" s="266">
        <f t="shared" si="13"/>
        <v>0.3010299956639812</v>
      </c>
    </row>
    <row r="658" spans="1:19">
      <c r="A658" s="243"/>
      <c r="B658" s="244"/>
      <c r="C658" s="311">
        <v>4</v>
      </c>
      <c r="D658" s="244">
        <v>6</v>
      </c>
      <c r="E658" s="244">
        <v>0</v>
      </c>
      <c r="F658" s="244">
        <v>0</v>
      </c>
      <c r="G658" s="244">
        <v>2</v>
      </c>
      <c r="H658" s="244">
        <v>2</v>
      </c>
      <c r="I658" s="244">
        <v>0</v>
      </c>
      <c r="J658" s="244">
        <v>0</v>
      </c>
      <c r="K658" s="276">
        <v>2</v>
      </c>
      <c r="L658" s="277">
        <v>58.534999999999997</v>
      </c>
      <c r="M658" s="249"/>
      <c r="N658" s="250"/>
      <c r="O658" s="250"/>
      <c r="P658" s="250"/>
      <c r="Q658" s="250"/>
      <c r="R658" s="250"/>
      <c r="S658" s="266">
        <f t="shared" si="13"/>
        <v>0.3010299956639812</v>
      </c>
    </row>
    <row r="659" spans="1:19">
      <c r="A659" s="243"/>
      <c r="B659" s="244"/>
      <c r="C659" s="311">
        <v>5</v>
      </c>
      <c r="D659" s="244">
        <v>5</v>
      </c>
      <c r="E659" s="244">
        <v>0</v>
      </c>
      <c r="F659" s="244">
        <v>0</v>
      </c>
      <c r="G659" s="244">
        <v>2</v>
      </c>
      <c r="H659" s="244">
        <v>2</v>
      </c>
      <c r="I659" s="244">
        <v>1</v>
      </c>
      <c r="J659" s="244">
        <v>0</v>
      </c>
      <c r="K659" s="276">
        <v>2.5</v>
      </c>
      <c r="L659" s="277">
        <v>39.571399999999997</v>
      </c>
      <c r="M659" s="249"/>
      <c r="N659" s="250"/>
      <c r="O659" s="250"/>
      <c r="P659" s="250"/>
      <c r="Q659" s="250"/>
      <c r="R659" s="250"/>
      <c r="S659" s="266">
        <f t="shared" si="13"/>
        <v>0.3979400086720376</v>
      </c>
    </row>
    <row r="660" spans="1:19">
      <c r="A660" s="243"/>
      <c r="B660" s="244"/>
      <c r="C660" s="311">
        <v>5</v>
      </c>
      <c r="D660" s="244">
        <v>6</v>
      </c>
      <c r="E660" s="244">
        <v>0</v>
      </c>
      <c r="F660" s="244">
        <v>0</v>
      </c>
      <c r="G660" s="244">
        <v>2</v>
      </c>
      <c r="H660" s="244">
        <v>2</v>
      </c>
      <c r="I660" s="244">
        <v>1</v>
      </c>
      <c r="J660" s="244">
        <v>0</v>
      </c>
      <c r="K660" s="276">
        <v>2.5</v>
      </c>
      <c r="L660" s="277">
        <v>40.0169</v>
      </c>
      <c r="M660" s="249"/>
      <c r="N660" s="250"/>
      <c r="O660" s="250"/>
      <c r="P660" s="250"/>
      <c r="Q660" s="250"/>
      <c r="R660" s="250"/>
      <c r="S660" s="266">
        <f t="shared" si="13"/>
        <v>0.3979400086720376</v>
      </c>
    </row>
    <row r="661" spans="1:19">
      <c r="A661" s="243"/>
      <c r="B661" s="244"/>
      <c r="C661" s="311">
        <v>5</v>
      </c>
      <c r="D661" s="244">
        <v>5</v>
      </c>
      <c r="E661" s="244">
        <v>1</v>
      </c>
      <c r="F661" s="244">
        <v>0</v>
      </c>
      <c r="G661" s="244">
        <v>2</v>
      </c>
      <c r="H661" s="244">
        <v>2</v>
      </c>
      <c r="I661" s="244">
        <v>1</v>
      </c>
      <c r="J661" s="244">
        <v>0</v>
      </c>
      <c r="K661" s="276">
        <v>2.5</v>
      </c>
      <c r="L661" s="277">
        <v>37.6</v>
      </c>
      <c r="M661" s="249"/>
      <c r="N661" s="250"/>
      <c r="O661" s="250"/>
      <c r="P661" s="250"/>
      <c r="Q661" s="250"/>
      <c r="R661" s="250"/>
      <c r="S661" s="266">
        <f t="shared" si="13"/>
        <v>0.3979400086720376</v>
      </c>
    </row>
    <row r="662" spans="1:19">
      <c r="A662" s="243"/>
      <c r="B662" s="244"/>
      <c r="C662" s="311">
        <v>5</v>
      </c>
      <c r="D662" s="244">
        <v>6</v>
      </c>
      <c r="E662" s="244">
        <v>0</v>
      </c>
      <c r="F662" s="244">
        <v>0</v>
      </c>
      <c r="G662" s="244">
        <v>2</v>
      </c>
      <c r="H662" s="244">
        <v>2</v>
      </c>
      <c r="I662" s="244">
        <v>1</v>
      </c>
      <c r="J662" s="244">
        <v>0</v>
      </c>
      <c r="K662" s="276">
        <v>2.5</v>
      </c>
      <c r="L662" s="277">
        <v>37.5</v>
      </c>
      <c r="M662" s="249"/>
      <c r="N662" s="250"/>
      <c r="O662" s="250"/>
      <c r="P662" s="250"/>
      <c r="Q662" s="250"/>
      <c r="R662" s="250"/>
      <c r="S662" s="266">
        <f t="shared" si="13"/>
        <v>0.3979400086720376</v>
      </c>
    </row>
    <row r="663" spans="1:19">
      <c r="A663" s="243"/>
      <c r="B663" s="244"/>
      <c r="C663" s="311">
        <v>5</v>
      </c>
      <c r="D663" s="244">
        <v>5</v>
      </c>
      <c r="E663" s="244">
        <v>1</v>
      </c>
      <c r="F663" s="244">
        <v>0</v>
      </c>
      <c r="G663" s="244">
        <v>2</v>
      </c>
      <c r="H663" s="244">
        <v>2</v>
      </c>
      <c r="I663" s="244">
        <v>1</v>
      </c>
      <c r="J663" s="244">
        <v>0</v>
      </c>
      <c r="K663" s="276">
        <v>2.4</v>
      </c>
      <c r="L663" s="277">
        <v>39.347999999999999</v>
      </c>
      <c r="M663" s="249"/>
      <c r="N663" s="250"/>
      <c r="O663" s="250"/>
      <c r="P663" s="250"/>
      <c r="Q663" s="250"/>
      <c r="R663" s="250"/>
      <c r="S663" s="266">
        <f t="shared" si="13"/>
        <v>0.38021124171160603</v>
      </c>
    </row>
    <row r="664" spans="1:19">
      <c r="A664" s="243"/>
      <c r="B664" s="244"/>
      <c r="C664" s="311">
        <v>5</v>
      </c>
      <c r="D664" s="244">
        <v>6</v>
      </c>
      <c r="E664" s="244">
        <v>0</v>
      </c>
      <c r="F664" s="244">
        <v>0</v>
      </c>
      <c r="G664" s="244">
        <v>2</v>
      </c>
      <c r="H664" s="244">
        <v>2</v>
      </c>
      <c r="I664" s="244">
        <v>1</v>
      </c>
      <c r="J664" s="244">
        <v>0</v>
      </c>
      <c r="K664" s="276">
        <v>2.5</v>
      </c>
      <c r="L664" s="277">
        <v>40.4</v>
      </c>
      <c r="M664" s="249"/>
      <c r="N664" s="250"/>
      <c r="O664" s="250"/>
      <c r="P664" s="250"/>
      <c r="Q664" s="250"/>
      <c r="R664" s="250"/>
      <c r="S664" s="266">
        <f t="shared" si="13"/>
        <v>0.3979400086720376</v>
      </c>
    </row>
    <row r="665" spans="1:19">
      <c r="A665" s="243"/>
      <c r="B665" s="244"/>
      <c r="C665" s="311">
        <v>5</v>
      </c>
      <c r="D665" s="244">
        <v>5</v>
      </c>
      <c r="E665" s="244">
        <v>1</v>
      </c>
      <c r="F665" s="244">
        <v>0</v>
      </c>
      <c r="G665" s="244">
        <v>2</v>
      </c>
      <c r="H665" s="244">
        <v>2</v>
      </c>
      <c r="I665" s="244">
        <v>1</v>
      </c>
      <c r="J665" s="244">
        <v>0</v>
      </c>
      <c r="K665" s="276">
        <v>2.5</v>
      </c>
      <c r="L665" s="277">
        <v>40.6</v>
      </c>
      <c r="M665" s="249"/>
      <c r="N665" s="250"/>
      <c r="O665" s="250"/>
      <c r="P665" s="250"/>
      <c r="Q665" s="250"/>
      <c r="R665" s="250"/>
      <c r="S665" s="266">
        <f t="shared" si="13"/>
        <v>0.3979400086720376</v>
      </c>
    </row>
    <row r="666" spans="1:19">
      <c r="A666" s="243"/>
      <c r="B666" s="244"/>
      <c r="C666" s="311">
        <v>6</v>
      </c>
      <c r="D666" s="244">
        <v>6</v>
      </c>
      <c r="E666" s="244">
        <v>1</v>
      </c>
      <c r="F666" s="244">
        <v>0</v>
      </c>
      <c r="G666" s="244">
        <v>2</v>
      </c>
      <c r="H666" s="244">
        <v>2</v>
      </c>
      <c r="I666" s="244">
        <v>1</v>
      </c>
      <c r="J666" s="244">
        <v>0</v>
      </c>
      <c r="K666" s="276">
        <v>3</v>
      </c>
      <c r="L666" s="277">
        <v>34.7286</v>
      </c>
      <c r="M666" s="249"/>
      <c r="N666" s="250"/>
      <c r="O666" s="250"/>
      <c r="P666" s="250"/>
      <c r="Q666" s="250"/>
      <c r="R666" s="250"/>
      <c r="S666" s="266">
        <f t="shared" si="13"/>
        <v>0.47712125471966244</v>
      </c>
    </row>
    <row r="667" spans="1:19">
      <c r="A667" s="243"/>
      <c r="B667" s="244"/>
      <c r="C667" s="311">
        <v>6</v>
      </c>
      <c r="D667" s="244">
        <v>6</v>
      </c>
      <c r="E667" s="244">
        <v>0</v>
      </c>
      <c r="F667" s="244">
        <v>0</v>
      </c>
      <c r="G667" s="244">
        <v>2</v>
      </c>
      <c r="H667" s="244">
        <v>2</v>
      </c>
      <c r="I667" s="244">
        <v>1</v>
      </c>
      <c r="J667" s="244">
        <v>0</v>
      </c>
      <c r="K667" s="276">
        <v>3</v>
      </c>
      <c r="L667" s="277">
        <v>32.5289</v>
      </c>
      <c r="M667" s="249"/>
      <c r="N667" s="250"/>
      <c r="O667" s="250"/>
      <c r="P667" s="250"/>
      <c r="Q667" s="250"/>
      <c r="R667" s="250"/>
      <c r="S667" s="266">
        <f t="shared" si="13"/>
        <v>0.47712125471966244</v>
      </c>
    </row>
    <row r="668" spans="1:19">
      <c r="A668" s="243"/>
      <c r="B668" s="244"/>
      <c r="C668" s="311">
        <v>6</v>
      </c>
      <c r="D668" s="244">
        <v>6</v>
      </c>
      <c r="E668" s="244">
        <v>1</v>
      </c>
      <c r="F668" s="244">
        <v>0</v>
      </c>
      <c r="G668" s="244">
        <v>2</v>
      </c>
      <c r="H668" s="244">
        <v>2</v>
      </c>
      <c r="I668" s="244">
        <v>1</v>
      </c>
      <c r="J668" s="244">
        <v>0</v>
      </c>
      <c r="K668" s="276">
        <v>3</v>
      </c>
      <c r="L668" s="277">
        <v>33.722900000000003</v>
      </c>
      <c r="M668" s="249"/>
      <c r="N668" s="250"/>
      <c r="O668" s="250"/>
      <c r="P668" s="250"/>
      <c r="Q668" s="250"/>
      <c r="R668" s="250"/>
      <c r="S668" s="266">
        <f t="shared" si="13"/>
        <v>0.47712125471966244</v>
      </c>
    </row>
    <row r="669" spans="1:19">
      <c r="A669" s="243"/>
      <c r="B669" s="244"/>
      <c r="C669" s="311">
        <v>4</v>
      </c>
      <c r="D669" s="244">
        <v>4</v>
      </c>
      <c r="E669" s="244">
        <v>1</v>
      </c>
      <c r="F669" s="244">
        <v>0</v>
      </c>
      <c r="G669" s="244">
        <v>2</v>
      </c>
      <c r="H669" s="244">
        <v>2</v>
      </c>
      <c r="I669" s="244">
        <v>1</v>
      </c>
      <c r="J669" s="244">
        <v>0</v>
      </c>
      <c r="K669" s="276">
        <v>2.4</v>
      </c>
      <c r="L669" s="277">
        <v>37.071100000000001</v>
      </c>
      <c r="M669" s="249"/>
      <c r="N669" s="250"/>
      <c r="O669" s="250"/>
      <c r="P669" s="250"/>
      <c r="Q669" s="250"/>
      <c r="R669" s="250"/>
      <c r="S669" s="266">
        <f t="shared" si="13"/>
        <v>0.38021124171160603</v>
      </c>
    </row>
    <row r="670" spans="1:19">
      <c r="A670" s="243"/>
      <c r="B670" s="244"/>
      <c r="C670" s="311">
        <v>6</v>
      </c>
      <c r="D670" s="244">
        <v>5</v>
      </c>
      <c r="E670" s="244">
        <v>1</v>
      </c>
      <c r="F670" s="244">
        <v>0</v>
      </c>
      <c r="G670" s="244">
        <v>2</v>
      </c>
      <c r="H670" s="244">
        <v>2</v>
      </c>
      <c r="I670" s="244">
        <v>1</v>
      </c>
      <c r="J670" s="244">
        <v>0</v>
      </c>
      <c r="K670" s="276">
        <v>2.7</v>
      </c>
      <c r="L670" s="277">
        <v>35.9</v>
      </c>
      <c r="M670" s="249"/>
      <c r="N670" s="250"/>
      <c r="O670" s="250"/>
      <c r="P670" s="250"/>
      <c r="Q670" s="250"/>
      <c r="R670" s="250"/>
      <c r="S670" s="266">
        <f t="shared" si="13"/>
        <v>0.43136376415898736</v>
      </c>
    </row>
    <row r="671" spans="1:19">
      <c r="A671" s="243"/>
      <c r="B671" s="244"/>
      <c r="C671" s="311">
        <v>4</v>
      </c>
      <c r="D671" s="244">
        <v>6</v>
      </c>
      <c r="E671" s="244">
        <v>0</v>
      </c>
      <c r="F671" s="244">
        <v>0</v>
      </c>
      <c r="G671" s="244">
        <v>2</v>
      </c>
      <c r="H671" s="244">
        <v>2</v>
      </c>
      <c r="I671" s="244">
        <v>1</v>
      </c>
      <c r="J671" s="244">
        <v>0</v>
      </c>
      <c r="K671" s="276">
        <v>2</v>
      </c>
      <c r="L671" s="277">
        <v>42</v>
      </c>
      <c r="M671" s="249"/>
      <c r="N671" s="250"/>
      <c r="O671" s="250"/>
      <c r="P671" s="250"/>
      <c r="Q671" s="250"/>
      <c r="R671" s="250"/>
      <c r="S671" s="266">
        <f t="shared" si="13"/>
        <v>0.3010299956639812</v>
      </c>
    </row>
    <row r="672" spans="1:19">
      <c r="A672" s="243"/>
      <c r="B672" s="244"/>
      <c r="C672" s="311">
        <v>6</v>
      </c>
      <c r="D672" s="244">
        <v>6</v>
      </c>
      <c r="E672" s="244">
        <v>1</v>
      </c>
      <c r="F672" s="244">
        <v>0</v>
      </c>
      <c r="G672" s="244">
        <v>2</v>
      </c>
      <c r="H672" s="244">
        <v>2</v>
      </c>
      <c r="I672" s="244">
        <v>1</v>
      </c>
      <c r="J672" s="244">
        <v>0</v>
      </c>
      <c r="K672" s="276">
        <v>3.2</v>
      </c>
      <c r="L672" s="277">
        <v>36.4</v>
      </c>
      <c r="M672" s="249"/>
      <c r="N672" s="250"/>
      <c r="O672" s="250"/>
      <c r="P672" s="250"/>
      <c r="Q672" s="250"/>
      <c r="R672" s="250"/>
      <c r="S672" s="266">
        <f t="shared" si="13"/>
        <v>0.50514997831990605</v>
      </c>
    </row>
    <row r="673" spans="1:19">
      <c r="A673" s="243"/>
      <c r="B673" s="244"/>
      <c r="C673" s="311">
        <v>4</v>
      </c>
      <c r="D673" s="244">
        <v>4</v>
      </c>
      <c r="E673" s="244">
        <v>1</v>
      </c>
      <c r="F673" s="244">
        <v>0</v>
      </c>
      <c r="G673" s="244">
        <v>2</v>
      </c>
      <c r="H673" s="244">
        <v>2</v>
      </c>
      <c r="I673" s="244">
        <v>0</v>
      </c>
      <c r="J673" s="244">
        <v>0</v>
      </c>
      <c r="K673" s="276">
        <v>2.9</v>
      </c>
      <c r="L673" s="277">
        <v>34.151400000000002</v>
      </c>
      <c r="M673" s="249"/>
      <c r="N673" s="250"/>
      <c r="O673" s="250"/>
      <c r="P673" s="250"/>
      <c r="Q673" s="250"/>
      <c r="R673" s="250"/>
      <c r="S673" s="266">
        <f t="shared" si="13"/>
        <v>0.46239799789895608</v>
      </c>
    </row>
    <row r="674" spans="1:19">
      <c r="A674" s="243"/>
      <c r="B674" s="244"/>
      <c r="C674" s="311">
        <v>4</v>
      </c>
      <c r="D674" s="244">
        <v>5</v>
      </c>
      <c r="E674" s="244">
        <v>0</v>
      </c>
      <c r="F674" s="244">
        <v>0</v>
      </c>
      <c r="G674" s="244">
        <v>2</v>
      </c>
      <c r="H674" s="244">
        <v>2</v>
      </c>
      <c r="I674" s="244">
        <v>0</v>
      </c>
      <c r="J674" s="244">
        <v>0</v>
      </c>
      <c r="K674" s="276">
        <v>2.9</v>
      </c>
      <c r="L674" s="277">
        <v>35.323700000000002</v>
      </c>
      <c r="M674" s="249"/>
      <c r="N674" s="250"/>
      <c r="O674" s="250"/>
      <c r="P674" s="250"/>
      <c r="Q674" s="250"/>
      <c r="R674" s="250"/>
      <c r="S674" s="266">
        <f t="shared" si="13"/>
        <v>0.46239799789895608</v>
      </c>
    </row>
    <row r="675" spans="1:19">
      <c r="A675" s="243"/>
      <c r="B675" s="244"/>
      <c r="C675" s="311">
        <v>5</v>
      </c>
      <c r="D675" s="244">
        <v>4</v>
      </c>
      <c r="E675" s="244">
        <v>1</v>
      </c>
      <c r="F675" s="244">
        <v>0</v>
      </c>
      <c r="G675" s="244">
        <v>2</v>
      </c>
      <c r="H675" s="244">
        <v>2</v>
      </c>
      <c r="I675" s="244">
        <v>0</v>
      </c>
      <c r="J675" s="244">
        <v>0</v>
      </c>
      <c r="K675" s="276">
        <v>3.7</v>
      </c>
      <c r="L675" s="277">
        <v>31.8217</v>
      </c>
      <c r="M675" s="249"/>
      <c r="N675" s="250"/>
      <c r="O675" s="250"/>
      <c r="P675" s="250"/>
      <c r="Q675" s="250"/>
      <c r="R675" s="250"/>
      <c r="S675" s="266">
        <f t="shared" si="13"/>
        <v>0.56820172406699498</v>
      </c>
    </row>
    <row r="676" spans="1:19">
      <c r="A676" s="243"/>
      <c r="B676" s="244"/>
      <c r="C676" s="311">
        <v>8</v>
      </c>
      <c r="D676" s="244">
        <v>4</v>
      </c>
      <c r="E676" s="244">
        <v>1</v>
      </c>
      <c r="F676" s="244">
        <v>0</v>
      </c>
      <c r="G676" s="244">
        <v>1</v>
      </c>
      <c r="H676" s="244">
        <v>1</v>
      </c>
      <c r="I676" s="244">
        <v>1</v>
      </c>
      <c r="J676" s="244">
        <v>0</v>
      </c>
      <c r="K676" s="276">
        <v>5.3</v>
      </c>
      <c r="L676" s="277">
        <v>27.9</v>
      </c>
      <c r="M676" s="249"/>
      <c r="N676" s="250"/>
      <c r="O676" s="250"/>
      <c r="P676" s="250"/>
      <c r="Q676" s="250"/>
      <c r="R676" s="250"/>
      <c r="S676" s="266">
        <f t="shared" si="13"/>
        <v>0.72427586960078905</v>
      </c>
    </row>
    <row r="677" spans="1:19">
      <c r="A677" s="243"/>
      <c r="B677" s="244"/>
      <c r="C677" s="311">
        <v>5</v>
      </c>
      <c r="D677" s="244">
        <v>4</v>
      </c>
      <c r="E677" s="244">
        <v>1</v>
      </c>
      <c r="F677" s="244">
        <v>0</v>
      </c>
      <c r="G677" s="244">
        <v>2</v>
      </c>
      <c r="H677" s="244">
        <v>2</v>
      </c>
      <c r="I677" s="244">
        <v>0</v>
      </c>
      <c r="J677" s="244">
        <v>0</v>
      </c>
      <c r="K677" s="276">
        <v>3.7</v>
      </c>
      <c r="L677" s="277">
        <v>27</v>
      </c>
      <c r="M677" s="249"/>
      <c r="N677" s="250"/>
      <c r="O677" s="250"/>
      <c r="P677" s="250"/>
      <c r="Q677" s="250"/>
      <c r="R677" s="250"/>
      <c r="S677" s="266">
        <f t="shared" si="13"/>
        <v>0.56820172406699498</v>
      </c>
    </row>
    <row r="678" spans="1:19">
      <c r="A678" s="243"/>
      <c r="B678" s="244"/>
      <c r="C678" s="311">
        <v>4</v>
      </c>
      <c r="D678" s="244">
        <v>4</v>
      </c>
      <c r="E678" s="244">
        <v>1</v>
      </c>
      <c r="F678" s="244">
        <v>0</v>
      </c>
      <c r="G678" s="244">
        <v>2</v>
      </c>
      <c r="H678" s="244">
        <v>2</v>
      </c>
      <c r="I678" s="244">
        <v>0</v>
      </c>
      <c r="J678" s="244">
        <v>0</v>
      </c>
      <c r="K678" s="276">
        <v>2.9</v>
      </c>
      <c r="L678" s="277">
        <v>34.299999999999997</v>
      </c>
      <c r="M678" s="249"/>
      <c r="N678" s="250"/>
      <c r="O678" s="250"/>
      <c r="P678" s="250"/>
      <c r="Q678" s="250"/>
      <c r="R678" s="250"/>
      <c r="S678" s="266">
        <f t="shared" si="13"/>
        <v>0.46239799789895608</v>
      </c>
    </row>
    <row r="679" spans="1:19">
      <c r="A679" s="243"/>
      <c r="B679" s="244"/>
      <c r="C679" s="311">
        <v>4</v>
      </c>
      <c r="D679" s="244">
        <v>5</v>
      </c>
      <c r="E679" s="244">
        <v>0</v>
      </c>
      <c r="F679" s="244">
        <v>0</v>
      </c>
      <c r="G679" s="244">
        <v>2</v>
      </c>
      <c r="H679" s="244">
        <v>2</v>
      </c>
      <c r="I679" s="244">
        <v>0</v>
      </c>
      <c r="J679" s="244">
        <v>0</v>
      </c>
      <c r="K679" s="276">
        <v>2.9</v>
      </c>
      <c r="L679" s="277">
        <v>35.5</v>
      </c>
      <c r="M679" s="249"/>
      <c r="N679" s="250"/>
      <c r="O679" s="250"/>
      <c r="P679" s="250"/>
      <c r="Q679" s="250"/>
      <c r="R679" s="250"/>
      <c r="S679" s="266">
        <f t="shared" si="13"/>
        <v>0.46239799789895608</v>
      </c>
    </row>
    <row r="680" spans="1:19">
      <c r="A680" s="243"/>
      <c r="B680" s="244"/>
      <c r="C680" s="311">
        <v>5</v>
      </c>
      <c r="D680" s="244">
        <v>4</v>
      </c>
      <c r="E680" s="244">
        <v>1</v>
      </c>
      <c r="F680" s="244">
        <v>0</v>
      </c>
      <c r="G680" s="244">
        <v>2</v>
      </c>
      <c r="H680" s="244">
        <v>2</v>
      </c>
      <c r="I680" s="244">
        <v>0</v>
      </c>
      <c r="J680" s="244">
        <v>0</v>
      </c>
      <c r="K680" s="276">
        <v>3.7</v>
      </c>
      <c r="L680" s="277">
        <v>31.6</v>
      </c>
      <c r="M680" s="249"/>
      <c r="N680" s="250"/>
      <c r="O680" s="250"/>
      <c r="P680" s="250"/>
      <c r="Q680" s="250"/>
      <c r="R680" s="250"/>
      <c r="S680" s="266">
        <f t="shared" si="13"/>
        <v>0.56820172406699498</v>
      </c>
    </row>
    <row r="681" spans="1:19">
      <c r="A681" s="243"/>
      <c r="B681" s="244"/>
      <c r="C681" s="311">
        <v>8</v>
      </c>
      <c r="D681" s="244">
        <v>4</v>
      </c>
      <c r="E681" s="244">
        <v>1</v>
      </c>
      <c r="F681" s="244">
        <v>0</v>
      </c>
      <c r="G681" s="244">
        <v>1</v>
      </c>
      <c r="H681" s="244">
        <v>1</v>
      </c>
      <c r="I681" s="244">
        <v>1</v>
      </c>
      <c r="J681" s="244">
        <v>0</v>
      </c>
      <c r="K681" s="276">
        <v>5.3</v>
      </c>
      <c r="L681" s="277">
        <v>27.9</v>
      </c>
      <c r="M681" s="249"/>
      <c r="N681" s="250"/>
      <c r="O681" s="250"/>
      <c r="P681" s="250"/>
      <c r="Q681" s="250"/>
      <c r="R681" s="250"/>
      <c r="S681" s="266">
        <f t="shared" si="13"/>
        <v>0.72427586960078905</v>
      </c>
    </row>
    <row r="682" spans="1:19">
      <c r="A682" s="243"/>
      <c r="B682" s="244"/>
      <c r="C682" s="311">
        <v>4</v>
      </c>
      <c r="D682" s="244">
        <v>5</v>
      </c>
      <c r="E682" s="244">
        <v>1</v>
      </c>
      <c r="F682" s="244">
        <v>1</v>
      </c>
      <c r="G682" s="244">
        <v>2</v>
      </c>
      <c r="H682" s="244">
        <v>2</v>
      </c>
      <c r="I682" s="244">
        <v>0</v>
      </c>
      <c r="J682" s="244">
        <v>0</v>
      </c>
      <c r="K682" s="276">
        <v>2.2999999999999998</v>
      </c>
      <c r="L682" s="277">
        <v>32.8232</v>
      </c>
      <c r="M682" s="249"/>
      <c r="N682" s="250"/>
      <c r="O682" s="250"/>
      <c r="P682" s="250"/>
      <c r="Q682" s="250"/>
      <c r="R682" s="250"/>
      <c r="S682" s="266">
        <f t="shared" si="13"/>
        <v>0.36172783601759284</v>
      </c>
    </row>
    <row r="683" spans="1:19">
      <c r="A683" s="243"/>
      <c r="B683" s="244"/>
      <c r="C683" s="311">
        <v>4</v>
      </c>
      <c r="D683" s="244">
        <v>5</v>
      </c>
      <c r="E683" s="244">
        <v>0</v>
      </c>
      <c r="F683" s="244">
        <v>1</v>
      </c>
      <c r="G683" s="244">
        <v>2</v>
      </c>
      <c r="H683" s="244">
        <v>2</v>
      </c>
      <c r="I683" s="244">
        <v>0</v>
      </c>
      <c r="J683" s="244">
        <v>0</v>
      </c>
      <c r="K683" s="276">
        <v>2.2999999999999998</v>
      </c>
      <c r="L683" s="277">
        <v>37.700000000000003</v>
      </c>
      <c r="M683" s="249"/>
      <c r="N683" s="250"/>
      <c r="O683" s="250"/>
      <c r="P683" s="250"/>
      <c r="Q683" s="250"/>
      <c r="R683" s="250"/>
      <c r="S683" s="266">
        <f t="shared" si="13"/>
        <v>0.36172783601759284</v>
      </c>
    </row>
    <row r="684" spans="1:19">
      <c r="A684" s="243"/>
      <c r="B684" s="244"/>
      <c r="C684" s="311">
        <v>6</v>
      </c>
      <c r="D684" s="244">
        <v>5</v>
      </c>
      <c r="E684" s="244">
        <v>0</v>
      </c>
      <c r="F684" s="244">
        <v>1</v>
      </c>
      <c r="G684" s="244">
        <v>1</v>
      </c>
      <c r="H684" s="244">
        <v>1</v>
      </c>
      <c r="I684" s="244">
        <v>0</v>
      </c>
      <c r="J684" s="244">
        <v>0</v>
      </c>
      <c r="K684" s="276">
        <v>4</v>
      </c>
      <c r="L684" s="277">
        <v>28.6</v>
      </c>
      <c r="M684" s="249"/>
      <c r="N684" s="250"/>
      <c r="O684" s="250"/>
      <c r="P684" s="250"/>
      <c r="Q684" s="250"/>
      <c r="R684" s="250"/>
      <c r="S684" s="266">
        <f t="shared" si="13"/>
        <v>0.6020599913279624</v>
      </c>
    </row>
    <row r="685" spans="1:19">
      <c r="A685" s="243"/>
      <c r="B685" s="244"/>
      <c r="C685" s="311">
        <v>6</v>
      </c>
      <c r="D685" s="244">
        <v>5</v>
      </c>
      <c r="E685" s="244">
        <v>1</v>
      </c>
      <c r="F685" s="244">
        <v>1</v>
      </c>
      <c r="G685" s="244">
        <v>1</v>
      </c>
      <c r="H685" s="244">
        <v>1</v>
      </c>
      <c r="I685" s="244">
        <v>0</v>
      </c>
      <c r="J685" s="244">
        <v>0</v>
      </c>
      <c r="K685" s="276">
        <v>4</v>
      </c>
      <c r="L685" s="277">
        <v>28.5</v>
      </c>
      <c r="M685" s="249"/>
      <c r="N685" s="250"/>
      <c r="O685" s="250"/>
      <c r="P685" s="250"/>
      <c r="Q685" s="250"/>
      <c r="R685" s="250"/>
      <c r="S685" s="266">
        <f t="shared" si="13"/>
        <v>0.6020599913279624</v>
      </c>
    </row>
    <row r="686" spans="1:19">
      <c r="A686" s="243"/>
      <c r="B686" s="244"/>
      <c r="C686" s="311">
        <v>4</v>
      </c>
      <c r="D686" s="244">
        <v>4</v>
      </c>
      <c r="E686" s="244">
        <v>1</v>
      </c>
      <c r="F686" s="244">
        <v>0</v>
      </c>
      <c r="G686" s="244">
        <v>2</v>
      </c>
      <c r="H686" s="244">
        <v>2</v>
      </c>
      <c r="I686" s="244">
        <v>0</v>
      </c>
      <c r="J686" s="244">
        <v>0</v>
      </c>
      <c r="K686" s="276">
        <v>2.9</v>
      </c>
      <c r="L686" s="277">
        <v>34.179600000000001</v>
      </c>
      <c r="M686" s="249"/>
      <c r="N686" s="250"/>
      <c r="O686" s="250"/>
      <c r="P686" s="250"/>
      <c r="Q686" s="250"/>
      <c r="R686" s="250"/>
      <c r="S686" s="266">
        <f t="shared" si="13"/>
        <v>0.46239799789895608</v>
      </c>
    </row>
    <row r="687" spans="1:19">
      <c r="A687" s="243"/>
      <c r="B687" s="244"/>
      <c r="C687" s="311">
        <v>4</v>
      </c>
      <c r="D687" s="244">
        <v>5</v>
      </c>
      <c r="E687" s="244">
        <v>0</v>
      </c>
      <c r="F687" s="244">
        <v>0</v>
      </c>
      <c r="G687" s="244">
        <v>2</v>
      </c>
      <c r="H687" s="244">
        <v>2</v>
      </c>
      <c r="I687" s="244">
        <v>0</v>
      </c>
      <c r="J687" s="244">
        <v>0</v>
      </c>
      <c r="K687" s="276">
        <v>2.9</v>
      </c>
      <c r="L687" s="277">
        <v>35.258200000000002</v>
      </c>
      <c r="M687" s="249"/>
      <c r="N687" s="250"/>
      <c r="O687" s="250"/>
      <c r="P687" s="250"/>
      <c r="Q687" s="250"/>
      <c r="R687" s="250"/>
      <c r="S687" s="266">
        <f t="shared" si="13"/>
        <v>0.46239799789895608</v>
      </c>
    </row>
    <row r="688" spans="1:19">
      <c r="A688" s="243"/>
      <c r="B688" s="244"/>
      <c r="C688" s="311">
        <v>5</v>
      </c>
      <c r="D688" s="244">
        <v>4</v>
      </c>
      <c r="E688" s="244">
        <v>1</v>
      </c>
      <c r="F688" s="244">
        <v>0</v>
      </c>
      <c r="G688" s="244">
        <v>2</v>
      </c>
      <c r="H688" s="244">
        <v>2</v>
      </c>
      <c r="I688" s="244">
        <v>0</v>
      </c>
      <c r="J688" s="244">
        <v>0</v>
      </c>
      <c r="K688" s="276">
        <v>3.7</v>
      </c>
      <c r="L688" s="277">
        <v>31.846699999999998</v>
      </c>
      <c r="M688" s="249"/>
      <c r="N688" s="250"/>
      <c r="O688" s="250"/>
      <c r="P688" s="250"/>
      <c r="Q688" s="250"/>
      <c r="R688" s="250"/>
      <c r="S688" s="266">
        <f t="shared" si="13"/>
        <v>0.56820172406699498</v>
      </c>
    </row>
    <row r="689" spans="1:19">
      <c r="A689" s="243"/>
      <c r="B689" s="244"/>
      <c r="C689" s="311">
        <v>8</v>
      </c>
      <c r="D689" s="244">
        <v>4</v>
      </c>
      <c r="E689" s="244">
        <v>1</v>
      </c>
      <c r="F689" s="244">
        <v>0</v>
      </c>
      <c r="G689" s="244">
        <v>1</v>
      </c>
      <c r="H689" s="244">
        <v>1</v>
      </c>
      <c r="I689" s="244">
        <v>1</v>
      </c>
      <c r="J689" s="244">
        <v>0</v>
      </c>
      <c r="K689" s="276">
        <v>5.3</v>
      </c>
      <c r="L689" s="277">
        <v>27.9</v>
      </c>
      <c r="M689" s="249"/>
      <c r="N689" s="250"/>
      <c r="O689" s="250"/>
      <c r="P689" s="250"/>
      <c r="Q689" s="250"/>
      <c r="R689" s="250"/>
      <c r="S689" s="266">
        <f t="shared" si="13"/>
        <v>0.72427586960078905</v>
      </c>
    </row>
    <row r="690" spans="1:19">
      <c r="A690" s="243"/>
      <c r="B690" s="244"/>
      <c r="C690" s="311">
        <v>5</v>
      </c>
      <c r="D690" s="244">
        <v>4</v>
      </c>
      <c r="E690" s="244">
        <v>1</v>
      </c>
      <c r="F690" s="244">
        <v>0</v>
      </c>
      <c r="G690" s="244">
        <v>2</v>
      </c>
      <c r="H690" s="244">
        <v>2</v>
      </c>
      <c r="I690" s="244">
        <v>0</v>
      </c>
      <c r="J690" s="244">
        <v>0</v>
      </c>
      <c r="K690" s="276">
        <v>3.7</v>
      </c>
      <c r="L690" s="277">
        <v>27</v>
      </c>
      <c r="M690" s="249"/>
      <c r="N690" s="250"/>
      <c r="O690" s="250"/>
      <c r="P690" s="250"/>
      <c r="Q690" s="250"/>
      <c r="R690" s="250"/>
      <c r="S690" s="266">
        <f t="shared" si="13"/>
        <v>0.56820172406699498</v>
      </c>
    </row>
    <row r="691" spans="1:19">
      <c r="A691" s="243"/>
      <c r="B691" s="244"/>
      <c r="C691" s="311">
        <v>4</v>
      </c>
      <c r="D691" s="244">
        <v>4</v>
      </c>
      <c r="E691" s="244">
        <v>1</v>
      </c>
      <c r="F691" s="244">
        <v>0</v>
      </c>
      <c r="G691" s="244">
        <v>2</v>
      </c>
      <c r="H691" s="244">
        <v>2</v>
      </c>
      <c r="I691" s="244">
        <v>0</v>
      </c>
      <c r="J691" s="244">
        <v>0</v>
      </c>
      <c r="K691" s="276">
        <v>2.9</v>
      </c>
      <c r="L691" s="277">
        <v>34.299999999999997</v>
      </c>
      <c r="M691" s="249"/>
      <c r="N691" s="250"/>
      <c r="O691" s="250"/>
      <c r="P691" s="250"/>
      <c r="Q691" s="250"/>
      <c r="R691" s="250"/>
      <c r="S691" s="266">
        <f t="shared" si="13"/>
        <v>0.46239799789895608</v>
      </c>
    </row>
    <row r="692" spans="1:19">
      <c r="A692" s="243"/>
      <c r="B692" s="244"/>
      <c r="C692" s="311">
        <v>4</v>
      </c>
      <c r="D692" s="244">
        <v>5</v>
      </c>
      <c r="E692" s="244">
        <v>0</v>
      </c>
      <c r="F692" s="244">
        <v>0</v>
      </c>
      <c r="G692" s="244">
        <v>2</v>
      </c>
      <c r="H692" s="244">
        <v>2</v>
      </c>
      <c r="I692" s="244">
        <v>0</v>
      </c>
      <c r="J692" s="244">
        <v>0</v>
      </c>
      <c r="K692" s="276">
        <v>2.9</v>
      </c>
      <c r="L692" s="277">
        <v>35.5</v>
      </c>
      <c r="M692" s="249"/>
      <c r="N692" s="250"/>
      <c r="O692" s="250"/>
      <c r="P692" s="250"/>
      <c r="Q692" s="250"/>
      <c r="R692" s="250"/>
      <c r="S692" s="266">
        <f t="shared" si="13"/>
        <v>0.46239799789895608</v>
      </c>
    </row>
    <row r="693" spans="1:19">
      <c r="A693" s="243"/>
      <c r="B693" s="244"/>
      <c r="C693" s="311">
        <v>5</v>
      </c>
      <c r="D693" s="244">
        <v>4</v>
      </c>
      <c r="E693" s="244">
        <v>1</v>
      </c>
      <c r="F693" s="244">
        <v>0</v>
      </c>
      <c r="G693" s="244">
        <v>2</v>
      </c>
      <c r="H693" s="244">
        <v>2</v>
      </c>
      <c r="I693" s="244">
        <v>0</v>
      </c>
      <c r="J693" s="244">
        <v>0</v>
      </c>
      <c r="K693" s="276">
        <v>3.7</v>
      </c>
      <c r="L693" s="277">
        <v>31.6</v>
      </c>
      <c r="M693" s="249"/>
      <c r="N693" s="250"/>
      <c r="O693" s="250"/>
      <c r="P693" s="250"/>
      <c r="Q693" s="250"/>
      <c r="R693" s="250"/>
      <c r="S693" s="266">
        <f t="shared" si="13"/>
        <v>0.56820172406699498</v>
      </c>
    </row>
    <row r="694" spans="1:19">
      <c r="A694" s="243"/>
      <c r="B694" s="244"/>
      <c r="C694" s="311">
        <v>8</v>
      </c>
      <c r="D694" s="244">
        <v>4</v>
      </c>
      <c r="E694" s="244">
        <v>1</v>
      </c>
      <c r="F694" s="244">
        <v>0</v>
      </c>
      <c r="G694" s="244">
        <v>1</v>
      </c>
      <c r="H694" s="244">
        <v>1</v>
      </c>
      <c r="I694" s="244">
        <v>1</v>
      </c>
      <c r="J694" s="244">
        <v>0</v>
      </c>
      <c r="K694" s="276">
        <v>5.3</v>
      </c>
      <c r="L694" s="277">
        <v>27.9</v>
      </c>
      <c r="M694" s="249"/>
      <c r="N694" s="250"/>
      <c r="O694" s="250"/>
      <c r="P694" s="250"/>
      <c r="Q694" s="250"/>
      <c r="R694" s="250"/>
      <c r="S694" s="266">
        <f t="shared" si="13"/>
        <v>0.72427586960078905</v>
      </c>
    </row>
    <row r="695" spans="1:19">
      <c r="A695" s="243"/>
      <c r="B695" s="244"/>
      <c r="C695" s="311">
        <v>4</v>
      </c>
      <c r="D695" s="244">
        <v>5</v>
      </c>
      <c r="E695" s="244">
        <v>1</v>
      </c>
      <c r="F695" s="244">
        <v>0</v>
      </c>
      <c r="G695" s="244">
        <v>2</v>
      </c>
      <c r="H695" s="244">
        <v>2</v>
      </c>
      <c r="I695" s="244">
        <v>1</v>
      </c>
      <c r="J695" s="244">
        <v>0</v>
      </c>
      <c r="K695" s="276">
        <v>2.5</v>
      </c>
      <c r="L695" s="277">
        <v>30.168800000000001</v>
      </c>
      <c r="M695" s="249"/>
      <c r="N695" s="250"/>
      <c r="O695" s="250"/>
      <c r="P695" s="250"/>
      <c r="Q695" s="250"/>
      <c r="R695" s="250"/>
      <c r="S695" s="266">
        <f t="shared" si="13"/>
        <v>0.3979400086720376</v>
      </c>
    </row>
    <row r="696" spans="1:19">
      <c r="A696" s="243"/>
      <c r="B696" s="244"/>
      <c r="C696" s="311">
        <v>4</v>
      </c>
      <c r="D696" s="244">
        <v>5</v>
      </c>
      <c r="E696" s="244">
        <v>0</v>
      </c>
      <c r="F696" s="244">
        <v>0</v>
      </c>
      <c r="G696" s="244">
        <v>2</v>
      </c>
      <c r="H696" s="244">
        <v>2</v>
      </c>
      <c r="I696" s="244">
        <v>1</v>
      </c>
      <c r="J696" s="244">
        <v>0</v>
      </c>
      <c r="K696" s="276">
        <v>2.5</v>
      </c>
      <c r="L696" s="277">
        <v>31.7</v>
      </c>
      <c r="M696" s="249"/>
      <c r="N696" s="250"/>
      <c r="O696" s="250"/>
      <c r="P696" s="250"/>
      <c r="Q696" s="250"/>
      <c r="R696" s="250"/>
      <c r="S696" s="266">
        <f t="shared" si="13"/>
        <v>0.3979400086720376</v>
      </c>
    </row>
    <row r="697" spans="1:19">
      <c r="A697" s="243"/>
      <c r="B697" s="244"/>
      <c r="C697" s="311">
        <v>6</v>
      </c>
      <c r="D697" s="244">
        <v>5</v>
      </c>
      <c r="E697" s="244">
        <v>1</v>
      </c>
      <c r="F697" s="244">
        <v>0</v>
      </c>
      <c r="G697" s="244">
        <v>2</v>
      </c>
      <c r="H697" s="244">
        <v>2</v>
      </c>
      <c r="I697" s="244">
        <v>1</v>
      </c>
      <c r="J697" s="244">
        <v>0</v>
      </c>
      <c r="K697" s="276">
        <v>4</v>
      </c>
      <c r="L697" s="277">
        <v>27.736599999999999</v>
      </c>
      <c r="M697" s="249"/>
      <c r="N697" s="250"/>
      <c r="O697" s="250"/>
      <c r="P697" s="250"/>
      <c r="Q697" s="250"/>
      <c r="R697" s="250"/>
      <c r="S697" s="266">
        <f t="shared" si="13"/>
        <v>0.6020599913279624</v>
      </c>
    </row>
    <row r="698" spans="1:19">
      <c r="A698" s="243"/>
      <c r="B698" s="244"/>
      <c r="C698" s="311">
        <v>6</v>
      </c>
      <c r="D698" s="244">
        <v>6</v>
      </c>
      <c r="E698" s="244">
        <v>0</v>
      </c>
      <c r="F698" s="244">
        <v>0</v>
      </c>
      <c r="G698" s="244">
        <v>2</v>
      </c>
      <c r="H698" s="244">
        <v>2</v>
      </c>
      <c r="I698" s="244">
        <v>1</v>
      </c>
      <c r="J698" s="244">
        <v>0</v>
      </c>
      <c r="K698" s="276">
        <v>4</v>
      </c>
      <c r="L698" s="277">
        <v>27.589400000000001</v>
      </c>
      <c r="M698" s="249"/>
      <c r="N698" s="250"/>
      <c r="O698" s="250"/>
      <c r="P698" s="250"/>
      <c r="Q698" s="250"/>
      <c r="R698" s="250"/>
      <c r="S698" s="266">
        <f t="shared" si="13"/>
        <v>0.6020599913279624</v>
      </c>
    </row>
    <row r="699" spans="1:19">
      <c r="A699" s="243"/>
      <c r="B699" s="244"/>
      <c r="C699" s="311">
        <v>4</v>
      </c>
      <c r="D699" s="244">
        <v>5</v>
      </c>
      <c r="E699" s="244">
        <v>1</v>
      </c>
      <c r="F699" s="244">
        <v>0</v>
      </c>
      <c r="G699" s="244">
        <v>2</v>
      </c>
      <c r="H699" s="244">
        <v>2</v>
      </c>
      <c r="I699" s="244">
        <v>1</v>
      </c>
      <c r="J699" s="244">
        <v>0</v>
      </c>
      <c r="K699" s="276">
        <v>2.5</v>
      </c>
      <c r="L699" s="277">
        <v>30.2</v>
      </c>
      <c r="M699" s="249"/>
      <c r="N699" s="250"/>
      <c r="O699" s="250"/>
      <c r="P699" s="250"/>
      <c r="Q699" s="250"/>
      <c r="R699" s="250"/>
      <c r="S699" s="266">
        <f t="shared" si="13"/>
        <v>0.3979400086720376</v>
      </c>
    </row>
    <row r="700" spans="1:19">
      <c r="A700" s="243"/>
      <c r="B700" s="244"/>
      <c r="C700" s="311">
        <v>4</v>
      </c>
      <c r="D700" s="244">
        <v>5</v>
      </c>
      <c r="E700" s="244">
        <v>0</v>
      </c>
      <c r="F700" s="244">
        <v>0</v>
      </c>
      <c r="G700" s="244">
        <v>2</v>
      </c>
      <c r="H700" s="244">
        <v>2</v>
      </c>
      <c r="I700" s="244">
        <v>1</v>
      </c>
      <c r="J700" s="244">
        <v>0</v>
      </c>
      <c r="K700" s="276">
        <v>2.5</v>
      </c>
      <c r="L700" s="277">
        <v>31.8</v>
      </c>
      <c r="M700" s="249"/>
      <c r="N700" s="250"/>
      <c r="O700" s="250"/>
      <c r="P700" s="250"/>
      <c r="Q700" s="250"/>
      <c r="R700" s="250"/>
      <c r="S700" s="266">
        <f t="shared" si="13"/>
        <v>0.3979400086720376</v>
      </c>
    </row>
    <row r="701" spans="1:19">
      <c r="A701" s="243"/>
      <c r="B701" s="244"/>
      <c r="C701" s="311">
        <v>6</v>
      </c>
      <c r="D701" s="244">
        <v>5</v>
      </c>
      <c r="E701" s="244">
        <v>1</v>
      </c>
      <c r="F701" s="244">
        <v>0</v>
      </c>
      <c r="G701" s="244">
        <v>2</v>
      </c>
      <c r="H701" s="244">
        <v>2</v>
      </c>
      <c r="I701" s="244">
        <v>1</v>
      </c>
      <c r="J701" s="244">
        <v>0</v>
      </c>
      <c r="K701" s="276">
        <v>4</v>
      </c>
      <c r="L701" s="277">
        <v>27.785699999999999</v>
      </c>
      <c r="M701" s="249"/>
      <c r="N701" s="250"/>
      <c r="O701" s="250"/>
      <c r="P701" s="250"/>
      <c r="Q701" s="250"/>
      <c r="R701" s="250"/>
      <c r="S701" s="266">
        <f t="shared" si="13"/>
        <v>0.6020599913279624</v>
      </c>
    </row>
    <row r="702" spans="1:19">
      <c r="A702" s="243"/>
      <c r="B702" s="244"/>
      <c r="C702" s="311">
        <v>4</v>
      </c>
      <c r="D702" s="244">
        <v>4</v>
      </c>
      <c r="E702" s="244">
        <v>1</v>
      </c>
      <c r="F702" s="244">
        <v>0</v>
      </c>
      <c r="G702" s="244">
        <v>2</v>
      </c>
      <c r="H702" s="244">
        <v>2</v>
      </c>
      <c r="I702" s="244">
        <v>1</v>
      </c>
      <c r="J702" s="244">
        <v>0</v>
      </c>
      <c r="K702" s="276">
        <v>2.7</v>
      </c>
      <c r="L702" s="277">
        <v>35.429099999999998</v>
      </c>
      <c r="M702" s="249"/>
      <c r="N702" s="250"/>
      <c r="O702" s="250"/>
      <c r="P702" s="250"/>
      <c r="Q702" s="250"/>
      <c r="R702" s="250"/>
      <c r="S702" s="266">
        <f t="shared" si="13"/>
        <v>0.43136376415898736</v>
      </c>
    </row>
    <row r="703" spans="1:19">
      <c r="A703" s="243"/>
      <c r="B703" s="244"/>
      <c r="C703" s="311">
        <v>4</v>
      </c>
      <c r="D703" s="244">
        <v>5</v>
      </c>
      <c r="E703" s="244">
        <v>0</v>
      </c>
      <c r="F703" s="244">
        <v>0</v>
      </c>
      <c r="G703" s="244">
        <v>2</v>
      </c>
      <c r="H703" s="244">
        <v>2</v>
      </c>
      <c r="I703" s="244">
        <v>1</v>
      </c>
      <c r="J703" s="244">
        <v>0</v>
      </c>
      <c r="K703" s="276">
        <v>2.7</v>
      </c>
      <c r="L703" s="277">
        <v>36.146299999999997</v>
      </c>
      <c r="M703" s="249"/>
      <c r="N703" s="250"/>
      <c r="O703" s="250"/>
      <c r="P703" s="250"/>
      <c r="Q703" s="250"/>
      <c r="R703" s="250"/>
      <c r="S703" s="266">
        <f t="shared" si="13"/>
        <v>0.43136376415898736</v>
      </c>
    </row>
    <row r="704" spans="1:19">
      <c r="A704" s="243"/>
      <c r="B704" s="244"/>
      <c r="C704" s="311">
        <v>6</v>
      </c>
      <c r="D704" s="244">
        <v>5</v>
      </c>
      <c r="E704" s="244">
        <v>1</v>
      </c>
      <c r="F704" s="244">
        <v>0</v>
      </c>
      <c r="G704" s="244">
        <v>2</v>
      </c>
      <c r="H704" s="244">
        <v>2</v>
      </c>
      <c r="I704" s="244">
        <v>1</v>
      </c>
      <c r="J704" s="244">
        <v>0</v>
      </c>
      <c r="K704" s="276">
        <v>4</v>
      </c>
      <c r="L704" s="277">
        <v>29.2</v>
      </c>
      <c r="M704" s="249"/>
      <c r="N704" s="250"/>
      <c r="O704" s="250"/>
      <c r="P704" s="250"/>
      <c r="Q704" s="250"/>
      <c r="R704" s="250"/>
      <c r="S704" s="266">
        <f t="shared" si="13"/>
        <v>0.6020599913279624</v>
      </c>
    </row>
    <row r="705" spans="1:19">
      <c r="A705" s="243"/>
      <c r="B705" s="244"/>
      <c r="C705" s="311">
        <v>6</v>
      </c>
      <c r="D705" s="244">
        <v>6</v>
      </c>
      <c r="E705" s="244">
        <v>0</v>
      </c>
      <c r="F705" s="244">
        <v>0</v>
      </c>
      <c r="G705" s="244">
        <v>2</v>
      </c>
      <c r="H705" s="244">
        <v>2</v>
      </c>
      <c r="I705" s="244">
        <v>1</v>
      </c>
      <c r="J705" s="244">
        <v>0</v>
      </c>
      <c r="K705" s="276">
        <v>4</v>
      </c>
      <c r="L705" s="277">
        <v>25.3</v>
      </c>
      <c r="M705" s="249"/>
      <c r="N705" s="250"/>
      <c r="O705" s="250"/>
      <c r="P705" s="250"/>
      <c r="Q705" s="250"/>
      <c r="R705" s="250"/>
      <c r="S705" s="266">
        <f t="shared" si="13"/>
        <v>0.6020599913279624</v>
      </c>
    </row>
    <row r="706" spans="1:19">
      <c r="A706" s="243"/>
      <c r="B706" s="244"/>
      <c r="C706" s="311">
        <v>4</v>
      </c>
      <c r="D706" s="244">
        <v>4</v>
      </c>
      <c r="E706" s="244">
        <v>1</v>
      </c>
      <c r="F706" s="244">
        <v>0</v>
      </c>
      <c r="G706" s="244">
        <v>2</v>
      </c>
      <c r="H706" s="244">
        <v>2</v>
      </c>
      <c r="I706" s="244">
        <v>0</v>
      </c>
      <c r="J706" s="244">
        <v>0</v>
      </c>
      <c r="K706" s="276">
        <v>2.9</v>
      </c>
      <c r="L706" s="277">
        <v>32.4</v>
      </c>
      <c r="M706" s="249"/>
      <c r="N706" s="250"/>
      <c r="O706" s="250"/>
      <c r="P706" s="250"/>
      <c r="Q706" s="250"/>
      <c r="R706" s="250"/>
      <c r="S706" s="266">
        <f t="shared" si="13"/>
        <v>0.46239799789895608</v>
      </c>
    </row>
    <row r="707" spans="1:19">
      <c r="A707" s="243"/>
      <c r="B707" s="244"/>
      <c r="C707" s="311">
        <v>4</v>
      </c>
      <c r="D707" s="244">
        <v>5</v>
      </c>
      <c r="E707" s="244">
        <v>0</v>
      </c>
      <c r="F707" s="244">
        <v>0</v>
      </c>
      <c r="G707" s="244">
        <v>2</v>
      </c>
      <c r="H707" s="244">
        <v>2</v>
      </c>
      <c r="I707" s="244">
        <v>0</v>
      </c>
      <c r="J707" s="244">
        <v>0</v>
      </c>
      <c r="K707" s="276">
        <v>2.9</v>
      </c>
      <c r="L707" s="277">
        <v>34.1</v>
      </c>
      <c r="M707" s="249"/>
      <c r="N707" s="250"/>
      <c r="O707" s="250"/>
      <c r="P707" s="250"/>
      <c r="Q707" s="250"/>
      <c r="R707" s="250"/>
      <c r="S707" s="266">
        <f t="shared" si="13"/>
        <v>0.46239799789895608</v>
      </c>
    </row>
    <row r="708" spans="1:19">
      <c r="A708" s="243"/>
      <c r="B708" s="244"/>
      <c r="C708" s="311">
        <v>5</v>
      </c>
      <c r="D708" s="244">
        <v>4</v>
      </c>
      <c r="E708" s="244">
        <v>1</v>
      </c>
      <c r="F708" s="244">
        <v>0</v>
      </c>
      <c r="G708" s="244">
        <v>2</v>
      </c>
      <c r="H708" s="244">
        <v>2</v>
      </c>
      <c r="I708" s="244">
        <v>0</v>
      </c>
      <c r="J708" s="244">
        <v>0</v>
      </c>
      <c r="K708" s="276">
        <v>3.7</v>
      </c>
      <c r="L708" s="277">
        <v>31.411200000000001</v>
      </c>
      <c r="M708" s="249"/>
      <c r="N708" s="250"/>
      <c r="O708" s="250"/>
      <c r="P708" s="250"/>
      <c r="Q708" s="250"/>
      <c r="R708" s="250"/>
      <c r="S708" s="266">
        <f t="shared" si="13"/>
        <v>0.56820172406699498</v>
      </c>
    </row>
    <row r="709" spans="1:19">
      <c r="A709" s="243"/>
      <c r="B709" s="244"/>
      <c r="C709" s="311">
        <v>8</v>
      </c>
      <c r="D709" s="244">
        <v>4</v>
      </c>
      <c r="E709" s="244">
        <v>1</v>
      </c>
      <c r="F709" s="244">
        <v>0</v>
      </c>
      <c r="G709" s="244">
        <v>1</v>
      </c>
      <c r="H709" s="244">
        <v>1</v>
      </c>
      <c r="I709" s="244">
        <v>1</v>
      </c>
      <c r="J709" s="244">
        <v>0</v>
      </c>
      <c r="K709" s="276">
        <v>5.3</v>
      </c>
      <c r="L709" s="277">
        <v>26.6</v>
      </c>
      <c r="M709" s="249"/>
      <c r="N709" s="250"/>
      <c r="O709" s="250"/>
      <c r="P709" s="250"/>
      <c r="Q709" s="250"/>
      <c r="R709" s="250"/>
      <c r="S709" s="266">
        <f t="shared" si="13"/>
        <v>0.72427586960078905</v>
      </c>
    </row>
    <row r="710" spans="1:19">
      <c r="A710" s="243"/>
      <c r="B710" s="244"/>
      <c r="C710" s="311">
        <v>5</v>
      </c>
      <c r="D710" s="244">
        <v>4</v>
      </c>
      <c r="E710" s="244">
        <v>1</v>
      </c>
      <c r="F710" s="244">
        <v>0</v>
      </c>
      <c r="G710" s="244">
        <v>2</v>
      </c>
      <c r="H710" s="244">
        <v>2</v>
      </c>
      <c r="I710" s="244">
        <v>0</v>
      </c>
      <c r="J710" s="244">
        <v>0</v>
      </c>
      <c r="K710" s="276">
        <v>3.7</v>
      </c>
      <c r="L710" s="277">
        <v>29.799900000000001</v>
      </c>
      <c r="M710" s="249"/>
      <c r="N710" s="250"/>
      <c r="O710" s="250"/>
      <c r="P710" s="250"/>
      <c r="Q710" s="250"/>
      <c r="R710" s="250"/>
      <c r="S710" s="266">
        <f t="shared" si="13"/>
        <v>0.56820172406699498</v>
      </c>
    </row>
    <row r="711" spans="1:19">
      <c r="A711" s="243"/>
      <c r="B711" s="244"/>
      <c r="C711" s="311">
        <v>5</v>
      </c>
      <c r="D711" s="244">
        <v>4</v>
      </c>
      <c r="E711" s="244">
        <v>1</v>
      </c>
      <c r="F711" s="244">
        <v>0</v>
      </c>
      <c r="G711" s="244">
        <v>2</v>
      </c>
      <c r="H711" s="244">
        <v>2</v>
      </c>
      <c r="I711" s="244">
        <v>0</v>
      </c>
      <c r="J711" s="244">
        <v>0</v>
      </c>
      <c r="K711" s="276">
        <v>3.7</v>
      </c>
      <c r="L711" s="277">
        <v>29.799900000000001</v>
      </c>
      <c r="M711" s="249"/>
      <c r="N711" s="250"/>
      <c r="O711" s="250"/>
      <c r="P711" s="250"/>
      <c r="Q711" s="250"/>
      <c r="R711" s="250"/>
      <c r="S711" s="266">
        <f t="shared" si="13"/>
        <v>0.56820172406699498</v>
      </c>
    </row>
    <row r="712" spans="1:19">
      <c r="A712" s="243"/>
      <c r="B712" s="244"/>
      <c r="C712" s="311">
        <v>8</v>
      </c>
      <c r="D712" s="244">
        <v>4</v>
      </c>
      <c r="E712" s="244">
        <v>1</v>
      </c>
      <c r="F712" s="244">
        <v>0</v>
      </c>
      <c r="G712" s="244">
        <v>1</v>
      </c>
      <c r="H712" s="244">
        <v>1</v>
      </c>
      <c r="I712" s="244">
        <v>1</v>
      </c>
      <c r="J712" s="244">
        <v>0</v>
      </c>
      <c r="K712" s="276">
        <v>5.3</v>
      </c>
      <c r="L712" s="277">
        <v>26.6</v>
      </c>
      <c r="M712" s="249"/>
      <c r="N712" s="250"/>
      <c r="O712" s="250"/>
      <c r="P712" s="250"/>
      <c r="Q712" s="250"/>
      <c r="R712" s="250"/>
      <c r="S712" s="266">
        <f t="shared" si="13"/>
        <v>0.72427586960078905</v>
      </c>
    </row>
    <row r="713" spans="1:19">
      <c r="A713" s="243"/>
      <c r="B713" s="244"/>
      <c r="C713" s="311">
        <v>6</v>
      </c>
      <c r="D713" s="244">
        <v>5</v>
      </c>
      <c r="E713" s="244">
        <v>0</v>
      </c>
      <c r="F713" s="244">
        <v>1</v>
      </c>
      <c r="G713" s="244">
        <v>1</v>
      </c>
      <c r="H713" s="244">
        <v>1</v>
      </c>
      <c r="I713" s="244">
        <v>0</v>
      </c>
      <c r="J713" s="244">
        <v>0</v>
      </c>
      <c r="K713" s="276">
        <v>4</v>
      </c>
      <c r="L713" s="277">
        <v>26.2</v>
      </c>
      <c r="M713" s="249"/>
      <c r="N713" s="250"/>
      <c r="O713" s="250"/>
      <c r="P713" s="250"/>
      <c r="Q713" s="250"/>
      <c r="R713" s="250"/>
      <c r="S713" s="266">
        <f t="shared" si="13"/>
        <v>0.6020599913279624</v>
      </c>
    </row>
    <row r="714" spans="1:19">
      <c r="A714" s="243"/>
      <c r="B714" s="244"/>
      <c r="C714" s="311">
        <v>6</v>
      </c>
      <c r="D714" s="244">
        <v>5</v>
      </c>
      <c r="E714" s="244">
        <v>1</v>
      </c>
      <c r="F714" s="244">
        <v>1</v>
      </c>
      <c r="G714" s="244">
        <v>1</v>
      </c>
      <c r="H714" s="244">
        <v>1</v>
      </c>
      <c r="I714" s="244">
        <v>0</v>
      </c>
      <c r="J714" s="244">
        <v>0</v>
      </c>
      <c r="K714" s="276">
        <v>4</v>
      </c>
      <c r="L714" s="277">
        <v>24.6648</v>
      </c>
      <c r="M714" s="249"/>
      <c r="N714" s="250"/>
      <c r="O714" s="250"/>
      <c r="P714" s="250"/>
      <c r="Q714" s="250"/>
      <c r="R714" s="250"/>
      <c r="S714" s="266">
        <f t="shared" si="13"/>
        <v>0.6020599913279624</v>
      </c>
    </row>
    <row r="715" spans="1:19">
      <c r="A715" s="243"/>
      <c r="B715" s="244"/>
      <c r="C715" s="311">
        <v>4</v>
      </c>
      <c r="D715" s="244">
        <v>4</v>
      </c>
      <c r="E715" s="244">
        <v>1</v>
      </c>
      <c r="F715" s="244">
        <v>0</v>
      </c>
      <c r="G715" s="244">
        <v>2</v>
      </c>
      <c r="H715" s="244">
        <v>2</v>
      </c>
      <c r="I715" s="244">
        <v>0</v>
      </c>
      <c r="J715" s="244">
        <v>0</v>
      </c>
      <c r="K715" s="276">
        <v>2.9</v>
      </c>
      <c r="L715" s="277">
        <v>32.4</v>
      </c>
      <c r="M715" s="249"/>
      <c r="N715" s="250"/>
      <c r="O715" s="250"/>
      <c r="P715" s="250"/>
      <c r="Q715" s="250"/>
      <c r="R715" s="250"/>
      <c r="S715" s="266">
        <f t="shared" ref="S715:S778" si="14">LOG10(K715)</f>
        <v>0.46239799789895608</v>
      </c>
    </row>
    <row r="716" spans="1:19">
      <c r="A716" s="243"/>
      <c r="B716" s="244"/>
      <c r="C716" s="311">
        <v>4</v>
      </c>
      <c r="D716" s="244">
        <v>5</v>
      </c>
      <c r="E716" s="244">
        <v>0</v>
      </c>
      <c r="F716" s="244">
        <v>0</v>
      </c>
      <c r="G716" s="244">
        <v>2</v>
      </c>
      <c r="H716" s="244">
        <v>2</v>
      </c>
      <c r="I716" s="244">
        <v>0</v>
      </c>
      <c r="J716" s="244">
        <v>0</v>
      </c>
      <c r="K716" s="276">
        <v>2.9</v>
      </c>
      <c r="L716" s="277">
        <v>34.1</v>
      </c>
      <c r="M716" s="249"/>
      <c r="N716" s="250"/>
      <c r="O716" s="250"/>
      <c r="P716" s="250"/>
      <c r="Q716" s="250"/>
      <c r="R716" s="250"/>
      <c r="S716" s="266">
        <f t="shared" si="14"/>
        <v>0.46239799789895608</v>
      </c>
    </row>
    <row r="717" spans="1:19">
      <c r="A717" s="243"/>
      <c r="B717" s="244"/>
      <c r="C717" s="311">
        <v>5</v>
      </c>
      <c r="D717" s="244">
        <v>4</v>
      </c>
      <c r="E717" s="244">
        <v>1</v>
      </c>
      <c r="F717" s="244">
        <v>0</v>
      </c>
      <c r="G717" s="244">
        <v>2</v>
      </c>
      <c r="H717" s="244">
        <v>2</v>
      </c>
      <c r="I717" s="244">
        <v>0</v>
      </c>
      <c r="J717" s="244">
        <v>0</v>
      </c>
      <c r="K717" s="276">
        <v>3.7</v>
      </c>
      <c r="L717" s="277">
        <v>31.3858</v>
      </c>
      <c r="M717" s="249"/>
      <c r="N717" s="250"/>
      <c r="O717" s="250"/>
      <c r="P717" s="250"/>
      <c r="Q717" s="250"/>
      <c r="R717" s="250"/>
      <c r="S717" s="266">
        <f t="shared" si="14"/>
        <v>0.56820172406699498</v>
      </c>
    </row>
    <row r="718" spans="1:19">
      <c r="A718" s="243"/>
      <c r="B718" s="244"/>
      <c r="C718" s="311">
        <v>8</v>
      </c>
      <c r="D718" s="244">
        <v>4</v>
      </c>
      <c r="E718" s="244">
        <v>1</v>
      </c>
      <c r="F718" s="244">
        <v>0</v>
      </c>
      <c r="G718" s="244">
        <v>1</v>
      </c>
      <c r="H718" s="244">
        <v>1</v>
      </c>
      <c r="I718" s="244">
        <v>1</v>
      </c>
      <c r="J718" s="244">
        <v>0</v>
      </c>
      <c r="K718" s="276">
        <v>5.3</v>
      </c>
      <c r="L718" s="277">
        <v>26.6</v>
      </c>
      <c r="M718" s="249"/>
      <c r="N718" s="250"/>
      <c r="O718" s="250"/>
      <c r="P718" s="250"/>
      <c r="Q718" s="250"/>
      <c r="R718" s="250"/>
      <c r="S718" s="266">
        <f t="shared" si="14"/>
        <v>0.72427586960078905</v>
      </c>
    </row>
    <row r="719" spans="1:19">
      <c r="A719" s="243"/>
      <c r="B719" s="244"/>
      <c r="C719" s="311">
        <v>5</v>
      </c>
      <c r="D719" s="244">
        <v>4</v>
      </c>
      <c r="E719" s="244">
        <v>1</v>
      </c>
      <c r="F719" s="244">
        <v>0</v>
      </c>
      <c r="G719" s="244">
        <v>2</v>
      </c>
      <c r="H719" s="244">
        <v>2</v>
      </c>
      <c r="I719" s="244">
        <v>0</v>
      </c>
      <c r="J719" s="244">
        <v>0</v>
      </c>
      <c r="K719" s="276">
        <v>3.7</v>
      </c>
      <c r="L719" s="277">
        <v>29.799900000000001</v>
      </c>
      <c r="M719" s="249"/>
      <c r="N719" s="250"/>
      <c r="O719" s="250"/>
      <c r="P719" s="250"/>
      <c r="Q719" s="250"/>
      <c r="R719" s="250"/>
      <c r="S719" s="266">
        <f t="shared" si="14"/>
        <v>0.56820172406699498</v>
      </c>
    </row>
    <row r="720" spans="1:19">
      <c r="A720" s="243"/>
      <c r="B720" s="244"/>
      <c r="C720" s="311">
        <v>5</v>
      </c>
      <c r="D720" s="244">
        <v>4</v>
      </c>
      <c r="E720" s="244">
        <v>1</v>
      </c>
      <c r="F720" s="244">
        <v>0</v>
      </c>
      <c r="G720" s="244">
        <v>2</v>
      </c>
      <c r="H720" s="244">
        <v>2</v>
      </c>
      <c r="I720" s="244">
        <v>0</v>
      </c>
      <c r="J720" s="244">
        <v>0</v>
      </c>
      <c r="K720" s="276">
        <v>3.7</v>
      </c>
      <c r="L720" s="277">
        <v>29.799900000000001</v>
      </c>
      <c r="M720" s="249"/>
      <c r="N720" s="250"/>
      <c r="O720" s="250"/>
      <c r="P720" s="250"/>
      <c r="Q720" s="250"/>
      <c r="R720" s="250"/>
      <c r="S720" s="266">
        <f t="shared" si="14"/>
        <v>0.56820172406699498</v>
      </c>
    </row>
    <row r="721" spans="1:19">
      <c r="A721" s="243"/>
      <c r="B721" s="244"/>
      <c r="C721" s="311">
        <v>8</v>
      </c>
      <c r="D721" s="244">
        <v>4</v>
      </c>
      <c r="E721" s="244">
        <v>1</v>
      </c>
      <c r="F721" s="244">
        <v>0</v>
      </c>
      <c r="G721" s="244">
        <v>1</v>
      </c>
      <c r="H721" s="244">
        <v>1</v>
      </c>
      <c r="I721" s="244">
        <v>1</v>
      </c>
      <c r="J721" s="244">
        <v>0</v>
      </c>
      <c r="K721" s="276">
        <v>5.3</v>
      </c>
      <c r="L721" s="277">
        <v>26.6</v>
      </c>
      <c r="M721" s="249"/>
      <c r="N721" s="250"/>
      <c r="O721" s="250"/>
      <c r="P721" s="250"/>
      <c r="Q721" s="250"/>
      <c r="R721" s="250"/>
      <c r="S721" s="266">
        <f t="shared" si="14"/>
        <v>0.72427586960078905</v>
      </c>
    </row>
    <row r="722" spans="1:19">
      <c r="A722" s="243"/>
      <c r="B722" s="244"/>
      <c r="C722" s="311">
        <v>6</v>
      </c>
      <c r="D722" s="244">
        <v>6</v>
      </c>
      <c r="E722" s="244">
        <v>0</v>
      </c>
      <c r="F722" s="244">
        <v>0</v>
      </c>
      <c r="G722" s="244">
        <v>2</v>
      </c>
      <c r="H722" s="244">
        <v>2</v>
      </c>
      <c r="I722" s="244">
        <v>1</v>
      </c>
      <c r="J722" s="244">
        <v>0</v>
      </c>
      <c r="K722" s="276">
        <v>4</v>
      </c>
      <c r="L722" s="277">
        <v>26.82</v>
      </c>
      <c r="M722" s="249"/>
      <c r="N722" s="250"/>
      <c r="O722" s="250"/>
      <c r="P722" s="250"/>
      <c r="Q722" s="250"/>
      <c r="R722" s="250"/>
      <c r="S722" s="266">
        <f t="shared" si="14"/>
        <v>0.6020599913279624</v>
      </c>
    </row>
    <row r="723" spans="1:19">
      <c r="A723" s="243"/>
      <c r="B723" s="244"/>
      <c r="C723" s="311">
        <v>6</v>
      </c>
      <c r="D723" s="244">
        <v>5</v>
      </c>
      <c r="E723" s="244">
        <v>1</v>
      </c>
      <c r="F723" s="244">
        <v>0</v>
      </c>
      <c r="G723" s="244">
        <v>2</v>
      </c>
      <c r="H723" s="244">
        <v>2</v>
      </c>
      <c r="I723" s="244">
        <v>1</v>
      </c>
      <c r="J723" s="244">
        <v>0</v>
      </c>
      <c r="K723" s="276">
        <v>4</v>
      </c>
      <c r="L723" s="277">
        <v>26.6538</v>
      </c>
      <c r="M723" s="249"/>
      <c r="N723" s="250"/>
      <c r="O723" s="250"/>
      <c r="P723" s="250"/>
      <c r="Q723" s="250"/>
      <c r="R723" s="250"/>
      <c r="S723" s="266">
        <f t="shared" si="14"/>
        <v>0.6020599913279624</v>
      </c>
    </row>
    <row r="724" spans="1:19">
      <c r="A724" s="243"/>
      <c r="B724" s="244"/>
      <c r="C724" s="311">
        <v>6</v>
      </c>
      <c r="D724" s="244">
        <v>5</v>
      </c>
      <c r="E724" s="244">
        <v>1</v>
      </c>
      <c r="F724" s="244">
        <v>0</v>
      </c>
      <c r="G724" s="244">
        <v>2</v>
      </c>
      <c r="H724" s="244">
        <v>2</v>
      </c>
      <c r="I724" s="244">
        <v>1</v>
      </c>
      <c r="J724" s="244">
        <v>0</v>
      </c>
      <c r="K724" s="276">
        <v>4</v>
      </c>
      <c r="L724" s="277">
        <v>26.384599999999999</v>
      </c>
      <c r="M724" s="249"/>
      <c r="N724" s="250"/>
      <c r="O724" s="250"/>
      <c r="P724" s="250"/>
      <c r="Q724" s="250"/>
      <c r="R724" s="250"/>
      <c r="S724" s="266">
        <f t="shared" si="14"/>
        <v>0.6020599913279624</v>
      </c>
    </row>
    <row r="725" spans="1:19">
      <c r="A725" s="243"/>
      <c r="B725" s="244"/>
      <c r="C725" s="311">
        <v>4</v>
      </c>
      <c r="D725" s="244">
        <v>5</v>
      </c>
      <c r="E725" s="244">
        <v>0</v>
      </c>
      <c r="F725" s="244">
        <v>0</v>
      </c>
      <c r="G725" s="244">
        <v>2</v>
      </c>
      <c r="H725" s="244">
        <v>2</v>
      </c>
      <c r="I725" s="244">
        <v>1</v>
      </c>
      <c r="J725" s="244">
        <v>0</v>
      </c>
      <c r="K725" s="276">
        <v>2.7</v>
      </c>
      <c r="L725" s="277">
        <v>30.3</v>
      </c>
      <c r="M725" s="249"/>
      <c r="N725" s="250"/>
      <c r="O725" s="250"/>
      <c r="P725" s="250"/>
      <c r="Q725" s="250"/>
      <c r="R725" s="250"/>
      <c r="S725" s="266">
        <f t="shared" si="14"/>
        <v>0.43136376415898736</v>
      </c>
    </row>
    <row r="726" spans="1:19">
      <c r="A726" s="243"/>
      <c r="B726" s="244"/>
      <c r="C726" s="311">
        <v>6</v>
      </c>
      <c r="D726" s="244">
        <v>5</v>
      </c>
      <c r="E726" s="244">
        <v>1</v>
      </c>
      <c r="F726" s="244">
        <v>0</v>
      </c>
      <c r="G726" s="244">
        <v>2</v>
      </c>
      <c r="H726" s="244">
        <v>2</v>
      </c>
      <c r="I726" s="244">
        <v>1</v>
      </c>
      <c r="J726" s="244">
        <v>0</v>
      </c>
      <c r="K726" s="276">
        <v>4</v>
      </c>
      <c r="L726" s="277">
        <v>28.3</v>
      </c>
      <c r="M726" s="249"/>
      <c r="N726" s="250"/>
      <c r="O726" s="250"/>
      <c r="P726" s="250"/>
      <c r="Q726" s="250"/>
      <c r="R726" s="250"/>
      <c r="S726" s="266">
        <f t="shared" si="14"/>
        <v>0.6020599913279624</v>
      </c>
    </row>
    <row r="727" spans="1:19">
      <c r="A727" s="243"/>
      <c r="B727" s="244"/>
      <c r="C727" s="311">
        <v>6</v>
      </c>
      <c r="D727" s="244">
        <v>6</v>
      </c>
      <c r="E727" s="244">
        <v>0</v>
      </c>
      <c r="F727" s="244">
        <v>0</v>
      </c>
      <c r="G727" s="244">
        <v>2</v>
      </c>
      <c r="H727" s="244">
        <v>2</v>
      </c>
      <c r="I727" s="244">
        <v>1</v>
      </c>
      <c r="J727" s="244">
        <v>0</v>
      </c>
      <c r="K727" s="276">
        <v>4</v>
      </c>
      <c r="L727" s="277">
        <v>24.4</v>
      </c>
      <c r="M727" s="249"/>
      <c r="N727" s="250"/>
      <c r="O727" s="250"/>
      <c r="P727" s="250"/>
      <c r="Q727" s="250"/>
      <c r="R727" s="250"/>
      <c r="S727" s="266">
        <f t="shared" si="14"/>
        <v>0.6020599913279624</v>
      </c>
    </row>
    <row r="728" spans="1:19">
      <c r="A728" s="243"/>
      <c r="B728" s="244"/>
      <c r="C728" s="311">
        <v>6</v>
      </c>
      <c r="D728" s="244">
        <v>4</v>
      </c>
      <c r="E728" s="244">
        <v>1</v>
      </c>
      <c r="F728" s="244">
        <v>0</v>
      </c>
      <c r="G728" s="244">
        <v>1</v>
      </c>
      <c r="H728" s="244">
        <v>1</v>
      </c>
      <c r="I728" s="244">
        <v>0</v>
      </c>
      <c r="J728" s="244">
        <v>0</v>
      </c>
      <c r="K728" s="276">
        <v>4.3</v>
      </c>
      <c r="L728" s="277">
        <v>27.805499999999999</v>
      </c>
      <c r="M728" s="249"/>
      <c r="N728" s="250"/>
      <c r="O728" s="250"/>
      <c r="P728" s="250"/>
      <c r="Q728" s="250"/>
      <c r="R728" s="250"/>
      <c r="S728" s="266">
        <f t="shared" si="14"/>
        <v>0.63346845557958653</v>
      </c>
    </row>
    <row r="729" spans="1:19">
      <c r="A729" s="243"/>
      <c r="B729" s="244"/>
      <c r="C729" s="311">
        <v>8</v>
      </c>
      <c r="D729" s="244">
        <v>4</v>
      </c>
      <c r="E729" s="244">
        <v>1</v>
      </c>
      <c r="F729" s="244">
        <v>0</v>
      </c>
      <c r="G729" s="244">
        <v>1</v>
      </c>
      <c r="H729" s="244">
        <v>1</v>
      </c>
      <c r="I729" s="244">
        <v>1</v>
      </c>
      <c r="J729" s="244">
        <v>0</v>
      </c>
      <c r="K729" s="276">
        <v>4.8</v>
      </c>
      <c r="L729" s="277">
        <v>26.228300000000001</v>
      </c>
      <c r="M729" s="249"/>
      <c r="N729" s="250"/>
      <c r="O729" s="250"/>
      <c r="P729" s="250"/>
      <c r="Q729" s="250"/>
      <c r="R729" s="250"/>
      <c r="S729" s="266">
        <f t="shared" si="14"/>
        <v>0.68124123737558717</v>
      </c>
    </row>
    <row r="730" spans="1:19">
      <c r="A730" s="243"/>
      <c r="B730" s="244"/>
      <c r="C730" s="311">
        <v>8</v>
      </c>
      <c r="D730" s="244">
        <v>6</v>
      </c>
      <c r="E730" s="244">
        <v>1</v>
      </c>
      <c r="F730" s="244">
        <v>0</v>
      </c>
      <c r="G730" s="244">
        <v>1</v>
      </c>
      <c r="H730" s="244">
        <v>1</v>
      </c>
      <c r="I730" s="244">
        <v>1</v>
      </c>
      <c r="J730" s="244">
        <v>0</v>
      </c>
      <c r="K730" s="276">
        <v>5.3</v>
      </c>
      <c r="L730" s="277">
        <v>29.370799999999999</v>
      </c>
      <c r="M730" s="249"/>
      <c r="N730" s="250"/>
      <c r="O730" s="250"/>
      <c r="P730" s="250"/>
      <c r="Q730" s="250"/>
      <c r="R730" s="250"/>
      <c r="S730" s="266">
        <f t="shared" si="14"/>
        <v>0.72427586960078905</v>
      </c>
    </row>
    <row r="731" spans="1:19">
      <c r="A731" s="243"/>
      <c r="B731" s="244"/>
      <c r="C731" s="311">
        <v>8</v>
      </c>
      <c r="D731" s="244">
        <v>6</v>
      </c>
      <c r="E731" s="244">
        <v>1</v>
      </c>
      <c r="F731" s="244">
        <v>0</v>
      </c>
      <c r="G731" s="244">
        <v>1</v>
      </c>
      <c r="H731" s="244">
        <v>1</v>
      </c>
      <c r="I731" s="244">
        <v>1</v>
      </c>
      <c r="J731" s="244">
        <v>0</v>
      </c>
      <c r="K731" s="276">
        <v>6.2</v>
      </c>
      <c r="L731" s="277">
        <v>26.1</v>
      </c>
      <c r="M731" s="249"/>
      <c r="N731" s="250"/>
      <c r="O731" s="250"/>
      <c r="P731" s="250"/>
      <c r="Q731" s="250"/>
      <c r="R731" s="250"/>
      <c r="S731" s="266">
        <f t="shared" si="14"/>
        <v>0.79239168949825389</v>
      </c>
    </row>
    <row r="732" spans="1:19">
      <c r="A732" s="243"/>
      <c r="B732" s="244"/>
      <c r="C732" s="311">
        <v>8</v>
      </c>
      <c r="D732" s="244">
        <v>1</v>
      </c>
      <c r="E732" s="244">
        <v>0</v>
      </c>
      <c r="F732" s="244">
        <v>0</v>
      </c>
      <c r="G732" s="244">
        <v>1</v>
      </c>
      <c r="H732" s="244">
        <v>1</v>
      </c>
      <c r="I732" s="244">
        <v>1</v>
      </c>
      <c r="J732" s="244">
        <v>0</v>
      </c>
      <c r="K732" s="276">
        <v>6</v>
      </c>
      <c r="L732" s="277">
        <v>30.5</v>
      </c>
      <c r="M732" s="249"/>
      <c r="N732" s="250"/>
      <c r="O732" s="250"/>
      <c r="P732" s="250"/>
      <c r="Q732" s="250"/>
      <c r="R732" s="250"/>
      <c r="S732" s="266">
        <f t="shared" si="14"/>
        <v>0.77815125038364363</v>
      </c>
    </row>
    <row r="733" spans="1:19">
      <c r="A733" s="243"/>
      <c r="B733" s="244"/>
      <c r="C733" s="311">
        <v>8</v>
      </c>
      <c r="D733" s="244">
        <v>6</v>
      </c>
      <c r="E733" s="244">
        <v>1</v>
      </c>
      <c r="F733" s="244">
        <v>0</v>
      </c>
      <c r="G733" s="244">
        <v>1</v>
      </c>
      <c r="H733" s="244">
        <v>1</v>
      </c>
      <c r="I733" s="244">
        <v>1</v>
      </c>
      <c r="J733" s="244">
        <v>0</v>
      </c>
      <c r="K733" s="276">
        <v>5.3</v>
      </c>
      <c r="L733" s="277">
        <v>30.4</v>
      </c>
      <c r="M733" s="249"/>
      <c r="N733" s="250"/>
      <c r="O733" s="250"/>
      <c r="P733" s="250"/>
      <c r="Q733" s="250"/>
      <c r="R733" s="250"/>
      <c r="S733" s="266">
        <f t="shared" si="14"/>
        <v>0.72427586960078905</v>
      </c>
    </row>
    <row r="734" spans="1:19">
      <c r="A734" s="243"/>
      <c r="B734" s="244"/>
      <c r="C734" s="311">
        <v>6</v>
      </c>
      <c r="D734" s="244">
        <v>4</v>
      </c>
      <c r="E734" s="244">
        <v>1</v>
      </c>
      <c r="F734" s="244">
        <v>0</v>
      </c>
      <c r="G734" s="244">
        <v>1</v>
      </c>
      <c r="H734" s="244">
        <v>1</v>
      </c>
      <c r="I734" s="244">
        <v>0</v>
      </c>
      <c r="J734" s="244">
        <v>0</v>
      </c>
      <c r="K734" s="276">
        <v>3.7</v>
      </c>
      <c r="L734" s="277">
        <v>28.1</v>
      </c>
      <c r="M734" s="249"/>
      <c r="N734" s="250"/>
      <c r="O734" s="250"/>
      <c r="P734" s="250"/>
      <c r="Q734" s="250"/>
      <c r="R734" s="250"/>
      <c r="S734" s="266">
        <f t="shared" si="14"/>
        <v>0.56820172406699498</v>
      </c>
    </row>
    <row r="735" spans="1:19">
      <c r="A735" s="243"/>
      <c r="B735" s="244"/>
      <c r="C735" s="311">
        <v>8</v>
      </c>
      <c r="D735" s="244">
        <v>5</v>
      </c>
      <c r="E735" s="244">
        <v>1</v>
      </c>
      <c r="F735" s="244">
        <v>0</v>
      </c>
      <c r="G735" s="244">
        <v>1</v>
      </c>
      <c r="H735" s="244">
        <v>1</v>
      </c>
      <c r="I735" s="244">
        <v>0</v>
      </c>
      <c r="J735" s="244">
        <v>0</v>
      </c>
      <c r="K735" s="276">
        <v>4.7</v>
      </c>
      <c r="L735" s="277">
        <v>25.6</v>
      </c>
      <c r="M735" s="249"/>
      <c r="N735" s="250"/>
      <c r="O735" s="250"/>
      <c r="P735" s="250"/>
      <c r="Q735" s="250"/>
      <c r="R735" s="250"/>
      <c r="S735" s="266">
        <f t="shared" si="14"/>
        <v>0.67209785793571752</v>
      </c>
    </row>
    <row r="736" spans="1:19">
      <c r="A736" s="243"/>
      <c r="B736" s="244"/>
      <c r="C736" s="311">
        <v>6</v>
      </c>
      <c r="D736" s="244">
        <v>4</v>
      </c>
      <c r="E736" s="244">
        <v>1</v>
      </c>
      <c r="F736" s="244">
        <v>0</v>
      </c>
      <c r="G736" s="244">
        <v>1</v>
      </c>
      <c r="H736" s="244">
        <v>1</v>
      </c>
      <c r="I736" s="244">
        <v>0</v>
      </c>
      <c r="J736" s="244">
        <v>0</v>
      </c>
      <c r="K736" s="276">
        <v>3.7</v>
      </c>
      <c r="L736" s="277">
        <v>27.8</v>
      </c>
      <c r="M736" s="249"/>
      <c r="N736" s="250"/>
      <c r="O736" s="250"/>
      <c r="P736" s="250"/>
      <c r="Q736" s="250"/>
      <c r="R736" s="250"/>
      <c r="S736" s="266">
        <f t="shared" si="14"/>
        <v>0.56820172406699498</v>
      </c>
    </row>
    <row r="737" spans="1:19">
      <c r="A737" s="243"/>
      <c r="B737" s="244"/>
      <c r="C737" s="311">
        <v>8</v>
      </c>
      <c r="D737" s="244">
        <v>5</v>
      </c>
      <c r="E737" s="244">
        <v>1</v>
      </c>
      <c r="F737" s="244">
        <v>0</v>
      </c>
      <c r="G737" s="244">
        <v>1</v>
      </c>
      <c r="H737" s="244">
        <v>1</v>
      </c>
      <c r="I737" s="244">
        <v>0</v>
      </c>
      <c r="J737" s="244">
        <v>0</v>
      </c>
      <c r="K737" s="276">
        <v>4.7</v>
      </c>
      <c r="L737" s="277">
        <v>25.6</v>
      </c>
      <c r="M737" s="249"/>
      <c r="N737" s="250"/>
      <c r="O737" s="250"/>
      <c r="P737" s="250"/>
      <c r="Q737" s="250"/>
      <c r="R737" s="250"/>
      <c r="S737" s="266">
        <f t="shared" si="14"/>
        <v>0.67209785793571752</v>
      </c>
    </row>
    <row r="738" spans="1:19">
      <c r="A738" s="243"/>
      <c r="B738" s="244"/>
      <c r="C738" s="311">
        <v>8</v>
      </c>
      <c r="D738" s="244">
        <v>5</v>
      </c>
      <c r="E738" s="244">
        <v>1</v>
      </c>
      <c r="F738" s="244">
        <v>0</v>
      </c>
      <c r="G738" s="244">
        <v>1</v>
      </c>
      <c r="H738" s="244">
        <v>1</v>
      </c>
      <c r="I738" s="244">
        <v>1</v>
      </c>
      <c r="J738" s="244">
        <v>0</v>
      </c>
      <c r="K738" s="276">
        <v>5.7</v>
      </c>
      <c r="L738" s="277">
        <v>27.1</v>
      </c>
      <c r="M738" s="249"/>
      <c r="N738" s="250"/>
      <c r="O738" s="250"/>
      <c r="P738" s="250"/>
      <c r="Q738" s="250"/>
      <c r="R738" s="250"/>
      <c r="S738" s="266">
        <f t="shared" si="14"/>
        <v>0.75587485567249146</v>
      </c>
    </row>
    <row r="739" spans="1:19">
      <c r="A739" s="243"/>
      <c r="B739" s="244"/>
      <c r="C739" s="311">
        <v>6</v>
      </c>
      <c r="D739" s="244">
        <v>5</v>
      </c>
      <c r="E739" s="244">
        <v>1</v>
      </c>
      <c r="F739" s="244">
        <v>1</v>
      </c>
      <c r="G739" s="244">
        <v>1</v>
      </c>
      <c r="H739" s="244">
        <v>1</v>
      </c>
      <c r="I739" s="244">
        <v>0</v>
      </c>
      <c r="J739" s="244">
        <v>0</v>
      </c>
      <c r="K739" s="276">
        <v>4</v>
      </c>
      <c r="L739" s="277">
        <v>27.8</v>
      </c>
      <c r="M739" s="249"/>
      <c r="N739" s="250"/>
      <c r="O739" s="250"/>
      <c r="P739" s="250"/>
      <c r="Q739" s="250"/>
      <c r="R739" s="250"/>
      <c r="S739" s="266">
        <f t="shared" si="14"/>
        <v>0.6020599913279624</v>
      </c>
    </row>
    <row r="740" spans="1:19">
      <c r="A740" s="243"/>
      <c r="B740" s="244"/>
      <c r="C740" s="311">
        <v>8</v>
      </c>
      <c r="D740" s="244">
        <v>6</v>
      </c>
      <c r="E740" s="244">
        <v>1</v>
      </c>
      <c r="F740" s="244">
        <v>1</v>
      </c>
      <c r="G740" s="244">
        <v>2</v>
      </c>
      <c r="H740" s="244">
        <v>1</v>
      </c>
      <c r="I740" s="244">
        <v>0</v>
      </c>
      <c r="J740" s="244">
        <v>0</v>
      </c>
      <c r="K740" s="276">
        <v>4.5999999999999996</v>
      </c>
      <c r="L740" s="277">
        <v>29</v>
      </c>
      <c r="M740" s="249"/>
      <c r="N740" s="250"/>
      <c r="O740" s="250"/>
      <c r="P740" s="250"/>
      <c r="Q740" s="250"/>
      <c r="R740" s="250"/>
      <c r="S740" s="266">
        <f t="shared" si="14"/>
        <v>0.66275783168157409</v>
      </c>
    </row>
    <row r="741" spans="1:19">
      <c r="A741" s="243"/>
      <c r="B741" s="244"/>
      <c r="C741" s="311">
        <v>8</v>
      </c>
      <c r="D741" s="244">
        <v>6</v>
      </c>
      <c r="E741" s="244">
        <v>1</v>
      </c>
      <c r="F741" s="244">
        <v>0</v>
      </c>
      <c r="G741" s="244">
        <v>2</v>
      </c>
      <c r="H741" s="244">
        <v>1</v>
      </c>
      <c r="I741" s="244">
        <v>0</v>
      </c>
      <c r="J741" s="244">
        <v>0</v>
      </c>
      <c r="K741" s="276">
        <v>5.4</v>
      </c>
      <c r="L741" s="277">
        <v>27.0426</v>
      </c>
      <c r="M741" s="249"/>
      <c r="N741" s="250"/>
      <c r="O741" s="250"/>
      <c r="P741" s="250"/>
      <c r="Q741" s="250"/>
      <c r="R741" s="250"/>
      <c r="S741" s="266">
        <f t="shared" si="14"/>
        <v>0.7323937598229685</v>
      </c>
    </row>
    <row r="742" spans="1:19">
      <c r="A742" s="243"/>
      <c r="B742" s="244"/>
      <c r="C742" s="311">
        <v>8</v>
      </c>
      <c r="D742" s="244">
        <v>4</v>
      </c>
      <c r="E742" s="244">
        <v>1</v>
      </c>
      <c r="F742" s="244">
        <v>0</v>
      </c>
      <c r="G742" s="244">
        <v>1</v>
      </c>
      <c r="H742" s="244">
        <v>1</v>
      </c>
      <c r="I742" s="244">
        <v>0</v>
      </c>
      <c r="J742" s="244">
        <v>0</v>
      </c>
      <c r="K742" s="276">
        <v>4.5999999999999996</v>
      </c>
      <c r="L742" s="277">
        <v>26.782900000000001</v>
      </c>
      <c r="M742" s="249"/>
      <c r="N742" s="250"/>
      <c r="O742" s="250"/>
      <c r="P742" s="250"/>
      <c r="Q742" s="250"/>
      <c r="R742" s="250"/>
      <c r="S742" s="266">
        <f t="shared" si="14"/>
        <v>0.66275783168157409</v>
      </c>
    </row>
    <row r="743" spans="1:19">
      <c r="A743" s="243"/>
      <c r="B743" s="244"/>
      <c r="C743" s="311">
        <v>8</v>
      </c>
      <c r="D743" s="244">
        <v>6</v>
      </c>
      <c r="E743" s="244">
        <v>1</v>
      </c>
      <c r="F743" s="244">
        <v>1</v>
      </c>
      <c r="G743" s="244">
        <v>2</v>
      </c>
      <c r="H743" s="244">
        <v>1</v>
      </c>
      <c r="I743" s="244">
        <v>0</v>
      </c>
      <c r="J743" s="244">
        <v>0</v>
      </c>
      <c r="K743" s="276">
        <v>4.5999999999999996</v>
      </c>
      <c r="L743" s="277">
        <v>28.4633</v>
      </c>
      <c r="M743" s="249"/>
      <c r="N743" s="250"/>
      <c r="O743" s="250"/>
      <c r="P743" s="250"/>
      <c r="Q743" s="250"/>
      <c r="R743" s="250"/>
      <c r="S743" s="266">
        <f t="shared" si="14"/>
        <v>0.66275783168157409</v>
      </c>
    </row>
    <row r="744" spans="1:19">
      <c r="A744" s="243"/>
      <c r="B744" s="244"/>
      <c r="C744" s="311">
        <v>6</v>
      </c>
      <c r="D744" s="244">
        <v>4</v>
      </c>
      <c r="E744" s="244">
        <v>1</v>
      </c>
      <c r="F744" s="244">
        <v>0</v>
      </c>
      <c r="G744" s="244">
        <v>1</v>
      </c>
      <c r="H744" s="244">
        <v>1</v>
      </c>
      <c r="I744" s="244">
        <v>0</v>
      </c>
      <c r="J744" s="244">
        <v>0</v>
      </c>
      <c r="K744" s="276">
        <v>4.3</v>
      </c>
      <c r="L744" s="277">
        <v>27.8522</v>
      </c>
      <c r="M744" s="249"/>
      <c r="N744" s="250"/>
      <c r="O744" s="250"/>
      <c r="P744" s="250"/>
      <c r="Q744" s="250"/>
      <c r="R744" s="250"/>
      <c r="S744" s="266">
        <f t="shared" si="14"/>
        <v>0.63346845557958653</v>
      </c>
    </row>
    <row r="745" spans="1:19">
      <c r="A745" s="243"/>
      <c r="B745" s="244"/>
      <c r="C745" s="311">
        <v>8</v>
      </c>
      <c r="D745" s="244">
        <v>4</v>
      </c>
      <c r="E745" s="244">
        <v>1</v>
      </c>
      <c r="F745" s="244">
        <v>0</v>
      </c>
      <c r="G745" s="244">
        <v>1</v>
      </c>
      <c r="H745" s="244">
        <v>1</v>
      </c>
      <c r="I745" s="244">
        <v>1</v>
      </c>
      <c r="J745" s="244">
        <v>0</v>
      </c>
      <c r="K745" s="276">
        <v>4.8</v>
      </c>
      <c r="L745" s="277">
        <v>26.212499999999999</v>
      </c>
      <c r="M745" s="249"/>
      <c r="N745" s="250"/>
      <c r="O745" s="250"/>
      <c r="P745" s="250"/>
      <c r="Q745" s="250"/>
      <c r="R745" s="250"/>
      <c r="S745" s="266">
        <f t="shared" si="14"/>
        <v>0.68124123737558717</v>
      </c>
    </row>
    <row r="746" spans="1:19">
      <c r="A746" s="243"/>
      <c r="B746" s="244"/>
      <c r="C746" s="311">
        <v>8</v>
      </c>
      <c r="D746" s="244">
        <v>6</v>
      </c>
      <c r="E746" s="244">
        <v>1</v>
      </c>
      <c r="F746" s="244">
        <v>0</v>
      </c>
      <c r="G746" s="244">
        <v>1</v>
      </c>
      <c r="H746" s="244">
        <v>1</v>
      </c>
      <c r="I746" s="244">
        <v>1</v>
      </c>
      <c r="J746" s="244">
        <v>0</v>
      </c>
      <c r="K746" s="276">
        <v>5.3</v>
      </c>
      <c r="L746" s="277">
        <v>29.3645</v>
      </c>
      <c r="M746" s="249"/>
      <c r="N746" s="250"/>
      <c r="O746" s="250"/>
      <c r="P746" s="250"/>
      <c r="Q746" s="250"/>
      <c r="R746" s="250"/>
      <c r="S746" s="266">
        <f t="shared" si="14"/>
        <v>0.72427586960078905</v>
      </c>
    </row>
    <row r="747" spans="1:19">
      <c r="A747" s="243"/>
      <c r="B747" s="244"/>
      <c r="C747" s="311">
        <v>8</v>
      </c>
      <c r="D747" s="244">
        <v>6</v>
      </c>
      <c r="E747" s="244">
        <v>1</v>
      </c>
      <c r="F747" s="244">
        <v>0</v>
      </c>
      <c r="G747" s="244">
        <v>1</v>
      </c>
      <c r="H747" s="244">
        <v>1</v>
      </c>
      <c r="I747" s="244">
        <v>1</v>
      </c>
      <c r="J747" s="244">
        <v>0</v>
      </c>
      <c r="K747" s="276">
        <v>6.2</v>
      </c>
      <c r="L747" s="277">
        <v>26.1</v>
      </c>
      <c r="M747" s="249"/>
      <c r="N747" s="250"/>
      <c r="O747" s="250"/>
      <c r="P747" s="250"/>
      <c r="Q747" s="250"/>
      <c r="R747" s="250"/>
      <c r="S747" s="266">
        <f t="shared" si="14"/>
        <v>0.79239168949825389</v>
      </c>
    </row>
    <row r="748" spans="1:19">
      <c r="A748" s="243"/>
      <c r="B748" s="244"/>
      <c r="C748" s="311">
        <v>8</v>
      </c>
      <c r="D748" s="244">
        <v>1</v>
      </c>
      <c r="E748" s="244">
        <v>0</v>
      </c>
      <c r="F748" s="244">
        <v>0</v>
      </c>
      <c r="G748" s="244">
        <v>1</v>
      </c>
      <c r="H748" s="244">
        <v>1</v>
      </c>
      <c r="I748" s="244">
        <v>1</v>
      </c>
      <c r="J748" s="244">
        <v>0</v>
      </c>
      <c r="K748" s="276">
        <v>6</v>
      </c>
      <c r="L748" s="277">
        <v>30.5</v>
      </c>
      <c r="M748" s="249"/>
      <c r="N748" s="250"/>
      <c r="O748" s="250"/>
      <c r="P748" s="250"/>
      <c r="Q748" s="250"/>
      <c r="R748" s="250"/>
      <c r="S748" s="266">
        <f t="shared" si="14"/>
        <v>0.77815125038364363</v>
      </c>
    </row>
    <row r="749" spans="1:19">
      <c r="A749" s="243"/>
      <c r="B749" s="244"/>
      <c r="C749" s="311">
        <v>8</v>
      </c>
      <c r="D749" s="244">
        <v>6</v>
      </c>
      <c r="E749" s="244">
        <v>1</v>
      </c>
      <c r="F749" s="244">
        <v>0</v>
      </c>
      <c r="G749" s="244">
        <v>1</v>
      </c>
      <c r="H749" s="244">
        <v>1</v>
      </c>
      <c r="I749" s="244">
        <v>1</v>
      </c>
      <c r="J749" s="244">
        <v>0</v>
      </c>
      <c r="K749" s="276">
        <v>5.3</v>
      </c>
      <c r="L749" s="277">
        <v>30.4</v>
      </c>
      <c r="M749" s="249"/>
      <c r="N749" s="250"/>
      <c r="O749" s="250"/>
      <c r="P749" s="250"/>
      <c r="Q749" s="250"/>
      <c r="R749" s="250"/>
      <c r="S749" s="266">
        <f t="shared" si="14"/>
        <v>0.72427586960078905</v>
      </c>
    </row>
    <row r="750" spans="1:19">
      <c r="A750" s="243"/>
      <c r="B750" s="244"/>
      <c r="C750" s="311">
        <v>8</v>
      </c>
      <c r="D750" s="244">
        <v>5</v>
      </c>
      <c r="E750" s="244">
        <v>1</v>
      </c>
      <c r="F750" s="244">
        <v>0</v>
      </c>
      <c r="G750" s="244">
        <v>2</v>
      </c>
      <c r="H750" s="244">
        <v>2</v>
      </c>
      <c r="I750" s="244">
        <v>1</v>
      </c>
      <c r="J750" s="244">
        <v>0</v>
      </c>
      <c r="K750" s="276">
        <v>5.6</v>
      </c>
      <c r="L750" s="277">
        <v>24.9815</v>
      </c>
      <c r="M750" s="249"/>
      <c r="N750" s="250"/>
      <c r="O750" s="250"/>
      <c r="P750" s="250"/>
      <c r="Q750" s="250"/>
      <c r="R750" s="250"/>
      <c r="S750" s="266">
        <f t="shared" si="14"/>
        <v>0.74818802700620035</v>
      </c>
    </row>
    <row r="751" spans="1:19">
      <c r="A751" s="243"/>
      <c r="B751" s="244"/>
      <c r="C751" s="311">
        <v>8</v>
      </c>
      <c r="D751" s="244">
        <v>5</v>
      </c>
      <c r="E751" s="244">
        <v>1</v>
      </c>
      <c r="F751" s="244">
        <v>0</v>
      </c>
      <c r="G751" s="244">
        <v>2</v>
      </c>
      <c r="H751" s="244">
        <v>2</v>
      </c>
      <c r="I751" s="244">
        <v>1</v>
      </c>
      <c r="J751" s="244">
        <v>0</v>
      </c>
      <c r="K751" s="276">
        <v>5.6</v>
      </c>
      <c r="L751" s="277">
        <v>25.008900000000001</v>
      </c>
      <c r="M751" s="249"/>
      <c r="N751" s="250"/>
      <c r="O751" s="250"/>
      <c r="P751" s="250"/>
      <c r="Q751" s="250"/>
      <c r="R751" s="250"/>
      <c r="S751" s="266">
        <f t="shared" si="14"/>
        <v>0.74818802700620035</v>
      </c>
    </row>
    <row r="752" spans="1:19">
      <c r="A752" s="243"/>
      <c r="B752" s="244"/>
      <c r="C752" s="311">
        <v>6</v>
      </c>
      <c r="D752" s="244">
        <v>5</v>
      </c>
      <c r="E752" s="244">
        <v>1</v>
      </c>
      <c r="F752" s="244">
        <v>0</v>
      </c>
      <c r="G752" s="244">
        <v>2</v>
      </c>
      <c r="H752" s="244">
        <v>2</v>
      </c>
      <c r="I752" s="244">
        <v>1</v>
      </c>
      <c r="J752" s="244">
        <v>0</v>
      </c>
      <c r="K752" s="276">
        <v>4</v>
      </c>
      <c r="L752" s="277">
        <v>25.7499</v>
      </c>
      <c r="M752" s="249"/>
      <c r="N752" s="250"/>
      <c r="O752" s="250"/>
      <c r="P752" s="250"/>
      <c r="Q752" s="250"/>
      <c r="R752" s="250"/>
      <c r="S752" s="266">
        <f t="shared" si="14"/>
        <v>0.6020599913279624</v>
      </c>
    </row>
    <row r="753" spans="1:19">
      <c r="A753" s="243"/>
      <c r="B753" s="244"/>
      <c r="C753" s="311">
        <v>8</v>
      </c>
      <c r="D753" s="244">
        <v>6</v>
      </c>
      <c r="E753" s="244">
        <v>1</v>
      </c>
      <c r="F753" s="244">
        <v>0</v>
      </c>
      <c r="G753" s="244">
        <v>2</v>
      </c>
      <c r="H753" s="244">
        <v>2</v>
      </c>
      <c r="I753" s="244">
        <v>1</v>
      </c>
      <c r="J753" s="244">
        <v>0</v>
      </c>
      <c r="K753" s="276">
        <v>4.5999999999999996</v>
      </c>
      <c r="L753" s="277">
        <v>28.0212</v>
      </c>
      <c r="M753" s="249"/>
      <c r="N753" s="250"/>
      <c r="O753" s="250"/>
      <c r="P753" s="250"/>
      <c r="Q753" s="250"/>
      <c r="R753" s="250"/>
      <c r="S753" s="266">
        <f t="shared" si="14"/>
        <v>0.66275783168157409</v>
      </c>
    </row>
    <row r="754" spans="1:19">
      <c r="A754" s="243"/>
      <c r="B754" s="244"/>
      <c r="C754" s="311">
        <v>8</v>
      </c>
      <c r="D754" s="244">
        <v>6</v>
      </c>
      <c r="E754" s="244">
        <v>1</v>
      </c>
      <c r="F754" s="244">
        <v>0</v>
      </c>
      <c r="G754" s="244">
        <v>2</v>
      </c>
      <c r="H754" s="244">
        <v>2</v>
      </c>
      <c r="I754" s="244">
        <v>1</v>
      </c>
      <c r="J754" s="244">
        <v>0</v>
      </c>
      <c r="K754" s="276">
        <v>5.7</v>
      </c>
      <c r="L754" s="277">
        <v>25.555099999999999</v>
      </c>
      <c r="M754" s="249"/>
      <c r="N754" s="250"/>
      <c r="O754" s="250"/>
      <c r="P754" s="250"/>
      <c r="Q754" s="250"/>
      <c r="R754" s="250"/>
      <c r="S754" s="266">
        <f t="shared" si="14"/>
        <v>0.75587485567249146</v>
      </c>
    </row>
    <row r="755" spans="1:19">
      <c r="A755" s="243"/>
      <c r="B755" s="244"/>
      <c r="C755" s="311">
        <v>6</v>
      </c>
      <c r="D755" s="244">
        <v>4</v>
      </c>
      <c r="E755" s="244">
        <v>1</v>
      </c>
      <c r="F755" s="244">
        <v>0</v>
      </c>
      <c r="G755" s="244">
        <v>1</v>
      </c>
      <c r="H755" s="244">
        <v>1</v>
      </c>
      <c r="I755" s="244">
        <v>0</v>
      </c>
      <c r="J755" s="244">
        <v>0</v>
      </c>
      <c r="K755" s="276">
        <v>4.3</v>
      </c>
      <c r="L755" s="277">
        <v>24.1937</v>
      </c>
      <c r="M755" s="249"/>
      <c r="N755" s="250"/>
      <c r="O755" s="250"/>
      <c r="P755" s="250"/>
      <c r="Q755" s="250"/>
      <c r="R755" s="250"/>
      <c r="S755" s="266">
        <f t="shared" si="14"/>
        <v>0.63346845557958653</v>
      </c>
    </row>
    <row r="756" spans="1:19">
      <c r="A756" s="243"/>
      <c r="B756" s="244"/>
      <c r="C756" s="311">
        <v>8</v>
      </c>
      <c r="D756" s="244">
        <v>4</v>
      </c>
      <c r="E756" s="244">
        <v>1</v>
      </c>
      <c r="F756" s="244">
        <v>0</v>
      </c>
      <c r="G756" s="244">
        <v>1</v>
      </c>
      <c r="H756" s="244">
        <v>1</v>
      </c>
      <c r="I756" s="244">
        <v>1</v>
      </c>
      <c r="J756" s="244">
        <v>0</v>
      </c>
      <c r="K756" s="276">
        <v>4.8</v>
      </c>
      <c r="L756" s="277">
        <v>24.1496</v>
      </c>
      <c r="M756" s="249"/>
      <c r="N756" s="250"/>
      <c r="O756" s="250"/>
      <c r="P756" s="250"/>
      <c r="Q756" s="250"/>
      <c r="R756" s="250"/>
      <c r="S756" s="266">
        <f t="shared" si="14"/>
        <v>0.68124123737558717</v>
      </c>
    </row>
    <row r="757" spans="1:19">
      <c r="A757" s="243"/>
      <c r="B757" s="244"/>
      <c r="C757" s="311">
        <v>8</v>
      </c>
      <c r="D757" s="244">
        <v>6</v>
      </c>
      <c r="E757" s="244">
        <v>1</v>
      </c>
      <c r="F757" s="244">
        <v>0</v>
      </c>
      <c r="G757" s="244">
        <v>1</v>
      </c>
      <c r="H757" s="244">
        <v>1</v>
      </c>
      <c r="I757" s="244">
        <v>1</v>
      </c>
      <c r="J757" s="244">
        <v>0</v>
      </c>
      <c r="K757" s="276">
        <v>5.3</v>
      </c>
      <c r="L757" s="277">
        <v>29.020499999999998</v>
      </c>
      <c r="M757" s="249"/>
      <c r="N757" s="250"/>
      <c r="O757" s="250"/>
      <c r="P757" s="250"/>
      <c r="Q757" s="250"/>
      <c r="R757" s="250"/>
      <c r="S757" s="266">
        <f t="shared" si="14"/>
        <v>0.72427586960078905</v>
      </c>
    </row>
    <row r="758" spans="1:19">
      <c r="A758" s="243"/>
      <c r="B758" s="244"/>
      <c r="C758" s="311">
        <v>8</v>
      </c>
      <c r="D758" s="244">
        <v>6</v>
      </c>
      <c r="E758" s="244">
        <v>1</v>
      </c>
      <c r="F758" s="244">
        <v>0</v>
      </c>
      <c r="G758" s="244">
        <v>1</v>
      </c>
      <c r="H758" s="244">
        <v>1</v>
      </c>
      <c r="I758" s="244">
        <v>1</v>
      </c>
      <c r="J758" s="244">
        <v>0</v>
      </c>
      <c r="K758" s="276">
        <v>6.2</v>
      </c>
      <c r="L758" s="277">
        <v>25.799900000000001</v>
      </c>
      <c r="M758" s="249"/>
      <c r="N758" s="250"/>
      <c r="O758" s="250"/>
      <c r="P758" s="250"/>
      <c r="Q758" s="250"/>
      <c r="R758" s="250"/>
      <c r="S758" s="266">
        <f t="shared" si="14"/>
        <v>0.79239168949825389</v>
      </c>
    </row>
    <row r="759" spans="1:19">
      <c r="A759" s="243"/>
      <c r="B759" s="244"/>
      <c r="C759" s="311">
        <v>8</v>
      </c>
      <c r="D759" s="244">
        <v>1</v>
      </c>
      <c r="E759" s="244">
        <v>0</v>
      </c>
      <c r="F759" s="244">
        <v>0</v>
      </c>
      <c r="G759" s="244">
        <v>1</v>
      </c>
      <c r="H759" s="244">
        <v>1</v>
      </c>
      <c r="I759" s="244">
        <v>1</v>
      </c>
      <c r="J759" s="244">
        <v>0</v>
      </c>
      <c r="K759" s="276">
        <v>6</v>
      </c>
      <c r="L759" s="277">
        <v>30.299900000000001</v>
      </c>
      <c r="M759" s="249"/>
      <c r="N759" s="250"/>
      <c r="O759" s="250"/>
      <c r="P759" s="250"/>
      <c r="Q759" s="250"/>
      <c r="R759" s="250"/>
      <c r="S759" s="266">
        <f t="shared" si="14"/>
        <v>0.77815125038364363</v>
      </c>
    </row>
    <row r="760" spans="1:19">
      <c r="A760" s="243"/>
      <c r="B760" s="244"/>
      <c r="C760" s="311">
        <v>6</v>
      </c>
      <c r="D760" s="244">
        <v>4</v>
      </c>
      <c r="E760" s="244">
        <v>1</v>
      </c>
      <c r="F760" s="244">
        <v>0</v>
      </c>
      <c r="G760" s="244">
        <v>1</v>
      </c>
      <c r="H760" s="244">
        <v>1</v>
      </c>
      <c r="I760" s="244">
        <v>0</v>
      </c>
      <c r="J760" s="244">
        <v>0</v>
      </c>
      <c r="K760" s="276">
        <v>3.7</v>
      </c>
      <c r="L760" s="277">
        <v>24.4</v>
      </c>
      <c r="M760" s="249"/>
      <c r="N760" s="250"/>
      <c r="O760" s="250"/>
      <c r="P760" s="250"/>
      <c r="Q760" s="250"/>
      <c r="R760" s="250"/>
      <c r="S760" s="266">
        <f t="shared" si="14"/>
        <v>0.56820172406699498</v>
      </c>
    </row>
    <row r="761" spans="1:19">
      <c r="A761" s="243"/>
      <c r="B761" s="244"/>
      <c r="C761" s="311">
        <v>8</v>
      </c>
      <c r="D761" s="244">
        <v>5</v>
      </c>
      <c r="E761" s="244">
        <v>1</v>
      </c>
      <c r="F761" s="244">
        <v>0</v>
      </c>
      <c r="G761" s="244">
        <v>1</v>
      </c>
      <c r="H761" s="244">
        <v>1</v>
      </c>
      <c r="I761" s="244">
        <v>0</v>
      </c>
      <c r="J761" s="244">
        <v>0</v>
      </c>
      <c r="K761" s="276">
        <v>4.7</v>
      </c>
      <c r="L761" s="277">
        <v>25.6</v>
      </c>
      <c r="M761" s="249"/>
      <c r="N761" s="250"/>
      <c r="O761" s="250"/>
      <c r="P761" s="250"/>
      <c r="Q761" s="250"/>
      <c r="R761" s="250"/>
      <c r="S761" s="266">
        <f t="shared" si="14"/>
        <v>0.67209785793571752</v>
      </c>
    </row>
    <row r="762" spans="1:19">
      <c r="A762" s="243"/>
      <c r="B762" s="244"/>
      <c r="C762" s="311">
        <v>8</v>
      </c>
      <c r="D762" s="244">
        <v>5</v>
      </c>
      <c r="E762" s="244">
        <v>1</v>
      </c>
      <c r="F762" s="244">
        <v>0</v>
      </c>
      <c r="G762" s="244">
        <v>1</v>
      </c>
      <c r="H762" s="244">
        <v>1</v>
      </c>
      <c r="I762" s="244">
        <v>1</v>
      </c>
      <c r="J762" s="244">
        <v>0</v>
      </c>
      <c r="K762" s="276">
        <v>4.7</v>
      </c>
      <c r="L762" s="277">
        <v>24.5</v>
      </c>
      <c r="M762" s="249"/>
      <c r="N762" s="250"/>
      <c r="O762" s="250"/>
      <c r="P762" s="250"/>
      <c r="Q762" s="250"/>
      <c r="R762" s="250"/>
      <c r="S762" s="266">
        <f t="shared" si="14"/>
        <v>0.67209785793571752</v>
      </c>
    </row>
    <row r="763" spans="1:19">
      <c r="A763" s="243"/>
      <c r="B763" s="244"/>
      <c r="C763" s="311">
        <v>8</v>
      </c>
      <c r="D763" s="244">
        <v>5</v>
      </c>
      <c r="E763" s="244">
        <v>1</v>
      </c>
      <c r="F763" s="244">
        <v>0</v>
      </c>
      <c r="G763" s="244">
        <v>1</v>
      </c>
      <c r="H763" s="244">
        <v>1</v>
      </c>
      <c r="I763" s="244">
        <v>1</v>
      </c>
      <c r="J763" s="244">
        <v>0</v>
      </c>
      <c r="K763" s="276">
        <v>5.7</v>
      </c>
      <c r="L763" s="277">
        <v>25.4</v>
      </c>
      <c r="M763" s="249"/>
      <c r="N763" s="250"/>
      <c r="O763" s="250"/>
      <c r="P763" s="250"/>
      <c r="Q763" s="250"/>
      <c r="R763" s="250"/>
      <c r="S763" s="266">
        <f t="shared" si="14"/>
        <v>0.75587485567249146</v>
      </c>
    </row>
    <row r="764" spans="1:19">
      <c r="A764" s="243"/>
      <c r="B764" s="244"/>
      <c r="C764" s="311">
        <v>6</v>
      </c>
      <c r="D764" s="244">
        <v>5</v>
      </c>
      <c r="E764" s="244">
        <v>1</v>
      </c>
      <c r="F764" s="244">
        <v>1</v>
      </c>
      <c r="G764" s="244">
        <v>1</v>
      </c>
      <c r="H764" s="244">
        <v>1</v>
      </c>
      <c r="I764" s="244">
        <v>0</v>
      </c>
      <c r="J764" s="244">
        <v>0</v>
      </c>
      <c r="K764" s="276">
        <v>4</v>
      </c>
      <c r="L764" s="277">
        <v>25.753499999999999</v>
      </c>
      <c r="M764" s="249"/>
      <c r="N764" s="250"/>
      <c r="O764" s="250"/>
      <c r="P764" s="250"/>
      <c r="Q764" s="250"/>
      <c r="R764" s="250"/>
      <c r="S764" s="266">
        <f t="shared" si="14"/>
        <v>0.6020599913279624</v>
      </c>
    </row>
    <row r="765" spans="1:19">
      <c r="A765" s="243"/>
      <c r="B765" s="244"/>
      <c r="C765" s="311">
        <v>8</v>
      </c>
      <c r="D765" s="244">
        <v>6</v>
      </c>
      <c r="E765" s="244">
        <v>1</v>
      </c>
      <c r="F765" s="244">
        <v>1</v>
      </c>
      <c r="G765" s="244">
        <v>2</v>
      </c>
      <c r="H765" s="244">
        <v>1</v>
      </c>
      <c r="I765" s="244">
        <v>0</v>
      </c>
      <c r="J765" s="244">
        <v>0</v>
      </c>
      <c r="K765" s="276">
        <v>4.5999999999999996</v>
      </c>
      <c r="L765" s="277">
        <v>26.662199999999999</v>
      </c>
      <c r="M765" s="249"/>
      <c r="N765" s="250"/>
      <c r="O765" s="250"/>
      <c r="P765" s="250"/>
      <c r="Q765" s="250"/>
      <c r="R765" s="250"/>
      <c r="S765" s="266">
        <f t="shared" si="14"/>
        <v>0.66275783168157409</v>
      </c>
    </row>
    <row r="766" spans="1:19">
      <c r="A766" s="243"/>
      <c r="B766" s="244"/>
      <c r="C766" s="311">
        <v>8</v>
      </c>
      <c r="D766" s="244">
        <v>6</v>
      </c>
      <c r="E766" s="244">
        <v>1</v>
      </c>
      <c r="F766" s="244">
        <v>0</v>
      </c>
      <c r="G766" s="244">
        <v>2</v>
      </c>
      <c r="H766" s="244">
        <v>1</v>
      </c>
      <c r="I766" s="244">
        <v>0</v>
      </c>
      <c r="J766" s="244">
        <v>0</v>
      </c>
      <c r="K766" s="276">
        <v>5.4</v>
      </c>
      <c r="L766" s="277">
        <v>24.793900000000001</v>
      </c>
      <c r="M766" s="249"/>
      <c r="N766" s="250"/>
      <c r="O766" s="250"/>
      <c r="P766" s="250"/>
      <c r="Q766" s="250"/>
      <c r="R766" s="250"/>
      <c r="S766" s="266">
        <f t="shared" si="14"/>
        <v>0.7323937598229685</v>
      </c>
    </row>
    <row r="767" spans="1:19">
      <c r="A767" s="243"/>
      <c r="B767" s="244"/>
      <c r="C767" s="311">
        <v>8</v>
      </c>
      <c r="D767" s="244">
        <v>6</v>
      </c>
      <c r="E767" s="244">
        <v>1</v>
      </c>
      <c r="F767" s="244">
        <v>0</v>
      </c>
      <c r="G767" s="244">
        <v>2</v>
      </c>
      <c r="H767" s="244">
        <v>1</v>
      </c>
      <c r="I767" s="244">
        <v>0</v>
      </c>
      <c r="J767" s="244">
        <v>0</v>
      </c>
      <c r="K767" s="276">
        <v>4.5999999999999996</v>
      </c>
      <c r="L767" s="277">
        <v>27.106100000000001</v>
      </c>
      <c r="M767" s="249"/>
      <c r="N767" s="250"/>
      <c r="O767" s="250"/>
      <c r="P767" s="250"/>
      <c r="Q767" s="250"/>
      <c r="R767" s="250"/>
      <c r="S767" s="266">
        <f t="shared" si="14"/>
        <v>0.66275783168157409</v>
      </c>
    </row>
    <row r="768" spans="1:19">
      <c r="A768" s="243"/>
      <c r="B768" s="244"/>
      <c r="C768" s="311">
        <v>8</v>
      </c>
      <c r="D768" s="244">
        <v>4</v>
      </c>
      <c r="E768" s="244">
        <v>1</v>
      </c>
      <c r="F768" s="244">
        <v>0</v>
      </c>
      <c r="G768" s="244">
        <v>1</v>
      </c>
      <c r="H768" s="244">
        <v>1</v>
      </c>
      <c r="I768" s="244">
        <v>0</v>
      </c>
      <c r="J768" s="244">
        <v>0</v>
      </c>
      <c r="K768" s="276">
        <v>4.5999999999999996</v>
      </c>
      <c r="L768" s="277">
        <v>25.229800000000001</v>
      </c>
      <c r="M768" s="249"/>
      <c r="N768" s="250"/>
      <c r="O768" s="250"/>
      <c r="P768" s="250"/>
      <c r="Q768" s="250"/>
      <c r="R768" s="250"/>
      <c r="S768" s="266">
        <f t="shared" si="14"/>
        <v>0.66275783168157409</v>
      </c>
    </row>
    <row r="769" spans="1:19">
      <c r="A769" s="243"/>
      <c r="B769" s="244"/>
      <c r="C769" s="311">
        <v>6</v>
      </c>
      <c r="D769" s="244">
        <v>4</v>
      </c>
      <c r="E769" s="244">
        <v>1</v>
      </c>
      <c r="F769" s="244">
        <v>0</v>
      </c>
      <c r="G769" s="244">
        <v>1</v>
      </c>
      <c r="H769" s="244">
        <v>1</v>
      </c>
      <c r="I769" s="244">
        <v>0</v>
      </c>
      <c r="J769" s="244">
        <v>0</v>
      </c>
      <c r="K769" s="276">
        <v>4.3</v>
      </c>
      <c r="L769" s="277">
        <v>24.1937</v>
      </c>
      <c r="M769" s="249"/>
      <c r="N769" s="250"/>
      <c r="O769" s="250"/>
      <c r="P769" s="250"/>
      <c r="Q769" s="250"/>
      <c r="R769" s="250"/>
      <c r="S769" s="266">
        <f t="shared" si="14"/>
        <v>0.63346845557958653</v>
      </c>
    </row>
    <row r="770" spans="1:19">
      <c r="A770" s="243"/>
      <c r="B770" s="244"/>
      <c r="C770" s="311">
        <v>8</v>
      </c>
      <c r="D770" s="244">
        <v>4</v>
      </c>
      <c r="E770" s="244">
        <v>1</v>
      </c>
      <c r="F770" s="244">
        <v>0</v>
      </c>
      <c r="G770" s="244">
        <v>1</v>
      </c>
      <c r="H770" s="244">
        <v>1</v>
      </c>
      <c r="I770" s="244">
        <v>1</v>
      </c>
      <c r="J770" s="244">
        <v>0</v>
      </c>
      <c r="K770" s="276">
        <v>4.8</v>
      </c>
      <c r="L770" s="277">
        <v>24.153400000000001</v>
      </c>
      <c r="M770" s="249"/>
      <c r="N770" s="250"/>
      <c r="O770" s="250"/>
      <c r="P770" s="250"/>
      <c r="Q770" s="250"/>
      <c r="R770" s="250"/>
      <c r="S770" s="266">
        <f t="shared" si="14"/>
        <v>0.68124123737558717</v>
      </c>
    </row>
    <row r="771" spans="1:19">
      <c r="A771" s="243"/>
      <c r="B771" s="244"/>
      <c r="C771" s="311">
        <v>8</v>
      </c>
      <c r="D771" s="244">
        <v>6</v>
      </c>
      <c r="E771" s="244">
        <v>1</v>
      </c>
      <c r="F771" s="244">
        <v>0</v>
      </c>
      <c r="G771" s="244">
        <v>1</v>
      </c>
      <c r="H771" s="244">
        <v>1</v>
      </c>
      <c r="I771" s="244">
        <v>1</v>
      </c>
      <c r="J771" s="244">
        <v>0</v>
      </c>
      <c r="K771" s="276">
        <v>5.3</v>
      </c>
      <c r="L771" s="277">
        <v>29.0185</v>
      </c>
      <c r="M771" s="249"/>
      <c r="N771" s="250"/>
      <c r="O771" s="250"/>
      <c r="P771" s="250"/>
      <c r="Q771" s="250"/>
      <c r="R771" s="250"/>
      <c r="S771" s="266">
        <f t="shared" si="14"/>
        <v>0.72427586960078905</v>
      </c>
    </row>
    <row r="772" spans="1:19">
      <c r="A772" s="243"/>
      <c r="B772" s="244"/>
      <c r="C772" s="311">
        <v>8</v>
      </c>
      <c r="D772" s="244">
        <v>6</v>
      </c>
      <c r="E772" s="244">
        <v>1</v>
      </c>
      <c r="F772" s="244">
        <v>0</v>
      </c>
      <c r="G772" s="244">
        <v>1</v>
      </c>
      <c r="H772" s="244">
        <v>1</v>
      </c>
      <c r="I772" s="244">
        <v>1</v>
      </c>
      <c r="J772" s="244">
        <v>0</v>
      </c>
      <c r="K772" s="276">
        <v>6.2</v>
      </c>
      <c r="L772" s="277">
        <v>25.802600000000002</v>
      </c>
      <c r="M772" s="249"/>
      <c r="N772" s="250"/>
      <c r="O772" s="250"/>
      <c r="P772" s="250"/>
      <c r="Q772" s="250"/>
      <c r="R772" s="250"/>
      <c r="S772" s="266">
        <f t="shared" si="14"/>
        <v>0.79239168949825389</v>
      </c>
    </row>
    <row r="773" spans="1:19">
      <c r="A773" s="243"/>
      <c r="B773" s="244"/>
      <c r="C773" s="311">
        <v>8</v>
      </c>
      <c r="D773" s="244">
        <v>1</v>
      </c>
      <c r="E773" s="244">
        <v>0</v>
      </c>
      <c r="F773" s="244">
        <v>0</v>
      </c>
      <c r="G773" s="244">
        <v>1</v>
      </c>
      <c r="H773" s="244">
        <v>1</v>
      </c>
      <c r="I773" s="244">
        <v>1</v>
      </c>
      <c r="J773" s="244">
        <v>0</v>
      </c>
      <c r="K773" s="276">
        <v>6</v>
      </c>
      <c r="L773" s="277">
        <v>30.299900000000001</v>
      </c>
      <c r="M773" s="249"/>
      <c r="N773" s="250"/>
      <c r="O773" s="250"/>
      <c r="P773" s="250"/>
      <c r="Q773" s="250"/>
      <c r="R773" s="250"/>
      <c r="S773" s="266">
        <f t="shared" si="14"/>
        <v>0.77815125038364363</v>
      </c>
    </row>
    <row r="774" spans="1:19">
      <c r="A774" s="243"/>
      <c r="B774" s="244"/>
      <c r="C774" s="311">
        <v>8</v>
      </c>
      <c r="D774" s="244">
        <v>6</v>
      </c>
      <c r="E774" s="244">
        <v>1</v>
      </c>
      <c r="F774" s="244">
        <v>0</v>
      </c>
      <c r="G774" s="244">
        <v>1</v>
      </c>
      <c r="H774" s="244">
        <v>1</v>
      </c>
      <c r="I774" s="244">
        <v>1</v>
      </c>
      <c r="J774" s="244">
        <v>0</v>
      </c>
      <c r="K774" s="276">
        <v>6.2</v>
      </c>
      <c r="L774" s="277">
        <v>25.799900000000001</v>
      </c>
      <c r="M774" s="249"/>
      <c r="N774" s="250"/>
      <c r="O774" s="250"/>
      <c r="P774" s="250"/>
      <c r="Q774" s="250"/>
      <c r="R774" s="250"/>
      <c r="S774" s="266">
        <f t="shared" si="14"/>
        <v>0.79239168949825389</v>
      </c>
    </row>
    <row r="775" spans="1:19">
      <c r="A775" s="243"/>
      <c r="B775" s="244"/>
      <c r="C775" s="311">
        <v>6</v>
      </c>
      <c r="D775" s="244">
        <v>5</v>
      </c>
      <c r="E775" s="244">
        <v>1</v>
      </c>
      <c r="F775" s="244">
        <v>0</v>
      </c>
      <c r="G775" s="244">
        <v>2</v>
      </c>
      <c r="H775" s="244">
        <v>2</v>
      </c>
      <c r="I775" s="244">
        <v>1</v>
      </c>
      <c r="J775" s="244">
        <v>1</v>
      </c>
      <c r="K775" s="276">
        <v>3.5</v>
      </c>
      <c r="L775" s="277">
        <v>28.2</v>
      </c>
      <c r="M775" s="249"/>
      <c r="N775" s="250"/>
      <c r="O775" s="250"/>
      <c r="P775" s="250"/>
      <c r="Q775" s="250"/>
      <c r="R775" s="250"/>
      <c r="S775" s="266">
        <f t="shared" si="14"/>
        <v>0.54406804435027567</v>
      </c>
    </row>
    <row r="776" spans="1:19">
      <c r="A776" s="243"/>
      <c r="B776" s="244"/>
      <c r="C776" s="311">
        <v>5</v>
      </c>
      <c r="D776" s="244">
        <v>5</v>
      </c>
      <c r="E776" s="244">
        <v>0</v>
      </c>
      <c r="F776" s="244">
        <v>0</v>
      </c>
      <c r="G776" s="244">
        <v>2</v>
      </c>
      <c r="H776" s="244">
        <v>2</v>
      </c>
      <c r="I776" s="244">
        <v>0</v>
      </c>
      <c r="J776" s="244">
        <v>0</v>
      </c>
      <c r="K776" s="276">
        <v>3.7</v>
      </c>
      <c r="L776" s="277">
        <v>25.2</v>
      </c>
      <c r="M776" s="249"/>
      <c r="N776" s="250"/>
      <c r="O776" s="250"/>
      <c r="P776" s="250"/>
      <c r="Q776" s="250"/>
      <c r="R776" s="250"/>
      <c r="S776" s="266">
        <f t="shared" si="14"/>
        <v>0.56820172406699498</v>
      </c>
    </row>
    <row r="777" spans="1:19">
      <c r="A777" s="243"/>
      <c r="B777" s="244"/>
      <c r="C777" s="311">
        <v>5</v>
      </c>
      <c r="D777" s="244">
        <v>4</v>
      </c>
      <c r="E777" s="244">
        <v>1</v>
      </c>
      <c r="F777" s="244">
        <v>0</v>
      </c>
      <c r="G777" s="244">
        <v>2</v>
      </c>
      <c r="H777" s="244">
        <v>2</v>
      </c>
      <c r="I777" s="244">
        <v>0</v>
      </c>
      <c r="J777" s="244">
        <v>0</v>
      </c>
      <c r="K777" s="276">
        <v>3.7</v>
      </c>
      <c r="L777" s="277">
        <v>25.1</v>
      </c>
      <c r="M777" s="249"/>
      <c r="N777" s="250"/>
      <c r="O777" s="250"/>
      <c r="P777" s="250"/>
      <c r="Q777" s="250"/>
      <c r="R777" s="250"/>
      <c r="S777" s="266">
        <f t="shared" si="14"/>
        <v>0.56820172406699498</v>
      </c>
    </row>
    <row r="778" spans="1:19">
      <c r="A778" s="243"/>
      <c r="B778" s="244"/>
      <c r="C778" s="311">
        <v>8</v>
      </c>
      <c r="D778" s="244">
        <v>4</v>
      </c>
      <c r="E778" s="244">
        <v>1</v>
      </c>
      <c r="F778" s="244">
        <v>0</v>
      </c>
      <c r="G778" s="244">
        <v>1</v>
      </c>
      <c r="H778" s="244">
        <v>1</v>
      </c>
      <c r="I778" s="244">
        <v>1</v>
      </c>
      <c r="J778" s="244">
        <v>0</v>
      </c>
      <c r="K778" s="276">
        <v>5.3</v>
      </c>
      <c r="L778" s="277">
        <v>22.299900000000001</v>
      </c>
      <c r="M778" s="249"/>
      <c r="N778" s="250"/>
      <c r="O778" s="250"/>
      <c r="P778" s="250"/>
      <c r="Q778" s="250"/>
      <c r="R778" s="250"/>
      <c r="S778" s="266">
        <f t="shared" si="14"/>
        <v>0.72427586960078905</v>
      </c>
    </row>
    <row r="779" spans="1:19">
      <c r="A779" s="243"/>
      <c r="B779" s="244"/>
      <c r="C779" s="311">
        <v>8</v>
      </c>
      <c r="D779" s="244">
        <v>5</v>
      </c>
      <c r="E779" s="244">
        <v>1</v>
      </c>
      <c r="F779" s="244">
        <v>0</v>
      </c>
      <c r="G779" s="244">
        <v>2</v>
      </c>
      <c r="H779" s="244">
        <v>2</v>
      </c>
      <c r="I779" s="244">
        <v>1</v>
      </c>
      <c r="J779" s="244">
        <v>0</v>
      </c>
      <c r="K779" s="276">
        <v>5.6</v>
      </c>
      <c r="L779" s="277">
        <v>23.061</v>
      </c>
      <c r="M779" s="249"/>
      <c r="N779" s="250"/>
      <c r="O779" s="250"/>
      <c r="P779" s="250"/>
      <c r="Q779" s="250"/>
      <c r="R779" s="250"/>
      <c r="S779" s="266">
        <f t="shared" ref="S779:S842" si="15">LOG10(K779)</f>
        <v>0.74818802700620035</v>
      </c>
    </row>
    <row r="780" spans="1:19">
      <c r="A780" s="243"/>
      <c r="B780" s="244"/>
      <c r="C780" s="311">
        <v>8</v>
      </c>
      <c r="D780" s="244">
        <v>5</v>
      </c>
      <c r="E780" s="244">
        <v>1</v>
      </c>
      <c r="F780" s="244">
        <v>0</v>
      </c>
      <c r="G780" s="244">
        <v>2</v>
      </c>
      <c r="H780" s="244">
        <v>2</v>
      </c>
      <c r="I780" s="244">
        <v>1</v>
      </c>
      <c r="J780" s="244">
        <v>0</v>
      </c>
      <c r="K780" s="276">
        <v>5.6</v>
      </c>
      <c r="L780" s="277">
        <v>23.110900000000001</v>
      </c>
      <c r="M780" s="249"/>
      <c r="N780" s="250"/>
      <c r="O780" s="250"/>
      <c r="P780" s="250"/>
      <c r="Q780" s="250"/>
      <c r="R780" s="250"/>
      <c r="S780" s="266">
        <f t="shared" si="15"/>
        <v>0.74818802700620035</v>
      </c>
    </row>
    <row r="781" spans="1:19">
      <c r="A781" s="243"/>
      <c r="B781" s="244"/>
      <c r="C781" s="311">
        <v>8</v>
      </c>
      <c r="D781" s="244">
        <v>6</v>
      </c>
      <c r="E781" s="244">
        <v>1</v>
      </c>
      <c r="F781" s="244">
        <v>0</v>
      </c>
      <c r="G781" s="244">
        <v>2</v>
      </c>
      <c r="H781" s="244">
        <v>2</v>
      </c>
      <c r="I781" s="244">
        <v>1</v>
      </c>
      <c r="J781" s="244">
        <v>0</v>
      </c>
      <c r="K781" s="276">
        <v>4.5999999999999996</v>
      </c>
      <c r="L781" s="277">
        <v>26.229500000000002</v>
      </c>
      <c r="M781" s="249"/>
      <c r="N781" s="250"/>
      <c r="O781" s="250"/>
      <c r="P781" s="250"/>
      <c r="Q781" s="250"/>
      <c r="R781" s="250"/>
      <c r="S781" s="266">
        <f t="shared" si="15"/>
        <v>0.66275783168157409</v>
      </c>
    </row>
    <row r="782" spans="1:19">
      <c r="A782" s="243"/>
      <c r="B782" s="244"/>
      <c r="C782" s="311">
        <v>8</v>
      </c>
      <c r="D782" s="244">
        <v>6</v>
      </c>
      <c r="E782" s="244">
        <v>1</v>
      </c>
      <c r="F782" s="244">
        <v>0</v>
      </c>
      <c r="G782" s="244">
        <v>2</v>
      </c>
      <c r="H782" s="244">
        <v>2</v>
      </c>
      <c r="I782" s="244">
        <v>1</v>
      </c>
      <c r="J782" s="244">
        <v>0</v>
      </c>
      <c r="K782" s="276">
        <v>5.7</v>
      </c>
      <c r="L782" s="277">
        <v>23.431799999999999</v>
      </c>
      <c r="M782" s="249"/>
      <c r="N782" s="250"/>
      <c r="O782" s="250"/>
      <c r="P782" s="250"/>
      <c r="Q782" s="250"/>
      <c r="R782" s="250"/>
      <c r="S782" s="266">
        <f t="shared" si="15"/>
        <v>0.75587485567249146</v>
      </c>
    </row>
    <row r="783" spans="1:19">
      <c r="A783" s="243"/>
      <c r="B783" s="244"/>
      <c r="C783" s="311">
        <v>8</v>
      </c>
      <c r="D783" s="244">
        <v>6</v>
      </c>
      <c r="E783" s="244">
        <v>1</v>
      </c>
      <c r="F783" s="244">
        <v>0</v>
      </c>
      <c r="G783" s="244">
        <v>2</v>
      </c>
      <c r="H783" s="244">
        <v>2</v>
      </c>
      <c r="I783" s="244">
        <v>1</v>
      </c>
      <c r="J783" s="244">
        <v>0</v>
      </c>
      <c r="K783" s="276">
        <v>5.7</v>
      </c>
      <c r="L783" s="277">
        <v>23.999300000000002</v>
      </c>
      <c r="M783" s="249"/>
      <c r="N783" s="250"/>
      <c r="O783" s="250"/>
      <c r="P783" s="250"/>
      <c r="Q783" s="250"/>
      <c r="R783" s="250"/>
      <c r="S783" s="266">
        <f t="shared" si="15"/>
        <v>0.75587485567249146</v>
      </c>
    </row>
    <row r="784" spans="1:19">
      <c r="A784" s="243"/>
      <c r="B784" s="244"/>
      <c r="C784" s="311">
        <v>6</v>
      </c>
      <c r="D784" s="244">
        <v>4</v>
      </c>
      <c r="E784" s="244">
        <v>1</v>
      </c>
      <c r="F784" s="244">
        <v>0</v>
      </c>
      <c r="G784" s="244">
        <v>1</v>
      </c>
      <c r="H784" s="244">
        <v>1</v>
      </c>
      <c r="I784" s="244">
        <v>0</v>
      </c>
      <c r="J784" s="244">
        <v>0</v>
      </c>
      <c r="K784" s="276">
        <v>4.3</v>
      </c>
      <c r="L784" s="277">
        <v>27.6</v>
      </c>
      <c r="M784" s="249"/>
      <c r="N784" s="250"/>
      <c r="O784" s="250"/>
      <c r="P784" s="250"/>
      <c r="Q784" s="250"/>
      <c r="R784" s="250"/>
      <c r="S784" s="266">
        <f t="shared" si="15"/>
        <v>0.63346845557958653</v>
      </c>
    </row>
    <row r="785" spans="1:19">
      <c r="A785" s="243"/>
      <c r="B785" s="244"/>
      <c r="C785" s="311">
        <v>8</v>
      </c>
      <c r="D785" s="244">
        <v>4</v>
      </c>
      <c r="E785" s="244">
        <v>1</v>
      </c>
      <c r="F785" s="244">
        <v>0</v>
      </c>
      <c r="G785" s="244">
        <v>1</v>
      </c>
      <c r="H785" s="244">
        <v>1</v>
      </c>
      <c r="I785" s="244">
        <v>1</v>
      </c>
      <c r="J785" s="244">
        <v>0</v>
      </c>
      <c r="K785" s="276">
        <v>5.3</v>
      </c>
      <c r="L785" s="277">
        <v>24.299900000000001</v>
      </c>
      <c r="M785" s="249"/>
      <c r="N785" s="250"/>
      <c r="O785" s="250"/>
      <c r="P785" s="250"/>
      <c r="Q785" s="250"/>
      <c r="R785" s="250"/>
      <c r="S785" s="266">
        <f t="shared" si="15"/>
        <v>0.72427586960078905</v>
      </c>
    </row>
    <row r="786" spans="1:19">
      <c r="A786" s="243"/>
      <c r="B786" s="244"/>
      <c r="C786" s="311">
        <v>8</v>
      </c>
      <c r="D786" s="244">
        <v>4</v>
      </c>
      <c r="E786" s="244">
        <v>1</v>
      </c>
      <c r="F786" s="244">
        <v>0</v>
      </c>
      <c r="G786" s="244">
        <v>1</v>
      </c>
      <c r="H786" s="244">
        <v>1</v>
      </c>
      <c r="I786" s="244">
        <v>1</v>
      </c>
      <c r="J786" s="244">
        <v>0</v>
      </c>
      <c r="K786" s="276">
        <v>5.3</v>
      </c>
      <c r="L786" s="277">
        <v>23.299900000000001</v>
      </c>
      <c r="M786" s="249"/>
      <c r="N786" s="250"/>
      <c r="O786" s="250"/>
      <c r="P786" s="250"/>
      <c r="Q786" s="250"/>
      <c r="R786" s="250"/>
      <c r="S786" s="266">
        <f t="shared" si="15"/>
        <v>0.72427586960078905</v>
      </c>
    </row>
    <row r="787" spans="1:19">
      <c r="A787" s="243"/>
      <c r="B787" s="244"/>
      <c r="C787" s="311">
        <v>8</v>
      </c>
      <c r="D787" s="244">
        <v>4</v>
      </c>
      <c r="E787" s="244">
        <v>1</v>
      </c>
      <c r="F787" s="244">
        <v>0</v>
      </c>
      <c r="G787" s="244">
        <v>1</v>
      </c>
      <c r="H787" s="244">
        <v>1</v>
      </c>
      <c r="I787" s="244">
        <v>1</v>
      </c>
      <c r="J787" s="244">
        <v>0</v>
      </c>
      <c r="K787" s="276">
        <v>5.3</v>
      </c>
      <c r="L787" s="277">
        <v>22.761900000000001</v>
      </c>
      <c r="M787" s="249"/>
      <c r="N787" s="250"/>
      <c r="O787" s="250"/>
      <c r="P787" s="250"/>
      <c r="Q787" s="250"/>
      <c r="R787" s="250"/>
      <c r="S787" s="266">
        <f t="shared" si="15"/>
        <v>0.72427586960078905</v>
      </c>
    </row>
    <row r="788" spans="1:19">
      <c r="A788" s="243"/>
      <c r="B788" s="244"/>
      <c r="C788" s="311">
        <v>8</v>
      </c>
      <c r="D788" s="244">
        <v>4</v>
      </c>
      <c r="E788" s="244">
        <v>1</v>
      </c>
      <c r="F788" s="244">
        <v>0</v>
      </c>
      <c r="G788" s="244">
        <v>1</v>
      </c>
      <c r="H788" s="244">
        <v>1</v>
      </c>
      <c r="I788" s="244">
        <v>1</v>
      </c>
      <c r="J788" s="244">
        <v>0</v>
      </c>
      <c r="K788" s="276">
        <v>5.3</v>
      </c>
      <c r="L788" s="277">
        <v>22.9</v>
      </c>
      <c r="M788" s="249"/>
      <c r="N788" s="250"/>
      <c r="O788" s="250"/>
      <c r="P788" s="250"/>
      <c r="Q788" s="250"/>
      <c r="R788" s="250"/>
      <c r="S788" s="266">
        <f t="shared" si="15"/>
        <v>0.72427586960078905</v>
      </c>
    </row>
    <row r="789" spans="1:19">
      <c r="A789" s="243"/>
      <c r="B789" s="244"/>
      <c r="C789" s="311">
        <v>6</v>
      </c>
      <c r="D789" s="244">
        <v>4</v>
      </c>
      <c r="E789" s="244">
        <v>1</v>
      </c>
      <c r="F789" s="244">
        <v>0</v>
      </c>
      <c r="G789" s="244">
        <v>1</v>
      </c>
      <c r="H789" s="244">
        <v>1</v>
      </c>
      <c r="I789" s="244">
        <v>0</v>
      </c>
      <c r="J789" s="244">
        <v>0</v>
      </c>
      <c r="K789" s="276">
        <v>4.3</v>
      </c>
      <c r="L789" s="277">
        <v>27.6</v>
      </c>
      <c r="M789" s="249"/>
      <c r="N789" s="250"/>
      <c r="O789" s="250"/>
      <c r="P789" s="250"/>
      <c r="Q789" s="250"/>
      <c r="R789" s="250"/>
      <c r="S789" s="266">
        <f t="shared" si="15"/>
        <v>0.63346845557958653</v>
      </c>
    </row>
    <row r="790" spans="1:19">
      <c r="A790" s="243"/>
      <c r="B790" s="244"/>
      <c r="C790" s="311">
        <v>8</v>
      </c>
      <c r="D790" s="244">
        <v>4</v>
      </c>
      <c r="E790" s="244">
        <v>1</v>
      </c>
      <c r="F790" s="244">
        <v>0</v>
      </c>
      <c r="G790" s="244">
        <v>1</v>
      </c>
      <c r="H790" s="244">
        <v>1</v>
      </c>
      <c r="I790" s="244">
        <v>1</v>
      </c>
      <c r="J790" s="244">
        <v>0</v>
      </c>
      <c r="K790" s="276">
        <v>5.3</v>
      </c>
      <c r="L790" s="277">
        <v>24.299900000000001</v>
      </c>
      <c r="M790" s="249"/>
      <c r="N790" s="250"/>
      <c r="O790" s="250"/>
      <c r="P790" s="250"/>
      <c r="Q790" s="250"/>
      <c r="R790" s="250"/>
      <c r="S790" s="266">
        <f t="shared" si="15"/>
        <v>0.72427586960078905</v>
      </c>
    </row>
    <row r="791" spans="1:19">
      <c r="A791" s="243"/>
      <c r="B791" s="244"/>
      <c r="C791" s="311">
        <v>8</v>
      </c>
      <c r="D791" s="244">
        <v>4</v>
      </c>
      <c r="E791" s="244">
        <v>1</v>
      </c>
      <c r="F791" s="244">
        <v>0</v>
      </c>
      <c r="G791" s="244">
        <v>1</v>
      </c>
      <c r="H791" s="244">
        <v>1</v>
      </c>
      <c r="I791" s="244">
        <v>1</v>
      </c>
      <c r="J791" s="244">
        <v>0</v>
      </c>
      <c r="K791" s="276">
        <v>5.3</v>
      </c>
      <c r="L791" s="277">
        <v>23.299900000000001</v>
      </c>
      <c r="M791" s="249"/>
      <c r="N791" s="250"/>
      <c r="O791" s="250"/>
      <c r="P791" s="250"/>
      <c r="Q791" s="250"/>
      <c r="R791" s="250"/>
      <c r="S791" s="266">
        <f t="shared" si="15"/>
        <v>0.72427586960078905</v>
      </c>
    </row>
    <row r="792" spans="1:19">
      <c r="A792" s="243"/>
      <c r="B792" s="244"/>
      <c r="C792" s="311">
        <v>8</v>
      </c>
      <c r="D792" s="244">
        <v>4</v>
      </c>
      <c r="E792" s="244">
        <v>1</v>
      </c>
      <c r="F792" s="244">
        <v>0</v>
      </c>
      <c r="G792" s="244">
        <v>1</v>
      </c>
      <c r="H792" s="244">
        <v>1</v>
      </c>
      <c r="I792" s="244">
        <v>1</v>
      </c>
      <c r="J792" s="244">
        <v>0</v>
      </c>
      <c r="K792" s="276">
        <v>5.3</v>
      </c>
      <c r="L792" s="277">
        <v>22.761900000000001</v>
      </c>
      <c r="M792" s="249"/>
      <c r="N792" s="250"/>
      <c r="O792" s="250"/>
      <c r="P792" s="250"/>
      <c r="Q792" s="250"/>
      <c r="R792" s="250"/>
      <c r="S792" s="266">
        <f t="shared" si="15"/>
        <v>0.72427586960078905</v>
      </c>
    </row>
    <row r="793" spans="1:19">
      <c r="A793" s="243"/>
      <c r="B793" s="244"/>
      <c r="C793" s="311">
        <v>8</v>
      </c>
      <c r="D793" s="244">
        <v>4</v>
      </c>
      <c r="E793" s="244">
        <v>1</v>
      </c>
      <c r="F793" s="244">
        <v>0</v>
      </c>
      <c r="G793" s="244">
        <v>1</v>
      </c>
      <c r="H793" s="244">
        <v>1</v>
      </c>
      <c r="I793" s="244">
        <v>1</v>
      </c>
      <c r="J793" s="244">
        <v>0</v>
      </c>
      <c r="K793" s="276">
        <v>5.3</v>
      </c>
      <c r="L793" s="277">
        <v>22.9</v>
      </c>
      <c r="M793" s="249"/>
      <c r="N793" s="250"/>
      <c r="O793" s="250"/>
      <c r="P793" s="250"/>
      <c r="Q793" s="250"/>
      <c r="R793" s="250"/>
      <c r="S793" s="266">
        <f t="shared" si="15"/>
        <v>0.72427586960078905</v>
      </c>
    </row>
    <row r="794" spans="1:19">
      <c r="A794" s="243"/>
      <c r="B794" s="244"/>
      <c r="C794" s="311">
        <v>8</v>
      </c>
      <c r="D794" s="244">
        <v>4</v>
      </c>
      <c r="E794" s="244">
        <v>1</v>
      </c>
      <c r="F794" s="244">
        <v>0</v>
      </c>
      <c r="G794" s="244">
        <v>1</v>
      </c>
      <c r="H794" s="244">
        <v>1</v>
      </c>
      <c r="I794" s="244">
        <v>1</v>
      </c>
      <c r="J794" s="244">
        <v>0</v>
      </c>
      <c r="K794" s="276">
        <v>5.3</v>
      </c>
      <c r="L794" s="277">
        <v>23.299900000000001</v>
      </c>
      <c r="M794" s="249"/>
      <c r="N794" s="250"/>
      <c r="O794" s="250"/>
      <c r="P794" s="250"/>
      <c r="Q794" s="250"/>
      <c r="R794" s="250"/>
      <c r="S794" s="266">
        <f t="shared" si="15"/>
        <v>0.72427586960078905</v>
      </c>
    </row>
    <row r="795" spans="1:19">
      <c r="A795" s="243"/>
      <c r="B795" s="244"/>
      <c r="C795" s="311">
        <v>8</v>
      </c>
      <c r="D795" s="244">
        <v>4</v>
      </c>
      <c r="E795" s="244">
        <v>1</v>
      </c>
      <c r="F795" s="244">
        <v>0</v>
      </c>
      <c r="G795" s="244">
        <v>1</v>
      </c>
      <c r="H795" s="244">
        <v>1</v>
      </c>
      <c r="I795" s="244">
        <v>1</v>
      </c>
      <c r="J795" s="244">
        <v>0</v>
      </c>
      <c r="K795" s="276">
        <v>5.3</v>
      </c>
      <c r="L795" s="277">
        <v>22.9</v>
      </c>
      <c r="M795" s="249"/>
      <c r="N795" s="250"/>
      <c r="O795" s="250"/>
      <c r="P795" s="250"/>
      <c r="Q795" s="250"/>
      <c r="R795" s="250"/>
      <c r="S795" s="266">
        <f t="shared" si="15"/>
        <v>0.72427586960078905</v>
      </c>
    </row>
    <row r="796" spans="1:19">
      <c r="A796" s="243"/>
      <c r="B796" s="244"/>
      <c r="C796" s="311">
        <v>8</v>
      </c>
      <c r="D796" s="244">
        <v>4</v>
      </c>
      <c r="E796" s="244">
        <v>1</v>
      </c>
      <c r="F796" s="244">
        <v>0</v>
      </c>
      <c r="G796" s="244">
        <v>1</v>
      </c>
      <c r="H796" s="244">
        <v>1</v>
      </c>
      <c r="I796" s="244">
        <v>1</v>
      </c>
      <c r="J796" s="244">
        <v>0</v>
      </c>
      <c r="K796" s="276">
        <v>5.3</v>
      </c>
      <c r="L796" s="277">
        <v>23.299900000000001</v>
      </c>
      <c r="M796" s="249"/>
      <c r="N796" s="250"/>
      <c r="O796" s="250"/>
      <c r="P796" s="250"/>
      <c r="Q796" s="250"/>
      <c r="R796" s="250"/>
      <c r="S796" s="266">
        <f t="shared" si="15"/>
        <v>0.72427586960078905</v>
      </c>
    </row>
    <row r="797" spans="1:19">
      <c r="A797" s="243"/>
      <c r="B797" s="244"/>
      <c r="C797" s="311">
        <v>8</v>
      </c>
      <c r="D797" s="244">
        <v>4</v>
      </c>
      <c r="E797" s="244">
        <v>1</v>
      </c>
      <c r="F797" s="244">
        <v>0</v>
      </c>
      <c r="G797" s="244">
        <v>1</v>
      </c>
      <c r="H797" s="244">
        <v>1</v>
      </c>
      <c r="I797" s="244">
        <v>1</v>
      </c>
      <c r="J797" s="244">
        <v>0</v>
      </c>
      <c r="K797" s="276">
        <v>5.3</v>
      </c>
      <c r="L797" s="277">
        <v>22.9</v>
      </c>
      <c r="M797" s="249"/>
      <c r="N797" s="250"/>
      <c r="O797" s="250"/>
      <c r="P797" s="250"/>
      <c r="Q797" s="250"/>
      <c r="R797" s="250"/>
      <c r="S797" s="266">
        <f t="shared" si="15"/>
        <v>0.72427586960078905</v>
      </c>
    </row>
    <row r="798" spans="1:19">
      <c r="A798" s="243"/>
      <c r="B798" s="244"/>
      <c r="C798" s="311">
        <v>4</v>
      </c>
      <c r="D798" s="244">
        <v>4</v>
      </c>
      <c r="E798" s="244">
        <v>1</v>
      </c>
      <c r="F798" s="244">
        <v>1</v>
      </c>
      <c r="G798" s="244">
        <v>2</v>
      </c>
      <c r="H798" s="244">
        <v>2</v>
      </c>
      <c r="I798" s="244">
        <v>0</v>
      </c>
      <c r="J798" s="244">
        <v>0</v>
      </c>
      <c r="K798" s="276">
        <v>2</v>
      </c>
      <c r="L798" s="277">
        <v>35</v>
      </c>
      <c r="M798" s="249"/>
      <c r="N798" s="250"/>
      <c r="O798" s="250"/>
      <c r="P798" s="250"/>
      <c r="Q798" s="250"/>
      <c r="R798" s="250"/>
      <c r="S798" s="266">
        <f t="shared" si="15"/>
        <v>0.3010299956639812</v>
      </c>
    </row>
    <row r="799" spans="1:19">
      <c r="A799" s="243"/>
      <c r="B799" s="244"/>
      <c r="C799" s="311">
        <v>6</v>
      </c>
      <c r="D799" s="244">
        <v>4</v>
      </c>
      <c r="E799" s="244">
        <v>1</v>
      </c>
      <c r="F799" s="244">
        <v>0</v>
      </c>
      <c r="G799" s="244">
        <v>1</v>
      </c>
      <c r="H799" s="244">
        <v>1</v>
      </c>
      <c r="I799" s="244">
        <v>0</v>
      </c>
      <c r="J799" s="244">
        <v>0</v>
      </c>
      <c r="K799" s="276">
        <v>3.3</v>
      </c>
      <c r="L799" s="277">
        <v>33.098799999999997</v>
      </c>
      <c r="M799" s="249"/>
      <c r="N799" s="250"/>
      <c r="O799" s="250"/>
      <c r="P799" s="250"/>
      <c r="Q799" s="250"/>
      <c r="R799" s="250"/>
      <c r="S799" s="266">
        <f t="shared" si="15"/>
        <v>0.51851393987788741</v>
      </c>
    </row>
    <row r="800" spans="1:19">
      <c r="A800" s="243"/>
      <c r="B800" s="244"/>
      <c r="C800" s="311">
        <v>6</v>
      </c>
      <c r="D800" s="244">
        <v>6</v>
      </c>
      <c r="E800" s="244">
        <v>1</v>
      </c>
      <c r="F800" s="244">
        <v>0</v>
      </c>
      <c r="G800" s="244">
        <v>1</v>
      </c>
      <c r="H800" s="244">
        <v>1</v>
      </c>
      <c r="I800" s="244">
        <v>0</v>
      </c>
      <c r="J800" s="244">
        <v>0</v>
      </c>
      <c r="K800" s="276">
        <v>3.8</v>
      </c>
      <c r="L800" s="277">
        <v>31.9</v>
      </c>
      <c r="M800" s="249"/>
      <c r="N800" s="250"/>
      <c r="O800" s="250"/>
      <c r="P800" s="250"/>
      <c r="Q800" s="250"/>
      <c r="R800" s="250"/>
      <c r="S800" s="266">
        <f t="shared" si="15"/>
        <v>0.57978359661681012</v>
      </c>
    </row>
    <row r="801" spans="1:19">
      <c r="A801" s="243"/>
      <c r="B801" s="244"/>
      <c r="C801" s="311">
        <v>6</v>
      </c>
      <c r="D801" s="244">
        <v>6</v>
      </c>
      <c r="E801" s="244">
        <v>1</v>
      </c>
      <c r="F801" s="244">
        <v>0</v>
      </c>
      <c r="G801" s="244">
        <v>2</v>
      </c>
      <c r="H801" s="244">
        <v>2</v>
      </c>
      <c r="I801" s="244">
        <v>0</v>
      </c>
      <c r="J801" s="244">
        <v>0</v>
      </c>
      <c r="K801" s="276">
        <v>4</v>
      </c>
      <c r="L801" s="277">
        <v>35.200000000000003</v>
      </c>
      <c r="M801" s="249"/>
      <c r="N801" s="250"/>
      <c r="O801" s="250"/>
      <c r="P801" s="250"/>
      <c r="Q801" s="250"/>
      <c r="R801" s="250"/>
      <c r="S801" s="266">
        <f t="shared" si="15"/>
        <v>0.6020599913279624</v>
      </c>
    </row>
    <row r="802" spans="1:19">
      <c r="A802" s="243"/>
      <c r="B802" s="244"/>
      <c r="C802" s="311">
        <v>6</v>
      </c>
      <c r="D802" s="244">
        <v>4</v>
      </c>
      <c r="E802" s="244">
        <v>1</v>
      </c>
      <c r="F802" s="244">
        <v>0</v>
      </c>
      <c r="G802" s="244">
        <v>1</v>
      </c>
      <c r="H802" s="244">
        <v>1</v>
      </c>
      <c r="I802" s="244">
        <v>0</v>
      </c>
      <c r="J802" s="244">
        <v>0</v>
      </c>
      <c r="K802" s="276">
        <v>3.3</v>
      </c>
      <c r="L802" s="277">
        <v>33.098799999999997</v>
      </c>
      <c r="M802" s="249"/>
      <c r="N802" s="250"/>
      <c r="O802" s="250"/>
      <c r="P802" s="250"/>
      <c r="Q802" s="250"/>
      <c r="R802" s="250"/>
      <c r="S802" s="266">
        <f t="shared" si="15"/>
        <v>0.51851393987788741</v>
      </c>
    </row>
    <row r="803" spans="1:19">
      <c r="A803" s="243"/>
      <c r="B803" s="244"/>
      <c r="C803" s="311">
        <v>6</v>
      </c>
      <c r="D803" s="244">
        <v>6</v>
      </c>
      <c r="E803" s="244">
        <v>1</v>
      </c>
      <c r="F803" s="244">
        <v>0</v>
      </c>
      <c r="G803" s="244">
        <v>1</v>
      </c>
      <c r="H803" s="244">
        <v>1</v>
      </c>
      <c r="I803" s="244">
        <v>0</v>
      </c>
      <c r="J803" s="244">
        <v>0</v>
      </c>
      <c r="K803" s="276">
        <v>3.8</v>
      </c>
      <c r="L803" s="277">
        <v>31.9</v>
      </c>
      <c r="M803" s="249"/>
      <c r="N803" s="250"/>
      <c r="O803" s="250"/>
      <c r="P803" s="250"/>
      <c r="Q803" s="250"/>
      <c r="R803" s="250"/>
      <c r="S803" s="266">
        <f t="shared" si="15"/>
        <v>0.57978359661681012</v>
      </c>
    </row>
    <row r="804" spans="1:19">
      <c r="A804" s="243"/>
      <c r="B804" s="244"/>
      <c r="C804" s="311">
        <v>6</v>
      </c>
      <c r="D804" s="244">
        <v>6</v>
      </c>
      <c r="E804" s="244">
        <v>1</v>
      </c>
      <c r="F804" s="244">
        <v>0</v>
      </c>
      <c r="G804" s="244">
        <v>2</v>
      </c>
      <c r="H804" s="244">
        <v>2</v>
      </c>
      <c r="I804" s="244">
        <v>0</v>
      </c>
      <c r="J804" s="244">
        <v>0</v>
      </c>
      <c r="K804" s="276">
        <v>4</v>
      </c>
      <c r="L804" s="277">
        <v>35.200000000000003</v>
      </c>
      <c r="M804" s="249"/>
      <c r="N804" s="250"/>
      <c r="O804" s="250"/>
      <c r="P804" s="250"/>
      <c r="Q804" s="250"/>
      <c r="R804" s="250"/>
      <c r="S804" s="266">
        <f t="shared" si="15"/>
        <v>0.6020599913279624</v>
      </c>
    </row>
    <row r="805" spans="1:19">
      <c r="A805" s="243"/>
      <c r="B805" s="244"/>
      <c r="C805" s="311">
        <v>6</v>
      </c>
      <c r="D805" s="244">
        <v>5</v>
      </c>
      <c r="E805" s="244">
        <v>1</v>
      </c>
      <c r="F805" s="244">
        <v>0</v>
      </c>
      <c r="G805" s="244">
        <v>2</v>
      </c>
      <c r="H805" s="244">
        <v>2</v>
      </c>
      <c r="I805" s="244">
        <v>1</v>
      </c>
      <c r="J805" s="244">
        <v>0</v>
      </c>
      <c r="K805" s="276">
        <v>3.5</v>
      </c>
      <c r="L805" s="277">
        <v>35.5</v>
      </c>
      <c r="M805" s="249"/>
      <c r="N805" s="250"/>
      <c r="O805" s="250"/>
      <c r="P805" s="250"/>
      <c r="Q805" s="250"/>
      <c r="R805" s="250"/>
      <c r="S805" s="266">
        <f t="shared" si="15"/>
        <v>0.54406804435027567</v>
      </c>
    </row>
    <row r="806" spans="1:19">
      <c r="A806" s="243"/>
      <c r="B806" s="244"/>
      <c r="C806" s="311">
        <v>6</v>
      </c>
      <c r="D806" s="244">
        <v>5</v>
      </c>
      <c r="E806" s="244">
        <v>1</v>
      </c>
      <c r="F806" s="244">
        <v>0</v>
      </c>
      <c r="G806" s="244">
        <v>2</v>
      </c>
      <c r="H806" s="244">
        <v>2</v>
      </c>
      <c r="I806" s="244">
        <v>1</v>
      </c>
      <c r="J806" s="244">
        <v>0</v>
      </c>
      <c r="K806" s="276">
        <v>3.5</v>
      </c>
      <c r="L806" s="277">
        <v>32.4</v>
      </c>
      <c r="M806" s="249"/>
      <c r="N806" s="250"/>
      <c r="O806" s="250"/>
      <c r="P806" s="250"/>
      <c r="Q806" s="250"/>
      <c r="R806" s="250"/>
      <c r="S806" s="266">
        <f t="shared" si="15"/>
        <v>0.54406804435027567</v>
      </c>
    </row>
    <row r="807" spans="1:19">
      <c r="A807" s="243"/>
      <c r="B807" s="244"/>
      <c r="C807" s="311">
        <v>6</v>
      </c>
      <c r="D807" s="244">
        <v>5</v>
      </c>
      <c r="E807" s="244">
        <v>1</v>
      </c>
      <c r="F807" s="244">
        <v>0</v>
      </c>
      <c r="G807" s="244">
        <v>2</v>
      </c>
      <c r="H807" s="244">
        <v>2</v>
      </c>
      <c r="I807" s="244">
        <v>1</v>
      </c>
      <c r="J807" s="244">
        <v>0</v>
      </c>
      <c r="K807" s="276">
        <v>3.8</v>
      </c>
      <c r="L807" s="277">
        <v>32.4</v>
      </c>
      <c r="M807" s="249"/>
      <c r="N807" s="250"/>
      <c r="O807" s="250"/>
      <c r="P807" s="250"/>
      <c r="Q807" s="250"/>
      <c r="R807" s="250"/>
      <c r="S807" s="266">
        <f t="shared" si="15"/>
        <v>0.57978359661681012</v>
      </c>
    </row>
    <row r="808" spans="1:19">
      <c r="A808" s="243"/>
      <c r="B808" s="244"/>
      <c r="C808" s="311">
        <v>6</v>
      </c>
      <c r="D808" s="244">
        <v>5</v>
      </c>
      <c r="E808" s="244">
        <v>1</v>
      </c>
      <c r="F808" s="244">
        <v>0</v>
      </c>
      <c r="G808" s="244">
        <v>2</v>
      </c>
      <c r="H808" s="244">
        <v>2</v>
      </c>
      <c r="I808" s="244">
        <v>1</v>
      </c>
      <c r="J808" s="244">
        <v>0</v>
      </c>
      <c r="K808" s="276">
        <v>3.8</v>
      </c>
      <c r="L808" s="277">
        <v>32.4</v>
      </c>
      <c r="M808" s="249"/>
      <c r="N808" s="250"/>
      <c r="O808" s="250"/>
      <c r="P808" s="250"/>
      <c r="Q808" s="250"/>
      <c r="R808" s="250"/>
      <c r="S808" s="266">
        <f t="shared" si="15"/>
        <v>0.57978359661681012</v>
      </c>
    </row>
    <row r="809" spans="1:19">
      <c r="A809" s="243"/>
      <c r="B809" s="244"/>
      <c r="C809" s="311">
        <v>4</v>
      </c>
      <c r="D809" s="244">
        <v>5</v>
      </c>
      <c r="E809" s="244">
        <v>0</v>
      </c>
      <c r="F809" s="244">
        <v>0</v>
      </c>
      <c r="G809" s="244">
        <v>2</v>
      </c>
      <c r="H809" s="244">
        <v>2</v>
      </c>
      <c r="I809" s="244">
        <v>1</v>
      </c>
      <c r="J809" s="244">
        <v>0</v>
      </c>
      <c r="K809" s="276">
        <v>2.2999999999999998</v>
      </c>
      <c r="L809" s="277">
        <v>39.200000000000003</v>
      </c>
      <c r="M809" s="249"/>
      <c r="N809" s="250"/>
      <c r="O809" s="250"/>
      <c r="P809" s="250"/>
      <c r="Q809" s="250"/>
      <c r="R809" s="250"/>
      <c r="S809" s="266">
        <f t="shared" si="15"/>
        <v>0.36172783601759284</v>
      </c>
    </row>
    <row r="810" spans="1:19">
      <c r="A810" s="243"/>
      <c r="B810" s="244"/>
      <c r="C810" s="311">
        <v>4</v>
      </c>
      <c r="D810" s="244">
        <v>5</v>
      </c>
      <c r="E810" s="244">
        <v>1</v>
      </c>
      <c r="F810" s="244">
        <v>0</v>
      </c>
      <c r="G810" s="244">
        <v>2</v>
      </c>
      <c r="H810" s="244">
        <v>2</v>
      </c>
      <c r="I810" s="244">
        <v>1</v>
      </c>
      <c r="J810" s="244">
        <v>0</v>
      </c>
      <c r="K810" s="276">
        <v>2.2999999999999998</v>
      </c>
      <c r="L810" s="277">
        <v>38.1</v>
      </c>
      <c r="M810" s="249"/>
      <c r="N810" s="250"/>
      <c r="O810" s="250"/>
      <c r="P810" s="250"/>
      <c r="Q810" s="250"/>
      <c r="R810" s="250"/>
      <c r="S810" s="266">
        <f t="shared" si="15"/>
        <v>0.36172783601759284</v>
      </c>
    </row>
    <row r="811" spans="1:19">
      <c r="A811" s="243"/>
      <c r="B811" s="244"/>
      <c r="C811" s="311">
        <v>6</v>
      </c>
      <c r="D811" s="244">
        <v>5</v>
      </c>
      <c r="E811" s="244">
        <v>1</v>
      </c>
      <c r="F811" s="244">
        <v>0</v>
      </c>
      <c r="G811" s="244">
        <v>2</v>
      </c>
      <c r="H811" s="244">
        <v>2</v>
      </c>
      <c r="I811" s="244">
        <v>1</v>
      </c>
      <c r="J811" s="244">
        <v>0</v>
      </c>
      <c r="K811" s="276">
        <v>3.5</v>
      </c>
      <c r="L811" s="277">
        <v>34</v>
      </c>
      <c r="M811" s="249"/>
      <c r="N811" s="250"/>
      <c r="O811" s="250"/>
      <c r="P811" s="250"/>
      <c r="Q811" s="250"/>
      <c r="R811" s="250"/>
      <c r="S811" s="266">
        <f t="shared" si="15"/>
        <v>0.54406804435027567</v>
      </c>
    </row>
    <row r="812" spans="1:19">
      <c r="A812" s="243"/>
      <c r="B812" s="244"/>
      <c r="C812" s="311">
        <v>6</v>
      </c>
      <c r="D812" s="244">
        <v>6</v>
      </c>
      <c r="E812" s="244">
        <v>1</v>
      </c>
      <c r="F812" s="244">
        <v>0</v>
      </c>
      <c r="G812" s="244">
        <v>1</v>
      </c>
      <c r="H812" s="244">
        <v>1</v>
      </c>
      <c r="I812" s="244">
        <v>0</v>
      </c>
      <c r="J812" s="244">
        <v>0</v>
      </c>
      <c r="K812" s="276">
        <v>3.8</v>
      </c>
      <c r="L812" s="277">
        <v>31.9</v>
      </c>
      <c r="M812" s="249"/>
      <c r="N812" s="250"/>
      <c r="O812" s="250"/>
      <c r="P812" s="250"/>
      <c r="Q812" s="250"/>
      <c r="R812" s="250"/>
      <c r="S812" s="266">
        <f t="shared" si="15"/>
        <v>0.57978359661681012</v>
      </c>
    </row>
    <row r="813" spans="1:19">
      <c r="A813" s="243"/>
      <c r="B813" s="244"/>
      <c r="C813" s="311">
        <v>6</v>
      </c>
      <c r="D813" s="244">
        <v>6</v>
      </c>
      <c r="E813" s="244">
        <v>1</v>
      </c>
      <c r="F813" s="244">
        <v>0</v>
      </c>
      <c r="G813" s="244">
        <v>2</v>
      </c>
      <c r="H813" s="244">
        <v>2</v>
      </c>
      <c r="I813" s="244">
        <v>0</v>
      </c>
      <c r="J813" s="244">
        <v>0</v>
      </c>
      <c r="K813" s="276">
        <v>4</v>
      </c>
      <c r="L813" s="277">
        <v>35.200000000000003</v>
      </c>
      <c r="M813" s="249"/>
      <c r="N813" s="250"/>
      <c r="O813" s="250"/>
      <c r="P813" s="250"/>
      <c r="Q813" s="250"/>
      <c r="R813" s="250"/>
      <c r="S813" s="266">
        <f t="shared" si="15"/>
        <v>0.6020599913279624</v>
      </c>
    </row>
    <row r="814" spans="1:19">
      <c r="A814" s="243"/>
      <c r="B814" s="244"/>
      <c r="C814" s="311">
        <v>6</v>
      </c>
      <c r="D814" s="244">
        <v>5</v>
      </c>
      <c r="E814" s="244">
        <v>1</v>
      </c>
      <c r="F814" s="244">
        <v>0</v>
      </c>
      <c r="G814" s="244">
        <v>2</v>
      </c>
      <c r="H814" s="244">
        <v>2</v>
      </c>
      <c r="I814" s="244">
        <v>1</v>
      </c>
      <c r="J814" s="244">
        <v>0</v>
      </c>
      <c r="K814" s="276">
        <v>3.5</v>
      </c>
      <c r="L814" s="277">
        <v>29.2</v>
      </c>
      <c r="M814" s="249"/>
      <c r="N814" s="250"/>
      <c r="O814" s="250"/>
      <c r="P814" s="250"/>
      <c r="Q814" s="250"/>
      <c r="R814" s="250"/>
      <c r="S814" s="266">
        <f t="shared" si="15"/>
        <v>0.54406804435027567</v>
      </c>
    </row>
    <row r="815" spans="1:19">
      <c r="A815" s="243"/>
      <c r="B815" s="244"/>
      <c r="C815" s="311">
        <v>4</v>
      </c>
      <c r="D815" s="244">
        <v>5</v>
      </c>
      <c r="E815" s="244">
        <v>1</v>
      </c>
      <c r="F815" s="244">
        <v>0</v>
      </c>
      <c r="G815" s="244">
        <v>2</v>
      </c>
      <c r="H815" s="244">
        <v>2</v>
      </c>
      <c r="I815" s="244">
        <v>1</v>
      </c>
      <c r="J815" s="244">
        <v>1</v>
      </c>
      <c r="K815" s="276">
        <v>2.2999999999999998</v>
      </c>
      <c r="L815" s="277">
        <v>34.4</v>
      </c>
      <c r="M815" s="249"/>
      <c r="N815" s="250"/>
      <c r="O815" s="250"/>
      <c r="P815" s="250"/>
      <c r="Q815" s="250"/>
      <c r="R815" s="250"/>
      <c r="S815" s="266">
        <f t="shared" si="15"/>
        <v>0.36172783601759284</v>
      </c>
    </row>
    <row r="816" spans="1:19">
      <c r="A816" s="243"/>
      <c r="B816" s="244"/>
      <c r="C816" s="311">
        <v>6</v>
      </c>
      <c r="D816" s="244">
        <v>6</v>
      </c>
      <c r="E816" s="244">
        <v>1</v>
      </c>
      <c r="F816" s="244">
        <v>0</v>
      </c>
      <c r="G816" s="244">
        <v>2</v>
      </c>
      <c r="H816" s="244">
        <v>2</v>
      </c>
      <c r="I816" s="244">
        <v>1</v>
      </c>
      <c r="J816" s="244">
        <v>0</v>
      </c>
      <c r="K816" s="276">
        <v>3.6</v>
      </c>
      <c r="L816" s="277">
        <v>33</v>
      </c>
      <c r="M816" s="249"/>
      <c r="N816" s="250"/>
      <c r="O816" s="250"/>
      <c r="P816" s="250"/>
      <c r="Q816" s="250"/>
      <c r="R816" s="250"/>
      <c r="S816" s="266">
        <f t="shared" si="15"/>
        <v>0.55630250076728727</v>
      </c>
    </row>
    <row r="817" spans="1:19">
      <c r="A817" s="243"/>
      <c r="B817" s="244"/>
      <c r="C817" s="311">
        <v>8</v>
      </c>
      <c r="D817" s="244">
        <v>6</v>
      </c>
      <c r="E817" s="244">
        <v>1</v>
      </c>
      <c r="F817" s="244">
        <v>0</v>
      </c>
      <c r="G817" s="244">
        <v>1</v>
      </c>
      <c r="H817" s="244">
        <v>1</v>
      </c>
      <c r="I817" s="244">
        <v>1</v>
      </c>
      <c r="J817" s="244">
        <v>0</v>
      </c>
      <c r="K817" s="276">
        <v>6.2</v>
      </c>
      <c r="L817" s="277">
        <v>28.4</v>
      </c>
      <c r="M817" s="249"/>
      <c r="N817" s="250"/>
      <c r="O817" s="250"/>
      <c r="P817" s="250"/>
      <c r="Q817" s="250"/>
      <c r="R817" s="250"/>
      <c r="S817" s="266">
        <f t="shared" si="15"/>
        <v>0.79239168949825389</v>
      </c>
    </row>
    <row r="818" spans="1:19">
      <c r="A818" s="243"/>
      <c r="B818" s="244"/>
      <c r="C818" s="311">
        <v>8</v>
      </c>
      <c r="D818" s="244">
        <v>1</v>
      </c>
      <c r="E818" s="244">
        <v>0</v>
      </c>
      <c r="F818" s="244">
        <v>0</v>
      </c>
      <c r="G818" s="244">
        <v>1</v>
      </c>
      <c r="H818" s="244">
        <v>1</v>
      </c>
      <c r="I818" s="244">
        <v>1</v>
      </c>
      <c r="J818" s="244">
        <v>0</v>
      </c>
      <c r="K818" s="276">
        <v>6</v>
      </c>
      <c r="L818" s="277">
        <v>30.5</v>
      </c>
      <c r="M818" s="249"/>
      <c r="N818" s="250"/>
      <c r="O818" s="250"/>
      <c r="P818" s="250"/>
      <c r="Q818" s="250"/>
      <c r="R818" s="250"/>
      <c r="S818" s="266">
        <f t="shared" si="15"/>
        <v>0.77815125038364363</v>
      </c>
    </row>
    <row r="819" spans="1:19">
      <c r="A819" s="243"/>
      <c r="B819" s="244"/>
      <c r="C819" s="311">
        <v>8</v>
      </c>
      <c r="D819" s="244">
        <v>6</v>
      </c>
      <c r="E819" s="244">
        <v>1</v>
      </c>
      <c r="F819" s="244">
        <v>0</v>
      </c>
      <c r="G819" s="244">
        <v>1</v>
      </c>
      <c r="H819" s="244">
        <v>1</v>
      </c>
      <c r="I819" s="244">
        <v>1</v>
      </c>
      <c r="J819" s="244">
        <v>0</v>
      </c>
      <c r="K819" s="276">
        <v>6.2</v>
      </c>
      <c r="L819" s="277">
        <v>28.4</v>
      </c>
      <c r="M819" s="249"/>
      <c r="N819" s="250"/>
      <c r="O819" s="250"/>
      <c r="P819" s="250"/>
      <c r="Q819" s="250"/>
      <c r="R819" s="250"/>
      <c r="S819" s="266">
        <f t="shared" si="15"/>
        <v>0.79239168949825389</v>
      </c>
    </row>
    <row r="820" spans="1:19">
      <c r="A820" s="243"/>
      <c r="B820" s="244"/>
      <c r="C820" s="311">
        <v>6</v>
      </c>
      <c r="D820" s="244">
        <v>6</v>
      </c>
      <c r="E820" s="244">
        <v>1</v>
      </c>
      <c r="F820" s="244">
        <v>0</v>
      </c>
      <c r="G820" s="244">
        <v>2</v>
      </c>
      <c r="H820" s="244">
        <v>2</v>
      </c>
      <c r="I820" s="244">
        <v>1</v>
      </c>
      <c r="J820" s="244">
        <v>0</v>
      </c>
      <c r="K820" s="276">
        <v>3</v>
      </c>
      <c r="L820" s="277">
        <v>34.5</v>
      </c>
      <c r="M820" s="249"/>
      <c r="N820" s="250"/>
      <c r="O820" s="250"/>
      <c r="P820" s="250"/>
      <c r="Q820" s="250"/>
      <c r="R820" s="250"/>
      <c r="S820" s="266">
        <f t="shared" si="15"/>
        <v>0.47712125471966244</v>
      </c>
    </row>
    <row r="821" spans="1:19">
      <c r="A821" s="243"/>
      <c r="B821" s="244"/>
      <c r="C821" s="311">
        <v>8</v>
      </c>
      <c r="D821" s="244">
        <v>6</v>
      </c>
      <c r="E821" s="244">
        <v>1</v>
      </c>
      <c r="F821" s="244">
        <v>0</v>
      </c>
      <c r="G821" s="244">
        <v>1</v>
      </c>
      <c r="H821" s="244">
        <v>1</v>
      </c>
      <c r="I821" s="244">
        <v>1</v>
      </c>
      <c r="J821" s="244">
        <v>0</v>
      </c>
      <c r="K821" s="276">
        <v>5.3</v>
      </c>
      <c r="L821" s="277">
        <v>28.993500000000001</v>
      </c>
      <c r="M821" s="249"/>
      <c r="N821" s="250"/>
      <c r="O821" s="250"/>
      <c r="P821" s="250"/>
      <c r="Q821" s="250"/>
      <c r="R821" s="250"/>
      <c r="S821" s="266">
        <f t="shared" si="15"/>
        <v>0.72427586960078905</v>
      </c>
    </row>
    <row r="822" spans="1:19">
      <c r="A822" s="243"/>
      <c r="B822" s="244"/>
      <c r="C822" s="311">
        <v>8</v>
      </c>
      <c r="D822" s="244">
        <v>6</v>
      </c>
      <c r="E822" s="244">
        <v>1</v>
      </c>
      <c r="F822" s="244">
        <v>0</v>
      </c>
      <c r="G822" s="244">
        <v>1</v>
      </c>
      <c r="H822" s="244">
        <v>1</v>
      </c>
      <c r="I822" s="244">
        <v>1</v>
      </c>
      <c r="J822" s="244">
        <v>0</v>
      </c>
      <c r="K822" s="276">
        <v>6.2</v>
      </c>
      <c r="L822" s="277">
        <v>26</v>
      </c>
      <c r="M822" s="249"/>
      <c r="N822" s="250"/>
      <c r="O822" s="250"/>
      <c r="P822" s="250"/>
      <c r="Q822" s="250"/>
      <c r="R822" s="250"/>
      <c r="S822" s="266">
        <f t="shared" si="15"/>
        <v>0.79239168949825389</v>
      </c>
    </row>
    <row r="823" spans="1:19">
      <c r="A823" s="243"/>
      <c r="B823" s="244"/>
      <c r="C823" s="311">
        <v>8</v>
      </c>
      <c r="D823" s="244">
        <v>6</v>
      </c>
      <c r="E823" s="244">
        <v>1</v>
      </c>
      <c r="F823" s="244">
        <v>0</v>
      </c>
      <c r="G823" s="244">
        <v>1</v>
      </c>
      <c r="H823" s="244">
        <v>1</v>
      </c>
      <c r="I823" s="244">
        <v>1</v>
      </c>
      <c r="J823" s="244">
        <v>0</v>
      </c>
      <c r="K823" s="276">
        <v>5.3</v>
      </c>
      <c r="L823" s="277">
        <v>28.993500000000001</v>
      </c>
      <c r="M823" s="249"/>
      <c r="N823" s="250"/>
      <c r="O823" s="250"/>
      <c r="P823" s="250"/>
      <c r="Q823" s="250"/>
      <c r="R823" s="250"/>
      <c r="S823" s="266">
        <f t="shared" si="15"/>
        <v>0.72427586960078905</v>
      </c>
    </row>
    <row r="824" spans="1:19">
      <c r="A824" s="243"/>
      <c r="B824" s="244"/>
      <c r="C824" s="311">
        <v>8</v>
      </c>
      <c r="D824" s="244">
        <v>6</v>
      </c>
      <c r="E824" s="244">
        <v>1</v>
      </c>
      <c r="F824" s="244">
        <v>0</v>
      </c>
      <c r="G824" s="244">
        <v>1</v>
      </c>
      <c r="H824" s="244">
        <v>1</v>
      </c>
      <c r="I824" s="244">
        <v>1</v>
      </c>
      <c r="J824" s="244">
        <v>0</v>
      </c>
      <c r="K824" s="276">
        <v>6.2</v>
      </c>
      <c r="L824" s="277">
        <v>26</v>
      </c>
      <c r="M824" s="249"/>
      <c r="N824" s="250"/>
      <c r="O824" s="250"/>
      <c r="P824" s="250"/>
      <c r="Q824" s="250"/>
      <c r="R824" s="250"/>
      <c r="S824" s="266">
        <f t="shared" si="15"/>
        <v>0.79239168949825389</v>
      </c>
    </row>
    <row r="825" spans="1:19">
      <c r="A825" s="243"/>
      <c r="B825" s="244"/>
      <c r="C825" s="311">
        <v>8</v>
      </c>
      <c r="D825" s="244">
        <v>6</v>
      </c>
      <c r="E825" s="244">
        <v>1</v>
      </c>
      <c r="F825" s="244">
        <v>0</v>
      </c>
      <c r="G825" s="244">
        <v>1</v>
      </c>
      <c r="H825" s="244">
        <v>1</v>
      </c>
      <c r="I825" s="244">
        <v>1</v>
      </c>
      <c r="J825" s="244">
        <v>0</v>
      </c>
      <c r="K825" s="276">
        <v>5.3</v>
      </c>
      <c r="L825" s="277">
        <v>28.993500000000001</v>
      </c>
      <c r="M825" s="249"/>
      <c r="N825" s="250"/>
      <c r="O825" s="250"/>
      <c r="P825" s="250"/>
      <c r="Q825" s="250"/>
      <c r="R825" s="250"/>
      <c r="S825" s="266">
        <f t="shared" si="15"/>
        <v>0.72427586960078905</v>
      </c>
    </row>
    <row r="826" spans="1:19">
      <c r="A826" s="243"/>
      <c r="B826" s="244"/>
      <c r="C826" s="311">
        <v>8</v>
      </c>
      <c r="D826" s="244">
        <v>1</v>
      </c>
      <c r="E826" s="244">
        <v>0</v>
      </c>
      <c r="F826" s="244">
        <v>0</v>
      </c>
      <c r="G826" s="244">
        <v>1</v>
      </c>
      <c r="H826" s="244">
        <v>1</v>
      </c>
      <c r="I826" s="244">
        <v>1</v>
      </c>
      <c r="J826" s="244">
        <v>0</v>
      </c>
      <c r="K826" s="276">
        <v>6</v>
      </c>
      <c r="L826" s="277">
        <v>30.5</v>
      </c>
      <c r="M826" s="249"/>
      <c r="N826" s="250"/>
      <c r="O826" s="250"/>
      <c r="P826" s="250"/>
      <c r="Q826" s="250"/>
      <c r="R826" s="250"/>
      <c r="S826" s="266">
        <f t="shared" si="15"/>
        <v>0.77815125038364363</v>
      </c>
    </row>
    <row r="827" spans="1:19">
      <c r="A827" s="243"/>
      <c r="B827" s="244"/>
      <c r="C827" s="311">
        <v>4</v>
      </c>
      <c r="D827" s="244">
        <v>6</v>
      </c>
      <c r="E827" s="244">
        <v>1</v>
      </c>
      <c r="F827" s="244">
        <v>0</v>
      </c>
      <c r="G827" s="244">
        <v>2</v>
      </c>
      <c r="H827" s="244">
        <v>2</v>
      </c>
      <c r="I827" s="244">
        <v>1</v>
      </c>
      <c r="J827" s="244">
        <v>0</v>
      </c>
      <c r="K827" s="276">
        <v>2.4</v>
      </c>
      <c r="L827" s="277">
        <v>45.1</v>
      </c>
      <c r="M827" s="249"/>
      <c r="N827" s="250"/>
      <c r="O827" s="250"/>
      <c r="P827" s="250"/>
      <c r="Q827" s="250"/>
      <c r="R827" s="250"/>
      <c r="S827" s="266">
        <f t="shared" si="15"/>
        <v>0.38021124171160603</v>
      </c>
    </row>
    <row r="828" spans="1:19">
      <c r="A828" s="243"/>
      <c r="B828" s="244"/>
      <c r="C828" s="311">
        <v>6</v>
      </c>
      <c r="D828" s="244">
        <v>6</v>
      </c>
      <c r="E828" s="244">
        <v>1</v>
      </c>
      <c r="F828" s="244">
        <v>0</v>
      </c>
      <c r="G828" s="244">
        <v>2</v>
      </c>
      <c r="H828" s="244">
        <v>2</v>
      </c>
      <c r="I828" s="244">
        <v>1</v>
      </c>
      <c r="J828" s="244">
        <v>0</v>
      </c>
      <c r="K828" s="276">
        <v>3</v>
      </c>
      <c r="L828" s="277">
        <v>34.548200000000001</v>
      </c>
      <c r="M828" s="249"/>
      <c r="N828" s="250"/>
      <c r="O828" s="250"/>
      <c r="P828" s="250"/>
      <c r="Q828" s="250"/>
      <c r="R828" s="250"/>
      <c r="S828" s="266">
        <f t="shared" si="15"/>
        <v>0.47712125471966244</v>
      </c>
    </row>
    <row r="829" spans="1:19">
      <c r="A829" s="243"/>
      <c r="B829" s="244"/>
      <c r="C829" s="311">
        <v>4</v>
      </c>
      <c r="D829" s="244">
        <v>4</v>
      </c>
      <c r="E829" s="244">
        <v>1</v>
      </c>
      <c r="F829" s="244">
        <v>0</v>
      </c>
      <c r="G829" s="244">
        <v>2</v>
      </c>
      <c r="H829" s="244">
        <v>2</v>
      </c>
      <c r="I829" s="244">
        <v>1</v>
      </c>
      <c r="J829" s="244">
        <v>0</v>
      </c>
      <c r="K829" s="276">
        <v>2</v>
      </c>
      <c r="L829" s="277">
        <v>40.299999999999997</v>
      </c>
      <c r="M829" s="249"/>
      <c r="N829" s="250"/>
      <c r="O829" s="250"/>
      <c r="P829" s="250"/>
      <c r="Q829" s="250"/>
      <c r="R829" s="250"/>
      <c r="S829" s="266">
        <f t="shared" si="15"/>
        <v>0.3010299956639812</v>
      </c>
    </row>
    <row r="830" spans="1:19">
      <c r="A830" s="243"/>
      <c r="B830" s="244"/>
      <c r="C830" s="311">
        <v>4</v>
      </c>
      <c r="D830" s="244">
        <v>5</v>
      </c>
      <c r="E830" s="244">
        <v>0</v>
      </c>
      <c r="F830" s="244">
        <v>0</v>
      </c>
      <c r="G830" s="244">
        <v>2</v>
      </c>
      <c r="H830" s="244">
        <v>2</v>
      </c>
      <c r="I830" s="244">
        <v>1</v>
      </c>
      <c r="J830" s="244">
        <v>0</v>
      </c>
      <c r="K830" s="276">
        <v>2</v>
      </c>
      <c r="L830" s="277">
        <v>40.6</v>
      </c>
      <c r="M830" s="249"/>
      <c r="N830" s="250"/>
      <c r="O830" s="250"/>
      <c r="P830" s="250"/>
      <c r="Q830" s="250"/>
      <c r="R830" s="250"/>
      <c r="S830" s="266">
        <f t="shared" si="15"/>
        <v>0.3010299956639812</v>
      </c>
    </row>
    <row r="831" spans="1:19">
      <c r="A831" s="243"/>
      <c r="B831" s="244"/>
      <c r="C831" s="311">
        <v>4</v>
      </c>
      <c r="D831" s="244">
        <v>4</v>
      </c>
      <c r="E831" s="244">
        <v>1</v>
      </c>
      <c r="F831" s="244">
        <v>0</v>
      </c>
      <c r="G831" s="244">
        <v>2</v>
      </c>
      <c r="H831" s="244">
        <v>2</v>
      </c>
      <c r="I831" s="244">
        <v>1</v>
      </c>
      <c r="J831" s="244">
        <v>0</v>
      </c>
      <c r="K831" s="276">
        <v>2.2000000000000002</v>
      </c>
      <c r="L831" s="277">
        <v>42.399099999999997</v>
      </c>
      <c r="M831" s="249"/>
      <c r="N831" s="250"/>
      <c r="O831" s="250"/>
      <c r="P831" s="250"/>
      <c r="Q831" s="250"/>
      <c r="R831" s="250"/>
      <c r="S831" s="266">
        <f t="shared" si="15"/>
        <v>0.34242268082220628</v>
      </c>
    </row>
    <row r="832" spans="1:19">
      <c r="A832" s="243"/>
      <c r="B832" s="244"/>
      <c r="C832" s="311">
        <v>4</v>
      </c>
      <c r="D832" s="244">
        <v>5</v>
      </c>
      <c r="E832" s="244">
        <v>0</v>
      </c>
      <c r="F832" s="244">
        <v>0</v>
      </c>
      <c r="G832" s="244">
        <v>2</v>
      </c>
      <c r="H832" s="244">
        <v>2</v>
      </c>
      <c r="I832" s="244">
        <v>1</v>
      </c>
      <c r="J832" s="244">
        <v>0</v>
      </c>
      <c r="K832" s="276">
        <v>2.2000000000000002</v>
      </c>
      <c r="L832" s="277">
        <v>44.999099999999999</v>
      </c>
      <c r="M832" s="249"/>
      <c r="N832" s="250"/>
      <c r="O832" s="250"/>
      <c r="P832" s="250"/>
      <c r="Q832" s="250"/>
      <c r="R832" s="250"/>
      <c r="S832" s="266">
        <f t="shared" si="15"/>
        <v>0.34242268082220628</v>
      </c>
    </row>
    <row r="833" spans="1:19">
      <c r="A833" s="243"/>
      <c r="B833" s="244"/>
      <c r="C833" s="311">
        <v>4</v>
      </c>
      <c r="D833" s="244">
        <v>5</v>
      </c>
      <c r="E833" s="244">
        <v>0</v>
      </c>
      <c r="F833" s="244">
        <v>0</v>
      </c>
      <c r="G833" s="244">
        <v>2</v>
      </c>
      <c r="H833" s="244">
        <v>2</v>
      </c>
      <c r="I833" s="244">
        <v>1</v>
      </c>
      <c r="J833" s="244">
        <v>0</v>
      </c>
      <c r="K833" s="276">
        <v>2.4</v>
      </c>
      <c r="L833" s="277">
        <v>41.9</v>
      </c>
      <c r="M833" s="249"/>
      <c r="N833" s="250"/>
      <c r="O833" s="250"/>
      <c r="P833" s="250"/>
      <c r="Q833" s="250"/>
      <c r="R833" s="250"/>
      <c r="S833" s="266">
        <f t="shared" si="15"/>
        <v>0.38021124171160603</v>
      </c>
    </row>
    <row r="834" spans="1:19">
      <c r="A834" s="243"/>
      <c r="B834" s="244"/>
      <c r="C834" s="311">
        <v>4</v>
      </c>
      <c r="D834" s="244">
        <v>4</v>
      </c>
      <c r="E834" s="244">
        <v>1</v>
      </c>
      <c r="F834" s="244">
        <v>0</v>
      </c>
      <c r="G834" s="244">
        <v>2</v>
      </c>
      <c r="H834" s="244">
        <v>2</v>
      </c>
      <c r="I834" s="244">
        <v>1</v>
      </c>
      <c r="J834" s="244">
        <v>0</v>
      </c>
      <c r="K834" s="276">
        <v>2.4</v>
      </c>
      <c r="L834" s="277">
        <v>41.5</v>
      </c>
      <c r="M834" s="249"/>
      <c r="N834" s="250"/>
      <c r="O834" s="250"/>
      <c r="P834" s="250"/>
      <c r="Q834" s="250"/>
      <c r="R834" s="250"/>
      <c r="S834" s="266">
        <f t="shared" si="15"/>
        <v>0.38021124171160603</v>
      </c>
    </row>
    <row r="835" spans="1:19">
      <c r="A835" s="243"/>
      <c r="B835" s="244"/>
      <c r="C835" s="311">
        <v>4</v>
      </c>
      <c r="D835" s="244">
        <v>4</v>
      </c>
      <c r="E835" s="244">
        <v>1</v>
      </c>
      <c r="F835" s="244">
        <v>0</v>
      </c>
      <c r="G835" s="244">
        <v>2</v>
      </c>
      <c r="H835" s="244">
        <v>2</v>
      </c>
      <c r="I835" s="244">
        <v>1</v>
      </c>
      <c r="J835" s="244">
        <v>0</v>
      </c>
      <c r="K835" s="276">
        <v>2.2000000000000002</v>
      </c>
      <c r="L835" s="277">
        <v>42.399099999999997</v>
      </c>
      <c r="M835" s="249"/>
      <c r="N835" s="250"/>
      <c r="O835" s="250"/>
      <c r="P835" s="250"/>
      <c r="Q835" s="250"/>
      <c r="R835" s="250"/>
      <c r="S835" s="266">
        <f t="shared" si="15"/>
        <v>0.34242268082220628</v>
      </c>
    </row>
    <row r="836" spans="1:19">
      <c r="A836" s="243"/>
      <c r="B836" s="244"/>
      <c r="C836" s="311">
        <v>4</v>
      </c>
      <c r="D836" s="244">
        <v>5</v>
      </c>
      <c r="E836" s="244">
        <v>0</v>
      </c>
      <c r="F836" s="244">
        <v>0</v>
      </c>
      <c r="G836" s="244">
        <v>2</v>
      </c>
      <c r="H836" s="244">
        <v>2</v>
      </c>
      <c r="I836" s="244">
        <v>1</v>
      </c>
      <c r="J836" s="244">
        <v>0</v>
      </c>
      <c r="K836" s="276">
        <v>2.2000000000000002</v>
      </c>
      <c r="L836" s="277">
        <v>44.999099999999999</v>
      </c>
      <c r="M836" s="249"/>
      <c r="N836" s="250"/>
      <c r="O836" s="250"/>
      <c r="P836" s="250"/>
      <c r="Q836" s="250"/>
      <c r="R836" s="250"/>
      <c r="S836" s="266">
        <f t="shared" si="15"/>
        <v>0.34242268082220628</v>
      </c>
    </row>
    <row r="837" spans="1:19">
      <c r="A837" s="243"/>
      <c r="B837" s="244"/>
      <c r="C837" s="311">
        <v>4</v>
      </c>
      <c r="D837" s="244">
        <v>5</v>
      </c>
      <c r="E837" s="244">
        <v>0</v>
      </c>
      <c r="F837" s="244">
        <v>0</v>
      </c>
      <c r="G837" s="244">
        <v>2</v>
      </c>
      <c r="H837" s="244">
        <v>2</v>
      </c>
      <c r="I837" s="244">
        <v>1</v>
      </c>
      <c r="J837" s="244">
        <v>0</v>
      </c>
      <c r="K837" s="276">
        <v>2.4</v>
      </c>
      <c r="L837" s="277">
        <v>41.9</v>
      </c>
      <c r="M837" s="249"/>
      <c r="N837" s="250"/>
      <c r="O837" s="250"/>
      <c r="P837" s="250"/>
      <c r="Q837" s="250"/>
      <c r="R837" s="250"/>
      <c r="S837" s="266">
        <f t="shared" si="15"/>
        <v>0.38021124171160603</v>
      </c>
    </row>
    <row r="838" spans="1:19">
      <c r="A838" s="243"/>
      <c r="B838" s="244"/>
      <c r="C838" s="311">
        <v>4</v>
      </c>
      <c r="D838" s="244">
        <v>4</v>
      </c>
      <c r="E838" s="244">
        <v>1</v>
      </c>
      <c r="F838" s="244">
        <v>0</v>
      </c>
      <c r="G838" s="244">
        <v>2</v>
      </c>
      <c r="H838" s="244">
        <v>2</v>
      </c>
      <c r="I838" s="244">
        <v>1</v>
      </c>
      <c r="J838" s="244">
        <v>0</v>
      </c>
      <c r="K838" s="276">
        <v>2.4</v>
      </c>
      <c r="L838" s="277">
        <v>41.5</v>
      </c>
      <c r="M838" s="249"/>
      <c r="N838" s="250"/>
      <c r="O838" s="250"/>
      <c r="P838" s="250"/>
      <c r="Q838" s="250"/>
      <c r="R838" s="250"/>
      <c r="S838" s="266">
        <f t="shared" si="15"/>
        <v>0.38021124171160603</v>
      </c>
    </row>
    <row r="839" spans="1:19">
      <c r="A839" s="243"/>
      <c r="B839" s="244"/>
      <c r="C839" s="311">
        <v>6</v>
      </c>
      <c r="D839" s="244">
        <v>6</v>
      </c>
      <c r="E839" s="244">
        <v>1</v>
      </c>
      <c r="F839" s="244">
        <v>0</v>
      </c>
      <c r="G839" s="244">
        <v>2</v>
      </c>
      <c r="H839" s="244">
        <v>2</v>
      </c>
      <c r="I839" s="244">
        <v>1</v>
      </c>
      <c r="J839" s="244">
        <v>0</v>
      </c>
      <c r="K839" s="276">
        <v>3.6</v>
      </c>
      <c r="L839" s="277">
        <v>33</v>
      </c>
      <c r="M839" s="249"/>
      <c r="N839" s="250"/>
      <c r="O839" s="250"/>
      <c r="P839" s="250"/>
      <c r="Q839" s="250"/>
      <c r="R839" s="250"/>
      <c r="S839" s="266">
        <f t="shared" si="15"/>
        <v>0.55630250076728727</v>
      </c>
    </row>
    <row r="840" spans="1:19">
      <c r="A840" s="243"/>
      <c r="B840" s="244"/>
      <c r="C840" s="311">
        <v>4</v>
      </c>
      <c r="D840" s="244">
        <v>4</v>
      </c>
      <c r="E840" s="244">
        <v>1</v>
      </c>
      <c r="F840" s="244">
        <v>0</v>
      </c>
      <c r="G840" s="244">
        <v>2</v>
      </c>
      <c r="H840" s="244">
        <v>2</v>
      </c>
      <c r="I840" s="244">
        <v>0</v>
      </c>
      <c r="J840" s="244">
        <v>0</v>
      </c>
      <c r="K840" s="276">
        <v>2.4</v>
      </c>
      <c r="L840" s="277">
        <v>34.1</v>
      </c>
      <c r="M840" s="249"/>
      <c r="N840" s="250"/>
      <c r="O840" s="250"/>
      <c r="P840" s="250"/>
      <c r="Q840" s="250"/>
      <c r="R840" s="250"/>
      <c r="S840" s="266">
        <f t="shared" si="15"/>
        <v>0.38021124171160603</v>
      </c>
    </row>
    <row r="841" spans="1:19">
      <c r="A841" s="243"/>
      <c r="B841" s="244"/>
      <c r="C841" s="311">
        <v>4</v>
      </c>
      <c r="D841" s="244">
        <v>4</v>
      </c>
      <c r="E841" s="244">
        <v>1</v>
      </c>
      <c r="F841" s="244">
        <v>0</v>
      </c>
      <c r="G841" s="244">
        <v>2</v>
      </c>
      <c r="H841" s="244">
        <v>2</v>
      </c>
      <c r="I841" s="244">
        <v>1</v>
      </c>
      <c r="J841" s="244">
        <v>0</v>
      </c>
      <c r="K841" s="276">
        <v>2.4</v>
      </c>
      <c r="L841" s="277">
        <v>35</v>
      </c>
      <c r="M841" s="249"/>
      <c r="N841" s="250"/>
      <c r="O841" s="250"/>
      <c r="P841" s="250"/>
      <c r="Q841" s="250"/>
      <c r="R841" s="250"/>
      <c r="S841" s="266">
        <f t="shared" si="15"/>
        <v>0.38021124171160603</v>
      </c>
    </row>
    <row r="842" spans="1:19">
      <c r="A842" s="243"/>
      <c r="B842" s="244"/>
      <c r="C842" s="311">
        <v>6</v>
      </c>
      <c r="D842" s="244">
        <v>6</v>
      </c>
      <c r="E842" s="244">
        <v>1</v>
      </c>
      <c r="F842" s="244">
        <v>0</v>
      </c>
      <c r="G842" s="244">
        <v>2</v>
      </c>
      <c r="H842" s="244">
        <v>2</v>
      </c>
      <c r="I842" s="244">
        <v>0</v>
      </c>
      <c r="J842" s="244">
        <v>0</v>
      </c>
      <c r="K842" s="276">
        <v>3.5</v>
      </c>
      <c r="L842" s="277">
        <v>33.200000000000003</v>
      </c>
      <c r="M842" s="249"/>
      <c r="N842" s="250"/>
      <c r="O842" s="250"/>
      <c r="P842" s="250"/>
      <c r="Q842" s="250"/>
      <c r="R842" s="250"/>
      <c r="S842" s="266">
        <f t="shared" si="15"/>
        <v>0.54406804435027567</v>
      </c>
    </row>
    <row r="843" spans="1:19">
      <c r="A843" s="243"/>
      <c r="B843" s="244"/>
      <c r="C843" s="311">
        <v>6</v>
      </c>
      <c r="D843" s="244">
        <v>4</v>
      </c>
      <c r="E843" s="244">
        <v>1</v>
      </c>
      <c r="F843" s="244">
        <v>0</v>
      </c>
      <c r="G843" s="244">
        <v>1</v>
      </c>
      <c r="H843" s="244">
        <v>1</v>
      </c>
      <c r="I843" s="244">
        <v>0</v>
      </c>
      <c r="J843" s="244">
        <v>0</v>
      </c>
      <c r="K843" s="276">
        <v>3.7</v>
      </c>
      <c r="L843" s="277">
        <v>30.5</v>
      </c>
      <c r="M843" s="249"/>
      <c r="N843" s="250"/>
      <c r="O843" s="250"/>
      <c r="P843" s="250"/>
      <c r="Q843" s="250"/>
      <c r="R843" s="250"/>
      <c r="S843" s="266">
        <f t="shared" ref="S843:S906" si="16">LOG10(K843)</f>
        <v>0.56820172406699498</v>
      </c>
    </row>
    <row r="844" spans="1:19">
      <c r="A844" s="243"/>
      <c r="B844" s="244"/>
      <c r="C844" s="311">
        <v>6</v>
      </c>
      <c r="D844" s="244">
        <v>5</v>
      </c>
      <c r="E844" s="244">
        <v>1</v>
      </c>
      <c r="F844" s="244">
        <v>0</v>
      </c>
      <c r="G844" s="244">
        <v>2</v>
      </c>
      <c r="H844" s="244">
        <v>2</v>
      </c>
      <c r="I844" s="244">
        <v>0</v>
      </c>
      <c r="J844" s="244">
        <v>0</v>
      </c>
      <c r="K844" s="276">
        <v>4</v>
      </c>
      <c r="L844" s="277">
        <v>29.4</v>
      </c>
      <c r="M844" s="249"/>
      <c r="N844" s="250"/>
      <c r="O844" s="250"/>
      <c r="P844" s="250"/>
      <c r="Q844" s="250"/>
      <c r="R844" s="250"/>
      <c r="S844" s="266">
        <f t="shared" si="16"/>
        <v>0.6020599913279624</v>
      </c>
    </row>
    <row r="845" spans="1:19">
      <c r="A845" s="243"/>
      <c r="B845" s="244"/>
      <c r="C845" s="311">
        <v>6</v>
      </c>
      <c r="D845" s="244">
        <v>6</v>
      </c>
      <c r="E845" s="244">
        <v>1</v>
      </c>
      <c r="F845" s="244">
        <v>1</v>
      </c>
      <c r="G845" s="244">
        <v>2</v>
      </c>
      <c r="H845" s="244">
        <v>2</v>
      </c>
      <c r="I845" s="244">
        <v>0</v>
      </c>
      <c r="J845" s="244">
        <v>0</v>
      </c>
      <c r="K845" s="276">
        <v>3.5</v>
      </c>
      <c r="L845" s="277">
        <v>34.200000000000003</v>
      </c>
      <c r="M845" s="249"/>
      <c r="N845" s="250"/>
      <c r="O845" s="250"/>
      <c r="P845" s="250"/>
      <c r="Q845" s="250"/>
      <c r="R845" s="250"/>
      <c r="S845" s="266">
        <f t="shared" si="16"/>
        <v>0.54406804435027567</v>
      </c>
    </row>
    <row r="846" spans="1:19">
      <c r="A846" s="243"/>
      <c r="B846" s="244"/>
      <c r="C846" s="311">
        <v>4</v>
      </c>
      <c r="D846" s="244">
        <v>6</v>
      </c>
      <c r="E846" s="244">
        <v>1</v>
      </c>
      <c r="F846" s="244">
        <v>0</v>
      </c>
      <c r="G846" s="244">
        <v>2</v>
      </c>
      <c r="H846" s="244">
        <v>2</v>
      </c>
      <c r="I846" s="244">
        <v>1</v>
      </c>
      <c r="J846" s="244">
        <v>0</v>
      </c>
      <c r="K846" s="276">
        <v>2.5</v>
      </c>
      <c r="L846" s="277">
        <v>39.200000000000003</v>
      </c>
      <c r="M846" s="249"/>
      <c r="N846" s="250"/>
      <c r="O846" s="250"/>
      <c r="P846" s="250"/>
      <c r="Q846" s="250"/>
      <c r="R846" s="250"/>
      <c r="S846" s="266">
        <f t="shared" si="16"/>
        <v>0.3979400086720376</v>
      </c>
    </row>
    <row r="847" spans="1:19">
      <c r="A847" s="243"/>
      <c r="B847" s="244"/>
      <c r="C847" s="311">
        <v>4</v>
      </c>
      <c r="D847" s="244">
        <v>5</v>
      </c>
      <c r="E847" s="244">
        <v>0</v>
      </c>
      <c r="F847" s="244">
        <v>0</v>
      </c>
      <c r="G847" s="244">
        <v>2</v>
      </c>
      <c r="H847" s="244">
        <v>2</v>
      </c>
      <c r="I847" s="244">
        <v>1</v>
      </c>
      <c r="J847" s="244">
        <v>0</v>
      </c>
      <c r="K847" s="276">
        <v>2.5</v>
      </c>
      <c r="L847" s="277">
        <v>38.6</v>
      </c>
      <c r="M847" s="249"/>
      <c r="N847" s="250"/>
      <c r="O847" s="250"/>
      <c r="P847" s="250"/>
      <c r="Q847" s="250"/>
      <c r="R847" s="250"/>
      <c r="S847" s="266">
        <f t="shared" si="16"/>
        <v>0.3979400086720376</v>
      </c>
    </row>
    <row r="848" spans="1:19">
      <c r="A848" s="243"/>
      <c r="B848" s="244"/>
      <c r="C848" s="311">
        <v>6</v>
      </c>
      <c r="D848" s="244">
        <v>6</v>
      </c>
      <c r="E848" s="244">
        <v>1</v>
      </c>
      <c r="F848" s="244">
        <v>0</v>
      </c>
      <c r="G848" s="244">
        <v>2</v>
      </c>
      <c r="H848" s="244">
        <v>2</v>
      </c>
      <c r="I848" s="244">
        <v>1</v>
      </c>
      <c r="J848" s="244">
        <v>0</v>
      </c>
      <c r="K848" s="276">
        <v>3</v>
      </c>
      <c r="L848" s="277">
        <v>34.799999999999997</v>
      </c>
      <c r="M848" s="249"/>
      <c r="N848" s="250"/>
      <c r="O848" s="250"/>
      <c r="P848" s="250"/>
      <c r="Q848" s="250"/>
      <c r="R848" s="250"/>
      <c r="S848" s="266">
        <f t="shared" si="16"/>
        <v>0.47712125471966244</v>
      </c>
    </row>
    <row r="849" spans="1:19">
      <c r="A849" s="243"/>
      <c r="B849" s="244"/>
      <c r="C849" s="311">
        <v>4</v>
      </c>
      <c r="D849" s="244">
        <v>1</v>
      </c>
      <c r="E849" s="244">
        <v>0</v>
      </c>
      <c r="F849" s="244">
        <v>0</v>
      </c>
      <c r="G849" s="244">
        <v>2</v>
      </c>
      <c r="H849" s="244">
        <v>2</v>
      </c>
      <c r="I849" s="244">
        <v>1</v>
      </c>
      <c r="J849" s="244">
        <v>0</v>
      </c>
      <c r="K849" s="276">
        <v>2.5</v>
      </c>
      <c r="L849" s="277">
        <v>42.9</v>
      </c>
      <c r="M849" s="249"/>
      <c r="N849" s="250"/>
      <c r="O849" s="250"/>
      <c r="P849" s="250"/>
      <c r="Q849" s="250"/>
      <c r="R849" s="250"/>
      <c r="S849" s="266">
        <f t="shared" si="16"/>
        <v>0.3979400086720376</v>
      </c>
    </row>
    <row r="850" spans="1:19">
      <c r="A850" s="243"/>
      <c r="B850" s="244"/>
      <c r="C850" s="311">
        <v>8</v>
      </c>
      <c r="D850" s="244">
        <v>6</v>
      </c>
      <c r="E850" s="244">
        <v>1</v>
      </c>
      <c r="F850" s="244">
        <v>0</v>
      </c>
      <c r="G850" s="244">
        <v>2</v>
      </c>
      <c r="H850" s="244">
        <v>1</v>
      </c>
      <c r="I850" s="244">
        <v>0</v>
      </c>
      <c r="J850" s="244">
        <v>0</v>
      </c>
      <c r="K850" s="276">
        <v>5.4</v>
      </c>
      <c r="L850" s="277">
        <v>27</v>
      </c>
      <c r="M850" s="249"/>
      <c r="N850" s="250"/>
      <c r="O850" s="250"/>
      <c r="P850" s="250"/>
      <c r="Q850" s="250"/>
      <c r="R850" s="250"/>
      <c r="S850" s="266">
        <f t="shared" si="16"/>
        <v>0.7323937598229685</v>
      </c>
    </row>
    <row r="851" spans="1:19">
      <c r="A851" s="243"/>
      <c r="B851" s="244"/>
      <c r="C851" s="311">
        <v>6</v>
      </c>
      <c r="D851" s="244">
        <v>5</v>
      </c>
      <c r="E851" s="244">
        <v>1</v>
      </c>
      <c r="F851" s="244">
        <v>1</v>
      </c>
      <c r="G851" s="244">
        <v>1</v>
      </c>
      <c r="H851" s="244">
        <v>1</v>
      </c>
      <c r="I851" s="244">
        <v>0</v>
      </c>
      <c r="J851" s="244">
        <v>0</v>
      </c>
      <c r="K851" s="276">
        <v>4</v>
      </c>
      <c r="L851" s="277">
        <v>27.8</v>
      </c>
      <c r="M851" s="249"/>
      <c r="N851" s="250"/>
      <c r="O851" s="250"/>
      <c r="P851" s="250"/>
      <c r="Q851" s="250"/>
      <c r="R851" s="250"/>
      <c r="S851" s="266">
        <f t="shared" si="16"/>
        <v>0.6020599913279624</v>
      </c>
    </row>
    <row r="852" spans="1:19">
      <c r="A852" s="243"/>
      <c r="B852" s="244"/>
      <c r="C852" s="311">
        <v>8</v>
      </c>
      <c r="D852" s="244">
        <v>6</v>
      </c>
      <c r="E852" s="244">
        <v>1</v>
      </c>
      <c r="F852" s="244">
        <v>1</v>
      </c>
      <c r="G852" s="244">
        <v>2</v>
      </c>
      <c r="H852" s="244">
        <v>1</v>
      </c>
      <c r="I852" s="244">
        <v>0</v>
      </c>
      <c r="J852" s="244">
        <v>0</v>
      </c>
      <c r="K852" s="276">
        <v>4.5999999999999996</v>
      </c>
      <c r="L852" s="277">
        <v>29</v>
      </c>
      <c r="M852" s="249"/>
      <c r="N852" s="250"/>
      <c r="O852" s="250"/>
      <c r="P852" s="250"/>
      <c r="Q852" s="250"/>
      <c r="R852" s="250"/>
      <c r="S852" s="266">
        <f t="shared" si="16"/>
        <v>0.66275783168157409</v>
      </c>
    </row>
    <row r="853" spans="1:19">
      <c r="A853" s="243"/>
      <c r="B853" s="244"/>
      <c r="C853" s="311">
        <v>6</v>
      </c>
      <c r="D853" s="244">
        <v>6</v>
      </c>
      <c r="E853" s="244">
        <v>1</v>
      </c>
      <c r="F853" s="244">
        <v>1</v>
      </c>
      <c r="G853" s="244">
        <v>2</v>
      </c>
      <c r="H853" s="244">
        <v>2</v>
      </c>
      <c r="I853" s="244">
        <v>0</v>
      </c>
      <c r="J853" s="244">
        <v>0</v>
      </c>
      <c r="K853" s="276">
        <v>3.5</v>
      </c>
      <c r="L853" s="277">
        <v>34.200000000000003</v>
      </c>
      <c r="M853" s="249"/>
      <c r="N853" s="250"/>
      <c r="O853" s="250"/>
      <c r="P853" s="250"/>
      <c r="Q853" s="250"/>
      <c r="R853" s="250"/>
      <c r="S853" s="266">
        <f t="shared" si="16"/>
        <v>0.54406804435027567</v>
      </c>
    </row>
    <row r="854" spans="1:19">
      <c r="A854" s="243"/>
      <c r="B854" s="244"/>
      <c r="C854" s="311">
        <v>6</v>
      </c>
      <c r="D854" s="244">
        <v>6</v>
      </c>
      <c r="E854" s="244">
        <v>1</v>
      </c>
      <c r="F854" s="244">
        <v>0</v>
      </c>
      <c r="G854" s="244">
        <v>2</v>
      </c>
      <c r="H854" s="244">
        <v>2</v>
      </c>
      <c r="I854" s="244">
        <v>1</v>
      </c>
      <c r="J854" s="244">
        <v>0</v>
      </c>
      <c r="K854" s="276">
        <v>3.6</v>
      </c>
      <c r="L854" s="277">
        <v>33</v>
      </c>
      <c r="M854" s="249"/>
      <c r="N854" s="250"/>
      <c r="O854" s="250"/>
      <c r="P854" s="250"/>
      <c r="Q854" s="250"/>
      <c r="R854" s="250"/>
      <c r="S854" s="266">
        <f t="shared" si="16"/>
        <v>0.55630250076728727</v>
      </c>
    </row>
    <row r="855" spans="1:19">
      <c r="A855" s="243"/>
      <c r="B855" s="244"/>
      <c r="C855" s="311">
        <v>8</v>
      </c>
      <c r="D855" s="244">
        <v>6</v>
      </c>
      <c r="E855" s="244">
        <v>1</v>
      </c>
      <c r="F855" s="244">
        <v>0</v>
      </c>
      <c r="G855" s="244">
        <v>1</v>
      </c>
      <c r="H855" s="244">
        <v>1</v>
      </c>
      <c r="I855" s="244">
        <v>1</v>
      </c>
      <c r="J855" s="244">
        <v>0</v>
      </c>
      <c r="K855" s="276">
        <v>5.3</v>
      </c>
      <c r="L855" s="277">
        <v>28.993500000000001</v>
      </c>
      <c r="M855" s="249"/>
      <c r="N855" s="250"/>
      <c r="O855" s="250"/>
      <c r="P855" s="250"/>
      <c r="Q855" s="250"/>
      <c r="R855" s="250"/>
      <c r="S855" s="266">
        <f t="shared" si="16"/>
        <v>0.72427586960078905</v>
      </c>
    </row>
    <row r="856" spans="1:19">
      <c r="A856" s="243"/>
      <c r="B856" s="244"/>
      <c r="C856" s="311">
        <v>8</v>
      </c>
      <c r="D856" s="244">
        <v>6</v>
      </c>
      <c r="E856" s="244">
        <v>1</v>
      </c>
      <c r="F856" s="244">
        <v>0</v>
      </c>
      <c r="G856" s="244">
        <v>1</v>
      </c>
      <c r="H856" s="244">
        <v>1</v>
      </c>
      <c r="I856" s="244">
        <v>1</v>
      </c>
      <c r="J856" s="244">
        <v>0</v>
      </c>
      <c r="K856" s="276">
        <v>6.2</v>
      </c>
      <c r="L856" s="277">
        <v>28.4</v>
      </c>
      <c r="M856" s="249"/>
      <c r="N856" s="250"/>
      <c r="O856" s="250"/>
      <c r="P856" s="250"/>
      <c r="Q856" s="250"/>
      <c r="R856" s="250"/>
      <c r="S856" s="266">
        <f t="shared" si="16"/>
        <v>0.79239168949825389</v>
      </c>
    </row>
    <row r="857" spans="1:19">
      <c r="A857" s="243"/>
      <c r="B857" s="244"/>
      <c r="C857" s="311">
        <v>8</v>
      </c>
      <c r="D857" s="244">
        <v>1</v>
      </c>
      <c r="E857" s="244">
        <v>0</v>
      </c>
      <c r="F857" s="244">
        <v>0</v>
      </c>
      <c r="G857" s="244">
        <v>1</v>
      </c>
      <c r="H857" s="244">
        <v>1</v>
      </c>
      <c r="I857" s="244">
        <v>1</v>
      </c>
      <c r="J857" s="244">
        <v>0</v>
      </c>
      <c r="K857" s="276">
        <v>6</v>
      </c>
      <c r="L857" s="277">
        <v>30.5</v>
      </c>
      <c r="M857" s="249"/>
      <c r="N857" s="250"/>
      <c r="O857" s="250"/>
      <c r="P857" s="250"/>
      <c r="Q857" s="250"/>
      <c r="R857" s="250"/>
      <c r="S857" s="266">
        <f t="shared" si="16"/>
        <v>0.77815125038364363</v>
      </c>
    </row>
    <row r="858" spans="1:19">
      <c r="A858" s="243"/>
      <c r="B858" s="244"/>
      <c r="C858" s="311">
        <v>8</v>
      </c>
      <c r="D858" s="244">
        <v>6</v>
      </c>
      <c r="E858" s="244">
        <v>1</v>
      </c>
      <c r="F858" s="244">
        <v>0</v>
      </c>
      <c r="G858" s="244">
        <v>1</v>
      </c>
      <c r="H858" s="244">
        <v>1</v>
      </c>
      <c r="I858" s="244">
        <v>1</v>
      </c>
      <c r="J858" s="244">
        <v>0</v>
      </c>
      <c r="K858" s="276">
        <v>5.3</v>
      </c>
      <c r="L858" s="277">
        <v>28.993500000000001</v>
      </c>
      <c r="M858" s="249"/>
      <c r="N858" s="250"/>
      <c r="O858" s="250"/>
      <c r="P858" s="250"/>
      <c r="Q858" s="250"/>
      <c r="R858" s="250"/>
      <c r="S858" s="266">
        <f t="shared" si="16"/>
        <v>0.72427586960078905</v>
      </c>
    </row>
    <row r="859" spans="1:19">
      <c r="A859" s="243"/>
      <c r="B859" s="244"/>
      <c r="C859" s="311">
        <v>8</v>
      </c>
      <c r="D859" s="244">
        <v>6</v>
      </c>
      <c r="E859" s="244">
        <v>1</v>
      </c>
      <c r="F859" s="244">
        <v>0</v>
      </c>
      <c r="G859" s="244">
        <v>1</v>
      </c>
      <c r="H859" s="244">
        <v>1</v>
      </c>
      <c r="I859" s="244">
        <v>1</v>
      </c>
      <c r="J859" s="244">
        <v>0</v>
      </c>
      <c r="K859" s="276">
        <v>6.2</v>
      </c>
      <c r="L859" s="277">
        <v>28.4</v>
      </c>
      <c r="M859" s="249"/>
      <c r="N859" s="250"/>
      <c r="O859" s="250"/>
      <c r="P859" s="250"/>
      <c r="Q859" s="250"/>
      <c r="R859" s="250"/>
      <c r="S859" s="266">
        <f t="shared" si="16"/>
        <v>0.79239168949825389</v>
      </c>
    </row>
    <row r="860" spans="1:19">
      <c r="A860" s="243"/>
      <c r="B860" s="244"/>
      <c r="C860" s="311">
        <v>8</v>
      </c>
      <c r="D860" s="244">
        <v>6</v>
      </c>
      <c r="E860" s="244">
        <v>1</v>
      </c>
      <c r="F860" s="244">
        <v>0</v>
      </c>
      <c r="G860" s="244">
        <v>1</v>
      </c>
      <c r="H860" s="244">
        <v>1</v>
      </c>
      <c r="I860" s="244">
        <v>1</v>
      </c>
      <c r="J860" s="244">
        <v>0</v>
      </c>
      <c r="K860" s="276">
        <v>6.2</v>
      </c>
      <c r="L860" s="277">
        <v>26</v>
      </c>
      <c r="M860" s="249"/>
      <c r="N860" s="250"/>
      <c r="O860" s="250"/>
      <c r="P860" s="250"/>
      <c r="Q860" s="250"/>
      <c r="R860" s="250"/>
      <c r="S860" s="266">
        <f t="shared" si="16"/>
        <v>0.79239168949825389</v>
      </c>
    </row>
    <row r="861" spans="1:19">
      <c r="A861" s="243"/>
      <c r="B861" s="244"/>
      <c r="C861" s="311">
        <v>4</v>
      </c>
      <c r="D861" s="244">
        <v>6</v>
      </c>
      <c r="E861" s="244">
        <v>1</v>
      </c>
      <c r="F861" s="244">
        <v>0</v>
      </c>
      <c r="G861" s="244">
        <v>2</v>
      </c>
      <c r="H861" s="244">
        <v>2</v>
      </c>
      <c r="I861" s="244">
        <v>1</v>
      </c>
      <c r="J861" s="244">
        <v>0</v>
      </c>
      <c r="K861" s="276">
        <v>2.4</v>
      </c>
      <c r="L861" s="277">
        <v>45.1</v>
      </c>
      <c r="M861" s="249"/>
      <c r="N861" s="250"/>
      <c r="O861" s="250"/>
      <c r="P861" s="250"/>
      <c r="Q861" s="250"/>
      <c r="R861" s="250"/>
      <c r="S861" s="266">
        <f t="shared" si="16"/>
        <v>0.38021124171160603</v>
      </c>
    </row>
    <row r="862" spans="1:19">
      <c r="A862" s="243"/>
      <c r="B862" s="244"/>
      <c r="C862" s="311">
        <v>6</v>
      </c>
      <c r="D862" s="244">
        <v>6</v>
      </c>
      <c r="E862" s="244">
        <v>1</v>
      </c>
      <c r="F862" s="244">
        <v>0</v>
      </c>
      <c r="G862" s="244">
        <v>2</v>
      </c>
      <c r="H862" s="244">
        <v>2</v>
      </c>
      <c r="I862" s="244">
        <v>1</v>
      </c>
      <c r="J862" s="244">
        <v>0</v>
      </c>
      <c r="K862" s="276">
        <v>3</v>
      </c>
      <c r="L862" s="277">
        <v>34.548200000000001</v>
      </c>
      <c r="M862" s="249"/>
      <c r="N862" s="250"/>
      <c r="O862" s="250"/>
      <c r="P862" s="250"/>
      <c r="Q862" s="250"/>
      <c r="R862" s="250"/>
      <c r="S862" s="266">
        <f t="shared" si="16"/>
        <v>0.47712125471966244</v>
      </c>
    </row>
    <row r="863" spans="1:19">
      <c r="A863" s="243"/>
      <c r="B863" s="244"/>
      <c r="C863" s="311">
        <v>6</v>
      </c>
      <c r="D863" s="244">
        <v>5</v>
      </c>
      <c r="E863" s="244">
        <v>1</v>
      </c>
      <c r="F863" s="244">
        <v>0</v>
      </c>
      <c r="G863" s="244">
        <v>2</v>
      </c>
      <c r="H863" s="244">
        <v>2</v>
      </c>
      <c r="I863" s="244">
        <v>1</v>
      </c>
      <c r="J863" s="244">
        <v>1</v>
      </c>
      <c r="K863" s="276">
        <v>3.5</v>
      </c>
      <c r="L863" s="277">
        <v>38.299999999999997</v>
      </c>
      <c r="M863" s="249"/>
      <c r="N863" s="250"/>
      <c r="O863" s="250"/>
      <c r="P863" s="250"/>
      <c r="Q863" s="250"/>
      <c r="R863" s="250"/>
      <c r="S863" s="266">
        <f t="shared" si="16"/>
        <v>0.54406804435027567</v>
      </c>
    </row>
    <row r="864" spans="1:19">
      <c r="A864" s="243"/>
      <c r="B864" s="244"/>
      <c r="C864" s="311">
        <v>4</v>
      </c>
      <c r="D864" s="244">
        <v>5</v>
      </c>
      <c r="E864" s="244">
        <v>1</v>
      </c>
      <c r="F864" s="244">
        <v>0</v>
      </c>
      <c r="G864" s="244">
        <v>2</v>
      </c>
      <c r="H864" s="244">
        <v>2</v>
      </c>
      <c r="I864" s="244">
        <v>1</v>
      </c>
      <c r="J864" s="244">
        <v>1</v>
      </c>
      <c r="K864" s="276">
        <v>2.4</v>
      </c>
      <c r="L864" s="277">
        <v>39.200000000000003</v>
      </c>
      <c r="M864" s="249"/>
      <c r="N864" s="250"/>
      <c r="O864" s="250"/>
      <c r="P864" s="250"/>
      <c r="Q864" s="250"/>
      <c r="R864" s="250"/>
      <c r="S864" s="266">
        <f t="shared" si="16"/>
        <v>0.38021124171160603</v>
      </c>
    </row>
    <row r="865" spans="1:19">
      <c r="A865" s="243"/>
      <c r="B865" s="244"/>
      <c r="C865" s="311">
        <v>4</v>
      </c>
      <c r="D865" s="244">
        <v>5</v>
      </c>
      <c r="E865" s="244">
        <v>1</v>
      </c>
      <c r="F865" s="244">
        <v>0</v>
      </c>
      <c r="G865" s="244">
        <v>2</v>
      </c>
      <c r="H865" s="244">
        <v>2</v>
      </c>
      <c r="I865" s="244">
        <v>1</v>
      </c>
      <c r="J865" s="244">
        <v>1</v>
      </c>
      <c r="K865" s="276">
        <v>2.4</v>
      </c>
      <c r="L865" s="277">
        <v>34.299999999999997</v>
      </c>
      <c r="M865" s="249"/>
      <c r="N865" s="250"/>
      <c r="O865" s="250"/>
      <c r="P865" s="250"/>
      <c r="Q865" s="250"/>
      <c r="R865" s="250"/>
      <c r="S865" s="266">
        <f t="shared" si="16"/>
        <v>0.38021124171160603</v>
      </c>
    </row>
    <row r="866" spans="1:19">
      <c r="A866" s="243"/>
      <c r="B866" s="244"/>
      <c r="C866" s="311">
        <v>4</v>
      </c>
      <c r="D866" s="244">
        <v>5</v>
      </c>
      <c r="E866" s="244">
        <v>0</v>
      </c>
      <c r="F866" s="244">
        <v>0</v>
      </c>
      <c r="G866" s="244">
        <v>2</v>
      </c>
      <c r="H866" s="244">
        <v>2</v>
      </c>
      <c r="I866" s="244">
        <v>1</v>
      </c>
      <c r="J866" s="244">
        <v>1</v>
      </c>
      <c r="K866" s="276">
        <v>2.4</v>
      </c>
      <c r="L866" s="277">
        <v>31.9</v>
      </c>
      <c r="M866" s="249"/>
      <c r="N866" s="250"/>
      <c r="O866" s="250"/>
      <c r="P866" s="250"/>
      <c r="Q866" s="250"/>
      <c r="R866" s="250"/>
      <c r="S866" s="266">
        <f t="shared" si="16"/>
        <v>0.38021124171160603</v>
      </c>
    </row>
    <row r="867" spans="1:19">
      <c r="A867" s="243"/>
      <c r="B867" s="244"/>
      <c r="C867" s="311">
        <v>6</v>
      </c>
      <c r="D867" s="244">
        <v>5</v>
      </c>
      <c r="E867" s="244">
        <v>1</v>
      </c>
      <c r="F867" s="244">
        <v>0</v>
      </c>
      <c r="G867" s="244">
        <v>2</v>
      </c>
      <c r="H867" s="244">
        <v>2</v>
      </c>
      <c r="I867" s="244">
        <v>1</v>
      </c>
      <c r="J867" s="244">
        <v>1</v>
      </c>
      <c r="K867" s="276">
        <v>3.5</v>
      </c>
      <c r="L867" s="277">
        <v>31.947500000000002</v>
      </c>
      <c r="M867" s="249"/>
      <c r="N867" s="250"/>
      <c r="O867" s="250"/>
      <c r="P867" s="250"/>
      <c r="Q867" s="250"/>
      <c r="R867" s="250"/>
      <c r="S867" s="266">
        <f t="shared" si="16"/>
        <v>0.54406804435027567</v>
      </c>
    </row>
    <row r="868" spans="1:19">
      <c r="A868" s="243"/>
      <c r="B868" s="244"/>
      <c r="C868" s="311">
        <v>4</v>
      </c>
      <c r="D868" s="244">
        <v>6</v>
      </c>
      <c r="E868" s="244">
        <v>1</v>
      </c>
      <c r="F868" s="244">
        <v>0</v>
      </c>
      <c r="G868" s="244">
        <v>2</v>
      </c>
      <c r="H868" s="244">
        <v>2</v>
      </c>
      <c r="I868" s="244">
        <v>1</v>
      </c>
      <c r="J868" s="244">
        <v>0</v>
      </c>
      <c r="K868" s="276">
        <v>2.4</v>
      </c>
      <c r="L868" s="277">
        <v>38.6</v>
      </c>
      <c r="M868" s="249"/>
      <c r="N868" s="250"/>
      <c r="O868" s="250"/>
      <c r="P868" s="250"/>
      <c r="Q868" s="250"/>
      <c r="R868" s="250"/>
      <c r="S868" s="266">
        <f t="shared" si="16"/>
        <v>0.38021124171160603</v>
      </c>
    </row>
    <row r="869" spans="1:19">
      <c r="A869" s="243"/>
      <c r="B869" s="244"/>
      <c r="C869" s="311">
        <v>4</v>
      </c>
      <c r="D869" s="244">
        <v>6</v>
      </c>
      <c r="E869" s="244">
        <v>0</v>
      </c>
      <c r="F869" s="244">
        <v>0</v>
      </c>
      <c r="G869" s="244">
        <v>2</v>
      </c>
      <c r="H869" s="244">
        <v>2</v>
      </c>
      <c r="I869" s="244">
        <v>1</v>
      </c>
      <c r="J869" s="244">
        <v>0</v>
      </c>
      <c r="K869" s="276">
        <v>2.4</v>
      </c>
      <c r="L869" s="277">
        <v>36.700000000000003</v>
      </c>
      <c r="M869" s="249"/>
      <c r="N869" s="250"/>
      <c r="O869" s="250"/>
      <c r="P869" s="250"/>
      <c r="Q869" s="250"/>
      <c r="R869" s="250"/>
      <c r="S869" s="266">
        <f t="shared" si="16"/>
        <v>0.38021124171160603</v>
      </c>
    </row>
    <row r="870" spans="1:19">
      <c r="A870" s="243"/>
      <c r="B870" s="244"/>
      <c r="C870" s="311">
        <v>6</v>
      </c>
      <c r="D870" s="244">
        <v>6</v>
      </c>
      <c r="E870" s="244">
        <v>1</v>
      </c>
      <c r="F870" s="244">
        <v>0</v>
      </c>
      <c r="G870" s="244">
        <v>2</v>
      </c>
      <c r="H870" s="244">
        <v>2</v>
      </c>
      <c r="I870" s="244">
        <v>1</v>
      </c>
      <c r="J870" s="244">
        <v>0</v>
      </c>
      <c r="K870" s="276">
        <v>3.5</v>
      </c>
      <c r="L870" s="277">
        <v>36.4</v>
      </c>
      <c r="M870" s="249"/>
      <c r="N870" s="250"/>
      <c r="O870" s="250"/>
      <c r="P870" s="250"/>
      <c r="Q870" s="250"/>
      <c r="R870" s="250"/>
      <c r="S870" s="266">
        <f t="shared" si="16"/>
        <v>0.54406804435027567</v>
      </c>
    </row>
    <row r="871" spans="1:19">
      <c r="A871" s="243"/>
      <c r="B871" s="244"/>
      <c r="C871" s="311">
        <v>4</v>
      </c>
      <c r="D871" s="244">
        <v>6</v>
      </c>
      <c r="E871" s="244">
        <v>0</v>
      </c>
      <c r="F871" s="244">
        <v>0</v>
      </c>
      <c r="G871" s="244">
        <v>2</v>
      </c>
      <c r="H871" s="244">
        <v>2</v>
      </c>
      <c r="I871" s="244">
        <v>1</v>
      </c>
      <c r="J871" s="244">
        <v>0</v>
      </c>
      <c r="K871" s="276">
        <v>2.4</v>
      </c>
      <c r="L871" s="277">
        <v>41.6</v>
      </c>
      <c r="M871" s="249"/>
      <c r="N871" s="250"/>
      <c r="O871" s="250"/>
      <c r="P871" s="250"/>
      <c r="Q871" s="250"/>
      <c r="R871" s="250"/>
      <c r="S871" s="266">
        <f t="shared" si="16"/>
        <v>0.38021124171160603</v>
      </c>
    </row>
    <row r="872" spans="1:19">
      <c r="A872" s="243"/>
      <c r="B872" s="244"/>
      <c r="C872" s="311">
        <v>4</v>
      </c>
      <c r="D872" s="244">
        <v>6</v>
      </c>
      <c r="E872" s="244">
        <v>1</v>
      </c>
      <c r="F872" s="244">
        <v>0</v>
      </c>
      <c r="G872" s="244">
        <v>2</v>
      </c>
      <c r="H872" s="244">
        <v>2</v>
      </c>
      <c r="I872" s="244">
        <v>1</v>
      </c>
      <c r="J872" s="244">
        <v>0</v>
      </c>
      <c r="K872" s="276">
        <v>2.4</v>
      </c>
      <c r="L872" s="277">
        <v>43.2286</v>
      </c>
      <c r="M872" s="249"/>
      <c r="N872" s="250"/>
      <c r="O872" s="250"/>
      <c r="P872" s="250"/>
      <c r="Q872" s="250"/>
      <c r="R872" s="250"/>
      <c r="S872" s="266">
        <f t="shared" si="16"/>
        <v>0.38021124171160603</v>
      </c>
    </row>
    <row r="873" spans="1:19">
      <c r="A873" s="243"/>
      <c r="B873" s="244"/>
      <c r="C873" s="311">
        <v>6</v>
      </c>
      <c r="D873" s="244">
        <v>6</v>
      </c>
      <c r="E873" s="244">
        <v>1</v>
      </c>
      <c r="F873" s="244">
        <v>0</v>
      </c>
      <c r="G873" s="244">
        <v>2</v>
      </c>
      <c r="H873" s="244">
        <v>2</v>
      </c>
      <c r="I873" s="244">
        <v>1</v>
      </c>
      <c r="J873" s="244">
        <v>0</v>
      </c>
      <c r="K873" s="276">
        <v>3.8</v>
      </c>
      <c r="L873" s="277">
        <v>32.5</v>
      </c>
      <c r="M873" s="249"/>
      <c r="N873" s="250"/>
      <c r="O873" s="250"/>
      <c r="P873" s="250"/>
      <c r="Q873" s="250"/>
      <c r="R873" s="250"/>
      <c r="S873" s="266">
        <f t="shared" si="16"/>
        <v>0.57978359661681012</v>
      </c>
    </row>
    <row r="874" spans="1:19">
      <c r="A874" s="243"/>
      <c r="B874" s="244"/>
      <c r="C874" s="311">
        <v>6</v>
      </c>
      <c r="D874" s="244">
        <v>7</v>
      </c>
      <c r="E874" s="244">
        <v>1</v>
      </c>
      <c r="F874" s="244">
        <v>0</v>
      </c>
      <c r="G874" s="244">
        <v>2</v>
      </c>
      <c r="H874" s="244">
        <v>2</v>
      </c>
      <c r="I874" s="244">
        <v>1</v>
      </c>
      <c r="J874" s="244">
        <v>0</v>
      </c>
      <c r="K874" s="276">
        <v>3.5</v>
      </c>
      <c r="L874" s="277">
        <v>31.496099999999998</v>
      </c>
      <c r="M874" s="249"/>
      <c r="N874" s="250"/>
      <c r="O874" s="250"/>
      <c r="P874" s="250"/>
      <c r="Q874" s="250"/>
      <c r="R874" s="250"/>
      <c r="S874" s="266">
        <f t="shared" si="16"/>
        <v>0.54406804435027567</v>
      </c>
    </row>
    <row r="875" spans="1:19">
      <c r="A875" s="243"/>
      <c r="B875" s="244"/>
      <c r="C875" s="311">
        <v>8</v>
      </c>
      <c r="D875" s="244">
        <v>5</v>
      </c>
      <c r="E875" s="244">
        <v>1</v>
      </c>
      <c r="F875" s="244">
        <v>0</v>
      </c>
      <c r="G875" s="244">
        <v>2</v>
      </c>
      <c r="H875" s="244">
        <v>2</v>
      </c>
      <c r="I875" s="244">
        <v>1</v>
      </c>
      <c r="J875" s="244">
        <v>0</v>
      </c>
      <c r="K875" s="276">
        <v>5.6</v>
      </c>
      <c r="L875" s="277">
        <v>24.2</v>
      </c>
      <c r="M875" s="249"/>
      <c r="N875" s="250"/>
      <c r="O875" s="250"/>
      <c r="P875" s="250"/>
      <c r="Q875" s="250"/>
      <c r="R875" s="250"/>
      <c r="S875" s="266">
        <f t="shared" si="16"/>
        <v>0.74818802700620035</v>
      </c>
    </row>
    <row r="876" spans="1:19">
      <c r="A876" s="243"/>
      <c r="B876" s="244"/>
      <c r="C876" s="311">
        <v>6</v>
      </c>
      <c r="D876" s="244">
        <v>5</v>
      </c>
      <c r="E876" s="244">
        <v>1</v>
      </c>
      <c r="F876" s="244">
        <v>0</v>
      </c>
      <c r="G876" s="244">
        <v>1</v>
      </c>
      <c r="H876" s="244">
        <v>1</v>
      </c>
      <c r="I876" s="244">
        <v>0</v>
      </c>
      <c r="J876" s="244">
        <v>0</v>
      </c>
      <c r="K876" s="276">
        <v>3.7</v>
      </c>
      <c r="L876" s="277">
        <v>27.2</v>
      </c>
      <c r="M876" s="249"/>
      <c r="N876" s="250"/>
      <c r="O876" s="250"/>
      <c r="P876" s="250"/>
      <c r="Q876" s="250"/>
      <c r="R876" s="250"/>
      <c r="S876" s="266">
        <f t="shared" si="16"/>
        <v>0.56820172406699498</v>
      </c>
    </row>
    <row r="877" spans="1:19">
      <c r="A877" s="243"/>
      <c r="B877" s="244"/>
      <c r="C877" s="311">
        <v>8</v>
      </c>
      <c r="D877" s="244">
        <v>5</v>
      </c>
      <c r="E877" s="244">
        <v>1</v>
      </c>
      <c r="F877" s="244">
        <v>0</v>
      </c>
      <c r="G877" s="244">
        <v>1</v>
      </c>
      <c r="H877" s="244">
        <v>1</v>
      </c>
      <c r="I877" s="244">
        <v>1</v>
      </c>
      <c r="J877" s="244">
        <v>0</v>
      </c>
      <c r="K877" s="276">
        <v>5.7</v>
      </c>
      <c r="L877" s="277">
        <v>27.1</v>
      </c>
      <c r="M877" s="249"/>
      <c r="N877" s="250"/>
      <c r="O877" s="250"/>
      <c r="P877" s="250"/>
      <c r="Q877" s="250"/>
      <c r="R877" s="250"/>
      <c r="S877" s="266">
        <f t="shared" si="16"/>
        <v>0.75587485567249146</v>
      </c>
    </row>
    <row r="878" spans="1:19">
      <c r="A878" s="243"/>
      <c r="B878" s="244"/>
      <c r="C878" s="311">
        <v>4</v>
      </c>
      <c r="D878" s="244">
        <v>5</v>
      </c>
      <c r="E878" s="244">
        <v>0</v>
      </c>
      <c r="F878" s="244">
        <v>0</v>
      </c>
      <c r="G878" s="244">
        <v>2</v>
      </c>
      <c r="H878" s="244">
        <v>2</v>
      </c>
      <c r="I878" s="244">
        <v>1</v>
      </c>
      <c r="J878" s="244">
        <v>0</v>
      </c>
      <c r="K878" s="276">
        <v>2</v>
      </c>
      <c r="L878" s="277">
        <v>40.239699999999999</v>
      </c>
      <c r="M878" s="249"/>
      <c r="N878" s="250"/>
      <c r="O878" s="250"/>
      <c r="P878" s="250"/>
      <c r="Q878" s="250"/>
      <c r="R878" s="250"/>
      <c r="S878" s="266">
        <f t="shared" si="16"/>
        <v>0.3010299956639812</v>
      </c>
    </row>
    <row r="879" spans="1:19">
      <c r="A879" s="243"/>
      <c r="B879" s="244"/>
      <c r="C879" s="311">
        <v>4</v>
      </c>
      <c r="D879" s="244">
        <v>1</v>
      </c>
      <c r="E879" s="244">
        <v>1</v>
      </c>
      <c r="F879" s="244">
        <v>0</v>
      </c>
      <c r="G879" s="244">
        <v>2</v>
      </c>
      <c r="H879" s="244">
        <v>2</v>
      </c>
      <c r="I879" s="244">
        <v>1</v>
      </c>
      <c r="J879" s="244">
        <v>0</v>
      </c>
      <c r="K879" s="276">
        <v>2</v>
      </c>
      <c r="L879" s="277">
        <v>38</v>
      </c>
      <c r="M879" s="249"/>
      <c r="N879" s="250"/>
      <c r="O879" s="250"/>
      <c r="P879" s="250"/>
      <c r="Q879" s="250"/>
      <c r="R879" s="250"/>
      <c r="S879" s="266">
        <f t="shared" si="16"/>
        <v>0.3010299956639812</v>
      </c>
    </row>
    <row r="880" spans="1:19">
      <c r="A880" s="243"/>
      <c r="B880" s="244"/>
      <c r="C880" s="311">
        <v>4</v>
      </c>
      <c r="D880" s="244">
        <v>5</v>
      </c>
      <c r="E880" s="244">
        <v>0</v>
      </c>
      <c r="F880" s="244">
        <v>0</v>
      </c>
      <c r="G880" s="244">
        <v>2</v>
      </c>
      <c r="H880" s="244">
        <v>2</v>
      </c>
      <c r="I880" s="244">
        <v>1</v>
      </c>
      <c r="J880" s="244">
        <v>0</v>
      </c>
      <c r="K880" s="276">
        <v>2.4</v>
      </c>
      <c r="L880" s="277">
        <v>39.200000000000003</v>
      </c>
      <c r="M880" s="249"/>
      <c r="N880" s="250"/>
      <c r="O880" s="250"/>
      <c r="P880" s="250"/>
      <c r="Q880" s="250"/>
      <c r="R880" s="250"/>
      <c r="S880" s="266">
        <f t="shared" si="16"/>
        <v>0.38021124171160603</v>
      </c>
    </row>
    <row r="881" spans="1:19">
      <c r="A881" s="243"/>
      <c r="B881" s="244"/>
      <c r="C881" s="311">
        <v>4</v>
      </c>
      <c r="D881" s="244">
        <v>1</v>
      </c>
      <c r="E881" s="244">
        <v>1</v>
      </c>
      <c r="F881" s="244">
        <v>0</v>
      </c>
      <c r="G881" s="244">
        <v>2</v>
      </c>
      <c r="H881" s="244">
        <v>2</v>
      </c>
      <c r="I881" s="244">
        <v>1</v>
      </c>
      <c r="J881" s="244">
        <v>0</v>
      </c>
      <c r="K881" s="276">
        <v>2.4</v>
      </c>
      <c r="L881" s="277">
        <v>34.700000000000003</v>
      </c>
      <c r="M881" s="249"/>
      <c r="N881" s="250"/>
      <c r="O881" s="250"/>
      <c r="P881" s="250"/>
      <c r="Q881" s="250"/>
      <c r="R881" s="250"/>
      <c r="S881" s="266">
        <f t="shared" si="16"/>
        <v>0.38021124171160603</v>
      </c>
    </row>
    <row r="882" spans="1:19">
      <c r="A882" s="243"/>
      <c r="B882" s="244"/>
      <c r="C882" s="311">
        <v>6</v>
      </c>
      <c r="D882" s="244">
        <v>5</v>
      </c>
      <c r="E882" s="244">
        <v>1</v>
      </c>
      <c r="F882" s="244">
        <v>0</v>
      </c>
      <c r="G882" s="244">
        <v>1</v>
      </c>
      <c r="H882" s="244">
        <v>1</v>
      </c>
      <c r="I882" s="244">
        <v>0</v>
      </c>
      <c r="J882" s="244">
        <v>0</v>
      </c>
      <c r="K882" s="276">
        <v>3.7</v>
      </c>
      <c r="L882" s="277">
        <v>28.8</v>
      </c>
      <c r="M882" s="249"/>
      <c r="N882" s="250"/>
      <c r="O882" s="250"/>
      <c r="P882" s="250"/>
      <c r="Q882" s="250"/>
      <c r="R882" s="250"/>
      <c r="S882" s="266">
        <f t="shared" si="16"/>
        <v>0.56820172406699498</v>
      </c>
    </row>
    <row r="883" spans="1:19">
      <c r="A883" s="243"/>
      <c r="B883" s="244"/>
      <c r="C883" s="311">
        <v>8</v>
      </c>
      <c r="D883" s="244">
        <v>5</v>
      </c>
      <c r="E883" s="244">
        <v>1</v>
      </c>
      <c r="F883" s="244">
        <v>0</v>
      </c>
      <c r="G883" s="244">
        <v>1</v>
      </c>
      <c r="H883" s="244">
        <v>1</v>
      </c>
      <c r="I883" s="244">
        <v>1</v>
      </c>
      <c r="J883" s="244">
        <v>0</v>
      </c>
      <c r="K883" s="276">
        <v>5.7</v>
      </c>
      <c r="L883" s="277">
        <v>27.1</v>
      </c>
      <c r="M883" s="249"/>
      <c r="N883" s="250"/>
      <c r="O883" s="250"/>
      <c r="P883" s="250"/>
      <c r="Q883" s="250"/>
      <c r="R883" s="250"/>
      <c r="S883" s="266">
        <f t="shared" si="16"/>
        <v>0.75587485567249146</v>
      </c>
    </row>
    <row r="884" spans="1:19">
      <c r="A884" s="243"/>
      <c r="B884" s="244"/>
      <c r="C884" s="311">
        <v>6</v>
      </c>
      <c r="D884" s="244">
        <v>4</v>
      </c>
      <c r="E884" s="244">
        <v>1</v>
      </c>
      <c r="F884" s="244">
        <v>0</v>
      </c>
      <c r="G884" s="244">
        <v>1</v>
      </c>
      <c r="H884" s="244">
        <v>1</v>
      </c>
      <c r="I884" s="244">
        <v>0</v>
      </c>
      <c r="J884" s="244">
        <v>0</v>
      </c>
      <c r="K884" s="276">
        <v>3.7</v>
      </c>
      <c r="L884" s="277">
        <v>30.5</v>
      </c>
      <c r="M884" s="249"/>
      <c r="N884" s="250"/>
      <c r="O884" s="250"/>
      <c r="P884" s="250"/>
      <c r="Q884" s="250"/>
      <c r="R884" s="250"/>
      <c r="S884" s="266">
        <f t="shared" si="16"/>
        <v>0.56820172406699498</v>
      </c>
    </row>
    <row r="885" spans="1:19">
      <c r="A885" s="243"/>
      <c r="B885" s="244"/>
      <c r="C885" s="311">
        <v>4</v>
      </c>
      <c r="D885" s="244">
        <v>5</v>
      </c>
      <c r="E885" s="244">
        <v>0</v>
      </c>
      <c r="F885" s="244">
        <v>0</v>
      </c>
      <c r="G885" s="244">
        <v>2</v>
      </c>
      <c r="H885" s="244">
        <v>2</v>
      </c>
      <c r="I885" s="244">
        <v>1</v>
      </c>
      <c r="J885" s="244">
        <v>0</v>
      </c>
      <c r="K885" s="276">
        <v>2</v>
      </c>
      <c r="L885" s="277">
        <v>40.239699999999999</v>
      </c>
      <c r="M885" s="249"/>
      <c r="N885" s="250"/>
      <c r="O885" s="250"/>
      <c r="P885" s="250"/>
      <c r="Q885" s="250"/>
      <c r="R885" s="250"/>
      <c r="S885" s="266">
        <f t="shared" si="16"/>
        <v>0.3010299956639812</v>
      </c>
    </row>
    <row r="886" spans="1:19">
      <c r="A886" s="243"/>
      <c r="B886" s="244"/>
      <c r="C886" s="311">
        <v>4</v>
      </c>
      <c r="D886" s="244">
        <v>1</v>
      </c>
      <c r="E886" s="244">
        <v>1</v>
      </c>
      <c r="F886" s="244">
        <v>0</v>
      </c>
      <c r="G886" s="244">
        <v>2</v>
      </c>
      <c r="H886" s="244">
        <v>2</v>
      </c>
      <c r="I886" s="244">
        <v>1</v>
      </c>
      <c r="J886" s="244">
        <v>0</v>
      </c>
      <c r="K886" s="276">
        <v>2</v>
      </c>
      <c r="L886" s="277">
        <v>38</v>
      </c>
      <c r="M886" s="249"/>
      <c r="N886" s="250"/>
      <c r="O886" s="250"/>
      <c r="P886" s="250"/>
      <c r="Q886" s="250"/>
      <c r="R886" s="250"/>
      <c r="S886" s="266">
        <f t="shared" si="16"/>
        <v>0.3010299956639812</v>
      </c>
    </row>
    <row r="887" spans="1:19">
      <c r="A887" s="243"/>
      <c r="B887" s="244"/>
      <c r="C887" s="311">
        <v>4</v>
      </c>
      <c r="D887" s="244">
        <v>5</v>
      </c>
      <c r="E887" s="244">
        <v>0</v>
      </c>
      <c r="F887" s="244">
        <v>0</v>
      </c>
      <c r="G887" s="244">
        <v>2</v>
      </c>
      <c r="H887" s="244">
        <v>2</v>
      </c>
      <c r="I887" s="244">
        <v>1</v>
      </c>
      <c r="J887" s="244">
        <v>0</v>
      </c>
      <c r="K887" s="276">
        <v>2.4</v>
      </c>
      <c r="L887" s="277">
        <v>39.200000000000003</v>
      </c>
      <c r="M887" s="249"/>
      <c r="N887" s="250"/>
      <c r="O887" s="250"/>
      <c r="P887" s="250"/>
      <c r="Q887" s="250"/>
      <c r="R887" s="250"/>
      <c r="S887" s="266">
        <f t="shared" si="16"/>
        <v>0.38021124171160603</v>
      </c>
    </row>
    <row r="888" spans="1:19">
      <c r="A888" s="243"/>
      <c r="B888" s="244"/>
      <c r="C888" s="311">
        <v>4</v>
      </c>
      <c r="D888" s="244">
        <v>1</v>
      </c>
      <c r="E888" s="244">
        <v>1</v>
      </c>
      <c r="F888" s="244">
        <v>0</v>
      </c>
      <c r="G888" s="244">
        <v>2</v>
      </c>
      <c r="H888" s="244">
        <v>2</v>
      </c>
      <c r="I888" s="244">
        <v>1</v>
      </c>
      <c r="J888" s="244">
        <v>0</v>
      </c>
      <c r="K888" s="276">
        <v>2.4</v>
      </c>
      <c r="L888" s="277">
        <v>34.700000000000003</v>
      </c>
      <c r="M888" s="249"/>
      <c r="N888" s="250"/>
      <c r="O888" s="250"/>
      <c r="P888" s="250"/>
      <c r="Q888" s="250"/>
      <c r="R888" s="250"/>
      <c r="S888" s="266">
        <f t="shared" si="16"/>
        <v>0.38021124171160603</v>
      </c>
    </row>
    <row r="889" spans="1:19">
      <c r="A889" s="243"/>
      <c r="B889" s="244"/>
      <c r="C889" s="311">
        <v>6</v>
      </c>
      <c r="D889" s="244">
        <v>4</v>
      </c>
      <c r="E889" s="244">
        <v>1</v>
      </c>
      <c r="F889" s="244">
        <v>0</v>
      </c>
      <c r="G889" s="244">
        <v>1</v>
      </c>
      <c r="H889" s="244">
        <v>1</v>
      </c>
      <c r="I889" s="244">
        <v>0</v>
      </c>
      <c r="J889" s="244">
        <v>0</v>
      </c>
      <c r="K889" s="276">
        <v>3.8</v>
      </c>
      <c r="L889" s="277">
        <v>28.2</v>
      </c>
      <c r="M889" s="249"/>
      <c r="N889" s="250"/>
      <c r="O889" s="250"/>
      <c r="P889" s="250"/>
      <c r="Q889" s="250"/>
      <c r="R889" s="250"/>
      <c r="S889" s="266">
        <f t="shared" si="16"/>
        <v>0.57978359661681012</v>
      </c>
    </row>
    <row r="890" spans="1:19">
      <c r="A890" s="243"/>
      <c r="B890" s="244"/>
      <c r="C890" s="311">
        <v>6</v>
      </c>
      <c r="D890" s="244">
        <v>5</v>
      </c>
      <c r="E890" s="244">
        <v>1</v>
      </c>
      <c r="F890" s="244">
        <v>0</v>
      </c>
      <c r="G890" s="244">
        <v>2</v>
      </c>
      <c r="H890" s="244">
        <v>2</v>
      </c>
      <c r="I890" s="244">
        <v>1</v>
      </c>
      <c r="J890" s="244">
        <v>0</v>
      </c>
      <c r="K890" s="276">
        <v>3.8</v>
      </c>
      <c r="L890" s="277">
        <v>29.5</v>
      </c>
      <c r="M890" s="249"/>
      <c r="N890" s="250"/>
      <c r="O890" s="250"/>
      <c r="P890" s="250"/>
      <c r="Q890" s="250"/>
      <c r="R890" s="250"/>
      <c r="S890" s="266">
        <f t="shared" si="16"/>
        <v>0.57978359661681012</v>
      </c>
    </row>
    <row r="891" spans="1:19">
      <c r="A891" s="243"/>
      <c r="B891" s="244"/>
      <c r="C891" s="311">
        <v>8</v>
      </c>
      <c r="D891" s="244">
        <v>6</v>
      </c>
      <c r="E891" s="244">
        <v>1</v>
      </c>
      <c r="F891" s="244">
        <v>0</v>
      </c>
      <c r="G891" s="244">
        <v>2</v>
      </c>
      <c r="H891" s="244">
        <v>2</v>
      </c>
      <c r="I891" s="244">
        <v>1</v>
      </c>
      <c r="J891" s="244">
        <v>0</v>
      </c>
      <c r="K891" s="276">
        <v>4.5999999999999996</v>
      </c>
      <c r="L891" s="277">
        <v>29.9</v>
      </c>
      <c r="M891" s="249"/>
      <c r="N891" s="250"/>
      <c r="O891" s="250"/>
      <c r="P891" s="250"/>
      <c r="Q891" s="250"/>
      <c r="R891" s="250"/>
      <c r="S891" s="266">
        <f t="shared" si="16"/>
        <v>0.66275783168157409</v>
      </c>
    </row>
    <row r="892" spans="1:19">
      <c r="A892" s="243"/>
      <c r="B892" s="244"/>
      <c r="C892" s="311">
        <v>4</v>
      </c>
      <c r="D892" s="244">
        <v>4</v>
      </c>
      <c r="E892" s="244">
        <v>1</v>
      </c>
      <c r="F892" s="244">
        <v>0</v>
      </c>
      <c r="G892" s="244">
        <v>2</v>
      </c>
      <c r="H892" s="244">
        <v>2</v>
      </c>
      <c r="I892" s="244">
        <v>1</v>
      </c>
      <c r="J892" s="244">
        <v>0</v>
      </c>
      <c r="K892" s="276">
        <v>2</v>
      </c>
      <c r="L892" s="277">
        <v>34.5</v>
      </c>
      <c r="M892" s="249"/>
      <c r="N892" s="250"/>
      <c r="O892" s="250"/>
      <c r="P892" s="250"/>
      <c r="Q892" s="250"/>
      <c r="R892" s="250"/>
      <c r="S892" s="266">
        <f t="shared" si="16"/>
        <v>0.3010299956639812</v>
      </c>
    </row>
    <row r="893" spans="1:19">
      <c r="A893" s="243"/>
      <c r="B893" s="244"/>
      <c r="C893" s="311">
        <v>4</v>
      </c>
      <c r="D893" s="244">
        <v>5</v>
      </c>
      <c r="E893" s="244">
        <v>0</v>
      </c>
      <c r="F893" s="244">
        <v>0</v>
      </c>
      <c r="G893" s="244">
        <v>2</v>
      </c>
      <c r="H893" s="244">
        <v>2</v>
      </c>
      <c r="I893" s="244">
        <v>1</v>
      </c>
      <c r="J893" s="244">
        <v>0</v>
      </c>
      <c r="K893" s="276">
        <v>2</v>
      </c>
      <c r="L893" s="277">
        <v>35.299999999999997</v>
      </c>
      <c r="M893" s="249"/>
      <c r="N893" s="250"/>
      <c r="O893" s="250"/>
      <c r="P893" s="250"/>
      <c r="Q893" s="250"/>
      <c r="R893" s="250"/>
      <c r="S893" s="266">
        <f t="shared" si="16"/>
        <v>0.3010299956639812</v>
      </c>
    </row>
    <row r="894" spans="1:19">
      <c r="A894" s="243"/>
      <c r="B894" s="244"/>
      <c r="C894" s="311">
        <v>6</v>
      </c>
      <c r="D894" s="244">
        <v>4</v>
      </c>
      <c r="E894" s="244">
        <v>1</v>
      </c>
      <c r="F894" s="244">
        <v>0</v>
      </c>
      <c r="G894" s="244">
        <v>2</v>
      </c>
      <c r="H894" s="244">
        <v>2</v>
      </c>
      <c r="I894" s="244">
        <v>0</v>
      </c>
      <c r="J894" s="244">
        <v>0</v>
      </c>
      <c r="K894" s="276">
        <v>2.7</v>
      </c>
      <c r="L894" s="277">
        <v>32.700000000000003</v>
      </c>
      <c r="M894" s="249"/>
      <c r="N894" s="250"/>
      <c r="O894" s="250"/>
      <c r="P894" s="250"/>
      <c r="Q894" s="250"/>
      <c r="R894" s="250"/>
      <c r="S894" s="266">
        <f t="shared" si="16"/>
        <v>0.43136376415898736</v>
      </c>
    </row>
    <row r="895" spans="1:19">
      <c r="A895" s="243"/>
      <c r="B895" s="244"/>
      <c r="C895" s="311">
        <v>6</v>
      </c>
      <c r="D895" s="244">
        <v>6</v>
      </c>
      <c r="E895" s="244">
        <v>1</v>
      </c>
      <c r="F895" s="244">
        <v>0</v>
      </c>
      <c r="G895" s="244">
        <v>2</v>
      </c>
      <c r="H895" s="244">
        <v>2</v>
      </c>
      <c r="I895" s="244">
        <v>1</v>
      </c>
      <c r="J895" s="244">
        <v>0</v>
      </c>
      <c r="K895" s="276">
        <v>3.5</v>
      </c>
      <c r="L895" s="277">
        <v>34.5</v>
      </c>
      <c r="M895" s="249"/>
      <c r="N895" s="250"/>
      <c r="O895" s="250"/>
      <c r="P895" s="250"/>
      <c r="Q895" s="250"/>
      <c r="R895" s="250"/>
      <c r="S895" s="266">
        <f t="shared" si="16"/>
        <v>0.54406804435027567</v>
      </c>
    </row>
    <row r="896" spans="1:19">
      <c r="A896" s="243"/>
      <c r="B896" s="244"/>
      <c r="C896" s="311">
        <v>6</v>
      </c>
      <c r="D896" s="244">
        <v>1</v>
      </c>
      <c r="E896" s="244">
        <v>0</v>
      </c>
      <c r="F896" s="244">
        <v>0</v>
      </c>
      <c r="G896" s="244">
        <v>2</v>
      </c>
      <c r="H896" s="244">
        <v>2</v>
      </c>
      <c r="I896" s="244">
        <v>1</v>
      </c>
      <c r="J896" s="244">
        <v>0</v>
      </c>
      <c r="K896" s="276">
        <v>3.5</v>
      </c>
      <c r="L896" s="277">
        <v>39.0959</v>
      </c>
      <c r="M896" s="249"/>
      <c r="N896" s="250"/>
      <c r="O896" s="250"/>
      <c r="P896" s="250"/>
      <c r="Q896" s="250"/>
      <c r="R896" s="250"/>
      <c r="S896" s="266">
        <f t="shared" si="16"/>
        <v>0.54406804435027567</v>
      </c>
    </row>
    <row r="897" spans="1:19">
      <c r="A897" s="243"/>
      <c r="B897" s="244"/>
      <c r="C897" s="311">
        <v>6</v>
      </c>
      <c r="D897" s="244">
        <v>6</v>
      </c>
      <c r="E897" s="244">
        <v>1</v>
      </c>
      <c r="F897" s="244">
        <v>1</v>
      </c>
      <c r="G897" s="244">
        <v>2</v>
      </c>
      <c r="H897" s="244">
        <v>2</v>
      </c>
      <c r="I897" s="244">
        <v>1</v>
      </c>
      <c r="J897" s="244">
        <v>0</v>
      </c>
      <c r="K897" s="276">
        <v>3.5</v>
      </c>
      <c r="L897" s="277">
        <v>32.200000000000003</v>
      </c>
      <c r="M897" s="249"/>
      <c r="N897" s="250"/>
      <c r="O897" s="250"/>
      <c r="P897" s="250"/>
      <c r="Q897" s="250"/>
      <c r="R897" s="250"/>
      <c r="S897" s="266">
        <f t="shared" si="16"/>
        <v>0.54406804435027567</v>
      </c>
    </row>
    <row r="898" spans="1:19">
      <c r="A898" s="243"/>
      <c r="B898" s="244"/>
      <c r="C898" s="311">
        <v>6</v>
      </c>
      <c r="D898" s="244">
        <v>6</v>
      </c>
      <c r="E898" s="244">
        <v>1</v>
      </c>
      <c r="F898" s="244">
        <v>1</v>
      </c>
      <c r="G898" s="244">
        <v>2</v>
      </c>
      <c r="H898" s="244">
        <v>2</v>
      </c>
      <c r="I898" s="244">
        <v>0</v>
      </c>
      <c r="J898" s="244">
        <v>0</v>
      </c>
      <c r="K898" s="276">
        <v>3.5</v>
      </c>
      <c r="L898" s="277">
        <v>34.200000000000003</v>
      </c>
      <c r="M898" s="249"/>
      <c r="N898" s="250"/>
      <c r="O898" s="250"/>
      <c r="P898" s="250"/>
      <c r="Q898" s="250"/>
      <c r="R898" s="250"/>
      <c r="S898" s="266">
        <f t="shared" si="16"/>
        <v>0.54406804435027567</v>
      </c>
    </row>
    <row r="899" spans="1:19">
      <c r="A899" s="243"/>
      <c r="B899" s="244"/>
      <c r="C899" s="311">
        <v>8</v>
      </c>
      <c r="D899" s="244">
        <v>6</v>
      </c>
      <c r="E899" s="244">
        <v>1</v>
      </c>
      <c r="F899" s="244">
        <v>0</v>
      </c>
      <c r="G899" s="244">
        <v>2</v>
      </c>
      <c r="H899" s="244">
        <v>1</v>
      </c>
      <c r="I899" s="244">
        <v>0</v>
      </c>
      <c r="J899" s="244">
        <v>0</v>
      </c>
      <c r="K899" s="276">
        <v>5.4</v>
      </c>
      <c r="L899" s="277">
        <v>27</v>
      </c>
      <c r="M899" s="249"/>
      <c r="N899" s="250"/>
      <c r="O899" s="250"/>
      <c r="P899" s="250"/>
      <c r="Q899" s="250"/>
      <c r="R899" s="250"/>
      <c r="S899" s="266">
        <f t="shared" si="16"/>
        <v>0.7323937598229685</v>
      </c>
    </row>
    <row r="900" spans="1:19">
      <c r="A900" s="243"/>
      <c r="B900" s="244"/>
      <c r="C900" s="311">
        <v>4</v>
      </c>
      <c r="D900" s="244">
        <v>6</v>
      </c>
      <c r="E900" s="244">
        <v>1</v>
      </c>
      <c r="F900" s="244">
        <v>0</v>
      </c>
      <c r="G900" s="244">
        <v>2</v>
      </c>
      <c r="H900" s="244">
        <v>2</v>
      </c>
      <c r="I900" s="244">
        <v>1</v>
      </c>
      <c r="J900" s="244">
        <v>0</v>
      </c>
      <c r="K900" s="276">
        <v>2.2999999999999998</v>
      </c>
      <c r="L900" s="277">
        <v>34.700000000000003</v>
      </c>
      <c r="M900" s="249"/>
      <c r="N900" s="250"/>
      <c r="O900" s="250"/>
      <c r="P900" s="250"/>
      <c r="Q900" s="250"/>
      <c r="R900" s="250"/>
      <c r="S900" s="266">
        <f t="shared" si="16"/>
        <v>0.36172783601759284</v>
      </c>
    </row>
    <row r="901" spans="1:19">
      <c r="A901" s="243"/>
      <c r="B901" s="244"/>
      <c r="C901" s="311">
        <v>4</v>
      </c>
      <c r="D901" s="244">
        <v>5</v>
      </c>
      <c r="E901" s="244">
        <v>1</v>
      </c>
      <c r="F901" s="244">
        <v>0</v>
      </c>
      <c r="G901" s="244">
        <v>2</v>
      </c>
      <c r="H901" s="244">
        <v>2</v>
      </c>
      <c r="I901" s="244">
        <v>1</v>
      </c>
      <c r="J901" s="244">
        <v>0</v>
      </c>
      <c r="K901" s="276">
        <v>2.5</v>
      </c>
      <c r="L901" s="277">
        <v>38.6</v>
      </c>
      <c r="M901" s="249"/>
      <c r="N901" s="250"/>
      <c r="O901" s="250"/>
      <c r="P901" s="250"/>
      <c r="Q901" s="250"/>
      <c r="R901" s="250"/>
      <c r="S901" s="266">
        <f t="shared" si="16"/>
        <v>0.3979400086720376</v>
      </c>
    </row>
    <row r="902" spans="1:19">
      <c r="A902" s="243"/>
      <c r="B902" s="244"/>
      <c r="C902" s="311">
        <v>6</v>
      </c>
      <c r="D902" s="244">
        <v>6</v>
      </c>
      <c r="E902" s="244">
        <v>1</v>
      </c>
      <c r="F902" s="244">
        <v>0</v>
      </c>
      <c r="G902" s="244">
        <v>2</v>
      </c>
      <c r="H902" s="244">
        <v>2</v>
      </c>
      <c r="I902" s="244">
        <v>1</v>
      </c>
      <c r="J902" s="244">
        <v>0</v>
      </c>
      <c r="K902" s="276">
        <v>3.7</v>
      </c>
      <c r="L902" s="277">
        <v>30.5</v>
      </c>
      <c r="M902" s="249"/>
      <c r="N902" s="250"/>
      <c r="O902" s="250"/>
      <c r="P902" s="250"/>
      <c r="Q902" s="250"/>
      <c r="R902" s="250"/>
      <c r="S902" s="266">
        <f t="shared" si="16"/>
        <v>0.56820172406699498</v>
      </c>
    </row>
    <row r="903" spans="1:19">
      <c r="A903" s="243"/>
      <c r="B903" s="244"/>
      <c r="C903" s="311">
        <v>4</v>
      </c>
      <c r="D903" s="244">
        <v>5</v>
      </c>
      <c r="E903" s="244">
        <v>0</v>
      </c>
      <c r="F903" s="244">
        <v>0</v>
      </c>
      <c r="G903" s="244">
        <v>2</v>
      </c>
      <c r="H903" s="244">
        <v>2</v>
      </c>
      <c r="I903" s="244">
        <v>1</v>
      </c>
      <c r="J903" s="244">
        <v>0</v>
      </c>
      <c r="K903" s="276">
        <v>2.5</v>
      </c>
      <c r="L903" s="277">
        <v>38.6</v>
      </c>
      <c r="M903" s="249"/>
      <c r="N903" s="250"/>
      <c r="O903" s="250"/>
      <c r="P903" s="250"/>
      <c r="Q903" s="250"/>
      <c r="R903" s="250"/>
      <c r="S903" s="266">
        <f t="shared" si="16"/>
        <v>0.3979400086720376</v>
      </c>
    </row>
    <row r="904" spans="1:19">
      <c r="A904" s="243"/>
      <c r="B904" s="244"/>
      <c r="C904" s="311">
        <v>4</v>
      </c>
      <c r="D904" s="244">
        <v>6</v>
      </c>
      <c r="E904" s="244">
        <v>1</v>
      </c>
      <c r="F904" s="244">
        <v>0</v>
      </c>
      <c r="G904" s="244">
        <v>2</v>
      </c>
      <c r="H904" s="244">
        <v>2</v>
      </c>
      <c r="I904" s="244">
        <v>1</v>
      </c>
      <c r="J904" s="244">
        <v>0</v>
      </c>
      <c r="K904" s="276">
        <v>2.5</v>
      </c>
      <c r="L904" s="277">
        <v>39.200000000000003</v>
      </c>
      <c r="M904" s="249"/>
      <c r="N904" s="250"/>
      <c r="O904" s="250"/>
      <c r="P904" s="250"/>
      <c r="Q904" s="250"/>
      <c r="R904" s="250"/>
      <c r="S904" s="266">
        <f t="shared" si="16"/>
        <v>0.3979400086720376</v>
      </c>
    </row>
    <row r="905" spans="1:19">
      <c r="A905" s="243"/>
      <c r="B905" s="244"/>
      <c r="C905" s="311">
        <v>6</v>
      </c>
      <c r="D905" s="244">
        <v>6</v>
      </c>
      <c r="E905" s="244">
        <v>1</v>
      </c>
      <c r="F905" s="244">
        <v>0</v>
      </c>
      <c r="G905" s="244">
        <v>2</v>
      </c>
      <c r="H905" s="244">
        <v>2</v>
      </c>
      <c r="I905" s="244">
        <v>1</v>
      </c>
      <c r="J905" s="244">
        <v>0</v>
      </c>
      <c r="K905" s="276">
        <v>3</v>
      </c>
      <c r="L905" s="277">
        <v>34.799999999999997</v>
      </c>
      <c r="M905" s="249"/>
      <c r="N905" s="250"/>
      <c r="O905" s="250"/>
      <c r="P905" s="250"/>
      <c r="Q905" s="250"/>
      <c r="R905" s="250"/>
      <c r="S905" s="266">
        <f t="shared" si="16"/>
        <v>0.47712125471966244</v>
      </c>
    </row>
    <row r="906" spans="1:19">
      <c r="A906" s="243"/>
      <c r="B906" s="244"/>
      <c r="C906" s="311">
        <v>4</v>
      </c>
      <c r="D906" s="244">
        <v>1</v>
      </c>
      <c r="E906" s="244">
        <v>0</v>
      </c>
      <c r="F906" s="244">
        <v>0</v>
      </c>
      <c r="G906" s="244">
        <v>2</v>
      </c>
      <c r="H906" s="244">
        <v>2</v>
      </c>
      <c r="I906" s="244">
        <v>1</v>
      </c>
      <c r="J906" s="244">
        <v>0</v>
      </c>
      <c r="K906" s="276">
        <v>2.5</v>
      </c>
      <c r="L906" s="277">
        <v>42.9</v>
      </c>
      <c r="M906" s="249"/>
      <c r="N906" s="250"/>
      <c r="O906" s="250"/>
      <c r="P906" s="250"/>
      <c r="Q906" s="250"/>
      <c r="R906" s="250"/>
      <c r="S906" s="266">
        <f t="shared" si="16"/>
        <v>0.3979400086720376</v>
      </c>
    </row>
    <row r="907" spans="1:19">
      <c r="A907" s="243"/>
      <c r="B907" s="244"/>
      <c r="C907" s="311">
        <v>6</v>
      </c>
      <c r="D907" s="244">
        <v>7</v>
      </c>
      <c r="E907" s="244">
        <v>1</v>
      </c>
      <c r="F907" s="244">
        <v>0</v>
      </c>
      <c r="G907" s="244">
        <v>2</v>
      </c>
      <c r="H907" s="244">
        <v>2</v>
      </c>
      <c r="I907" s="244">
        <v>1</v>
      </c>
      <c r="J907" s="244">
        <v>0</v>
      </c>
      <c r="K907" s="276">
        <v>3.5</v>
      </c>
      <c r="L907" s="277">
        <v>30.6</v>
      </c>
      <c r="M907" s="249"/>
      <c r="N907" s="250"/>
      <c r="O907" s="250"/>
      <c r="P907" s="250"/>
      <c r="Q907" s="250"/>
      <c r="R907" s="250"/>
      <c r="S907" s="266">
        <f t="shared" ref="S907:S970" si="17">LOG10(K907)</f>
        <v>0.54406804435027567</v>
      </c>
    </row>
    <row r="908" spans="1:19">
      <c r="A908" s="243"/>
      <c r="B908" s="244"/>
      <c r="C908" s="311">
        <v>6</v>
      </c>
      <c r="D908" s="244">
        <v>7</v>
      </c>
      <c r="E908" s="244">
        <v>1</v>
      </c>
      <c r="F908" s="244">
        <v>0</v>
      </c>
      <c r="G908" s="244">
        <v>2</v>
      </c>
      <c r="H908" s="244">
        <v>2</v>
      </c>
      <c r="I908" s="244">
        <v>1</v>
      </c>
      <c r="J908" s="244">
        <v>0</v>
      </c>
      <c r="K908" s="276">
        <v>3.5</v>
      </c>
      <c r="L908" s="277">
        <v>28.7</v>
      </c>
      <c r="M908" s="249"/>
      <c r="N908" s="250"/>
      <c r="O908" s="250"/>
      <c r="P908" s="250"/>
      <c r="Q908" s="250"/>
      <c r="R908" s="250"/>
      <c r="S908" s="266">
        <f t="shared" si="17"/>
        <v>0.54406804435027567</v>
      </c>
    </row>
    <row r="909" spans="1:19">
      <c r="A909" s="243"/>
      <c r="B909" s="244"/>
      <c r="C909" s="311">
        <v>4</v>
      </c>
      <c r="D909" s="244">
        <v>6</v>
      </c>
      <c r="E909" s="244">
        <v>1</v>
      </c>
      <c r="F909" s="244">
        <v>0</v>
      </c>
      <c r="G909" s="244">
        <v>2</v>
      </c>
      <c r="H909" s="244">
        <v>2</v>
      </c>
      <c r="I909" s="244">
        <v>1</v>
      </c>
      <c r="J909" s="244">
        <v>0</v>
      </c>
      <c r="K909" s="276">
        <v>2.5</v>
      </c>
      <c r="L909" s="277">
        <v>39.200000000000003</v>
      </c>
      <c r="M909" s="249"/>
      <c r="N909" s="250"/>
      <c r="O909" s="250"/>
      <c r="P909" s="250"/>
      <c r="Q909" s="250"/>
      <c r="R909" s="250"/>
      <c r="S909" s="266">
        <f t="shared" si="17"/>
        <v>0.3979400086720376</v>
      </c>
    </row>
    <row r="910" spans="1:19">
      <c r="A910" s="243"/>
      <c r="B910" s="244"/>
      <c r="C910" s="311">
        <v>6</v>
      </c>
      <c r="D910" s="244">
        <v>6</v>
      </c>
      <c r="E910" s="244">
        <v>1</v>
      </c>
      <c r="F910" s="244">
        <v>1</v>
      </c>
      <c r="G910" s="244">
        <v>2</v>
      </c>
      <c r="H910" s="244">
        <v>2</v>
      </c>
      <c r="I910" s="244">
        <v>1</v>
      </c>
      <c r="J910" s="244">
        <v>0</v>
      </c>
      <c r="K910" s="276">
        <v>3</v>
      </c>
      <c r="L910" s="277">
        <v>34.799999999999997</v>
      </c>
      <c r="M910" s="249"/>
      <c r="N910" s="250"/>
      <c r="O910" s="250"/>
      <c r="P910" s="250"/>
      <c r="Q910" s="250"/>
      <c r="R910" s="250"/>
      <c r="S910" s="266">
        <f t="shared" si="17"/>
        <v>0.47712125471966244</v>
      </c>
    </row>
    <row r="911" spans="1:19">
      <c r="A911" s="243"/>
      <c r="B911" s="244"/>
      <c r="C911" s="311">
        <v>4</v>
      </c>
      <c r="D911" s="244">
        <v>1</v>
      </c>
      <c r="E911" s="244">
        <v>0</v>
      </c>
      <c r="F911" s="244">
        <v>0</v>
      </c>
      <c r="G911" s="244">
        <v>2</v>
      </c>
      <c r="H911" s="244">
        <v>2</v>
      </c>
      <c r="I911" s="244">
        <v>1</v>
      </c>
      <c r="J911" s="244">
        <v>0</v>
      </c>
      <c r="K911" s="276">
        <v>2.5</v>
      </c>
      <c r="L911" s="277">
        <v>42.9</v>
      </c>
      <c r="M911" s="249"/>
      <c r="N911" s="250"/>
      <c r="O911" s="250"/>
      <c r="P911" s="250"/>
      <c r="Q911" s="250"/>
      <c r="R911" s="250"/>
      <c r="S911" s="266">
        <f t="shared" si="17"/>
        <v>0.3979400086720376</v>
      </c>
    </row>
    <row r="912" spans="1:19">
      <c r="A912" s="243"/>
      <c r="B912" s="244"/>
      <c r="C912" s="311">
        <v>6</v>
      </c>
      <c r="D912" s="244">
        <v>5</v>
      </c>
      <c r="E912" s="244">
        <v>1</v>
      </c>
      <c r="F912" s="244">
        <v>1</v>
      </c>
      <c r="G912" s="244">
        <v>1</v>
      </c>
      <c r="H912" s="244">
        <v>1</v>
      </c>
      <c r="I912" s="244">
        <v>0</v>
      </c>
      <c r="J912" s="244">
        <v>0</v>
      </c>
      <c r="K912" s="276">
        <v>4</v>
      </c>
      <c r="L912" s="277">
        <v>27.8</v>
      </c>
      <c r="M912" s="249"/>
      <c r="N912" s="250"/>
      <c r="O912" s="250"/>
      <c r="P912" s="250"/>
      <c r="Q912" s="250"/>
      <c r="R912" s="250"/>
      <c r="S912" s="266">
        <f t="shared" si="17"/>
        <v>0.6020599913279624</v>
      </c>
    </row>
    <row r="913" spans="1:19">
      <c r="A913" s="243"/>
      <c r="B913" s="244"/>
      <c r="C913" s="311">
        <v>8</v>
      </c>
      <c r="D913" s="244">
        <v>6</v>
      </c>
      <c r="E913" s="244">
        <v>1</v>
      </c>
      <c r="F913" s="244">
        <v>1</v>
      </c>
      <c r="G913" s="244">
        <v>2</v>
      </c>
      <c r="H913" s="244">
        <v>1</v>
      </c>
      <c r="I913" s="244">
        <v>0</v>
      </c>
      <c r="J913" s="244">
        <v>0</v>
      </c>
      <c r="K913" s="276">
        <v>4.5999999999999996</v>
      </c>
      <c r="L913" s="277">
        <v>29</v>
      </c>
      <c r="M913" s="249"/>
      <c r="N913" s="250"/>
      <c r="O913" s="250"/>
      <c r="P913" s="250"/>
      <c r="Q913" s="250"/>
      <c r="R913" s="250"/>
      <c r="S913" s="266">
        <f t="shared" si="17"/>
        <v>0.66275783168157409</v>
      </c>
    </row>
    <row r="914" spans="1:19">
      <c r="A914" s="243"/>
      <c r="B914" s="244"/>
      <c r="C914" s="311">
        <v>4</v>
      </c>
      <c r="D914" s="244">
        <v>1</v>
      </c>
      <c r="E914" s="244">
        <v>0</v>
      </c>
      <c r="F914" s="244">
        <v>0</v>
      </c>
      <c r="G914" s="244">
        <v>2</v>
      </c>
      <c r="H914" s="244">
        <v>2</v>
      </c>
      <c r="I914" s="244">
        <v>1</v>
      </c>
      <c r="J914" s="244">
        <v>0</v>
      </c>
      <c r="K914" s="276">
        <v>2.4</v>
      </c>
      <c r="L914" s="277">
        <v>37.976399999999998</v>
      </c>
      <c r="M914" s="249"/>
      <c r="N914" s="250"/>
      <c r="O914" s="250"/>
      <c r="P914" s="250"/>
      <c r="Q914" s="250"/>
      <c r="R914" s="250"/>
      <c r="S914" s="266">
        <f t="shared" si="17"/>
        <v>0.38021124171160603</v>
      </c>
    </row>
    <row r="915" spans="1:19">
      <c r="A915" s="243"/>
      <c r="B915" s="244"/>
      <c r="C915" s="311">
        <v>6</v>
      </c>
      <c r="D915" s="244">
        <v>6</v>
      </c>
      <c r="E915" s="244">
        <v>1</v>
      </c>
      <c r="F915" s="244">
        <v>0</v>
      </c>
      <c r="G915" s="244">
        <v>2</v>
      </c>
      <c r="H915" s="244">
        <v>2</v>
      </c>
      <c r="I915" s="244">
        <v>0</v>
      </c>
      <c r="J915" s="244">
        <v>1</v>
      </c>
      <c r="K915" s="276">
        <v>3</v>
      </c>
      <c r="L915" s="277">
        <v>35.288699999999999</v>
      </c>
      <c r="M915" s="249"/>
      <c r="N915" s="250"/>
      <c r="O915" s="250"/>
      <c r="P915" s="250"/>
      <c r="Q915" s="250"/>
      <c r="R915" s="250"/>
      <c r="S915" s="266">
        <f t="shared" si="17"/>
        <v>0.47712125471966244</v>
      </c>
    </row>
    <row r="916" spans="1:19">
      <c r="A916" s="243"/>
      <c r="B916" s="244"/>
      <c r="C916" s="311">
        <v>6</v>
      </c>
      <c r="D916" s="244">
        <v>4</v>
      </c>
      <c r="E916" s="244">
        <v>1</v>
      </c>
      <c r="F916" s="244">
        <v>0</v>
      </c>
      <c r="G916" s="244">
        <v>2</v>
      </c>
      <c r="H916" s="244">
        <v>2</v>
      </c>
      <c r="I916" s="244">
        <v>0</v>
      </c>
      <c r="J916" s="244">
        <v>1</v>
      </c>
      <c r="K916" s="276">
        <v>3.8</v>
      </c>
      <c r="L916" s="277">
        <v>29.809899999999999</v>
      </c>
      <c r="M916" s="249"/>
      <c r="N916" s="250"/>
      <c r="O916" s="250"/>
      <c r="P916" s="250"/>
      <c r="Q916" s="250"/>
      <c r="R916" s="250"/>
      <c r="S916" s="266">
        <f t="shared" si="17"/>
        <v>0.57978359661681012</v>
      </c>
    </row>
    <row r="917" spans="1:19">
      <c r="A917" s="243"/>
      <c r="B917" s="244"/>
      <c r="C917" s="311">
        <v>8</v>
      </c>
      <c r="D917" s="244">
        <v>5</v>
      </c>
      <c r="E917" s="244">
        <v>1</v>
      </c>
      <c r="F917" s="244">
        <v>0</v>
      </c>
      <c r="G917" s="244">
        <v>2</v>
      </c>
      <c r="H917" s="244">
        <v>2</v>
      </c>
      <c r="I917" s="244">
        <v>1</v>
      </c>
      <c r="J917" s="244">
        <v>0</v>
      </c>
      <c r="K917" s="276">
        <v>5.6</v>
      </c>
      <c r="L917" s="277">
        <v>24.947700000000001</v>
      </c>
      <c r="M917" s="249"/>
      <c r="N917" s="250"/>
      <c r="O917" s="250"/>
      <c r="P917" s="250"/>
      <c r="Q917" s="250"/>
      <c r="R917" s="250"/>
      <c r="S917" s="266">
        <f t="shared" si="17"/>
        <v>0.74818802700620035</v>
      </c>
    </row>
    <row r="918" spans="1:19">
      <c r="A918" s="243"/>
      <c r="B918" s="244"/>
      <c r="C918" s="311">
        <v>8</v>
      </c>
      <c r="D918" s="244">
        <v>5</v>
      </c>
      <c r="E918" s="244">
        <v>1</v>
      </c>
      <c r="F918" s="244">
        <v>0</v>
      </c>
      <c r="G918" s="244">
        <v>2</v>
      </c>
      <c r="H918" s="244">
        <v>2</v>
      </c>
      <c r="I918" s="244">
        <v>1</v>
      </c>
      <c r="J918" s="244">
        <v>0</v>
      </c>
      <c r="K918" s="276">
        <v>5.6</v>
      </c>
      <c r="L918" s="277">
        <v>25.1952</v>
      </c>
      <c r="M918" s="249"/>
      <c r="N918" s="250"/>
      <c r="O918" s="250"/>
      <c r="P918" s="250"/>
      <c r="Q918" s="250"/>
      <c r="R918" s="250"/>
      <c r="S918" s="266">
        <f t="shared" si="17"/>
        <v>0.74818802700620035</v>
      </c>
    </row>
    <row r="919" spans="1:19">
      <c r="A919" s="243"/>
      <c r="B919" s="244"/>
      <c r="C919" s="311">
        <v>6</v>
      </c>
      <c r="D919" s="244">
        <v>1</v>
      </c>
      <c r="E919" s="244">
        <v>1</v>
      </c>
      <c r="F919" s="244">
        <v>0</v>
      </c>
      <c r="G919" s="244">
        <v>2</v>
      </c>
      <c r="H919" s="244">
        <v>2</v>
      </c>
      <c r="I919" s="244">
        <v>1</v>
      </c>
      <c r="J919" s="244">
        <v>0</v>
      </c>
      <c r="K919" s="276">
        <v>3.5</v>
      </c>
      <c r="L919" s="277">
        <v>32.407600000000002</v>
      </c>
      <c r="M919" s="249"/>
      <c r="N919" s="250"/>
      <c r="O919" s="250"/>
      <c r="P919" s="250"/>
      <c r="Q919" s="250"/>
      <c r="R919" s="250"/>
      <c r="S919" s="266">
        <f t="shared" si="17"/>
        <v>0.54406804435027567</v>
      </c>
    </row>
    <row r="920" spans="1:19">
      <c r="A920" s="243"/>
      <c r="B920" s="244"/>
      <c r="C920" s="311">
        <v>6</v>
      </c>
      <c r="D920" s="244">
        <v>5</v>
      </c>
      <c r="E920" s="244">
        <v>1</v>
      </c>
      <c r="F920" s="244">
        <v>0</v>
      </c>
      <c r="G920" s="244">
        <v>2</v>
      </c>
      <c r="H920" s="244">
        <v>2</v>
      </c>
      <c r="I920" s="244">
        <v>1</v>
      </c>
      <c r="J920" s="244">
        <v>0</v>
      </c>
      <c r="K920" s="276">
        <v>4</v>
      </c>
      <c r="L920" s="277">
        <v>29.9</v>
      </c>
      <c r="M920" s="249"/>
      <c r="N920" s="250"/>
      <c r="O920" s="250"/>
      <c r="P920" s="250"/>
      <c r="Q920" s="250"/>
      <c r="R920" s="250"/>
      <c r="S920" s="266">
        <f t="shared" si="17"/>
        <v>0.6020599913279624</v>
      </c>
    </row>
    <row r="921" spans="1:19">
      <c r="A921" s="243"/>
      <c r="B921" s="244"/>
      <c r="C921" s="311">
        <v>6</v>
      </c>
      <c r="D921" s="244">
        <v>5</v>
      </c>
      <c r="E921" s="244">
        <v>1</v>
      </c>
      <c r="F921" s="244">
        <v>0</v>
      </c>
      <c r="G921" s="244">
        <v>2</v>
      </c>
      <c r="H921" s="244">
        <v>2</v>
      </c>
      <c r="I921" s="244">
        <v>1</v>
      </c>
      <c r="J921" s="244">
        <v>0</v>
      </c>
      <c r="K921" s="276">
        <v>4</v>
      </c>
      <c r="L921" s="277">
        <v>30.9375</v>
      </c>
      <c r="M921" s="249"/>
      <c r="N921" s="250"/>
      <c r="O921" s="250"/>
      <c r="P921" s="250"/>
      <c r="Q921" s="250"/>
      <c r="R921" s="250"/>
      <c r="S921" s="266">
        <f t="shared" si="17"/>
        <v>0.6020599913279624</v>
      </c>
    </row>
    <row r="922" spans="1:19">
      <c r="A922" s="243"/>
      <c r="B922" s="244"/>
      <c r="C922" s="311">
        <v>4</v>
      </c>
      <c r="D922" s="244">
        <v>1</v>
      </c>
      <c r="E922" s="244">
        <v>1</v>
      </c>
      <c r="F922" s="244">
        <v>0</v>
      </c>
      <c r="G922" s="244">
        <v>2</v>
      </c>
      <c r="H922" s="244">
        <v>2</v>
      </c>
      <c r="I922" s="244">
        <v>1</v>
      </c>
      <c r="J922" s="244">
        <v>0</v>
      </c>
      <c r="K922" s="276">
        <v>2.5</v>
      </c>
      <c r="L922" s="277">
        <v>38.029899999999998</v>
      </c>
      <c r="M922" s="249"/>
      <c r="N922" s="250"/>
      <c r="O922" s="250"/>
      <c r="P922" s="250"/>
      <c r="Q922" s="250"/>
      <c r="R922" s="250"/>
      <c r="S922" s="266">
        <f t="shared" si="17"/>
        <v>0.3979400086720376</v>
      </c>
    </row>
    <row r="923" spans="1:19">
      <c r="A923" s="243"/>
      <c r="B923" s="244"/>
      <c r="C923" s="311">
        <v>6</v>
      </c>
      <c r="D923" s="244">
        <v>6</v>
      </c>
      <c r="E923" s="244">
        <v>0</v>
      </c>
      <c r="F923" s="244">
        <v>0</v>
      </c>
      <c r="G923" s="244">
        <v>2</v>
      </c>
      <c r="H923" s="244">
        <v>2</v>
      </c>
      <c r="I923" s="244">
        <v>1</v>
      </c>
      <c r="J923" s="244">
        <v>0</v>
      </c>
      <c r="K923" s="276">
        <v>4</v>
      </c>
      <c r="L923" s="277">
        <v>28.0488</v>
      </c>
      <c r="M923" s="249"/>
      <c r="N923" s="250"/>
      <c r="O923" s="250"/>
      <c r="P923" s="250"/>
      <c r="Q923" s="250"/>
      <c r="R923" s="250"/>
      <c r="S923" s="266">
        <f t="shared" si="17"/>
        <v>0.6020599913279624</v>
      </c>
    </row>
    <row r="924" spans="1:19">
      <c r="A924" s="243"/>
      <c r="B924" s="244"/>
      <c r="C924" s="311">
        <v>6</v>
      </c>
      <c r="D924" s="244">
        <v>5</v>
      </c>
      <c r="E924" s="244">
        <v>1</v>
      </c>
      <c r="F924" s="244">
        <v>0</v>
      </c>
      <c r="G924" s="244">
        <v>2</v>
      </c>
      <c r="H924" s="244">
        <v>2</v>
      </c>
      <c r="I924" s="244">
        <v>1</v>
      </c>
      <c r="J924" s="244">
        <v>0</v>
      </c>
      <c r="K924" s="276">
        <v>4</v>
      </c>
      <c r="L924" s="277">
        <v>28.654900000000001</v>
      </c>
      <c r="M924" s="249"/>
      <c r="N924" s="250"/>
      <c r="O924" s="250"/>
      <c r="P924" s="250"/>
      <c r="Q924" s="250"/>
      <c r="R924" s="250"/>
      <c r="S924" s="266">
        <f t="shared" si="17"/>
        <v>0.6020599913279624</v>
      </c>
    </row>
    <row r="925" spans="1:19">
      <c r="A925" s="243"/>
      <c r="B925" s="244"/>
      <c r="C925" s="311">
        <v>6</v>
      </c>
      <c r="D925" s="244">
        <v>6</v>
      </c>
      <c r="E925" s="244">
        <v>1</v>
      </c>
      <c r="F925" s="244">
        <v>0</v>
      </c>
      <c r="G925" s="244">
        <v>2</v>
      </c>
      <c r="H925" s="244">
        <v>2</v>
      </c>
      <c r="I925" s="244">
        <v>1</v>
      </c>
      <c r="J925" s="244">
        <v>0</v>
      </c>
      <c r="K925" s="276">
        <v>3.6</v>
      </c>
      <c r="L925" s="277">
        <v>33</v>
      </c>
      <c r="M925" s="249"/>
      <c r="N925" s="250"/>
      <c r="O925" s="250"/>
      <c r="P925" s="250"/>
      <c r="Q925" s="250"/>
      <c r="R925" s="250"/>
      <c r="S925" s="266">
        <f t="shared" si="17"/>
        <v>0.55630250076728727</v>
      </c>
    </row>
    <row r="926" spans="1:19">
      <c r="A926" s="243"/>
      <c r="B926" s="244"/>
      <c r="C926" s="311">
        <v>4</v>
      </c>
      <c r="D926" s="244">
        <v>4</v>
      </c>
      <c r="E926" s="244">
        <v>1</v>
      </c>
      <c r="F926" s="244">
        <v>0</v>
      </c>
      <c r="G926" s="244">
        <v>2</v>
      </c>
      <c r="H926" s="244">
        <v>2</v>
      </c>
      <c r="I926" s="244">
        <v>1</v>
      </c>
      <c r="J926" s="244">
        <v>0</v>
      </c>
      <c r="K926" s="276">
        <v>2.4</v>
      </c>
      <c r="L926" s="277">
        <v>37</v>
      </c>
      <c r="M926" s="249"/>
      <c r="N926" s="250"/>
      <c r="O926" s="250"/>
      <c r="P926" s="250"/>
      <c r="Q926" s="250"/>
      <c r="R926" s="250"/>
      <c r="S926" s="266">
        <f t="shared" si="17"/>
        <v>0.38021124171160603</v>
      </c>
    </row>
    <row r="927" spans="1:19">
      <c r="A927" s="243"/>
      <c r="B927" s="244"/>
      <c r="C927" s="311">
        <v>6</v>
      </c>
      <c r="D927" s="244">
        <v>6</v>
      </c>
      <c r="E927" s="244">
        <v>1</v>
      </c>
      <c r="F927" s="244">
        <v>0</v>
      </c>
      <c r="G927" s="244">
        <v>2</v>
      </c>
      <c r="H927" s="244">
        <v>2</v>
      </c>
      <c r="I927" s="244">
        <v>1</v>
      </c>
      <c r="J927" s="244">
        <v>0</v>
      </c>
      <c r="K927" s="276">
        <v>3.6</v>
      </c>
      <c r="L927" s="277">
        <v>33</v>
      </c>
      <c r="M927" s="249"/>
      <c r="N927" s="250"/>
      <c r="O927" s="250"/>
      <c r="P927" s="250"/>
      <c r="Q927" s="250"/>
      <c r="R927" s="250"/>
      <c r="S927" s="266">
        <f t="shared" si="17"/>
        <v>0.55630250076728727</v>
      </c>
    </row>
    <row r="928" spans="1:19">
      <c r="A928" s="243"/>
      <c r="B928" s="244"/>
      <c r="C928" s="311">
        <v>6</v>
      </c>
      <c r="D928" s="244">
        <v>6</v>
      </c>
      <c r="E928" s="244">
        <v>1</v>
      </c>
      <c r="F928" s="244">
        <v>0</v>
      </c>
      <c r="G928" s="244">
        <v>2</v>
      </c>
      <c r="H928" s="244">
        <v>2</v>
      </c>
      <c r="I928" s="244">
        <v>1</v>
      </c>
      <c r="J928" s="244">
        <v>0</v>
      </c>
      <c r="K928" s="276">
        <v>3.6</v>
      </c>
      <c r="L928" s="277">
        <v>33.200000000000003</v>
      </c>
      <c r="M928" s="249"/>
      <c r="N928" s="250"/>
      <c r="O928" s="250"/>
      <c r="P928" s="250"/>
      <c r="Q928" s="250"/>
      <c r="R928" s="250"/>
      <c r="S928" s="266">
        <f t="shared" si="17"/>
        <v>0.55630250076728727</v>
      </c>
    </row>
    <row r="929" spans="1:19">
      <c r="A929" s="243"/>
      <c r="B929" s="244"/>
      <c r="C929" s="311">
        <v>4</v>
      </c>
      <c r="D929" s="244">
        <v>4</v>
      </c>
      <c r="E929" s="244">
        <v>1</v>
      </c>
      <c r="F929" s="244">
        <v>0</v>
      </c>
      <c r="G929" s="244">
        <v>2</v>
      </c>
      <c r="H929" s="244">
        <v>2</v>
      </c>
      <c r="I929" s="244">
        <v>1</v>
      </c>
      <c r="J929" s="244">
        <v>0</v>
      </c>
      <c r="K929" s="276">
        <v>2.4</v>
      </c>
      <c r="L929" s="277">
        <v>45.3</v>
      </c>
      <c r="M929" s="249"/>
      <c r="N929" s="250"/>
      <c r="O929" s="250"/>
      <c r="P929" s="250"/>
      <c r="Q929" s="250"/>
      <c r="R929" s="250"/>
      <c r="S929" s="266">
        <f t="shared" si="17"/>
        <v>0.38021124171160603</v>
      </c>
    </row>
    <row r="930" spans="1:19">
      <c r="A930" s="243"/>
      <c r="B930" s="244"/>
      <c r="C930" s="311">
        <v>4</v>
      </c>
      <c r="D930" s="244">
        <v>5</v>
      </c>
      <c r="E930" s="244">
        <v>0</v>
      </c>
      <c r="F930" s="244">
        <v>0</v>
      </c>
      <c r="G930" s="244">
        <v>2</v>
      </c>
      <c r="H930" s="244">
        <v>2</v>
      </c>
      <c r="I930" s="244">
        <v>1</v>
      </c>
      <c r="J930" s="244">
        <v>0</v>
      </c>
      <c r="K930" s="276">
        <v>2.4</v>
      </c>
      <c r="L930" s="277">
        <v>35.810299999999998</v>
      </c>
      <c r="M930" s="249"/>
      <c r="N930" s="250"/>
      <c r="O930" s="250"/>
      <c r="P930" s="250"/>
      <c r="Q930" s="250"/>
      <c r="R930" s="250"/>
      <c r="S930" s="266">
        <f t="shared" si="17"/>
        <v>0.38021124171160603</v>
      </c>
    </row>
    <row r="931" spans="1:19">
      <c r="A931" s="243"/>
      <c r="B931" s="244"/>
      <c r="C931" s="311">
        <v>4</v>
      </c>
      <c r="D931" s="244">
        <v>4</v>
      </c>
      <c r="E931" s="244">
        <v>1</v>
      </c>
      <c r="F931" s="244">
        <v>0</v>
      </c>
      <c r="G931" s="244">
        <v>2</v>
      </c>
      <c r="H931" s="244">
        <v>2</v>
      </c>
      <c r="I931" s="244">
        <v>1</v>
      </c>
      <c r="J931" s="244">
        <v>0</v>
      </c>
      <c r="K931" s="276">
        <v>2.4</v>
      </c>
      <c r="L931" s="277">
        <v>34.283099999999997</v>
      </c>
      <c r="M931" s="249"/>
      <c r="N931" s="250"/>
      <c r="O931" s="250"/>
      <c r="P931" s="250"/>
      <c r="Q931" s="250"/>
      <c r="R931" s="250"/>
      <c r="S931" s="266">
        <f t="shared" si="17"/>
        <v>0.38021124171160603</v>
      </c>
    </row>
    <row r="932" spans="1:19">
      <c r="A932" s="243"/>
      <c r="B932" s="244"/>
      <c r="C932" s="311">
        <v>6</v>
      </c>
      <c r="D932" s="244">
        <v>5</v>
      </c>
      <c r="E932" s="244">
        <v>1</v>
      </c>
      <c r="F932" s="244">
        <v>0</v>
      </c>
      <c r="G932" s="244">
        <v>2</v>
      </c>
      <c r="H932" s="244">
        <v>2</v>
      </c>
      <c r="I932" s="244">
        <v>1</v>
      </c>
      <c r="J932" s="244">
        <v>0</v>
      </c>
      <c r="K932" s="276">
        <v>3.2</v>
      </c>
      <c r="L932" s="277">
        <v>33.762799999999999</v>
      </c>
      <c r="M932" s="249"/>
      <c r="N932" s="250"/>
      <c r="O932" s="250"/>
      <c r="P932" s="250"/>
      <c r="Q932" s="250"/>
      <c r="R932" s="250"/>
      <c r="S932" s="266">
        <f t="shared" si="17"/>
        <v>0.50514997831990605</v>
      </c>
    </row>
    <row r="933" spans="1:19">
      <c r="A933" s="243"/>
      <c r="B933" s="244"/>
      <c r="C933" s="311">
        <v>4</v>
      </c>
      <c r="D933" s="244">
        <v>4</v>
      </c>
      <c r="E933" s="244">
        <v>1</v>
      </c>
      <c r="F933" s="244">
        <v>0</v>
      </c>
      <c r="G933" s="244">
        <v>2</v>
      </c>
      <c r="H933" s="244">
        <v>2</v>
      </c>
      <c r="I933" s="244">
        <v>1</v>
      </c>
      <c r="J933" s="244">
        <v>0</v>
      </c>
      <c r="K933" s="276">
        <v>2.7</v>
      </c>
      <c r="L933" s="277">
        <v>31.7</v>
      </c>
      <c r="M933" s="249"/>
      <c r="N933" s="250"/>
      <c r="O933" s="250"/>
      <c r="P933" s="250"/>
      <c r="Q933" s="250"/>
      <c r="R933" s="250"/>
      <c r="S933" s="266">
        <f t="shared" si="17"/>
        <v>0.43136376415898736</v>
      </c>
    </row>
    <row r="934" spans="1:19">
      <c r="A934" s="243"/>
      <c r="B934" s="244"/>
      <c r="C934" s="311">
        <v>6</v>
      </c>
      <c r="D934" s="244">
        <v>5</v>
      </c>
      <c r="E934" s="244">
        <v>1</v>
      </c>
      <c r="F934" s="244">
        <v>0</v>
      </c>
      <c r="G934" s="244">
        <v>2</v>
      </c>
      <c r="H934" s="244">
        <v>2</v>
      </c>
      <c r="I934" s="244">
        <v>1</v>
      </c>
      <c r="J934" s="244">
        <v>0</v>
      </c>
      <c r="K934" s="276">
        <v>4</v>
      </c>
      <c r="L934" s="277">
        <v>31.4</v>
      </c>
      <c r="M934" s="249"/>
      <c r="N934" s="250"/>
      <c r="O934" s="250"/>
      <c r="P934" s="250"/>
      <c r="Q934" s="250"/>
      <c r="R934" s="250"/>
      <c r="S934" s="266">
        <f t="shared" si="17"/>
        <v>0.6020599913279624</v>
      </c>
    </row>
    <row r="935" spans="1:19">
      <c r="A935" s="243"/>
      <c r="B935" s="244"/>
      <c r="C935" s="311">
        <v>6</v>
      </c>
      <c r="D935" s="244">
        <v>5</v>
      </c>
      <c r="E935" s="244">
        <v>1</v>
      </c>
      <c r="F935" s="244">
        <v>0</v>
      </c>
      <c r="G935" s="244">
        <v>2</v>
      </c>
      <c r="H935" s="244">
        <v>2</v>
      </c>
      <c r="I935" s="244">
        <v>1</v>
      </c>
      <c r="J935" s="244">
        <v>0</v>
      </c>
      <c r="K935" s="276">
        <v>4</v>
      </c>
      <c r="L935" s="277">
        <v>30.2</v>
      </c>
      <c r="M935" s="249"/>
      <c r="N935" s="250"/>
      <c r="O935" s="250"/>
      <c r="P935" s="250"/>
      <c r="Q935" s="250"/>
      <c r="R935" s="250"/>
      <c r="S935" s="266">
        <f t="shared" si="17"/>
        <v>0.6020599913279624</v>
      </c>
    </row>
    <row r="936" spans="1:19">
      <c r="A936" s="243"/>
      <c r="B936" s="244"/>
      <c r="C936" s="311">
        <v>4</v>
      </c>
      <c r="D936" s="244">
        <v>6</v>
      </c>
      <c r="E936" s="244">
        <v>1</v>
      </c>
      <c r="F936" s="244">
        <v>0</v>
      </c>
      <c r="G936" s="244">
        <v>2</v>
      </c>
      <c r="H936" s="244">
        <v>2</v>
      </c>
      <c r="I936" s="244">
        <v>1</v>
      </c>
      <c r="J936" s="244">
        <v>0</v>
      </c>
      <c r="K936" s="276">
        <v>2.7</v>
      </c>
      <c r="L936" s="277">
        <v>37.799999999999997</v>
      </c>
      <c r="M936" s="249"/>
      <c r="N936" s="250"/>
      <c r="O936" s="250"/>
      <c r="P936" s="250"/>
      <c r="Q936" s="250"/>
      <c r="R936" s="250"/>
      <c r="S936" s="266">
        <f t="shared" si="17"/>
        <v>0.43136376415898736</v>
      </c>
    </row>
    <row r="937" spans="1:19">
      <c r="A937" s="243"/>
      <c r="B937" s="244"/>
      <c r="C937" s="311">
        <v>6</v>
      </c>
      <c r="D937" s="244">
        <v>5</v>
      </c>
      <c r="E937" s="244">
        <v>1</v>
      </c>
      <c r="F937" s="244">
        <v>0</v>
      </c>
      <c r="G937" s="244">
        <v>2</v>
      </c>
      <c r="H937" s="244">
        <v>2</v>
      </c>
      <c r="I937" s="244">
        <v>1</v>
      </c>
      <c r="J937" s="244">
        <v>0</v>
      </c>
      <c r="K937" s="276">
        <v>3.5</v>
      </c>
      <c r="L937" s="277">
        <v>33.1</v>
      </c>
      <c r="M937" s="249"/>
      <c r="N937" s="250"/>
      <c r="O937" s="250"/>
      <c r="P937" s="250"/>
      <c r="Q937" s="250"/>
      <c r="R937" s="250"/>
      <c r="S937" s="266">
        <f t="shared" si="17"/>
        <v>0.54406804435027567</v>
      </c>
    </row>
    <row r="938" spans="1:19">
      <c r="A938" s="243"/>
      <c r="B938" s="244"/>
      <c r="C938" s="311">
        <v>4</v>
      </c>
      <c r="D938" s="244">
        <v>4</v>
      </c>
      <c r="E938" s="244">
        <v>1</v>
      </c>
      <c r="F938" s="244">
        <v>0</v>
      </c>
      <c r="G938" s="244">
        <v>2</v>
      </c>
      <c r="H938" s="244">
        <v>2</v>
      </c>
      <c r="I938" s="244">
        <v>1</v>
      </c>
      <c r="J938" s="244">
        <v>0</v>
      </c>
      <c r="K938" s="276">
        <v>2.5</v>
      </c>
      <c r="L938" s="277">
        <v>39.700000000000003</v>
      </c>
      <c r="M938" s="249"/>
      <c r="N938" s="250"/>
      <c r="O938" s="250"/>
      <c r="P938" s="250"/>
      <c r="Q938" s="250"/>
      <c r="R938" s="250"/>
      <c r="S938" s="266">
        <f t="shared" si="17"/>
        <v>0.3979400086720376</v>
      </c>
    </row>
    <row r="939" spans="1:19">
      <c r="A939" s="243"/>
      <c r="B939" s="244"/>
      <c r="C939" s="311">
        <v>6</v>
      </c>
      <c r="D939" s="244">
        <v>5</v>
      </c>
      <c r="E939" s="244">
        <v>1</v>
      </c>
      <c r="F939" s="244">
        <v>0</v>
      </c>
      <c r="G939" s="244">
        <v>2</v>
      </c>
      <c r="H939" s="244">
        <v>2</v>
      </c>
      <c r="I939" s="244">
        <v>1</v>
      </c>
      <c r="J939" s="244">
        <v>0</v>
      </c>
      <c r="K939" s="276">
        <v>3.5</v>
      </c>
      <c r="L939" s="277">
        <v>37.349899999999998</v>
      </c>
      <c r="M939" s="249"/>
      <c r="N939" s="250"/>
      <c r="O939" s="250"/>
      <c r="P939" s="250"/>
      <c r="Q939" s="250"/>
      <c r="R939" s="250"/>
      <c r="S939" s="266">
        <f t="shared" si="17"/>
        <v>0.54406804435027567</v>
      </c>
    </row>
    <row r="940" spans="1:19">
      <c r="A940" s="243"/>
      <c r="B940" s="244"/>
      <c r="C940" s="311">
        <v>8</v>
      </c>
      <c r="D940" s="244">
        <v>6</v>
      </c>
      <c r="E940" s="244">
        <v>1</v>
      </c>
      <c r="F940" s="244">
        <v>0</v>
      </c>
      <c r="G940" s="244">
        <v>2</v>
      </c>
      <c r="H940" s="244">
        <v>2</v>
      </c>
      <c r="I940" s="244">
        <v>1</v>
      </c>
      <c r="J940" s="244">
        <v>0</v>
      </c>
      <c r="K940" s="276">
        <v>4.5999999999999996</v>
      </c>
      <c r="L940" s="277">
        <v>26.548400000000001</v>
      </c>
      <c r="M940" s="249"/>
      <c r="N940" s="250"/>
      <c r="O940" s="250"/>
      <c r="P940" s="250"/>
      <c r="Q940" s="250"/>
      <c r="R940" s="250"/>
      <c r="S940" s="266">
        <f t="shared" si="17"/>
        <v>0.66275783168157409</v>
      </c>
    </row>
    <row r="941" spans="1:19">
      <c r="A941" s="243"/>
      <c r="B941" s="244"/>
      <c r="C941" s="311">
        <v>8</v>
      </c>
      <c r="D941" s="244">
        <v>6</v>
      </c>
      <c r="E941" s="244">
        <v>1</v>
      </c>
      <c r="F941" s="244">
        <v>0</v>
      </c>
      <c r="G941" s="244">
        <v>2</v>
      </c>
      <c r="H941" s="244">
        <v>2</v>
      </c>
      <c r="I941" s="244">
        <v>1</v>
      </c>
      <c r="J941" s="244">
        <v>0</v>
      </c>
      <c r="K941" s="276">
        <v>5.7</v>
      </c>
      <c r="L941" s="277">
        <v>25.617899999999999</v>
      </c>
      <c r="M941" s="249"/>
      <c r="N941" s="250"/>
      <c r="O941" s="250"/>
      <c r="P941" s="250"/>
      <c r="Q941" s="250"/>
      <c r="R941" s="250"/>
      <c r="S941" s="266">
        <f t="shared" si="17"/>
        <v>0.75587485567249146</v>
      </c>
    </row>
    <row r="942" spans="1:19">
      <c r="A942" s="243"/>
      <c r="B942" s="244"/>
      <c r="C942" s="311">
        <v>4</v>
      </c>
      <c r="D942" s="244">
        <v>6</v>
      </c>
      <c r="E942" s="244">
        <v>1</v>
      </c>
      <c r="F942" s="244">
        <v>0</v>
      </c>
      <c r="G942" s="244">
        <v>2</v>
      </c>
      <c r="H942" s="244">
        <v>2</v>
      </c>
      <c r="I942" s="244">
        <v>1</v>
      </c>
      <c r="J942" s="244">
        <v>0</v>
      </c>
      <c r="K942" s="276">
        <v>2.7</v>
      </c>
      <c r="L942" s="277">
        <v>40.6</v>
      </c>
      <c r="M942" s="249"/>
      <c r="N942" s="250"/>
      <c r="O942" s="250"/>
      <c r="P942" s="250"/>
      <c r="Q942" s="250"/>
      <c r="R942" s="250"/>
      <c r="S942" s="266">
        <f t="shared" si="17"/>
        <v>0.43136376415898736</v>
      </c>
    </row>
    <row r="943" spans="1:19">
      <c r="A943" s="243"/>
      <c r="B943" s="244"/>
      <c r="C943" s="311">
        <v>6</v>
      </c>
      <c r="D943" s="244">
        <v>6</v>
      </c>
      <c r="E943" s="244">
        <v>1</v>
      </c>
      <c r="F943" s="244">
        <v>0</v>
      </c>
      <c r="G943" s="244">
        <v>2</v>
      </c>
      <c r="H943" s="244">
        <v>2</v>
      </c>
      <c r="I943" s="244">
        <v>1</v>
      </c>
      <c r="J943" s="244">
        <v>0</v>
      </c>
      <c r="K943" s="276">
        <v>3.5</v>
      </c>
      <c r="L943" s="277">
        <v>36.6</v>
      </c>
      <c r="M943" s="249"/>
      <c r="N943" s="250"/>
      <c r="O943" s="250"/>
      <c r="P943" s="250"/>
      <c r="Q943" s="250"/>
      <c r="R943" s="250"/>
      <c r="S943" s="266">
        <f t="shared" si="17"/>
        <v>0.54406804435027567</v>
      </c>
    </row>
    <row r="944" spans="1:19">
      <c r="A944" s="243"/>
      <c r="B944" s="244"/>
      <c r="C944" s="311">
        <v>4</v>
      </c>
      <c r="D944" s="244">
        <v>6</v>
      </c>
      <c r="E944" s="244">
        <v>0</v>
      </c>
      <c r="F944" s="244">
        <v>0</v>
      </c>
      <c r="G944" s="244">
        <v>2</v>
      </c>
      <c r="H944" s="244">
        <v>2</v>
      </c>
      <c r="I944" s="244">
        <v>1</v>
      </c>
      <c r="J944" s="244">
        <v>0</v>
      </c>
      <c r="K944" s="276">
        <v>2</v>
      </c>
      <c r="L944" s="277">
        <v>34.1</v>
      </c>
      <c r="M944" s="249"/>
      <c r="N944" s="250"/>
      <c r="O944" s="250"/>
      <c r="P944" s="250"/>
      <c r="Q944" s="250"/>
      <c r="R944" s="250"/>
      <c r="S944" s="266">
        <f t="shared" si="17"/>
        <v>0.3010299956639812</v>
      </c>
    </row>
    <row r="945" spans="1:19">
      <c r="A945" s="243"/>
      <c r="B945" s="244"/>
      <c r="C945" s="311">
        <v>4</v>
      </c>
      <c r="D945" s="244">
        <v>6</v>
      </c>
      <c r="E945" s="244">
        <v>0</v>
      </c>
      <c r="F945" s="244">
        <v>0</v>
      </c>
      <c r="G945" s="244">
        <v>2</v>
      </c>
      <c r="H945" s="244">
        <v>2</v>
      </c>
      <c r="I945" s="244">
        <v>1</v>
      </c>
      <c r="J945" s="244">
        <v>0</v>
      </c>
      <c r="K945" s="276">
        <v>2</v>
      </c>
      <c r="L945" s="277">
        <v>36.200000000000003</v>
      </c>
      <c r="M945" s="249"/>
      <c r="N945" s="250"/>
      <c r="O945" s="250"/>
      <c r="P945" s="250"/>
      <c r="Q945" s="250"/>
      <c r="R945" s="250"/>
      <c r="S945" s="266">
        <f t="shared" si="17"/>
        <v>0.3010299956639812</v>
      </c>
    </row>
    <row r="946" spans="1:19">
      <c r="A946" s="243"/>
      <c r="B946" s="244"/>
      <c r="C946" s="311">
        <v>6</v>
      </c>
      <c r="D946" s="244">
        <v>6</v>
      </c>
      <c r="E946" s="244">
        <v>1</v>
      </c>
      <c r="F946" s="244">
        <v>0</v>
      </c>
      <c r="G946" s="244">
        <v>2</v>
      </c>
      <c r="H946" s="244">
        <v>2</v>
      </c>
      <c r="I946" s="244">
        <v>1</v>
      </c>
      <c r="J946" s="244">
        <v>0</v>
      </c>
      <c r="K946" s="276">
        <v>3.2</v>
      </c>
      <c r="L946" s="277">
        <v>36.4</v>
      </c>
      <c r="M946" s="249"/>
      <c r="N946" s="250"/>
      <c r="O946" s="250"/>
      <c r="P946" s="250"/>
      <c r="Q946" s="250"/>
      <c r="R946" s="250"/>
      <c r="S946" s="266">
        <f t="shared" si="17"/>
        <v>0.50514997831990605</v>
      </c>
    </row>
    <row r="947" spans="1:19">
      <c r="A947" s="243"/>
      <c r="B947" s="244"/>
      <c r="C947" s="311">
        <v>6</v>
      </c>
      <c r="D947" s="244">
        <v>6</v>
      </c>
      <c r="E947" s="244">
        <v>1</v>
      </c>
      <c r="F947" s="244">
        <v>0</v>
      </c>
      <c r="G947" s="244">
        <v>2</v>
      </c>
      <c r="H947" s="244">
        <v>2</v>
      </c>
      <c r="I947" s="244">
        <v>1</v>
      </c>
      <c r="J947" s="244">
        <v>0</v>
      </c>
      <c r="K947" s="276">
        <v>3.2</v>
      </c>
      <c r="L947" s="277">
        <v>29.7</v>
      </c>
      <c r="M947" s="249"/>
      <c r="N947" s="250"/>
      <c r="O947" s="250"/>
      <c r="P947" s="250"/>
      <c r="Q947" s="250"/>
      <c r="R947" s="250"/>
      <c r="S947" s="266">
        <f t="shared" si="17"/>
        <v>0.50514997831990605</v>
      </c>
    </row>
    <row r="948" spans="1:19">
      <c r="A948" s="243"/>
      <c r="B948" s="244"/>
      <c r="C948" s="311">
        <v>6</v>
      </c>
      <c r="D948" s="244">
        <v>6</v>
      </c>
      <c r="E948" s="244">
        <v>1</v>
      </c>
      <c r="F948" s="244">
        <v>0</v>
      </c>
      <c r="G948" s="244">
        <v>2</v>
      </c>
      <c r="H948" s="244">
        <v>2</v>
      </c>
      <c r="I948" s="244">
        <v>1</v>
      </c>
      <c r="J948" s="244">
        <v>1</v>
      </c>
      <c r="K948" s="276">
        <v>3.5</v>
      </c>
      <c r="L948" s="277">
        <v>28.7</v>
      </c>
      <c r="M948" s="249"/>
      <c r="N948" s="250"/>
      <c r="O948" s="250"/>
      <c r="P948" s="250"/>
      <c r="Q948" s="250"/>
      <c r="R948" s="250"/>
      <c r="S948" s="266">
        <f t="shared" si="17"/>
        <v>0.54406804435027567</v>
      </c>
    </row>
    <row r="949" spans="1:19">
      <c r="A949" s="243"/>
      <c r="B949" s="244"/>
      <c r="C949" s="311">
        <v>4</v>
      </c>
      <c r="D949" s="244">
        <v>5</v>
      </c>
      <c r="E949" s="244">
        <v>1</v>
      </c>
      <c r="F949" s="244">
        <v>0</v>
      </c>
      <c r="G949" s="244">
        <v>2</v>
      </c>
      <c r="H949" s="244">
        <v>2</v>
      </c>
      <c r="I949" s="244">
        <v>1</v>
      </c>
      <c r="J949" s="244">
        <v>1</v>
      </c>
      <c r="K949" s="276">
        <v>2.2999999999999998</v>
      </c>
      <c r="L949" s="277">
        <v>31.9</v>
      </c>
      <c r="M949" s="249"/>
      <c r="N949" s="250"/>
      <c r="O949" s="250"/>
      <c r="P949" s="250"/>
      <c r="Q949" s="250"/>
      <c r="R949" s="250"/>
      <c r="S949" s="266">
        <f t="shared" si="17"/>
        <v>0.36172783601759284</v>
      </c>
    </row>
    <row r="950" spans="1:19">
      <c r="A950" s="243"/>
      <c r="B950" s="244"/>
      <c r="C950" s="311">
        <v>6</v>
      </c>
      <c r="D950" s="244">
        <v>6</v>
      </c>
      <c r="E950" s="244">
        <v>1</v>
      </c>
      <c r="F950" s="244">
        <v>0</v>
      </c>
      <c r="G950" s="244">
        <v>2</v>
      </c>
      <c r="H950" s="244">
        <v>2</v>
      </c>
      <c r="I950" s="244">
        <v>1</v>
      </c>
      <c r="J950" s="244">
        <v>1</v>
      </c>
      <c r="K950" s="276">
        <v>3.7</v>
      </c>
      <c r="L950" s="277">
        <v>31.6</v>
      </c>
      <c r="M950" s="249"/>
      <c r="N950" s="250"/>
      <c r="O950" s="250"/>
      <c r="P950" s="250"/>
      <c r="Q950" s="250"/>
      <c r="R950" s="250"/>
      <c r="S950" s="266">
        <f t="shared" si="17"/>
        <v>0.56820172406699498</v>
      </c>
    </row>
    <row r="951" spans="1:19">
      <c r="A951" s="243"/>
      <c r="B951" s="244"/>
      <c r="C951" s="311">
        <v>6</v>
      </c>
      <c r="D951" s="244">
        <v>6</v>
      </c>
      <c r="E951" s="244">
        <v>0</v>
      </c>
      <c r="F951" s="244">
        <v>0</v>
      </c>
      <c r="G951" s="244">
        <v>2</v>
      </c>
      <c r="H951" s="244">
        <v>2</v>
      </c>
      <c r="I951" s="244">
        <v>1</v>
      </c>
      <c r="J951" s="244">
        <v>1</v>
      </c>
      <c r="K951" s="276">
        <v>3.2</v>
      </c>
      <c r="L951" s="277">
        <v>30.7</v>
      </c>
      <c r="M951" s="249"/>
      <c r="N951" s="250"/>
      <c r="O951" s="250"/>
      <c r="P951" s="250"/>
      <c r="Q951" s="250"/>
      <c r="R951" s="250"/>
      <c r="S951" s="266">
        <f t="shared" si="17"/>
        <v>0.50514997831990605</v>
      </c>
    </row>
    <row r="952" spans="1:19">
      <c r="A952" s="243"/>
      <c r="B952" s="244"/>
      <c r="C952" s="311">
        <v>6</v>
      </c>
      <c r="D952" s="244">
        <v>6</v>
      </c>
      <c r="E952" s="244">
        <v>0</v>
      </c>
      <c r="F952" s="244">
        <v>0</v>
      </c>
      <c r="G952" s="244">
        <v>2</v>
      </c>
      <c r="H952" s="244">
        <v>2</v>
      </c>
      <c r="I952" s="244">
        <v>0</v>
      </c>
      <c r="J952" s="244">
        <v>0</v>
      </c>
      <c r="K952" s="276">
        <v>3</v>
      </c>
      <c r="L952" s="277">
        <v>33.200000000000003</v>
      </c>
      <c r="M952" s="249"/>
      <c r="N952" s="250"/>
      <c r="O952" s="250"/>
      <c r="P952" s="250"/>
      <c r="Q952" s="250"/>
      <c r="R952" s="250"/>
      <c r="S952" s="266">
        <f t="shared" si="17"/>
        <v>0.47712125471966244</v>
      </c>
    </row>
    <row r="953" spans="1:19">
      <c r="A953" s="243"/>
      <c r="B953" s="244"/>
      <c r="C953" s="311">
        <v>6</v>
      </c>
      <c r="D953" s="244">
        <v>6</v>
      </c>
      <c r="E953" s="244">
        <v>0</v>
      </c>
      <c r="F953" s="244">
        <v>0</v>
      </c>
      <c r="G953" s="244">
        <v>2</v>
      </c>
      <c r="H953" s="244">
        <v>2</v>
      </c>
      <c r="I953" s="244">
        <v>1</v>
      </c>
      <c r="J953" s="244">
        <v>0</v>
      </c>
      <c r="K953" s="276">
        <v>3.6</v>
      </c>
      <c r="L953" s="277">
        <v>26.1066</v>
      </c>
      <c r="M953" s="249"/>
      <c r="N953" s="250"/>
      <c r="O953" s="250"/>
      <c r="P953" s="250"/>
      <c r="Q953" s="250"/>
      <c r="R953" s="250"/>
      <c r="S953" s="266">
        <f t="shared" si="17"/>
        <v>0.55630250076728727</v>
      </c>
    </row>
    <row r="954" spans="1:19">
      <c r="A954" s="243"/>
      <c r="B954" s="244"/>
      <c r="C954" s="311">
        <v>8</v>
      </c>
      <c r="D954" s="244">
        <v>6</v>
      </c>
      <c r="E954" s="244">
        <v>1</v>
      </c>
      <c r="F954" s="244">
        <v>0</v>
      </c>
      <c r="G954" s="244">
        <v>2</v>
      </c>
      <c r="H954" s="244">
        <v>2</v>
      </c>
      <c r="I954" s="244">
        <v>1</v>
      </c>
      <c r="J954" s="244">
        <v>0</v>
      </c>
      <c r="K954" s="276">
        <v>4.2</v>
      </c>
      <c r="L954" s="277">
        <v>24.6</v>
      </c>
      <c r="M954" s="249"/>
      <c r="N954" s="250"/>
      <c r="O954" s="250"/>
      <c r="P954" s="250"/>
      <c r="Q954" s="250"/>
      <c r="R954" s="250"/>
      <c r="S954" s="266">
        <f t="shared" si="17"/>
        <v>0.62324929039790045</v>
      </c>
    </row>
    <row r="955" spans="1:19">
      <c r="A955" s="243"/>
      <c r="B955" s="244"/>
      <c r="C955" s="311">
        <v>8</v>
      </c>
      <c r="D955" s="244">
        <v>7</v>
      </c>
      <c r="E955" s="244">
        <v>1</v>
      </c>
      <c r="F955" s="244">
        <v>0</v>
      </c>
      <c r="G955" s="244">
        <v>2</v>
      </c>
      <c r="H955" s="244">
        <v>2</v>
      </c>
      <c r="I955" s="244">
        <v>1</v>
      </c>
      <c r="J955" s="244">
        <v>0</v>
      </c>
      <c r="K955" s="276">
        <v>4.4000000000000004</v>
      </c>
      <c r="L955" s="277">
        <v>26.6</v>
      </c>
      <c r="M955" s="249"/>
      <c r="N955" s="250"/>
      <c r="O955" s="250"/>
      <c r="P955" s="250"/>
      <c r="Q955" s="250"/>
      <c r="R955" s="250"/>
      <c r="S955" s="266">
        <f t="shared" si="17"/>
        <v>0.64345267648618742</v>
      </c>
    </row>
    <row r="956" spans="1:19">
      <c r="A956" s="243"/>
      <c r="B956" s="244"/>
      <c r="C956" s="311">
        <v>6</v>
      </c>
      <c r="D956" s="244">
        <v>6</v>
      </c>
      <c r="E956" s="244">
        <v>1</v>
      </c>
      <c r="F956" s="244">
        <v>0</v>
      </c>
      <c r="G956" s="244">
        <v>2</v>
      </c>
      <c r="H956" s="244">
        <v>2</v>
      </c>
      <c r="I956" s="244">
        <v>1</v>
      </c>
      <c r="J956" s="244">
        <v>1</v>
      </c>
      <c r="K956" s="276">
        <v>3</v>
      </c>
      <c r="L956" s="277">
        <v>33</v>
      </c>
      <c r="M956" s="249"/>
      <c r="N956" s="250"/>
      <c r="O956" s="250"/>
      <c r="P956" s="250"/>
      <c r="Q956" s="250"/>
      <c r="R956" s="250"/>
      <c r="S956" s="266">
        <f t="shared" si="17"/>
        <v>0.47712125471966244</v>
      </c>
    </row>
    <row r="957" spans="1:19">
      <c r="A957" s="243"/>
      <c r="B957" s="244"/>
      <c r="C957" s="311">
        <v>6</v>
      </c>
      <c r="D957" s="244">
        <v>6</v>
      </c>
      <c r="E957" s="244">
        <v>0</v>
      </c>
      <c r="F957" s="244">
        <v>0</v>
      </c>
      <c r="G957" s="244">
        <v>2</v>
      </c>
      <c r="H957" s="244">
        <v>2</v>
      </c>
      <c r="I957" s="244">
        <v>1</v>
      </c>
      <c r="J957" s="244">
        <v>1</v>
      </c>
      <c r="K957" s="276">
        <v>3</v>
      </c>
      <c r="L957" s="277">
        <v>33.6</v>
      </c>
      <c r="M957" s="249"/>
      <c r="N957" s="250"/>
      <c r="O957" s="250"/>
      <c r="P957" s="250"/>
      <c r="Q957" s="250"/>
      <c r="R957" s="250"/>
      <c r="S957" s="266">
        <f t="shared" si="17"/>
        <v>0.47712125471966244</v>
      </c>
    </row>
    <row r="958" spans="1:19">
      <c r="A958" s="243"/>
      <c r="B958" s="244"/>
      <c r="C958" s="311">
        <v>6</v>
      </c>
      <c r="D958" s="244">
        <v>6</v>
      </c>
      <c r="E958" s="244">
        <v>1</v>
      </c>
      <c r="F958" s="244">
        <v>0</v>
      </c>
      <c r="G958" s="244">
        <v>2</v>
      </c>
      <c r="H958" s="244">
        <v>2</v>
      </c>
      <c r="I958" s="244">
        <v>1</v>
      </c>
      <c r="J958" s="244">
        <v>1</v>
      </c>
      <c r="K958" s="276">
        <v>3</v>
      </c>
      <c r="L958" s="277">
        <v>29.6</v>
      </c>
      <c r="M958" s="249"/>
      <c r="N958" s="250"/>
      <c r="O958" s="250"/>
      <c r="P958" s="250"/>
      <c r="Q958" s="250"/>
      <c r="R958" s="250"/>
      <c r="S958" s="266">
        <f t="shared" si="17"/>
        <v>0.47712125471966244</v>
      </c>
    </row>
    <row r="959" spans="1:19">
      <c r="A959" s="243"/>
      <c r="B959" s="244"/>
      <c r="C959" s="311">
        <v>6</v>
      </c>
      <c r="D959" s="244">
        <v>6</v>
      </c>
      <c r="E959" s="244">
        <v>1</v>
      </c>
      <c r="F959" s="244">
        <v>0</v>
      </c>
      <c r="G959" s="244">
        <v>2</v>
      </c>
      <c r="H959" s="244">
        <v>2</v>
      </c>
      <c r="I959" s="244">
        <v>0</v>
      </c>
      <c r="J959" s="244">
        <v>0</v>
      </c>
      <c r="K959" s="276">
        <v>3</v>
      </c>
      <c r="L959" s="277">
        <v>36.558999999999997</v>
      </c>
      <c r="M959" s="249"/>
      <c r="N959" s="250"/>
      <c r="O959" s="250"/>
      <c r="P959" s="250"/>
      <c r="Q959" s="250"/>
      <c r="R959" s="250"/>
      <c r="S959" s="266">
        <f t="shared" si="17"/>
        <v>0.47712125471966244</v>
      </c>
    </row>
    <row r="960" spans="1:19">
      <c r="A960" s="243"/>
      <c r="B960" s="244"/>
      <c r="C960" s="311">
        <v>8</v>
      </c>
      <c r="D960" s="244">
        <v>6</v>
      </c>
      <c r="E960" s="244">
        <v>1</v>
      </c>
      <c r="F960" s="244">
        <v>0</v>
      </c>
      <c r="G960" s="244">
        <v>2</v>
      </c>
      <c r="H960" s="244">
        <v>2</v>
      </c>
      <c r="I960" s="244">
        <v>1</v>
      </c>
      <c r="J960" s="244">
        <v>1</v>
      </c>
      <c r="K960" s="276">
        <v>4.8</v>
      </c>
      <c r="L960" s="277">
        <v>26.794599999999999</v>
      </c>
      <c r="M960" s="249"/>
      <c r="N960" s="250"/>
      <c r="O960" s="250"/>
      <c r="P960" s="250"/>
      <c r="Q960" s="250"/>
      <c r="R960" s="250"/>
      <c r="S960" s="266">
        <f t="shared" si="17"/>
        <v>0.68124123737558717</v>
      </c>
    </row>
    <row r="961" spans="1:19">
      <c r="A961" s="243"/>
      <c r="B961" s="244"/>
      <c r="C961" s="311">
        <v>8</v>
      </c>
      <c r="D961" s="244">
        <v>6</v>
      </c>
      <c r="E961" s="244">
        <v>1</v>
      </c>
      <c r="F961" s="244">
        <v>0</v>
      </c>
      <c r="G961" s="244">
        <v>2</v>
      </c>
      <c r="H961" s="244">
        <v>2</v>
      </c>
      <c r="I961" s="244">
        <v>1</v>
      </c>
      <c r="J961" s="244">
        <v>0</v>
      </c>
      <c r="K961" s="276">
        <v>4.4000000000000004</v>
      </c>
      <c r="L961" s="277">
        <v>23.152100000000001</v>
      </c>
      <c r="M961" s="249"/>
      <c r="N961" s="250"/>
      <c r="O961" s="250"/>
      <c r="P961" s="250"/>
      <c r="Q961" s="250"/>
      <c r="R961" s="250"/>
      <c r="S961" s="266">
        <f t="shared" si="17"/>
        <v>0.64345267648618742</v>
      </c>
    </row>
    <row r="962" spans="1:19">
      <c r="A962" s="243"/>
      <c r="B962" s="244"/>
      <c r="C962" s="311">
        <v>6</v>
      </c>
      <c r="D962" s="244">
        <v>6</v>
      </c>
      <c r="E962" s="244">
        <v>1</v>
      </c>
      <c r="F962" s="244">
        <v>0</v>
      </c>
      <c r="G962" s="244">
        <v>2</v>
      </c>
      <c r="H962" s="244">
        <v>2</v>
      </c>
      <c r="I962" s="244">
        <v>1</v>
      </c>
      <c r="J962" s="244">
        <v>0</v>
      </c>
      <c r="K962" s="276">
        <v>3</v>
      </c>
      <c r="L962" s="277">
        <v>29.5</v>
      </c>
      <c r="M962" s="249"/>
      <c r="N962" s="250"/>
      <c r="O962" s="250"/>
      <c r="P962" s="250"/>
      <c r="Q962" s="250"/>
      <c r="R962" s="250"/>
      <c r="S962" s="266">
        <f t="shared" si="17"/>
        <v>0.47712125471966244</v>
      </c>
    </row>
    <row r="963" spans="1:19">
      <c r="A963" s="243"/>
      <c r="B963" s="244"/>
      <c r="C963" s="311">
        <v>8</v>
      </c>
      <c r="D963" s="244">
        <v>6</v>
      </c>
      <c r="E963" s="244">
        <v>1</v>
      </c>
      <c r="F963" s="244">
        <v>0</v>
      </c>
      <c r="G963" s="244">
        <v>2</v>
      </c>
      <c r="H963" s="244">
        <v>2</v>
      </c>
      <c r="I963" s="244">
        <v>1</v>
      </c>
      <c r="J963" s="244">
        <v>0</v>
      </c>
      <c r="K963" s="276">
        <v>4.4000000000000004</v>
      </c>
      <c r="L963" s="277">
        <v>24.9</v>
      </c>
      <c r="M963" s="249"/>
      <c r="N963" s="250"/>
      <c r="O963" s="250"/>
      <c r="P963" s="250"/>
      <c r="Q963" s="250"/>
      <c r="R963" s="250"/>
      <c r="S963" s="266">
        <f t="shared" si="17"/>
        <v>0.64345267648618742</v>
      </c>
    </row>
    <row r="964" spans="1:19">
      <c r="A964" s="243"/>
      <c r="B964" s="244"/>
      <c r="C964" s="311">
        <v>8</v>
      </c>
      <c r="D964" s="244">
        <v>6</v>
      </c>
      <c r="E964" s="244">
        <v>1</v>
      </c>
      <c r="F964" s="244">
        <v>0</v>
      </c>
      <c r="G964" s="244">
        <v>2</v>
      </c>
      <c r="H964" s="244">
        <v>2</v>
      </c>
      <c r="I964" s="244">
        <v>1</v>
      </c>
      <c r="J964" s="244">
        <v>0</v>
      </c>
      <c r="K964" s="276">
        <v>4.4000000000000004</v>
      </c>
      <c r="L964" s="277">
        <v>23.152100000000001</v>
      </c>
      <c r="M964" s="249"/>
      <c r="N964" s="250"/>
      <c r="O964" s="250"/>
      <c r="P964" s="250"/>
      <c r="Q964" s="250"/>
      <c r="R964" s="250"/>
      <c r="S964" s="266">
        <f t="shared" si="17"/>
        <v>0.64345267648618742</v>
      </c>
    </row>
    <row r="965" spans="1:19">
      <c r="A965" s="243"/>
      <c r="B965" s="244"/>
      <c r="C965" s="311">
        <v>6</v>
      </c>
      <c r="D965" s="244">
        <v>6</v>
      </c>
      <c r="E965" s="244">
        <v>1</v>
      </c>
      <c r="F965" s="244">
        <v>0</v>
      </c>
      <c r="G965" s="244">
        <v>2</v>
      </c>
      <c r="H965" s="244">
        <v>2</v>
      </c>
      <c r="I965" s="244">
        <v>1</v>
      </c>
      <c r="J965" s="244">
        <v>0</v>
      </c>
      <c r="K965" s="276">
        <v>3.6</v>
      </c>
      <c r="L965" s="277">
        <v>30.9</v>
      </c>
      <c r="M965" s="249"/>
      <c r="N965" s="250"/>
      <c r="O965" s="250"/>
      <c r="P965" s="250"/>
      <c r="Q965" s="250"/>
      <c r="R965" s="250"/>
      <c r="S965" s="266">
        <f t="shared" si="17"/>
        <v>0.55630250076728727</v>
      </c>
    </row>
    <row r="966" spans="1:19">
      <c r="A966" s="243"/>
      <c r="B966" s="244"/>
      <c r="C966" s="311">
        <v>8</v>
      </c>
      <c r="D966" s="244">
        <v>6</v>
      </c>
      <c r="E966" s="244">
        <v>1</v>
      </c>
      <c r="F966" s="244">
        <v>0</v>
      </c>
      <c r="G966" s="244">
        <v>1</v>
      </c>
      <c r="H966" s="244">
        <v>1</v>
      </c>
      <c r="I966" s="244">
        <v>1</v>
      </c>
      <c r="J966" s="244">
        <v>0</v>
      </c>
      <c r="K966" s="276">
        <v>6.2</v>
      </c>
      <c r="L966" s="277">
        <v>27.4</v>
      </c>
      <c r="M966" s="249"/>
      <c r="N966" s="250"/>
      <c r="O966" s="250"/>
      <c r="P966" s="250"/>
      <c r="Q966" s="250"/>
      <c r="R966" s="250"/>
      <c r="S966" s="266">
        <f t="shared" si="17"/>
        <v>0.79239168949825389</v>
      </c>
    </row>
    <row r="967" spans="1:19">
      <c r="A967" s="243"/>
      <c r="B967" s="244"/>
      <c r="C967" s="311">
        <v>6</v>
      </c>
      <c r="D967" s="244">
        <v>6</v>
      </c>
      <c r="E967" s="244">
        <v>1</v>
      </c>
      <c r="F967" s="244">
        <v>0</v>
      </c>
      <c r="G967" s="244">
        <v>2</v>
      </c>
      <c r="H967" s="244">
        <v>2</v>
      </c>
      <c r="I967" s="244">
        <v>1</v>
      </c>
      <c r="J967" s="244">
        <v>0</v>
      </c>
      <c r="K967" s="276">
        <v>2.8</v>
      </c>
      <c r="L967" s="277">
        <v>30.299299999999999</v>
      </c>
      <c r="M967" s="249"/>
      <c r="N967" s="250"/>
      <c r="O967" s="250"/>
      <c r="P967" s="250"/>
      <c r="Q967" s="250"/>
      <c r="R967" s="250"/>
      <c r="S967" s="266">
        <f t="shared" si="17"/>
        <v>0.44715803134221921</v>
      </c>
    </row>
    <row r="968" spans="1:19">
      <c r="A968" s="243"/>
      <c r="B968" s="244"/>
      <c r="C968" s="311">
        <v>6</v>
      </c>
      <c r="D968" s="244">
        <v>6</v>
      </c>
      <c r="E968" s="244">
        <v>1</v>
      </c>
      <c r="F968" s="244">
        <v>0</v>
      </c>
      <c r="G968" s="244">
        <v>2</v>
      </c>
      <c r="H968" s="244">
        <v>2</v>
      </c>
      <c r="I968" s="244">
        <v>1</v>
      </c>
      <c r="J968" s="244">
        <v>0</v>
      </c>
      <c r="K968" s="276">
        <v>3</v>
      </c>
      <c r="L968" s="277">
        <v>31.3</v>
      </c>
      <c r="M968" s="249"/>
      <c r="N968" s="250"/>
      <c r="O968" s="250"/>
      <c r="P968" s="250"/>
      <c r="Q968" s="250"/>
      <c r="R968" s="250"/>
      <c r="S968" s="266">
        <f t="shared" si="17"/>
        <v>0.47712125471966244</v>
      </c>
    </row>
    <row r="969" spans="1:19">
      <c r="A969" s="243"/>
      <c r="B969" s="244"/>
      <c r="C969" s="311">
        <v>4</v>
      </c>
      <c r="D969" s="244">
        <v>6</v>
      </c>
      <c r="E969" s="244">
        <v>1</v>
      </c>
      <c r="F969" s="244">
        <v>0</v>
      </c>
      <c r="G969" s="244">
        <v>2</v>
      </c>
      <c r="H969" s="244">
        <v>2</v>
      </c>
      <c r="I969" s="244">
        <v>1</v>
      </c>
      <c r="J969" s="244">
        <v>0</v>
      </c>
      <c r="K969" s="276">
        <v>2.4</v>
      </c>
      <c r="L969" s="277">
        <v>40.299999999999997</v>
      </c>
      <c r="M969" s="249"/>
      <c r="N969" s="250"/>
      <c r="O969" s="250"/>
      <c r="P969" s="250"/>
      <c r="Q969" s="250"/>
      <c r="R969" s="250"/>
      <c r="S969" s="266">
        <f t="shared" si="17"/>
        <v>0.38021124171160603</v>
      </c>
    </row>
    <row r="970" spans="1:19">
      <c r="A970" s="243"/>
      <c r="B970" s="244"/>
      <c r="C970" s="311">
        <v>6</v>
      </c>
      <c r="D970" s="244">
        <v>6</v>
      </c>
      <c r="E970" s="244">
        <v>1</v>
      </c>
      <c r="F970" s="244">
        <v>0</v>
      </c>
      <c r="G970" s="244">
        <v>2</v>
      </c>
      <c r="H970" s="244">
        <v>2</v>
      </c>
      <c r="I970" s="244">
        <v>1</v>
      </c>
      <c r="J970" s="244">
        <v>0</v>
      </c>
      <c r="K970" s="276">
        <v>3</v>
      </c>
      <c r="L970" s="277">
        <v>33.1</v>
      </c>
      <c r="M970" s="249"/>
      <c r="N970" s="250"/>
      <c r="O970" s="250"/>
      <c r="P970" s="250"/>
      <c r="Q970" s="250"/>
      <c r="R970" s="250"/>
      <c r="S970" s="266">
        <f t="shared" si="17"/>
        <v>0.47712125471966244</v>
      </c>
    </row>
    <row r="971" spans="1:19">
      <c r="A971" s="243"/>
      <c r="B971" s="244"/>
      <c r="C971" s="311">
        <v>8</v>
      </c>
      <c r="D971" s="244">
        <v>6</v>
      </c>
      <c r="E971" s="244">
        <v>1</v>
      </c>
      <c r="F971" s="244">
        <v>0</v>
      </c>
      <c r="G971" s="244">
        <v>1</v>
      </c>
      <c r="H971" s="244">
        <v>1</v>
      </c>
      <c r="I971" s="244">
        <v>1</v>
      </c>
      <c r="J971" s="244">
        <v>0</v>
      </c>
      <c r="K971" s="276">
        <v>5.3</v>
      </c>
      <c r="L971" s="277">
        <v>29</v>
      </c>
      <c r="M971" s="249"/>
      <c r="N971" s="250"/>
      <c r="O971" s="250"/>
      <c r="P971" s="250"/>
      <c r="Q971" s="250"/>
      <c r="R971" s="250"/>
      <c r="S971" s="266">
        <f t="shared" ref="S971:S1034" si="18">LOG10(K971)</f>
        <v>0.72427586960078905</v>
      </c>
    </row>
    <row r="972" spans="1:19">
      <c r="A972" s="243"/>
      <c r="B972" s="244"/>
      <c r="C972" s="311">
        <v>8</v>
      </c>
      <c r="D972" s="244">
        <v>1</v>
      </c>
      <c r="E972" s="244">
        <v>0</v>
      </c>
      <c r="F972" s="244">
        <v>0</v>
      </c>
      <c r="G972" s="244">
        <v>1</v>
      </c>
      <c r="H972" s="244">
        <v>1</v>
      </c>
      <c r="I972" s="244">
        <v>1</v>
      </c>
      <c r="J972" s="244">
        <v>0</v>
      </c>
      <c r="K972" s="276">
        <v>6</v>
      </c>
      <c r="L972" s="277">
        <v>30.299900000000001</v>
      </c>
      <c r="M972" s="249"/>
      <c r="N972" s="250"/>
      <c r="O972" s="250"/>
      <c r="P972" s="250"/>
      <c r="Q972" s="250"/>
      <c r="R972" s="250"/>
      <c r="S972" s="266">
        <f t="shared" si="18"/>
        <v>0.77815125038364363</v>
      </c>
    </row>
    <row r="973" spans="1:19">
      <c r="A973" s="243"/>
      <c r="B973" s="244"/>
      <c r="C973" s="311">
        <v>6</v>
      </c>
      <c r="D973" s="244">
        <v>6</v>
      </c>
      <c r="E973" s="244">
        <v>1</v>
      </c>
      <c r="F973" s="244">
        <v>0</v>
      </c>
      <c r="G973" s="244">
        <v>2</v>
      </c>
      <c r="H973" s="244">
        <v>2</v>
      </c>
      <c r="I973" s="244">
        <v>1</v>
      </c>
      <c r="J973" s="244">
        <v>0</v>
      </c>
      <c r="K973" s="276">
        <v>3.6</v>
      </c>
      <c r="L973" s="277">
        <v>31.6</v>
      </c>
      <c r="M973" s="249"/>
      <c r="N973" s="250"/>
      <c r="O973" s="250"/>
      <c r="P973" s="250"/>
      <c r="Q973" s="250"/>
      <c r="R973" s="250"/>
      <c r="S973" s="266">
        <f t="shared" si="18"/>
        <v>0.55630250076728727</v>
      </c>
    </row>
    <row r="974" spans="1:19">
      <c r="A974" s="243"/>
      <c r="B974" s="244"/>
      <c r="C974" s="311">
        <v>6</v>
      </c>
      <c r="D974" s="244">
        <v>6</v>
      </c>
      <c r="E974" s="244">
        <v>1</v>
      </c>
      <c r="F974" s="244">
        <v>0</v>
      </c>
      <c r="G974" s="244">
        <v>2</v>
      </c>
      <c r="H974" s="244">
        <v>2</v>
      </c>
      <c r="I974" s="244">
        <v>0</v>
      </c>
      <c r="J974" s="244">
        <v>0</v>
      </c>
      <c r="K974" s="276">
        <v>3.5</v>
      </c>
      <c r="L974" s="277">
        <v>31.9</v>
      </c>
      <c r="M974" s="249"/>
      <c r="N974" s="250"/>
      <c r="O974" s="250"/>
      <c r="P974" s="250"/>
      <c r="Q974" s="250"/>
      <c r="R974" s="250"/>
      <c r="S974" s="266">
        <f t="shared" si="18"/>
        <v>0.54406804435027567</v>
      </c>
    </row>
    <row r="975" spans="1:19">
      <c r="A975" s="243"/>
      <c r="B975" s="244"/>
      <c r="C975" s="311">
        <v>6</v>
      </c>
      <c r="D975" s="244">
        <v>4</v>
      </c>
      <c r="E975" s="244">
        <v>1</v>
      </c>
      <c r="F975" s="244">
        <v>0</v>
      </c>
      <c r="G975" s="244">
        <v>1</v>
      </c>
      <c r="H975" s="244">
        <v>1</v>
      </c>
      <c r="I975" s="244">
        <v>0</v>
      </c>
      <c r="J975" s="244">
        <v>0</v>
      </c>
      <c r="K975" s="276">
        <v>3.7</v>
      </c>
      <c r="L975" s="277">
        <v>28.5</v>
      </c>
      <c r="M975" s="249"/>
      <c r="N975" s="250"/>
      <c r="O975" s="250"/>
      <c r="P975" s="250"/>
      <c r="Q975" s="250"/>
      <c r="R975" s="250"/>
      <c r="S975" s="266">
        <f t="shared" si="18"/>
        <v>0.56820172406699498</v>
      </c>
    </row>
    <row r="976" spans="1:19">
      <c r="A976" s="243"/>
      <c r="B976" s="244"/>
      <c r="C976" s="311">
        <v>6</v>
      </c>
      <c r="D976" s="244">
        <v>5</v>
      </c>
      <c r="E976" s="244">
        <v>1</v>
      </c>
      <c r="F976" s="244">
        <v>0</v>
      </c>
      <c r="G976" s="244">
        <v>2</v>
      </c>
      <c r="H976" s="244">
        <v>2</v>
      </c>
      <c r="I976" s="244">
        <v>0</v>
      </c>
      <c r="J976" s="244">
        <v>0</v>
      </c>
      <c r="K976" s="276">
        <v>4</v>
      </c>
      <c r="L976" s="277">
        <v>28.4</v>
      </c>
      <c r="M976" s="249"/>
      <c r="N976" s="250"/>
      <c r="O976" s="250"/>
      <c r="P976" s="250"/>
      <c r="Q976" s="250"/>
      <c r="R976" s="250"/>
      <c r="S976" s="266">
        <f t="shared" si="18"/>
        <v>0.6020599913279624</v>
      </c>
    </row>
    <row r="977" spans="1:19">
      <c r="A977" s="243"/>
      <c r="B977" s="244"/>
      <c r="C977" s="311">
        <v>6</v>
      </c>
      <c r="D977" s="244">
        <v>6</v>
      </c>
      <c r="E977" s="244">
        <v>1</v>
      </c>
      <c r="F977" s="244">
        <v>1</v>
      </c>
      <c r="G977" s="244">
        <v>2</v>
      </c>
      <c r="H977" s="244">
        <v>2</v>
      </c>
      <c r="I977" s="244">
        <v>0</v>
      </c>
      <c r="J977" s="244">
        <v>0</v>
      </c>
      <c r="K977" s="276">
        <v>3.5</v>
      </c>
      <c r="L977" s="277">
        <v>31.4</v>
      </c>
      <c r="M977" s="249"/>
      <c r="N977" s="250"/>
      <c r="O977" s="250"/>
      <c r="P977" s="250"/>
      <c r="Q977" s="250"/>
      <c r="R977" s="250"/>
      <c r="S977" s="266">
        <f t="shared" si="18"/>
        <v>0.54406804435027567</v>
      </c>
    </row>
    <row r="978" spans="1:19">
      <c r="A978" s="243"/>
      <c r="B978" s="244"/>
      <c r="C978" s="311">
        <v>4</v>
      </c>
      <c r="D978" s="244">
        <v>6</v>
      </c>
      <c r="E978" s="244">
        <v>1</v>
      </c>
      <c r="F978" s="244">
        <v>0</v>
      </c>
      <c r="G978" s="244">
        <v>2</v>
      </c>
      <c r="H978" s="244">
        <v>2</v>
      </c>
      <c r="I978" s="244">
        <v>1</v>
      </c>
      <c r="J978" s="244">
        <v>0</v>
      </c>
      <c r="K978" s="276">
        <v>2.5</v>
      </c>
      <c r="L978" s="277">
        <v>36.030700000000003</v>
      </c>
      <c r="M978" s="249"/>
      <c r="N978" s="250"/>
      <c r="O978" s="250"/>
      <c r="P978" s="250"/>
      <c r="Q978" s="250"/>
      <c r="R978" s="250"/>
      <c r="S978" s="266">
        <f t="shared" si="18"/>
        <v>0.3979400086720376</v>
      </c>
    </row>
    <row r="979" spans="1:19">
      <c r="A979" s="243"/>
      <c r="B979" s="244"/>
      <c r="C979" s="311">
        <v>6</v>
      </c>
      <c r="D979" s="244">
        <v>6</v>
      </c>
      <c r="E979" s="244">
        <v>1</v>
      </c>
      <c r="F979" s="244">
        <v>0</v>
      </c>
      <c r="G979" s="244">
        <v>2</v>
      </c>
      <c r="H979" s="244">
        <v>2</v>
      </c>
      <c r="I979" s="244">
        <v>1</v>
      </c>
      <c r="J979" s="244">
        <v>0</v>
      </c>
      <c r="K979" s="276">
        <v>3</v>
      </c>
      <c r="L979" s="277">
        <v>31.3917</v>
      </c>
      <c r="M979" s="249"/>
      <c r="N979" s="250"/>
      <c r="O979" s="250"/>
      <c r="P979" s="250"/>
      <c r="Q979" s="250"/>
      <c r="R979" s="250"/>
      <c r="S979" s="266">
        <f t="shared" si="18"/>
        <v>0.47712125471966244</v>
      </c>
    </row>
    <row r="980" spans="1:19">
      <c r="A980" s="243"/>
      <c r="B980" s="244"/>
      <c r="C980" s="311">
        <v>4</v>
      </c>
      <c r="D980" s="244">
        <v>1</v>
      </c>
      <c r="E980" s="244">
        <v>0</v>
      </c>
      <c r="F980" s="244">
        <v>0</v>
      </c>
      <c r="G980" s="244">
        <v>2</v>
      </c>
      <c r="H980" s="244">
        <v>2</v>
      </c>
      <c r="I980" s="244">
        <v>1</v>
      </c>
      <c r="J980" s="244">
        <v>0</v>
      </c>
      <c r="K980" s="276">
        <v>2.5</v>
      </c>
      <c r="L980" s="277">
        <v>37.9</v>
      </c>
      <c r="M980" s="249"/>
      <c r="N980" s="250"/>
      <c r="O980" s="250"/>
      <c r="P980" s="250"/>
      <c r="Q980" s="250"/>
      <c r="R980" s="250"/>
      <c r="S980" s="266">
        <f t="shared" si="18"/>
        <v>0.3979400086720376</v>
      </c>
    </row>
    <row r="981" spans="1:19">
      <c r="A981" s="243"/>
      <c r="B981" s="244"/>
      <c r="C981" s="311">
        <v>8</v>
      </c>
      <c r="D981" s="244">
        <v>6</v>
      </c>
      <c r="E981" s="244">
        <v>1</v>
      </c>
      <c r="F981" s="244">
        <v>1</v>
      </c>
      <c r="G981" s="244">
        <v>2</v>
      </c>
      <c r="H981" s="244">
        <v>1</v>
      </c>
      <c r="I981" s="244">
        <v>0</v>
      </c>
      <c r="J981" s="244">
        <v>0</v>
      </c>
      <c r="K981" s="276">
        <v>5.4</v>
      </c>
      <c r="L981" s="277">
        <v>23.898299999999999</v>
      </c>
      <c r="M981" s="249"/>
      <c r="N981" s="250"/>
      <c r="O981" s="250"/>
      <c r="P981" s="250"/>
      <c r="Q981" s="250"/>
      <c r="R981" s="250"/>
      <c r="S981" s="266">
        <f t="shared" si="18"/>
        <v>0.7323937598229685</v>
      </c>
    </row>
    <row r="982" spans="1:19">
      <c r="A982" s="243"/>
      <c r="B982" s="244"/>
      <c r="C982" s="311">
        <v>6</v>
      </c>
      <c r="D982" s="244">
        <v>5</v>
      </c>
      <c r="E982" s="244">
        <v>1</v>
      </c>
      <c r="F982" s="244">
        <v>1</v>
      </c>
      <c r="G982" s="244">
        <v>1</v>
      </c>
      <c r="H982" s="244">
        <v>1</v>
      </c>
      <c r="I982" s="244">
        <v>0</v>
      </c>
      <c r="J982" s="244">
        <v>0</v>
      </c>
      <c r="K982" s="276">
        <v>4</v>
      </c>
      <c r="L982" s="277">
        <v>25.753499999999999</v>
      </c>
      <c r="M982" s="249"/>
      <c r="N982" s="250"/>
      <c r="O982" s="250"/>
      <c r="P982" s="250"/>
      <c r="Q982" s="250"/>
      <c r="R982" s="250"/>
      <c r="S982" s="266">
        <f t="shared" si="18"/>
        <v>0.6020599913279624</v>
      </c>
    </row>
    <row r="983" spans="1:19">
      <c r="A983" s="243"/>
      <c r="B983" s="244"/>
      <c r="C983" s="311">
        <v>8</v>
      </c>
      <c r="D983" s="244">
        <v>6</v>
      </c>
      <c r="E983" s="244">
        <v>1</v>
      </c>
      <c r="F983" s="244">
        <v>1</v>
      </c>
      <c r="G983" s="244">
        <v>2</v>
      </c>
      <c r="H983" s="244">
        <v>1</v>
      </c>
      <c r="I983" s="244">
        <v>0</v>
      </c>
      <c r="J983" s="244">
        <v>0</v>
      </c>
      <c r="K983" s="276">
        <v>4.5999999999999996</v>
      </c>
      <c r="L983" s="277">
        <v>26.662199999999999</v>
      </c>
      <c r="M983" s="249"/>
      <c r="N983" s="250"/>
      <c r="O983" s="250"/>
      <c r="P983" s="250"/>
      <c r="Q983" s="250"/>
      <c r="R983" s="250"/>
      <c r="S983" s="266">
        <f t="shared" si="18"/>
        <v>0.66275783168157409</v>
      </c>
    </row>
    <row r="984" spans="1:19">
      <c r="A984" s="243"/>
      <c r="B984" s="244"/>
      <c r="C984" s="311">
        <v>6</v>
      </c>
      <c r="D984" s="244">
        <v>6</v>
      </c>
      <c r="E984" s="244">
        <v>1</v>
      </c>
      <c r="F984" s="244">
        <v>1</v>
      </c>
      <c r="G984" s="244">
        <v>2</v>
      </c>
      <c r="H984" s="244">
        <v>2</v>
      </c>
      <c r="I984" s="244">
        <v>0</v>
      </c>
      <c r="J984" s="244">
        <v>0</v>
      </c>
      <c r="K984" s="276">
        <v>3.5</v>
      </c>
      <c r="L984" s="277">
        <v>30.380500000000001</v>
      </c>
      <c r="M984" s="249"/>
      <c r="N984" s="250"/>
      <c r="O984" s="250"/>
      <c r="P984" s="250"/>
      <c r="Q984" s="250"/>
      <c r="R984" s="250"/>
      <c r="S984" s="266">
        <f t="shared" si="18"/>
        <v>0.54406804435027567</v>
      </c>
    </row>
    <row r="985" spans="1:19">
      <c r="A985" s="243"/>
      <c r="B985" s="244"/>
      <c r="C985" s="311">
        <v>6</v>
      </c>
      <c r="D985" s="244">
        <v>6</v>
      </c>
      <c r="E985" s="244">
        <v>1</v>
      </c>
      <c r="F985" s="244">
        <v>1</v>
      </c>
      <c r="G985" s="244">
        <v>2</v>
      </c>
      <c r="H985" s="244">
        <v>2</v>
      </c>
      <c r="I985" s="244">
        <v>1</v>
      </c>
      <c r="J985" s="244">
        <v>0</v>
      </c>
      <c r="K985" s="276">
        <v>3.5</v>
      </c>
      <c r="L985" s="277">
        <v>30.2</v>
      </c>
      <c r="M985" s="249"/>
      <c r="N985" s="250"/>
      <c r="O985" s="250"/>
      <c r="P985" s="250"/>
      <c r="Q985" s="250"/>
      <c r="R985" s="250"/>
      <c r="S985" s="266">
        <f t="shared" si="18"/>
        <v>0.54406804435027567</v>
      </c>
    </row>
    <row r="986" spans="1:19">
      <c r="A986" s="243"/>
      <c r="B986" s="244"/>
      <c r="C986" s="311">
        <v>6</v>
      </c>
      <c r="D986" s="244">
        <v>6</v>
      </c>
      <c r="E986" s="244">
        <v>1</v>
      </c>
      <c r="F986" s="244">
        <v>0</v>
      </c>
      <c r="G986" s="244">
        <v>2</v>
      </c>
      <c r="H986" s="244">
        <v>2</v>
      </c>
      <c r="I986" s="244">
        <v>1</v>
      </c>
      <c r="J986" s="244">
        <v>0</v>
      </c>
      <c r="K986" s="276">
        <v>3.6</v>
      </c>
      <c r="L986" s="277">
        <v>31.6</v>
      </c>
      <c r="M986" s="249"/>
      <c r="N986" s="250"/>
      <c r="O986" s="250"/>
      <c r="P986" s="250"/>
      <c r="Q986" s="250"/>
      <c r="R986" s="250"/>
      <c r="S986" s="266">
        <f t="shared" si="18"/>
        <v>0.55630250076728727</v>
      </c>
    </row>
    <row r="987" spans="1:19">
      <c r="A987" s="243"/>
      <c r="B987" s="244"/>
      <c r="C987" s="311">
        <v>8</v>
      </c>
      <c r="D987" s="244">
        <v>6</v>
      </c>
      <c r="E987" s="244">
        <v>1</v>
      </c>
      <c r="F987" s="244">
        <v>0</v>
      </c>
      <c r="G987" s="244">
        <v>1</v>
      </c>
      <c r="H987" s="244">
        <v>1</v>
      </c>
      <c r="I987" s="244">
        <v>1</v>
      </c>
      <c r="J987" s="244">
        <v>0</v>
      </c>
      <c r="K987" s="276">
        <v>5.3</v>
      </c>
      <c r="L987" s="277">
        <v>29</v>
      </c>
      <c r="M987" s="249"/>
      <c r="N987" s="250"/>
      <c r="O987" s="250"/>
      <c r="P987" s="250"/>
      <c r="Q987" s="250"/>
      <c r="R987" s="250"/>
      <c r="S987" s="266">
        <f t="shared" si="18"/>
        <v>0.72427586960078905</v>
      </c>
    </row>
    <row r="988" spans="1:19">
      <c r="A988" s="243"/>
      <c r="B988" s="244"/>
      <c r="C988" s="311">
        <v>8</v>
      </c>
      <c r="D988" s="244">
        <v>1</v>
      </c>
      <c r="E988" s="244">
        <v>0</v>
      </c>
      <c r="F988" s="244">
        <v>0</v>
      </c>
      <c r="G988" s="244">
        <v>1</v>
      </c>
      <c r="H988" s="244">
        <v>1</v>
      </c>
      <c r="I988" s="244">
        <v>1</v>
      </c>
      <c r="J988" s="244">
        <v>0</v>
      </c>
      <c r="K988" s="276">
        <v>6</v>
      </c>
      <c r="L988" s="277">
        <v>30.299900000000001</v>
      </c>
      <c r="M988" s="249"/>
      <c r="N988" s="250"/>
      <c r="O988" s="250"/>
      <c r="P988" s="250"/>
      <c r="Q988" s="250"/>
      <c r="R988" s="250"/>
      <c r="S988" s="266">
        <f t="shared" si="18"/>
        <v>0.77815125038364363</v>
      </c>
    </row>
    <row r="989" spans="1:19">
      <c r="A989" s="243"/>
      <c r="B989" s="244"/>
      <c r="C989" s="311">
        <v>8</v>
      </c>
      <c r="D989" s="244">
        <v>6</v>
      </c>
      <c r="E989" s="244">
        <v>1</v>
      </c>
      <c r="F989" s="244">
        <v>0</v>
      </c>
      <c r="G989" s="244">
        <v>1</v>
      </c>
      <c r="H989" s="244">
        <v>1</v>
      </c>
      <c r="I989" s="244">
        <v>1</v>
      </c>
      <c r="J989" s="244">
        <v>0</v>
      </c>
      <c r="K989" s="276">
        <v>6.2</v>
      </c>
      <c r="L989" s="277">
        <v>27.4</v>
      </c>
      <c r="M989" s="249"/>
      <c r="N989" s="250"/>
      <c r="O989" s="250"/>
      <c r="P989" s="250"/>
      <c r="Q989" s="250"/>
      <c r="R989" s="250"/>
      <c r="S989" s="266">
        <f t="shared" si="18"/>
        <v>0.79239168949825389</v>
      </c>
    </row>
    <row r="990" spans="1:19">
      <c r="A990" s="243"/>
      <c r="B990" s="244"/>
      <c r="C990" s="311">
        <v>4</v>
      </c>
      <c r="D990" s="244">
        <v>6</v>
      </c>
      <c r="E990" s="244">
        <v>1</v>
      </c>
      <c r="F990" s="244">
        <v>0</v>
      </c>
      <c r="G990" s="244">
        <v>2</v>
      </c>
      <c r="H990" s="244">
        <v>2</v>
      </c>
      <c r="I990" s="244">
        <v>1</v>
      </c>
      <c r="J990" s="244">
        <v>0</v>
      </c>
      <c r="K990" s="276">
        <v>2.4</v>
      </c>
      <c r="L990" s="277">
        <v>40.299999999999997</v>
      </c>
      <c r="M990" s="249"/>
      <c r="N990" s="250"/>
      <c r="O990" s="250"/>
      <c r="P990" s="250"/>
      <c r="Q990" s="250"/>
      <c r="R990" s="250"/>
      <c r="S990" s="266">
        <f t="shared" si="18"/>
        <v>0.38021124171160603</v>
      </c>
    </row>
    <row r="991" spans="1:19">
      <c r="A991" s="243"/>
      <c r="B991" s="244"/>
      <c r="C991" s="311">
        <v>6</v>
      </c>
      <c r="D991" s="244">
        <v>6</v>
      </c>
      <c r="E991" s="244">
        <v>1</v>
      </c>
      <c r="F991" s="244">
        <v>0</v>
      </c>
      <c r="G991" s="244">
        <v>2</v>
      </c>
      <c r="H991" s="244">
        <v>2</v>
      </c>
      <c r="I991" s="244">
        <v>1</v>
      </c>
      <c r="J991" s="244">
        <v>0</v>
      </c>
      <c r="K991" s="276">
        <v>3</v>
      </c>
      <c r="L991" s="277">
        <v>33.1</v>
      </c>
      <c r="M991" s="249"/>
      <c r="N991" s="250"/>
      <c r="O991" s="250"/>
      <c r="P991" s="250"/>
      <c r="Q991" s="250"/>
      <c r="R991" s="250"/>
      <c r="S991" s="266">
        <f t="shared" si="18"/>
        <v>0.47712125471966244</v>
      </c>
    </row>
    <row r="992" spans="1:19">
      <c r="A992" s="243"/>
      <c r="B992" s="244"/>
      <c r="C992" s="311">
        <v>6</v>
      </c>
      <c r="D992" s="244">
        <v>5</v>
      </c>
      <c r="E992" s="244">
        <v>1</v>
      </c>
      <c r="F992" s="244">
        <v>0</v>
      </c>
      <c r="G992" s="244">
        <v>2</v>
      </c>
      <c r="H992" s="244">
        <v>2</v>
      </c>
      <c r="I992" s="244">
        <v>1</v>
      </c>
      <c r="J992" s="244">
        <v>1</v>
      </c>
      <c r="K992" s="276">
        <v>3.5</v>
      </c>
      <c r="L992" s="277">
        <v>34.6</v>
      </c>
      <c r="M992" s="249"/>
      <c r="N992" s="250"/>
      <c r="O992" s="250"/>
      <c r="P992" s="250"/>
      <c r="Q992" s="250"/>
      <c r="R992" s="250"/>
      <c r="S992" s="266">
        <f t="shared" si="18"/>
        <v>0.54406804435027567</v>
      </c>
    </row>
    <row r="993" spans="1:19">
      <c r="A993" s="243"/>
      <c r="B993" s="244"/>
      <c r="C993" s="311">
        <v>4</v>
      </c>
      <c r="D993" s="244">
        <v>5</v>
      </c>
      <c r="E993" s="244">
        <v>1</v>
      </c>
      <c r="F993" s="244">
        <v>0</v>
      </c>
      <c r="G993" s="244">
        <v>2</v>
      </c>
      <c r="H993" s="244">
        <v>2</v>
      </c>
      <c r="I993" s="244">
        <v>1</v>
      </c>
      <c r="J993" s="244">
        <v>1</v>
      </c>
      <c r="K993" s="276">
        <v>2.4</v>
      </c>
      <c r="L993" s="277">
        <v>37.709800000000001</v>
      </c>
      <c r="M993" s="249"/>
      <c r="N993" s="250"/>
      <c r="O993" s="250"/>
      <c r="P993" s="250"/>
      <c r="Q993" s="250"/>
      <c r="R993" s="250"/>
      <c r="S993" s="266">
        <f t="shared" si="18"/>
        <v>0.38021124171160603</v>
      </c>
    </row>
    <row r="994" spans="1:19">
      <c r="A994" s="243"/>
      <c r="B994" s="244"/>
      <c r="C994" s="311">
        <v>4</v>
      </c>
      <c r="D994" s="244">
        <v>5</v>
      </c>
      <c r="E994" s="244">
        <v>0</v>
      </c>
      <c r="F994" s="244">
        <v>0</v>
      </c>
      <c r="G994" s="244">
        <v>2</v>
      </c>
      <c r="H994" s="244">
        <v>2</v>
      </c>
      <c r="I994" s="244">
        <v>1</v>
      </c>
      <c r="J994" s="244">
        <v>1</v>
      </c>
      <c r="K994" s="276">
        <v>2.4</v>
      </c>
      <c r="L994" s="277">
        <v>31.3</v>
      </c>
      <c r="M994" s="249"/>
      <c r="N994" s="250"/>
      <c r="O994" s="250"/>
      <c r="P994" s="250"/>
      <c r="Q994" s="250"/>
      <c r="R994" s="250"/>
      <c r="S994" s="266">
        <f t="shared" si="18"/>
        <v>0.38021124171160603</v>
      </c>
    </row>
    <row r="995" spans="1:19">
      <c r="A995" s="243"/>
      <c r="B995" s="244"/>
      <c r="C995" s="311">
        <v>4</v>
      </c>
      <c r="D995" s="244">
        <v>5</v>
      </c>
      <c r="E995" s="244">
        <v>1</v>
      </c>
      <c r="F995" s="244">
        <v>0</v>
      </c>
      <c r="G995" s="244">
        <v>2</v>
      </c>
      <c r="H995" s="244">
        <v>2</v>
      </c>
      <c r="I995" s="244">
        <v>1</v>
      </c>
      <c r="J995" s="244">
        <v>1</v>
      </c>
      <c r="K995" s="276">
        <v>2.4</v>
      </c>
      <c r="L995" s="277">
        <v>33.5</v>
      </c>
      <c r="M995" s="249"/>
      <c r="N995" s="250"/>
      <c r="O995" s="250"/>
      <c r="P995" s="250"/>
      <c r="Q995" s="250"/>
      <c r="R995" s="250"/>
      <c r="S995" s="266">
        <f t="shared" si="18"/>
        <v>0.38021124171160603</v>
      </c>
    </row>
    <row r="996" spans="1:19">
      <c r="A996" s="243"/>
      <c r="B996" s="244"/>
      <c r="C996" s="311">
        <v>6</v>
      </c>
      <c r="D996" s="244">
        <v>5</v>
      </c>
      <c r="E996" s="244">
        <v>1</v>
      </c>
      <c r="F996" s="244">
        <v>0</v>
      </c>
      <c r="G996" s="244">
        <v>2</v>
      </c>
      <c r="H996" s="244">
        <v>2</v>
      </c>
      <c r="I996" s="244">
        <v>1</v>
      </c>
      <c r="J996" s="244">
        <v>1</v>
      </c>
      <c r="K996" s="276">
        <v>3.5</v>
      </c>
      <c r="L996" s="277">
        <v>30.5</v>
      </c>
      <c r="M996" s="249"/>
      <c r="N996" s="250"/>
      <c r="O996" s="250"/>
      <c r="P996" s="250"/>
      <c r="Q996" s="250"/>
      <c r="R996" s="250"/>
      <c r="S996" s="266">
        <f t="shared" si="18"/>
        <v>0.54406804435027567</v>
      </c>
    </row>
    <row r="997" spans="1:19">
      <c r="A997" s="243"/>
      <c r="B997" s="244"/>
      <c r="C997" s="311">
        <v>5</v>
      </c>
      <c r="D997" s="244">
        <v>5</v>
      </c>
      <c r="E997" s="244">
        <v>0</v>
      </c>
      <c r="F997" s="244">
        <v>0</v>
      </c>
      <c r="G997" s="244">
        <v>2</v>
      </c>
      <c r="H997" s="244">
        <v>2</v>
      </c>
      <c r="I997" s="244">
        <v>0</v>
      </c>
      <c r="J997" s="244">
        <v>0</v>
      </c>
      <c r="K997" s="276">
        <v>3.7</v>
      </c>
      <c r="L997" s="277">
        <v>25.2</v>
      </c>
      <c r="M997" s="249"/>
      <c r="N997" s="250"/>
      <c r="O997" s="250"/>
      <c r="P997" s="250"/>
      <c r="Q997" s="250"/>
      <c r="R997" s="250"/>
      <c r="S997" s="266">
        <f t="shared" si="18"/>
        <v>0.56820172406699498</v>
      </c>
    </row>
    <row r="998" spans="1:19">
      <c r="A998" s="243"/>
      <c r="B998" s="244"/>
      <c r="C998" s="311">
        <v>5</v>
      </c>
      <c r="D998" s="244">
        <v>4</v>
      </c>
      <c r="E998" s="244">
        <v>1</v>
      </c>
      <c r="F998" s="244">
        <v>0</v>
      </c>
      <c r="G998" s="244">
        <v>2</v>
      </c>
      <c r="H998" s="244">
        <v>2</v>
      </c>
      <c r="I998" s="244">
        <v>0</v>
      </c>
      <c r="J998" s="244">
        <v>0</v>
      </c>
      <c r="K998" s="276">
        <v>3.7</v>
      </c>
      <c r="L998" s="277">
        <v>25.1</v>
      </c>
      <c r="M998" s="249"/>
      <c r="N998" s="250"/>
      <c r="O998" s="250"/>
      <c r="P998" s="250"/>
      <c r="Q998" s="250"/>
      <c r="R998" s="250"/>
      <c r="S998" s="266">
        <f t="shared" si="18"/>
        <v>0.56820172406699498</v>
      </c>
    </row>
    <row r="999" spans="1:19">
      <c r="A999" s="243"/>
      <c r="B999" s="244"/>
      <c r="C999" s="311">
        <v>8</v>
      </c>
      <c r="D999" s="244">
        <v>4</v>
      </c>
      <c r="E999" s="244">
        <v>1</v>
      </c>
      <c r="F999" s="244">
        <v>0</v>
      </c>
      <c r="G999" s="244">
        <v>1</v>
      </c>
      <c r="H999" s="244">
        <v>1</v>
      </c>
      <c r="I999" s="244">
        <v>1</v>
      </c>
      <c r="J999" s="244">
        <v>0</v>
      </c>
      <c r="K999" s="276">
        <v>5.3</v>
      </c>
      <c r="L999" s="277">
        <v>22.299900000000001</v>
      </c>
      <c r="M999" s="249"/>
      <c r="N999" s="250"/>
      <c r="O999" s="250"/>
      <c r="P999" s="250"/>
      <c r="Q999" s="250"/>
      <c r="R999" s="250"/>
      <c r="S999" s="266">
        <f t="shared" si="18"/>
        <v>0.72427586960078905</v>
      </c>
    </row>
    <row r="1000" spans="1:19">
      <c r="A1000" s="243"/>
      <c r="B1000" s="244"/>
      <c r="C1000" s="311">
        <v>4</v>
      </c>
      <c r="D1000" s="244">
        <v>6</v>
      </c>
      <c r="E1000" s="244">
        <v>1</v>
      </c>
      <c r="F1000" s="244">
        <v>0</v>
      </c>
      <c r="G1000" s="244">
        <v>2</v>
      </c>
      <c r="H1000" s="244">
        <v>2</v>
      </c>
      <c r="I1000" s="244">
        <v>1</v>
      </c>
      <c r="J1000" s="244">
        <v>0</v>
      </c>
      <c r="K1000" s="276">
        <v>2.4</v>
      </c>
      <c r="L1000" s="277">
        <v>37.6</v>
      </c>
      <c r="M1000" s="249"/>
      <c r="N1000" s="250"/>
      <c r="O1000" s="250"/>
      <c r="P1000" s="250"/>
      <c r="Q1000" s="250"/>
      <c r="R1000" s="250"/>
      <c r="S1000" s="266">
        <f t="shared" si="18"/>
        <v>0.38021124171160603</v>
      </c>
    </row>
    <row r="1001" spans="1:19">
      <c r="A1001" s="243"/>
      <c r="B1001" s="244"/>
      <c r="C1001" s="311">
        <v>6</v>
      </c>
      <c r="D1001" s="244">
        <v>6</v>
      </c>
      <c r="E1001" s="244">
        <v>1</v>
      </c>
      <c r="F1001" s="244">
        <v>0</v>
      </c>
      <c r="G1001" s="244">
        <v>2</v>
      </c>
      <c r="H1001" s="244">
        <v>2</v>
      </c>
      <c r="I1001" s="244">
        <v>1</v>
      </c>
      <c r="J1001" s="244">
        <v>0</v>
      </c>
      <c r="K1001" s="276">
        <v>3.5</v>
      </c>
      <c r="L1001" s="277">
        <v>36</v>
      </c>
      <c r="M1001" s="249"/>
      <c r="N1001" s="250"/>
      <c r="O1001" s="250"/>
      <c r="P1001" s="250"/>
      <c r="Q1001" s="250"/>
      <c r="R1001" s="250"/>
      <c r="S1001" s="266">
        <f t="shared" si="18"/>
        <v>0.54406804435027567</v>
      </c>
    </row>
    <row r="1002" spans="1:19">
      <c r="A1002" s="243"/>
      <c r="B1002" s="244"/>
      <c r="C1002" s="311">
        <v>4</v>
      </c>
      <c r="D1002" s="244">
        <v>6</v>
      </c>
      <c r="E1002" s="244">
        <v>1</v>
      </c>
      <c r="F1002" s="244">
        <v>0</v>
      </c>
      <c r="G1002" s="244">
        <v>2</v>
      </c>
      <c r="H1002" s="244">
        <v>2</v>
      </c>
      <c r="I1002" s="244">
        <v>1</v>
      </c>
      <c r="J1002" s="244">
        <v>0</v>
      </c>
      <c r="K1002" s="276">
        <v>2.4</v>
      </c>
      <c r="L1002" s="277">
        <v>39.204099999999997</v>
      </c>
      <c r="M1002" s="249"/>
      <c r="N1002" s="250"/>
      <c r="O1002" s="250"/>
      <c r="P1002" s="250"/>
      <c r="Q1002" s="250"/>
      <c r="R1002" s="250"/>
      <c r="S1002" s="266">
        <f t="shared" si="18"/>
        <v>0.38021124171160603</v>
      </c>
    </row>
    <row r="1003" spans="1:19">
      <c r="A1003" s="243"/>
      <c r="B1003" s="244"/>
      <c r="C1003" s="311">
        <v>4</v>
      </c>
      <c r="D1003" s="244">
        <v>6</v>
      </c>
      <c r="E1003" s="244">
        <v>0</v>
      </c>
      <c r="F1003" s="244">
        <v>0</v>
      </c>
      <c r="G1003" s="244">
        <v>2</v>
      </c>
      <c r="H1003" s="244">
        <v>2</v>
      </c>
      <c r="I1003" s="244">
        <v>1</v>
      </c>
      <c r="J1003" s="244">
        <v>0</v>
      </c>
      <c r="K1003" s="276">
        <v>2.4</v>
      </c>
      <c r="L1003" s="277">
        <v>38.6</v>
      </c>
      <c r="M1003" s="249"/>
      <c r="N1003" s="250"/>
      <c r="O1003" s="250"/>
      <c r="P1003" s="250"/>
      <c r="Q1003" s="250"/>
      <c r="R1003" s="250"/>
      <c r="S1003" s="266">
        <f t="shared" si="18"/>
        <v>0.38021124171160603</v>
      </c>
    </row>
    <row r="1004" spans="1:19">
      <c r="A1004" s="243"/>
      <c r="B1004" s="244"/>
      <c r="C1004" s="311">
        <v>6</v>
      </c>
      <c r="D1004" s="244">
        <v>6</v>
      </c>
      <c r="E1004" s="244">
        <v>1</v>
      </c>
      <c r="F1004" s="244">
        <v>0</v>
      </c>
      <c r="G1004" s="244">
        <v>2</v>
      </c>
      <c r="H1004" s="244">
        <v>2</v>
      </c>
      <c r="I1004" s="244">
        <v>1</v>
      </c>
      <c r="J1004" s="244">
        <v>0</v>
      </c>
      <c r="K1004" s="276">
        <v>3.8</v>
      </c>
      <c r="L1004" s="277">
        <v>31.1</v>
      </c>
      <c r="M1004" s="249"/>
      <c r="N1004" s="250"/>
      <c r="O1004" s="250"/>
      <c r="P1004" s="250"/>
      <c r="Q1004" s="250"/>
      <c r="R1004" s="250"/>
      <c r="S1004" s="266">
        <f t="shared" si="18"/>
        <v>0.57978359661681012</v>
      </c>
    </row>
    <row r="1005" spans="1:19">
      <c r="A1005" s="243"/>
      <c r="B1005" s="244"/>
      <c r="C1005" s="311">
        <v>6</v>
      </c>
      <c r="D1005" s="244">
        <v>7</v>
      </c>
      <c r="E1005" s="244">
        <v>1</v>
      </c>
      <c r="F1005" s="244">
        <v>0</v>
      </c>
      <c r="G1005" s="244">
        <v>2</v>
      </c>
      <c r="H1005" s="244">
        <v>2</v>
      </c>
      <c r="I1005" s="244">
        <v>1</v>
      </c>
      <c r="J1005" s="244">
        <v>0</v>
      </c>
      <c r="K1005" s="276">
        <v>3.5</v>
      </c>
      <c r="L1005" s="277">
        <v>29.773399999999999</v>
      </c>
      <c r="M1005" s="249"/>
      <c r="N1005" s="250"/>
      <c r="O1005" s="250"/>
      <c r="P1005" s="250"/>
      <c r="Q1005" s="250"/>
      <c r="R1005" s="250"/>
      <c r="S1005" s="266">
        <f t="shared" si="18"/>
        <v>0.54406804435027567</v>
      </c>
    </row>
    <row r="1006" spans="1:19">
      <c r="A1006" s="243"/>
      <c r="B1006" s="244"/>
      <c r="C1006" s="311">
        <v>8</v>
      </c>
      <c r="D1006" s="244">
        <v>7</v>
      </c>
      <c r="E1006" s="244">
        <v>1</v>
      </c>
      <c r="F1006" s="244">
        <v>0</v>
      </c>
      <c r="G1006" s="244">
        <v>2</v>
      </c>
      <c r="H1006" s="244">
        <v>2</v>
      </c>
      <c r="I1006" s="244">
        <v>1</v>
      </c>
      <c r="J1006" s="244">
        <v>1</v>
      </c>
      <c r="K1006" s="276">
        <v>5</v>
      </c>
      <c r="L1006" s="277">
        <v>27.251100000000001</v>
      </c>
      <c r="M1006" s="249"/>
      <c r="N1006" s="250"/>
      <c r="O1006" s="250"/>
      <c r="P1006" s="250"/>
      <c r="Q1006" s="250"/>
      <c r="R1006" s="250"/>
      <c r="S1006" s="266">
        <f t="shared" si="18"/>
        <v>0.69897000433601886</v>
      </c>
    </row>
    <row r="1007" spans="1:19">
      <c r="A1007" s="243"/>
      <c r="B1007" s="244"/>
      <c r="C1007" s="311">
        <v>8</v>
      </c>
      <c r="D1007" s="244">
        <v>5</v>
      </c>
      <c r="E1007" s="244">
        <v>1</v>
      </c>
      <c r="F1007" s="244">
        <v>0</v>
      </c>
      <c r="G1007" s="244">
        <v>2</v>
      </c>
      <c r="H1007" s="244">
        <v>2</v>
      </c>
      <c r="I1007" s="244">
        <v>1</v>
      </c>
      <c r="J1007" s="244">
        <v>0</v>
      </c>
      <c r="K1007" s="276">
        <v>5.6</v>
      </c>
      <c r="L1007" s="277">
        <v>23.6</v>
      </c>
      <c r="M1007" s="249"/>
      <c r="N1007" s="250"/>
      <c r="O1007" s="250"/>
      <c r="P1007" s="250"/>
      <c r="Q1007" s="250"/>
      <c r="R1007" s="250"/>
      <c r="S1007" s="266">
        <f t="shared" si="18"/>
        <v>0.74818802700620035</v>
      </c>
    </row>
    <row r="1008" spans="1:19">
      <c r="A1008" s="243"/>
      <c r="B1008" s="244"/>
      <c r="C1008" s="311">
        <v>6</v>
      </c>
      <c r="D1008" s="244">
        <v>5</v>
      </c>
      <c r="E1008" s="244">
        <v>1</v>
      </c>
      <c r="F1008" s="244">
        <v>0</v>
      </c>
      <c r="G1008" s="244">
        <v>1</v>
      </c>
      <c r="H1008" s="244">
        <v>1</v>
      </c>
      <c r="I1008" s="244">
        <v>0</v>
      </c>
      <c r="J1008" s="244">
        <v>0</v>
      </c>
      <c r="K1008" s="276">
        <v>3.7</v>
      </c>
      <c r="L1008" s="277">
        <v>26.6</v>
      </c>
      <c r="M1008" s="249"/>
      <c r="N1008" s="250"/>
      <c r="O1008" s="250"/>
      <c r="P1008" s="250"/>
      <c r="Q1008" s="250"/>
      <c r="R1008" s="250"/>
      <c r="S1008" s="266">
        <f t="shared" si="18"/>
        <v>0.56820172406699498</v>
      </c>
    </row>
    <row r="1009" spans="1:19">
      <c r="A1009" s="243"/>
      <c r="B1009" s="244"/>
      <c r="C1009" s="311">
        <v>8</v>
      </c>
      <c r="D1009" s="244">
        <v>5</v>
      </c>
      <c r="E1009" s="244">
        <v>1</v>
      </c>
      <c r="F1009" s="244">
        <v>0</v>
      </c>
      <c r="G1009" s="244">
        <v>1</v>
      </c>
      <c r="H1009" s="244">
        <v>1</v>
      </c>
      <c r="I1009" s="244">
        <v>1</v>
      </c>
      <c r="J1009" s="244">
        <v>0</v>
      </c>
      <c r="K1009" s="276">
        <v>5.7</v>
      </c>
      <c r="L1009" s="277">
        <v>26</v>
      </c>
      <c r="M1009" s="249"/>
      <c r="N1009" s="250"/>
      <c r="O1009" s="250"/>
      <c r="P1009" s="250"/>
      <c r="Q1009" s="250"/>
      <c r="R1009" s="250"/>
      <c r="S1009" s="266">
        <f t="shared" si="18"/>
        <v>0.75587485567249146</v>
      </c>
    </row>
    <row r="1010" spans="1:19">
      <c r="A1010" s="243"/>
      <c r="B1010" s="244"/>
      <c r="C1010" s="311">
        <v>4</v>
      </c>
      <c r="D1010" s="244">
        <v>5</v>
      </c>
      <c r="E1010" s="244">
        <v>0</v>
      </c>
      <c r="F1010" s="244">
        <v>0</v>
      </c>
      <c r="G1010" s="244">
        <v>2</v>
      </c>
      <c r="H1010" s="244">
        <v>2</v>
      </c>
      <c r="I1010" s="244">
        <v>1</v>
      </c>
      <c r="J1010" s="244">
        <v>0</v>
      </c>
      <c r="K1010" s="276">
        <v>2.4</v>
      </c>
      <c r="L1010" s="277">
        <v>38.6</v>
      </c>
      <c r="M1010" s="249"/>
      <c r="N1010" s="250"/>
      <c r="O1010" s="250"/>
      <c r="P1010" s="250"/>
      <c r="Q1010" s="250"/>
      <c r="R1010" s="250"/>
      <c r="S1010" s="266">
        <f t="shared" si="18"/>
        <v>0.38021124171160603</v>
      </c>
    </row>
    <row r="1011" spans="1:19">
      <c r="A1011" s="243"/>
      <c r="B1011" s="244"/>
      <c r="C1011" s="311">
        <v>4</v>
      </c>
      <c r="D1011" s="244">
        <v>1</v>
      </c>
      <c r="E1011" s="244">
        <v>1</v>
      </c>
      <c r="F1011" s="244">
        <v>0</v>
      </c>
      <c r="G1011" s="244">
        <v>2</v>
      </c>
      <c r="H1011" s="244">
        <v>2</v>
      </c>
      <c r="I1011" s="244">
        <v>1</v>
      </c>
      <c r="J1011" s="244">
        <v>0</v>
      </c>
      <c r="K1011" s="276">
        <v>2.4</v>
      </c>
      <c r="L1011" s="277">
        <v>33.6</v>
      </c>
      <c r="M1011" s="249"/>
      <c r="N1011" s="250"/>
      <c r="O1011" s="250"/>
      <c r="P1011" s="250"/>
      <c r="Q1011" s="250"/>
      <c r="R1011" s="250"/>
      <c r="S1011" s="266">
        <f t="shared" si="18"/>
        <v>0.38021124171160603</v>
      </c>
    </row>
    <row r="1012" spans="1:19">
      <c r="A1012" s="243"/>
      <c r="B1012" s="244"/>
      <c r="C1012" s="311">
        <v>6</v>
      </c>
      <c r="D1012" s="244">
        <v>5</v>
      </c>
      <c r="E1012" s="244">
        <v>1</v>
      </c>
      <c r="F1012" s="244">
        <v>0</v>
      </c>
      <c r="G1012" s="244">
        <v>1</v>
      </c>
      <c r="H1012" s="244">
        <v>1</v>
      </c>
      <c r="I1012" s="244">
        <v>0</v>
      </c>
      <c r="J1012" s="244">
        <v>0</v>
      </c>
      <c r="K1012" s="276">
        <v>3.7</v>
      </c>
      <c r="L1012" s="277">
        <v>27.5</v>
      </c>
      <c r="M1012" s="249"/>
      <c r="N1012" s="250"/>
      <c r="O1012" s="250"/>
      <c r="P1012" s="250"/>
      <c r="Q1012" s="250"/>
      <c r="R1012" s="250"/>
      <c r="S1012" s="266">
        <f t="shared" si="18"/>
        <v>0.56820172406699498</v>
      </c>
    </row>
    <row r="1013" spans="1:19">
      <c r="A1013" s="243"/>
      <c r="B1013" s="244"/>
      <c r="C1013" s="311">
        <v>8</v>
      </c>
      <c r="D1013" s="244">
        <v>5</v>
      </c>
      <c r="E1013" s="244">
        <v>1</v>
      </c>
      <c r="F1013" s="244">
        <v>0</v>
      </c>
      <c r="G1013" s="244">
        <v>1</v>
      </c>
      <c r="H1013" s="244">
        <v>1</v>
      </c>
      <c r="I1013" s="244">
        <v>1</v>
      </c>
      <c r="J1013" s="244">
        <v>0</v>
      </c>
      <c r="K1013" s="276">
        <v>5.7</v>
      </c>
      <c r="L1013" s="277">
        <v>26</v>
      </c>
      <c r="M1013" s="249"/>
      <c r="N1013" s="250"/>
      <c r="O1013" s="250"/>
      <c r="P1013" s="250"/>
      <c r="Q1013" s="250"/>
      <c r="R1013" s="250"/>
      <c r="S1013" s="266">
        <f t="shared" si="18"/>
        <v>0.75587485567249146</v>
      </c>
    </row>
    <row r="1014" spans="1:19">
      <c r="A1014" s="243"/>
      <c r="B1014" s="244"/>
      <c r="C1014" s="311">
        <v>8</v>
      </c>
      <c r="D1014" s="244">
        <v>5</v>
      </c>
      <c r="E1014" s="244">
        <v>1</v>
      </c>
      <c r="F1014" s="244">
        <v>0</v>
      </c>
      <c r="G1014" s="244">
        <v>1</v>
      </c>
      <c r="H1014" s="244">
        <v>1</v>
      </c>
      <c r="I1014" s="244">
        <v>0</v>
      </c>
      <c r="J1014" s="244">
        <v>0</v>
      </c>
      <c r="K1014" s="276">
        <v>6.1</v>
      </c>
      <c r="L1014" s="277">
        <v>20.9</v>
      </c>
      <c r="M1014" s="249"/>
      <c r="N1014" s="250"/>
      <c r="O1014" s="250"/>
      <c r="P1014" s="250"/>
      <c r="Q1014" s="250"/>
      <c r="R1014" s="250"/>
      <c r="S1014" s="266">
        <f t="shared" si="18"/>
        <v>0.78532983501076703</v>
      </c>
    </row>
    <row r="1015" spans="1:19">
      <c r="A1015" s="243"/>
      <c r="B1015" s="244"/>
      <c r="C1015" s="311">
        <v>6</v>
      </c>
      <c r="D1015" s="244">
        <v>4</v>
      </c>
      <c r="E1015" s="244">
        <v>1</v>
      </c>
      <c r="F1015" s="244">
        <v>0</v>
      </c>
      <c r="G1015" s="244">
        <v>1</v>
      </c>
      <c r="H1015" s="244">
        <v>1</v>
      </c>
      <c r="I1015" s="244">
        <v>0</v>
      </c>
      <c r="J1015" s="244">
        <v>0</v>
      </c>
      <c r="K1015" s="276">
        <v>3.7</v>
      </c>
      <c r="L1015" s="277">
        <v>28.5</v>
      </c>
      <c r="M1015" s="249"/>
      <c r="N1015" s="250"/>
      <c r="O1015" s="250"/>
      <c r="P1015" s="250"/>
      <c r="Q1015" s="250"/>
      <c r="R1015" s="250"/>
      <c r="S1015" s="266">
        <f t="shared" si="18"/>
        <v>0.56820172406699498</v>
      </c>
    </row>
    <row r="1016" spans="1:19">
      <c r="A1016" s="243"/>
      <c r="B1016" s="244"/>
      <c r="C1016" s="311">
        <v>4</v>
      </c>
      <c r="D1016" s="244">
        <v>5</v>
      </c>
      <c r="E1016" s="244">
        <v>0</v>
      </c>
      <c r="F1016" s="244">
        <v>0</v>
      </c>
      <c r="G1016" s="244">
        <v>2</v>
      </c>
      <c r="H1016" s="244">
        <v>2</v>
      </c>
      <c r="I1016" s="244">
        <v>1</v>
      </c>
      <c r="J1016" s="244">
        <v>0</v>
      </c>
      <c r="K1016" s="276">
        <v>2.4</v>
      </c>
      <c r="L1016" s="277">
        <v>38.6</v>
      </c>
      <c r="M1016" s="249"/>
      <c r="N1016" s="250"/>
      <c r="O1016" s="250"/>
      <c r="P1016" s="250"/>
      <c r="Q1016" s="250"/>
      <c r="R1016" s="250"/>
      <c r="S1016" s="266">
        <f t="shared" si="18"/>
        <v>0.38021124171160603</v>
      </c>
    </row>
    <row r="1017" spans="1:19">
      <c r="A1017" s="243"/>
      <c r="B1017" s="244"/>
      <c r="C1017" s="311">
        <v>4</v>
      </c>
      <c r="D1017" s="244">
        <v>1</v>
      </c>
      <c r="E1017" s="244">
        <v>1</v>
      </c>
      <c r="F1017" s="244">
        <v>0</v>
      </c>
      <c r="G1017" s="244">
        <v>2</v>
      </c>
      <c r="H1017" s="244">
        <v>2</v>
      </c>
      <c r="I1017" s="244">
        <v>1</v>
      </c>
      <c r="J1017" s="244">
        <v>0</v>
      </c>
      <c r="K1017" s="276">
        <v>2.4</v>
      </c>
      <c r="L1017" s="277">
        <v>33.6</v>
      </c>
      <c r="M1017" s="249"/>
      <c r="N1017" s="250"/>
      <c r="O1017" s="250"/>
      <c r="P1017" s="250"/>
      <c r="Q1017" s="250"/>
      <c r="R1017" s="250"/>
      <c r="S1017" s="266">
        <f t="shared" si="18"/>
        <v>0.38021124171160603</v>
      </c>
    </row>
    <row r="1018" spans="1:19">
      <c r="A1018" s="243"/>
      <c r="B1018" s="244"/>
      <c r="C1018" s="311">
        <v>4</v>
      </c>
      <c r="D1018" s="244">
        <v>1</v>
      </c>
      <c r="E1018" s="244">
        <v>1</v>
      </c>
      <c r="F1018" s="244">
        <v>0</v>
      </c>
      <c r="G1018" s="244">
        <v>2</v>
      </c>
      <c r="H1018" s="244">
        <v>2</v>
      </c>
      <c r="I1018" s="244">
        <v>1</v>
      </c>
      <c r="J1018" s="244">
        <v>0</v>
      </c>
      <c r="K1018" s="276">
        <v>2.4</v>
      </c>
      <c r="L1018" s="277">
        <v>33.6</v>
      </c>
      <c r="M1018" s="249"/>
      <c r="N1018" s="250"/>
      <c r="O1018" s="250"/>
      <c r="P1018" s="250"/>
      <c r="Q1018" s="250"/>
      <c r="R1018" s="250"/>
      <c r="S1018" s="266">
        <f t="shared" si="18"/>
        <v>0.38021124171160603</v>
      </c>
    </row>
    <row r="1019" spans="1:19">
      <c r="A1019" s="243"/>
      <c r="B1019" s="244"/>
      <c r="C1019" s="311">
        <v>6</v>
      </c>
      <c r="D1019" s="244">
        <v>6</v>
      </c>
      <c r="E1019" s="244">
        <v>1</v>
      </c>
      <c r="F1019" s="244">
        <v>0</v>
      </c>
      <c r="G1019" s="244">
        <v>1</v>
      </c>
      <c r="H1019" s="244">
        <v>1</v>
      </c>
      <c r="I1019" s="244">
        <v>0</v>
      </c>
      <c r="J1019" s="244">
        <v>0</v>
      </c>
      <c r="K1019" s="276">
        <v>3.8</v>
      </c>
      <c r="L1019" s="277">
        <v>26.163</v>
      </c>
      <c r="M1019" s="249"/>
      <c r="N1019" s="250"/>
      <c r="O1019" s="250"/>
      <c r="P1019" s="250"/>
      <c r="Q1019" s="250"/>
      <c r="R1019" s="250"/>
      <c r="S1019" s="266">
        <f t="shared" si="18"/>
        <v>0.57978359661681012</v>
      </c>
    </row>
    <row r="1020" spans="1:19">
      <c r="A1020" s="243"/>
      <c r="B1020" s="244"/>
      <c r="C1020" s="311">
        <v>6</v>
      </c>
      <c r="D1020" s="244">
        <v>4</v>
      </c>
      <c r="E1020" s="244">
        <v>1</v>
      </c>
      <c r="F1020" s="244">
        <v>0</v>
      </c>
      <c r="G1020" s="244">
        <v>1</v>
      </c>
      <c r="H1020" s="244">
        <v>1</v>
      </c>
      <c r="I1020" s="244">
        <v>0</v>
      </c>
      <c r="J1020" s="244">
        <v>0</v>
      </c>
      <c r="K1020" s="276">
        <v>3.8</v>
      </c>
      <c r="L1020" s="277">
        <v>26.563199999999998</v>
      </c>
      <c r="M1020" s="249"/>
      <c r="N1020" s="250"/>
      <c r="O1020" s="250"/>
      <c r="P1020" s="250"/>
      <c r="Q1020" s="250"/>
      <c r="R1020" s="250"/>
      <c r="S1020" s="266">
        <f t="shared" si="18"/>
        <v>0.57978359661681012</v>
      </c>
    </row>
    <row r="1021" spans="1:19">
      <c r="A1021" s="243"/>
      <c r="B1021" s="244"/>
      <c r="C1021" s="311">
        <v>6</v>
      </c>
      <c r="D1021" s="244">
        <v>5</v>
      </c>
      <c r="E1021" s="244">
        <v>1</v>
      </c>
      <c r="F1021" s="244">
        <v>0</v>
      </c>
      <c r="G1021" s="244">
        <v>2</v>
      </c>
      <c r="H1021" s="244">
        <v>2</v>
      </c>
      <c r="I1021" s="244">
        <v>1</v>
      </c>
      <c r="J1021" s="244">
        <v>0</v>
      </c>
      <c r="K1021" s="276">
        <v>3.8</v>
      </c>
      <c r="L1021" s="277">
        <v>29.2986</v>
      </c>
      <c r="M1021" s="249"/>
      <c r="N1021" s="250"/>
      <c r="O1021" s="250"/>
      <c r="P1021" s="250"/>
      <c r="Q1021" s="250"/>
      <c r="R1021" s="250"/>
      <c r="S1021" s="266">
        <f t="shared" si="18"/>
        <v>0.57978359661681012</v>
      </c>
    </row>
    <row r="1022" spans="1:19">
      <c r="A1022" s="243"/>
      <c r="B1022" s="244"/>
      <c r="C1022" s="311">
        <v>8</v>
      </c>
      <c r="D1022" s="244">
        <v>6</v>
      </c>
      <c r="E1022" s="244">
        <v>1</v>
      </c>
      <c r="F1022" s="244">
        <v>0</v>
      </c>
      <c r="G1022" s="244">
        <v>2</v>
      </c>
      <c r="H1022" s="244">
        <v>2</v>
      </c>
      <c r="I1022" s="244">
        <v>1</v>
      </c>
      <c r="J1022" s="244">
        <v>0</v>
      </c>
      <c r="K1022" s="276">
        <v>4.5999999999999996</v>
      </c>
      <c r="L1022" s="277">
        <v>28.4</v>
      </c>
      <c r="M1022" s="249"/>
      <c r="N1022" s="250"/>
      <c r="O1022" s="250"/>
      <c r="P1022" s="250"/>
      <c r="Q1022" s="250"/>
      <c r="R1022" s="250"/>
      <c r="S1022" s="266">
        <f t="shared" si="18"/>
        <v>0.66275783168157409</v>
      </c>
    </row>
    <row r="1023" spans="1:19">
      <c r="A1023" s="243"/>
      <c r="B1023" s="244"/>
      <c r="C1023" s="311">
        <v>4</v>
      </c>
      <c r="D1023" s="244">
        <v>5</v>
      </c>
      <c r="E1023" s="244">
        <v>0</v>
      </c>
      <c r="F1023" s="244">
        <v>0</v>
      </c>
      <c r="G1023" s="244">
        <v>2</v>
      </c>
      <c r="H1023" s="244">
        <v>2</v>
      </c>
      <c r="I1023" s="244">
        <v>1</v>
      </c>
      <c r="J1023" s="244">
        <v>0</v>
      </c>
      <c r="K1023" s="276">
        <v>2</v>
      </c>
      <c r="L1023" s="277">
        <v>33.4</v>
      </c>
      <c r="M1023" s="249"/>
      <c r="N1023" s="250"/>
      <c r="O1023" s="250"/>
      <c r="P1023" s="250"/>
      <c r="Q1023" s="250"/>
      <c r="R1023" s="250"/>
      <c r="S1023" s="266">
        <f t="shared" si="18"/>
        <v>0.3010299956639812</v>
      </c>
    </row>
    <row r="1024" spans="1:19">
      <c r="A1024" s="243"/>
      <c r="B1024" s="244"/>
      <c r="C1024" s="311">
        <v>6</v>
      </c>
      <c r="D1024" s="244">
        <v>4</v>
      </c>
      <c r="E1024" s="244">
        <v>1</v>
      </c>
      <c r="F1024" s="244">
        <v>0</v>
      </c>
      <c r="G1024" s="244">
        <v>2</v>
      </c>
      <c r="H1024" s="244">
        <v>2</v>
      </c>
      <c r="I1024" s="244">
        <v>0</v>
      </c>
      <c r="J1024" s="244">
        <v>0</v>
      </c>
      <c r="K1024" s="276">
        <v>2.7</v>
      </c>
      <c r="L1024" s="277">
        <v>31.3</v>
      </c>
      <c r="M1024" s="249"/>
      <c r="N1024" s="250"/>
      <c r="O1024" s="250"/>
      <c r="P1024" s="250"/>
      <c r="Q1024" s="250"/>
      <c r="R1024" s="250"/>
      <c r="S1024" s="266">
        <f t="shared" si="18"/>
        <v>0.43136376415898736</v>
      </c>
    </row>
    <row r="1025" spans="1:19">
      <c r="A1025" s="243"/>
      <c r="B1025" s="244"/>
      <c r="C1025" s="311">
        <v>6</v>
      </c>
      <c r="D1025" s="244">
        <v>6</v>
      </c>
      <c r="E1025" s="244">
        <v>1</v>
      </c>
      <c r="F1025" s="244">
        <v>0</v>
      </c>
      <c r="G1025" s="244">
        <v>2</v>
      </c>
      <c r="H1025" s="244">
        <v>2</v>
      </c>
      <c r="I1025" s="244">
        <v>1</v>
      </c>
      <c r="J1025" s="244">
        <v>1</v>
      </c>
      <c r="K1025" s="276">
        <v>3.2</v>
      </c>
      <c r="L1025" s="277">
        <v>30.347000000000001</v>
      </c>
      <c r="M1025" s="249"/>
      <c r="N1025" s="250"/>
      <c r="O1025" s="250"/>
      <c r="P1025" s="250"/>
      <c r="Q1025" s="250"/>
      <c r="R1025" s="250"/>
      <c r="S1025" s="266">
        <f t="shared" si="18"/>
        <v>0.50514997831990605</v>
      </c>
    </row>
    <row r="1026" spans="1:19">
      <c r="A1026" s="243"/>
      <c r="B1026" s="244"/>
      <c r="C1026" s="311">
        <v>8</v>
      </c>
      <c r="D1026" s="244">
        <v>6</v>
      </c>
      <c r="E1026" s="244">
        <v>1</v>
      </c>
      <c r="F1026" s="244">
        <v>0</v>
      </c>
      <c r="G1026" s="244">
        <v>2</v>
      </c>
      <c r="H1026" s="244">
        <v>2</v>
      </c>
      <c r="I1026" s="244">
        <v>1</v>
      </c>
      <c r="J1026" s="244">
        <v>1</v>
      </c>
      <c r="K1026" s="276">
        <v>5</v>
      </c>
      <c r="L1026" s="277">
        <v>23.820399999999999</v>
      </c>
      <c r="M1026" s="249"/>
      <c r="N1026" s="250"/>
      <c r="O1026" s="250"/>
      <c r="P1026" s="250"/>
      <c r="Q1026" s="250"/>
      <c r="R1026" s="250"/>
      <c r="S1026" s="266">
        <f t="shared" si="18"/>
        <v>0.69897000433601886</v>
      </c>
    </row>
    <row r="1027" spans="1:19">
      <c r="A1027" s="243"/>
      <c r="B1027" s="244"/>
      <c r="C1027" s="311">
        <v>8</v>
      </c>
      <c r="D1027" s="244">
        <v>6</v>
      </c>
      <c r="E1027" s="244">
        <v>1</v>
      </c>
      <c r="F1027" s="244">
        <v>0</v>
      </c>
      <c r="G1027" s="244">
        <v>2</v>
      </c>
      <c r="H1027" s="244">
        <v>2</v>
      </c>
      <c r="I1027" s="244">
        <v>1</v>
      </c>
      <c r="J1027" s="244">
        <v>0</v>
      </c>
      <c r="K1027" s="276">
        <v>5</v>
      </c>
      <c r="L1027" s="277">
        <v>24.572199999999999</v>
      </c>
      <c r="M1027" s="249"/>
      <c r="N1027" s="250"/>
      <c r="O1027" s="250"/>
      <c r="P1027" s="250"/>
      <c r="Q1027" s="250"/>
      <c r="R1027" s="250"/>
      <c r="S1027" s="266">
        <f t="shared" si="18"/>
        <v>0.69897000433601886</v>
      </c>
    </row>
    <row r="1028" spans="1:19">
      <c r="A1028" s="243"/>
      <c r="B1028" s="244"/>
      <c r="C1028" s="311">
        <v>8</v>
      </c>
      <c r="D1028" s="244">
        <v>6</v>
      </c>
      <c r="E1028" s="244">
        <v>1</v>
      </c>
      <c r="F1028" s="244">
        <v>0</v>
      </c>
      <c r="G1028" s="244">
        <v>2</v>
      </c>
      <c r="H1028" s="244">
        <v>2</v>
      </c>
      <c r="I1028" s="244">
        <v>1</v>
      </c>
      <c r="J1028" s="244">
        <v>1</v>
      </c>
      <c r="K1028" s="276">
        <v>5</v>
      </c>
      <c r="L1028" s="277">
        <v>25.508199999999999</v>
      </c>
      <c r="M1028" s="249"/>
      <c r="N1028" s="250"/>
      <c r="O1028" s="250"/>
      <c r="P1028" s="250"/>
      <c r="Q1028" s="250"/>
      <c r="R1028" s="250"/>
      <c r="S1028" s="266">
        <f t="shared" si="18"/>
        <v>0.69897000433601886</v>
      </c>
    </row>
    <row r="1029" spans="1:19">
      <c r="A1029" s="243"/>
      <c r="B1029" s="244"/>
      <c r="C1029" s="311">
        <v>8</v>
      </c>
      <c r="D1029" s="244">
        <v>6</v>
      </c>
      <c r="E1029" s="244">
        <v>1</v>
      </c>
      <c r="F1029" s="244">
        <v>0</v>
      </c>
      <c r="G1029" s="244">
        <v>2</v>
      </c>
      <c r="H1029" s="244">
        <v>2</v>
      </c>
      <c r="I1029" s="244">
        <v>1</v>
      </c>
      <c r="J1029" s="244">
        <v>0</v>
      </c>
      <c r="K1029" s="276">
        <v>5</v>
      </c>
      <c r="L1029" s="277">
        <v>23.574300000000001</v>
      </c>
      <c r="M1029" s="249"/>
      <c r="N1029" s="250"/>
      <c r="O1029" s="250"/>
      <c r="P1029" s="250"/>
      <c r="Q1029" s="250"/>
      <c r="R1029" s="250"/>
      <c r="S1029" s="266">
        <f t="shared" si="18"/>
        <v>0.69897000433601886</v>
      </c>
    </row>
    <row r="1030" spans="1:19">
      <c r="A1030" s="243"/>
      <c r="B1030" s="244"/>
      <c r="C1030" s="311">
        <v>8</v>
      </c>
      <c r="D1030" s="244">
        <v>6</v>
      </c>
      <c r="E1030" s="244">
        <v>1</v>
      </c>
      <c r="F1030" s="244">
        <v>0</v>
      </c>
      <c r="G1030" s="244">
        <v>2</v>
      </c>
      <c r="H1030" s="244">
        <v>2</v>
      </c>
      <c r="I1030" s="244">
        <v>1</v>
      </c>
      <c r="J1030" s="244">
        <v>1</v>
      </c>
      <c r="K1030" s="276">
        <v>5</v>
      </c>
      <c r="L1030" s="277">
        <v>24.7928</v>
      </c>
      <c r="M1030" s="249"/>
      <c r="N1030" s="250"/>
      <c r="O1030" s="250"/>
      <c r="P1030" s="250"/>
      <c r="Q1030" s="250"/>
      <c r="R1030" s="250"/>
      <c r="S1030" s="266">
        <f t="shared" si="18"/>
        <v>0.69897000433601886</v>
      </c>
    </row>
    <row r="1031" spans="1:19">
      <c r="A1031" s="243"/>
      <c r="B1031" s="244"/>
      <c r="C1031" s="311">
        <v>8</v>
      </c>
      <c r="D1031" s="244">
        <v>6</v>
      </c>
      <c r="E1031" s="244">
        <v>1</v>
      </c>
      <c r="F1031" s="244">
        <v>0</v>
      </c>
      <c r="G1031" s="244">
        <v>2</v>
      </c>
      <c r="H1031" s="244">
        <v>2</v>
      </c>
      <c r="I1031" s="244">
        <v>1</v>
      </c>
      <c r="J1031" s="244">
        <v>0</v>
      </c>
      <c r="K1031" s="276">
        <v>4.5999999999999996</v>
      </c>
      <c r="L1031" s="277">
        <v>28.3</v>
      </c>
      <c r="M1031" s="249"/>
      <c r="N1031" s="250"/>
      <c r="O1031" s="250"/>
      <c r="P1031" s="250"/>
      <c r="Q1031" s="250"/>
      <c r="R1031" s="250"/>
      <c r="S1031" s="266">
        <f t="shared" si="18"/>
        <v>0.66275783168157409</v>
      </c>
    </row>
    <row r="1032" spans="1:19">
      <c r="A1032" s="243"/>
      <c r="B1032" s="244"/>
      <c r="C1032" s="311">
        <v>8</v>
      </c>
      <c r="D1032" s="244">
        <v>6</v>
      </c>
      <c r="E1032" s="244">
        <v>1</v>
      </c>
      <c r="F1032" s="244">
        <v>0</v>
      </c>
      <c r="G1032" s="244">
        <v>2</v>
      </c>
      <c r="H1032" s="244">
        <v>2</v>
      </c>
      <c r="I1032" s="244">
        <v>1</v>
      </c>
      <c r="J1032" s="244">
        <v>0</v>
      </c>
      <c r="K1032" s="276">
        <v>5.7</v>
      </c>
      <c r="L1032" s="277">
        <v>24.149100000000001</v>
      </c>
      <c r="M1032" s="249"/>
      <c r="N1032" s="250"/>
      <c r="O1032" s="250"/>
      <c r="P1032" s="250"/>
      <c r="Q1032" s="250"/>
      <c r="R1032" s="250"/>
      <c r="S1032" s="266">
        <f t="shared" si="18"/>
        <v>0.75587485567249146</v>
      </c>
    </row>
    <row r="1033" spans="1:19">
      <c r="A1033" s="243"/>
      <c r="B1033" s="244"/>
      <c r="C1033" s="311">
        <v>6</v>
      </c>
      <c r="D1033" s="244">
        <v>6</v>
      </c>
      <c r="E1033" s="244">
        <v>1</v>
      </c>
      <c r="F1033" s="244">
        <v>0</v>
      </c>
      <c r="G1033" s="244">
        <v>2</v>
      </c>
      <c r="H1033" s="244">
        <v>2</v>
      </c>
      <c r="I1033" s="244">
        <v>1</v>
      </c>
      <c r="J1033" s="244">
        <v>0</v>
      </c>
      <c r="K1033" s="276">
        <v>3.5</v>
      </c>
      <c r="L1033" s="277">
        <v>33.793700000000001</v>
      </c>
      <c r="M1033" s="249"/>
      <c r="N1033" s="250"/>
      <c r="O1033" s="250"/>
      <c r="P1033" s="250"/>
      <c r="Q1033" s="250"/>
      <c r="R1033" s="250"/>
      <c r="S1033" s="266">
        <f t="shared" si="18"/>
        <v>0.54406804435027567</v>
      </c>
    </row>
    <row r="1034" spans="1:19">
      <c r="A1034" s="243"/>
      <c r="B1034" s="244"/>
      <c r="C1034" s="311">
        <v>6</v>
      </c>
      <c r="D1034" s="244">
        <v>1</v>
      </c>
      <c r="E1034" s="244">
        <v>0</v>
      </c>
      <c r="F1034" s="244">
        <v>0</v>
      </c>
      <c r="G1034" s="244">
        <v>2</v>
      </c>
      <c r="H1034" s="244">
        <v>2</v>
      </c>
      <c r="I1034" s="244">
        <v>1</v>
      </c>
      <c r="J1034" s="244">
        <v>0</v>
      </c>
      <c r="K1034" s="276">
        <v>3.5</v>
      </c>
      <c r="L1034" s="277">
        <v>38.719299999999997</v>
      </c>
      <c r="M1034" s="249"/>
      <c r="N1034" s="250"/>
      <c r="O1034" s="250"/>
      <c r="P1034" s="250"/>
      <c r="Q1034" s="250"/>
      <c r="R1034" s="250"/>
      <c r="S1034" s="266">
        <f t="shared" si="18"/>
        <v>0.54406804435027567</v>
      </c>
    </row>
    <row r="1035" spans="1:19">
      <c r="A1035" s="243"/>
      <c r="B1035" s="244"/>
      <c r="C1035" s="311">
        <v>6</v>
      </c>
      <c r="D1035" s="244">
        <v>6</v>
      </c>
      <c r="E1035" s="244">
        <v>1</v>
      </c>
      <c r="F1035" s="244">
        <v>1</v>
      </c>
      <c r="G1035" s="244">
        <v>2</v>
      </c>
      <c r="H1035" s="244">
        <v>2</v>
      </c>
      <c r="I1035" s="244">
        <v>1</v>
      </c>
      <c r="J1035" s="244">
        <v>0</v>
      </c>
      <c r="K1035" s="276">
        <v>3.5</v>
      </c>
      <c r="L1035" s="277">
        <v>29.9849</v>
      </c>
      <c r="M1035" s="249"/>
      <c r="N1035" s="250"/>
      <c r="O1035" s="250"/>
      <c r="P1035" s="250"/>
      <c r="Q1035" s="250"/>
      <c r="R1035" s="250"/>
      <c r="S1035" s="266">
        <f t="shared" ref="S1035:S1098" si="19">LOG10(K1035)</f>
        <v>0.54406804435027567</v>
      </c>
    </row>
    <row r="1036" spans="1:19">
      <c r="A1036" s="243"/>
      <c r="B1036" s="244"/>
      <c r="C1036" s="311">
        <v>6</v>
      </c>
      <c r="D1036" s="244">
        <v>6</v>
      </c>
      <c r="E1036" s="244">
        <v>1</v>
      </c>
      <c r="F1036" s="244">
        <v>1</v>
      </c>
      <c r="G1036" s="244">
        <v>2</v>
      </c>
      <c r="H1036" s="244">
        <v>2</v>
      </c>
      <c r="I1036" s="244">
        <v>1</v>
      </c>
      <c r="J1036" s="244">
        <v>0</v>
      </c>
      <c r="K1036" s="276">
        <v>3.5</v>
      </c>
      <c r="L1036" s="277">
        <v>30.2</v>
      </c>
      <c r="M1036" s="249"/>
      <c r="N1036" s="250"/>
      <c r="O1036" s="250"/>
      <c r="P1036" s="250"/>
      <c r="Q1036" s="250"/>
      <c r="R1036" s="250"/>
      <c r="S1036" s="266">
        <f t="shared" si="19"/>
        <v>0.54406804435027567</v>
      </c>
    </row>
    <row r="1037" spans="1:19">
      <c r="A1037" s="243"/>
      <c r="B1037" s="244"/>
      <c r="C1037" s="311">
        <v>6</v>
      </c>
      <c r="D1037" s="244">
        <v>6</v>
      </c>
      <c r="E1037" s="244">
        <v>1</v>
      </c>
      <c r="F1037" s="244">
        <v>1</v>
      </c>
      <c r="G1037" s="244">
        <v>2</v>
      </c>
      <c r="H1037" s="244">
        <v>2</v>
      </c>
      <c r="I1037" s="244">
        <v>0</v>
      </c>
      <c r="J1037" s="244">
        <v>0</v>
      </c>
      <c r="K1037" s="276">
        <v>3.5</v>
      </c>
      <c r="L1037" s="277">
        <v>31.4</v>
      </c>
      <c r="M1037" s="249"/>
      <c r="N1037" s="250"/>
      <c r="O1037" s="250"/>
      <c r="P1037" s="250"/>
      <c r="Q1037" s="250"/>
      <c r="R1037" s="250"/>
      <c r="S1037" s="266">
        <f t="shared" si="19"/>
        <v>0.54406804435027567</v>
      </c>
    </row>
    <row r="1038" spans="1:19">
      <c r="A1038" s="243"/>
      <c r="B1038" s="244"/>
      <c r="C1038" s="311">
        <v>4</v>
      </c>
      <c r="D1038" s="244">
        <v>6</v>
      </c>
      <c r="E1038" s="244">
        <v>1</v>
      </c>
      <c r="F1038" s="244">
        <v>0</v>
      </c>
      <c r="G1038" s="244">
        <v>2</v>
      </c>
      <c r="H1038" s="244">
        <v>2</v>
      </c>
      <c r="I1038" s="244">
        <v>1</v>
      </c>
      <c r="J1038" s="244">
        <v>0</v>
      </c>
      <c r="K1038" s="276">
        <v>2.2999999999999998</v>
      </c>
      <c r="L1038" s="277">
        <v>31.7</v>
      </c>
      <c r="M1038" s="249"/>
      <c r="N1038" s="250"/>
      <c r="O1038" s="250"/>
      <c r="P1038" s="250"/>
      <c r="Q1038" s="250"/>
      <c r="R1038" s="250"/>
      <c r="S1038" s="266">
        <f t="shared" si="19"/>
        <v>0.36172783601759284</v>
      </c>
    </row>
    <row r="1039" spans="1:19">
      <c r="A1039" s="243"/>
      <c r="B1039" s="244"/>
      <c r="C1039" s="311">
        <v>6</v>
      </c>
      <c r="D1039" s="244">
        <v>6</v>
      </c>
      <c r="E1039" s="244">
        <v>1</v>
      </c>
      <c r="F1039" s="244">
        <v>0</v>
      </c>
      <c r="G1039" s="244">
        <v>2</v>
      </c>
      <c r="H1039" s="244">
        <v>2</v>
      </c>
      <c r="I1039" s="244">
        <v>1</v>
      </c>
      <c r="J1039" s="244">
        <v>0</v>
      </c>
      <c r="K1039" s="276">
        <v>3.7</v>
      </c>
      <c r="L1039" s="277">
        <v>28.7</v>
      </c>
      <c r="M1039" s="249"/>
      <c r="N1039" s="250"/>
      <c r="O1039" s="250"/>
      <c r="P1039" s="250"/>
      <c r="Q1039" s="250"/>
      <c r="R1039" s="250"/>
      <c r="S1039" s="266">
        <f t="shared" si="19"/>
        <v>0.56820172406699498</v>
      </c>
    </row>
    <row r="1040" spans="1:19">
      <c r="A1040" s="243"/>
      <c r="B1040" s="244"/>
      <c r="C1040" s="311">
        <v>4</v>
      </c>
      <c r="D1040" s="244">
        <v>6</v>
      </c>
      <c r="E1040" s="244">
        <v>1</v>
      </c>
      <c r="F1040" s="244">
        <v>0</v>
      </c>
      <c r="G1040" s="244">
        <v>2</v>
      </c>
      <c r="H1040" s="244">
        <v>2</v>
      </c>
      <c r="I1040" s="244">
        <v>1</v>
      </c>
      <c r="J1040" s="244">
        <v>0</v>
      </c>
      <c r="K1040" s="276">
        <v>2.5</v>
      </c>
      <c r="L1040" s="277">
        <v>37</v>
      </c>
      <c r="M1040" s="249"/>
      <c r="N1040" s="250"/>
      <c r="O1040" s="250"/>
      <c r="P1040" s="250"/>
      <c r="Q1040" s="250"/>
      <c r="R1040" s="250"/>
      <c r="S1040" s="266">
        <f t="shared" si="19"/>
        <v>0.3979400086720376</v>
      </c>
    </row>
    <row r="1041" spans="1:19">
      <c r="A1041" s="243"/>
      <c r="B1041" s="244"/>
      <c r="C1041" s="311">
        <v>6</v>
      </c>
      <c r="D1041" s="244">
        <v>6</v>
      </c>
      <c r="E1041" s="244">
        <v>1</v>
      </c>
      <c r="F1041" s="244">
        <v>0</v>
      </c>
      <c r="G1041" s="244">
        <v>2</v>
      </c>
      <c r="H1041" s="244">
        <v>2</v>
      </c>
      <c r="I1041" s="244">
        <v>1</v>
      </c>
      <c r="J1041" s="244">
        <v>0</v>
      </c>
      <c r="K1041" s="276">
        <v>3</v>
      </c>
      <c r="L1041" s="277">
        <v>32.1</v>
      </c>
      <c r="M1041" s="249"/>
      <c r="N1041" s="250"/>
      <c r="O1041" s="250"/>
      <c r="P1041" s="250"/>
      <c r="Q1041" s="250"/>
      <c r="R1041" s="250"/>
      <c r="S1041" s="266">
        <f t="shared" si="19"/>
        <v>0.47712125471966244</v>
      </c>
    </row>
    <row r="1042" spans="1:19">
      <c r="A1042" s="243"/>
      <c r="B1042" s="244"/>
      <c r="C1042" s="311">
        <v>4</v>
      </c>
      <c r="D1042" s="244">
        <v>1</v>
      </c>
      <c r="E1042" s="244">
        <v>0</v>
      </c>
      <c r="F1042" s="244">
        <v>0</v>
      </c>
      <c r="G1042" s="244">
        <v>2</v>
      </c>
      <c r="H1042" s="244">
        <v>2</v>
      </c>
      <c r="I1042" s="244">
        <v>1</v>
      </c>
      <c r="J1042" s="244">
        <v>0</v>
      </c>
      <c r="K1042" s="276">
        <v>2.5</v>
      </c>
      <c r="L1042" s="277">
        <v>37.9</v>
      </c>
      <c r="M1042" s="249"/>
      <c r="N1042" s="250"/>
      <c r="O1042" s="250"/>
      <c r="P1042" s="250"/>
      <c r="Q1042" s="250"/>
      <c r="R1042" s="250"/>
      <c r="S1042" s="266">
        <f t="shared" si="19"/>
        <v>0.3979400086720376</v>
      </c>
    </row>
    <row r="1043" spans="1:19">
      <c r="A1043" s="243"/>
      <c r="B1043" s="244"/>
      <c r="C1043" s="311">
        <v>8</v>
      </c>
      <c r="D1043" s="244">
        <v>5</v>
      </c>
      <c r="E1043" s="244">
        <v>1</v>
      </c>
      <c r="F1043" s="244">
        <v>0</v>
      </c>
      <c r="G1043" s="244">
        <v>2</v>
      </c>
      <c r="H1043" s="244">
        <v>1</v>
      </c>
      <c r="I1043" s="244">
        <v>1</v>
      </c>
      <c r="J1043" s="244">
        <v>0</v>
      </c>
      <c r="K1043" s="276">
        <v>5.4</v>
      </c>
      <c r="L1043" s="277">
        <v>20.7</v>
      </c>
      <c r="M1043" s="249"/>
      <c r="N1043" s="250"/>
      <c r="O1043" s="250"/>
      <c r="P1043" s="250"/>
      <c r="Q1043" s="250"/>
      <c r="R1043" s="250"/>
      <c r="S1043" s="266">
        <f t="shared" si="19"/>
        <v>0.7323937598229685</v>
      </c>
    </row>
    <row r="1044" spans="1:19">
      <c r="A1044" s="243"/>
      <c r="B1044" s="244"/>
      <c r="C1044" s="311">
        <v>8</v>
      </c>
      <c r="D1044" s="244">
        <v>7</v>
      </c>
      <c r="E1044" s="244">
        <v>1</v>
      </c>
      <c r="F1044" s="244">
        <v>0</v>
      </c>
      <c r="G1044" s="244">
        <v>2</v>
      </c>
      <c r="H1044" s="244">
        <v>2</v>
      </c>
      <c r="I1044" s="244">
        <v>1</v>
      </c>
      <c r="J1044" s="244">
        <v>0</v>
      </c>
      <c r="K1044" s="276">
        <v>5.5</v>
      </c>
      <c r="L1044" s="277">
        <v>20.100000000000001</v>
      </c>
      <c r="M1044" s="249"/>
      <c r="N1044" s="250"/>
      <c r="O1044" s="250"/>
      <c r="P1044" s="250"/>
      <c r="Q1044" s="250"/>
      <c r="R1044" s="250"/>
      <c r="S1044" s="266">
        <f t="shared" si="19"/>
        <v>0.74036268949424389</v>
      </c>
    </row>
    <row r="1045" spans="1:19">
      <c r="A1045" s="243"/>
      <c r="B1045" s="244"/>
      <c r="C1045" s="311">
        <v>6</v>
      </c>
      <c r="D1045" s="244">
        <v>7</v>
      </c>
      <c r="E1045" s="244">
        <v>1</v>
      </c>
      <c r="F1045" s="244">
        <v>0</v>
      </c>
      <c r="G1045" s="244">
        <v>2</v>
      </c>
      <c r="H1045" s="244">
        <v>2</v>
      </c>
      <c r="I1045" s="244">
        <v>1</v>
      </c>
      <c r="J1045" s="244">
        <v>0</v>
      </c>
      <c r="K1045" s="276">
        <v>3</v>
      </c>
      <c r="L1045" s="277">
        <v>31.5</v>
      </c>
      <c r="M1045" s="249"/>
      <c r="N1045" s="250"/>
      <c r="O1045" s="250"/>
      <c r="P1045" s="250"/>
      <c r="Q1045" s="250"/>
      <c r="R1045" s="250"/>
      <c r="S1045" s="266">
        <f t="shared" si="19"/>
        <v>0.47712125471966244</v>
      </c>
    </row>
    <row r="1046" spans="1:19">
      <c r="A1046" s="243"/>
      <c r="B1046" s="244"/>
      <c r="C1046" s="311">
        <v>8</v>
      </c>
      <c r="D1046" s="244">
        <v>7</v>
      </c>
      <c r="E1046" s="244">
        <v>1</v>
      </c>
      <c r="F1046" s="244">
        <v>0</v>
      </c>
      <c r="G1046" s="244">
        <v>2</v>
      </c>
      <c r="H1046" s="244">
        <v>2</v>
      </c>
      <c r="I1046" s="244">
        <v>1</v>
      </c>
      <c r="J1046" s="244">
        <v>0</v>
      </c>
      <c r="K1046" s="276">
        <v>4.7</v>
      </c>
      <c r="L1046" s="277">
        <v>23.8</v>
      </c>
      <c r="M1046" s="249"/>
      <c r="N1046" s="250"/>
      <c r="O1046" s="250"/>
      <c r="P1046" s="250"/>
      <c r="Q1046" s="250"/>
      <c r="R1046" s="250"/>
      <c r="S1046" s="266">
        <f t="shared" si="19"/>
        <v>0.67209785793571752</v>
      </c>
    </row>
    <row r="1047" spans="1:19">
      <c r="A1047" s="243"/>
      <c r="B1047" s="244"/>
      <c r="C1047" s="311">
        <v>8</v>
      </c>
      <c r="D1047" s="244">
        <v>7</v>
      </c>
      <c r="E1047" s="244">
        <v>1</v>
      </c>
      <c r="F1047" s="244">
        <v>0</v>
      </c>
      <c r="G1047" s="244">
        <v>2</v>
      </c>
      <c r="H1047" s="244">
        <v>2</v>
      </c>
      <c r="I1047" s="244">
        <v>1</v>
      </c>
      <c r="J1047" s="244">
        <v>0</v>
      </c>
      <c r="K1047" s="276">
        <v>5.5</v>
      </c>
      <c r="L1047" s="277">
        <v>23.2</v>
      </c>
      <c r="M1047" s="249"/>
      <c r="N1047" s="250"/>
      <c r="O1047" s="250"/>
      <c r="P1047" s="250"/>
      <c r="Q1047" s="250"/>
      <c r="R1047" s="250"/>
      <c r="S1047" s="266">
        <f t="shared" si="19"/>
        <v>0.74036268949424389</v>
      </c>
    </row>
    <row r="1048" spans="1:19">
      <c r="A1048" s="243"/>
      <c r="B1048" s="244"/>
      <c r="C1048" s="311">
        <v>6</v>
      </c>
      <c r="D1048" s="244">
        <v>7</v>
      </c>
      <c r="E1048" s="244">
        <v>1</v>
      </c>
      <c r="F1048" s="244">
        <v>0</v>
      </c>
      <c r="G1048" s="244">
        <v>2</v>
      </c>
      <c r="H1048" s="244">
        <v>2</v>
      </c>
      <c r="I1048" s="244">
        <v>1</v>
      </c>
      <c r="J1048" s="244">
        <v>0</v>
      </c>
      <c r="K1048" s="276">
        <v>3.5</v>
      </c>
      <c r="L1048" s="277">
        <v>28.668299999999999</v>
      </c>
      <c r="M1048" s="249"/>
      <c r="N1048" s="250"/>
      <c r="O1048" s="250"/>
      <c r="P1048" s="250"/>
      <c r="Q1048" s="250"/>
      <c r="R1048" s="250"/>
      <c r="S1048" s="266">
        <f t="shared" si="19"/>
        <v>0.54406804435027567</v>
      </c>
    </row>
    <row r="1049" spans="1:19">
      <c r="A1049" s="243"/>
      <c r="B1049" s="244"/>
      <c r="C1049" s="311">
        <v>6</v>
      </c>
      <c r="D1049" s="244">
        <v>7</v>
      </c>
      <c r="E1049" s="244">
        <v>1</v>
      </c>
      <c r="F1049" s="244">
        <v>0</v>
      </c>
      <c r="G1049" s="244">
        <v>2</v>
      </c>
      <c r="H1049" s="244">
        <v>2</v>
      </c>
      <c r="I1049" s="244">
        <v>1</v>
      </c>
      <c r="J1049" s="244">
        <v>0</v>
      </c>
      <c r="K1049" s="276">
        <v>3.5</v>
      </c>
      <c r="L1049" s="277">
        <v>27.3</v>
      </c>
      <c r="M1049" s="249"/>
      <c r="N1049" s="250"/>
      <c r="O1049" s="250"/>
      <c r="P1049" s="250"/>
      <c r="Q1049" s="250"/>
      <c r="R1049" s="250"/>
      <c r="S1049" s="266">
        <f t="shared" si="19"/>
        <v>0.54406804435027567</v>
      </c>
    </row>
    <row r="1050" spans="1:19">
      <c r="A1050" s="243"/>
      <c r="B1050" s="244"/>
      <c r="C1050" s="311">
        <v>6</v>
      </c>
      <c r="D1050" s="244">
        <v>7</v>
      </c>
      <c r="E1050" s="244">
        <v>1</v>
      </c>
      <c r="F1050" s="244">
        <v>0</v>
      </c>
      <c r="G1050" s="244">
        <v>2</v>
      </c>
      <c r="H1050" s="244">
        <v>2</v>
      </c>
      <c r="I1050" s="244">
        <v>1</v>
      </c>
      <c r="J1050" s="244">
        <v>0</v>
      </c>
      <c r="K1050" s="276">
        <v>3</v>
      </c>
      <c r="L1050" s="277">
        <v>34.4</v>
      </c>
      <c r="M1050" s="249"/>
      <c r="N1050" s="250"/>
      <c r="O1050" s="250"/>
      <c r="P1050" s="250"/>
      <c r="Q1050" s="250"/>
      <c r="R1050" s="250"/>
      <c r="S1050" s="266">
        <f t="shared" si="19"/>
        <v>0.47712125471966244</v>
      </c>
    </row>
    <row r="1051" spans="1:19">
      <c r="A1051" s="243"/>
      <c r="B1051" s="244"/>
      <c r="C1051" s="311">
        <v>8</v>
      </c>
      <c r="D1051" s="244">
        <v>7</v>
      </c>
      <c r="E1051" s="244">
        <v>1</v>
      </c>
      <c r="F1051" s="244">
        <v>0</v>
      </c>
      <c r="G1051" s="244">
        <v>2</v>
      </c>
      <c r="H1051" s="244">
        <v>2</v>
      </c>
      <c r="I1051" s="244">
        <v>1</v>
      </c>
      <c r="J1051" s="244">
        <v>0</v>
      </c>
      <c r="K1051" s="276">
        <v>5.5</v>
      </c>
      <c r="L1051" s="277">
        <v>24.6</v>
      </c>
      <c r="M1051" s="249"/>
      <c r="N1051" s="250"/>
      <c r="O1051" s="250"/>
      <c r="P1051" s="250"/>
      <c r="Q1051" s="250"/>
      <c r="R1051" s="250"/>
      <c r="S1051" s="266">
        <f t="shared" si="19"/>
        <v>0.74036268949424389</v>
      </c>
    </row>
    <row r="1052" spans="1:19">
      <c r="A1052" s="243"/>
      <c r="B1052" s="244"/>
      <c r="C1052" s="311">
        <v>8</v>
      </c>
      <c r="D1052" s="244">
        <v>7</v>
      </c>
      <c r="E1052" s="244">
        <v>1</v>
      </c>
      <c r="F1052" s="244">
        <v>0</v>
      </c>
      <c r="G1052" s="244">
        <v>2</v>
      </c>
      <c r="H1052" s="244">
        <v>2</v>
      </c>
      <c r="I1052" s="244">
        <v>1</v>
      </c>
      <c r="J1052" s="244">
        <v>0</v>
      </c>
      <c r="K1052" s="276">
        <v>6.3</v>
      </c>
      <c r="L1052" s="277">
        <v>19.7</v>
      </c>
      <c r="M1052" s="249"/>
      <c r="N1052" s="250"/>
      <c r="O1052" s="250"/>
      <c r="P1052" s="250"/>
      <c r="Q1052" s="250"/>
      <c r="R1052" s="250"/>
      <c r="S1052" s="266">
        <f t="shared" si="19"/>
        <v>0.79934054945358168</v>
      </c>
    </row>
    <row r="1053" spans="1:19">
      <c r="A1053" s="243"/>
      <c r="B1053" s="244"/>
      <c r="C1053" s="311">
        <v>6</v>
      </c>
      <c r="D1053" s="244">
        <v>8</v>
      </c>
      <c r="E1053" s="244">
        <v>0</v>
      </c>
      <c r="F1053" s="244">
        <v>0</v>
      </c>
      <c r="G1053" s="244">
        <v>2</v>
      </c>
      <c r="H1053" s="244">
        <v>2</v>
      </c>
      <c r="I1053" s="244">
        <v>1</v>
      </c>
      <c r="J1053" s="244">
        <v>0</v>
      </c>
      <c r="K1053" s="276">
        <v>3.5</v>
      </c>
      <c r="L1053" s="277">
        <v>33.700000000000003</v>
      </c>
      <c r="M1053" s="249"/>
      <c r="N1053" s="250"/>
      <c r="O1053" s="250"/>
      <c r="P1053" s="250"/>
      <c r="Q1053" s="250"/>
      <c r="R1053" s="250"/>
      <c r="S1053" s="266">
        <f t="shared" si="19"/>
        <v>0.54406804435027567</v>
      </c>
    </row>
    <row r="1054" spans="1:19">
      <c r="A1054" s="243"/>
      <c r="B1054" s="244"/>
      <c r="C1054" s="311">
        <v>6</v>
      </c>
      <c r="D1054" s="244">
        <v>7</v>
      </c>
      <c r="E1054" s="244">
        <v>1</v>
      </c>
      <c r="F1054" s="244">
        <v>0</v>
      </c>
      <c r="G1054" s="244">
        <v>2</v>
      </c>
      <c r="H1054" s="244">
        <v>2</v>
      </c>
      <c r="I1054" s="244">
        <v>1</v>
      </c>
      <c r="J1054" s="244">
        <v>0</v>
      </c>
      <c r="K1054" s="276">
        <v>3.5</v>
      </c>
      <c r="L1054" s="277">
        <v>25.8</v>
      </c>
      <c r="M1054" s="249"/>
      <c r="N1054" s="250"/>
      <c r="O1054" s="250"/>
      <c r="P1054" s="250"/>
      <c r="Q1054" s="250"/>
      <c r="R1054" s="250"/>
      <c r="S1054" s="266">
        <f t="shared" si="19"/>
        <v>0.54406804435027567</v>
      </c>
    </row>
    <row r="1055" spans="1:19">
      <c r="A1055" s="243"/>
      <c r="B1055" s="244"/>
      <c r="C1055" s="311">
        <v>6</v>
      </c>
      <c r="D1055" s="244">
        <v>7</v>
      </c>
      <c r="E1055" s="244">
        <v>1</v>
      </c>
      <c r="F1055" s="244">
        <v>0</v>
      </c>
      <c r="G1055" s="244">
        <v>2</v>
      </c>
      <c r="H1055" s="244">
        <v>2</v>
      </c>
      <c r="I1055" s="244">
        <v>1</v>
      </c>
      <c r="J1055" s="244">
        <v>0</v>
      </c>
      <c r="K1055" s="276">
        <v>3</v>
      </c>
      <c r="L1055" s="277">
        <v>33.299999999999997</v>
      </c>
      <c r="M1055" s="249"/>
      <c r="N1055" s="250"/>
      <c r="O1055" s="250"/>
      <c r="P1055" s="250"/>
      <c r="Q1055" s="250"/>
      <c r="R1055" s="250"/>
      <c r="S1055" s="266">
        <f t="shared" si="19"/>
        <v>0.47712125471966244</v>
      </c>
    </row>
    <row r="1056" spans="1:19">
      <c r="A1056" s="243"/>
      <c r="B1056" s="244"/>
      <c r="C1056" s="311">
        <v>4</v>
      </c>
      <c r="D1056" s="244">
        <v>6</v>
      </c>
      <c r="E1056" s="244">
        <v>1</v>
      </c>
      <c r="F1056" s="244">
        <v>0</v>
      </c>
      <c r="G1056" s="244">
        <v>2</v>
      </c>
      <c r="H1056" s="244">
        <v>2</v>
      </c>
      <c r="I1056" s="244">
        <v>1</v>
      </c>
      <c r="J1056" s="244">
        <v>0</v>
      </c>
      <c r="K1056" s="276">
        <v>2.5</v>
      </c>
      <c r="L1056" s="277">
        <v>36.030700000000003</v>
      </c>
      <c r="M1056" s="249"/>
      <c r="N1056" s="250"/>
      <c r="O1056" s="250"/>
      <c r="P1056" s="250"/>
      <c r="Q1056" s="250"/>
      <c r="R1056" s="250"/>
      <c r="S1056" s="266">
        <f t="shared" si="19"/>
        <v>0.3979400086720376</v>
      </c>
    </row>
    <row r="1057" spans="1:19">
      <c r="A1057" s="243"/>
      <c r="B1057" s="244"/>
      <c r="C1057" s="311">
        <v>6</v>
      </c>
      <c r="D1057" s="244">
        <v>6</v>
      </c>
      <c r="E1057" s="244">
        <v>1</v>
      </c>
      <c r="F1057" s="244">
        <v>0</v>
      </c>
      <c r="G1057" s="244">
        <v>2</v>
      </c>
      <c r="H1057" s="244">
        <v>2</v>
      </c>
      <c r="I1057" s="244">
        <v>1</v>
      </c>
      <c r="J1057" s="244">
        <v>0</v>
      </c>
      <c r="K1057" s="276">
        <v>3</v>
      </c>
      <c r="L1057" s="277">
        <v>31.3917</v>
      </c>
      <c r="M1057" s="249"/>
      <c r="N1057" s="250"/>
      <c r="O1057" s="250"/>
      <c r="P1057" s="250"/>
      <c r="Q1057" s="250"/>
      <c r="R1057" s="250"/>
      <c r="S1057" s="266">
        <f t="shared" si="19"/>
        <v>0.47712125471966244</v>
      </c>
    </row>
    <row r="1058" spans="1:19">
      <c r="A1058" s="243"/>
      <c r="B1058" s="244"/>
      <c r="C1058" s="311">
        <v>4</v>
      </c>
      <c r="D1058" s="244">
        <v>1</v>
      </c>
      <c r="E1058" s="244">
        <v>0</v>
      </c>
      <c r="F1058" s="244">
        <v>0</v>
      </c>
      <c r="G1058" s="244">
        <v>2</v>
      </c>
      <c r="H1058" s="244">
        <v>2</v>
      </c>
      <c r="I1058" s="244">
        <v>1</v>
      </c>
      <c r="J1058" s="244">
        <v>0</v>
      </c>
      <c r="K1058" s="276">
        <v>2.5</v>
      </c>
      <c r="L1058" s="277">
        <v>37.9</v>
      </c>
      <c r="M1058" s="249"/>
      <c r="N1058" s="250"/>
      <c r="O1058" s="250"/>
      <c r="P1058" s="250"/>
      <c r="Q1058" s="250"/>
      <c r="R1058" s="250"/>
      <c r="S1058" s="266">
        <f t="shared" si="19"/>
        <v>0.3979400086720376</v>
      </c>
    </row>
    <row r="1059" spans="1:19">
      <c r="A1059" s="243"/>
      <c r="B1059" s="244"/>
      <c r="C1059" s="311">
        <v>6</v>
      </c>
      <c r="D1059" s="244">
        <v>5</v>
      </c>
      <c r="E1059" s="244">
        <v>1</v>
      </c>
      <c r="F1059" s="244">
        <v>1</v>
      </c>
      <c r="G1059" s="244">
        <v>1</v>
      </c>
      <c r="H1059" s="244">
        <v>1</v>
      </c>
      <c r="I1059" s="244">
        <v>0</v>
      </c>
      <c r="J1059" s="244">
        <v>0</v>
      </c>
      <c r="K1059" s="276">
        <v>4</v>
      </c>
      <c r="L1059" s="277">
        <v>25.753499999999999</v>
      </c>
      <c r="M1059" s="249"/>
      <c r="N1059" s="250"/>
      <c r="O1059" s="250"/>
      <c r="P1059" s="250"/>
      <c r="Q1059" s="250"/>
      <c r="R1059" s="250"/>
      <c r="S1059" s="266">
        <f t="shared" si="19"/>
        <v>0.6020599913279624</v>
      </c>
    </row>
    <row r="1060" spans="1:19">
      <c r="A1060" s="243"/>
      <c r="B1060" s="244"/>
      <c r="C1060" s="311">
        <v>8</v>
      </c>
      <c r="D1060" s="244">
        <v>6</v>
      </c>
      <c r="E1060" s="244">
        <v>1</v>
      </c>
      <c r="F1060" s="244">
        <v>1</v>
      </c>
      <c r="G1060" s="244">
        <v>2</v>
      </c>
      <c r="H1060" s="244">
        <v>1</v>
      </c>
      <c r="I1060" s="244">
        <v>0</v>
      </c>
      <c r="J1060" s="244">
        <v>0</v>
      </c>
      <c r="K1060" s="276">
        <v>4.5999999999999996</v>
      </c>
      <c r="L1060" s="277">
        <v>26.662199999999999</v>
      </c>
      <c r="M1060" s="249"/>
      <c r="N1060" s="250"/>
      <c r="O1060" s="250"/>
      <c r="P1060" s="250"/>
      <c r="Q1060" s="250"/>
      <c r="R1060" s="250"/>
      <c r="S1060" s="266">
        <f t="shared" si="19"/>
        <v>0.66275783168157409</v>
      </c>
    </row>
    <row r="1061" spans="1:19">
      <c r="A1061" s="243"/>
      <c r="B1061" s="244"/>
      <c r="C1061" s="311">
        <v>4</v>
      </c>
      <c r="D1061" s="244">
        <v>1</v>
      </c>
      <c r="E1061" s="244">
        <v>0</v>
      </c>
      <c r="F1061" s="244">
        <v>0</v>
      </c>
      <c r="G1061" s="244">
        <v>2</v>
      </c>
      <c r="H1061" s="244">
        <v>2</v>
      </c>
      <c r="I1061" s="244">
        <v>1</v>
      </c>
      <c r="J1061" s="244">
        <v>0</v>
      </c>
      <c r="K1061" s="276">
        <v>2.4</v>
      </c>
      <c r="L1061" s="277">
        <v>35.241799999999998</v>
      </c>
      <c r="M1061" s="249"/>
      <c r="N1061" s="250"/>
      <c r="O1061" s="250"/>
      <c r="P1061" s="250"/>
      <c r="Q1061" s="250"/>
      <c r="R1061" s="250"/>
      <c r="S1061" s="266">
        <f t="shared" si="19"/>
        <v>0.38021124171160603</v>
      </c>
    </row>
    <row r="1062" spans="1:19">
      <c r="A1062" s="243"/>
      <c r="B1062" s="244"/>
      <c r="C1062" s="311">
        <v>6</v>
      </c>
      <c r="D1062" s="244">
        <v>6</v>
      </c>
      <c r="E1062" s="244">
        <v>1</v>
      </c>
      <c r="F1062" s="244">
        <v>0</v>
      </c>
      <c r="G1062" s="244">
        <v>2</v>
      </c>
      <c r="H1062" s="244">
        <v>2</v>
      </c>
      <c r="I1062" s="244">
        <v>0</v>
      </c>
      <c r="J1062" s="244">
        <v>1</v>
      </c>
      <c r="K1062" s="276">
        <v>3</v>
      </c>
      <c r="L1062" s="277">
        <v>32.954799999999999</v>
      </c>
      <c r="M1062" s="249"/>
      <c r="N1062" s="250"/>
      <c r="O1062" s="250"/>
      <c r="P1062" s="250"/>
      <c r="Q1062" s="250"/>
      <c r="R1062" s="250"/>
      <c r="S1062" s="266">
        <f t="shared" si="19"/>
        <v>0.47712125471966244</v>
      </c>
    </row>
    <row r="1063" spans="1:19">
      <c r="A1063" s="243"/>
      <c r="B1063" s="244"/>
      <c r="C1063" s="311">
        <v>6</v>
      </c>
      <c r="D1063" s="244">
        <v>4</v>
      </c>
      <c r="E1063" s="244">
        <v>1</v>
      </c>
      <c r="F1063" s="244">
        <v>0</v>
      </c>
      <c r="G1063" s="244">
        <v>2</v>
      </c>
      <c r="H1063" s="244">
        <v>2</v>
      </c>
      <c r="I1063" s="244">
        <v>0</v>
      </c>
      <c r="J1063" s="244">
        <v>1</v>
      </c>
      <c r="K1063" s="276">
        <v>3.8</v>
      </c>
      <c r="L1063" s="277">
        <v>26.9</v>
      </c>
      <c r="M1063" s="249"/>
      <c r="N1063" s="250"/>
      <c r="O1063" s="250"/>
      <c r="P1063" s="250"/>
      <c r="Q1063" s="250"/>
      <c r="R1063" s="250"/>
      <c r="S1063" s="266">
        <f t="shared" si="19"/>
        <v>0.57978359661681012</v>
      </c>
    </row>
    <row r="1064" spans="1:19">
      <c r="A1064" s="243"/>
      <c r="B1064" s="244"/>
      <c r="C1064" s="311">
        <v>8</v>
      </c>
      <c r="D1064" s="244">
        <v>5</v>
      </c>
      <c r="E1064" s="244">
        <v>1</v>
      </c>
      <c r="F1064" s="244">
        <v>0</v>
      </c>
      <c r="G1064" s="244">
        <v>2</v>
      </c>
      <c r="H1064" s="244">
        <v>2</v>
      </c>
      <c r="I1064" s="244">
        <v>1</v>
      </c>
      <c r="J1064" s="244">
        <v>0</v>
      </c>
      <c r="K1064" s="276">
        <v>5.6</v>
      </c>
      <c r="L1064" s="277">
        <v>24.192399999999999</v>
      </c>
      <c r="M1064" s="249"/>
      <c r="N1064" s="250"/>
      <c r="O1064" s="250"/>
      <c r="P1064" s="250"/>
      <c r="Q1064" s="250"/>
      <c r="R1064" s="250"/>
      <c r="S1064" s="266">
        <f t="shared" si="19"/>
        <v>0.74818802700620035</v>
      </c>
    </row>
    <row r="1065" spans="1:19">
      <c r="A1065" s="243"/>
      <c r="B1065" s="244"/>
      <c r="C1065" s="311">
        <v>8</v>
      </c>
      <c r="D1065" s="244">
        <v>5</v>
      </c>
      <c r="E1065" s="244">
        <v>1</v>
      </c>
      <c r="F1065" s="244">
        <v>0</v>
      </c>
      <c r="G1065" s="244">
        <v>2</v>
      </c>
      <c r="H1065" s="244">
        <v>2</v>
      </c>
      <c r="I1065" s="244">
        <v>1</v>
      </c>
      <c r="J1065" s="244">
        <v>0</v>
      </c>
      <c r="K1065" s="276">
        <v>5.6</v>
      </c>
      <c r="L1065" s="277">
        <v>24.149100000000001</v>
      </c>
      <c r="M1065" s="249"/>
      <c r="N1065" s="250"/>
      <c r="O1065" s="250"/>
      <c r="P1065" s="250"/>
      <c r="Q1065" s="250"/>
      <c r="R1065" s="250"/>
      <c r="S1065" s="266">
        <f t="shared" si="19"/>
        <v>0.74818802700620035</v>
      </c>
    </row>
    <row r="1066" spans="1:19">
      <c r="A1066" s="243"/>
      <c r="B1066" s="244"/>
      <c r="C1066" s="311">
        <v>6</v>
      </c>
      <c r="D1066" s="244">
        <v>1</v>
      </c>
      <c r="E1066" s="244">
        <v>1</v>
      </c>
      <c r="F1066" s="244">
        <v>0</v>
      </c>
      <c r="G1066" s="244">
        <v>2</v>
      </c>
      <c r="H1066" s="244">
        <v>2</v>
      </c>
      <c r="I1066" s="244">
        <v>1</v>
      </c>
      <c r="J1066" s="244">
        <v>0</v>
      </c>
      <c r="K1066" s="276">
        <v>3.5</v>
      </c>
      <c r="L1066" s="277">
        <v>31.708200000000001</v>
      </c>
      <c r="M1066" s="249"/>
      <c r="N1066" s="250"/>
      <c r="O1066" s="250"/>
      <c r="P1066" s="250"/>
      <c r="Q1066" s="250"/>
      <c r="R1066" s="250"/>
      <c r="S1066" s="266">
        <f t="shared" si="19"/>
        <v>0.54406804435027567</v>
      </c>
    </row>
    <row r="1067" spans="1:19">
      <c r="A1067" s="243"/>
      <c r="B1067" s="244"/>
      <c r="C1067" s="311">
        <v>6</v>
      </c>
      <c r="D1067" s="244">
        <v>5</v>
      </c>
      <c r="E1067" s="244">
        <v>1</v>
      </c>
      <c r="F1067" s="244">
        <v>0</v>
      </c>
      <c r="G1067" s="244">
        <v>2</v>
      </c>
      <c r="H1067" s="244">
        <v>2</v>
      </c>
      <c r="I1067" s="244">
        <v>1</v>
      </c>
      <c r="J1067" s="244">
        <v>0</v>
      </c>
      <c r="K1067" s="276">
        <v>4</v>
      </c>
      <c r="L1067" s="277">
        <v>27.234000000000002</v>
      </c>
      <c r="M1067" s="249"/>
      <c r="N1067" s="250"/>
      <c r="O1067" s="250"/>
      <c r="P1067" s="250"/>
      <c r="Q1067" s="250"/>
      <c r="R1067" s="250"/>
      <c r="S1067" s="266">
        <f t="shared" si="19"/>
        <v>0.6020599913279624</v>
      </c>
    </row>
    <row r="1068" spans="1:19">
      <c r="A1068" s="243"/>
      <c r="B1068" s="244"/>
      <c r="C1068" s="311">
        <v>8</v>
      </c>
      <c r="D1068" s="244">
        <v>5</v>
      </c>
      <c r="E1068" s="244">
        <v>1</v>
      </c>
      <c r="F1068" s="244">
        <v>0</v>
      </c>
      <c r="G1068" s="244">
        <v>2</v>
      </c>
      <c r="H1068" s="244">
        <v>2</v>
      </c>
      <c r="I1068" s="244">
        <v>1</v>
      </c>
      <c r="J1068" s="244">
        <v>0</v>
      </c>
      <c r="K1068" s="276">
        <v>5.6</v>
      </c>
      <c r="L1068" s="277">
        <v>24.299600000000002</v>
      </c>
      <c r="M1068" s="249"/>
      <c r="N1068" s="250"/>
      <c r="O1068" s="250"/>
      <c r="P1068" s="250"/>
      <c r="Q1068" s="250"/>
      <c r="R1068" s="250"/>
      <c r="S1068" s="266">
        <f t="shared" si="19"/>
        <v>0.74818802700620035</v>
      </c>
    </row>
    <row r="1069" spans="1:19">
      <c r="A1069" s="243"/>
      <c r="B1069" s="244"/>
      <c r="C1069" s="311">
        <v>4</v>
      </c>
      <c r="D1069" s="244">
        <v>1</v>
      </c>
      <c r="E1069" s="244">
        <v>1</v>
      </c>
      <c r="F1069" s="244">
        <v>0</v>
      </c>
      <c r="G1069" s="244">
        <v>2</v>
      </c>
      <c r="H1069" s="244">
        <v>2</v>
      </c>
      <c r="I1069" s="244">
        <v>1</v>
      </c>
      <c r="J1069" s="244">
        <v>0</v>
      </c>
      <c r="K1069" s="276">
        <v>2.5</v>
      </c>
      <c r="L1069" s="277">
        <v>35.860599999999998</v>
      </c>
      <c r="M1069" s="249"/>
      <c r="N1069" s="250"/>
      <c r="O1069" s="250"/>
      <c r="P1069" s="250"/>
      <c r="Q1069" s="250"/>
      <c r="R1069" s="250"/>
      <c r="S1069" s="266">
        <f t="shared" si="19"/>
        <v>0.3979400086720376</v>
      </c>
    </row>
    <row r="1070" spans="1:19">
      <c r="A1070" s="243"/>
      <c r="B1070" s="244"/>
      <c r="C1070" s="311">
        <v>6</v>
      </c>
      <c r="D1070" s="244">
        <v>6</v>
      </c>
      <c r="E1070" s="244">
        <v>0</v>
      </c>
      <c r="F1070" s="244">
        <v>0</v>
      </c>
      <c r="G1070" s="244">
        <v>2</v>
      </c>
      <c r="H1070" s="244">
        <v>2</v>
      </c>
      <c r="I1070" s="244">
        <v>1</v>
      </c>
      <c r="J1070" s="244">
        <v>0</v>
      </c>
      <c r="K1070" s="276">
        <v>4</v>
      </c>
      <c r="L1070" s="277">
        <v>27.1846</v>
      </c>
      <c r="M1070" s="249"/>
      <c r="N1070" s="250"/>
      <c r="O1070" s="250"/>
      <c r="P1070" s="250"/>
      <c r="Q1070" s="250"/>
      <c r="R1070" s="250"/>
      <c r="S1070" s="266">
        <f t="shared" si="19"/>
        <v>0.6020599913279624</v>
      </c>
    </row>
    <row r="1071" spans="1:19">
      <c r="A1071" s="243"/>
      <c r="B1071" s="244"/>
      <c r="C1071" s="311">
        <v>6</v>
      </c>
      <c r="D1071" s="244">
        <v>5</v>
      </c>
      <c r="E1071" s="244">
        <v>1</v>
      </c>
      <c r="F1071" s="244">
        <v>0</v>
      </c>
      <c r="G1071" s="244">
        <v>2</v>
      </c>
      <c r="H1071" s="244">
        <v>2</v>
      </c>
      <c r="I1071" s="244">
        <v>1</v>
      </c>
      <c r="J1071" s="244">
        <v>0</v>
      </c>
      <c r="K1071" s="276">
        <v>4</v>
      </c>
      <c r="L1071" s="277">
        <v>27.566500000000001</v>
      </c>
      <c r="M1071" s="249"/>
      <c r="N1071" s="250"/>
      <c r="O1071" s="250"/>
      <c r="P1071" s="250"/>
      <c r="Q1071" s="250"/>
      <c r="R1071" s="250"/>
      <c r="S1071" s="266">
        <f t="shared" si="19"/>
        <v>0.6020599913279624</v>
      </c>
    </row>
    <row r="1072" spans="1:19">
      <c r="A1072" s="243"/>
      <c r="B1072" s="244"/>
      <c r="C1072" s="311">
        <v>6</v>
      </c>
      <c r="D1072" s="244">
        <v>6</v>
      </c>
      <c r="E1072" s="244">
        <v>1</v>
      </c>
      <c r="F1072" s="244">
        <v>0</v>
      </c>
      <c r="G1072" s="244">
        <v>2</v>
      </c>
      <c r="H1072" s="244">
        <v>2</v>
      </c>
      <c r="I1072" s="244">
        <v>1</v>
      </c>
      <c r="J1072" s="244">
        <v>1</v>
      </c>
      <c r="K1072" s="276">
        <v>3.6</v>
      </c>
      <c r="L1072" s="277">
        <v>27.581099999999999</v>
      </c>
      <c r="M1072" s="249"/>
      <c r="N1072" s="250"/>
      <c r="O1072" s="250"/>
      <c r="P1072" s="250"/>
      <c r="Q1072" s="250"/>
      <c r="R1072" s="250"/>
      <c r="S1072" s="266">
        <f t="shared" si="19"/>
        <v>0.55630250076728727</v>
      </c>
    </row>
    <row r="1073" spans="1:19">
      <c r="A1073" s="243"/>
      <c r="B1073" s="244"/>
      <c r="C1073" s="311">
        <v>6</v>
      </c>
      <c r="D1073" s="244">
        <v>6</v>
      </c>
      <c r="E1073" s="244">
        <v>0</v>
      </c>
      <c r="F1073" s="244">
        <v>0</v>
      </c>
      <c r="G1073" s="244">
        <v>2</v>
      </c>
      <c r="H1073" s="244">
        <v>2</v>
      </c>
      <c r="I1073" s="244">
        <v>1</v>
      </c>
      <c r="J1073" s="244">
        <v>1</v>
      </c>
      <c r="K1073" s="276">
        <v>3.6</v>
      </c>
      <c r="L1073" s="277">
        <v>28.1127</v>
      </c>
      <c r="M1073" s="249"/>
      <c r="N1073" s="250"/>
      <c r="O1073" s="250"/>
      <c r="P1073" s="250"/>
      <c r="Q1073" s="250"/>
      <c r="R1073" s="250"/>
      <c r="S1073" s="266">
        <f t="shared" si="19"/>
        <v>0.55630250076728727</v>
      </c>
    </row>
    <row r="1074" spans="1:19">
      <c r="A1074" s="243"/>
      <c r="B1074" s="244"/>
      <c r="C1074" s="311">
        <v>8</v>
      </c>
      <c r="D1074" s="244">
        <v>6</v>
      </c>
      <c r="E1074" s="244">
        <v>1</v>
      </c>
      <c r="F1074" s="244">
        <v>0</v>
      </c>
      <c r="G1074" s="244">
        <v>2</v>
      </c>
      <c r="H1074" s="244">
        <v>2</v>
      </c>
      <c r="I1074" s="244">
        <v>1</v>
      </c>
      <c r="J1074" s="244">
        <v>1</v>
      </c>
      <c r="K1074" s="276">
        <v>4.8</v>
      </c>
      <c r="L1074" s="277">
        <v>25.56</v>
      </c>
      <c r="M1074" s="249"/>
      <c r="N1074" s="250"/>
      <c r="O1074" s="250"/>
      <c r="P1074" s="250"/>
      <c r="Q1074" s="250"/>
      <c r="R1074" s="250"/>
      <c r="S1074" s="266">
        <f t="shared" si="19"/>
        <v>0.68124123737558717</v>
      </c>
    </row>
    <row r="1075" spans="1:19">
      <c r="A1075" s="243"/>
      <c r="B1075" s="244"/>
      <c r="C1075" s="311">
        <v>8</v>
      </c>
      <c r="D1075" s="244">
        <v>6</v>
      </c>
      <c r="E1075" s="244">
        <v>0</v>
      </c>
      <c r="F1075" s="244">
        <v>0</v>
      </c>
      <c r="G1075" s="244">
        <v>2</v>
      </c>
      <c r="H1075" s="244">
        <v>2</v>
      </c>
      <c r="I1075" s="244">
        <v>1</v>
      </c>
      <c r="J1075" s="244">
        <v>1</v>
      </c>
      <c r="K1075" s="276">
        <v>4.8</v>
      </c>
      <c r="L1075" s="277">
        <v>23.577999999999999</v>
      </c>
      <c r="M1075" s="249"/>
      <c r="N1075" s="250"/>
      <c r="O1075" s="250"/>
      <c r="P1075" s="250"/>
      <c r="Q1075" s="250"/>
      <c r="R1075" s="250"/>
      <c r="S1075" s="266">
        <f t="shared" si="19"/>
        <v>0.68124123737558717</v>
      </c>
    </row>
    <row r="1076" spans="1:19">
      <c r="A1076" s="243"/>
      <c r="B1076" s="244"/>
      <c r="C1076" s="311">
        <v>8</v>
      </c>
      <c r="D1076" s="244">
        <v>6</v>
      </c>
      <c r="E1076" s="244">
        <v>1</v>
      </c>
      <c r="F1076" s="244">
        <v>0</v>
      </c>
      <c r="G1076" s="244">
        <v>2</v>
      </c>
      <c r="H1076" s="244">
        <v>2</v>
      </c>
      <c r="I1076" s="244">
        <v>1</v>
      </c>
      <c r="J1076" s="244">
        <v>1</v>
      </c>
      <c r="K1076" s="276">
        <v>4.8</v>
      </c>
      <c r="L1076" s="277">
        <v>26.388000000000002</v>
      </c>
      <c r="M1076" s="249"/>
      <c r="N1076" s="250"/>
      <c r="O1076" s="250"/>
      <c r="P1076" s="250"/>
      <c r="Q1076" s="250"/>
      <c r="R1076" s="250"/>
      <c r="S1076" s="266">
        <f t="shared" si="19"/>
        <v>0.68124123737558717</v>
      </c>
    </row>
    <row r="1077" spans="1:19">
      <c r="A1077" s="243"/>
      <c r="B1077" s="244"/>
      <c r="C1077" s="311">
        <v>8</v>
      </c>
      <c r="D1077" s="244">
        <v>6</v>
      </c>
      <c r="E1077" s="244">
        <v>0</v>
      </c>
      <c r="F1077" s="244">
        <v>0</v>
      </c>
      <c r="G1077" s="244">
        <v>2</v>
      </c>
      <c r="H1077" s="244">
        <v>2</v>
      </c>
      <c r="I1077" s="244">
        <v>1</v>
      </c>
      <c r="J1077" s="244">
        <v>1</v>
      </c>
      <c r="K1077" s="276">
        <v>4.8</v>
      </c>
      <c r="L1077" s="277">
        <v>23.577999999999999</v>
      </c>
      <c r="M1077" s="249"/>
      <c r="N1077" s="250"/>
      <c r="O1077" s="250"/>
      <c r="P1077" s="250"/>
      <c r="Q1077" s="250"/>
      <c r="R1077" s="250"/>
      <c r="S1077" s="266">
        <f t="shared" si="19"/>
        <v>0.68124123737558717</v>
      </c>
    </row>
    <row r="1078" spans="1:19">
      <c r="A1078" s="243"/>
      <c r="B1078" s="244"/>
      <c r="C1078" s="311">
        <v>8</v>
      </c>
      <c r="D1078" s="244">
        <v>6</v>
      </c>
      <c r="E1078" s="244">
        <v>1</v>
      </c>
      <c r="F1078" s="244">
        <v>0</v>
      </c>
      <c r="G1078" s="244">
        <v>2</v>
      </c>
      <c r="H1078" s="244">
        <v>2</v>
      </c>
      <c r="I1078" s="244">
        <v>1</v>
      </c>
      <c r="J1078" s="244">
        <v>1</v>
      </c>
      <c r="K1078" s="276">
        <v>4.8</v>
      </c>
      <c r="L1078" s="277">
        <v>25.7761</v>
      </c>
      <c r="M1078" s="249"/>
      <c r="N1078" s="250"/>
      <c r="O1078" s="250"/>
      <c r="P1078" s="250"/>
      <c r="Q1078" s="250"/>
      <c r="R1078" s="250"/>
      <c r="S1078" s="266">
        <f t="shared" si="19"/>
        <v>0.68124123737558717</v>
      </c>
    </row>
    <row r="1079" spans="1:19">
      <c r="A1079" s="243"/>
      <c r="B1079" s="244"/>
      <c r="C1079" s="311">
        <v>8</v>
      </c>
      <c r="D1079" s="244">
        <v>6</v>
      </c>
      <c r="E1079" s="244">
        <v>1</v>
      </c>
      <c r="F1079" s="244">
        <v>0</v>
      </c>
      <c r="G1079" s="244">
        <v>2</v>
      </c>
      <c r="H1079" s="244">
        <v>2</v>
      </c>
      <c r="I1079" s="244">
        <v>1</v>
      </c>
      <c r="J1079" s="244">
        <v>1</v>
      </c>
      <c r="K1079" s="276">
        <v>4.8</v>
      </c>
      <c r="L1079" s="277">
        <v>25.7761</v>
      </c>
      <c r="M1079" s="249"/>
      <c r="N1079" s="250"/>
      <c r="O1079" s="250"/>
      <c r="P1079" s="250"/>
      <c r="Q1079" s="250"/>
      <c r="R1079" s="250"/>
      <c r="S1079" s="266">
        <f t="shared" si="19"/>
        <v>0.68124123737558717</v>
      </c>
    </row>
    <row r="1080" spans="1:19">
      <c r="A1080" s="243"/>
      <c r="B1080" s="244"/>
      <c r="C1080" s="311">
        <v>8</v>
      </c>
      <c r="D1080" s="244">
        <v>6</v>
      </c>
      <c r="E1080" s="244">
        <v>1</v>
      </c>
      <c r="F1080" s="244">
        <v>0</v>
      </c>
      <c r="G1080" s="244">
        <v>2</v>
      </c>
      <c r="H1080" s="244">
        <v>2</v>
      </c>
      <c r="I1080" s="244">
        <v>1</v>
      </c>
      <c r="J1080" s="244">
        <v>1</v>
      </c>
      <c r="K1080" s="276">
        <v>4.8</v>
      </c>
      <c r="L1080" s="277">
        <v>25.7761</v>
      </c>
      <c r="M1080" s="249"/>
      <c r="N1080" s="250"/>
      <c r="O1080" s="250"/>
      <c r="P1080" s="250"/>
      <c r="Q1080" s="250"/>
      <c r="R1080" s="250"/>
      <c r="S1080" s="266">
        <f t="shared" si="19"/>
        <v>0.68124123737558717</v>
      </c>
    </row>
    <row r="1081" spans="1:19">
      <c r="A1081" s="243"/>
      <c r="B1081" s="244"/>
      <c r="C1081" s="311">
        <v>6</v>
      </c>
      <c r="D1081" s="244">
        <v>6</v>
      </c>
      <c r="E1081" s="244">
        <v>1</v>
      </c>
      <c r="F1081" s="244">
        <v>0</v>
      </c>
      <c r="G1081" s="244">
        <v>2</v>
      </c>
      <c r="H1081" s="244">
        <v>2</v>
      </c>
      <c r="I1081" s="244">
        <v>1</v>
      </c>
      <c r="J1081" s="244">
        <v>0</v>
      </c>
      <c r="K1081" s="276">
        <v>3.6</v>
      </c>
      <c r="L1081" s="277">
        <v>31.6</v>
      </c>
      <c r="M1081" s="249"/>
      <c r="N1081" s="250"/>
      <c r="O1081" s="250"/>
      <c r="P1081" s="250"/>
      <c r="Q1081" s="250"/>
      <c r="R1081" s="250"/>
      <c r="S1081" s="266">
        <f t="shared" si="19"/>
        <v>0.55630250076728727</v>
      </c>
    </row>
    <row r="1082" spans="1:19">
      <c r="A1082" s="243"/>
      <c r="B1082" s="244"/>
      <c r="C1082" s="311">
        <v>6</v>
      </c>
      <c r="D1082" s="244">
        <v>6</v>
      </c>
      <c r="E1082" s="244">
        <v>1</v>
      </c>
      <c r="F1082" s="244">
        <v>0</v>
      </c>
      <c r="G1082" s="244">
        <v>1</v>
      </c>
      <c r="H1082" s="244">
        <v>1</v>
      </c>
      <c r="I1082" s="244">
        <v>1</v>
      </c>
      <c r="J1082" s="244">
        <v>0</v>
      </c>
      <c r="K1082" s="276">
        <v>3.5</v>
      </c>
      <c r="L1082" s="277">
        <v>32.200000000000003</v>
      </c>
      <c r="M1082" s="249"/>
      <c r="N1082" s="250"/>
      <c r="O1082" s="250"/>
      <c r="P1082" s="250"/>
      <c r="Q1082" s="250"/>
      <c r="R1082" s="250"/>
      <c r="S1082" s="266">
        <f t="shared" si="19"/>
        <v>0.54406804435027567</v>
      </c>
    </row>
    <row r="1083" spans="1:19">
      <c r="A1083" s="243"/>
      <c r="B1083" s="244"/>
      <c r="C1083" s="311">
        <v>6</v>
      </c>
      <c r="D1083" s="244">
        <v>6</v>
      </c>
      <c r="E1083" s="244">
        <v>1</v>
      </c>
      <c r="F1083" s="244">
        <v>0</v>
      </c>
      <c r="G1083" s="244">
        <v>2</v>
      </c>
      <c r="H1083" s="244">
        <v>2</v>
      </c>
      <c r="I1083" s="244">
        <v>1</v>
      </c>
      <c r="J1083" s="244">
        <v>0</v>
      </c>
      <c r="K1083" s="276">
        <v>3.6</v>
      </c>
      <c r="L1083" s="277">
        <v>32.1</v>
      </c>
      <c r="M1083" s="249"/>
      <c r="N1083" s="250"/>
      <c r="O1083" s="250"/>
      <c r="P1083" s="250"/>
      <c r="Q1083" s="250"/>
      <c r="R1083" s="250"/>
      <c r="S1083" s="266">
        <f t="shared" si="19"/>
        <v>0.55630250076728727</v>
      </c>
    </row>
    <row r="1084" spans="1:19">
      <c r="A1084" s="243"/>
      <c r="B1084" s="244"/>
      <c r="C1084" s="311">
        <v>6</v>
      </c>
      <c r="D1084" s="244">
        <v>6</v>
      </c>
      <c r="E1084" s="244">
        <v>1</v>
      </c>
      <c r="F1084" s="244">
        <v>0</v>
      </c>
      <c r="G1084" s="244">
        <v>2</v>
      </c>
      <c r="H1084" s="244">
        <v>2</v>
      </c>
      <c r="I1084" s="244">
        <v>1</v>
      </c>
      <c r="J1084" s="244">
        <v>0</v>
      </c>
      <c r="K1084" s="276">
        <v>3.6</v>
      </c>
      <c r="L1084" s="277">
        <v>32.6</v>
      </c>
      <c r="M1084" s="249"/>
      <c r="N1084" s="250"/>
      <c r="O1084" s="250"/>
      <c r="P1084" s="250"/>
      <c r="Q1084" s="250"/>
      <c r="R1084" s="250"/>
      <c r="S1084" s="266">
        <f t="shared" si="19"/>
        <v>0.55630250076728727</v>
      </c>
    </row>
    <row r="1085" spans="1:19">
      <c r="A1085" s="243"/>
      <c r="B1085" s="244"/>
      <c r="C1085" s="311">
        <v>4</v>
      </c>
      <c r="D1085" s="244">
        <v>5</v>
      </c>
      <c r="E1085" s="244">
        <v>0</v>
      </c>
      <c r="F1085" s="244">
        <v>0</v>
      </c>
      <c r="G1085" s="244">
        <v>2</v>
      </c>
      <c r="H1085" s="244">
        <v>2</v>
      </c>
      <c r="I1085" s="244">
        <v>0</v>
      </c>
      <c r="J1085" s="244">
        <v>1</v>
      </c>
      <c r="K1085" s="276">
        <v>2.5</v>
      </c>
      <c r="L1085" s="277">
        <v>37.070999999999998</v>
      </c>
      <c r="M1085" s="249"/>
      <c r="N1085" s="250"/>
      <c r="O1085" s="250"/>
      <c r="P1085" s="250"/>
      <c r="Q1085" s="250"/>
      <c r="R1085" s="250"/>
      <c r="S1085" s="266">
        <f t="shared" si="19"/>
        <v>0.3979400086720376</v>
      </c>
    </row>
    <row r="1086" spans="1:19">
      <c r="A1086" s="243"/>
      <c r="B1086" s="244"/>
      <c r="C1086" s="311">
        <v>4</v>
      </c>
      <c r="D1086" s="244">
        <v>4</v>
      </c>
      <c r="E1086" s="244">
        <v>1</v>
      </c>
      <c r="F1086" s="244">
        <v>0</v>
      </c>
      <c r="G1086" s="244">
        <v>2</v>
      </c>
      <c r="H1086" s="244">
        <v>2</v>
      </c>
      <c r="I1086" s="244">
        <v>0</v>
      </c>
      <c r="J1086" s="244">
        <v>1</v>
      </c>
      <c r="K1086" s="276">
        <v>2.5</v>
      </c>
      <c r="L1086" s="277">
        <v>35.922600000000003</v>
      </c>
      <c r="M1086" s="249"/>
      <c r="N1086" s="250"/>
      <c r="O1086" s="250"/>
      <c r="P1086" s="250"/>
      <c r="Q1086" s="250"/>
      <c r="R1086" s="250"/>
      <c r="S1086" s="266">
        <f t="shared" si="19"/>
        <v>0.3979400086720376</v>
      </c>
    </row>
    <row r="1087" spans="1:19">
      <c r="A1087" s="243"/>
      <c r="B1087" s="244"/>
      <c r="C1087" s="311">
        <v>4</v>
      </c>
      <c r="D1087" s="244">
        <v>4</v>
      </c>
      <c r="E1087" s="244">
        <v>1</v>
      </c>
      <c r="F1087" s="244">
        <v>0</v>
      </c>
      <c r="G1087" s="244">
        <v>2</v>
      </c>
      <c r="H1087" s="244">
        <v>2</v>
      </c>
      <c r="I1087" s="244">
        <v>1</v>
      </c>
      <c r="J1087" s="244">
        <v>0</v>
      </c>
      <c r="K1087" s="276">
        <v>2.5</v>
      </c>
      <c r="L1087" s="277">
        <v>32.910299999999999</v>
      </c>
      <c r="M1087" s="249"/>
      <c r="N1087" s="250"/>
      <c r="O1087" s="250"/>
      <c r="P1087" s="250"/>
      <c r="Q1087" s="250"/>
      <c r="R1087" s="250"/>
      <c r="S1087" s="266">
        <f t="shared" si="19"/>
        <v>0.3979400086720376</v>
      </c>
    </row>
    <row r="1088" spans="1:19">
      <c r="A1088" s="243"/>
      <c r="B1088" s="244"/>
      <c r="C1088" s="311">
        <v>4</v>
      </c>
      <c r="D1088" s="244">
        <v>1</v>
      </c>
      <c r="E1088" s="244">
        <v>1</v>
      </c>
      <c r="F1088" s="244">
        <v>0</v>
      </c>
      <c r="G1088" s="244">
        <v>2</v>
      </c>
      <c r="H1088" s="244">
        <v>2</v>
      </c>
      <c r="I1088" s="244">
        <v>0</v>
      </c>
      <c r="J1088" s="244">
        <v>1</v>
      </c>
      <c r="K1088" s="276">
        <v>2.5</v>
      </c>
      <c r="L1088" s="277">
        <v>40.081600000000002</v>
      </c>
      <c r="M1088" s="249"/>
      <c r="N1088" s="250"/>
      <c r="O1088" s="250"/>
      <c r="P1088" s="250"/>
      <c r="Q1088" s="250"/>
      <c r="R1088" s="250"/>
      <c r="S1088" s="266">
        <f t="shared" si="19"/>
        <v>0.3979400086720376</v>
      </c>
    </row>
    <row r="1089" spans="1:19">
      <c r="A1089" s="243"/>
      <c r="B1089" s="244"/>
      <c r="C1089" s="311">
        <v>4</v>
      </c>
      <c r="D1089" s="244">
        <v>6</v>
      </c>
      <c r="E1089" s="244">
        <v>0</v>
      </c>
      <c r="F1089" s="244">
        <v>0</v>
      </c>
      <c r="G1089" s="244">
        <v>2</v>
      </c>
      <c r="H1089" s="244">
        <v>2</v>
      </c>
      <c r="I1089" s="244">
        <v>0</v>
      </c>
      <c r="J1089" s="244">
        <v>1</v>
      </c>
      <c r="K1089" s="276">
        <v>2.5</v>
      </c>
      <c r="L1089" s="277">
        <v>37.057400000000001</v>
      </c>
      <c r="M1089" s="249"/>
      <c r="N1089" s="250"/>
      <c r="O1089" s="250"/>
      <c r="P1089" s="250"/>
      <c r="Q1089" s="250"/>
      <c r="R1089" s="250"/>
      <c r="S1089" s="266">
        <f t="shared" si="19"/>
        <v>0.3979400086720376</v>
      </c>
    </row>
    <row r="1090" spans="1:19">
      <c r="A1090" s="243"/>
      <c r="B1090" s="244"/>
      <c r="C1090" s="311">
        <v>6</v>
      </c>
      <c r="D1090" s="244">
        <v>5</v>
      </c>
      <c r="E1090" s="244">
        <v>1</v>
      </c>
      <c r="F1090" s="244">
        <v>0</v>
      </c>
      <c r="G1090" s="244">
        <v>2</v>
      </c>
      <c r="H1090" s="244">
        <v>2</v>
      </c>
      <c r="I1090" s="244">
        <v>0</v>
      </c>
      <c r="J1090" s="244">
        <v>1</v>
      </c>
      <c r="K1090" s="276">
        <v>3.6</v>
      </c>
      <c r="L1090" s="277">
        <v>34.270800000000001</v>
      </c>
      <c r="M1090" s="249"/>
      <c r="N1090" s="250"/>
      <c r="O1090" s="250"/>
      <c r="P1090" s="250"/>
      <c r="Q1090" s="250"/>
      <c r="R1090" s="250"/>
      <c r="S1090" s="266">
        <f t="shared" si="19"/>
        <v>0.55630250076728727</v>
      </c>
    </row>
    <row r="1091" spans="1:19">
      <c r="A1091" s="243"/>
      <c r="B1091" s="244"/>
      <c r="C1091" s="311">
        <v>6</v>
      </c>
      <c r="D1091" s="244">
        <v>5</v>
      </c>
      <c r="E1091" s="244">
        <v>1</v>
      </c>
      <c r="F1091" s="244">
        <v>0</v>
      </c>
      <c r="G1091" s="244">
        <v>2</v>
      </c>
      <c r="H1091" s="244">
        <v>2</v>
      </c>
      <c r="I1091" s="244">
        <v>0</v>
      </c>
      <c r="J1091" s="244">
        <v>1</v>
      </c>
      <c r="K1091" s="276">
        <v>3.6</v>
      </c>
      <c r="L1091" s="277">
        <v>29.5</v>
      </c>
      <c r="M1091" s="249"/>
      <c r="N1091" s="250"/>
      <c r="O1091" s="250"/>
      <c r="P1091" s="250"/>
      <c r="Q1091" s="250"/>
      <c r="R1091" s="250"/>
      <c r="S1091" s="266">
        <f t="shared" si="19"/>
        <v>0.55630250076728727</v>
      </c>
    </row>
    <row r="1092" spans="1:19">
      <c r="A1092" s="243"/>
      <c r="B1092" s="244"/>
      <c r="C1092" s="311">
        <v>4</v>
      </c>
      <c r="D1092" s="244">
        <v>5</v>
      </c>
      <c r="E1092" s="244">
        <v>0</v>
      </c>
      <c r="F1092" s="244">
        <v>0</v>
      </c>
      <c r="G1092" s="244">
        <v>2</v>
      </c>
      <c r="H1092" s="244">
        <v>2</v>
      </c>
      <c r="I1092" s="244">
        <v>1</v>
      </c>
      <c r="J1092" s="244">
        <v>0</v>
      </c>
      <c r="K1092" s="276">
        <v>2.4</v>
      </c>
      <c r="L1092" s="277">
        <v>34.251300000000001</v>
      </c>
      <c r="M1092" s="249"/>
      <c r="N1092" s="250"/>
      <c r="O1092" s="250"/>
      <c r="P1092" s="250"/>
      <c r="Q1092" s="250"/>
      <c r="R1092" s="250"/>
      <c r="S1092" s="266">
        <f t="shared" si="19"/>
        <v>0.38021124171160603</v>
      </c>
    </row>
    <row r="1093" spans="1:19">
      <c r="A1093" s="243"/>
      <c r="B1093" s="244"/>
      <c r="C1093" s="311">
        <v>4</v>
      </c>
      <c r="D1093" s="244">
        <v>4</v>
      </c>
      <c r="E1093" s="244">
        <v>1</v>
      </c>
      <c r="F1093" s="244">
        <v>0</v>
      </c>
      <c r="G1093" s="244">
        <v>2</v>
      </c>
      <c r="H1093" s="244">
        <v>2</v>
      </c>
      <c r="I1093" s="244">
        <v>1</v>
      </c>
      <c r="J1093" s="244">
        <v>0</v>
      </c>
      <c r="K1093" s="276">
        <v>2.4</v>
      </c>
      <c r="L1093" s="277">
        <v>32.276499999999999</v>
      </c>
      <c r="M1093" s="249"/>
      <c r="N1093" s="250"/>
      <c r="O1093" s="250"/>
      <c r="P1093" s="250"/>
      <c r="Q1093" s="250"/>
      <c r="R1093" s="250"/>
      <c r="S1093" s="266">
        <f t="shared" si="19"/>
        <v>0.38021124171160603</v>
      </c>
    </row>
    <row r="1094" spans="1:19">
      <c r="A1094" s="243"/>
      <c r="B1094" s="244"/>
      <c r="C1094" s="311">
        <v>6</v>
      </c>
      <c r="D1094" s="244">
        <v>5</v>
      </c>
      <c r="E1094" s="244">
        <v>1</v>
      </c>
      <c r="F1094" s="244">
        <v>0</v>
      </c>
      <c r="G1094" s="244">
        <v>2</v>
      </c>
      <c r="H1094" s="244">
        <v>2</v>
      </c>
      <c r="I1094" s="244">
        <v>1</v>
      </c>
      <c r="J1094" s="244">
        <v>0</v>
      </c>
      <c r="K1094" s="276">
        <v>3.2</v>
      </c>
      <c r="L1094" s="277">
        <v>32.274700000000003</v>
      </c>
      <c r="M1094" s="249"/>
      <c r="N1094" s="250"/>
      <c r="O1094" s="250"/>
      <c r="P1094" s="250"/>
      <c r="Q1094" s="250"/>
      <c r="R1094" s="250"/>
      <c r="S1094" s="266">
        <f t="shared" si="19"/>
        <v>0.50514997831990605</v>
      </c>
    </row>
    <row r="1095" spans="1:19">
      <c r="A1095" s="243"/>
      <c r="B1095" s="244"/>
      <c r="C1095" s="311">
        <v>6</v>
      </c>
      <c r="D1095" s="244">
        <v>5</v>
      </c>
      <c r="E1095" s="244">
        <v>1</v>
      </c>
      <c r="F1095" s="244">
        <v>0</v>
      </c>
      <c r="G1095" s="244">
        <v>2</v>
      </c>
      <c r="H1095" s="244">
        <v>2</v>
      </c>
      <c r="I1095" s="244">
        <v>1</v>
      </c>
      <c r="J1095" s="244">
        <v>0</v>
      </c>
      <c r="K1095" s="276">
        <v>4</v>
      </c>
      <c r="L1095" s="277">
        <v>30</v>
      </c>
      <c r="M1095" s="249"/>
      <c r="N1095" s="250"/>
      <c r="O1095" s="250"/>
      <c r="P1095" s="250"/>
      <c r="Q1095" s="250"/>
      <c r="R1095" s="250"/>
      <c r="S1095" s="266">
        <f t="shared" si="19"/>
        <v>0.6020599913279624</v>
      </c>
    </row>
    <row r="1096" spans="1:19">
      <c r="A1096" s="243"/>
      <c r="B1096" s="244"/>
      <c r="C1096" s="311">
        <v>6</v>
      </c>
      <c r="D1096" s="244">
        <v>5</v>
      </c>
      <c r="E1096" s="244">
        <v>1</v>
      </c>
      <c r="F1096" s="244">
        <v>0</v>
      </c>
      <c r="G1096" s="244">
        <v>2</v>
      </c>
      <c r="H1096" s="244">
        <v>2</v>
      </c>
      <c r="I1096" s="244">
        <v>1</v>
      </c>
      <c r="J1096" s="244">
        <v>0</v>
      </c>
      <c r="K1096" s="276">
        <v>4</v>
      </c>
      <c r="L1096" s="277">
        <v>30</v>
      </c>
      <c r="M1096" s="249"/>
      <c r="N1096" s="250"/>
      <c r="O1096" s="250"/>
      <c r="P1096" s="250"/>
      <c r="Q1096" s="250"/>
      <c r="R1096" s="250"/>
      <c r="S1096" s="266">
        <f t="shared" si="19"/>
        <v>0.6020599913279624</v>
      </c>
    </row>
    <row r="1097" spans="1:19">
      <c r="A1097" s="243"/>
      <c r="B1097" s="244"/>
      <c r="C1097" s="311">
        <v>6</v>
      </c>
      <c r="D1097" s="244">
        <v>5</v>
      </c>
      <c r="E1097" s="244">
        <v>1</v>
      </c>
      <c r="F1097" s="244">
        <v>0</v>
      </c>
      <c r="G1097" s="244">
        <v>2</v>
      </c>
      <c r="H1097" s="244">
        <v>2</v>
      </c>
      <c r="I1097" s="244">
        <v>1</v>
      </c>
      <c r="J1097" s="244">
        <v>0</v>
      </c>
      <c r="K1097" s="276">
        <v>4</v>
      </c>
      <c r="L1097" s="277">
        <v>28.918199999999999</v>
      </c>
      <c r="M1097" s="249"/>
      <c r="N1097" s="250"/>
      <c r="O1097" s="250"/>
      <c r="P1097" s="250"/>
      <c r="Q1097" s="250"/>
      <c r="R1097" s="250"/>
      <c r="S1097" s="266">
        <f t="shared" si="19"/>
        <v>0.6020599913279624</v>
      </c>
    </row>
    <row r="1098" spans="1:19">
      <c r="A1098" s="243"/>
      <c r="B1098" s="244"/>
      <c r="C1098" s="311">
        <v>6</v>
      </c>
      <c r="D1098" s="244">
        <v>6</v>
      </c>
      <c r="E1098" s="244">
        <v>0</v>
      </c>
      <c r="F1098" s="244">
        <v>0</v>
      </c>
      <c r="G1098" s="244">
        <v>2</v>
      </c>
      <c r="H1098" s="244">
        <v>2</v>
      </c>
      <c r="I1098" s="244">
        <v>1</v>
      </c>
      <c r="J1098" s="244">
        <v>0</v>
      </c>
      <c r="K1098" s="276">
        <v>4</v>
      </c>
      <c r="L1098" s="277">
        <v>26.813700000000001</v>
      </c>
      <c r="M1098" s="249"/>
      <c r="N1098" s="250"/>
      <c r="O1098" s="250"/>
      <c r="P1098" s="250"/>
      <c r="Q1098" s="250"/>
      <c r="R1098" s="250"/>
      <c r="S1098" s="266">
        <f t="shared" si="19"/>
        <v>0.6020599913279624</v>
      </c>
    </row>
    <row r="1099" spans="1:19">
      <c r="A1099" s="243"/>
      <c r="B1099" s="244"/>
      <c r="C1099" s="311">
        <v>6</v>
      </c>
      <c r="D1099" s="244">
        <v>5</v>
      </c>
      <c r="E1099" s="244">
        <v>1</v>
      </c>
      <c r="F1099" s="244">
        <v>0</v>
      </c>
      <c r="G1099" s="244">
        <v>2</v>
      </c>
      <c r="H1099" s="244">
        <v>2</v>
      </c>
      <c r="I1099" s="244">
        <v>1</v>
      </c>
      <c r="J1099" s="244">
        <v>0</v>
      </c>
      <c r="K1099" s="276">
        <v>3.5</v>
      </c>
      <c r="L1099" s="277">
        <v>31.3</v>
      </c>
      <c r="M1099" s="249"/>
      <c r="N1099" s="250"/>
      <c r="O1099" s="250"/>
      <c r="P1099" s="250"/>
      <c r="Q1099" s="250"/>
      <c r="R1099" s="250"/>
      <c r="S1099" s="266">
        <f t="shared" ref="S1099:S1117" si="20">LOG10(K1099)</f>
        <v>0.54406804435027567</v>
      </c>
    </row>
    <row r="1100" spans="1:19">
      <c r="A1100" s="243"/>
      <c r="B1100" s="244"/>
      <c r="C1100" s="311">
        <v>6</v>
      </c>
      <c r="D1100" s="244">
        <v>1</v>
      </c>
      <c r="E1100" s="244">
        <v>0</v>
      </c>
      <c r="F1100" s="244">
        <v>0</v>
      </c>
      <c r="G1100" s="244">
        <v>2</v>
      </c>
      <c r="H1100" s="244">
        <v>2</v>
      </c>
      <c r="I1100" s="244">
        <v>1</v>
      </c>
      <c r="J1100" s="244">
        <v>0</v>
      </c>
      <c r="K1100" s="276">
        <v>3.3</v>
      </c>
      <c r="L1100" s="277">
        <v>34.998899999999999</v>
      </c>
      <c r="M1100" s="249"/>
      <c r="N1100" s="250"/>
      <c r="O1100" s="250"/>
      <c r="P1100" s="250"/>
      <c r="Q1100" s="250"/>
      <c r="R1100" s="250"/>
      <c r="S1100" s="266">
        <f t="shared" si="20"/>
        <v>0.51851393987788741</v>
      </c>
    </row>
    <row r="1101" spans="1:19">
      <c r="A1101" s="243"/>
      <c r="B1101" s="244"/>
      <c r="C1101" s="311">
        <v>8</v>
      </c>
      <c r="D1101" s="244">
        <v>6</v>
      </c>
      <c r="E1101" s="244">
        <v>1</v>
      </c>
      <c r="F1101" s="244">
        <v>0</v>
      </c>
      <c r="G1101" s="244">
        <v>2</v>
      </c>
      <c r="H1101" s="244">
        <v>2</v>
      </c>
      <c r="I1101" s="244">
        <v>1</v>
      </c>
      <c r="J1101" s="244">
        <v>0</v>
      </c>
      <c r="K1101" s="276">
        <v>5.7</v>
      </c>
      <c r="L1101" s="277">
        <v>24.749099999999999</v>
      </c>
      <c r="M1101" s="249"/>
      <c r="N1101" s="250"/>
      <c r="O1101" s="250"/>
      <c r="P1101" s="250"/>
      <c r="Q1101" s="250"/>
      <c r="R1101" s="250"/>
      <c r="S1101" s="266">
        <f t="shared" si="20"/>
        <v>0.75587485567249146</v>
      </c>
    </row>
    <row r="1102" spans="1:19">
      <c r="A1102" s="243"/>
      <c r="B1102" s="244"/>
      <c r="C1102" s="311">
        <v>4</v>
      </c>
      <c r="D1102" s="244">
        <v>4</v>
      </c>
      <c r="E1102" s="244">
        <v>1</v>
      </c>
      <c r="F1102" s="244">
        <v>0</v>
      </c>
      <c r="G1102" s="244">
        <v>2</v>
      </c>
      <c r="H1102" s="244">
        <v>2</v>
      </c>
      <c r="I1102" s="244">
        <v>1</v>
      </c>
      <c r="J1102" s="244">
        <v>0</v>
      </c>
      <c r="K1102" s="276">
        <v>2.5</v>
      </c>
      <c r="L1102" s="277">
        <v>38.377800000000001</v>
      </c>
      <c r="M1102" s="249"/>
      <c r="N1102" s="250"/>
      <c r="O1102" s="250"/>
      <c r="P1102" s="250"/>
      <c r="Q1102" s="250"/>
      <c r="R1102" s="250"/>
      <c r="S1102" s="266">
        <f t="shared" si="20"/>
        <v>0.3979400086720376</v>
      </c>
    </row>
    <row r="1103" spans="1:19">
      <c r="A1103" s="243"/>
      <c r="B1103" s="244"/>
      <c r="C1103" s="311">
        <v>6</v>
      </c>
      <c r="D1103" s="244">
        <v>5</v>
      </c>
      <c r="E1103" s="244">
        <v>1</v>
      </c>
      <c r="F1103" s="244">
        <v>0</v>
      </c>
      <c r="G1103" s="244">
        <v>2</v>
      </c>
      <c r="H1103" s="244">
        <v>2</v>
      </c>
      <c r="I1103" s="244">
        <v>1</v>
      </c>
      <c r="J1103" s="244">
        <v>0</v>
      </c>
      <c r="K1103" s="276">
        <v>3.5</v>
      </c>
      <c r="L1103" s="277">
        <v>35.749400000000001</v>
      </c>
      <c r="M1103" s="249"/>
      <c r="N1103" s="250"/>
      <c r="O1103" s="250"/>
      <c r="P1103" s="250"/>
      <c r="Q1103" s="250"/>
      <c r="R1103" s="250"/>
      <c r="S1103" s="266">
        <f t="shared" si="20"/>
        <v>0.54406804435027567</v>
      </c>
    </row>
    <row r="1104" spans="1:19">
      <c r="A1104" s="243"/>
      <c r="B1104" s="244"/>
      <c r="C1104" s="311">
        <v>8</v>
      </c>
      <c r="D1104" s="244">
        <v>6</v>
      </c>
      <c r="E1104" s="244">
        <v>1</v>
      </c>
      <c r="F1104" s="244">
        <v>0</v>
      </c>
      <c r="G1104" s="244">
        <v>2</v>
      </c>
      <c r="H1104" s="244">
        <v>2</v>
      </c>
      <c r="I1104" s="244">
        <v>1</v>
      </c>
      <c r="J1104" s="244">
        <v>0</v>
      </c>
      <c r="K1104" s="276">
        <v>4.5999999999999996</v>
      </c>
      <c r="L1104" s="277">
        <v>24.8718</v>
      </c>
      <c r="M1104" s="249"/>
      <c r="N1104" s="250"/>
      <c r="O1104" s="250"/>
      <c r="P1104" s="250"/>
      <c r="Q1104" s="250"/>
      <c r="R1104" s="250"/>
      <c r="S1104" s="266">
        <f t="shared" si="20"/>
        <v>0.66275783168157409</v>
      </c>
    </row>
    <row r="1105" spans="1:19">
      <c r="A1105" s="243"/>
      <c r="B1105" s="244"/>
      <c r="C1105" s="311">
        <v>8</v>
      </c>
      <c r="D1105" s="244">
        <v>6</v>
      </c>
      <c r="E1105" s="244">
        <v>1</v>
      </c>
      <c r="F1105" s="244">
        <v>0</v>
      </c>
      <c r="G1105" s="244">
        <v>2</v>
      </c>
      <c r="H1105" s="244">
        <v>2</v>
      </c>
      <c r="I1105" s="244">
        <v>1</v>
      </c>
      <c r="J1105" s="244">
        <v>0</v>
      </c>
      <c r="K1105" s="276">
        <v>5.7</v>
      </c>
      <c r="L1105" s="277">
        <v>24.5</v>
      </c>
      <c r="M1105" s="249"/>
      <c r="N1105" s="250"/>
      <c r="O1105" s="250"/>
      <c r="P1105" s="250"/>
      <c r="Q1105" s="250"/>
      <c r="R1105" s="250"/>
      <c r="S1105" s="266">
        <f t="shared" si="20"/>
        <v>0.75587485567249146</v>
      </c>
    </row>
    <row r="1106" spans="1:19">
      <c r="A1106" s="243"/>
      <c r="B1106" s="244"/>
      <c r="C1106" s="311">
        <v>8</v>
      </c>
      <c r="D1106" s="244">
        <v>6</v>
      </c>
      <c r="E1106" s="244">
        <v>1</v>
      </c>
      <c r="F1106" s="244">
        <v>0</v>
      </c>
      <c r="G1106" s="244">
        <v>2</v>
      </c>
      <c r="H1106" s="244">
        <v>2</v>
      </c>
      <c r="I1106" s="244">
        <v>1</v>
      </c>
      <c r="J1106" s="244">
        <v>0</v>
      </c>
      <c r="K1106" s="276">
        <v>5.7</v>
      </c>
      <c r="L1106" s="277">
        <v>24.220600000000001</v>
      </c>
      <c r="M1106" s="249"/>
      <c r="N1106" s="250"/>
      <c r="O1106" s="250"/>
      <c r="P1106" s="250"/>
      <c r="Q1106" s="250"/>
      <c r="R1106" s="250"/>
      <c r="S1106" s="266">
        <f t="shared" si="20"/>
        <v>0.75587485567249146</v>
      </c>
    </row>
    <row r="1107" spans="1:19">
      <c r="A1107" s="243"/>
      <c r="B1107" s="244"/>
      <c r="C1107" s="311">
        <v>4</v>
      </c>
      <c r="D1107" s="244">
        <v>6</v>
      </c>
      <c r="E1107" s="244">
        <v>1</v>
      </c>
      <c r="F1107" s="244">
        <v>0</v>
      </c>
      <c r="G1107" s="244">
        <v>2</v>
      </c>
      <c r="H1107" s="244">
        <v>2</v>
      </c>
      <c r="I1107" s="244">
        <v>1</v>
      </c>
      <c r="J1107" s="244">
        <v>0</v>
      </c>
      <c r="K1107" s="276">
        <v>2.7</v>
      </c>
      <c r="L1107" s="277">
        <v>38.700000000000003</v>
      </c>
      <c r="M1107" s="249"/>
      <c r="N1107" s="250"/>
      <c r="O1107" s="250"/>
      <c r="P1107" s="250"/>
      <c r="Q1107" s="250"/>
      <c r="R1107" s="250"/>
      <c r="S1107" s="266">
        <f t="shared" si="20"/>
        <v>0.43136376415898736</v>
      </c>
    </row>
    <row r="1108" spans="1:19">
      <c r="A1108" s="243"/>
      <c r="B1108" s="244"/>
      <c r="C1108" s="311">
        <v>6</v>
      </c>
      <c r="D1108" s="244">
        <v>6</v>
      </c>
      <c r="E1108" s="244">
        <v>1</v>
      </c>
      <c r="F1108" s="244">
        <v>0</v>
      </c>
      <c r="G1108" s="244">
        <v>2</v>
      </c>
      <c r="H1108" s="244">
        <v>2</v>
      </c>
      <c r="I1108" s="244">
        <v>1</v>
      </c>
      <c r="J1108" s="244">
        <v>0</v>
      </c>
      <c r="K1108" s="276">
        <v>3.5</v>
      </c>
      <c r="L1108" s="277">
        <v>35</v>
      </c>
      <c r="M1108" s="249"/>
      <c r="N1108" s="250"/>
      <c r="O1108" s="250"/>
      <c r="P1108" s="250"/>
      <c r="Q1108" s="250"/>
      <c r="R1108" s="250"/>
      <c r="S1108" s="266">
        <f t="shared" si="20"/>
        <v>0.54406804435027567</v>
      </c>
    </row>
    <row r="1109" spans="1:19">
      <c r="A1109" s="243"/>
      <c r="B1109" s="244"/>
      <c r="C1109" s="311">
        <v>4</v>
      </c>
      <c r="D1109" s="244">
        <v>6</v>
      </c>
      <c r="E1109" s="244">
        <v>0</v>
      </c>
      <c r="F1109" s="244">
        <v>0</v>
      </c>
      <c r="G1109" s="244">
        <v>2</v>
      </c>
      <c r="H1109" s="244">
        <v>2</v>
      </c>
      <c r="I1109" s="244">
        <v>1</v>
      </c>
      <c r="J1109" s="244">
        <v>0</v>
      </c>
      <c r="K1109" s="276">
        <v>2</v>
      </c>
      <c r="L1109" s="277">
        <v>33.299999999999997</v>
      </c>
      <c r="M1109" s="249"/>
      <c r="N1109" s="250"/>
      <c r="O1109" s="250"/>
      <c r="P1109" s="250"/>
      <c r="Q1109" s="250"/>
      <c r="R1109" s="250"/>
      <c r="S1109" s="266">
        <f t="shared" si="20"/>
        <v>0.3010299956639812</v>
      </c>
    </row>
    <row r="1110" spans="1:19">
      <c r="A1110" s="243"/>
      <c r="B1110" s="244"/>
      <c r="C1110" s="311">
        <v>6</v>
      </c>
      <c r="D1110" s="244">
        <v>6</v>
      </c>
      <c r="E1110" s="244">
        <v>0</v>
      </c>
      <c r="F1110" s="244">
        <v>0</v>
      </c>
      <c r="G1110" s="244">
        <v>2</v>
      </c>
      <c r="H1110" s="244">
        <v>2</v>
      </c>
      <c r="I1110" s="244">
        <v>0</v>
      </c>
      <c r="J1110" s="244">
        <v>0</v>
      </c>
      <c r="K1110" s="276">
        <v>3</v>
      </c>
      <c r="L1110" s="277">
        <v>34.4</v>
      </c>
      <c r="M1110" s="249"/>
      <c r="N1110" s="250"/>
      <c r="O1110" s="250"/>
      <c r="P1110" s="250"/>
      <c r="Q1110" s="250"/>
      <c r="R1110" s="250"/>
      <c r="S1110" s="266">
        <f t="shared" si="20"/>
        <v>0.47712125471966244</v>
      </c>
    </row>
    <row r="1111" spans="1:19">
      <c r="A1111" s="243"/>
      <c r="B1111" s="244"/>
      <c r="C1111" s="311">
        <v>6</v>
      </c>
      <c r="D1111" s="244">
        <v>6</v>
      </c>
      <c r="E1111" s="244">
        <v>0</v>
      </c>
      <c r="F1111" s="244">
        <v>0</v>
      </c>
      <c r="G1111" s="244">
        <v>2</v>
      </c>
      <c r="H1111" s="244">
        <v>2</v>
      </c>
      <c r="I1111" s="244">
        <v>1</v>
      </c>
      <c r="J1111" s="244">
        <v>0</v>
      </c>
      <c r="K1111" s="276">
        <v>3.6</v>
      </c>
      <c r="L1111" s="277">
        <v>26.1066</v>
      </c>
      <c r="M1111" s="249"/>
      <c r="N1111" s="250"/>
      <c r="O1111" s="250"/>
      <c r="P1111" s="250"/>
      <c r="Q1111" s="250"/>
      <c r="R1111" s="250"/>
      <c r="S1111" s="266">
        <f t="shared" si="20"/>
        <v>0.55630250076728727</v>
      </c>
    </row>
    <row r="1112" spans="1:19">
      <c r="A1112" s="243"/>
      <c r="B1112" s="244"/>
      <c r="C1112" s="311">
        <v>6</v>
      </c>
      <c r="D1112" s="244">
        <v>6</v>
      </c>
      <c r="E1112" s="244">
        <v>1</v>
      </c>
      <c r="F1112" s="244">
        <v>0</v>
      </c>
      <c r="G1112" s="244">
        <v>2</v>
      </c>
      <c r="H1112" s="244">
        <v>2</v>
      </c>
      <c r="I1112" s="244">
        <v>1</v>
      </c>
      <c r="J1112" s="244">
        <v>0</v>
      </c>
      <c r="K1112" s="276">
        <v>3</v>
      </c>
      <c r="L1112" s="277">
        <v>29.789200000000001</v>
      </c>
      <c r="M1112" s="249"/>
      <c r="N1112" s="250"/>
      <c r="O1112" s="250"/>
      <c r="P1112" s="250"/>
      <c r="Q1112" s="250"/>
      <c r="R1112" s="250"/>
      <c r="S1112" s="266">
        <f t="shared" si="20"/>
        <v>0.47712125471966244</v>
      </c>
    </row>
    <row r="1113" spans="1:19">
      <c r="A1113" s="243"/>
      <c r="B1113" s="244"/>
      <c r="C1113" s="311">
        <v>6</v>
      </c>
      <c r="D1113" s="244">
        <v>6</v>
      </c>
      <c r="E1113" s="244">
        <v>1</v>
      </c>
      <c r="F1113" s="244">
        <v>0</v>
      </c>
      <c r="G1113" s="244">
        <v>2</v>
      </c>
      <c r="H1113" s="244">
        <v>2</v>
      </c>
      <c r="I1113" s="244">
        <v>1</v>
      </c>
      <c r="J1113" s="244">
        <v>0</v>
      </c>
      <c r="K1113" s="276">
        <v>3.2</v>
      </c>
      <c r="L1113" s="277">
        <v>30.492599999999999</v>
      </c>
      <c r="M1113" s="249"/>
      <c r="N1113" s="250"/>
      <c r="O1113" s="250"/>
      <c r="P1113" s="250"/>
      <c r="Q1113" s="250"/>
      <c r="R1113" s="250"/>
      <c r="S1113" s="266">
        <f t="shared" si="20"/>
        <v>0.50514997831990605</v>
      </c>
    </row>
    <row r="1114" spans="1:19">
      <c r="A1114" s="243"/>
      <c r="B1114" s="244"/>
      <c r="C1114" s="311">
        <v>6</v>
      </c>
      <c r="D1114" s="244">
        <v>6</v>
      </c>
      <c r="E1114" s="244">
        <v>1</v>
      </c>
      <c r="F1114" s="244">
        <v>0</v>
      </c>
      <c r="G1114" s="244">
        <v>2</v>
      </c>
      <c r="H1114" s="244">
        <v>2</v>
      </c>
      <c r="I1114" s="244">
        <v>1</v>
      </c>
      <c r="J1114" s="244">
        <v>0</v>
      </c>
      <c r="K1114" s="276">
        <v>3</v>
      </c>
      <c r="L1114" s="277">
        <v>29.789200000000001</v>
      </c>
      <c r="M1114" s="249"/>
      <c r="N1114" s="250"/>
      <c r="O1114" s="250"/>
      <c r="P1114" s="250"/>
      <c r="Q1114" s="250"/>
      <c r="R1114" s="250"/>
      <c r="S1114" s="266">
        <f t="shared" si="20"/>
        <v>0.47712125471966244</v>
      </c>
    </row>
    <row r="1115" spans="1:19">
      <c r="A1115" s="243"/>
      <c r="B1115" s="244"/>
      <c r="C1115" s="311">
        <v>6</v>
      </c>
      <c r="D1115" s="244">
        <v>6</v>
      </c>
      <c r="E1115" s="244">
        <v>1</v>
      </c>
      <c r="F1115" s="244">
        <v>0</v>
      </c>
      <c r="G1115" s="244">
        <v>2</v>
      </c>
      <c r="H1115" s="244">
        <v>2</v>
      </c>
      <c r="I1115" s="244">
        <v>1</v>
      </c>
      <c r="J1115" s="244">
        <v>0</v>
      </c>
      <c r="K1115" s="276">
        <v>3.2</v>
      </c>
      <c r="L1115" s="277">
        <v>30.492599999999999</v>
      </c>
      <c r="M1115" s="249"/>
      <c r="N1115" s="250"/>
      <c r="O1115" s="250"/>
      <c r="P1115" s="250"/>
      <c r="Q1115" s="250"/>
      <c r="R1115" s="250"/>
      <c r="S1115" s="266">
        <f t="shared" si="20"/>
        <v>0.50514997831990605</v>
      </c>
    </row>
    <row r="1116" spans="1:19">
      <c r="A1116" s="243"/>
      <c r="B1116" s="244"/>
      <c r="C1116" s="311">
        <v>6</v>
      </c>
      <c r="D1116" s="244">
        <v>6</v>
      </c>
      <c r="E1116" s="244">
        <v>1</v>
      </c>
      <c r="F1116" s="244">
        <v>0</v>
      </c>
      <c r="G1116" s="244">
        <v>2</v>
      </c>
      <c r="H1116" s="244">
        <v>2</v>
      </c>
      <c r="I1116" s="244">
        <v>1</v>
      </c>
      <c r="J1116" s="244">
        <v>0</v>
      </c>
      <c r="K1116" s="276">
        <v>3.2</v>
      </c>
      <c r="L1116" s="277">
        <v>29.743099999999998</v>
      </c>
      <c r="M1116" s="249"/>
      <c r="N1116" s="250"/>
      <c r="O1116" s="250"/>
      <c r="P1116" s="250"/>
      <c r="Q1116" s="250"/>
      <c r="R1116" s="250"/>
      <c r="S1116" s="266">
        <f t="shared" si="20"/>
        <v>0.50514997831990605</v>
      </c>
    </row>
    <row r="1117" spans="1:19" ht="15.75" thickBot="1">
      <c r="A1117" s="243"/>
      <c r="B1117" s="244"/>
      <c r="C1117" s="312">
        <v>8</v>
      </c>
      <c r="D1117" s="286">
        <v>6</v>
      </c>
      <c r="E1117" s="286">
        <v>1</v>
      </c>
      <c r="F1117" s="286">
        <v>0</v>
      </c>
      <c r="G1117" s="286">
        <v>2</v>
      </c>
      <c r="H1117" s="286">
        <v>2</v>
      </c>
      <c r="I1117" s="286">
        <v>1</v>
      </c>
      <c r="J1117" s="286">
        <v>0</v>
      </c>
      <c r="K1117" s="313">
        <v>4.4000000000000004</v>
      </c>
      <c r="L1117" s="321">
        <v>26.2</v>
      </c>
      <c r="M1117" s="249"/>
      <c r="N1117" s="250"/>
      <c r="O1117" s="250"/>
      <c r="P1117" s="250"/>
      <c r="Q1117" s="250"/>
      <c r="R1117" s="250"/>
      <c r="S1117" s="266">
        <f t="shared" si="20"/>
        <v>0.64345267648618742</v>
      </c>
    </row>
    <row r="1118" spans="1:19" ht="15.75" thickBot="1">
      <c r="A1118" s="246"/>
      <c r="B1118" s="247"/>
      <c r="C1118" s="278">
        <f>SUM(C11:C1117)</f>
        <v>6610</v>
      </c>
      <c r="D1118" s="207">
        <f t="shared" ref="D1118:J1118" si="21">SUM(D11:D1117)</f>
        <v>5832</v>
      </c>
      <c r="E1118" s="207">
        <f t="shared" si="21"/>
        <v>753</v>
      </c>
      <c r="F1118" s="207">
        <f t="shared" si="21"/>
        <v>54</v>
      </c>
      <c r="G1118" s="207">
        <f t="shared" si="21"/>
        <v>2061</v>
      </c>
      <c r="H1118" s="207">
        <f t="shared" si="21"/>
        <v>2034</v>
      </c>
      <c r="I1118" s="207">
        <f t="shared" si="21"/>
        <v>911</v>
      </c>
      <c r="J1118" s="207">
        <f t="shared" si="21"/>
        <v>185</v>
      </c>
      <c r="K1118" s="207">
        <f>SUM(K11:K1117)</f>
        <v>3882.7000000000044</v>
      </c>
      <c r="L1118" s="308">
        <f>SUM(L11:L1117)</f>
        <v>38420.083400000003</v>
      </c>
      <c r="M1118" s="259"/>
      <c r="N1118" s="260"/>
      <c r="O1118" s="260"/>
      <c r="P1118" s="260"/>
      <c r="Q1118" s="260"/>
      <c r="R1118" s="260"/>
      <c r="S1118" s="267">
        <f t="shared" ref="S1118" si="22">SUM(S11:S1117)</f>
        <v>570.15736062920007</v>
      </c>
    </row>
  </sheetData>
  <mergeCells count="5">
    <mergeCell ref="M2:S4"/>
    <mergeCell ref="M27:R28"/>
    <mergeCell ref="M10:R11"/>
    <mergeCell ref="A2:F2"/>
    <mergeCell ref="B1:C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Question_4">
                <anchor moveWithCells="1">
                  <from>
                    <xdr:col>0</xdr:col>
                    <xdr:colOff>28575</xdr:colOff>
                    <xdr:row>0</xdr:row>
                    <xdr:rowOff>28575</xdr:rowOff>
                  </from>
                  <to>
                    <xdr:col>0</xdr:col>
                    <xdr:colOff>819150</xdr:colOff>
                    <xdr:row>0</xdr:row>
                    <xdr:rowOff>361950</xdr:rowOff>
                  </to>
                </anchor>
              </controlPr>
            </control>
          </mc:Choice>
        </mc:AlternateContent>
        <mc:AlternateContent xmlns:mc="http://schemas.openxmlformats.org/markup-compatibility/2006">
          <mc:Choice Requires="x14">
            <control shapeId="1026" r:id="rId4" name="Button 2">
              <controlPr defaultSize="0" print="0" autoFill="0" autoPict="0" macro="[0]!GoTo_Q1">
                <anchor moveWithCells="1">
                  <from>
                    <xdr:col>17</xdr:col>
                    <xdr:colOff>419100</xdr:colOff>
                    <xdr:row>0</xdr:row>
                    <xdr:rowOff>28575</xdr:rowOff>
                  </from>
                  <to>
                    <xdr:col>19</xdr:col>
                    <xdr:colOff>9525</xdr:colOff>
                    <xdr:row>0</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1114"/>
  <sheetViews>
    <sheetView showGridLines="0" zoomScaleNormal="100" workbookViewId="0">
      <selection activeCell="A2" sqref="A2:H2"/>
    </sheetView>
  </sheetViews>
  <sheetFormatPr defaultRowHeight="15"/>
  <cols>
    <col min="1" max="1" width="10.140625" customWidth="1"/>
    <col min="2" max="2" width="8.5703125" customWidth="1"/>
    <col min="3" max="3" width="6.42578125" customWidth="1"/>
    <col min="4" max="4" width="6" customWidth="1"/>
    <col min="5" max="5" width="7.28515625" customWidth="1"/>
    <col min="6" max="6" width="7" customWidth="1"/>
    <col min="7" max="7" width="7.28515625" customWidth="1"/>
    <col min="8" max="8" width="18.28515625" customWidth="1"/>
    <col min="9" max="9" width="10.140625" customWidth="1"/>
    <col min="10" max="10" width="32.140625" customWidth="1"/>
    <col min="11" max="11" width="10.85546875" customWidth="1"/>
    <col min="12" max="12" width="17.5703125" customWidth="1"/>
    <col min="13" max="14" width="7.140625" style="62" customWidth="1"/>
    <col min="15" max="15" width="7" style="62" customWidth="1"/>
    <col min="16" max="16" width="12" style="1" customWidth="1"/>
    <col min="17" max="17" width="11" customWidth="1"/>
    <col min="18" max="18" width="15.85546875" style="1" customWidth="1"/>
    <col min="19" max="19" width="20.85546875" style="66" customWidth="1"/>
    <col min="20" max="20" width="26.85546875" style="66" customWidth="1"/>
    <col min="21" max="21" width="37.85546875" style="66" customWidth="1"/>
    <col min="22" max="22" width="68.140625" style="89" customWidth="1"/>
    <col min="23" max="23" width="16.7109375" style="217" customWidth="1"/>
    <col min="24" max="24" width="19.140625" style="217" customWidth="1"/>
    <col min="25" max="25" width="26.85546875" style="118" customWidth="1"/>
    <col min="26" max="26" width="10.42578125" style="1" customWidth="1"/>
    <col min="27" max="27" width="11.85546875" style="1" customWidth="1"/>
    <col min="28" max="28" width="27.140625" style="66" customWidth="1"/>
    <col min="29" max="29" width="10.42578125" style="1" customWidth="1"/>
    <col min="30" max="30" width="11.85546875" style="1" customWidth="1"/>
    <col min="31" max="31" width="39.5703125" style="1" customWidth="1"/>
    <col min="32" max="32" width="16.5703125" customWidth="1"/>
    <col min="33" max="33" width="39.5703125" customWidth="1"/>
    <col min="34" max="34" width="13.28515625" customWidth="1"/>
    <col min="35" max="36" width="8.5703125" customWidth="1"/>
    <col min="37" max="37" width="14" customWidth="1"/>
    <col min="38" max="38" width="13.28515625" bestFit="1" customWidth="1"/>
    <col min="39" max="39" width="12.7109375" bestFit="1" customWidth="1"/>
    <col min="40" max="40" width="12" bestFit="1" customWidth="1"/>
    <col min="41" max="41" width="14" bestFit="1" customWidth="1"/>
  </cols>
  <sheetData>
    <row r="1" spans="1:37" s="287" customFormat="1" ht="30" customHeight="1">
      <c r="A1"/>
      <c r="B1"/>
      <c r="C1"/>
      <c r="D1"/>
      <c r="E1"/>
      <c r="F1"/>
      <c r="G1"/>
      <c r="O1"/>
      <c r="P1"/>
      <c r="Q1"/>
      <c r="R1"/>
      <c r="S1"/>
      <c r="T1"/>
      <c r="U1"/>
      <c r="V1"/>
      <c r="X1" s="350" t="s">
        <v>162</v>
      </c>
      <c r="Y1" s="350"/>
      <c r="Z1" s="350"/>
      <c r="AA1" s="350"/>
      <c r="AB1" s="350"/>
      <c r="AC1" s="350"/>
      <c r="AD1" s="350"/>
      <c r="AE1" s="350"/>
      <c r="AF1" s="350"/>
      <c r="AG1" s="350"/>
      <c r="AH1" s="350"/>
      <c r="AI1"/>
      <c r="AJ1"/>
      <c r="AK1"/>
    </row>
    <row r="2" spans="1:37" s="287" customFormat="1" ht="31.5" customHeight="1">
      <c r="A2" s="288" t="s">
        <v>161</v>
      </c>
      <c r="B2" s="288"/>
      <c r="C2" s="288"/>
      <c r="D2" s="288"/>
      <c r="E2" s="288"/>
      <c r="F2" s="288"/>
      <c r="G2" s="288"/>
      <c r="H2" s="288"/>
      <c r="I2" s="369" t="s">
        <v>10</v>
      </c>
      <c r="J2" s="370"/>
      <c r="K2" s="370"/>
      <c r="L2" s="370"/>
      <c r="M2" s="298"/>
      <c r="N2" s="298"/>
      <c r="O2" s="298"/>
      <c r="P2" s="99" t="s">
        <v>145</v>
      </c>
      <c r="Q2" s="298"/>
      <c r="R2" s="340" t="s">
        <v>160</v>
      </c>
      <c r="S2" s="340"/>
      <c r="T2" s="340"/>
      <c r="U2" s="340"/>
      <c r="V2" s="298"/>
      <c r="W2" s="298"/>
      <c r="X2" s="298"/>
      <c r="Y2" s="99" t="s">
        <v>144</v>
      </c>
      <c r="Z2" s="363" t="s">
        <v>132</v>
      </c>
      <c r="AA2" s="363"/>
      <c r="AB2" s="364"/>
      <c r="AC2" s="297"/>
      <c r="AD2" s="297"/>
      <c r="AE2" s="297"/>
    </row>
    <row r="3" spans="1:37" ht="15.75" thickBot="1">
      <c r="A3" s="82"/>
      <c r="B3" s="75"/>
      <c r="C3" s="75"/>
      <c r="D3" s="355"/>
      <c r="E3" s="356"/>
      <c r="F3" s="95"/>
      <c r="G3" s="95"/>
      <c r="H3" s="95"/>
      <c r="I3" s="95"/>
      <c r="J3" s="329" t="s">
        <v>64</v>
      </c>
      <c r="K3" s="330" t="s">
        <v>70</v>
      </c>
      <c r="L3" s="96"/>
      <c r="M3" s="128"/>
      <c r="N3" s="128"/>
      <c r="O3" s="128"/>
      <c r="P3" s="99" t="s">
        <v>141</v>
      </c>
      <c r="Q3" s="99" t="s">
        <v>140</v>
      </c>
      <c r="R3" s="98" t="s">
        <v>139</v>
      </c>
      <c r="S3" s="99" t="s">
        <v>138</v>
      </c>
      <c r="T3" s="99" t="s">
        <v>142</v>
      </c>
      <c r="U3" s="80"/>
      <c r="V3" s="86"/>
      <c r="W3" s="86"/>
      <c r="X3" s="99"/>
      <c r="Y3" s="99" t="s">
        <v>143</v>
      </c>
      <c r="Z3" s="360" t="s">
        <v>146</v>
      </c>
      <c r="AA3" s="360"/>
      <c r="AB3" s="228" t="s">
        <v>131</v>
      </c>
      <c r="AC3" s="371" t="s">
        <v>74</v>
      </c>
      <c r="AD3" s="371"/>
      <c r="AE3" s="229" t="s">
        <v>45</v>
      </c>
      <c r="AF3" s="230" t="s">
        <v>39</v>
      </c>
      <c r="AG3" s="292" t="s">
        <v>46</v>
      </c>
    </row>
    <row r="4" spans="1:37" s="3" customFormat="1" ht="15.75">
      <c r="A4" s="82" t="s">
        <v>22</v>
      </c>
      <c r="B4" s="75" t="s">
        <v>23</v>
      </c>
      <c r="C4" s="75" t="s">
        <v>40</v>
      </c>
      <c r="D4" s="351" t="s">
        <v>41</v>
      </c>
      <c r="E4" s="352"/>
      <c r="F4" s="357" t="s">
        <v>129</v>
      </c>
      <c r="G4" s="358"/>
      <c r="H4" s="358"/>
      <c r="I4" s="359"/>
      <c r="J4" s="397" t="s">
        <v>171</v>
      </c>
      <c r="K4" s="398" t="s">
        <v>172</v>
      </c>
      <c r="L4" s="223" t="s">
        <v>20</v>
      </c>
      <c r="M4" s="361" t="s">
        <v>89</v>
      </c>
      <c r="N4" s="362"/>
      <c r="O4" s="362"/>
      <c r="P4" s="224" t="s">
        <v>66</v>
      </c>
      <c r="Q4" s="224" t="s">
        <v>65</v>
      </c>
      <c r="R4" s="225" t="s">
        <v>24</v>
      </c>
      <c r="S4" s="224" t="s">
        <v>67</v>
      </c>
      <c r="T4" s="224" t="s">
        <v>34</v>
      </c>
      <c r="U4" s="224" t="s">
        <v>50</v>
      </c>
      <c r="V4" s="224" t="s">
        <v>73</v>
      </c>
      <c r="W4" s="224" t="s">
        <v>133</v>
      </c>
      <c r="X4" s="224" t="s">
        <v>52</v>
      </c>
      <c r="Y4" s="331" t="s">
        <v>54</v>
      </c>
      <c r="Z4" s="353" t="s">
        <v>28</v>
      </c>
      <c r="AA4" s="354"/>
      <c r="AB4" s="331" t="s">
        <v>163</v>
      </c>
      <c r="AC4" s="365" t="s">
        <v>30</v>
      </c>
      <c r="AD4" s="354"/>
      <c r="AE4" s="226" t="s">
        <v>38</v>
      </c>
      <c r="AF4" s="226"/>
      <c r="AG4" s="75"/>
    </row>
    <row r="5" spans="1:37" s="42" customFormat="1" ht="30" customHeight="1" thickBot="1">
      <c r="A5" s="83" t="s">
        <v>0</v>
      </c>
      <c r="B5" s="32" t="s">
        <v>2</v>
      </c>
      <c r="C5" s="77" t="s">
        <v>40</v>
      </c>
      <c r="D5" s="33" t="s">
        <v>13</v>
      </c>
      <c r="E5" s="34" t="s">
        <v>14</v>
      </c>
      <c r="F5" s="34" t="s">
        <v>15</v>
      </c>
      <c r="G5" s="34" t="s">
        <v>16</v>
      </c>
      <c r="H5" s="34" t="s">
        <v>17</v>
      </c>
      <c r="I5" s="34" t="s">
        <v>18</v>
      </c>
      <c r="J5" s="43" t="s">
        <v>130</v>
      </c>
      <c r="K5" s="43" t="s">
        <v>19</v>
      </c>
      <c r="L5" s="35" t="s">
        <v>21</v>
      </c>
      <c r="M5" s="60" t="s">
        <v>90</v>
      </c>
      <c r="N5" s="60" t="s">
        <v>91</v>
      </c>
      <c r="O5" s="60" t="s">
        <v>147</v>
      </c>
      <c r="P5" s="36" t="s">
        <v>26</v>
      </c>
      <c r="Q5" s="36" t="s">
        <v>25</v>
      </c>
      <c r="R5" s="37" t="s">
        <v>27</v>
      </c>
      <c r="S5" s="87" t="s">
        <v>42</v>
      </c>
      <c r="T5" s="36" t="s">
        <v>43</v>
      </c>
      <c r="U5" s="90" t="s">
        <v>71</v>
      </c>
      <c r="V5" s="91" t="s">
        <v>72</v>
      </c>
      <c r="W5" s="239" t="s">
        <v>136</v>
      </c>
      <c r="X5" s="239" t="s">
        <v>134</v>
      </c>
      <c r="Y5" s="290" t="s">
        <v>135</v>
      </c>
      <c r="Z5" s="38" t="s">
        <v>32</v>
      </c>
      <c r="AA5" s="39" t="s">
        <v>29</v>
      </c>
      <c r="AB5" s="291" t="s">
        <v>48</v>
      </c>
      <c r="AC5" s="40" t="s">
        <v>33</v>
      </c>
      <c r="AD5" s="41" t="s">
        <v>31</v>
      </c>
      <c r="AE5" s="60" t="s">
        <v>47</v>
      </c>
      <c r="AF5" s="61" t="s">
        <v>39</v>
      </c>
      <c r="AG5" s="293" t="s">
        <v>44</v>
      </c>
    </row>
    <row r="6" spans="1:37" s="3" customFormat="1" ht="15.75" thickBot="1">
      <c r="A6" s="84">
        <f>'Q.1 &amp; 4'!K11</f>
        <v>4.7</v>
      </c>
      <c r="B6" s="141">
        <f>'Q.1 &amp; 4'!L11</f>
        <v>28.0198</v>
      </c>
      <c r="C6" s="236">
        <f>COUNT($B$6:$B$1112)</f>
        <v>1107</v>
      </c>
      <c r="D6" s="45">
        <f>AVERAGE(A6:A1112)</f>
        <v>3.5074074074074115</v>
      </c>
      <c r="E6" s="46">
        <f>AVERAGE(B6:B1112)</f>
        <v>34.706489069557364</v>
      </c>
      <c r="F6" s="233">
        <f t="shared" ref="F6:F69" si="0">A6-$D$6</f>
        <v>1.1925925925925887</v>
      </c>
      <c r="G6" s="233">
        <f>B6-$E$6</f>
        <v>-6.6866890695573638</v>
      </c>
      <c r="H6" s="233">
        <f>F6*G6</f>
        <v>-7.9744958533239405</v>
      </c>
      <c r="I6" s="233">
        <f>F6^2</f>
        <v>1.422277091906712</v>
      </c>
      <c r="J6" s="76">
        <f>H1113 / I1113</f>
        <v>-4.5209292791740516</v>
      </c>
      <c r="K6" s="76">
        <f>E6-(J6*D6)</f>
        <v>50.563229911697483</v>
      </c>
      <c r="L6" s="234">
        <f>$K$6+$J$6*A6</f>
        <v>29.314862299579438</v>
      </c>
      <c r="M6" s="237">
        <f>CORREL(A6:A1112, P6:P1112)</f>
        <v>8.2463959039838422E-15</v>
      </c>
      <c r="N6" s="129">
        <f>CORREL(B6:B1112, P6:P1112)</f>
        <v>0.6164502925626123</v>
      </c>
      <c r="O6" s="237">
        <f>CORREL(P6:P1111,P7:P1112)</f>
        <v>0.5539240298629331</v>
      </c>
      <c r="P6" s="51">
        <f t="shared" ref="P6:P69" si="1">B6-L6</f>
        <v>-1.2950622995794383</v>
      </c>
      <c r="Q6" s="51">
        <f>P6^2</f>
        <v>1.6771863597919827</v>
      </c>
      <c r="R6" s="124">
        <f>Q1113</f>
        <v>23629.030498768669</v>
      </c>
      <c r="S6" s="124">
        <f>R6/(C6 - 2)</f>
        <v>21.383738007935445</v>
      </c>
      <c r="T6" s="125">
        <f>SQRT(R6/(C6-2))</f>
        <v>4.624255400379119</v>
      </c>
      <c r="U6" s="125">
        <f>T6 / SQRT(I1113)</f>
        <v>0.10647622185158451</v>
      </c>
      <c r="V6" s="238">
        <f>T6 * SQRT((1/$C$6)+($D$6^2)/$I$1113)</f>
        <v>0.39847940842903673</v>
      </c>
      <c r="W6" s="240">
        <f>ABS(P6)</f>
        <v>1.2950622995794383</v>
      </c>
      <c r="X6" s="240">
        <f>W6/B6</f>
        <v>4.6219541166583569E-2</v>
      </c>
      <c r="Y6" s="404">
        <f>AVERAGE(X6:X1112) * 100</f>
        <v>10.393846454859345</v>
      </c>
      <c r="Z6" s="52">
        <f t="shared" ref="Z6:Z37" si="2">(L6-$E$6)^2</f>
        <v>29.069639226742598</v>
      </c>
      <c r="AA6" s="53">
        <f>Z1113</f>
        <v>38550.834786589767</v>
      </c>
      <c r="AB6" s="405">
        <f>AA6/AD6</f>
        <v>0.61998903679947071</v>
      </c>
      <c r="AC6" s="54">
        <f>(B6-$E$6)^2</f>
        <v>44.711810712937925</v>
      </c>
      <c r="AD6" s="55">
        <f>AC1113</f>
        <v>62179.8652853577</v>
      </c>
      <c r="AE6" s="231">
        <f>AA6 / S6</f>
        <v>1802.8108449646952</v>
      </c>
      <c r="AF6" s="232">
        <f>FDIST(INDEX(LINEST($B$6:$B$1112,$A$6:$A$1112,1,1),4,1),1,INDEX(LINEST($B$6:$B$1112,$A$6:$A$1112,1,1),4,2))</f>
        <v>2.094537679633214E-234</v>
      </c>
      <c r="AG6" s="294">
        <f>_xlfn.F.DIST.RT(AE6,1,C6-2)</f>
        <v>2.0945376796205864E-234</v>
      </c>
    </row>
    <row r="7" spans="1:37">
      <c r="A7" s="84">
        <f>'Q.1 &amp; 4'!K12</f>
        <v>4.7</v>
      </c>
      <c r="B7" s="141">
        <f>'Q.1 &amp; 4'!L12</f>
        <v>25.609400000000001</v>
      </c>
      <c r="C7" s="221"/>
      <c r="D7" s="23"/>
      <c r="E7" s="24"/>
      <c r="F7" s="22">
        <f t="shared" si="0"/>
        <v>1.1925925925925887</v>
      </c>
      <c r="G7" s="22">
        <f t="shared" ref="G7:G69" si="3">B7-$E$6</f>
        <v>-9.097089069557363</v>
      </c>
      <c r="H7" s="22">
        <f t="shared" ref="H7:H70" si="4">F7*G7</f>
        <v>-10.849121038509116</v>
      </c>
      <c r="I7" s="22">
        <f t="shared" ref="I7:I70" si="5">F7^2</f>
        <v>1.422277091906712</v>
      </c>
      <c r="J7" s="399">
        <f>SLOPE(B6:B1112,A6:A1112)</f>
        <v>-4.5209292791740516</v>
      </c>
      <c r="K7" s="399">
        <f>INTERCEPT(B6:B1112,A6:A1112)</f>
        <v>50.563229911697483</v>
      </c>
      <c r="L7" s="235">
        <f t="shared" ref="L7:L69" si="6">$K$6+$J$6*A7</f>
        <v>29.314862299579438</v>
      </c>
      <c r="N7" s="126"/>
      <c r="O7" s="126"/>
      <c r="P7" s="10">
        <f t="shared" si="1"/>
        <v>-3.7054622995794375</v>
      </c>
      <c r="Q7" s="10">
        <f t="shared" ref="Q7:Q70" si="7">P7^2</f>
        <v>13.730450853604534</v>
      </c>
      <c r="S7" s="100"/>
      <c r="T7" s="100">
        <f>SQRT(S6)</f>
        <v>4.624255400379119</v>
      </c>
      <c r="W7" s="240">
        <f t="shared" ref="W7:W70" si="8">ABS(P7)</f>
        <v>3.7054622995794375</v>
      </c>
      <c r="X7" s="240">
        <f t="shared" ref="X7:X70" si="9">W7/B7</f>
        <v>0.1446914921700406</v>
      </c>
      <c r="Y7"/>
      <c r="Z7" s="13">
        <f t="shared" si="2"/>
        <v>29.069639226742598</v>
      </c>
      <c r="AC7" s="15">
        <f t="shared" ref="AC7:AC69" si="10">(B7-$E$6)^2</f>
        <v>82.757029539460049</v>
      </c>
      <c r="AD7" s="2"/>
      <c r="AF7" s="1"/>
      <c r="AG7" s="1"/>
      <c r="AH7" s="366" t="s">
        <v>81</v>
      </c>
      <c r="AI7" s="367"/>
      <c r="AJ7" s="367"/>
      <c r="AK7" s="368"/>
    </row>
    <row r="8" spans="1:37" ht="18.75" thickBot="1">
      <c r="A8" s="84">
        <f>'Q.1 &amp; 4'!K13</f>
        <v>4.2</v>
      </c>
      <c r="B8" s="141">
        <f>'Q.1 &amp; 4'!L13</f>
        <v>26.8</v>
      </c>
      <c r="C8" s="221"/>
      <c r="D8" s="23"/>
      <c r="E8" s="24"/>
      <c r="F8" s="22">
        <f t="shared" si="0"/>
        <v>0.69259259259258865</v>
      </c>
      <c r="G8" s="22">
        <f t="shared" si="3"/>
        <v>-7.9064890695573631</v>
      </c>
      <c r="H8" s="22">
        <f t="shared" si="4"/>
        <v>-5.4759757629896981</v>
      </c>
      <c r="I8" s="22">
        <f t="shared" si="5"/>
        <v>0.47968449931412349</v>
      </c>
      <c r="J8" s="24"/>
      <c r="K8" s="24"/>
      <c r="L8" s="235">
        <f t="shared" si="6"/>
        <v>31.575326939166466</v>
      </c>
      <c r="M8" s="126"/>
      <c r="N8" s="126"/>
      <c r="O8" s="126"/>
      <c r="P8" s="10">
        <f t="shared" si="1"/>
        <v>-4.7753269391664652</v>
      </c>
      <c r="Q8" s="10">
        <f t="shared" si="7"/>
        <v>22.80374737592896</v>
      </c>
      <c r="R8"/>
      <c r="S8"/>
      <c r="T8"/>
      <c r="U8"/>
      <c r="V8" s="217" t="s">
        <v>85</v>
      </c>
      <c r="W8" s="240">
        <f t="shared" si="8"/>
        <v>4.7753269391664652</v>
      </c>
      <c r="X8" s="240">
        <f t="shared" si="9"/>
        <v>0.17818384101367407</v>
      </c>
      <c r="Y8" s="217" t="s">
        <v>85</v>
      </c>
      <c r="Z8" s="13">
        <f t="shared" si="2"/>
        <v>9.8041762867940658</v>
      </c>
      <c r="AA8" s="2"/>
      <c r="AB8" s="68"/>
      <c r="AC8" s="15">
        <f t="shared" si="10"/>
        <v>62.512569407030057</v>
      </c>
      <c r="AE8"/>
      <c r="AF8" s="31"/>
      <c r="AH8" s="112" t="s">
        <v>55</v>
      </c>
      <c r="AI8" s="110">
        <f t="array" ref="AI8:AJ12">LINEST(B6:B1112,A6:A1112,,TRUE)</f>
        <v>-4.5209292791740436</v>
      </c>
      <c r="AJ8" s="106">
        <v>50.563229911697455</v>
      </c>
      <c r="AK8" s="114" t="s">
        <v>55</v>
      </c>
    </row>
    <row r="9" spans="1:37">
      <c r="A9" s="84">
        <f>'Q.1 &amp; 4'!K14</f>
        <v>4.2</v>
      </c>
      <c r="B9" s="141">
        <f>'Q.1 &amp; 4'!L14</f>
        <v>25.045100000000001</v>
      </c>
      <c r="C9" s="221"/>
      <c r="D9" s="23"/>
      <c r="E9" s="24"/>
      <c r="F9" s="22">
        <f t="shared" si="0"/>
        <v>0.69259259259258865</v>
      </c>
      <c r="G9" s="22">
        <f t="shared" si="3"/>
        <v>-9.6613890695573623</v>
      </c>
      <c r="H9" s="22">
        <f t="shared" si="4"/>
        <v>-6.6914065037304313</v>
      </c>
      <c r="I9" s="22">
        <f t="shared" si="5"/>
        <v>0.47968449931412349</v>
      </c>
      <c r="J9" s="24"/>
      <c r="K9" s="24"/>
      <c r="L9" s="235">
        <f t="shared" si="6"/>
        <v>31.575326939166466</v>
      </c>
      <c r="M9" s="126"/>
      <c r="N9" s="126"/>
      <c r="O9" s="126"/>
      <c r="P9" s="10">
        <f t="shared" si="1"/>
        <v>-6.5302269391664645</v>
      </c>
      <c r="Q9" s="10">
        <f t="shared" si="7"/>
        <v>42.643863877015413</v>
      </c>
      <c r="R9" s="400" t="s">
        <v>152</v>
      </c>
      <c r="S9" s="295"/>
      <c r="T9" s="295"/>
      <c r="U9" s="296"/>
      <c r="V9" s="218"/>
      <c r="W9" s="240">
        <f t="shared" si="8"/>
        <v>6.5302269391664645</v>
      </c>
      <c r="X9" s="240">
        <f t="shared" si="9"/>
        <v>0.26073870494294149</v>
      </c>
      <c r="Y9" s="218"/>
      <c r="Z9" s="13">
        <f t="shared" si="2"/>
        <v>9.8041762867940658</v>
      </c>
      <c r="AA9" s="2"/>
      <c r="AB9" s="68"/>
      <c r="AC9" s="15">
        <f t="shared" si="10"/>
        <v>93.342438753362472</v>
      </c>
      <c r="AD9"/>
      <c r="AE9"/>
      <c r="AF9" s="1"/>
      <c r="AH9" s="112" t="s">
        <v>56</v>
      </c>
      <c r="AI9" s="109">
        <v>0.10647622185158423</v>
      </c>
      <c r="AJ9" s="105">
        <v>0.39847940842903534</v>
      </c>
      <c r="AK9" s="114" t="s">
        <v>57</v>
      </c>
    </row>
    <row r="10" spans="1:37" ht="18">
      <c r="A10" s="84">
        <f>'Q.1 &amp; 4'!K15</f>
        <v>5.2</v>
      </c>
      <c r="B10" s="141">
        <f>'Q.1 &amp; 4'!L15</f>
        <v>24.8</v>
      </c>
      <c r="C10" s="221"/>
      <c r="D10" s="23"/>
      <c r="E10" s="24"/>
      <c r="F10" s="22">
        <f t="shared" si="0"/>
        <v>1.6925925925925887</v>
      </c>
      <c r="G10" s="22">
        <f t="shared" si="3"/>
        <v>-9.9064890695573631</v>
      </c>
      <c r="H10" s="22">
        <f t="shared" si="4"/>
        <v>-16.767650017732237</v>
      </c>
      <c r="I10" s="22">
        <f t="shared" si="5"/>
        <v>2.8648696844993009</v>
      </c>
      <c r="J10" s="227"/>
      <c r="K10" s="24"/>
      <c r="L10" s="235">
        <f t="shared" si="6"/>
        <v>27.054397659992414</v>
      </c>
      <c r="M10" s="126"/>
      <c r="N10" s="126"/>
      <c r="O10" s="126"/>
      <c r="P10" s="10">
        <f t="shared" si="1"/>
        <v>-2.2543976599924136</v>
      </c>
      <c r="Q10" s="10">
        <f t="shared" si="7"/>
        <v>5.0823088093792697</v>
      </c>
      <c r="R10" s="401" t="s">
        <v>153</v>
      </c>
      <c r="S10" s="402"/>
      <c r="T10" s="402"/>
      <c r="U10" s="403"/>
      <c r="V10" s="217" t="s">
        <v>65</v>
      </c>
      <c r="W10" s="240">
        <f t="shared" si="8"/>
        <v>2.2543976599924136</v>
      </c>
      <c r="X10" s="240">
        <f t="shared" si="9"/>
        <v>9.0903131451307004E-2</v>
      </c>
      <c r="Y10" s="217" t="s">
        <v>137</v>
      </c>
      <c r="Z10" s="13">
        <f t="shared" si="2"/>
        <v>58.554502940337699</v>
      </c>
      <c r="AA10" s="2"/>
      <c r="AB10" s="68"/>
      <c r="AC10" s="15">
        <f t="shared" si="10"/>
        <v>98.138525685259509</v>
      </c>
      <c r="AD10"/>
      <c r="AE10"/>
      <c r="AH10" s="112" t="s">
        <v>58</v>
      </c>
      <c r="AI10" s="110">
        <v>0.61998903679945927</v>
      </c>
      <c r="AJ10" s="106">
        <v>4.6242554003791172</v>
      </c>
      <c r="AK10" s="114" t="s">
        <v>59</v>
      </c>
    </row>
    <row r="11" spans="1:37">
      <c r="A11" s="84">
        <f>'Q.1 &amp; 4'!K16</f>
        <v>5.2</v>
      </c>
      <c r="B11" s="141">
        <f>'Q.1 &amp; 4'!L16</f>
        <v>23.9</v>
      </c>
      <c r="C11" s="221"/>
      <c r="D11" s="23"/>
      <c r="E11" s="24"/>
      <c r="F11" s="22">
        <f t="shared" si="0"/>
        <v>1.6925925925925887</v>
      </c>
      <c r="G11" s="22">
        <f t="shared" si="3"/>
        <v>-10.806489069557365</v>
      </c>
      <c r="H11" s="22">
        <f t="shared" si="4"/>
        <v>-18.29098335106557</v>
      </c>
      <c r="I11" s="22">
        <f t="shared" si="5"/>
        <v>2.8648696844993009</v>
      </c>
      <c r="J11" s="24"/>
      <c r="K11" s="24"/>
      <c r="L11" s="235">
        <f t="shared" si="6"/>
        <v>27.054397659992414</v>
      </c>
      <c r="M11" s="126"/>
      <c r="N11" s="126"/>
      <c r="O11" s="126"/>
      <c r="P11" s="10">
        <f t="shared" si="1"/>
        <v>-3.1543976599924157</v>
      </c>
      <c r="Q11" s="10">
        <f t="shared" si="7"/>
        <v>9.9502245973656276</v>
      </c>
      <c r="R11" s="401"/>
      <c r="S11" s="402"/>
      <c r="T11" s="402"/>
      <c r="U11" s="403"/>
      <c r="V11" s="218"/>
      <c r="W11" s="240">
        <f t="shared" si="8"/>
        <v>3.1543976599924157</v>
      </c>
      <c r="X11" s="240">
        <f t="shared" si="9"/>
        <v>0.13198316569005925</v>
      </c>
      <c r="Y11" s="217"/>
      <c r="Z11" s="13">
        <f t="shared" si="2"/>
        <v>58.554502940337699</v>
      </c>
      <c r="AA11" s="2"/>
      <c r="AB11" s="68"/>
      <c r="AC11" s="15">
        <f t="shared" si="10"/>
        <v>116.78020601046281</v>
      </c>
      <c r="AD11"/>
      <c r="AE11"/>
      <c r="AH11" s="112" t="s">
        <v>60</v>
      </c>
      <c r="AI11" s="110">
        <v>1802.8108449646629</v>
      </c>
      <c r="AJ11" s="108">
        <v>1105</v>
      </c>
      <c r="AK11" s="115" t="s">
        <v>37</v>
      </c>
    </row>
    <row r="12" spans="1:37" ht="15.75" customHeight="1" thickBot="1">
      <c r="A12" s="84">
        <f>'Q.1 &amp; 4'!K17</f>
        <v>2</v>
      </c>
      <c r="B12" s="141">
        <f>'Q.1 &amp; 4'!L17</f>
        <v>39.7256</v>
      </c>
      <c r="C12" s="221"/>
      <c r="D12" s="23"/>
      <c r="E12" s="24"/>
      <c r="F12" s="22">
        <f t="shared" si="0"/>
        <v>-1.5074074074074115</v>
      </c>
      <c r="G12" s="22">
        <f t="shared" si="3"/>
        <v>5.0191109304426362</v>
      </c>
      <c r="H12" s="22">
        <f t="shared" si="4"/>
        <v>-7.5658449951487352</v>
      </c>
      <c r="I12" s="22">
        <f t="shared" si="5"/>
        <v>2.2722770919067341</v>
      </c>
      <c r="J12" s="119"/>
      <c r="K12" s="24"/>
      <c r="L12" s="235">
        <f t="shared" si="6"/>
        <v>41.52137135334938</v>
      </c>
      <c r="M12" s="126"/>
      <c r="N12" s="126"/>
      <c r="O12" s="126"/>
      <c r="P12" s="10">
        <f t="shared" si="1"/>
        <v>-1.7957713533493802</v>
      </c>
      <c r="Q12" s="10">
        <f t="shared" si="7"/>
        <v>3.2247947535102646</v>
      </c>
      <c r="R12" s="283"/>
      <c r="S12" s="284"/>
      <c r="T12" s="284"/>
      <c r="U12" s="285"/>
      <c r="V12" s="219" t="s">
        <v>24</v>
      </c>
      <c r="W12" s="240">
        <f t="shared" si="8"/>
        <v>1.7957713533493802</v>
      </c>
      <c r="X12" s="240">
        <f t="shared" si="9"/>
        <v>4.5204385921153618E-2</v>
      </c>
      <c r="Y12" s="217" t="s">
        <v>84</v>
      </c>
      <c r="Z12" s="13">
        <f t="shared" si="2"/>
        <v>46.44262054194229</v>
      </c>
      <c r="AA12" s="2"/>
      <c r="AB12" s="68"/>
      <c r="AC12" s="15">
        <f t="shared" si="10"/>
        <v>25.191474532088744</v>
      </c>
      <c r="AD12"/>
      <c r="AE12"/>
      <c r="AH12" s="113" t="s">
        <v>61</v>
      </c>
      <c r="AI12" s="111">
        <v>38550.834786589054</v>
      </c>
      <c r="AJ12" s="107">
        <v>23629.03049876865</v>
      </c>
      <c r="AK12" s="116" t="s">
        <v>62</v>
      </c>
    </row>
    <row r="13" spans="1:37">
      <c r="A13" s="84">
        <f>'Q.1 &amp; 4'!K18</f>
        <v>6</v>
      </c>
      <c r="B13" s="141">
        <f>'Q.1 &amp; 4'!L18</f>
        <v>24.4</v>
      </c>
      <c r="C13" s="221"/>
      <c r="D13" s="23"/>
      <c r="E13" s="24"/>
      <c r="F13" s="22">
        <f t="shared" si="0"/>
        <v>2.4925925925925885</v>
      </c>
      <c r="G13" s="22">
        <f t="shared" si="3"/>
        <v>-10.306489069557365</v>
      </c>
      <c r="H13" s="22">
        <f t="shared" si="4"/>
        <v>-25.689878310415168</v>
      </c>
      <c r="I13" s="22">
        <f t="shared" si="5"/>
        <v>6.2130178326474415</v>
      </c>
      <c r="J13" s="24"/>
      <c r="K13" s="24"/>
      <c r="L13" s="235">
        <f t="shared" si="6"/>
        <v>23.437654236653174</v>
      </c>
      <c r="M13" s="126"/>
      <c r="N13" s="126"/>
      <c r="O13" s="126"/>
      <c r="P13" s="10">
        <f t="shared" si="1"/>
        <v>0.96234576334682487</v>
      </c>
      <c r="Q13" s="10">
        <f t="shared" si="7"/>
        <v>0.92610936823158307</v>
      </c>
      <c r="R13" s="283"/>
      <c r="S13" s="284"/>
      <c r="T13" s="284"/>
      <c r="U13" s="285"/>
      <c r="V13" s="218"/>
      <c r="W13" s="240">
        <f t="shared" si="8"/>
        <v>0.96234576334682487</v>
      </c>
      <c r="X13" s="240">
        <f t="shared" si="9"/>
        <v>3.9440400137164953E-2</v>
      </c>
      <c r="Y13" s="217"/>
      <c r="Z13" s="13">
        <f t="shared" si="2"/>
        <v>126.9866384912748</v>
      </c>
      <c r="AA13" s="2"/>
      <c r="AB13" s="68"/>
      <c r="AC13" s="15">
        <f t="shared" si="10"/>
        <v>106.22371694090545</v>
      </c>
      <c r="AD13"/>
      <c r="AE13"/>
    </row>
    <row r="14" spans="1:37" ht="15" customHeight="1">
      <c r="A14" s="84">
        <f>'Q.1 &amp; 4'!K19</f>
        <v>3</v>
      </c>
      <c r="B14" s="141">
        <f>'Q.1 &amp; 4'!L19</f>
        <v>39.710299999999997</v>
      </c>
      <c r="C14" s="221"/>
      <c r="D14" s="23"/>
      <c r="E14" s="24"/>
      <c r="F14" s="22">
        <f t="shared" si="0"/>
        <v>-0.50740740740741153</v>
      </c>
      <c r="G14" s="22">
        <f t="shared" si="3"/>
        <v>5.0038109304426328</v>
      </c>
      <c r="H14" s="22">
        <f t="shared" si="4"/>
        <v>-2.5389707313727641</v>
      </c>
      <c r="I14" s="22">
        <f t="shared" si="5"/>
        <v>0.25746227709191088</v>
      </c>
      <c r="J14" s="24"/>
      <c r="K14" s="24"/>
      <c r="L14" s="235">
        <f t="shared" si="6"/>
        <v>37.000442074175325</v>
      </c>
      <c r="M14" s="126"/>
      <c r="N14" s="126"/>
      <c r="O14" s="126"/>
      <c r="P14" s="10">
        <f t="shared" si="1"/>
        <v>2.7098579258246716</v>
      </c>
      <c r="Q14" s="10">
        <f t="shared" si="7"/>
        <v>7.3433299781547907</v>
      </c>
      <c r="R14" s="243"/>
      <c r="S14" s="244"/>
      <c r="T14" s="244"/>
      <c r="U14" s="245"/>
      <c r="V14" s="219" t="s">
        <v>67</v>
      </c>
      <c r="W14" s="240">
        <f t="shared" si="8"/>
        <v>2.7098579258246716</v>
      </c>
      <c r="X14" s="240">
        <f t="shared" si="9"/>
        <v>6.8240681279785637E-2</v>
      </c>
      <c r="Y14" s="217" t="s">
        <v>54</v>
      </c>
      <c r="Z14" s="13">
        <f t="shared" si="2"/>
        <v>5.2622203873957725</v>
      </c>
      <c r="AA14" s="2"/>
      <c r="AB14" s="68"/>
      <c r="AC14" s="15">
        <f t="shared" si="10"/>
        <v>25.038123827617166</v>
      </c>
      <c r="AD14"/>
      <c r="AE14"/>
    </row>
    <row r="15" spans="1:37">
      <c r="A15" s="84">
        <f>'Q.1 &amp; 4'!K20</f>
        <v>3</v>
      </c>
      <c r="B15" s="141">
        <f>'Q.1 &amp; 4'!L20</f>
        <v>38.7896</v>
      </c>
      <c r="C15" s="221"/>
      <c r="D15" s="23"/>
      <c r="E15" s="24"/>
      <c r="F15" s="22">
        <f t="shared" si="0"/>
        <v>-0.50740740740741153</v>
      </c>
      <c r="G15" s="22">
        <f t="shared" si="3"/>
        <v>4.0831109304426363</v>
      </c>
      <c r="H15" s="22">
        <f t="shared" si="4"/>
        <v>-2.071800731372762</v>
      </c>
      <c r="I15" s="22">
        <f t="shared" si="5"/>
        <v>0.25746227709191088</v>
      </c>
      <c r="J15" s="24"/>
      <c r="K15" s="24"/>
      <c r="L15" s="235">
        <f t="shared" si="6"/>
        <v>37.000442074175325</v>
      </c>
      <c r="M15" s="126"/>
      <c r="N15" s="126"/>
      <c r="O15" s="126"/>
      <c r="P15" s="10">
        <f t="shared" si="1"/>
        <v>1.789157925824675</v>
      </c>
      <c r="Q15" s="10">
        <f t="shared" si="7"/>
        <v>3.2010860835412536</v>
      </c>
      <c r="R15" s="243"/>
      <c r="S15" s="244"/>
      <c r="T15" s="244"/>
      <c r="U15" s="245"/>
      <c r="V15" s="218"/>
      <c r="W15" s="240">
        <f t="shared" si="8"/>
        <v>1.789157925824675</v>
      </c>
      <c r="X15" s="240">
        <f t="shared" si="9"/>
        <v>4.6124680992448361E-2</v>
      </c>
      <c r="Z15" s="13">
        <f t="shared" si="2"/>
        <v>5.2622203873957725</v>
      </c>
      <c r="AA15" s="2"/>
      <c r="AB15" s="68"/>
      <c r="AC15" s="15">
        <f t="shared" si="10"/>
        <v>16.671794870300133</v>
      </c>
      <c r="AD15"/>
      <c r="AE15" s="67"/>
    </row>
    <row r="16" spans="1:37">
      <c r="A16" s="84">
        <f>'Q.1 &amp; 4'!K21</f>
        <v>3</v>
      </c>
      <c r="B16" s="141">
        <f>'Q.1 &amp; 4'!L21</f>
        <v>33.629600000000003</v>
      </c>
      <c r="C16" s="221"/>
      <c r="D16" s="23"/>
      <c r="E16" s="24"/>
      <c r="F16" s="22">
        <f t="shared" si="0"/>
        <v>-0.50740740740741153</v>
      </c>
      <c r="G16" s="22">
        <f t="shared" si="3"/>
        <v>-1.0768890695573603</v>
      </c>
      <c r="H16" s="22">
        <f t="shared" si="4"/>
        <v>0.54642149084947989</v>
      </c>
      <c r="I16" s="22">
        <f t="shared" si="5"/>
        <v>0.25746227709191088</v>
      </c>
      <c r="J16" s="24"/>
      <c r="K16" s="24"/>
      <c r="L16" s="235">
        <f t="shared" si="6"/>
        <v>37.000442074175325</v>
      </c>
      <c r="M16" s="126"/>
      <c r="N16" s="126"/>
      <c r="O16" s="126"/>
      <c r="P16" s="10">
        <f t="shared" si="1"/>
        <v>-3.3708420741753216</v>
      </c>
      <c r="Q16" s="10">
        <f t="shared" si="7"/>
        <v>11.362576289030583</v>
      </c>
      <c r="R16" s="268"/>
      <c r="S16" s="273"/>
      <c r="T16" s="273"/>
      <c r="U16" s="274"/>
      <c r="V16" s="217" t="s">
        <v>79</v>
      </c>
      <c r="W16" s="240">
        <f t="shared" si="8"/>
        <v>3.3708420741753216</v>
      </c>
      <c r="X16" s="240">
        <f t="shared" si="9"/>
        <v>0.10023437906413758</v>
      </c>
      <c r="Z16" s="13">
        <f t="shared" si="2"/>
        <v>5.2622203873957725</v>
      </c>
      <c r="AA16" s="2"/>
      <c r="AB16" s="68"/>
      <c r="AC16" s="15">
        <f t="shared" si="10"/>
        <v>1.1596900681321172</v>
      </c>
      <c r="AD16"/>
      <c r="AE16" s="67"/>
    </row>
    <row r="17" spans="1:31">
      <c r="A17" s="84">
        <f>'Q.1 &amp; 4'!K22</f>
        <v>3</v>
      </c>
      <c r="B17" s="141">
        <f>'Q.1 &amp; 4'!L22</f>
        <v>35.267800000000001</v>
      </c>
      <c r="C17" s="221"/>
      <c r="D17" s="23"/>
      <c r="E17" s="24"/>
      <c r="F17" s="22">
        <f t="shared" si="0"/>
        <v>-0.50740740740741153</v>
      </c>
      <c r="G17" s="22">
        <f t="shared" si="3"/>
        <v>0.56131093044263736</v>
      </c>
      <c r="H17" s="22">
        <f t="shared" si="4"/>
        <v>-0.28481332396534054</v>
      </c>
      <c r="I17" s="22">
        <f t="shared" si="5"/>
        <v>0.25746227709191088</v>
      </c>
      <c r="J17" s="24"/>
      <c r="K17" s="24"/>
      <c r="L17" s="235">
        <f t="shared" si="6"/>
        <v>37.000442074175325</v>
      </c>
      <c r="M17" s="126"/>
      <c r="N17" s="126"/>
      <c r="O17" s="126"/>
      <c r="P17" s="10">
        <f t="shared" si="1"/>
        <v>-1.7326420741753239</v>
      </c>
      <c r="Q17" s="10">
        <f t="shared" si="7"/>
        <v>3.0020485572025688</v>
      </c>
      <c r="R17" s="268"/>
      <c r="S17" s="269"/>
      <c r="T17" s="269"/>
      <c r="U17" s="270"/>
      <c r="V17" s="101"/>
      <c r="W17" s="240">
        <f t="shared" si="8"/>
        <v>1.7326420741753239</v>
      </c>
      <c r="X17" s="240">
        <f t="shared" si="9"/>
        <v>4.912815866527892E-2</v>
      </c>
      <c r="Z17" s="13">
        <f t="shared" si="2"/>
        <v>5.2622203873957725</v>
      </c>
      <c r="AA17" s="2"/>
      <c r="AB17" s="68"/>
      <c r="AC17" s="15">
        <f t="shared" si="10"/>
        <v>0.31506996063437925</v>
      </c>
      <c r="AD17"/>
      <c r="AE17"/>
    </row>
    <row r="18" spans="1:31">
      <c r="A18" s="84">
        <f>'Q.1 &amp; 4'!K23</f>
        <v>8</v>
      </c>
      <c r="B18" s="141">
        <f>'Q.1 &amp; 4'!L23</f>
        <v>17.8</v>
      </c>
      <c r="C18" s="221"/>
      <c r="D18" s="23"/>
      <c r="E18" s="24"/>
      <c r="F18" s="22">
        <f t="shared" si="0"/>
        <v>4.4925925925925885</v>
      </c>
      <c r="G18" s="22">
        <f t="shared" si="3"/>
        <v>-16.906489069557363</v>
      </c>
      <c r="H18" s="22">
        <f t="shared" si="4"/>
        <v>-75.953967560640976</v>
      </c>
      <c r="I18" s="22">
        <f t="shared" si="5"/>
        <v>20.183388203017795</v>
      </c>
      <c r="J18" s="24"/>
      <c r="K18" s="24"/>
      <c r="L18" s="235">
        <f t="shared" si="6"/>
        <v>14.39579567830507</v>
      </c>
      <c r="M18" s="126"/>
      <c r="N18" s="126"/>
      <c r="O18" s="126"/>
      <c r="P18" s="10">
        <f t="shared" si="1"/>
        <v>3.4042043216949303</v>
      </c>
      <c r="Q18" s="10">
        <f t="shared" si="7"/>
        <v>11.588607063846441</v>
      </c>
      <c r="R18" s="268"/>
      <c r="S18" s="269"/>
      <c r="T18" s="244"/>
      <c r="U18" s="245"/>
      <c r="V18" s="242" t="s">
        <v>148</v>
      </c>
      <c r="W18" s="240">
        <f t="shared" si="8"/>
        <v>3.4042043216949303</v>
      </c>
      <c r="X18" s="240">
        <f t="shared" si="9"/>
        <v>0.19124743380308595</v>
      </c>
      <c r="Y18"/>
      <c r="Z18" s="13">
        <f t="shared" si="2"/>
        <v>412.52426603345958</v>
      </c>
      <c r="AA18" s="2"/>
      <c r="AB18" s="68"/>
      <c r="AC18" s="15">
        <f t="shared" si="10"/>
        <v>285.82937265906259</v>
      </c>
      <c r="AD18"/>
      <c r="AE18" s="97"/>
    </row>
    <row r="19" spans="1:31">
      <c r="A19" s="84">
        <f>'Q.1 &amp; 4'!K24</f>
        <v>6.2</v>
      </c>
      <c r="B19" s="141">
        <f>'Q.1 &amp; 4'!L24</f>
        <v>27.1</v>
      </c>
      <c r="C19" s="221"/>
      <c r="D19" s="23"/>
      <c r="E19" s="24"/>
      <c r="F19" s="22">
        <f t="shared" si="0"/>
        <v>2.6925925925925887</v>
      </c>
      <c r="G19" s="22">
        <f t="shared" si="3"/>
        <v>-7.6064890695573624</v>
      </c>
      <c r="H19" s="22">
        <f t="shared" si="4"/>
        <v>-20.481176124326645</v>
      </c>
      <c r="I19" s="22">
        <f t="shared" si="5"/>
        <v>7.2500548696844778</v>
      </c>
      <c r="J19" s="24"/>
      <c r="K19" s="24"/>
      <c r="L19" s="235">
        <f t="shared" si="6"/>
        <v>22.533468380818363</v>
      </c>
      <c r="M19" s="126"/>
      <c r="N19" s="126"/>
      <c r="O19" s="126"/>
      <c r="P19" s="10">
        <f t="shared" si="1"/>
        <v>4.5665316191816387</v>
      </c>
      <c r="Q19" s="10">
        <f t="shared" si="7"/>
        <v>20.85321102898568</v>
      </c>
      <c r="R19" s="268"/>
      <c r="S19" s="269"/>
      <c r="T19" s="269"/>
      <c r="U19" s="270"/>
      <c r="V19" s="101"/>
      <c r="W19" s="240">
        <f t="shared" si="8"/>
        <v>4.5665316191816387</v>
      </c>
      <c r="X19" s="240">
        <f t="shared" si="9"/>
        <v>0.16850670181482061</v>
      </c>
      <c r="Y19"/>
      <c r="Z19" s="13">
        <f t="shared" si="2"/>
        <v>148.18243268846774</v>
      </c>
      <c r="AA19" s="2"/>
      <c r="AB19" s="68"/>
      <c r="AC19" s="15">
        <f t="shared" si="10"/>
        <v>57.858675965295632</v>
      </c>
      <c r="AD19"/>
      <c r="AE19"/>
    </row>
    <row r="20" spans="1:31">
      <c r="A20" s="84">
        <f>'Q.1 &amp; 4'!K25</f>
        <v>6.2</v>
      </c>
      <c r="B20" s="141">
        <f>'Q.1 &amp; 4'!L25</f>
        <v>34.349299999999999</v>
      </c>
      <c r="C20" s="221"/>
      <c r="D20" s="23"/>
      <c r="E20" s="24"/>
      <c r="F20" s="22">
        <f t="shared" si="0"/>
        <v>2.6925925925925887</v>
      </c>
      <c r="G20" s="22">
        <f t="shared" si="3"/>
        <v>-0.35718906955736429</v>
      </c>
      <c r="H20" s="22">
        <f t="shared" si="4"/>
        <v>-0.96176464284519803</v>
      </c>
      <c r="I20" s="22">
        <f t="shared" si="5"/>
        <v>7.2500548696844778</v>
      </c>
      <c r="J20" s="24"/>
      <c r="K20" s="24"/>
      <c r="L20" s="235">
        <f t="shared" si="6"/>
        <v>22.533468380818363</v>
      </c>
      <c r="M20" s="126"/>
      <c r="N20" s="126"/>
      <c r="O20" s="126"/>
      <c r="P20" s="10">
        <f t="shared" si="1"/>
        <v>11.815831619181637</v>
      </c>
      <c r="Q20" s="10">
        <f t="shared" si="7"/>
        <v>139.61387685285254</v>
      </c>
      <c r="R20" s="268"/>
      <c r="S20" s="271"/>
      <c r="T20" s="272"/>
      <c r="U20" s="270"/>
      <c r="V20" s="101"/>
      <c r="W20" s="240">
        <f t="shared" si="8"/>
        <v>11.815831619181637</v>
      </c>
      <c r="X20" s="240">
        <f t="shared" si="9"/>
        <v>0.34399046324616911</v>
      </c>
      <c r="Y20"/>
      <c r="Z20" s="13">
        <f t="shared" si="2"/>
        <v>148.18243268846774</v>
      </c>
      <c r="AA20" s="2"/>
      <c r="AB20" s="68"/>
      <c r="AC20" s="15">
        <f t="shared" si="10"/>
        <v>0.12758403141125563</v>
      </c>
      <c r="AD20"/>
      <c r="AE20"/>
    </row>
    <row r="21" spans="1:31">
      <c r="A21" s="84">
        <f>'Q.1 &amp; 4'!K26</f>
        <v>6.2</v>
      </c>
      <c r="B21" s="141">
        <f>'Q.1 &amp; 4'!L26</f>
        <v>35.799999999999997</v>
      </c>
      <c r="C21" s="221"/>
      <c r="D21" s="23"/>
      <c r="E21" s="24"/>
      <c r="F21" s="22">
        <f t="shared" si="0"/>
        <v>2.6925925925925887</v>
      </c>
      <c r="G21" s="22">
        <f t="shared" si="3"/>
        <v>1.0935109304426334</v>
      </c>
      <c r="H21" s="22">
        <f t="shared" si="4"/>
        <v>2.9443794312288643</v>
      </c>
      <c r="I21" s="22">
        <f t="shared" si="5"/>
        <v>7.2500548696844778</v>
      </c>
      <c r="J21" s="24"/>
      <c r="K21" s="24"/>
      <c r="L21" s="235">
        <f t="shared" si="6"/>
        <v>22.533468380818363</v>
      </c>
      <c r="M21" s="126"/>
      <c r="N21" s="126"/>
      <c r="O21" s="126"/>
      <c r="P21" s="10">
        <f t="shared" si="1"/>
        <v>13.266531619181634</v>
      </c>
      <c r="Q21" s="10">
        <f t="shared" si="7"/>
        <v>176.00086120274608</v>
      </c>
      <c r="R21" s="268"/>
      <c r="S21" s="269"/>
      <c r="T21" s="269"/>
      <c r="U21" s="270"/>
      <c r="V21" s="101"/>
      <c r="W21" s="240">
        <f t="shared" si="8"/>
        <v>13.266531619181634</v>
      </c>
      <c r="X21" s="240">
        <f t="shared" si="9"/>
        <v>0.37057350891568813</v>
      </c>
      <c r="Y21"/>
      <c r="Z21" s="13">
        <f t="shared" si="2"/>
        <v>148.18243268846774</v>
      </c>
      <c r="AA21" s="2"/>
      <c r="AB21" s="68"/>
      <c r="AC21" s="15">
        <f t="shared" si="10"/>
        <v>1.1957661549975138</v>
      </c>
      <c r="AD21"/>
      <c r="AE21"/>
    </row>
    <row r="22" spans="1:31">
      <c r="A22" s="84">
        <f>'Q.1 &amp; 4'!K27</f>
        <v>7</v>
      </c>
      <c r="B22" s="141">
        <f>'Q.1 &amp; 4'!L27</f>
        <v>33.700000000000003</v>
      </c>
      <c r="C22" s="221"/>
      <c r="D22" s="23"/>
      <c r="E22" s="24"/>
      <c r="F22" s="22">
        <f t="shared" si="0"/>
        <v>3.4925925925925885</v>
      </c>
      <c r="G22" s="22">
        <f t="shared" si="3"/>
        <v>-1.0064890695573609</v>
      </c>
      <c r="H22" s="22">
        <f t="shared" si="4"/>
        <v>-3.5152562688614455</v>
      </c>
      <c r="I22" s="22">
        <f t="shared" si="5"/>
        <v>12.198203017832618</v>
      </c>
      <c r="J22" s="24"/>
      <c r="K22" s="24"/>
      <c r="L22" s="235">
        <f t="shared" si="6"/>
        <v>18.916724957479122</v>
      </c>
      <c r="M22" s="126"/>
      <c r="N22" s="126"/>
      <c r="O22" s="126"/>
      <c r="P22" s="10">
        <f t="shared" si="1"/>
        <v>14.783275042520881</v>
      </c>
      <c r="Q22" s="10">
        <f t="shared" si="7"/>
        <v>218.54522098282075</v>
      </c>
      <c r="R22" s="243"/>
      <c r="S22" s="244"/>
      <c r="T22" s="244"/>
      <c r="U22" s="270"/>
      <c r="V22" s="101"/>
      <c r="W22" s="240">
        <f t="shared" si="8"/>
        <v>14.783275042520881</v>
      </c>
      <c r="X22" s="240">
        <f t="shared" si="9"/>
        <v>0.43867284992643557</v>
      </c>
      <c r="Y22"/>
      <c r="Z22" s="13">
        <f t="shared" si="2"/>
        <v>249.31665071507399</v>
      </c>
      <c r="AA22" s="2"/>
      <c r="AB22" s="68"/>
      <c r="AC22" s="15">
        <f t="shared" si="10"/>
        <v>1.0130202471384422</v>
      </c>
      <c r="AD22"/>
      <c r="AE22"/>
    </row>
    <row r="23" spans="1:31">
      <c r="A23" s="84">
        <f>'Q.1 &amp; 4'!K28</f>
        <v>8.4</v>
      </c>
      <c r="B23" s="141">
        <f>'Q.1 &amp; 4'!L28</f>
        <v>30</v>
      </c>
      <c r="C23" s="221"/>
      <c r="D23" s="23"/>
      <c r="E23" s="24"/>
      <c r="F23" s="22">
        <f t="shared" si="0"/>
        <v>4.8925925925925888</v>
      </c>
      <c r="G23" s="22">
        <f t="shared" si="3"/>
        <v>-4.7064890695573638</v>
      </c>
      <c r="H23" s="22">
        <f t="shared" si="4"/>
        <v>-23.026933558834344</v>
      </c>
      <c r="I23" s="22">
        <f t="shared" si="5"/>
        <v>23.937462277091871</v>
      </c>
      <c r="J23" s="24"/>
      <c r="K23" s="24"/>
      <c r="L23" s="235">
        <f t="shared" si="6"/>
        <v>12.587423966635448</v>
      </c>
      <c r="M23" s="126"/>
      <c r="N23" s="126"/>
      <c r="O23" s="126"/>
      <c r="P23" s="10">
        <f t="shared" si="1"/>
        <v>17.412576033364552</v>
      </c>
      <c r="Q23" s="10">
        <f t="shared" si="7"/>
        <v>303.19780411770159</v>
      </c>
      <c r="R23" s="243"/>
      <c r="S23" s="244"/>
      <c r="T23" s="244"/>
      <c r="U23" s="270"/>
      <c r="V23" s="241"/>
      <c r="W23" s="240">
        <f t="shared" si="8"/>
        <v>17.412576033364552</v>
      </c>
      <c r="X23" s="240">
        <f t="shared" si="9"/>
        <v>0.58041920111215173</v>
      </c>
      <c r="Y23"/>
      <c r="Z23" s="13">
        <f t="shared" si="2"/>
        <v>489.25304102729808</v>
      </c>
      <c r="AA23" s="2"/>
      <c r="AB23" s="68"/>
      <c r="AC23" s="15">
        <f t="shared" si="10"/>
        <v>22.151039361862939</v>
      </c>
      <c r="AE23"/>
    </row>
    <row r="24" spans="1:31">
      <c r="A24" s="84">
        <f>'Q.1 &amp; 4'!K29</f>
        <v>8.4</v>
      </c>
      <c r="B24" s="141">
        <f>'Q.1 &amp; 4'!L29</f>
        <v>30</v>
      </c>
      <c r="C24" s="221"/>
      <c r="D24" s="23"/>
      <c r="E24" s="24"/>
      <c r="F24" s="22">
        <f t="shared" si="0"/>
        <v>4.8925925925925888</v>
      </c>
      <c r="G24" s="22">
        <f t="shared" si="3"/>
        <v>-4.7064890695573638</v>
      </c>
      <c r="H24" s="22">
        <f t="shared" si="4"/>
        <v>-23.026933558834344</v>
      </c>
      <c r="I24" s="22">
        <f t="shared" si="5"/>
        <v>23.937462277091871</v>
      </c>
      <c r="J24" s="24"/>
      <c r="K24" s="24"/>
      <c r="L24" s="235">
        <f t="shared" si="6"/>
        <v>12.587423966635448</v>
      </c>
      <c r="M24" s="126"/>
      <c r="N24" s="126"/>
      <c r="O24" s="126"/>
      <c r="P24" s="10">
        <f t="shared" si="1"/>
        <v>17.412576033364552</v>
      </c>
      <c r="Q24" s="10">
        <f t="shared" si="7"/>
        <v>303.19780411770159</v>
      </c>
      <c r="R24" s="243"/>
      <c r="S24" s="244"/>
      <c r="T24" s="244"/>
      <c r="U24" s="270"/>
      <c r="V24" s="101"/>
      <c r="W24" s="240">
        <f t="shared" si="8"/>
        <v>17.412576033364552</v>
      </c>
      <c r="X24" s="240">
        <f t="shared" si="9"/>
        <v>0.58041920111215173</v>
      </c>
      <c r="Y24"/>
      <c r="Z24" s="13">
        <f t="shared" si="2"/>
        <v>489.25304102729808</v>
      </c>
      <c r="AA24" s="2"/>
      <c r="AB24" s="68"/>
      <c r="AC24" s="15">
        <f t="shared" si="10"/>
        <v>22.151039361862939</v>
      </c>
      <c r="AE24"/>
    </row>
    <row r="25" spans="1:31">
      <c r="A25" s="84">
        <f>'Q.1 &amp; 4'!K30</f>
        <v>4.5</v>
      </c>
      <c r="B25" s="141">
        <f>'Q.1 &amp; 4'!L30</f>
        <v>24.349900000000002</v>
      </c>
      <c r="C25" s="221"/>
      <c r="D25" s="23"/>
      <c r="E25" s="24"/>
      <c r="F25" s="22">
        <f t="shared" si="0"/>
        <v>0.99259259259258847</v>
      </c>
      <c r="G25" s="22">
        <f t="shared" si="3"/>
        <v>-10.356589069557362</v>
      </c>
      <c r="H25" s="22">
        <f t="shared" si="4"/>
        <v>-10.279873594968006</v>
      </c>
      <c r="I25" s="22">
        <f t="shared" si="5"/>
        <v>0.98524005486967636</v>
      </c>
      <c r="J25" s="24"/>
      <c r="K25" s="24"/>
      <c r="L25" s="235">
        <f t="shared" si="6"/>
        <v>30.219048155414249</v>
      </c>
      <c r="M25" s="126"/>
      <c r="N25" s="126"/>
      <c r="O25" s="126"/>
      <c r="P25" s="10">
        <f t="shared" si="1"/>
        <v>-5.8691481554142477</v>
      </c>
      <c r="Q25" s="10">
        <f t="shared" si="7"/>
        <v>34.446900070202467</v>
      </c>
      <c r="R25" s="243"/>
      <c r="S25" s="244"/>
      <c r="T25" s="244"/>
      <c r="U25" s="245"/>
      <c r="W25" s="240">
        <f t="shared" si="8"/>
        <v>5.8691481554142477</v>
      </c>
      <c r="X25" s="240">
        <f t="shared" si="9"/>
        <v>0.24103376832817577</v>
      </c>
      <c r="Y25"/>
      <c r="Z25" s="13">
        <f t="shared" si="2"/>
        <v>20.137125957925591</v>
      </c>
      <c r="AA25" s="2"/>
      <c r="AB25" s="68"/>
      <c r="AC25" s="15">
        <f t="shared" si="10"/>
        <v>107.25893715567503</v>
      </c>
    </row>
    <row r="26" spans="1:31">
      <c r="A26" s="84">
        <f>'Q.1 &amp; 4'!K31</f>
        <v>5.7</v>
      </c>
      <c r="B26" s="141">
        <f>'Q.1 &amp; 4'!L31</f>
        <v>20.99</v>
      </c>
      <c r="C26" s="221"/>
      <c r="D26" s="23"/>
      <c r="E26" s="24"/>
      <c r="F26" s="22">
        <f t="shared" si="0"/>
        <v>2.1925925925925887</v>
      </c>
      <c r="G26" s="22">
        <f t="shared" si="3"/>
        <v>-13.716489069557365</v>
      </c>
      <c r="H26" s="22">
        <f t="shared" si="4"/>
        <v>-30.074672330288688</v>
      </c>
      <c r="I26" s="22">
        <f t="shared" si="5"/>
        <v>4.8074622770918891</v>
      </c>
      <c r="J26" s="24"/>
      <c r="K26" s="24"/>
      <c r="L26" s="235">
        <f t="shared" si="6"/>
        <v>24.793933020405387</v>
      </c>
      <c r="M26" s="126"/>
      <c r="N26" s="126"/>
      <c r="O26" s="126"/>
      <c r="P26" s="10">
        <f t="shared" si="1"/>
        <v>-3.8039330204053883</v>
      </c>
      <c r="Q26" s="10">
        <f t="shared" si="7"/>
        <v>14.46990642373046</v>
      </c>
      <c r="R26" s="243"/>
      <c r="S26" s="244"/>
      <c r="T26" s="244"/>
      <c r="U26" s="245"/>
      <c r="V26"/>
      <c r="W26" s="240">
        <f t="shared" si="8"/>
        <v>3.8039330204053883</v>
      </c>
      <c r="X26" s="240">
        <f t="shared" si="9"/>
        <v>0.18122596571726482</v>
      </c>
      <c r="Y26"/>
      <c r="Z26" s="13">
        <f t="shared" si="2"/>
        <v>98.258767427579457</v>
      </c>
      <c r="AA26" s="2"/>
      <c r="AB26" s="68"/>
      <c r="AC26" s="15">
        <f t="shared" si="10"/>
        <v>188.14207239528668</v>
      </c>
    </row>
    <row r="27" spans="1:31">
      <c r="A27" s="84">
        <f>'Q.1 &amp; 4'!K32</f>
        <v>5.7</v>
      </c>
      <c r="B27" s="141">
        <f>'Q.1 &amp; 4'!L32</f>
        <v>21.1</v>
      </c>
      <c r="C27" s="221"/>
      <c r="D27" s="23"/>
      <c r="E27" s="24"/>
      <c r="F27" s="22">
        <f t="shared" si="0"/>
        <v>2.1925925925925887</v>
      </c>
      <c r="G27" s="22">
        <f t="shared" si="3"/>
        <v>-13.606489069557362</v>
      </c>
      <c r="H27" s="22">
        <f t="shared" si="4"/>
        <v>-29.833487145103497</v>
      </c>
      <c r="I27" s="22">
        <f t="shared" si="5"/>
        <v>4.8074622770918891</v>
      </c>
      <c r="J27" s="24"/>
      <c r="K27" s="24"/>
      <c r="L27" s="235">
        <f t="shared" si="6"/>
        <v>24.793933020405387</v>
      </c>
      <c r="M27" s="126"/>
      <c r="N27" s="126"/>
      <c r="O27" s="126"/>
      <c r="P27" s="10">
        <f t="shared" si="1"/>
        <v>-3.6939330204053853</v>
      </c>
      <c r="Q27" s="10">
        <f t="shared" si="7"/>
        <v>13.645141159241252</v>
      </c>
      <c r="R27" s="243"/>
      <c r="S27" s="244"/>
      <c r="T27" s="244"/>
      <c r="U27" s="245"/>
      <c r="W27" s="240">
        <f t="shared" si="8"/>
        <v>3.6939330204053853</v>
      </c>
      <c r="X27" s="240">
        <f t="shared" si="9"/>
        <v>0.17506791565902299</v>
      </c>
      <c r="Y27"/>
      <c r="Z27" s="13">
        <f t="shared" si="2"/>
        <v>98.258767427579457</v>
      </c>
      <c r="AA27" s="2"/>
      <c r="AB27" s="68"/>
      <c r="AC27" s="15">
        <f t="shared" si="10"/>
        <v>185.13654479998397</v>
      </c>
    </row>
    <row r="28" spans="1:31">
      <c r="A28" s="84">
        <f>'Q.1 &amp; 4'!K33</f>
        <v>5.2</v>
      </c>
      <c r="B28" s="141">
        <f>'Q.1 &amp; 4'!L33</f>
        <v>25.4</v>
      </c>
      <c r="C28" s="221"/>
      <c r="D28" s="23"/>
      <c r="E28" s="24"/>
      <c r="F28" s="22">
        <f t="shared" si="0"/>
        <v>1.6925925925925887</v>
      </c>
      <c r="G28" s="22">
        <f t="shared" si="3"/>
        <v>-9.3064890695573652</v>
      </c>
      <c r="H28" s="22">
        <f t="shared" si="4"/>
        <v>-15.752094462176689</v>
      </c>
      <c r="I28" s="22">
        <f t="shared" si="5"/>
        <v>2.8648696844993009</v>
      </c>
      <c r="J28" s="24"/>
      <c r="K28" s="24"/>
      <c r="L28" s="235">
        <f t="shared" si="6"/>
        <v>27.054397659992414</v>
      </c>
      <c r="M28" s="126"/>
      <c r="N28" s="126"/>
      <c r="O28" s="126"/>
      <c r="P28" s="10">
        <f t="shared" si="1"/>
        <v>-1.6543976599924157</v>
      </c>
      <c r="Q28" s="10">
        <f t="shared" si="7"/>
        <v>2.7370316173883809</v>
      </c>
      <c r="R28" s="243"/>
      <c r="S28" s="244"/>
      <c r="T28" s="244"/>
      <c r="U28" s="245"/>
      <c r="W28" s="240">
        <f t="shared" si="8"/>
        <v>1.6543976599924157</v>
      </c>
      <c r="X28" s="240">
        <f t="shared" si="9"/>
        <v>6.5133766141433694E-2</v>
      </c>
      <c r="Y28"/>
      <c r="Z28" s="13">
        <f t="shared" si="2"/>
        <v>58.554502940337699</v>
      </c>
      <c r="AA28" s="2"/>
      <c r="AB28" s="68"/>
      <c r="AC28" s="15">
        <f t="shared" si="10"/>
        <v>86.610738801790717</v>
      </c>
    </row>
    <row r="29" spans="1:31">
      <c r="A29" s="84">
        <f>'Q.1 &amp; 4'!K34</f>
        <v>5.2</v>
      </c>
      <c r="B29" s="141">
        <f>'Q.1 &amp; 4'!L34</f>
        <v>24</v>
      </c>
      <c r="C29" s="221"/>
      <c r="D29" s="23"/>
      <c r="E29" s="24"/>
      <c r="F29" s="22">
        <f t="shared" si="0"/>
        <v>1.6925925925925887</v>
      </c>
      <c r="G29" s="22">
        <f t="shared" si="3"/>
        <v>-10.706489069557364</v>
      </c>
      <c r="H29" s="22">
        <f t="shared" si="4"/>
        <v>-18.12172409180631</v>
      </c>
      <c r="I29" s="22">
        <f t="shared" si="5"/>
        <v>2.8648696844993009</v>
      </c>
      <c r="J29" s="24"/>
      <c r="K29" s="24"/>
      <c r="L29" s="235">
        <f t="shared" si="6"/>
        <v>27.054397659992414</v>
      </c>
      <c r="M29" s="126"/>
      <c r="N29" s="126"/>
      <c r="O29" s="126"/>
      <c r="P29" s="10">
        <f t="shared" si="1"/>
        <v>-3.0543976599924143</v>
      </c>
      <c r="Q29" s="10">
        <f t="shared" si="7"/>
        <v>9.3293450653671357</v>
      </c>
      <c r="R29" s="243"/>
      <c r="S29" s="244"/>
      <c r="T29" s="244"/>
      <c r="U29" s="245"/>
      <c r="W29" s="240">
        <f t="shared" si="8"/>
        <v>3.0543976599924143</v>
      </c>
      <c r="X29" s="240">
        <f t="shared" si="9"/>
        <v>0.1272665691663506</v>
      </c>
      <c r="Y29"/>
      <c r="Z29" s="13">
        <f t="shared" si="2"/>
        <v>58.554502940337699</v>
      </c>
      <c r="AA29" s="2"/>
      <c r="AB29" s="68"/>
      <c r="AC29" s="15">
        <f t="shared" si="10"/>
        <v>114.62890819655131</v>
      </c>
    </row>
    <row r="30" spans="1:31">
      <c r="A30" s="84">
        <f>'Q.1 &amp; 4'!K35</f>
        <v>5.2</v>
      </c>
      <c r="B30" s="141">
        <f>'Q.1 &amp; 4'!L35</f>
        <v>25.4</v>
      </c>
      <c r="C30" s="221"/>
      <c r="D30" s="23"/>
      <c r="E30" s="24"/>
      <c r="F30" s="22">
        <f t="shared" si="0"/>
        <v>1.6925925925925887</v>
      </c>
      <c r="G30" s="22">
        <f t="shared" si="3"/>
        <v>-9.3064890695573652</v>
      </c>
      <c r="H30" s="22">
        <f t="shared" si="4"/>
        <v>-15.752094462176689</v>
      </c>
      <c r="I30" s="22">
        <f t="shared" si="5"/>
        <v>2.8648696844993009</v>
      </c>
      <c r="J30" s="24"/>
      <c r="K30" s="24"/>
      <c r="L30" s="235">
        <f t="shared" si="6"/>
        <v>27.054397659992414</v>
      </c>
      <c r="M30" s="126"/>
      <c r="N30" s="126"/>
      <c r="O30" s="126"/>
      <c r="P30" s="10">
        <f t="shared" si="1"/>
        <v>-1.6543976599924157</v>
      </c>
      <c r="Q30" s="10">
        <f t="shared" si="7"/>
        <v>2.7370316173883809</v>
      </c>
      <c r="R30" s="243"/>
      <c r="S30" s="244"/>
      <c r="T30" s="244"/>
      <c r="U30" s="245"/>
      <c r="W30" s="240">
        <f t="shared" si="8"/>
        <v>1.6543976599924157</v>
      </c>
      <c r="X30" s="240">
        <f t="shared" si="9"/>
        <v>6.5133766141433694E-2</v>
      </c>
      <c r="Y30"/>
      <c r="Z30" s="13">
        <f t="shared" si="2"/>
        <v>58.554502940337699</v>
      </c>
      <c r="AA30" s="2"/>
      <c r="AB30" s="68"/>
      <c r="AC30" s="15">
        <f t="shared" si="10"/>
        <v>86.610738801790717</v>
      </c>
    </row>
    <row r="31" spans="1:31">
      <c r="A31" s="84">
        <f>'Q.1 &amp; 4'!K36</f>
        <v>5.2</v>
      </c>
      <c r="B31" s="141">
        <f>'Q.1 &amp; 4'!L36</f>
        <v>22.6</v>
      </c>
      <c r="C31" s="221"/>
      <c r="D31" s="23"/>
      <c r="E31" s="24"/>
      <c r="F31" s="22">
        <f t="shared" si="0"/>
        <v>1.6925925925925887</v>
      </c>
      <c r="G31" s="22">
        <f t="shared" si="3"/>
        <v>-12.106489069557362</v>
      </c>
      <c r="H31" s="22">
        <f t="shared" si="4"/>
        <v>-20.491353721435932</v>
      </c>
      <c r="I31" s="22">
        <f t="shared" si="5"/>
        <v>2.8648696844993009</v>
      </c>
      <c r="J31" s="24"/>
      <c r="K31" s="24"/>
      <c r="L31" s="235">
        <f t="shared" si="6"/>
        <v>27.054397659992414</v>
      </c>
      <c r="M31" s="126"/>
      <c r="N31" s="126"/>
      <c r="O31" s="126"/>
      <c r="P31" s="10">
        <f t="shared" si="1"/>
        <v>-4.4543976599924129</v>
      </c>
      <c r="Q31" s="10">
        <f t="shared" si="7"/>
        <v>19.841658513345884</v>
      </c>
      <c r="R31" s="243"/>
      <c r="S31" s="244"/>
      <c r="T31" s="244"/>
      <c r="U31" s="245"/>
      <c r="W31" s="240">
        <f t="shared" si="8"/>
        <v>4.4543976599924129</v>
      </c>
      <c r="X31" s="240">
        <f t="shared" si="9"/>
        <v>0.19709724159258463</v>
      </c>
      <c r="Y31"/>
      <c r="Z31" s="13">
        <f t="shared" si="2"/>
        <v>58.554502940337699</v>
      </c>
      <c r="AA31" s="2"/>
      <c r="AB31" s="68"/>
      <c r="AC31" s="15">
        <f t="shared" si="10"/>
        <v>146.56707759131189</v>
      </c>
    </row>
    <row r="32" spans="1:31">
      <c r="A32" s="84">
        <f>'Q.1 &amp; 4'!K37</f>
        <v>6.5</v>
      </c>
      <c r="B32" s="141">
        <f>'Q.1 &amp; 4'!L37</f>
        <v>17.5</v>
      </c>
      <c r="C32" s="221"/>
      <c r="D32" s="23"/>
      <c r="E32" s="24"/>
      <c r="F32" s="22">
        <f t="shared" si="0"/>
        <v>2.9925925925925885</v>
      </c>
      <c r="G32" s="22">
        <f t="shared" si="3"/>
        <v>-17.206489069557364</v>
      </c>
      <c r="H32" s="22">
        <f t="shared" si="4"/>
        <v>-51.492011734082709</v>
      </c>
      <c r="I32" s="22">
        <f t="shared" si="5"/>
        <v>8.9556104252400299</v>
      </c>
      <c r="J32" s="24"/>
      <c r="K32" s="24"/>
      <c r="L32" s="235">
        <f t="shared" si="6"/>
        <v>21.177189597066146</v>
      </c>
      <c r="M32" s="126"/>
      <c r="N32" s="126"/>
      <c r="O32" s="126"/>
      <c r="P32" s="10">
        <f t="shared" si="1"/>
        <v>-3.6771895970661461</v>
      </c>
      <c r="Q32" s="10">
        <f t="shared" si="7"/>
        <v>13.521723332771487</v>
      </c>
      <c r="R32" s="243"/>
      <c r="S32" s="244"/>
      <c r="T32" s="244"/>
      <c r="U32" s="245"/>
      <c r="W32" s="240">
        <f t="shared" si="8"/>
        <v>3.6771895970661461</v>
      </c>
      <c r="X32" s="240">
        <f t="shared" si="9"/>
        <v>0.21012511983235121</v>
      </c>
      <c r="Y32"/>
      <c r="Z32" s="13">
        <f t="shared" si="2"/>
        <v>183.04194421635114</v>
      </c>
      <c r="AA32" s="2"/>
      <c r="AB32" s="68"/>
      <c r="AC32" s="15">
        <f t="shared" si="10"/>
        <v>296.06326610079702</v>
      </c>
    </row>
    <row r="33" spans="1:29">
      <c r="A33" s="84">
        <f>'Q.1 &amp; 4'!K38</f>
        <v>6.5</v>
      </c>
      <c r="B33" s="141">
        <f>'Q.1 &amp; 4'!L38</f>
        <v>19.899999999999999</v>
      </c>
      <c r="C33" s="221"/>
      <c r="D33" s="23"/>
      <c r="E33" s="24"/>
      <c r="F33" s="22">
        <f t="shared" si="0"/>
        <v>2.9925925925925885</v>
      </c>
      <c r="G33" s="22">
        <f t="shared" si="3"/>
        <v>-14.806489069557365</v>
      </c>
      <c r="H33" s="22">
        <f t="shared" si="4"/>
        <v>-44.309789511860501</v>
      </c>
      <c r="I33" s="22">
        <f t="shared" si="5"/>
        <v>8.9556104252400299</v>
      </c>
      <c r="J33" s="24"/>
      <c r="K33" s="24"/>
      <c r="L33" s="235">
        <f t="shared" si="6"/>
        <v>21.177189597066146</v>
      </c>
      <c r="M33" s="126"/>
      <c r="N33" s="126"/>
      <c r="O33" s="126"/>
      <c r="P33" s="10">
        <f t="shared" si="1"/>
        <v>-1.2771895970661475</v>
      </c>
      <c r="Q33" s="10">
        <f t="shared" si="7"/>
        <v>1.6312132668539883</v>
      </c>
      <c r="R33" s="243"/>
      <c r="S33" s="244"/>
      <c r="T33" s="244"/>
      <c r="U33" s="245"/>
      <c r="W33" s="240">
        <f t="shared" si="8"/>
        <v>1.2771895970661475</v>
      </c>
      <c r="X33" s="240">
        <f t="shared" si="9"/>
        <v>6.4180381762117975E-2</v>
      </c>
      <c r="Y33"/>
      <c r="Z33" s="13">
        <f t="shared" si="2"/>
        <v>183.04194421635114</v>
      </c>
      <c r="AA33" s="2"/>
      <c r="AB33" s="68"/>
      <c r="AC33" s="15">
        <f t="shared" si="10"/>
        <v>219.23211856692174</v>
      </c>
    </row>
    <row r="34" spans="1:29">
      <c r="A34" s="84">
        <f>'Q.1 &amp; 4'!K39</f>
        <v>6.5</v>
      </c>
      <c r="B34" s="141">
        <f>'Q.1 &amp; 4'!L39</f>
        <v>19.899999999999999</v>
      </c>
      <c r="C34" s="221"/>
      <c r="D34" s="23"/>
      <c r="E34" s="24"/>
      <c r="F34" s="22">
        <f t="shared" si="0"/>
        <v>2.9925925925925885</v>
      </c>
      <c r="G34" s="22">
        <f t="shared" si="3"/>
        <v>-14.806489069557365</v>
      </c>
      <c r="H34" s="22">
        <f t="shared" si="4"/>
        <v>-44.309789511860501</v>
      </c>
      <c r="I34" s="22">
        <f t="shared" si="5"/>
        <v>8.9556104252400299</v>
      </c>
      <c r="J34" s="24"/>
      <c r="K34" s="24"/>
      <c r="L34" s="235">
        <f t="shared" si="6"/>
        <v>21.177189597066146</v>
      </c>
      <c r="M34" s="126"/>
      <c r="N34" s="126"/>
      <c r="O34" s="126"/>
      <c r="P34" s="10">
        <f t="shared" si="1"/>
        <v>-1.2771895970661475</v>
      </c>
      <c r="Q34" s="10">
        <f t="shared" si="7"/>
        <v>1.6312132668539883</v>
      </c>
      <c r="R34" s="243"/>
      <c r="S34" s="244"/>
      <c r="T34" s="244"/>
      <c r="U34" s="245"/>
      <c r="W34" s="240">
        <f t="shared" si="8"/>
        <v>1.2771895970661475</v>
      </c>
      <c r="X34" s="240">
        <f t="shared" si="9"/>
        <v>6.4180381762117975E-2</v>
      </c>
      <c r="Y34"/>
      <c r="Z34" s="13">
        <f t="shared" si="2"/>
        <v>183.04194421635114</v>
      </c>
      <c r="AA34" s="2"/>
      <c r="AB34" s="68"/>
      <c r="AC34" s="15">
        <f t="shared" si="10"/>
        <v>219.23211856692174</v>
      </c>
    </row>
    <row r="35" spans="1:29">
      <c r="A35" s="84">
        <f>'Q.1 &amp; 4'!K40</f>
        <v>6.5</v>
      </c>
      <c r="B35" s="141">
        <f>'Q.1 &amp; 4'!L40</f>
        <v>17.5</v>
      </c>
      <c r="C35" s="221"/>
      <c r="D35" s="23"/>
      <c r="E35" s="24"/>
      <c r="F35" s="22">
        <f t="shared" si="0"/>
        <v>2.9925925925925885</v>
      </c>
      <c r="G35" s="22">
        <f t="shared" si="3"/>
        <v>-17.206489069557364</v>
      </c>
      <c r="H35" s="22">
        <f t="shared" si="4"/>
        <v>-51.492011734082709</v>
      </c>
      <c r="I35" s="22">
        <f t="shared" si="5"/>
        <v>8.9556104252400299</v>
      </c>
      <c r="J35" s="24"/>
      <c r="K35" s="24"/>
      <c r="L35" s="235">
        <f t="shared" si="6"/>
        <v>21.177189597066146</v>
      </c>
      <c r="M35" s="126"/>
      <c r="N35" s="126"/>
      <c r="O35" s="126"/>
      <c r="P35" s="10">
        <f t="shared" si="1"/>
        <v>-3.6771895970661461</v>
      </c>
      <c r="Q35" s="10">
        <f t="shared" si="7"/>
        <v>13.521723332771487</v>
      </c>
      <c r="R35" s="243"/>
      <c r="S35" s="244"/>
      <c r="T35" s="244"/>
      <c r="U35" s="245"/>
      <c r="W35" s="240">
        <f t="shared" si="8"/>
        <v>3.6771895970661461</v>
      </c>
      <c r="X35" s="240">
        <f t="shared" si="9"/>
        <v>0.21012511983235121</v>
      </c>
      <c r="Y35"/>
      <c r="Z35" s="13">
        <f t="shared" si="2"/>
        <v>183.04194421635114</v>
      </c>
      <c r="AA35" s="2"/>
      <c r="AB35" s="68"/>
      <c r="AC35" s="15">
        <f t="shared" si="10"/>
        <v>296.06326610079702</v>
      </c>
    </row>
    <row r="36" spans="1:29">
      <c r="A36" s="84">
        <f>'Q.1 &amp; 4'!K41</f>
        <v>6.5</v>
      </c>
      <c r="B36" s="141">
        <f>'Q.1 &amp; 4'!L41</f>
        <v>19.899999999999999</v>
      </c>
      <c r="C36" s="221"/>
      <c r="D36" s="23"/>
      <c r="E36" s="24"/>
      <c r="F36" s="22">
        <f t="shared" si="0"/>
        <v>2.9925925925925885</v>
      </c>
      <c r="G36" s="22">
        <f t="shared" si="3"/>
        <v>-14.806489069557365</v>
      </c>
      <c r="H36" s="22">
        <f t="shared" si="4"/>
        <v>-44.309789511860501</v>
      </c>
      <c r="I36" s="22">
        <f t="shared" si="5"/>
        <v>8.9556104252400299</v>
      </c>
      <c r="J36" s="24"/>
      <c r="K36" s="24"/>
      <c r="L36" s="235">
        <f t="shared" si="6"/>
        <v>21.177189597066146</v>
      </c>
      <c r="M36" s="126"/>
      <c r="N36" s="126"/>
      <c r="O36" s="126"/>
      <c r="P36" s="10">
        <f t="shared" si="1"/>
        <v>-1.2771895970661475</v>
      </c>
      <c r="Q36" s="10">
        <f t="shared" si="7"/>
        <v>1.6312132668539883</v>
      </c>
      <c r="R36" s="243"/>
      <c r="S36" s="244"/>
      <c r="T36" s="244"/>
      <c r="U36" s="245"/>
      <c r="W36" s="240">
        <f t="shared" si="8"/>
        <v>1.2771895970661475</v>
      </c>
      <c r="X36" s="240">
        <f t="shared" si="9"/>
        <v>6.4180381762117975E-2</v>
      </c>
      <c r="Y36"/>
      <c r="Z36" s="13">
        <f t="shared" si="2"/>
        <v>183.04194421635114</v>
      </c>
      <c r="AA36" s="2"/>
      <c r="AB36" s="68"/>
      <c r="AC36" s="15">
        <f t="shared" si="10"/>
        <v>219.23211856692174</v>
      </c>
    </row>
    <row r="37" spans="1:29">
      <c r="A37" s="84">
        <f>'Q.1 &amp; 4'!K42</f>
        <v>1.8</v>
      </c>
      <c r="B37" s="141">
        <f>'Q.1 &amp; 4'!L42</f>
        <v>37.619999999999997</v>
      </c>
      <c r="C37" s="221"/>
      <c r="D37" s="23"/>
      <c r="E37" s="24"/>
      <c r="F37" s="22">
        <f t="shared" si="0"/>
        <v>-1.7074074074074115</v>
      </c>
      <c r="G37" s="22">
        <f t="shared" si="3"/>
        <v>2.9135109304426337</v>
      </c>
      <c r="H37" s="22">
        <f t="shared" si="4"/>
        <v>-4.9745501442002125</v>
      </c>
      <c r="I37" s="22">
        <f t="shared" si="5"/>
        <v>2.9152400548696984</v>
      </c>
      <c r="J37" s="24"/>
      <c r="K37" s="24"/>
      <c r="L37" s="235">
        <f t="shared" si="6"/>
        <v>42.425557209184191</v>
      </c>
      <c r="M37" s="126"/>
      <c r="N37" s="126"/>
      <c r="O37" s="126"/>
      <c r="P37" s="10">
        <f t="shared" si="1"/>
        <v>-4.8055572091841938</v>
      </c>
      <c r="Q37" s="10">
        <f t="shared" si="7"/>
        <v>23.093380090742176</v>
      </c>
      <c r="R37" s="243"/>
      <c r="S37" s="244"/>
      <c r="T37" s="244"/>
      <c r="U37" s="245"/>
      <c r="W37" s="240">
        <f t="shared" si="8"/>
        <v>4.8055572091841938</v>
      </c>
      <c r="X37" s="240">
        <f t="shared" si="9"/>
        <v>0.1277394260814512</v>
      </c>
      <c r="Y37"/>
      <c r="Z37" s="13">
        <f t="shared" si="2"/>
        <v>59.584012944201973</v>
      </c>
      <c r="AA37" s="2"/>
      <c r="AB37" s="68"/>
      <c r="AC37" s="15">
        <f t="shared" si="10"/>
        <v>8.4885459418087006</v>
      </c>
    </row>
    <row r="38" spans="1:29">
      <c r="A38" s="84">
        <f>'Q.1 &amp; 4'!K43</f>
        <v>1.8</v>
      </c>
      <c r="B38" s="141">
        <f>'Q.1 &amp; 4'!L43</f>
        <v>37.002800000000001</v>
      </c>
      <c r="C38" s="221"/>
      <c r="D38" s="23"/>
      <c r="E38" s="24"/>
      <c r="F38" s="22">
        <f t="shared" si="0"/>
        <v>-1.7074074074074115</v>
      </c>
      <c r="G38" s="22">
        <f t="shared" si="3"/>
        <v>2.2963109304426368</v>
      </c>
      <c r="H38" s="22">
        <f t="shared" si="4"/>
        <v>-3.9207382923483634</v>
      </c>
      <c r="I38" s="22">
        <f t="shared" si="5"/>
        <v>2.9152400548696984</v>
      </c>
      <c r="J38" s="24"/>
      <c r="K38" s="24"/>
      <c r="L38" s="235">
        <f t="shared" si="6"/>
        <v>42.425557209184191</v>
      </c>
      <c r="M38" s="126"/>
      <c r="N38" s="126"/>
      <c r="O38" s="126"/>
      <c r="P38" s="10">
        <f t="shared" si="1"/>
        <v>-5.4227572091841907</v>
      </c>
      <c r="Q38" s="10">
        <f t="shared" si="7"/>
        <v>29.406295749759114</v>
      </c>
      <c r="R38" s="243"/>
      <c r="S38" s="244"/>
      <c r="T38" s="244"/>
      <c r="U38" s="245"/>
      <c r="W38" s="240">
        <f t="shared" si="8"/>
        <v>5.4227572091841907</v>
      </c>
      <c r="X38" s="240">
        <f t="shared" si="9"/>
        <v>0.14654991538975945</v>
      </c>
      <c r="Y38"/>
      <c r="Z38" s="13">
        <f t="shared" ref="Z38:Z69" si="11">(L38-$E$6)^2</f>
        <v>59.584012944201973</v>
      </c>
      <c r="AA38" s="2"/>
      <c r="AB38" s="68"/>
      <c r="AC38" s="15">
        <f t="shared" si="10"/>
        <v>5.273043889270328</v>
      </c>
    </row>
    <row r="39" spans="1:29">
      <c r="A39" s="84">
        <f>'Q.1 &amp; 4'!K44</f>
        <v>2</v>
      </c>
      <c r="B39" s="141">
        <f>'Q.1 &amp; 4'!L44</f>
        <v>38.995899999999999</v>
      </c>
      <c r="C39" s="221"/>
      <c r="D39" s="23"/>
      <c r="E39" s="24"/>
      <c r="F39" s="22">
        <f t="shared" si="0"/>
        <v>-1.5074074074074115</v>
      </c>
      <c r="G39" s="22">
        <f t="shared" si="3"/>
        <v>4.2894109304426351</v>
      </c>
      <c r="H39" s="22">
        <f t="shared" si="4"/>
        <v>-6.4658898099635458</v>
      </c>
      <c r="I39" s="22">
        <f t="shared" si="5"/>
        <v>2.2722770919067341</v>
      </c>
      <c r="J39" s="24"/>
      <c r="K39" s="24"/>
      <c r="L39" s="235">
        <f t="shared" si="6"/>
        <v>41.52137135334938</v>
      </c>
      <c r="M39" s="126"/>
      <c r="N39" s="126"/>
      <c r="O39" s="126"/>
      <c r="P39" s="10">
        <f t="shared" si="1"/>
        <v>-2.5254713533493813</v>
      </c>
      <c r="Q39" s="10">
        <f t="shared" si="7"/>
        <v>6.3780055565883558</v>
      </c>
      <c r="R39" s="243"/>
      <c r="S39" s="244"/>
      <c r="T39" s="244"/>
      <c r="U39" s="245"/>
      <c r="W39" s="240">
        <f t="shared" si="8"/>
        <v>2.5254713533493813</v>
      </c>
      <c r="X39" s="240">
        <f t="shared" si="9"/>
        <v>6.4762484090619313E-2</v>
      </c>
      <c r="Y39"/>
      <c r="Z39" s="13">
        <f t="shared" si="11"/>
        <v>46.44262054194229</v>
      </c>
      <c r="AA39" s="2"/>
      <c r="AB39" s="68"/>
      <c r="AC39" s="15">
        <f t="shared" si="10"/>
        <v>18.399046130200752</v>
      </c>
    </row>
    <row r="40" spans="1:29">
      <c r="A40" s="84">
        <f>'Q.1 &amp; 4'!K45</f>
        <v>2</v>
      </c>
      <c r="B40" s="141">
        <f>'Q.1 &amp; 4'!L45</f>
        <v>39</v>
      </c>
      <c r="C40" s="221"/>
      <c r="D40" s="23"/>
      <c r="E40" s="24"/>
      <c r="F40" s="22">
        <f t="shared" si="0"/>
        <v>-1.5074074074074115</v>
      </c>
      <c r="G40" s="22">
        <f t="shared" si="3"/>
        <v>4.2935109304426362</v>
      </c>
      <c r="H40" s="22">
        <f t="shared" si="4"/>
        <v>-6.4720701803339171</v>
      </c>
      <c r="I40" s="22">
        <f t="shared" si="5"/>
        <v>2.2722770919067341</v>
      </c>
      <c r="J40" s="24"/>
      <c r="K40" s="24"/>
      <c r="L40" s="235">
        <f t="shared" si="6"/>
        <v>41.52137135334938</v>
      </c>
      <c r="M40" s="126"/>
      <c r="N40" s="126"/>
      <c r="O40" s="126"/>
      <c r="P40" s="10">
        <f t="shared" si="1"/>
        <v>-2.5213713533493802</v>
      </c>
      <c r="Q40" s="10">
        <f t="shared" si="7"/>
        <v>6.3573135014908848</v>
      </c>
      <c r="R40" s="243"/>
      <c r="S40" s="244"/>
      <c r="T40" s="244"/>
      <c r="U40" s="245"/>
      <c r="W40" s="240">
        <f t="shared" si="8"/>
        <v>2.5213713533493802</v>
      </c>
      <c r="X40" s="240">
        <f t="shared" si="9"/>
        <v>6.4650547521778984E-2</v>
      </c>
      <c r="Y40"/>
      <c r="Z40" s="13">
        <f t="shared" si="11"/>
        <v>46.44262054194229</v>
      </c>
      <c r="AA40" s="2"/>
      <c r="AB40" s="68"/>
      <c r="AC40" s="15">
        <f t="shared" si="10"/>
        <v>18.43423610983039</v>
      </c>
    </row>
    <row r="41" spans="1:29">
      <c r="A41" s="84">
        <f>'Q.1 &amp; 4'!K46</f>
        <v>2</v>
      </c>
      <c r="B41" s="141">
        <f>'Q.1 &amp; 4'!L46</f>
        <v>38.512</v>
      </c>
      <c r="C41" s="221"/>
      <c r="D41" s="23"/>
      <c r="E41" s="24"/>
      <c r="F41" s="22">
        <f t="shared" si="0"/>
        <v>-1.5074074074074115</v>
      </c>
      <c r="G41" s="22">
        <f t="shared" si="3"/>
        <v>3.8055109304426367</v>
      </c>
      <c r="H41" s="22">
        <f t="shared" si="4"/>
        <v>-5.7364553655191015</v>
      </c>
      <c r="I41" s="22">
        <f t="shared" si="5"/>
        <v>2.2722770919067341</v>
      </c>
      <c r="J41" s="24"/>
      <c r="K41" s="24"/>
      <c r="L41" s="235">
        <f t="shared" si="6"/>
        <v>41.52137135334938</v>
      </c>
      <c r="M41" s="126"/>
      <c r="N41" s="126"/>
      <c r="O41" s="126"/>
      <c r="P41" s="10">
        <f t="shared" si="1"/>
        <v>-3.0093713533493798</v>
      </c>
      <c r="Q41" s="10">
        <f t="shared" si="7"/>
        <v>9.0563159423598769</v>
      </c>
      <c r="R41" s="243"/>
      <c r="S41" s="244"/>
      <c r="T41" s="244"/>
      <c r="U41" s="245"/>
      <c r="W41" s="240">
        <f t="shared" si="8"/>
        <v>3.0093713533493798</v>
      </c>
      <c r="X41" s="240">
        <f t="shared" si="9"/>
        <v>7.8141134019250616E-2</v>
      </c>
      <c r="Y41"/>
      <c r="Z41" s="13">
        <f t="shared" si="11"/>
        <v>46.44262054194229</v>
      </c>
      <c r="AA41" s="2"/>
      <c r="AB41" s="68"/>
      <c r="AC41" s="15">
        <f t="shared" si="10"/>
        <v>14.481913441718381</v>
      </c>
    </row>
    <row r="42" spans="1:29">
      <c r="A42" s="84">
        <f>'Q.1 &amp; 4'!K47</f>
        <v>5.5</v>
      </c>
      <c r="B42" s="141">
        <f>'Q.1 &amp; 4'!L47</f>
        <v>29.3</v>
      </c>
      <c r="C42" s="221"/>
      <c r="D42" s="23"/>
      <c r="E42" s="24"/>
      <c r="F42" s="22">
        <f t="shared" si="0"/>
        <v>1.9925925925925885</v>
      </c>
      <c r="G42" s="22">
        <f t="shared" si="3"/>
        <v>-5.4064890695573631</v>
      </c>
      <c r="H42" s="22">
        <f t="shared" si="4"/>
        <v>-10.772930071932798</v>
      </c>
      <c r="I42" s="22">
        <f t="shared" si="5"/>
        <v>3.9704252400548534</v>
      </c>
      <c r="J42" s="24"/>
      <c r="K42" s="24"/>
      <c r="L42" s="235">
        <f t="shared" si="6"/>
        <v>25.698118876240201</v>
      </c>
      <c r="M42" s="126"/>
      <c r="N42" s="126"/>
      <c r="O42" s="126"/>
      <c r="P42" s="10">
        <f t="shared" si="1"/>
        <v>3.6018811237597994</v>
      </c>
      <c r="Q42" s="10">
        <f t="shared" si="7"/>
        <v>12.973547629697155</v>
      </c>
      <c r="R42" s="243"/>
      <c r="S42" s="244"/>
      <c r="T42" s="244"/>
      <c r="U42" s="245"/>
      <c r="W42" s="240">
        <f t="shared" si="8"/>
        <v>3.6018811237597994</v>
      </c>
      <c r="X42" s="240">
        <f t="shared" si="9"/>
        <v>0.12293109637405458</v>
      </c>
      <c r="Y42"/>
      <c r="Z42" s="13">
        <f t="shared" si="11"/>
        <v>81.150733539845092</v>
      </c>
      <c r="AA42" s="2"/>
      <c r="AB42" s="68"/>
      <c r="AC42" s="15">
        <f t="shared" si="10"/>
        <v>29.230124059243241</v>
      </c>
    </row>
    <row r="43" spans="1:29">
      <c r="A43" s="84">
        <f>'Q.1 &amp; 4'!K48</f>
        <v>3</v>
      </c>
      <c r="B43" s="141">
        <f>'Q.1 &amp; 4'!L48</f>
        <v>35.9</v>
      </c>
      <c r="C43" s="221"/>
      <c r="D43" s="23"/>
      <c r="E43" s="24"/>
      <c r="F43" s="22">
        <f t="shared" si="0"/>
        <v>-0.50740740740741153</v>
      </c>
      <c r="G43" s="22">
        <f t="shared" si="3"/>
        <v>1.1935109304426348</v>
      </c>
      <c r="H43" s="22">
        <f t="shared" si="4"/>
        <v>-0.60559628692830481</v>
      </c>
      <c r="I43" s="22">
        <f t="shared" si="5"/>
        <v>0.25746227709191088</v>
      </c>
      <c r="J43" s="24"/>
      <c r="K43" s="24"/>
      <c r="L43" s="235">
        <f t="shared" si="6"/>
        <v>37.000442074175325</v>
      </c>
      <c r="M43" s="126"/>
      <c r="N43" s="126"/>
      <c r="O43" s="126"/>
      <c r="P43" s="10">
        <f t="shared" si="1"/>
        <v>-1.1004420741753265</v>
      </c>
      <c r="Q43" s="10">
        <f t="shared" si="7"/>
        <v>1.2109727586152947</v>
      </c>
      <c r="R43" s="243"/>
      <c r="S43" s="244"/>
      <c r="T43" s="244"/>
      <c r="U43" s="245"/>
      <c r="W43" s="240">
        <f t="shared" si="8"/>
        <v>1.1004420741753265</v>
      </c>
      <c r="X43" s="240">
        <f t="shared" si="9"/>
        <v>3.0652982567557843E-2</v>
      </c>
      <c r="Y43"/>
      <c r="Z43" s="13">
        <f t="shared" si="11"/>
        <v>5.2622203873957725</v>
      </c>
      <c r="AA43" s="2"/>
      <c r="AB43" s="68"/>
      <c r="AC43" s="15">
        <f t="shared" si="10"/>
        <v>1.4244683410860439</v>
      </c>
    </row>
    <row r="44" spans="1:29">
      <c r="A44" s="84">
        <f>'Q.1 &amp; 4'!K49</f>
        <v>3.5</v>
      </c>
      <c r="B44" s="141">
        <f>'Q.1 &amp; 4'!L49</f>
        <v>36.200000000000003</v>
      </c>
      <c r="C44" s="221"/>
      <c r="D44" s="23"/>
      <c r="E44" s="24"/>
      <c r="F44" s="22">
        <f t="shared" si="0"/>
        <v>-7.4074074074115259E-3</v>
      </c>
      <c r="G44" s="22">
        <f t="shared" si="3"/>
        <v>1.4935109304426391</v>
      </c>
      <c r="H44" s="22">
        <f t="shared" si="4"/>
        <v>-1.1063043929210885E-2</v>
      </c>
      <c r="I44" s="22">
        <f t="shared" si="5"/>
        <v>5.4869684499375142E-5</v>
      </c>
      <c r="J44" s="24"/>
      <c r="K44" s="24"/>
      <c r="L44" s="235">
        <f t="shared" si="6"/>
        <v>34.739977434588305</v>
      </c>
      <c r="M44" s="126"/>
      <c r="N44" s="126"/>
      <c r="O44" s="126"/>
      <c r="P44" s="10">
        <f t="shared" si="1"/>
        <v>1.4600225654116983</v>
      </c>
      <c r="Q44" s="10">
        <f t="shared" si="7"/>
        <v>2.1316658915113567</v>
      </c>
      <c r="R44" s="243"/>
      <c r="S44" s="244"/>
      <c r="T44" s="244"/>
      <c r="U44" s="245"/>
      <c r="W44" s="240">
        <f t="shared" si="8"/>
        <v>1.4600225654116983</v>
      </c>
      <c r="X44" s="240">
        <f t="shared" si="9"/>
        <v>4.0332115066621495E-2</v>
      </c>
      <c r="Y44"/>
      <c r="Z44" s="13">
        <f t="shared" si="11"/>
        <v>1.1214705924455365E-3</v>
      </c>
      <c r="AA44" s="2"/>
      <c r="AB44" s="68"/>
      <c r="AC44" s="15">
        <f t="shared" si="10"/>
        <v>2.2305748993516374</v>
      </c>
    </row>
    <row r="45" spans="1:29">
      <c r="A45" s="84">
        <f>'Q.1 &amp; 4'!K50</f>
        <v>3.5</v>
      </c>
      <c r="B45" s="141">
        <f>'Q.1 &amp; 4'!L50</f>
        <v>34.5</v>
      </c>
      <c r="C45" s="221"/>
      <c r="D45" s="23"/>
      <c r="E45" s="24"/>
      <c r="F45" s="22">
        <f t="shared" si="0"/>
        <v>-7.4074074074115259E-3</v>
      </c>
      <c r="G45" s="22">
        <f t="shared" si="3"/>
        <v>-0.20648906955736379</v>
      </c>
      <c r="H45" s="22">
        <f t="shared" si="4"/>
        <v>1.5295486633887304E-3</v>
      </c>
      <c r="I45" s="22">
        <f t="shared" si="5"/>
        <v>5.4869684499375142E-5</v>
      </c>
      <c r="J45" s="24"/>
      <c r="K45" s="24"/>
      <c r="L45" s="235">
        <f t="shared" si="6"/>
        <v>34.739977434588305</v>
      </c>
      <c r="M45" s="126"/>
      <c r="N45" s="126"/>
      <c r="O45" s="126"/>
      <c r="P45" s="10">
        <f t="shared" si="1"/>
        <v>-0.23997743458830456</v>
      </c>
      <c r="Q45" s="10">
        <f t="shared" si="7"/>
        <v>5.7589169111583995E-2</v>
      </c>
      <c r="R45" s="243"/>
      <c r="S45" s="244"/>
      <c r="T45" s="244"/>
      <c r="U45" s="245"/>
      <c r="W45" s="240">
        <f t="shared" si="8"/>
        <v>0.23997743458830456</v>
      </c>
      <c r="X45" s="240">
        <f t="shared" si="9"/>
        <v>6.9558676692262188E-3</v>
      </c>
      <c r="Y45"/>
      <c r="Z45" s="13">
        <f t="shared" si="11"/>
        <v>1.1214705924455365E-3</v>
      </c>
      <c r="AA45" s="2"/>
      <c r="AB45" s="68"/>
      <c r="AC45" s="15">
        <f t="shared" si="10"/>
        <v>4.2637735846665824E-2</v>
      </c>
    </row>
    <row r="46" spans="1:29">
      <c r="A46" s="84">
        <f>'Q.1 &amp; 4'!K51</f>
        <v>3.5</v>
      </c>
      <c r="B46" s="141">
        <f>'Q.1 &amp; 4'!L51</f>
        <v>34.792700000000004</v>
      </c>
      <c r="C46" s="221"/>
      <c r="D46" s="23"/>
      <c r="E46" s="24"/>
      <c r="F46" s="22">
        <f t="shared" si="0"/>
        <v>-7.4074074074115259E-3</v>
      </c>
      <c r="G46" s="22">
        <f t="shared" si="3"/>
        <v>8.6210930442639722E-2</v>
      </c>
      <c r="H46" s="22">
        <f t="shared" si="4"/>
        <v>-6.3859948476064927E-4</v>
      </c>
      <c r="I46" s="22">
        <f t="shared" si="5"/>
        <v>5.4869684499375142E-5</v>
      </c>
      <c r="J46" s="24"/>
      <c r="K46" s="24"/>
      <c r="L46" s="235">
        <f t="shared" si="6"/>
        <v>34.739977434588305</v>
      </c>
      <c r="M46" s="126"/>
      <c r="N46" s="126"/>
      <c r="O46" s="126"/>
      <c r="P46" s="10">
        <f t="shared" si="1"/>
        <v>5.2722565411698952E-2</v>
      </c>
      <c r="Q46" s="10">
        <f t="shared" si="7"/>
        <v>2.7796689035908748E-3</v>
      </c>
      <c r="R46" s="243"/>
      <c r="S46" s="244"/>
      <c r="T46" s="244"/>
      <c r="U46" s="245"/>
      <c r="W46" s="240">
        <f t="shared" si="8"/>
        <v>5.2722565411698952E-2</v>
      </c>
      <c r="X46" s="240">
        <f t="shared" si="9"/>
        <v>1.51533411927499E-3</v>
      </c>
      <c r="Y46"/>
      <c r="Z46" s="13">
        <f t="shared" si="11"/>
        <v>1.1214705924455365E-3</v>
      </c>
      <c r="AA46" s="2"/>
      <c r="AB46" s="68"/>
      <c r="AC46" s="15">
        <f t="shared" si="10"/>
        <v>7.4323245277856647E-3</v>
      </c>
    </row>
    <row r="47" spans="1:29">
      <c r="A47" s="84">
        <f>'Q.1 &amp; 4'!K52</f>
        <v>5.5</v>
      </c>
      <c r="B47" s="141">
        <f>'Q.1 &amp; 4'!L52</f>
        <v>30.8</v>
      </c>
      <c r="C47" s="221"/>
      <c r="D47" s="23"/>
      <c r="E47" s="24"/>
      <c r="F47" s="22">
        <f t="shared" si="0"/>
        <v>1.9925925925925885</v>
      </c>
      <c r="G47" s="22">
        <f t="shared" si="3"/>
        <v>-3.9064890695573631</v>
      </c>
      <c r="H47" s="22">
        <f t="shared" si="4"/>
        <v>-7.7840411830439145</v>
      </c>
      <c r="I47" s="22">
        <f t="shared" si="5"/>
        <v>3.9704252400548534</v>
      </c>
      <c r="J47" s="24"/>
      <c r="K47" s="24"/>
      <c r="L47" s="235">
        <f t="shared" si="6"/>
        <v>25.698118876240201</v>
      </c>
      <c r="M47" s="126"/>
      <c r="N47" s="126"/>
      <c r="O47" s="126"/>
      <c r="P47" s="10">
        <f t="shared" si="1"/>
        <v>5.1018811237597994</v>
      </c>
      <c r="Q47" s="10">
        <f t="shared" si="7"/>
        <v>26.029191000976553</v>
      </c>
      <c r="R47" s="243"/>
      <c r="S47" s="244"/>
      <c r="T47" s="244"/>
      <c r="U47" s="245"/>
      <c r="W47" s="240">
        <f t="shared" si="8"/>
        <v>5.1018811237597994</v>
      </c>
      <c r="X47" s="240">
        <f t="shared" si="9"/>
        <v>0.1656454910311623</v>
      </c>
      <c r="Y47"/>
      <c r="Z47" s="13">
        <f t="shared" si="11"/>
        <v>81.150733539845092</v>
      </c>
      <c r="AA47" s="2"/>
      <c r="AB47" s="68"/>
      <c r="AC47" s="15">
        <f t="shared" si="10"/>
        <v>15.260656850571152</v>
      </c>
    </row>
    <row r="48" spans="1:29">
      <c r="A48" s="84">
        <f>'Q.1 &amp; 4'!K53</f>
        <v>1</v>
      </c>
      <c r="B48" s="141">
        <f>'Q.1 &amp; 4'!L53</f>
        <v>57.8</v>
      </c>
      <c r="C48" s="221"/>
      <c r="D48" s="23"/>
      <c r="E48" s="24"/>
      <c r="F48" s="22">
        <f t="shared" si="0"/>
        <v>-2.5074074074074115</v>
      </c>
      <c r="G48" s="22">
        <f t="shared" si="3"/>
        <v>23.093510930442633</v>
      </c>
      <c r="H48" s="22">
        <f t="shared" si="4"/>
        <v>-57.904840370035885</v>
      </c>
      <c r="I48" s="22">
        <f t="shared" si="5"/>
        <v>6.2870919067215567</v>
      </c>
      <c r="J48" s="24"/>
      <c r="K48" s="24"/>
      <c r="L48" s="235">
        <f t="shared" si="6"/>
        <v>46.042300632523435</v>
      </c>
      <c r="M48" s="126"/>
      <c r="N48" s="126"/>
      <c r="O48" s="126"/>
      <c r="P48" s="10">
        <f t="shared" si="1"/>
        <v>11.757699367476562</v>
      </c>
      <c r="Q48" s="10">
        <f t="shared" si="7"/>
        <v>138.24349441595874</v>
      </c>
      <c r="R48" s="243"/>
      <c r="S48" s="244"/>
      <c r="T48" s="244"/>
      <c r="U48" s="245"/>
      <c r="W48" s="240">
        <f t="shared" si="8"/>
        <v>11.757699367476562</v>
      </c>
      <c r="X48" s="240">
        <f t="shared" si="9"/>
        <v>0.20342040428160144</v>
      </c>
      <c r="Y48"/>
      <c r="Z48" s="13">
        <f t="shared" si="11"/>
        <v>128.5006237910753</v>
      </c>
      <c r="AA48" s="2"/>
      <c r="AB48" s="68"/>
      <c r="AC48" s="15">
        <f t="shared" si="10"/>
        <v>533.31024709447343</v>
      </c>
    </row>
    <row r="49" spans="1:29">
      <c r="A49" s="84">
        <f>'Q.1 &amp; 4'!K54</f>
        <v>1</v>
      </c>
      <c r="B49" s="141">
        <f>'Q.1 &amp; 4'!L54</f>
        <v>57.8</v>
      </c>
      <c r="C49" s="221"/>
      <c r="D49" s="23"/>
      <c r="E49" s="24"/>
      <c r="F49" s="22">
        <f t="shared" si="0"/>
        <v>-2.5074074074074115</v>
      </c>
      <c r="G49" s="22">
        <f t="shared" si="3"/>
        <v>23.093510930442633</v>
      </c>
      <c r="H49" s="22">
        <f t="shared" si="4"/>
        <v>-57.904840370035885</v>
      </c>
      <c r="I49" s="22">
        <f t="shared" si="5"/>
        <v>6.2870919067215567</v>
      </c>
      <c r="J49" s="24"/>
      <c r="K49" s="24"/>
      <c r="L49" s="235">
        <f t="shared" si="6"/>
        <v>46.042300632523435</v>
      </c>
      <c r="M49" s="126"/>
      <c r="N49" s="126"/>
      <c r="O49" s="126"/>
      <c r="P49" s="10">
        <f t="shared" si="1"/>
        <v>11.757699367476562</v>
      </c>
      <c r="Q49" s="10">
        <f t="shared" si="7"/>
        <v>138.24349441595874</v>
      </c>
      <c r="R49" s="243"/>
      <c r="S49" s="244"/>
      <c r="T49" s="244"/>
      <c r="U49" s="245"/>
      <c r="W49" s="240">
        <f t="shared" si="8"/>
        <v>11.757699367476562</v>
      </c>
      <c r="X49" s="240">
        <f t="shared" si="9"/>
        <v>0.20342040428160144</v>
      </c>
      <c r="Y49"/>
      <c r="Z49" s="13">
        <f t="shared" si="11"/>
        <v>128.5006237910753</v>
      </c>
      <c r="AA49" s="2"/>
      <c r="AB49" s="68"/>
      <c r="AC49" s="15">
        <f t="shared" si="10"/>
        <v>533.31024709447343</v>
      </c>
    </row>
    <row r="50" spans="1:29">
      <c r="A50" s="84">
        <f>'Q.1 &amp; 4'!K55</f>
        <v>3.7</v>
      </c>
      <c r="B50" s="141">
        <f>'Q.1 &amp; 4'!L55</f>
        <v>35.980200000000004</v>
      </c>
      <c r="C50" s="221"/>
      <c r="D50" s="23"/>
      <c r="E50" s="24"/>
      <c r="F50" s="22">
        <f t="shared" si="0"/>
        <v>0.19259259259258865</v>
      </c>
      <c r="G50" s="22">
        <f t="shared" si="3"/>
        <v>1.2737109304426397</v>
      </c>
      <c r="H50" s="22">
        <f t="shared" si="4"/>
        <v>0.24530729030746634</v>
      </c>
      <c r="I50" s="22">
        <f t="shared" si="5"/>
        <v>3.7091906721534833E-2</v>
      </c>
      <c r="J50" s="24"/>
      <c r="K50" s="24"/>
      <c r="L50" s="235">
        <f t="shared" si="6"/>
        <v>33.835791578753486</v>
      </c>
      <c r="M50" s="126"/>
      <c r="N50" s="126"/>
      <c r="O50" s="126"/>
      <c r="P50" s="10">
        <f t="shared" si="1"/>
        <v>2.1444084212465171</v>
      </c>
      <c r="Q50" s="10">
        <f t="shared" si="7"/>
        <v>4.5984874771129798</v>
      </c>
      <c r="R50" s="243"/>
      <c r="S50" s="244"/>
      <c r="T50" s="244"/>
      <c r="U50" s="245"/>
      <c r="W50" s="240">
        <f t="shared" si="8"/>
        <v>2.1444084212465171</v>
      </c>
      <c r="X50" s="240">
        <f t="shared" si="9"/>
        <v>5.9599680414408947E-2</v>
      </c>
      <c r="Y50"/>
      <c r="Z50" s="13">
        <f t="shared" si="11"/>
        <v>0.75811412049216809</v>
      </c>
      <c r="AA50" s="2"/>
      <c r="AB50" s="68"/>
      <c r="AC50" s="15">
        <f t="shared" si="10"/>
        <v>1.622339534329055</v>
      </c>
    </row>
    <row r="51" spans="1:29">
      <c r="A51" s="84">
        <f>'Q.1 &amp; 4'!K56</f>
        <v>3.7</v>
      </c>
      <c r="B51" s="141">
        <f>'Q.1 &amp; 4'!L56</f>
        <v>36.9</v>
      </c>
      <c r="C51" s="221"/>
      <c r="D51" s="23"/>
      <c r="E51" s="24"/>
      <c r="F51" s="22">
        <f t="shared" si="0"/>
        <v>0.19259259259258865</v>
      </c>
      <c r="G51" s="22">
        <f t="shared" si="3"/>
        <v>2.1935109304426348</v>
      </c>
      <c r="H51" s="22">
        <f t="shared" si="4"/>
        <v>0.42245395697412841</v>
      </c>
      <c r="I51" s="22">
        <f t="shared" si="5"/>
        <v>3.7091906721534833E-2</v>
      </c>
      <c r="J51" s="24"/>
      <c r="K51" s="24"/>
      <c r="L51" s="235">
        <f t="shared" si="6"/>
        <v>33.835791578753486</v>
      </c>
      <c r="M51" s="126"/>
      <c r="N51" s="126"/>
      <c r="O51" s="126"/>
      <c r="P51" s="10">
        <f t="shared" si="1"/>
        <v>3.0642084212465122</v>
      </c>
      <c r="Q51" s="10">
        <f t="shared" si="7"/>
        <v>9.3893732488380426</v>
      </c>
      <c r="R51" s="243"/>
      <c r="S51" s="244"/>
      <c r="T51" s="244"/>
      <c r="U51" s="245"/>
      <c r="W51" s="240">
        <f t="shared" si="8"/>
        <v>3.0642084212465122</v>
      </c>
      <c r="X51" s="240">
        <f t="shared" si="9"/>
        <v>8.304087862456673E-2</v>
      </c>
      <c r="Y51"/>
      <c r="Z51" s="13">
        <f t="shared" si="11"/>
        <v>0.75811412049216809</v>
      </c>
      <c r="AA51" s="2"/>
      <c r="AB51" s="68"/>
      <c r="AC51" s="15">
        <f t="shared" si="10"/>
        <v>4.8114902019713135</v>
      </c>
    </row>
    <row r="52" spans="1:29">
      <c r="A52" s="84">
        <f>'Q.1 &amp; 4'!K57</f>
        <v>3.7</v>
      </c>
      <c r="B52" s="141">
        <f>'Q.1 &amp; 4'!L57</f>
        <v>34.583199999999998</v>
      </c>
      <c r="C52" s="221"/>
      <c r="D52" s="23"/>
      <c r="E52" s="24"/>
      <c r="F52" s="22">
        <f t="shared" si="0"/>
        <v>0.19259259259258865</v>
      </c>
      <c r="G52" s="22">
        <f t="shared" si="3"/>
        <v>-0.12328906955736585</v>
      </c>
      <c r="H52" s="22">
        <f t="shared" si="4"/>
        <v>-2.3744561544381086E-2</v>
      </c>
      <c r="I52" s="22">
        <f t="shared" si="5"/>
        <v>3.7091906721534833E-2</v>
      </c>
      <c r="J52" s="24"/>
      <c r="K52" s="24"/>
      <c r="L52" s="235">
        <f t="shared" si="6"/>
        <v>33.835791578753486</v>
      </c>
      <c r="M52" s="126"/>
      <c r="N52" s="126"/>
      <c r="O52" s="126"/>
      <c r="P52" s="10">
        <f t="shared" si="1"/>
        <v>0.74740842124651152</v>
      </c>
      <c r="Q52" s="10">
        <f t="shared" si="7"/>
        <v>0.55861934815020287</v>
      </c>
      <c r="R52" s="243"/>
      <c r="S52" s="244"/>
      <c r="T52" s="244"/>
      <c r="U52" s="245"/>
      <c r="W52" s="240">
        <f t="shared" si="8"/>
        <v>0.74740842124651152</v>
      </c>
      <c r="X52" s="240">
        <f t="shared" si="9"/>
        <v>2.1611893093944793E-2</v>
      </c>
      <c r="Y52"/>
      <c r="Z52" s="13">
        <f t="shared" si="11"/>
        <v>0.75811412049216809</v>
      </c>
      <c r="AA52" s="2"/>
      <c r="AB52" s="68"/>
      <c r="AC52" s="15">
        <f t="shared" si="10"/>
        <v>1.5200194672320994E-2</v>
      </c>
    </row>
    <row r="53" spans="1:29">
      <c r="A53" s="84">
        <f>'Q.1 &amp; 4'!K58</f>
        <v>3.7</v>
      </c>
      <c r="B53" s="141">
        <f>'Q.1 &amp; 4'!L58</f>
        <v>34.9</v>
      </c>
      <c r="C53" s="221"/>
      <c r="D53" s="23"/>
      <c r="E53" s="24"/>
      <c r="F53" s="22">
        <f t="shared" si="0"/>
        <v>0.19259259259258865</v>
      </c>
      <c r="G53" s="22">
        <f t="shared" si="3"/>
        <v>0.19351093044263479</v>
      </c>
      <c r="H53" s="22">
        <f t="shared" si="4"/>
        <v>3.7268771788951126E-2</v>
      </c>
      <c r="I53" s="22">
        <f t="shared" si="5"/>
        <v>3.7091906721534833E-2</v>
      </c>
      <c r="J53" s="24"/>
      <c r="K53" s="24"/>
      <c r="L53" s="235">
        <f t="shared" si="6"/>
        <v>33.835791578753486</v>
      </c>
      <c r="M53" s="126"/>
      <c r="N53" s="126"/>
      <c r="O53" s="126"/>
      <c r="P53" s="10">
        <f t="shared" si="1"/>
        <v>1.0642084212465122</v>
      </c>
      <c r="Q53" s="10">
        <f t="shared" si="7"/>
        <v>1.1325395638519939</v>
      </c>
      <c r="R53" s="243"/>
      <c r="S53" s="244"/>
      <c r="T53" s="244"/>
      <c r="U53" s="245"/>
      <c r="W53" s="240">
        <f t="shared" si="8"/>
        <v>1.0642084212465122</v>
      </c>
      <c r="X53" s="240">
        <f t="shared" si="9"/>
        <v>3.0493077972679434E-2</v>
      </c>
      <c r="Y53"/>
      <c r="Z53" s="13">
        <f t="shared" si="11"/>
        <v>0.75811412049216809</v>
      </c>
      <c r="AA53" s="2"/>
      <c r="AB53" s="68"/>
      <c r="AC53" s="15">
        <f t="shared" si="10"/>
        <v>3.7446480200774242E-2</v>
      </c>
    </row>
    <row r="54" spans="1:29">
      <c r="A54" s="84">
        <f>'Q.1 &amp; 4'!K59</f>
        <v>2</v>
      </c>
      <c r="B54" s="141">
        <f>'Q.1 &amp; 4'!L59</f>
        <v>37.5</v>
      </c>
      <c r="C54" s="221"/>
      <c r="D54" s="23"/>
      <c r="E54" s="24"/>
      <c r="F54" s="22">
        <f t="shared" si="0"/>
        <v>-1.5074074074074115</v>
      </c>
      <c r="G54" s="22">
        <f t="shared" si="3"/>
        <v>2.7935109304426362</v>
      </c>
      <c r="H54" s="22">
        <f t="shared" si="4"/>
        <v>-4.2109590692227998</v>
      </c>
      <c r="I54" s="22">
        <f t="shared" si="5"/>
        <v>2.2722770919067341</v>
      </c>
      <c r="J54" s="24"/>
      <c r="K54" s="24"/>
      <c r="L54" s="235">
        <f t="shared" si="6"/>
        <v>41.52137135334938</v>
      </c>
      <c r="M54" s="126"/>
      <c r="N54" s="126"/>
      <c r="O54" s="126"/>
      <c r="P54" s="10">
        <f t="shared" si="1"/>
        <v>-4.0213713533493802</v>
      </c>
      <c r="Q54" s="10">
        <f t="shared" si="7"/>
        <v>16.171427561539026</v>
      </c>
      <c r="R54" s="243"/>
      <c r="S54" s="244"/>
      <c r="T54" s="244"/>
      <c r="U54" s="245"/>
      <c r="W54" s="240">
        <f t="shared" si="8"/>
        <v>4.0213713533493802</v>
      </c>
      <c r="X54" s="240">
        <f t="shared" si="9"/>
        <v>0.10723656942265014</v>
      </c>
      <c r="Y54"/>
      <c r="Z54" s="13">
        <f t="shared" si="11"/>
        <v>46.44262054194229</v>
      </c>
      <c r="AA54" s="2"/>
      <c r="AB54" s="68"/>
      <c r="AC54" s="15">
        <f t="shared" si="10"/>
        <v>7.8037033185024827</v>
      </c>
    </row>
    <row r="55" spans="1:29">
      <c r="A55" s="84">
        <f>'Q.1 &amp; 4'!K60</f>
        <v>2</v>
      </c>
      <c r="B55" s="141">
        <f>'Q.1 &amp; 4'!L60</f>
        <v>40</v>
      </c>
      <c r="C55" s="221"/>
      <c r="D55" s="23"/>
      <c r="E55" s="24"/>
      <c r="F55" s="22">
        <f t="shared" si="0"/>
        <v>-1.5074074074074115</v>
      </c>
      <c r="G55" s="22">
        <f t="shared" si="3"/>
        <v>5.2935109304426362</v>
      </c>
      <c r="H55" s="22">
        <f t="shared" si="4"/>
        <v>-7.9794775877413286</v>
      </c>
      <c r="I55" s="22">
        <f t="shared" si="5"/>
        <v>2.2722770919067341</v>
      </c>
      <c r="J55" s="24"/>
      <c r="K55" s="24"/>
      <c r="L55" s="235">
        <f t="shared" si="6"/>
        <v>41.52137135334938</v>
      </c>
      <c r="M55" s="126"/>
      <c r="N55" s="126"/>
      <c r="O55" s="126"/>
      <c r="P55" s="10">
        <f t="shared" si="1"/>
        <v>-1.5213713533493802</v>
      </c>
      <c r="Q55" s="10">
        <f t="shared" si="7"/>
        <v>2.3145707947921248</v>
      </c>
      <c r="R55" s="243"/>
      <c r="S55" s="244"/>
      <c r="T55" s="244"/>
      <c r="U55" s="245"/>
      <c r="W55" s="240">
        <f t="shared" si="8"/>
        <v>1.5213713533493802</v>
      </c>
      <c r="X55" s="240">
        <f t="shared" si="9"/>
        <v>3.8034283833734507E-2</v>
      </c>
      <c r="Y55"/>
      <c r="Z55" s="13">
        <f t="shared" si="11"/>
        <v>46.44262054194229</v>
      </c>
      <c r="AA55" s="2"/>
      <c r="AB55" s="68"/>
      <c r="AC55" s="15">
        <f t="shared" si="10"/>
        <v>28.021257970715663</v>
      </c>
    </row>
    <row r="56" spans="1:29">
      <c r="A56" s="84">
        <f>'Q.1 &amp; 4'!K61</f>
        <v>2.4</v>
      </c>
      <c r="B56" s="141">
        <f>'Q.1 &amp; 4'!L61</f>
        <v>33.6</v>
      </c>
      <c r="C56" s="221"/>
      <c r="D56" s="23"/>
      <c r="E56" s="24"/>
      <c r="F56" s="22">
        <f t="shared" si="0"/>
        <v>-1.1074074074074116</v>
      </c>
      <c r="G56" s="22">
        <f t="shared" si="3"/>
        <v>-1.1064890695573624</v>
      </c>
      <c r="H56" s="22">
        <f t="shared" si="4"/>
        <v>1.2253341918431577</v>
      </c>
      <c r="I56" s="22">
        <f t="shared" si="5"/>
        <v>1.2263511659808048</v>
      </c>
      <c r="J56" s="24"/>
      <c r="K56" s="24"/>
      <c r="L56" s="235">
        <f t="shared" si="6"/>
        <v>39.712999641679758</v>
      </c>
      <c r="M56" s="126"/>
      <c r="N56" s="126"/>
      <c r="O56" s="126"/>
      <c r="P56" s="10">
        <f t="shared" si="1"/>
        <v>-6.1129996416797567</v>
      </c>
      <c r="Q56" s="10">
        <f t="shared" si="7"/>
        <v>37.368764619176837</v>
      </c>
      <c r="R56" s="243"/>
      <c r="S56" s="244"/>
      <c r="T56" s="244"/>
      <c r="U56" s="245"/>
      <c r="W56" s="240">
        <f t="shared" si="8"/>
        <v>6.1129996416797567</v>
      </c>
      <c r="X56" s="240">
        <f t="shared" si="9"/>
        <v>0.18193451314523085</v>
      </c>
      <c r="Y56"/>
      <c r="Z56" s="13">
        <f t="shared" si="11"/>
        <v>25.065148108773304</v>
      </c>
      <c r="AA56" s="2"/>
      <c r="AB56" s="68"/>
      <c r="AC56" s="15">
        <f t="shared" si="10"/>
        <v>1.2243180610499176</v>
      </c>
    </row>
    <row r="57" spans="1:29">
      <c r="A57" s="84">
        <f>'Q.1 &amp; 4'!K62</f>
        <v>2.4</v>
      </c>
      <c r="B57" s="141">
        <f>'Q.1 &amp; 4'!L62</f>
        <v>36.4</v>
      </c>
      <c r="C57" s="221"/>
      <c r="D57" s="23"/>
      <c r="E57" s="24"/>
      <c r="F57" s="22">
        <f t="shared" si="0"/>
        <v>-1.1074074074074116</v>
      </c>
      <c r="G57" s="22">
        <f t="shared" si="3"/>
        <v>1.6935109304426348</v>
      </c>
      <c r="H57" s="22">
        <f t="shared" si="4"/>
        <v>-1.8754065488975915</v>
      </c>
      <c r="I57" s="22">
        <f t="shared" si="5"/>
        <v>1.2263511659808048</v>
      </c>
      <c r="J57" s="24"/>
      <c r="K57" s="24"/>
      <c r="L57" s="235">
        <f t="shared" si="6"/>
        <v>39.712999641679758</v>
      </c>
      <c r="M57" s="126"/>
      <c r="N57" s="126"/>
      <c r="O57" s="126"/>
      <c r="P57" s="10">
        <f t="shared" si="1"/>
        <v>-3.3129996416797596</v>
      </c>
      <c r="Q57" s="10">
        <f t="shared" si="7"/>
        <v>10.975966625770216</v>
      </c>
      <c r="R57" s="243"/>
      <c r="S57" s="244"/>
      <c r="T57" s="244"/>
      <c r="U57" s="245"/>
      <c r="W57" s="240">
        <f t="shared" si="8"/>
        <v>3.3129996416797596</v>
      </c>
      <c r="X57" s="240">
        <f t="shared" si="9"/>
        <v>9.1016473672520873E-2</v>
      </c>
      <c r="Y57"/>
      <c r="Z57" s="13">
        <f t="shared" si="11"/>
        <v>25.065148108773304</v>
      </c>
      <c r="AA57" s="2"/>
      <c r="AB57" s="68"/>
      <c r="AC57" s="15">
        <f t="shared" si="10"/>
        <v>2.8679792715286787</v>
      </c>
    </row>
    <row r="58" spans="1:29">
      <c r="A58" s="84">
        <f>'Q.1 &amp; 4'!K63</f>
        <v>3.8</v>
      </c>
      <c r="B58" s="141">
        <f>'Q.1 &amp; 4'!L63</f>
        <v>28.5532</v>
      </c>
      <c r="C58" s="221"/>
      <c r="D58" s="23"/>
      <c r="E58" s="24"/>
      <c r="F58" s="22">
        <f t="shared" si="0"/>
        <v>0.2925925925925883</v>
      </c>
      <c r="G58" s="22">
        <f t="shared" si="3"/>
        <v>-6.1532890695573634</v>
      </c>
      <c r="H58" s="22">
        <f t="shared" si="4"/>
        <v>-1.8004068018334243</v>
      </c>
      <c r="I58" s="22">
        <f t="shared" si="5"/>
        <v>8.5610425240052357E-2</v>
      </c>
      <c r="J58" s="24"/>
      <c r="K58" s="24"/>
      <c r="L58" s="235">
        <f t="shared" si="6"/>
        <v>33.383698650836088</v>
      </c>
      <c r="M58" s="126"/>
      <c r="N58" s="126"/>
      <c r="O58" s="126"/>
      <c r="P58" s="10">
        <f t="shared" si="1"/>
        <v>-4.8304986508360876</v>
      </c>
      <c r="Q58" s="10">
        <f t="shared" si="7"/>
        <v>23.333717215729262</v>
      </c>
      <c r="R58" s="243"/>
      <c r="S58" s="244"/>
      <c r="T58" s="244"/>
      <c r="U58" s="245"/>
      <c r="W58" s="240">
        <f t="shared" si="8"/>
        <v>4.8304986508360876</v>
      </c>
      <c r="X58" s="240">
        <f t="shared" si="9"/>
        <v>0.16917538667596232</v>
      </c>
      <c r="Y58"/>
      <c r="Z58" s="13">
        <f t="shared" si="11"/>
        <v>1.749774491860808</v>
      </c>
      <c r="AA58" s="2"/>
      <c r="AB58" s="68"/>
      <c r="AC58" s="15">
        <f t="shared" si="10"/>
        <v>37.862966373534121</v>
      </c>
    </row>
    <row r="59" spans="1:29">
      <c r="A59" s="84">
        <f>'Q.1 &amp; 4'!K64</f>
        <v>3.8</v>
      </c>
      <c r="B59" s="141">
        <f>'Q.1 &amp; 4'!L64</f>
        <v>27.372</v>
      </c>
      <c r="C59" s="221"/>
      <c r="D59" s="23"/>
      <c r="E59" s="24"/>
      <c r="F59" s="22">
        <f t="shared" si="0"/>
        <v>0.2925925925925883</v>
      </c>
      <c r="G59" s="22">
        <f t="shared" si="3"/>
        <v>-7.3344890695573639</v>
      </c>
      <c r="H59" s="22">
        <f t="shared" si="4"/>
        <v>-2.14601717220379</v>
      </c>
      <c r="I59" s="22">
        <f t="shared" si="5"/>
        <v>8.5610425240052357E-2</v>
      </c>
      <c r="J59" s="24"/>
      <c r="K59" s="24"/>
      <c r="L59" s="235">
        <f t="shared" si="6"/>
        <v>33.383698650836088</v>
      </c>
      <c r="M59" s="126"/>
      <c r="N59" s="126"/>
      <c r="O59" s="126"/>
      <c r="P59" s="10">
        <f t="shared" si="1"/>
        <v>-6.0116986508360881</v>
      </c>
      <c r="Q59" s="10">
        <f t="shared" si="7"/>
        <v>36.14052066846444</v>
      </c>
      <c r="R59" s="243"/>
      <c r="S59" s="244"/>
      <c r="T59" s="244"/>
      <c r="U59" s="245"/>
      <c r="W59" s="240">
        <f t="shared" si="8"/>
        <v>6.0116986508360881</v>
      </c>
      <c r="X59" s="240">
        <f t="shared" si="9"/>
        <v>0.21962949915373697</v>
      </c>
      <c r="Y59"/>
      <c r="Z59" s="13">
        <f t="shared" si="11"/>
        <v>1.749774491860808</v>
      </c>
      <c r="AA59" s="2"/>
      <c r="AB59" s="68"/>
      <c r="AC59" s="15">
        <f t="shared" si="10"/>
        <v>53.794729911456443</v>
      </c>
    </row>
    <row r="60" spans="1:29">
      <c r="A60" s="84">
        <f>'Q.1 &amp; 4'!K65</f>
        <v>2.9</v>
      </c>
      <c r="B60" s="141">
        <f>'Q.1 &amp; 4'!L65</f>
        <v>37.329599999999999</v>
      </c>
      <c r="C60" s="221"/>
      <c r="D60" s="23"/>
      <c r="E60" s="24"/>
      <c r="F60" s="22">
        <f t="shared" si="0"/>
        <v>-0.60740740740741161</v>
      </c>
      <c r="G60" s="22">
        <f t="shared" si="3"/>
        <v>2.6231109304426354</v>
      </c>
      <c r="H60" s="22">
        <f t="shared" si="4"/>
        <v>-1.5932970096022043</v>
      </c>
      <c r="I60" s="22">
        <f t="shared" si="5"/>
        <v>0.36894375857339329</v>
      </c>
      <c r="J60" s="24"/>
      <c r="K60" s="24"/>
      <c r="L60" s="235">
        <f t="shared" si="6"/>
        <v>37.452535002092731</v>
      </c>
      <c r="M60" s="126"/>
      <c r="N60" s="126"/>
      <c r="O60" s="126"/>
      <c r="P60" s="10">
        <f t="shared" si="1"/>
        <v>-0.12293500209273134</v>
      </c>
      <c r="Q60" s="10">
        <f t="shared" si="7"/>
        <v>1.5113014739539859E-2</v>
      </c>
      <c r="R60" s="243"/>
      <c r="S60" s="244"/>
      <c r="T60" s="244"/>
      <c r="U60" s="245"/>
      <c r="W60" s="240">
        <f t="shared" si="8"/>
        <v>0.12293500209273134</v>
      </c>
      <c r="X60" s="240">
        <f t="shared" si="9"/>
        <v>3.2932311648860781E-3</v>
      </c>
      <c r="Y60"/>
      <c r="Z60" s="13">
        <f t="shared" si="11"/>
        <v>7.5407682635940319</v>
      </c>
      <c r="AA60" s="2"/>
      <c r="AB60" s="68"/>
      <c r="AC60" s="15">
        <f t="shared" si="10"/>
        <v>6.8807109534076289</v>
      </c>
    </row>
    <row r="61" spans="1:29">
      <c r="A61" s="84">
        <f>'Q.1 &amp; 4'!K66</f>
        <v>2.9</v>
      </c>
      <c r="B61" s="141">
        <f>'Q.1 &amp; 4'!L66</f>
        <v>41.360799999999998</v>
      </c>
      <c r="C61" s="221"/>
      <c r="D61" s="23"/>
      <c r="E61" s="24"/>
      <c r="F61" s="22">
        <f t="shared" si="0"/>
        <v>-0.60740740740741161</v>
      </c>
      <c r="G61" s="22">
        <f t="shared" si="3"/>
        <v>6.6543109304426338</v>
      </c>
      <c r="H61" s="22">
        <f t="shared" si="4"/>
        <v>-4.0418777503429615</v>
      </c>
      <c r="I61" s="22">
        <f t="shared" si="5"/>
        <v>0.36894375857339329</v>
      </c>
      <c r="J61" s="24"/>
      <c r="K61" s="24"/>
      <c r="L61" s="235">
        <f t="shared" si="6"/>
        <v>37.452535002092731</v>
      </c>
      <c r="M61" s="126"/>
      <c r="N61" s="126"/>
      <c r="O61" s="126"/>
      <c r="P61" s="10">
        <f t="shared" si="1"/>
        <v>3.908264997907267</v>
      </c>
      <c r="Q61" s="10">
        <f t="shared" si="7"/>
        <v>15.274535293867089</v>
      </c>
      <c r="R61" s="243"/>
      <c r="S61" s="244"/>
      <c r="T61" s="244"/>
      <c r="U61" s="245"/>
      <c r="W61" s="240">
        <f t="shared" si="8"/>
        <v>3.908264997907267</v>
      </c>
      <c r="X61" s="240">
        <f t="shared" si="9"/>
        <v>9.4492006873833856E-2</v>
      </c>
      <c r="Y61"/>
      <c r="Z61" s="13">
        <f t="shared" si="11"/>
        <v>7.5407682635940319</v>
      </c>
      <c r="AA61" s="2"/>
      <c r="AB61" s="68"/>
      <c r="AC61" s="15">
        <f t="shared" si="10"/>
        <v>44.279853959008314</v>
      </c>
    </row>
    <row r="62" spans="1:29" ht="15.75" thickBot="1">
      <c r="A62" s="84">
        <f>'Q.1 &amp; 4'!K67</f>
        <v>3.4</v>
      </c>
      <c r="B62" s="141">
        <f>'Q.1 &amp; 4'!L67</f>
        <v>36.729900000000001</v>
      </c>
      <c r="C62" s="221"/>
      <c r="D62" s="23"/>
      <c r="E62" s="24"/>
      <c r="F62" s="22">
        <f t="shared" si="0"/>
        <v>-0.10740740740741161</v>
      </c>
      <c r="G62" s="22">
        <f t="shared" si="3"/>
        <v>2.0234109304426369</v>
      </c>
      <c r="H62" s="22">
        <f t="shared" si="4"/>
        <v>-0.2173293221586621</v>
      </c>
      <c r="I62" s="22">
        <f t="shared" si="5"/>
        <v>1.1536351165981699E-2</v>
      </c>
      <c r="J62" s="24"/>
      <c r="K62" s="24"/>
      <c r="L62" s="235">
        <f t="shared" si="6"/>
        <v>35.19207036250571</v>
      </c>
      <c r="M62" s="126"/>
      <c r="N62" s="126"/>
      <c r="O62" s="126"/>
      <c r="P62" s="10">
        <f t="shared" si="1"/>
        <v>1.5378296374942906</v>
      </c>
      <c r="Q62" s="10">
        <f t="shared" si="7"/>
        <v>2.3649199939558212</v>
      </c>
      <c r="R62" s="246"/>
      <c r="S62" s="247"/>
      <c r="T62" s="247"/>
      <c r="U62" s="248"/>
      <c r="W62" s="240">
        <f t="shared" si="8"/>
        <v>1.5378296374942906</v>
      </c>
      <c r="X62" s="240">
        <f t="shared" si="9"/>
        <v>4.186860398460901E-2</v>
      </c>
      <c r="Y62"/>
      <c r="Z62" s="13">
        <f t="shared" si="11"/>
        <v>0.23578919206138771</v>
      </c>
      <c r="AA62" s="2"/>
      <c r="AB62" s="68"/>
      <c r="AC62" s="15">
        <f t="shared" si="10"/>
        <v>4.0941917934347378</v>
      </c>
    </row>
    <row r="63" spans="1:29">
      <c r="A63" s="84">
        <f>'Q.1 &amp; 4'!K68</f>
        <v>3.4</v>
      </c>
      <c r="B63" s="141">
        <f>'Q.1 &amp; 4'!L68</f>
        <v>40.997799999999998</v>
      </c>
      <c r="C63" s="221"/>
      <c r="D63" s="23"/>
      <c r="E63" s="24"/>
      <c r="F63" s="22">
        <f t="shared" si="0"/>
        <v>-0.10740740740741161</v>
      </c>
      <c r="G63" s="22">
        <f t="shared" si="3"/>
        <v>6.2913109304426342</v>
      </c>
      <c r="H63" s="22">
        <f t="shared" si="4"/>
        <v>-0.67573339623275386</v>
      </c>
      <c r="I63" s="22">
        <f t="shared" si="5"/>
        <v>1.1536351165981699E-2</v>
      </c>
      <c r="J63" s="24"/>
      <c r="K63" s="24"/>
      <c r="L63" s="235">
        <f t="shared" si="6"/>
        <v>35.19207036250571</v>
      </c>
      <c r="M63" s="126"/>
      <c r="N63" s="126"/>
      <c r="O63" s="126"/>
      <c r="P63" s="10">
        <f t="shared" si="1"/>
        <v>5.8057296374942879</v>
      </c>
      <c r="Q63" s="10">
        <f t="shared" si="7"/>
        <v>33.706496623679556</v>
      </c>
      <c r="W63" s="240">
        <f t="shared" si="8"/>
        <v>5.8057296374942879</v>
      </c>
      <c r="X63" s="240">
        <f t="shared" si="9"/>
        <v>0.14161076051627863</v>
      </c>
      <c r="Y63"/>
      <c r="Z63" s="13">
        <f t="shared" si="11"/>
        <v>0.23578919206138771</v>
      </c>
      <c r="AA63" s="2"/>
      <c r="AB63" s="68"/>
      <c r="AC63" s="15">
        <f t="shared" si="10"/>
        <v>39.580593223506966</v>
      </c>
    </row>
    <row r="64" spans="1:29">
      <c r="A64" s="84">
        <f>'Q.1 &amp; 4'!K69</f>
        <v>2.9</v>
      </c>
      <c r="B64" s="141">
        <f>'Q.1 &amp; 4'!L69</f>
        <v>37.329599999999999</v>
      </c>
      <c r="C64" s="221"/>
      <c r="D64" s="23"/>
      <c r="E64" s="24"/>
      <c r="F64" s="22">
        <f t="shared" si="0"/>
        <v>-0.60740740740741161</v>
      </c>
      <c r="G64" s="22">
        <f t="shared" si="3"/>
        <v>2.6231109304426354</v>
      </c>
      <c r="H64" s="22">
        <f t="shared" si="4"/>
        <v>-1.5932970096022043</v>
      </c>
      <c r="I64" s="22">
        <f t="shared" si="5"/>
        <v>0.36894375857339329</v>
      </c>
      <c r="J64" s="24"/>
      <c r="K64" s="24"/>
      <c r="L64" s="235">
        <f t="shared" si="6"/>
        <v>37.452535002092731</v>
      </c>
      <c r="M64" s="126"/>
      <c r="N64" s="126"/>
      <c r="O64" s="126"/>
      <c r="P64" s="10">
        <f t="shared" si="1"/>
        <v>-0.12293500209273134</v>
      </c>
      <c r="Q64" s="10">
        <f t="shared" si="7"/>
        <v>1.5113014739539859E-2</v>
      </c>
      <c r="W64" s="240">
        <f t="shared" si="8"/>
        <v>0.12293500209273134</v>
      </c>
      <c r="X64" s="240">
        <f t="shared" si="9"/>
        <v>3.2932311648860781E-3</v>
      </c>
      <c r="Y64"/>
      <c r="Z64" s="13">
        <f t="shared" si="11"/>
        <v>7.5407682635940319</v>
      </c>
      <c r="AA64" s="2"/>
      <c r="AB64" s="68"/>
      <c r="AC64" s="15">
        <f t="shared" si="10"/>
        <v>6.8807109534076289</v>
      </c>
    </row>
    <row r="65" spans="1:29">
      <c r="A65" s="84">
        <f>'Q.1 &amp; 4'!K70</f>
        <v>2.9</v>
      </c>
      <c r="B65" s="141">
        <f>'Q.1 &amp; 4'!L70</f>
        <v>41.360799999999998</v>
      </c>
      <c r="C65" s="221"/>
      <c r="D65" s="23"/>
      <c r="E65" s="24"/>
      <c r="F65" s="22">
        <f t="shared" si="0"/>
        <v>-0.60740740740741161</v>
      </c>
      <c r="G65" s="22">
        <f t="shared" si="3"/>
        <v>6.6543109304426338</v>
      </c>
      <c r="H65" s="22">
        <f t="shared" si="4"/>
        <v>-4.0418777503429615</v>
      </c>
      <c r="I65" s="22">
        <f t="shared" si="5"/>
        <v>0.36894375857339329</v>
      </c>
      <c r="J65" s="24"/>
      <c r="K65" s="24"/>
      <c r="L65" s="235">
        <f t="shared" si="6"/>
        <v>37.452535002092731</v>
      </c>
      <c r="M65" s="126"/>
      <c r="N65" s="126"/>
      <c r="O65" s="126"/>
      <c r="P65" s="10">
        <f t="shared" si="1"/>
        <v>3.908264997907267</v>
      </c>
      <c r="Q65" s="10">
        <f t="shared" si="7"/>
        <v>15.274535293867089</v>
      </c>
      <c r="W65" s="240">
        <f t="shared" si="8"/>
        <v>3.908264997907267</v>
      </c>
      <c r="X65" s="240">
        <f t="shared" si="9"/>
        <v>9.4492006873833856E-2</v>
      </c>
      <c r="Y65"/>
      <c r="Z65" s="13">
        <f t="shared" si="11"/>
        <v>7.5407682635940319</v>
      </c>
      <c r="AA65" s="2"/>
      <c r="AB65" s="68"/>
      <c r="AC65" s="15">
        <f t="shared" si="10"/>
        <v>44.279853959008314</v>
      </c>
    </row>
    <row r="66" spans="1:29">
      <c r="A66" s="84">
        <f>'Q.1 &amp; 4'!K71</f>
        <v>3.4</v>
      </c>
      <c r="B66" s="141">
        <f>'Q.1 &amp; 4'!L71</f>
        <v>36.729900000000001</v>
      </c>
      <c r="C66" s="221"/>
      <c r="D66" s="23"/>
      <c r="E66" s="24"/>
      <c r="F66" s="22">
        <f t="shared" si="0"/>
        <v>-0.10740740740741161</v>
      </c>
      <c r="G66" s="22">
        <f t="shared" si="3"/>
        <v>2.0234109304426369</v>
      </c>
      <c r="H66" s="22">
        <f t="shared" si="4"/>
        <v>-0.2173293221586621</v>
      </c>
      <c r="I66" s="22">
        <f t="shared" si="5"/>
        <v>1.1536351165981699E-2</v>
      </c>
      <c r="J66" s="24"/>
      <c r="K66" s="24"/>
      <c r="L66" s="235">
        <f t="shared" si="6"/>
        <v>35.19207036250571</v>
      </c>
      <c r="M66" s="126"/>
      <c r="N66" s="126"/>
      <c r="O66" s="126"/>
      <c r="P66" s="10">
        <f t="shared" si="1"/>
        <v>1.5378296374942906</v>
      </c>
      <c r="Q66" s="10">
        <f t="shared" si="7"/>
        <v>2.3649199939558212</v>
      </c>
      <c r="W66" s="240">
        <f t="shared" si="8"/>
        <v>1.5378296374942906</v>
      </c>
      <c r="X66" s="240">
        <f t="shared" si="9"/>
        <v>4.186860398460901E-2</v>
      </c>
      <c r="Y66"/>
      <c r="Z66" s="13">
        <f t="shared" si="11"/>
        <v>0.23578919206138771</v>
      </c>
      <c r="AA66" s="2"/>
      <c r="AB66" s="68"/>
      <c r="AC66" s="15">
        <f t="shared" si="10"/>
        <v>4.0941917934347378</v>
      </c>
    </row>
    <row r="67" spans="1:29">
      <c r="A67" s="84">
        <f>'Q.1 &amp; 4'!K72</f>
        <v>3.4</v>
      </c>
      <c r="B67" s="141">
        <f>'Q.1 &amp; 4'!L72</f>
        <v>40.997799999999998</v>
      </c>
      <c r="C67" s="221"/>
      <c r="D67" s="23"/>
      <c r="E67" s="24"/>
      <c r="F67" s="22">
        <f t="shared" si="0"/>
        <v>-0.10740740740741161</v>
      </c>
      <c r="G67" s="22">
        <f t="shared" si="3"/>
        <v>6.2913109304426342</v>
      </c>
      <c r="H67" s="22">
        <f t="shared" si="4"/>
        <v>-0.67573339623275386</v>
      </c>
      <c r="I67" s="22">
        <f t="shared" si="5"/>
        <v>1.1536351165981699E-2</v>
      </c>
      <c r="J67" s="24"/>
      <c r="K67" s="24"/>
      <c r="L67" s="235">
        <f t="shared" si="6"/>
        <v>35.19207036250571</v>
      </c>
      <c r="M67" s="126"/>
      <c r="N67" s="126"/>
      <c r="O67" s="126"/>
      <c r="P67" s="10">
        <f t="shared" si="1"/>
        <v>5.8057296374942879</v>
      </c>
      <c r="Q67" s="10">
        <f t="shared" si="7"/>
        <v>33.706496623679556</v>
      </c>
      <c r="W67" s="240">
        <f t="shared" si="8"/>
        <v>5.8057296374942879</v>
      </c>
      <c r="X67" s="240">
        <f t="shared" si="9"/>
        <v>0.14161076051627863</v>
      </c>
      <c r="Y67"/>
      <c r="Z67" s="13">
        <f t="shared" si="11"/>
        <v>0.23578919206138771</v>
      </c>
      <c r="AA67" s="2"/>
      <c r="AB67" s="68"/>
      <c r="AC67" s="15">
        <f t="shared" si="10"/>
        <v>39.580593223506966</v>
      </c>
    </row>
    <row r="68" spans="1:29">
      <c r="A68" s="84">
        <f>'Q.1 &amp; 4'!K73</f>
        <v>2</v>
      </c>
      <c r="B68" s="141">
        <f>'Q.1 &amp; 4'!L73</f>
        <v>37.5</v>
      </c>
      <c r="C68" s="221"/>
      <c r="D68" s="23"/>
      <c r="E68" s="24"/>
      <c r="F68" s="22">
        <f t="shared" si="0"/>
        <v>-1.5074074074074115</v>
      </c>
      <c r="G68" s="22">
        <f t="shared" si="3"/>
        <v>2.7935109304426362</v>
      </c>
      <c r="H68" s="22">
        <f t="shared" si="4"/>
        <v>-4.2109590692227998</v>
      </c>
      <c r="I68" s="22">
        <f t="shared" si="5"/>
        <v>2.2722770919067341</v>
      </c>
      <c r="J68" s="24"/>
      <c r="K68" s="24"/>
      <c r="L68" s="235">
        <f t="shared" si="6"/>
        <v>41.52137135334938</v>
      </c>
      <c r="M68" s="126"/>
      <c r="N68" s="126"/>
      <c r="O68" s="126"/>
      <c r="P68" s="10">
        <f t="shared" si="1"/>
        <v>-4.0213713533493802</v>
      </c>
      <c r="Q68" s="10">
        <f t="shared" si="7"/>
        <v>16.171427561539026</v>
      </c>
      <c r="W68" s="240">
        <f t="shared" si="8"/>
        <v>4.0213713533493802</v>
      </c>
      <c r="X68" s="240">
        <f t="shared" si="9"/>
        <v>0.10723656942265014</v>
      </c>
      <c r="Y68"/>
      <c r="Z68" s="13">
        <f t="shared" si="11"/>
        <v>46.44262054194229</v>
      </c>
      <c r="AA68" s="2"/>
      <c r="AB68" s="68"/>
      <c r="AC68" s="15">
        <f t="shared" si="10"/>
        <v>7.8037033185024827</v>
      </c>
    </row>
    <row r="69" spans="1:29">
      <c r="A69" s="84">
        <f>'Q.1 &amp; 4'!K74</f>
        <v>2</v>
      </c>
      <c r="B69" s="141">
        <f>'Q.1 &amp; 4'!L74</f>
        <v>40</v>
      </c>
      <c r="C69" s="221"/>
      <c r="D69" s="23"/>
      <c r="E69" s="24"/>
      <c r="F69" s="22">
        <f t="shared" si="0"/>
        <v>-1.5074074074074115</v>
      </c>
      <c r="G69" s="22">
        <f t="shared" si="3"/>
        <v>5.2935109304426362</v>
      </c>
      <c r="H69" s="22">
        <f t="shared" si="4"/>
        <v>-7.9794775877413286</v>
      </c>
      <c r="I69" s="22">
        <f t="shared" si="5"/>
        <v>2.2722770919067341</v>
      </c>
      <c r="J69" s="24"/>
      <c r="K69" s="24"/>
      <c r="L69" s="235">
        <f t="shared" si="6"/>
        <v>41.52137135334938</v>
      </c>
      <c r="M69" s="126"/>
      <c r="N69" s="126"/>
      <c r="O69" s="126"/>
      <c r="P69" s="10">
        <f t="shared" si="1"/>
        <v>-1.5213713533493802</v>
      </c>
      <c r="Q69" s="10">
        <f t="shared" si="7"/>
        <v>2.3145707947921248</v>
      </c>
      <c r="W69" s="240">
        <f t="shared" si="8"/>
        <v>1.5213713533493802</v>
      </c>
      <c r="X69" s="240">
        <f t="shared" si="9"/>
        <v>3.8034283833734507E-2</v>
      </c>
      <c r="Y69"/>
      <c r="Z69" s="13">
        <f t="shared" si="11"/>
        <v>46.44262054194229</v>
      </c>
      <c r="AA69" s="2"/>
      <c r="AB69" s="68"/>
      <c r="AC69" s="15">
        <f t="shared" si="10"/>
        <v>28.021257970715663</v>
      </c>
    </row>
    <row r="70" spans="1:29">
      <c r="A70" s="84">
        <f>'Q.1 &amp; 4'!K75</f>
        <v>2.4</v>
      </c>
      <c r="B70" s="141">
        <f>'Q.1 &amp; 4'!L75</f>
        <v>36.4</v>
      </c>
      <c r="C70" s="221"/>
      <c r="D70" s="23"/>
      <c r="E70" s="24"/>
      <c r="F70" s="22">
        <f t="shared" ref="F70:F133" si="12">A70-$D$6</f>
        <v>-1.1074074074074116</v>
      </c>
      <c r="G70" s="22">
        <f t="shared" ref="G70:G133" si="13">B70-$E$6</f>
        <v>1.6935109304426348</v>
      </c>
      <c r="H70" s="22">
        <f t="shared" si="4"/>
        <v>-1.8754065488975915</v>
      </c>
      <c r="I70" s="22">
        <f t="shared" si="5"/>
        <v>1.2263511659808048</v>
      </c>
      <c r="J70" s="24"/>
      <c r="K70" s="24"/>
      <c r="L70" s="235">
        <f t="shared" ref="L70:L133" si="14">$K$6+$J$6*A70</f>
        <v>39.712999641679758</v>
      </c>
      <c r="M70" s="126"/>
      <c r="N70" s="126"/>
      <c r="O70" s="126"/>
      <c r="P70" s="10">
        <f t="shared" ref="P70:P133" si="15">B70-L70</f>
        <v>-3.3129996416797596</v>
      </c>
      <c r="Q70" s="10">
        <f t="shared" si="7"/>
        <v>10.975966625770216</v>
      </c>
      <c r="W70" s="240">
        <f t="shared" si="8"/>
        <v>3.3129996416797596</v>
      </c>
      <c r="X70" s="240">
        <f t="shared" si="9"/>
        <v>9.1016473672520873E-2</v>
      </c>
      <c r="Y70"/>
      <c r="Z70" s="13">
        <f t="shared" ref="Z70:Z133" si="16">(L70-$E$6)^2</f>
        <v>25.065148108773304</v>
      </c>
      <c r="AA70" s="2"/>
      <c r="AB70" s="68"/>
      <c r="AC70" s="15">
        <f t="shared" ref="AC70:AC133" si="17">(B70-$E$6)^2</f>
        <v>2.8679792715286787</v>
      </c>
    </row>
    <row r="71" spans="1:29">
      <c r="A71" s="84">
        <f>'Q.1 &amp; 4'!K76</f>
        <v>2.4</v>
      </c>
      <c r="B71" s="141">
        <f>'Q.1 &amp; 4'!L76</f>
        <v>33.6</v>
      </c>
      <c r="C71" s="221"/>
      <c r="D71" s="23"/>
      <c r="E71" s="24"/>
      <c r="F71" s="22">
        <f t="shared" si="12"/>
        <v>-1.1074074074074116</v>
      </c>
      <c r="G71" s="22">
        <f t="shared" si="13"/>
        <v>-1.1064890695573624</v>
      </c>
      <c r="H71" s="22">
        <f t="shared" ref="H71:H134" si="18">F71*G71</f>
        <v>1.2253341918431577</v>
      </c>
      <c r="I71" s="22">
        <f t="shared" ref="I71:I134" si="19">F71^2</f>
        <v>1.2263511659808048</v>
      </c>
      <c r="J71" s="24"/>
      <c r="K71" s="24"/>
      <c r="L71" s="235">
        <f t="shared" si="14"/>
        <v>39.712999641679758</v>
      </c>
      <c r="M71" s="126"/>
      <c r="N71" s="126"/>
      <c r="O71" s="126"/>
      <c r="P71" s="10">
        <f t="shared" si="15"/>
        <v>-6.1129996416797567</v>
      </c>
      <c r="Q71" s="10">
        <f t="shared" ref="Q71:Q134" si="20">P71^2</f>
        <v>37.368764619176837</v>
      </c>
      <c r="W71" s="240">
        <f t="shared" ref="W71:W134" si="21">ABS(P71)</f>
        <v>6.1129996416797567</v>
      </c>
      <c r="X71" s="240">
        <f t="shared" ref="X71:X134" si="22">W71/B71</f>
        <v>0.18193451314523085</v>
      </c>
      <c r="Y71"/>
      <c r="Z71" s="13">
        <f t="shared" si="16"/>
        <v>25.065148108773304</v>
      </c>
      <c r="AA71" s="2"/>
      <c r="AB71" s="68"/>
      <c r="AC71" s="15">
        <f t="shared" si="17"/>
        <v>1.2243180610499176</v>
      </c>
    </row>
    <row r="72" spans="1:29">
      <c r="A72" s="84">
        <f>'Q.1 &amp; 4'!K77</f>
        <v>4.2</v>
      </c>
      <c r="B72" s="141">
        <f>'Q.1 &amp; 4'!L77</f>
        <v>27.471</v>
      </c>
      <c r="C72" s="221"/>
      <c r="D72" s="23"/>
      <c r="E72" s="24"/>
      <c r="F72" s="22">
        <f t="shared" si="12"/>
        <v>0.69259259259258865</v>
      </c>
      <c r="G72" s="22">
        <f t="shared" si="13"/>
        <v>-7.2354890695573637</v>
      </c>
      <c r="H72" s="22">
        <f t="shared" si="18"/>
        <v>-5.0112461333600713</v>
      </c>
      <c r="I72" s="22">
        <f t="shared" si="19"/>
        <v>0.47968449931412349</v>
      </c>
      <c r="J72" s="24"/>
      <c r="K72" s="24"/>
      <c r="L72" s="235">
        <f t="shared" si="14"/>
        <v>31.575326939166466</v>
      </c>
      <c r="M72" s="126"/>
      <c r="N72" s="126"/>
      <c r="O72" s="126"/>
      <c r="P72" s="10">
        <f t="shared" si="15"/>
        <v>-4.1043269391664658</v>
      </c>
      <c r="Q72" s="10">
        <f t="shared" si="20"/>
        <v>16.845499623567569</v>
      </c>
      <c r="W72" s="240">
        <f t="shared" si="21"/>
        <v>4.1043269391664658</v>
      </c>
      <c r="X72" s="240">
        <f t="shared" si="22"/>
        <v>0.14940580754855906</v>
      </c>
      <c r="Y72"/>
      <c r="Z72" s="13">
        <f t="shared" si="16"/>
        <v>9.8041762867940658</v>
      </c>
      <c r="AA72" s="2"/>
      <c r="AB72" s="68"/>
      <c r="AC72" s="15">
        <f t="shared" si="17"/>
        <v>52.352302075684086</v>
      </c>
    </row>
    <row r="73" spans="1:29">
      <c r="A73" s="84">
        <f>'Q.1 &amp; 4'!K78</f>
        <v>5.9</v>
      </c>
      <c r="B73" s="141">
        <f>'Q.1 &amp; 4'!L78</f>
        <v>23.6523</v>
      </c>
      <c r="C73" s="221"/>
      <c r="D73" s="23"/>
      <c r="E73" s="24"/>
      <c r="F73" s="22">
        <f t="shared" si="12"/>
        <v>2.3925925925925888</v>
      </c>
      <c r="G73" s="22">
        <f t="shared" si="13"/>
        <v>-11.054189069557363</v>
      </c>
      <c r="H73" s="22">
        <f t="shared" si="18"/>
        <v>-26.448170884940911</v>
      </c>
      <c r="I73" s="22">
        <f t="shared" si="19"/>
        <v>5.7244993141289253</v>
      </c>
      <c r="J73" s="24"/>
      <c r="K73" s="24"/>
      <c r="L73" s="235">
        <f t="shared" si="14"/>
        <v>23.889747164570576</v>
      </c>
      <c r="M73" s="126"/>
      <c r="N73" s="126"/>
      <c r="O73" s="126"/>
      <c r="P73" s="10">
        <f t="shared" si="15"/>
        <v>-0.23744716457057535</v>
      </c>
      <c r="Q73" s="10">
        <f t="shared" si="20"/>
        <v>5.6381155962605893E-2</v>
      </c>
      <c r="W73" s="240">
        <f t="shared" si="21"/>
        <v>0.23744716457057535</v>
      </c>
      <c r="X73" s="240">
        <f t="shared" si="22"/>
        <v>1.0039072926124536E-2</v>
      </c>
      <c r="Y73"/>
      <c r="Z73" s="13">
        <f t="shared" si="16"/>
        <v>117.00190543909721</v>
      </c>
      <c r="AA73" s="2"/>
      <c r="AB73" s="68"/>
      <c r="AC73" s="15">
        <f t="shared" si="17"/>
        <v>122.19509598552149</v>
      </c>
    </row>
    <row r="74" spans="1:29">
      <c r="A74" s="84">
        <f>'Q.1 &amp; 4'!K79</f>
        <v>5.9</v>
      </c>
      <c r="B74" s="141">
        <f>'Q.1 &amp; 4'!L79</f>
        <v>27.2408</v>
      </c>
      <c r="C74" s="221"/>
      <c r="D74" s="23"/>
      <c r="E74" s="24"/>
      <c r="F74" s="22">
        <f t="shared" si="12"/>
        <v>2.3925925925925888</v>
      </c>
      <c r="G74" s="22">
        <f t="shared" si="13"/>
        <v>-7.4656890695573637</v>
      </c>
      <c r="H74" s="22">
        <f t="shared" si="18"/>
        <v>-17.862352366422407</v>
      </c>
      <c r="I74" s="22">
        <f t="shared" si="19"/>
        <v>5.7244993141289253</v>
      </c>
      <c r="J74" s="24"/>
      <c r="K74" s="24"/>
      <c r="L74" s="235">
        <f t="shared" si="14"/>
        <v>23.889747164570576</v>
      </c>
      <c r="M74" s="126"/>
      <c r="N74" s="126"/>
      <c r="O74" s="126"/>
      <c r="P74" s="10">
        <f t="shared" si="15"/>
        <v>3.3510528354294244</v>
      </c>
      <c r="Q74" s="10">
        <f t="shared" si="20"/>
        <v>11.229555105839585</v>
      </c>
      <c r="W74" s="240">
        <f t="shared" si="21"/>
        <v>3.3510528354294244</v>
      </c>
      <c r="X74" s="240">
        <f t="shared" si="22"/>
        <v>0.12301594796883442</v>
      </c>
      <c r="Y74"/>
      <c r="Z74" s="13">
        <f t="shared" si="16"/>
        <v>117.00190543909721</v>
      </c>
      <c r="AA74" s="2"/>
      <c r="AB74" s="68"/>
      <c r="AC74" s="15">
        <f t="shared" si="17"/>
        <v>55.736513283308291</v>
      </c>
    </row>
    <row r="75" spans="1:29">
      <c r="A75" s="84">
        <f>'Q.1 &amp; 4'!K80</f>
        <v>5.9</v>
      </c>
      <c r="B75" s="141">
        <f>'Q.1 &amp; 4'!L80</f>
        <v>22.925799999999999</v>
      </c>
      <c r="C75" s="221"/>
      <c r="D75" s="23"/>
      <c r="E75" s="24"/>
      <c r="F75" s="22">
        <f t="shared" si="12"/>
        <v>2.3925925925925888</v>
      </c>
      <c r="G75" s="22">
        <f t="shared" si="13"/>
        <v>-11.780689069557365</v>
      </c>
      <c r="H75" s="22">
        <f t="shared" si="18"/>
        <v>-28.18638940345943</v>
      </c>
      <c r="I75" s="22">
        <f t="shared" si="19"/>
        <v>5.7244993141289253</v>
      </c>
      <c r="J75" s="24"/>
      <c r="K75" s="24"/>
      <c r="L75" s="235">
        <f t="shared" si="14"/>
        <v>23.889747164570576</v>
      </c>
      <c r="M75" s="126"/>
      <c r="N75" s="126"/>
      <c r="O75" s="126"/>
      <c r="P75" s="10">
        <f t="shared" si="15"/>
        <v>-0.96394716457057683</v>
      </c>
      <c r="Q75" s="10">
        <f t="shared" si="20"/>
        <v>0.92919413608365475</v>
      </c>
      <c r="W75" s="240">
        <f t="shared" si="21"/>
        <v>0.96394716457057683</v>
      </c>
      <c r="X75" s="240">
        <f t="shared" si="22"/>
        <v>4.2046391601190662E-2</v>
      </c>
      <c r="Y75"/>
      <c r="Z75" s="13">
        <f t="shared" si="16"/>
        <v>117.00190543909721</v>
      </c>
      <c r="AA75" s="2"/>
      <c r="AB75" s="68"/>
      <c r="AC75" s="15">
        <f t="shared" si="17"/>
        <v>138.78463495358838</v>
      </c>
    </row>
    <row r="76" spans="1:29">
      <c r="A76" s="84">
        <f>'Q.1 &amp; 4'!K81</f>
        <v>5.9</v>
      </c>
      <c r="B76" s="141">
        <f>'Q.1 &amp; 4'!L81</f>
        <v>24.6983</v>
      </c>
      <c r="C76" s="221"/>
      <c r="D76" s="23"/>
      <c r="E76" s="24"/>
      <c r="F76" s="22">
        <f t="shared" si="12"/>
        <v>2.3925925925925888</v>
      </c>
      <c r="G76" s="22">
        <f t="shared" si="13"/>
        <v>-10.008189069557364</v>
      </c>
      <c r="H76" s="22">
        <f t="shared" si="18"/>
        <v>-23.945519033089063</v>
      </c>
      <c r="I76" s="22">
        <f t="shared" si="19"/>
        <v>5.7244993141289253</v>
      </c>
      <c r="J76" s="24"/>
      <c r="K76" s="24"/>
      <c r="L76" s="235">
        <f t="shared" si="14"/>
        <v>23.889747164570576</v>
      </c>
      <c r="M76" s="126"/>
      <c r="N76" s="126"/>
      <c r="O76" s="126"/>
      <c r="P76" s="10">
        <f t="shared" si="15"/>
        <v>0.80855283542942402</v>
      </c>
      <c r="Q76" s="10">
        <f t="shared" si="20"/>
        <v>0.65375768768096121</v>
      </c>
      <c r="W76" s="240">
        <f t="shared" si="21"/>
        <v>0.80855283542942402</v>
      </c>
      <c r="X76" s="240">
        <f t="shared" si="22"/>
        <v>3.2737185775110998E-2</v>
      </c>
      <c r="Y76"/>
      <c r="Z76" s="13">
        <f t="shared" si="16"/>
        <v>117.00190543909721</v>
      </c>
      <c r="AA76" s="2"/>
      <c r="AB76" s="68"/>
      <c r="AC76" s="15">
        <f t="shared" si="17"/>
        <v>100.1638484520075</v>
      </c>
    </row>
    <row r="77" spans="1:29">
      <c r="A77" s="84">
        <f>'Q.1 &amp; 4'!K82</f>
        <v>4.3</v>
      </c>
      <c r="B77" s="141">
        <f>'Q.1 &amp; 4'!L82</f>
        <v>26.1157</v>
      </c>
      <c r="C77" s="221"/>
      <c r="D77" s="23"/>
      <c r="E77" s="24"/>
      <c r="F77" s="22">
        <f t="shared" si="12"/>
        <v>0.7925925925925883</v>
      </c>
      <c r="G77" s="22">
        <f t="shared" si="13"/>
        <v>-8.5907890695573634</v>
      </c>
      <c r="H77" s="22">
        <f t="shared" si="18"/>
        <v>-6.8089957810565398</v>
      </c>
      <c r="I77" s="22">
        <f t="shared" si="19"/>
        <v>0.62820301783264065</v>
      </c>
      <c r="J77" s="24"/>
      <c r="K77" s="24"/>
      <c r="L77" s="235">
        <f t="shared" si="14"/>
        <v>31.123234011249064</v>
      </c>
      <c r="M77" s="126"/>
      <c r="N77" s="126"/>
      <c r="O77" s="126"/>
      <c r="P77" s="10">
        <f t="shared" si="15"/>
        <v>-5.0075340112490636</v>
      </c>
      <c r="Q77" s="10">
        <f t="shared" si="20"/>
        <v>25.075396873816135</v>
      </c>
      <c r="W77" s="240">
        <f t="shared" si="21"/>
        <v>5.0075340112490636</v>
      </c>
      <c r="X77" s="240">
        <f t="shared" si="22"/>
        <v>0.19174420027987241</v>
      </c>
      <c r="Y77"/>
      <c r="Z77" s="13">
        <f t="shared" si="16"/>
        <v>12.839716812892018</v>
      </c>
      <c r="AA77" s="2"/>
      <c r="AB77" s="68"/>
      <c r="AC77" s="15">
        <f t="shared" si="17"/>
        <v>73.801656837626268</v>
      </c>
    </row>
    <row r="78" spans="1:29">
      <c r="A78" s="84">
        <f>'Q.1 &amp; 4'!K83</f>
        <v>5</v>
      </c>
      <c r="B78" s="141">
        <f>'Q.1 &amp; 4'!L83</f>
        <v>32.880800000000001</v>
      </c>
      <c r="C78" s="221"/>
      <c r="D78" s="23"/>
      <c r="E78" s="24"/>
      <c r="F78" s="22">
        <f t="shared" si="12"/>
        <v>1.4925925925925885</v>
      </c>
      <c r="G78" s="22">
        <f t="shared" si="13"/>
        <v>-1.8256890695573631</v>
      </c>
      <c r="H78" s="22">
        <f t="shared" si="18"/>
        <v>-2.7250099815985753</v>
      </c>
      <c r="I78" s="22">
        <f t="shared" si="19"/>
        <v>2.2278326474622649</v>
      </c>
      <c r="J78" s="24"/>
      <c r="K78" s="24"/>
      <c r="L78" s="235">
        <f t="shared" si="14"/>
        <v>27.958583515827225</v>
      </c>
      <c r="M78" s="126"/>
      <c r="N78" s="126"/>
      <c r="O78" s="126"/>
      <c r="P78" s="10">
        <f t="shared" si="15"/>
        <v>4.9222164841727754</v>
      </c>
      <c r="Q78" s="10">
        <f t="shared" si="20"/>
        <v>24.228215117062199</v>
      </c>
      <c r="W78" s="240">
        <f t="shared" si="21"/>
        <v>4.9222164841727754</v>
      </c>
      <c r="X78" s="240">
        <f t="shared" si="22"/>
        <v>0.14969880550877032</v>
      </c>
      <c r="Y78"/>
      <c r="Z78" s="13">
        <f t="shared" si="16"/>
        <v>45.53422936206205</v>
      </c>
      <c r="AA78" s="2"/>
      <c r="AB78" s="68"/>
      <c r="AC78" s="15">
        <f t="shared" si="17"/>
        <v>3.3331405787012303</v>
      </c>
    </row>
    <row r="79" spans="1:29">
      <c r="A79" s="84">
        <f>'Q.1 &amp; 4'!K84</f>
        <v>5</v>
      </c>
      <c r="B79" s="141">
        <f>'Q.1 &amp; 4'!L84</f>
        <v>30.337800000000001</v>
      </c>
      <c r="C79" s="221"/>
      <c r="D79" s="23"/>
      <c r="E79" s="24"/>
      <c r="F79" s="22">
        <f t="shared" si="12"/>
        <v>1.4925925925925885</v>
      </c>
      <c r="G79" s="22">
        <f t="shared" si="13"/>
        <v>-4.3686890695573624</v>
      </c>
      <c r="H79" s="22">
        <f t="shared" si="18"/>
        <v>-6.5206729445615261</v>
      </c>
      <c r="I79" s="22">
        <f t="shared" si="19"/>
        <v>2.2278326474622649</v>
      </c>
      <c r="J79" s="24"/>
      <c r="K79" s="24"/>
      <c r="L79" s="235">
        <f t="shared" si="14"/>
        <v>27.958583515827225</v>
      </c>
      <c r="M79" s="126"/>
      <c r="N79" s="126"/>
      <c r="O79" s="126"/>
      <c r="P79" s="10">
        <f t="shared" si="15"/>
        <v>2.3792164841727761</v>
      </c>
      <c r="Q79" s="10">
        <f t="shared" si="20"/>
        <v>5.6606710785594654</v>
      </c>
      <c r="W79" s="240">
        <f t="shared" si="21"/>
        <v>2.3792164841727761</v>
      </c>
      <c r="X79" s="240">
        <f t="shared" si="22"/>
        <v>7.8424160096406986E-2</v>
      </c>
      <c r="Y79"/>
      <c r="Z79" s="13">
        <f t="shared" si="16"/>
        <v>45.53422936206205</v>
      </c>
      <c r="AA79" s="2"/>
      <c r="AB79" s="68"/>
      <c r="AC79" s="15">
        <f t="shared" si="17"/>
        <v>19.085444186469971</v>
      </c>
    </row>
    <row r="80" spans="1:29">
      <c r="A80" s="84">
        <f>'Q.1 &amp; 4'!K85</f>
        <v>5</v>
      </c>
      <c r="B80" s="141">
        <f>'Q.1 &amp; 4'!L85</f>
        <v>30.802700000000002</v>
      </c>
      <c r="C80" s="221"/>
      <c r="D80" s="23"/>
      <c r="E80" s="24"/>
      <c r="F80" s="22">
        <f t="shared" si="12"/>
        <v>1.4925925925925885</v>
      </c>
      <c r="G80" s="22">
        <f t="shared" si="13"/>
        <v>-3.9037890695573623</v>
      </c>
      <c r="H80" s="22">
        <f t="shared" si="18"/>
        <v>-5.8267666482652318</v>
      </c>
      <c r="I80" s="22">
        <f t="shared" si="19"/>
        <v>2.2278326474622649</v>
      </c>
      <c r="J80" s="24"/>
      <c r="K80" s="24"/>
      <c r="L80" s="235">
        <f t="shared" si="14"/>
        <v>27.958583515827225</v>
      </c>
      <c r="M80" s="126"/>
      <c r="N80" s="126"/>
      <c r="O80" s="126"/>
      <c r="P80" s="10">
        <f t="shared" si="15"/>
        <v>2.8441164841727762</v>
      </c>
      <c r="Q80" s="10">
        <f t="shared" si="20"/>
        <v>8.0889985755433127</v>
      </c>
      <c r="W80" s="240">
        <f t="shared" si="21"/>
        <v>2.8441164841727762</v>
      </c>
      <c r="X80" s="240">
        <f t="shared" si="22"/>
        <v>9.2333350134006953E-2</v>
      </c>
      <c r="Y80"/>
      <c r="Z80" s="13">
        <f t="shared" si="16"/>
        <v>45.53422936206205</v>
      </c>
      <c r="AA80" s="2"/>
      <c r="AB80" s="68"/>
      <c r="AC80" s="15">
        <f t="shared" si="17"/>
        <v>15.239569099595537</v>
      </c>
    </row>
    <row r="81" spans="1:29">
      <c r="A81" s="84">
        <f>'Q.1 &amp; 4'!K86</f>
        <v>4.3</v>
      </c>
      <c r="B81" s="141">
        <f>'Q.1 &amp; 4'!L86</f>
        <v>31.6</v>
      </c>
      <c r="C81" s="221"/>
      <c r="D81" s="23"/>
      <c r="E81" s="24"/>
      <c r="F81" s="22">
        <f t="shared" si="12"/>
        <v>0.7925925925925883</v>
      </c>
      <c r="G81" s="22">
        <f t="shared" si="13"/>
        <v>-3.1064890695573624</v>
      </c>
      <c r="H81" s="22">
        <f t="shared" si="18"/>
        <v>-2.4621802255010072</v>
      </c>
      <c r="I81" s="22">
        <f t="shared" si="19"/>
        <v>0.62820301783264065</v>
      </c>
      <c r="J81" s="24"/>
      <c r="K81" s="24"/>
      <c r="L81" s="235">
        <f t="shared" si="14"/>
        <v>31.123234011249064</v>
      </c>
      <c r="M81" s="126"/>
      <c r="N81" s="126"/>
      <c r="O81" s="126"/>
      <c r="P81" s="10">
        <f t="shared" si="15"/>
        <v>0.47676598875093745</v>
      </c>
      <c r="Q81" s="10">
        <f t="shared" si="20"/>
        <v>0.22730580802965902</v>
      </c>
      <c r="W81" s="240">
        <f t="shared" si="21"/>
        <v>0.47676598875093745</v>
      </c>
      <c r="X81" s="240">
        <f t="shared" si="22"/>
        <v>1.5087531289586627E-2</v>
      </c>
      <c r="Y81"/>
      <c r="Z81" s="13">
        <f t="shared" si="16"/>
        <v>12.839716812892018</v>
      </c>
      <c r="AA81" s="2"/>
      <c r="AB81" s="68"/>
      <c r="AC81" s="15">
        <f t="shared" si="17"/>
        <v>9.6502743392793668</v>
      </c>
    </row>
    <row r="82" spans="1:29">
      <c r="A82" s="84">
        <f>'Q.1 &amp; 4'!K87</f>
        <v>3.5</v>
      </c>
      <c r="B82" s="141">
        <f>'Q.1 &amp; 4'!L87</f>
        <v>35.5</v>
      </c>
      <c r="C82" s="221"/>
      <c r="D82" s="23"/>
      <c r="E82" s="24"/>
      <c r="F82" s="22">
        <f t="shared" si="12"/>
        <v>-7.4074074074115259E-3</v>
      </c>
      <c r="G82" s="22">
        <f t="shared" si="13"/>
        <v>0.79351093044263621</v>
      </c>
      <c r="H82" s="22">
        <f t="shared" si="18"/>
        <v>-5.8778587440227953E-3</v>
      </c>
      <c r="I82" s="22">
        <f t="shared" si="19"/>
        <v>5.4869684499375142E-5</v>
      </c>
      <c r="J82" s="24"/>
      <c r="K82" s="24"/>
      <c r="L82" s="235">
        <f t="shared" si="14"/>
        <v>34.739977434588305</v>
      </c>
      <c r="M82" s="126"/>
      <c r="N82" s="126"/>
      <c r="O82" s="126"/>
      <c r="P82" s="10">
        <f t="shared" si="15"/>
        <v>0.76002256541169544</v>
      </c>
      <c r="Q82" s="10">
        <f t="shared" si="20"/>
        <v>0.57763429993497484</v>
      </c>
      <c r="W82" s="240">
        <f t="shared" si="21"/>
        <v>0.76002256541169544</v>
      </c>
      <c r="X82" s="240">
        <f t="shared" si="22"/>
        <v>2.1409086349625222E-2</v>
      </c>
      <c r="Y82"/>
      <c r="Z82" s="13">
        <f t="shared" si="16"/>
        <v>1.1214705924455365E-3</v>
      </c>
      <c r="AA82" s="2"/>
      <c r="AB82" s="68"/>
      <c r="AC82" s="15">
        <f t="shared" si="17"/>
        <v>0.62965959673193828</v>
      </c>
    </row>
    <row r="83" spans="1:29">
      <c r="A83" s="84">
        <f>'Q.1 &amp; 4'!K88</f>
        <v>1.6</v>
      </c>
      <c r="B83" s="141">
        <f>'Q.1 &amp; 4'!L88</f>
        <v>51.655500000000004</v>
      </c>
      <c r="C83" s="221"/>
      <c r="D83" s="23"/>
      <c r="E83" s="24"/>
      <c r="F83" s="22">
        <f t="shared" si="12"/>
        <v>-1.9074074074074114</v>
      </c>
      <c r="G83" s="22">
        <f t="shared" si="13"/>
        <v>16.94901093044264</v>
      </c>
      <c r="H83" s="22">
        <f t="shared" si="18"/>
        <v>-32.328668996955471</v>
      </c>
      <c r="I83" s="22">
        <f t="shared" si="19"/>
        <v>3.6382030178326628</v>
      </c>
      <c r="J83" s="24"/>
      <c r="K83" s="24"/>
      <c r="L83" s="235">
        <f t="shared" si="14"/>
        <v>43.329743065019002</v>
      </c>
      <c r="M83" s="126"/>
      <c r="N83" s="126"/>
      <c r="O83" s="126"/>
      <c r="P83" s="10">
        <f t="shared" si="15"/>
        <v>8.3257569349810012</v>
      </c>
      <c r="Q83" s="10">
        <f t="shared" si="20"/>
        <v>69.31822854038424</v>
      </c>
      <c r="W83" s="240">
        <f t="shared" si="21"/>
        <v>8.3257569349810012</v>
      </c>
      <c r="X83" s="240">
        <f t="shared" si="22"/>
        <v>0.16117851796964505</v>
      </c>
      <c r="Y83"/>
      <c r="Z83" s="13">
        <f t="shared" si="16"/>
        <v>74.360509470245105</v>
      </c>
      <c r="AA83" s="2"/>
      <c r="AB83" s="68"/>
      <c r="AC83" s="15">
        <f t="shared" si="17"/>
        <v>287.26897152026407</v>
      </c>
    </row>
    <row r="84" spans="1:29">
      <c r="A84" s="84">
        <f>'Q.1 &amp; 4'!K89</f>
        <v>1.6</v>
      </c>
      <c r="B84" s="141">
        <f>'Q.1 &amp; 4'!L89</f>
        <v>47.202500000000001</v>
      </c>
      <c r="C84" s="221"/>
      <c r="D84" s="23"/>
      <c r="E84" s="24"/>
      <c r="F84" s="22">
        <f t="shared" si="12"/>
        <v>-1.9074074074074114</v>
      </c>
      <c r="G84" s="22">
        <f t="shared" si="13"/>
        <v>12.496010930442637</v>
      </c>
      <c r="H84" s="22">
        <f t="shared" si="18"/>
        <v>-23.834983811770265</v>
      </c>
      <c r="I84" s="22">
        <f t="shared" si="19"/>
        <v>3.6382030178326628</v>
      </c>
      <c r="J84" s="24"/>
      <c r="K84" s="24"/>
      <c r="L84" s="235">
        <f t="shared" si="14"/>
        <v>43.329743065019002</v>
      </c>
      <c r="M84" s="126"/>
      <c r="N84" s="126"/>
      <c r="O84" s="126"/>
      <c r="P84" s="10">
        <f t="shared" si="15"/>
        <v>3.8727569349809983</v>
      </c>
      <c r="Q84" s="10">
        <f t="shared" si="20"/>
        <v>14.998246277443416</v>
      </c>
      <c r="W84" s="240">
        <f t="shared" si="21"/>
        <v>3.8727569349809983</v>
      </c>
      <c r="X84" s="240">
        <f t="shared" si="22"/>
        <v>8.2045589428123469E-2</v>
      </c>
      <c r="Y84"/>
      <c r="Z84" s="13">
        <f t="shared" si="16"/>
        <v>74.360509470245105</v>
      </c>
      <c r="AA84" s="2"/>
      <c r="AB84" s="68"/>
      <c r="AC84" s="15">
        <f t="shared" si="17"/>
        <v>156.15028917374184</v>
      </c>
    </row>
    <row r="85" spans="1:29">
      <c r="A85" s="84">
        <f>'Q.1 &amp; 4'!K90</f>
        <v>1.6</v>
      </c>
      <c r="B85" s="141">
        <f>'Q.1 &amp; 4'!L90</f>
        <v>52</v>
      </c>
      <c r="C85" s="221"/>
      <c r="D85" s="23"/>
      <c r="E85" s="24"/>
      <c r="F85" s="22">
        <f t="shared" si="12"/>
        <v>-1.9074074074074114</v>
      </c>
      <c r="G85" s="22">
        <f t="shared" si="13"/>
        <v>17.293510930442636</v>
      </c>
      <c r="H85" s="22">
        <f t="shared" si="18"/>
        <v>-32.98577084880732</v>
      </c>
      <c r="I85" s="22">
        <f t="shared" si="19"/>
        <v>3.6382030178326628</v>
      </c>
      <c r="J85" s="24"/>
      <c r="K85" s="24"/>
      <c r="L85" s="235">
        <f t="shared" si="14"/>
        <v>43.329743065019002</v>
      </c>
      <c r="M85" s="126"/>
      <c r="N85" s="126"/>
      <c r="O85" s="126"/>
      <c r="P85" s="10">
        <f t="shared" si="15"/>
        <v>8.6702569349809977</v>
      </c>
      <c r="Q85" s="10">
        <f t="shared" si="20"/>
        <v>75.17335531858609</v>
      </c>
      <c r="W85" s="240">
        <f t="shared" si="21"/>
        <v>8.6702569349809977</v>
      </c>
      <c r="X85" s="240">
        <f t="shared" si="22"/>
        <v>0.16673571028809611</v>
      </c>
      <c r="Y85"/>
      <c r="Z85" s="13">
        <f t="shared" si="16"/>
        <v>74.360509470245105</v>
      </c>
      <c r="AA85" s="2"/>
      <c r="AB85" s="68"/>
      <c r="AC85" s="15">
        <f t="shared" si="17"/>
        <v>299.06552030133895</v>
      </c>
    </row>
    <row r="86" spans="1:29">
      <c r="A86" s="84">
        <f>'Q.1 &amp; 4'!K91</f>
        <v>1.6</v>
      </c>
      <c r="B86" s="141">
        <f>'Q.1 &amp; 4'!L91</f>
        <v>47.202500000000001</v>
      </c>
      <c r="C86" s="221"/>
      <c r="D86" s="23"/>
      <c r="E86" s="24"/>
      <c r="F86" s="22">
        <f t="shared" si="12"/>
        <v>-1.9074074074074114</v>
      </c>
      <c r="G86" s="22">
        <f t="shared" si="13"/>
        <v>12.496010930442637</v>
      </c>
      <c r="H86" s="22">
        <f t="shared" si="18"/>
        <v>-23.834983811770265</v>
      </c>
      <c r="I86" s="22">
        <f t="shared" si="19"/>
        <v>3.6382030178326628</v>
      </c>
      <c r="J86" s="24"/>
      <c r="K86" s="24"/>
      <c r="L86" s="235">
        <f t="shared" si="14"/>
        <v>43.329743065019002</v>
      </c>
      <c r="M86" s="126"/>
      <c r="N86" s="126"/>
      <c r="O86" s="126"/>
      <c r="P86" s="10">
        <f t="shared" si="15"/>
        <v>3.8727569349809983</v>
      </c>
      <c r="Q86" s="10">
        <f t="shared" si="20"/>
        <v>14.998246277443416</v>
      </c>
      <c r="W86" s="240">
        <f t="shared" si="21"/>
        <v>3.8727569349809983</v>
      </c>
      <c r="X86" s="240">
        <f t="shared" si="22"/>
        <v>8.2045589428123469E-2</v>
      </c>
      <c r="Y86"/>
      <c r="Z86" s="13">
        <f t="shared" si="16"/>
        <v>74.360509470245105</v>
      </c>
      <c r="AA86" s="2"/>
      <c r="AB86" s="68"/>
      <c r="AC86" s="15">
        <f t="shared" si="17"/>
        <v>156.15028917374184</v>
      </c>
    </row>
    <row r="87" spans="1:29">
      <c r="A87" s="84">
        <f>'Q.1 &amp; 4'!K92</f>
        <v>1.6</v>
      </c>
      <c r="B87" s="141">
        <f>'Q.1 &amp; 4'!L92</f>
        <v>44.571399999999997</v>
      </c>
      <c r="C87" s="221"/>
      <c r="D87" s="23"/>
      <c r="E87" s="24"/>
      <c r="F87" s="22">
        <f t="shared" si="12"/>
        <v>-1.9074074074074114</v>
      </c>
      <c r="G87" s="22">
        <f t="shared" si="13"/>
        <v>9.8649109304426332</v>
      </c>
      <c r="H87" s="22">
        <f t="shared" si="18"/>
        <v>-18.816404182140619</v>
      </c>
      <c r="I87" s="22">
        <f t="shared" si="19"/>
        <v>3.6382030178326628</v>
      </c>
      <c r="J87" s="24"/>
      <c r="K87" s="24"/>
      <c r="L87" s="235">
        <f t="shared" si="14"/>
        <v>43.329743065019002</v>
      </c>
      <c r="M87" s="126"/>
      <c r="N87" s="126"/>
      <c r="O87" s="126"/>
      <c r="P87" s="10">
        <f t="shared" si="15"/>
        <v>1.2416569349809947</v>
      </c>
      <c r="Q87" s="10">
        <f t="shared" si="20"/>
        <v>1.5417119441863982</v>
      </c>
      <c r="W87" s="240">
        <f t="shared" si="21"/>
        <v>1.2416569349809947</v>
      </c>
      <c r="X87" s="240">
        <f t="shared" si="22"/>
        <v>2.7857705501307898E-2</v>
      </c>
      <c r="Y87"/>
      <c r="Z87" s="13">
        <f t="shared" si="16"/>
        <v>74.360509470245105</v>
      </c>
      <c r="AA87" s="2"/>
      <c r="AB87" s="68"/>
      <c r="AC87" s="15">
        <f t="shared" si="17"/>
        <v>97.316467665566535</v>
      </c>
    </row>
    <row r="88" spans="1:29">
      <c r="A88" s="84">
        <f>'Q.1 &amp; 4'!K93</f>
        <v>1.6</v>
      </c>
      <c r="B88" s="141">
        <f>'Q.1 &amp; 4'!L93</f>
        <v>47.7592</v>
      </c>
      <c r="C88" s="221"/>
      <c r="D88" s="23"/>
      <c r="E88" s="24"/>
      <c r="F88" s="22">
        <f t="shared" si="12"/>
        <v>-1.9074074074074114</v>
      </c>
      <c r="G88" s="22">
        <f t="shared" si="13"/>
        <v>13.052710930442636</v>
      </c>
      <c r="H88" s="22">
        <f t="shared" si="18"/>
        <v>-24.896837515473969</v>
      </c>
      <c r="I88" s="22">
        <f t="shared" si="19"/>
        <v>3.6382030178326628</v>
      </c>
      <c r="J88" s="24"/>
      <c r="K88" s="24"/>
      <c r="L88" s="235">
        <f t="shared" si="14"/>
        <v>43.329743065019002</v>
      </c>
      <c r="M88" s="126"/>
      <c r="N88" s="126"/>
      <c r="O88" s="126"/>
      <c r="P88" s="10">
        <f t="shared" si="15"/>
        <v>4.4294569349809976</v>
      </c>
      <c r="Q88" s="10">
        <f t="shared" si="20"/>
        <v>19.620088738851255</v>
      </c>
      <c r="W88" s="240">
        <f t="shared" si="21"/>
        <v>4.4294569349809976</v>
      </c>
      <c r="X88" s="240">
        <f t="shared" si="22"/>
        <v>9.2745626706079609E-2</v>
      </c>
      <c r="Y88"/>
      <c r="Z88" s="13">
        <f t="shared" si="16"/>
        <v>74.360509470245105</v>
      </c>
      <c r="AA88" s="2"/>
      <c r="AB88" s="68"/>
      <c r="AC88" s="15">
        <f t="shared" si="17"/>
        <v>170.37326263369667</v>
      </c>
    </row>
    <row r="89" spans="1:29">
      <c r="A89" s="84">
        <f>'Q.1 &amp; 4'!K94</f>
        <v>1.6</v>
      </c>
      <c r="B89" s="141">
        <f>'Q.1 &amp; 4'!L94</f>
        <v>44.571399999999997</v>
      </c>
      <c r="C89" s="221"/>
      <c r="D89" s="23"/>
      <c r="E89" s="24"/>
      <c r="F89" s="22">
        <f t="shared" si="12"/>
        <v>-1.9074074074074114</v>
      </c>
      <c r="G89" s="22">
        <f t="shared" si="13"/>
        <v>9.8649109304426332</v>
      </c>
      <c r="H89" s="22">
        <f t="shared" si="18"/>
        <v>-18.816404182140619</v>
      </c>
      <c r="I89" s="22">
        <f t="shared" si="19"/>
        <v>3.6382030178326628</v>
      </c>
      <c r="J89" s="24"/>
      <c r="K89" s="24"/>
      <c r="L89" s="235">
        <f t="shared" si="14"/>
        <v>43.329743065019002</v>
      </c>
      <c r="M89" s="126"/>
      <c r="N89" s="126"/>
      <c r="O89" s="126"/>
      <c r="P89" s="10">
        <f t="shared" si="15"/>
        <v>1.2416569349809947</v>
      </c>
      <c r="Q89" s="10">
        <f t="shared" si="20"/>
        <v>1.5417119441863982</v>
      </c>
      <c r="W89" s="240">
        <f t="shared" si="21"/>
        <v>1.2416569349809947</v>
      </c>
      <c r="X89" s="240">
        <f t="shared" si="22"/>
        <v>2.7857705501307898E-2</v>
      </c>
      <c r="Y89"/>
      <c r="Z89" s="13">
        <f t="shared" si="16"/>
        <v>74.360509470245105</v>
      </c>
      <c r="AA89" s="2"/>
      <c r="AB89" s="68"/>
      <c r="AC89" s="15">
        <f t="shared" si="17"/>
        <v>97.316467665566535</v>
      </c>
    </row>
    <row r="90" spans="1:29">
      <c r="A90" s="84">
        <f>'Q.1 &amp; 4'!K95</f>
        <v>1.6</v>
      </c>
      <c r="B90" s="141">
        <f>'Q.1 &amp; 4'!L95</f>
        <v>47.7592</v>
      </c>
      <c r="C90" s="221"/>
      <c r="D90" s="23"/>
      <c r="E90" s="24"/>
      <c r="F90" s="22">
        <f t="shared" si="12"/>
        <v>-1.9074074074074114</v>
      </c>
      <c r="G90" s="22">
        <f t="shared" si="13"/>
        <v>13.052710930442636</v>
      </c>
      <c r="H90" s="22">
        <f t="shared" si="18"/>
        <v>-24.896837515473969</v>
      </c>
      <c r="I90" s="22">
        <f t="shared" si="19"/>
        <v>3.6382030178326628</v>
      </c>
      <c r="J90" s="24"/>
      <c r="K90" s="24"/>
      <c r="L90" s="235">
        <f t="shared" si="14"/>
        <v>43.329743065019002</v>
      </c>
      <c r="M90" s="126"/>
      <c r="N90" s="126"/>
      <c r="O90" s="126"/>
      <c r="P90" s="10">
        <f t="shared" si="15"/>
        <v>4.4294569349809976</v>
      </c>
      <c r="Q90" s="10">
        <f t="shared" si="20"/>
        <v>19.620088738851255</v>
      </c>
      <c r="W90" s="240">
        <f t="shared" si="21"/>
        <v>4.4294569349809976</v>
      </c>
      <c r="X90" s="240">
        <f t="shared" si="22"/>
        <v>9.2745626706079609E-2</v>
      </c>
      <c r="Y90"/>
      <c r="Z90" s="13">
        <f t="shared" si="16"/>
        <v>74.360509470245105</v>
      </c>
      <c r="AA90" s="2"/>
      <c r="AB90" s="68"/>
      <c r="AC90" s="15">
        <f t="shared" si="17"/>
        <v>170.37326263369667</v>
      </c>
    </row>
    <row r="91" spans="1:29">
      <c r="A91" s="84">
        <f>'Q.1 &amp; 4'!K96</f>
        <v>1.6</v>
      </c>
      <c r="B91" s="141">
        <f>'Q.1 &amp; 4'!L96</f>
        <v>46.5047</v>
      </c>
      <c r="C91" s="221"/>
      <c r="D91" s="23"/>
      <c r="E91" s="24"/>
      <c r="F91" s="22">
        <f t="shared" si="12"/>
        <v>-1.9074074074074114</v>
      </c>
      <c r="G91" s="22">
        <f t="shared" si="13"/>
        <v>11.798210930442636</v>
      </c>
      <c r="H91" s="22">
        <f t="shared" si="18"/>
        <v>-22.503994922881372</v>
      </c>
      <c r="I91" s="22">
        <f t="shared" si="19"/>
        <v>3.6382030178326628</v>
      </c>
      <c r="J91" s="24"/>
      <c r="K91" s="24"/>
      <c r="L91" s="235">
        <f t="shared" si="14"/>
        <v>43.329743065019002</v>
      </c>
      <c r="M91" s="126"/>
      <c r="N91" s="126"/>
      <c r="O91" s="126"/>
      <c r="P91" s="10">
        <f t="shared" si="15"/>
        <v>3.1749569349809974</v>
      </c>
      <c r="Q91" s="10">
        <f t="shared" si="20"/>
        <v>10.08035153898393</v>
      </c>
      <c r="W91" s="240">
        <f t="shared" si="21"/>
        <v>3.1749569349809974</v>
      </c>
      <c r="X91" s="240">
        <f t="shared" si="22"/>
        <v>6.8271743178237837E-2</v>
      </c>
      <c r="Y91"/>
      <c r="Z91" s="13">
        <f t="shared" si="16"/>
        <v>74.360509470245105</v>
      </c>
      <c r="AA91" s="2"/>
      <c r="AB91" s="68"/>
      <c r="AC91" s="15">
        <f t="shared" si="17"/>
        <v>139.19778115921608</v>
      </c>
    </row>
    <row r="92" spans="1:29">
      <c r="A92" s="84">
        <f>'Q.1 &amp; 4'!K97</f>
        <v>1.6</v>
      </c>
      <c r="B92" s="141">
        <f>'Q.1 &amp; 4'!L97</f>
        <v>46.5047</v>
      </c>
      <c r="C92" s="221"/>
      <c r="D92" s="23"/>
      <c r="E92" s="24"/>
      <c r="F92" s="22">
        <f t="shared" si="12"/>
        <v>-1.9074074074074114</v>
      </c>
      <c r="G92" s="22">
        <f t="shared" si="13"/>
        <v>11.798210930442636</v>
      </c>
      <c r="H92" s="22">
        <f t="shared" si="18"/>
        <v>-22.503994922881372</v>
      </c>
      <c r="I92" s="22">
        <f t="shared" si="19"/>
        <v>3.6382030178326628</v>
      </c>
      <c r="J92" s="24"/>
      <c r="K92" s="24"/>
      <c r="L92" s="235">
        <f t="shared" si="14"/>
        <v>43.329743065019002</v>
      </c>
      <c r="M92" s="126"/>
      <c r="N92" s="126"/>
      <c r="O92" s="126"/>
      <c r="P92" s="10">
        <f t="shared" si="15"/>
        <v>3.1749569349809974</v>
      </c>
      <c r="Q92" s="10">
        <f t="shared" si="20"/>
        <v>10.08035153898393</v>
      </c>
      <c r="W92" s="240">
        <f t="shared" si="21"/>
        <v>3.1749569349809974</v>
      </c>
      <c r="X92" s="240">
        <f t="shared" si="22"/>
        <v>6.8271743178237837E-2</v>
      </c>
      <c r="Y92"/>
      <c r="Z92" s="13">
        <f t="shared" si="16"/>
        <v>74.360509470245105</v>
      </c>
      <c r="AA92" s="2"/>
      <c r="AB92" s="68"/>
      <c r="AC92" s="15">
        <f t="shared" si="17"/>
        <v>139.19778115921608</v>
      </c>
    </row>
    <row r="93" spans="1:29">
      <c r="A93" s="84">
        <f>'Q.1 &amp; 4'!K98</f>
        <v>2.4</v>
      </c>
      <c r="B93" s="141">
        <f>'Q.1 &amp; 4'!L98</f>
        <v>36.262799999999999</v>
      </c>
      <c r="C93" s="221"/>
      <c r="D93" s="23"/>
      <c r="E93" s="24"/>
      <c r="F93" s="22">
        <f t="shared" si="12"/>
        <v>-1.1074074074074116</v>
      </c>
      <c r="G93" s="22">
        <f t="shared" si="13"/>
        <v>1.5563109304426348</v>
      </c>
      <c r="H93" s="22">
        <f t="shared" si="18"/>
        <v>-1.7234702526012946</v>
      </c>
      <c r="I93" s="22">
        <f t="shared" si="19"/>
        <v>1.2263511659808048</v>
      </c>
      <c r="J93" s="24"/>
      <c r="K93" s="24"/>
      <c r="L93" s="235">
        <f t="shared" si="14"/>
        <v>39.712999641679758</v>
      </c>
      <c r="M93" s="126"/>
      <c r="N93" s="126"/>
      <c r="O93" s="126"/>
      <c r="P93" s="10">
        <f t="shared" si="15"/>
        <v>-3.4501996416797596</v>
      </c>
      <c r="Q93" s="10">
        <f t="shared" si="20"/>
        <v>11.903877567447141</v>
      </c>
      <c r="W93" s="240">
        <f t="shared" si="21"/>
        <v>3.4501996416797596</v>
      </c>
      <c r="X93" s="240">
        <f t="shared" si="22"/>
        <v>9.5144325360417836E-2</v>
      </c>
      <c r="Y93"/>
      <c r="Z93" s="13">
        <f t="shared" si="16"/>
        <v>25.065148108773304</v>
      </c>
      <c r="AA93" s="2"/>
      <c r="AB93" s="68"/>
      <c r="AC93" s="15">
        <f t="shared" si="17"/>
        <v>2.4221037122152196</v>
      </c>
    </row>
    <row r="94" spans="1:29">
      <c r="A94" s="84">
        <f>'Q.1 &amp; 4'!K99</f>
        <v>3.8</v>
      </c>
      <c r="B94" s="141">
        <f>'Q.1 &amp; 4'!L99</f>
        <v>33.200000000000003</v>
      </c>
      <c r="C94" s="221"/>
      <c r="D94" s="23"/>
      <c r="E94" s="24"/>
      <c r="F94" s="22">
        <f t="shared" si="12"/>
        <v>0.2925925925925883</v>
      </c>
      <c r="G94" s="22">
        <f t="shared" si="13"/>
        <v>-1.5064890695573609</v>
      </c>
      <c r="H94" s="22">
        <f t="shared" si="18"/>
        <v>-0.44078754257418434</v>
      </c>
      <c r="I94" s="22">
        <f t="shared" si="19"/>
        <v>8.5610425240052357E-2</v>
      </c>
      <c r="J94" s="24"/>
      <c r="K94" s="24"/>
      <c r="L94" s="235">
        <f t="shared" si="14"/>
        <v>33.383698650836088</v>
      </c>
      <c r="M94" s="126"/>
      <c r="N94" s="126"/>
      <c r="O94" s="126"/>
      <c r="P94" s="10">
        <f t="shared" si="15"/>
        <v>-0.18369865083608516</v>
      </c>
      <c r="Q94" s="10">
        <f t="shared" si="20"/>
        <v>3.3745194318997931E-2</v>
      </c>
      <c r="W94" s="240">
        <f t="shared" si="21"/>
        <v>0.18369865083608516</v>
      </c>
      <c r="X94" s="240">
        <f t="shared" si="22"/>
        <v>5.5330918926531671E-3</v>
      </c>
      <c r="Y94"/>
      <c r="Z94" s="13">
        <f t="shared" si="16"/>
        <v>1.749774491860808</v>
      </c>
      <c r="AA94" s="2"/>
      <c r="AB94" s="68"/>
      <c r="AC94" s="15">
        <f t="shared" si="17"/>
        <v>2.2695093166958031</v>
      </c>
    </row>
    <row r="95" spans="1:29">
      <c r="A95" s="84">
        <f>'Q.1 &amp; 4'!K100</f>
        <v>3.6</v>
      </c>
      <c r="B95" s="141">
        <f>'Q.1 &amp; 4'!L100</f>
        <v>35.242699999999999</v>
      </c>
      <c r="C95" s="221"/>
      <c r="D95" s="23"/>
      <c r="E95" s="24"/>
      <c r="F95" s="22">
        <f t="shared" si="12"/>
        <v>9.2592592592588563E-2</v>
      </c>
      <c r="G95" s="22">
        <f t="shared" si="13"/>
        <v>0.53621093044263546</v>
      </c>
      <c r="H95" s="22">
        <f t="shared" si="18"/>
        <v>4.9649160226167791E-2</v>
      </c>
      <c r="I95" s="22">
        <f t="shared" si="19"/>
        <v>8.573388203017087E-3</v>
      </c>
      <c r="J95" s="24"/>
      <c r="K95" s="24"/>
      <c r="L95" s="235">
        <f t="shared" si="14"/>
        <v>34.287884506670892</v>
      </c>
      <c r="M95" s="126"/>
      <c r="N95" s="126"/>
      <c r="O95" s="126"/>
      <c r="P95" s="10">
        <f t="shared" si="15"/>
        <v>0.95481549332910731</v>
      </c>
      <c r="Q95" s="10">
        <f t="shared" si="20"/>
        <v>0.91167262630130652</v>
      </c>
      <c r="W95" s="240">
        <f t="shared" si="21"/>
        <v>0.95481549332910731</v>
      </c>
      <c r="X95" s="240">
        <f t="shared" si="22"/>
        <v>2.7092575010686109E-2</v>
      </c>
      <c r="Y95"/>
      <c r="Z95" s="13">
        <f t="shared" si="16"/>
        <v>0.17522978006937417</v>
      </c>
      <c r="AA95" s="2"/>
      <c r="AB95" s="68"/>
      <c r="AC95" s="15">
        <f t="shared" si="17"/>
        <v>0.28752216192615682</v>
      </c>
    </row>
    <row r="96" spans="1:29">
      <c r="A96" s="84">
        <f>'Q.1 &amp; 4'!K101</f>
        <v>3.6</v>
      </c>
      <c r="B96" s="141">
        <f>'Q.1 &amp; 4'!L101</f>
        <v>37.690800000000003</v>
      </c>
      <c r="C96" s="221"/>
      <c r="D96" s="23"/>
      <c r="E96" s="24"/>
      <c r="F96" s="22">
        <f t="shared" si="12"/>
        <v>9.2592592592588563E-2</v>
      </c>
      <c r="G96" s="22">
        <f t="shared" si="13"/>
        <v>2.9843109304426392</v>
      </c>
      <c r="H96" s="22">
        <f t="shared" si="18"/>
        <v>0.27632508615208418</v>
      </c>
      <c r="I96" s="22">
        <f t="shared" si="19"/>
        <v>8.573388203017087E-3</v>
      </c>
      <c r="J96" s="24"/>
      <c r="K96" s="24"/>
      <c r="L96" s="235">
        <f t="shared" si="14"/>
        <v>34.287884506670892</v>
      </c>
      <c r="M96" s="126"/>
      <c r="N96" s="126"/>
      <c r="O96" s="126"/>
      <c r="P96" s="10">
        <f t="shared" si="15"/>
        <v>3.402915493329111</v>
      </c>
      <c r="Q96" s="10">
        <f t="shared" si="20"/>
        <v>11.579833854739308</v>
      </c>
      <c r="W96" s="240">
        <f t="shared" si="21"/>
        <v>3.402915493329111</v>
      </c>
      <c r="X96" s="240">
        <f t="shared" si="22"/>
        <v>9.0285042857384576E-2</v>
      </c>
      <c r="Y96"/>
      <c r="Z96" s="13">
        <f t="shared" si="16"/>
        <v>0.17522978006937417</v>
      </c>
      <c r="AA96" s="2"/>
      <c r="AB96" s="68"/>
      <c r="AC96" s="15">
        <f t="shared" si="17"/>
        <v>8.9061117295594112</v>
      </c>
    </row>
    <row r="97" spans="1:29">
      <c r="A97" s="84">
        <f>'Q.1 &amp; 4'!K102</f>
        <v>3.6</v>
      </c>
      <c r="B97" s="141">
        <f>'Q.1 &amp; 4'!L102</f>
        <v>34.875399999999999</v>
      </c>
      <c r="C97" s="221"/>
      <c r="D97" s="23"/>
      <c r="E97" s="24"/>
      <c r="F97" s="22">
        <f t="shared" si="12"/>
        <v>9.2592592592588563E-2</v>
      </c>
      <c r="G97" s="22">
        <f t="shared" si="13"/>
        <v>0.16891093044263528</v>
      </c>
      <c r="H97" s="22">
        <f t="shared" si="18"/>
        <v>1.5639900966909995E-2</v>
      </c>
      <c r="I97" s="22">
        <f t="shared" si="19"/>
        <v>8.573388203017087E-3</v>
      </c>
      <c r="J97" s="24"/>
      <c r="K97" s="24"/>
      <c r="L97" s="235">
        <f t="shared" si="14"/>
        <v>34.287884506670892</v>
      </c>
      <c r="M97" s="126"/>
      <c r="N97" s="126"/>
      <c r="O97" s="126"/>
      <c r="P97" s="10">
        <f t="shared" si="15"/>
        <v>0.58751549332910713</v>
      </c>
      <c r="Q97" s="10">
        <f t="shared" si="20"/>
        <v>0.34517445490174414</v>
      </c>
      <c r="W97" s="240">
        <f t="shared" si="21"/>
        <v>0.58751549332910713</v>
      </c>
      <c r="X97" s="240">
        <f t="shared" si="22"/>
        <v>1.6846129172112926E-2</v>
      </c>
      <c r="Y97"/>
      <c r="Z97" s="13">
        <f t="shared" si="16"/>
        <v>0.17522978006937417</v>
      </c>
      <c r="AA97" s="2"/>
      <c r="AB97" s="68"/>
      <c r="AC97" s="15">
        <f t="shared" si="17"/>
        <v>2.8530902422996773E-2</v>
      </c>
    </row>
    <row r="98" spans="1:29">
      <c r="A98" s="84">
        <f>'Q.1 &amp; 4'!K103</f>
        <v>3.6</v>
      </c>
      <c r="B98" s="141">
        <f>'Q.1 &amp; 4'!L103</f>
        <v>36.756300000000003</v>
      </c>
      <c r="C98" s="221"/>
      <c r="D98" s="23"/>
      <c r="E98" s="24"/>
      <c r="F98" s="22">
        <f t="shared" si="12"/>
        <v>9.2592592592588563E-2</v>
      </c>
      <c r="G98" s="22">
        <f t="shared" si="13"/>
        <v>2.0498109304426393</v>
      </c>
      <c r="H98" s="22">
        <f t="shared" si="18"/>
        <v>0.18979730837431019</v>
      </c>
      <c r="I98" s="22">
        <f t="shared" si="19"/>
        <v>8.573388203017087E-3</v>
      </c>
      <c r="J98" s="24"/>
      <c r="K98" s="24"/>
      <c r="L98" s="235">
        <f t="shared" si="14"/>
        <v>34.287884506670892</v>
      </c>
      <c r="M98" s="126"/>
      <c r="N98" s="126"/>
      <c r="O98" s="126"/>
      <c r="P98" s="10">
        <f t="shared" si="15"/>
        <v>2.4684154933291111</v>
      </c>
      <c r="Q98" s="10">
        <f t="shared" si="20"/>
        <v>6.0930750477071989</v>
      </c>
      <c r="W98" s="240">
        <f t="shared" si="21"/>
        <v>2.4684154933291111</v>
      </c>
      <c r="X98" s="240">
        <f t="shared" si="22"/>
        <v>6.7156256024929362E-2</v>
      </c>
      <c r="Y98"/>
      <c r="Z98" s="13">
        <f t="shared" si="16"/>
        <v>0.17522978006937417</v>
      </c>
      <c r="AA98" s="2"/>
      <c r="AB98" s="68"/>
      <c r="AC98" s="15">
        <f t="shared" si="17"/>
        <v>4.201724850562119</v>
      </c>
    </row>
    <row r="99" spans="1:29">
      <c r="A99" s="84">
        <f>'Q.1 &amp; 4'!K104</f>
        <v>3.6</v>
      </c>
      <c r="B99" s="141">
        <f>'Q.1 &amp; 4'!L104</f>
        <v>34.875399999999999</v>
      </c>
      <c r="C99" s="221"/>
      <c r="D99" s="23"/>
      <c r="E99" s="24"/>
      <c r="F99" s="22">
        <f t="shared" si="12"/>
        <v>9.2592592592588563E-2</v>
      </c>
      <c r="G99" s="22">
        <f t="shared" si="13"/>
        <v>0.16891093044263528</v>
      </c>
      <c r="H99" s="22">
        <f t="shared" si="18"/>
        <v>1.5639900966909995E-2</v>
      </c>
      <c r="I99" s="22">
        <f t="shared" si="19"/>
        <v>8.573388203017087E-3</v>
      </c>
      <c r="J99" s="24"/>
      <c r="K99" s="24"/>
      <c r="L99" s="235">
        <f t="shared" si="14"/>
        <v>34.287884506670892</v>
      </c>
      <c r="M99" s="126"/>
      <c r="N99" s="126"/>
      <c r="O99" s="126"/>
      <c r="P99" s="10">
        <f t="shared" si="15"/>
        <v>0.58751549332910713</v>
      </c>
      <c r="Q99" s="10">
        <f t="shared" si="20"/>
        <v>0.34517445490174414</v>
      </c>
      <c r="W99" s="240">
        <f t="shared" si="21"/>
        <v>0.58751549332910713</v>
      </c>
      <c r="X99" s="240">
        <f t="shared" si="22"/>
        <v>1.6846129172112926E-2</v>
      </c>
      <c r="Y99"/>
      <c r="Z99" s="13">
        <f t="shared" si="16"/>
        <v>0.17522978006937417</v>
      </c>
      <c r="AA99" s="2"/>
      <c r="AB99" s="68"/>
      <c r="AC99" s="15">
        <f t="shared" si="17"/>
        <v>2.8530902422996773E-2</v>
      </c>
    </row>
    <row r="100" spans="1:29">
      <c r="A100" s="84">
        <f>'Q.1 &amp; 4'!K105</f>
        <v>3.6</v>
      </c>
      <c r="B100" s="141">
        <f>'Q.1 &amp; 4'!L105</f>
        <v>36.439500000000002</v>
      </c>
      <c r="C100" s="221"/>
      <c r="D100" s="23"/>
      <c r="E100" s="24"/>
      <c r="F100" s="22">
        <f t="shared" si="12"/>
        <v>9.2592592592588563E-2</v>
      </c>
      <c r="G100" s="22">
        <f t="shared" si="13"/>
        <v>1.7330109304426387</v>
      </c>
      <c r="H100" s="22">
        <f t="shared" si="18"/>
        <v>0.16046397504097809</v>
      </c>
      <c r="I100" s="22">
        <f t="shared" si="19"/>
        <v>8.573388203017087E-3</v>
      </c>
      <c r="J100" s="24"/>
      <c r="K100" s="24"/>
      <c r="L100" s="235">
        <f t="shared" si="14"/>
        <v>34.287884506670892</v>
      </c>
      <c r="M100" s="126"/>
      <c r="N100" s="126"/>
      <c r="O100" s="126"/>
      <c r="P100" s="10">
        <f t="shared" si="15"/>
        <v>2.1516154933291105</v>
      </c>
      <c r="Q100" s="10">
        <f t="shared" si="20"/>
        <v>4.6294492311338713</v>
      </c>
      <c r="W100" s="240">
        <f t="shared" si="21"/>
        <v>2.1516154933291105</v>
      </c>
      <c r="X100" s="240">
        <f t="shared" si="22"/>
        <v>5.9046240846584351E-2</v>
      </c>
      <c r="Y100"/>
      <c r="Z100" s="13">
        <f t="shared" si="16"/>
        <v>0.17522978006937417</v>
      </c>
      <c r="AA100" s="2"/>
      <c r="AB100" s="68"/>
      <c r="AC100" s="15">
        <f t="shared" si="17"/>
        <v>3.0033268850336601</v>
      </c>
    </row>
    <row r="101" spans="1:29">
      <c r="A101" s="84">
        <f>'Q.1 &amp; 4'!K106</f>
        <v>3.6</v>
      </c>
      <c r="B101" s="141">
        <f>'Q.1 &amp; 4'!L106</f>
        <v>34.875399999999999</v>
      </c>
      <c r="C101" s="221"/>
      <c r="D101" s="23"/>
      <c r="E101" s="24"/>
      <c r="F101" s="22">
        <f t="shared" si="12"/>
        <v>9.2592592592588563E-2</v>
      </c>
      <c r="G101" s="22">
        <f t="shared" si="13"/>
        <v>0.16891093044263528</v>
      </c>
      <c r="H101" s="22">
        <f t="shared" si="18"/>
        <v>1.5639900966909995E-2</v>
      </c>
      <c r="I101" s="22">
        <f t="shared" si="19"/>
        <v>8.573388203017087E-3</v>
      </c>
      <c r="J101" s="24"/>
      <c r="K101" s="24"/>
      <c r="L101" s="235">
        <f t="shared" si="14"/>
        <v>34.287884506670892</v>
      </c>
      <c r="M101" s="126"/>
      <c r="N101" s="126"/>
      <c r="O101" s="126"/>
      <c r="P101" s="10">
        <f t="shared" si="15"/>
        <v>0.58751549332910713</v>
      </c>
      <c r="Q101" s="10">
        <f t="shared" si="20"/>
        <v>0.34517445490174414</v>
      </c>
      <c r="W101" s="240">
        <f t="shared" si="21"/>
        <v>0.58751549332910713</v>
      </c>
      <c r="X101" s="240">
        <f t="shared" si="22"/>
        <v>1.6846129172112926E-2</v>
      </c>
      <c r="Y101"/>
      <c r="Z101" s="13">
        <f t="shared" si="16"/>
        <v>0.17522978006937417</v>
      </c>
      <c r="AA101" s="2"/>
      <c r="AB101" s="68"/>
      <c r="AC101" s="15">
        <f t="shared" si="17"/>
        <v>2.8530902422996773E-2</v>
      </c>
    </row>
    <row r="102" spans="1:29">
      <c r="A102" s="84">
        <f>'Q.1 &amp; 4'!K107</f>
        <v>3.6</v>
      </c>
      <c r="B102" s="141">
        <f>'Q.1 &amp; 4'!L107</f>
        <v>36.439500000000002</v>
      </c>
      <c r="C102" s="221"/>
      <c r="D102" s="23"/>
      <c r="E102" s="24"/>
      <c r="F102" s="22">
        <f t="shared" si="12"/>
        <v>9.2592592592588563E-2</v>
      </c>
      <c r="G102" s="22">
        <f t="shared" si="13"/>
        <v>1.7330109304426387</v>
      </c>
      <c r="H102" s="22">
        <f t="shared" si="18"/>
        <v>0.16046397504097809</v>
      </c>
      <c r="I102" s="22">
        <f t="shared" si="19"/>
        <v>8.573388203017087E-3</v>
      </c>
      <c r="J102" s="24"/>
      <c r="K102" s="24"/>
      <c r="L102" s="235">
        <f t="shared" si="14"/>
        <v>34.287884506670892</v>
      </c>
      <c r="M102" s="126"/>
      <c r="N102" s="126"/>
      <c r="O102" s="126"/>
      <c r="P102" s="10">
        <f t="shared" si="15"/>
        <v>2.1516154933291105</v>
      </c>
      <c r="Q102" s="10">
        <f t="shared" si="20"/>
        <v>4.6294492311338713</v>
      </c>
      <c r="W102" s="240">
        <f t="shared" si="21"/>
        <v>2.1516154933291105</v>
      </c>
      <c r="X102" s="240">
        <f t="shared" si="22"/>
        <v>5.9046240846584351E-2</v>
      </c>
      <c r="Y102"/>
      <c r="Z102" s="13">
        <f t="shared" si="16"/>
        <v>0.17522978006937417</v>
      </c>
      <c r="AA102" s="2"/>
      <c r="AB102" s="68"/>
      <c r="AC102" s="15">
        <f t="shared" si="17"/>
        <v>3.0033268850336601</v>
      </c>
    </row>
    <row r="103" spans="1:29">
      <c r="A103" s="84">
        <f>'Q.1 &amp; 4'!K108</f>
        <v>3.8</v>
      </c>
      <c r="B103" s="141">
        <f>'Q.1 &amp; 4'!L108</f>
        <v>34.514800000000001</v>
      </c>
      <c r="C103" s="221"/>
      <c r="D103" s="23"/>
      <c r="E103" s="24"/>
      <c r="F103" s="22">
        <f t="shared" si="12"/>
        <v>0.2925925925925883</v>
      </c>
      <c r="G103" s="22">
        <f t="shared" si="13"/>
        <v>-0.19168906955736276</v>
      </c>
      <c r="H103" s="22">
        <f t="shared" si="18"/>
        <v>-5.6086801833449759E-2</v>
      </c>
      <c r="I103" s="22">
        <f t="shared" si="19"/>
        <v>8.5610425240052357E-2</v>
      </c>
      <c r="J103" s="24"/>
      <c r="K103" s="24"/>
      <c r="L103" s="235">
        <f t="shared" si="14"/>
        <v>33.383698650836088</v>
      </c>
      <c r="M103" s="126"/>
      <c r="N103" s="126"/>
      <c r="O103" s="126"/>
      <c r="P103" s="10">
        <f t="shared" si="15"/>
        <v>1.131101349163913</v>
      </c>
      <c r="Q103" s="10">
        <f t="shared" si="20"/>
        <v>1.2793902620804243</v>
      </c>
      <c r="W103" s="240">
        <f t="shared" si="21"/>
        <v>1.131101349163913</v>
      </c>
      <c r="X103" s="240">
        <f t="shared" si="22"/>
        <v>3.2771487859234678E-2</v>
      </c>
      <c r="Y103"/>
      <c r="Z103" s="13">
        <f t="shared" si="16"/>
        <v>1.749774491860808</v>
      </c>
      <c r="AA103" s="2"/>
      <c r="AB103" s="68"/>
      <c r="AC103" s="15">
        <f t="shared" si="17"/>
        <v>3.6744699387767456E-2</v>
      </c>
    </row>
    <row r="104" spans="1:29">
      <c r="A104" s="84">
        <f>'Q.1 &amp; 4'!K109</f>
        <v>3.8</v>
      </c>
      <c r="B104" s="141">
        <f>'Q.1 &amp; 4'!L109</f>
        <v>36.012999999999998</v>
      </c>
      <c r="C104" s="221"/>
      <c r="D104" s="23"/>
      <c r="E104" s="24"/>
      <c r="F104" s="22">
        <f t="shared" si="12"/>
        <v>0.2925925925925883</v>
      </c>
      <c r="G104" s="22">
        <f t="shared" si="13"/>
        <v>1.3065109304426343</v>
      </c>
      <c r="H104" s="22">
        <f t="shared" si="18"/>
        <v>0.38227542038876516</v>
      </c>
      <c r="I104" s="22">
        <f t="shared" si="19"/>
        <v>8.5610425240052357E-2</v>
      </c>
      <c r="J104" s="24"/>
      <c r="K104" s="24"/>
      <c r="L104" s="235">
        <f t="shared" si="14"/>
        <v>33.383698650836088</v>
      </c>
      <c r="M104" s="126"/>
      <c r="N104" s="126"/>
      <c r="O104" s="126"/>
      <c r="P104" s="10">
        <f t="shared" si="15"/>
        <v>2.6293013491639101</v>
      </c>
      <c r="Q104" s="10">
        <f t="shared" si="20"/>
        <v>6.9132255847151578</v>
      </c>
      <c r="W104" s="240">
        <f t="shared" si="21"/>
        <v>2.6293013491639101</v>
      </c>
      <c r="X104" s="240">
        <f t="shared" si="22"/>
        <v>7.3009783943684514E-2</v>
      </c>
      <c r="Y104"/>
      <c r="Z104" s="13">
        <f t="shared" si="16"/>
        <v>1.749774491860808</v>
      </c>
      <c r="AA104" s="2"/>
      <c r="AB104" s="68"/>
      <c r="AC104" s="15">
        <f t="shared" si="17"/>
        <v>1.706970811366078</v>
      </c>
    </row>
    <row r="105" spans="1:29">
      <c r="A105" s="84">
        <f>'Q.1 &amp; 4'!K110</f>
        <v>3.8</v>
      </c>
      <c r="B105" s="141">
        <f>'Q.1 &amp; 4'!L110</f>
        <v>34.514800000000001</v>
      </c>
      <c r="C105" s="221"/>
      <c r="D105" s="23"/>
      <c r="E105" s="24"/>
      <c r="F105" s="22">
        <f t="shared" si="12"/>
        <v>0.2925925925925883</v>
      </c>
      <c r="G105" s="22">
        <f t="shared" si="13"/>
        <v>-0.19168906955736276</v>
      </c>
      <c r="H105" s="22">
        <f t="shared" si="18"/>
        <v>-5.6086801833449759E-2</v>
      </c>
      <c r="I105" s="22">
        <f t="shared" si="19"/>
        <v>8.5610425240052357E-2</v>
      </c>
      <c r="J105" s="24"/>
      <c r="K105" s="24"/>
      <c r="L105" s="235">
        <f t="shared" si="14"/>
        <v>33.383698650836088</v>
      </c>
      <c r="M105" s="126"/>
      <c r="N105" s="126"/>
      <c r="O105" s="126"/>
      <c r="P105" s="10">
        <f t="shared" si="15"/>
        <v>1.131101349163913</v>
      </c>
      <c r="Q105" s="10">
        <f t="shared" si="20"/>
        <v>1.2793902620804243</v>
      </c>
      <c r="W105" s="240">
        <f t="shared" si="21"/>
        <v>1.131101349163913</v>
      </c>
      <c r="X105" s="240">
        <f t="shared" si="22"/>
        <v>3.2771487859234678E-2</v>
      </c>
      <c r="Y105"/>
      <c r="Z105" s="13">
        <f t="shared" si="16"/>
        <v>1.749774491860808</v>
      </c>
      <c r="AA105" s="2"/>
      <c r="AB105" s="68"/>
      <c r="AC105" s="15">
        <f t="shared" si="17"/>
        <v>3.6744699387767456E-2</v>
      </c>
    </row>
    <row r="106" spans="1:29">
      <c r="A106" s="84">
        <f>'Q.1 &amp; 4'!K111</f>
        <v>3.8</v>
      </c>
      <c r="B106" s="141">
        <f>'Q.1 &amp; 4'!L111</f>
        <v>37.076900000000002</v>
      </c>
      <c r="C106" s="221"/>
      <c r="D106" s="23"/>
      <c r="E106" s="24"/>
      <c r="F106" s="22">
        <f t="shared" si="12"/>
        <v>0.2925925925925883</v>
      </c>
      <c r="G106" s="22">
        <f t="shared" si="13"/>
        <v>2.3704109304426382</v>
      </c>
      <c r="H106" s="22">
        <f t="shared" si="18"/>
        <v>0.69356467964802093</v>
      </c>
      <c r="I106" s="22">
        <f t="shared" si="19"/>
        <v>8.5610425240052357E-2</v>
      </c>
      <c r="J106" s="24"/>
      <c r="K106" s="24"/>
      <c r="L106" s="235">
        <f t="shared" si="14"/>
        <v>33.383698650836088</v>
      </c>
      <c r="M106" s="126"/>
      <c r="N106" s="126"/>
      <c r="O106" s="126"/>
      <c r="P106" s="10">
        <f t="shared" si="15"/>
        <v>3.693201349163914</v>
      </c>
      <c r="Q106" s="10">
        <f t="shared" si="20"/>
        <v>13.639736205466154</v>
      </c>
      <c r="W106" s="240">
        <f t="shared" si="21"/>
        <v>3.693201349163914</v>
      </c>
      <c r="X106" s="240">
        <f t="shared" si="22"/>
        <v>9.9609227016387927E-2</v>
      </c>
      <c r="Y106"/>
      <c r="Z106" s="13">
        <f t="shared" si="16"/>
        <v>1.749774491860808</v>
      </c>
      <c r="AA106" s="2"/>
      <c r="AB106" s="68"/>
      <c r="AC106" s="15">
        <f t="shared" si="17"/>
        <v>5.6188479791619335</v>
      </c>
    </row>
    <row r="107" spans="1:29">
      <c r="A107" s="84">
        <f>'Q.1 &amp; 4'!K112</f>
        <v>3.8</v>
      </c>
      <c r="B107" s="141">
        <f>'Q.1 &amp; 4'!L112</f>
        <v>34.514800000000001</v>
      </c>
      <c r="C107" s="221"/>
      <c r="D107" s="23"/>
      <c r="E107" s="24"/>
      <c r="F107" s="22">
        <f t="shared" si="12"/>
        <v>0.2925925925925883</v>
      </c>
      <c r="G107" s="22">
        <f t="shared" si="13"/>
        <v>-0.19168906955736276</v>
      </c>
      <c r="H107" s="22">
        <f t="shared" si="18"/>
        <v>-5.6086801833449759E-2</v>
      </c>
      <c r="I107" s="22">
        <f t="shared" si="19"/>
        <v>8.5610425240052357E-2</v>
      </c>
      <c r="J107" s="24"/>
      <c r="K107" s="24"/>
      <c r="L107" s="235">
        <f t="shared" si="14"/>
        <v>33.383698650836088</v>
      </c>
      <c r="M107" s="126"/>
      <c r="N107" s="126"/>
      <c r="O107" s="126"/>
      <c r="P107" s="10">
        <f t="shared" si="15"/>
        <v>1.131101349163913</v>
      </c>
      <c r="Q107" s="10">
        <f t="shared" si="20"/>
        <v>1.2793902620804243</v>
      </c>
      <c r="W107" s="240">
        <f t="shared" si="21"/>
        <v>1.131101349163913</v>
      </c>
      <c r="X107" s="240">
        <f t="shared" si="22"/>
        <v>3.2771487859234678E-2</v>
      </c>
      <c r="Y107"/>
      <c r="Z107" s="13">
        <f t="shared" si="16"/>
        <v>1.749774491860808</v>
      </c>
      <c r="AA107" s="2"/>
      <c r="AB107" s="68"/>
      <c r="AC107" s="15">
        <f t="shared" si="17"/>
        <v>3.6744699387767456E-2</v>
      </c>
    </row>
    <row r="108" spans="1:29">
      <c r="A108" s="84">
        <f>'Q.1 &amp; 4'!K113</f>
        <v>3.8</v>
      </c>
      <c r="B108" s="141">
        <f>'Q.1 &amp; 4'!L113</f>
        <v>37.076900000000002</v>
      </c>
      <c r="C108" s="221"/>
      <c r="D108" s="23"/>
      <c r="E108" s="24"/>
      <c r="F108" s="22">
        <f t="shared" si="12"/>
        <v>0.2925925925925883</v>
      </c>
      <c r="G108" s="22">
        <f t="shared" si="13"/>
        <v>2.3704109304426382</v>
      </c>
      <c r="H108" s="22">
        <f t="shared" si="18"/>
        <v>0.69356467964802093</v>
      </c>
      <c r="I108" s="22">
        <f t="shared" si="19"/>
        <v>8.5610425240052357E-2</v>
      </c>
      <c r="J108" s="24"/>
      <c r="K108" s="24"/>
      <c r="L108" s="235">
        <f t="shared" si="14"/>
        <v>33.383698650836088</v>
      </c>
      <c r="M108" s="126"/>
      <c r="N108" s="126"/>
      <c r="O108" s="126"/>
      <c r="P108" s="10">
        <f t="shared" si="15"/>
        <v>3.693201349163914</v>
      </c>
      <c r="Q108" s="10">
        <f t="shared" si="20"/>
        <v>13.639736205466154</v>
      </c>
      <c r="W108" s="240">
        <f t="shared" si="21"/>
        <v>3.693201349163914</v>
      </c>
      <c r="X108" s="240">
        <f t="shared" si="22"/>
        <v>9.9609227016387927E-2</v>
      </c>
      <c r="Y108"/>
      <c r="Z108" s="13">
        <f t="shared" si="16"/>
        <v>1.749774491860808</v>
      </c>
      <c r="AA108" s="2"/>
      <c r="AB108" s="68"/>
      <c r="AC108" s="15">
        <f t="shared" si="17"/>
        <v>5.6188479791619335</v>
      </c>
    </row>
    <row r="109" spans="1:29">
      <c r="A109" s="84">
        <f>'Q.1 &amp; 4'!K114</f>
        <v>3.6</v>
      </c>
      <c r="B109" s="141">
        <f>'Q.1 &amp; 4'!L114</f>
        <v>35.242699999999999</v>
      </c>
      <c r="C109" s="221"/>
      <c r="D109" s="23"/>
      <c r="E109" s="24"/>
      <c r="F109" s="22">
        <f t="shared" si="12"/>
        <v>9.2592592592588563E-2</v>
      </c>
      <c r="G109" s="22">
        <f t="shared" si="13"/>
        <v>0.53621093044263546</v>
      </c>
      <c r="H109" s="22">
        <f t="shared" si="18"/>
        <v>4.9649160226167791E-2</v>
      </c>
      <c r="I109" s="22">
        <f t="shared" si="19"/>
        <v>8.573388203017087E-3</v>
      </c>
      <c r="J109" s="24"/>
      <c r="K109" s="24"/>
      <c r="L109" s="235">
        <f t="shared" si="14"/>
        <v>34.287884506670892</v>
      </c>
      <c r="M109" s="126"/>
      <c r="N109" s="126"/>
      <c r="O109" s="126"/>
      <c r="P109" s="10">
        <f t="shared" si="15"/>
        <v>0.95481549332910731</v>
      </c>
      <c r="Q109" s="10">
        <f t="shared" si="20"/>
        <v>0.91167262630130652</v>
      </c>
      <c r="W109" s="240">
        <f t="shared" si="21"/>
        <v>0.95481549332910731</v>
      </c>
      <c r="X109" s="240">
        <f t="shared" si="22"/>
        <v>2.7092575010686109E-2</v>
      </c>
      <c r="Y109"/>
      <c r="Z109" s="13">
        <f t="shared" si="16"/>
        <v>0.17522978006937417</v>
      </c>
      <c r="AA109" s="2"/>
      <c r="AB109" s="68"/>
      <c r="AC109" s="15">
        <f t="shared" si="17"/>
        <v>0.28752216192615682</v>
      </c>
    </row>
    <row r="110" spans="1:29">
      <c r="A110" s="84">
        <f>'Q.1 &amp; 4'!K115</f>
        <v>3.6</v>
      </c>
      <c r="B110" s="141">
        <f>'Q.1 &amp; 4'!L115</f>
        <v>37.690800000000003</v>
      </c>
      <c r="C110" s="221"/>
      <c r="D110" s="23"/>
      <c r="E110" s="24"/>
      <c r="F110" s="22">
        <f t="shared" si="12"/>
        <v>9.2592592592588563E-2</v>
      </c>
      <c r="G110" s="22">
        <f t="shared" si="13"/>
        <v>2.9843109304426392</v>
      </c>
      <c r="H110" s="22">
        <f t="shared" si="18"/>
        <v>0.27632508615208418</v>
      </c>
      <c r="I110" s="22">
        <f t="shared" si="19"/>
        <v>8.573388203017087E-3</v>
      </c>
      <c r="J110" s="24"/>
      <c r="K110" s="24"/>
      <c r="L110" s="235">
        <f t="shared" si="14"/>
        <v>34.287884506670892</v>
      </c>
      <c r="M110" s="126"/>
      <c r="N110" s="126"/>
      <c r="O110" s="126"/>
      <c r="P110" s="10">
        <f t="shared" si="15"/>
        <v>3.402915493329111</v>
      </c>
      <c r="Q110" s="10">
        <f t="shared" si="20"/>
        <v>11.579833854739308</v>
      </c>
      <c r="W110" s="240">
        <f t="shared" si="21"/>
        <v>3.402915493329111</v>
      </c>
      <c r="X110" s="240">
        <f t="shared" si="22"/>
        <v>9.0285042857384576E-2</v>
      </c>
      <c r="Y110"/>
      <c r="Z110" s="13">
        <f t="shared" si="16"/>
        <v>0.17522978006937417</v>
      </c>
      <c r="AA110" s="2"/>
      <c r="AB110" s="68"/>
      <c r="AC110" s="15">
        <f t="shared" si="17"/>
        <v>8.9061117295594112</v>
      </c>
    </row>
    <row r="111" spans="1:29">
      <c r="A111" s="84">
        <f>'Q.1 &amp; 4'!K116</f>
        <v>3.8</v>
      </c>
      <c r="B111" s="141">
        <f>'Q.1 &amp; 4'!L116</f>
        <v>35.359400000000001</v>
      </c>
      <c r="C111" s="221"/>
      <c r="D111" s="23"/>
      <c r="E111" s="24"/>
      <c r="F111" s="22">
        <f t="shared" si="12"/>
        <v>0.2925925925925883</v>
      </c>
      <c r="G111" s="22">
        <f t="shared" si="13"/>
        <v>0.65291093044263704</v>
      </c>
      <c r="H111" s="22">
        <f t="shared" si="18"/>
        <v>0.19103690187025024</v>
      </c>
      <c r="I111" s="22">
        <f t="shared" si="19"/>
        <v>8.5610425240052357E-2</v>
      </c>
      <c r="J111" s="24"/>
      <c r="K111" s="24"/>
      <c r="L111" s="235">
        <f t="shared" si="14"/>
        <v>33.383698650836088</v>
      </c>
      <c r="M111" s="126"/>
      <c r="N111" s="126"/>
      <c r="O111" s="126"/>
      <c r="P111" s="10">
        <f t="shared" si="15"/>
        <v>1.9757013491639128</v>
      </c>
      <c r="Q111" s="10">
        <f t="shared" si="20"/>
        <v>3.9033958210881052</v>
      </c>
      <c r="W111" s="240">
        <f t="shared" si="21"/>
        <v>1.9757013491639128</v>
      </c>
      <c r="X111" s="240">
        <f t="shared" si="22"/>
        <v>5.5874855036112399E-2</v>
      </c>
      <c r="Y111"/>
      <c r="Z111" s="13">
        <f t="shared" si="16"/>
        <v>1.749774491860808</v>
      </c>
      <c r="AA111" s="2"/>
      <c r="AB111" s="68"/>
      <c r="AC111" s="15">
        <f t="shared" si="17"/>
        <v>0.42629268309147</v>
      </c>
    </row>
    <row r="112" spans="1:29">
      <c r="A112" s="84">
        <f>'Q.1 &amp; 4'!K117</f>
        <v>3.8</v>
      </c>
      <c r="B112" s="141">
        <f>'Q.1 &amp; 4'!L117</f>
        <v>36.934699999999999</v>
      </c>
      <c r="C112" s="221"/>
      <c r="D112" s="23"/>
      <c r="E112" s="24"/>
      <c r="F112" s="22">
        <f t="shared" si="12"/>
        <v>0.2925925925925883</v>
      </c>
      <c r="G112" s="22">
        <f t="shared" si="13"/>
        <v>2.2282109304426356</v>
      </c>
      <c r="H112" s="22">
        <f t="shared" si="18"/>
        <v>0.65195801298135414</v>
      </c>
      <c r="I112" s="22">
        <f t="shared" si="19"/>
        <v>8.5610425240052357E-2</v>
      </c>
      <c r="J112" s="24"/>
      <c r="K112" s="24"/>
      <c r="L112" s="235">
        <f t="shared" si="14"/>
        <v>33.383698650836088</v>
      </c>
      <c r="M112" s="126"/>
      <c r="N112" s="126"/>
      <c r="O112" s="126"/>
      <c r="P112" s="10">
        <f t="shared" si="15"/>
        <v>3.5510013491639114</v>
      </c>
      <c r="Q112" s="10">
        <f t="shared" si="20"/>
        <v>12.609610581763919</v>
      </c>
      <c r="W112" s="240">
        <f t="shared" si="21"/>
        <v>3.5510013491639114</v>
      </c>
      <c r="X112" s="240">
        <f t="shared" si="22"/>
        <v>9.6142688289438158E-2</v>
      </c>
      <c r="Y112"/>
      <c r="Z112" s="13">
        <f t="shared" si="16"/>
        <v>1.749774491860808</v>
      </c>
      <c r="AA112" s="2"/>
      <c r="AB112" s="68"/>
      <c r="AC112" s="15">
        <f t="shared" si="17"/>
        <v>4.9649239505440361</v>
      </c>
    </row>
    <row r="113" spans="1:29">
      <c r="A113" s="84">
        <f>'Q.1 &amp; 4'!K118</f>
        <v>3.8</v>
      </c>
      <c r="B113" s="141">
        <f>'Q.1 &amp; 4'!L118</f>
        <v>36.934699999999999</v>
      </c>
      <c r="C113" s="221"/>
      <c r="D113" s="23"/>
      <c r="E113" s="24"/>
      <c r="F113" s="22">
        <f t="shared" si="12"/>
        <v>0.2925925925925883</v>
      </c>
      <c r="G113" s="22">
        <f t="shared" si="13"/>
        <v>2.2282109304426356</v>
      </c>
      <c r="H113" s="22">
        <f t="shared" si="18"/>
        <v>0.65195801298135414</v>
      </c>
      <c r="I113" s="22">
        <f t="shared" si="19"/>
        <v>8.5610425240052357E-2</v>
      </c>
      <c r="J113" s="24"/>
      <c r="K113" s="24"/>
      <c r="L113" s="235">
        <f t="shared" si="14"/>
        <v>33.383698650836088</v>
      </c>
      <c r="M113" s="126"/>
      <c r="N113" s="126"/>
      <c r="O113" s="126"/>
      <c r="P113" s="10">
        <f t="shared" si="15"/>
        <v>3.5510013491639114</v>
      </c>
      <c r="Q113" s="10">
        <f t="shared" si="20"/>
        <v>12.609610581763919</v>
      </c>
      <c r="W113" s="240">
        <f t="shared" si="21"/>
        <v>3.5510013491639114</v>
      </c>
      <c r="X113" s="240">
        <f t="shared" si="22"/>
        <v>9.6142688289438158E-2</v>
      </c>
      <c r="Y113"/>
      <c r="Z113" s="13">
        <f t="shared" si="16"/>
        <v>1.749774491860808</v>
      </c>
      <c r="AA113" s="2"/>
      <c r="AB113" s="68"/>
      <c r="AC113" s="15">
        <f t="shared" si="17"/>
        <v>4.9649239505440361</v>
      </c>
    </row>
    <row r="114" spans="1:29">
      <c r="A114" s="84">
        <f>'Q.1 &amp; 4'!K119</f>
        <v>3.8</v>
      </c>
      <c r="B114" s="141">
        <f>'Q.1 &amp; 4'!L119</f>
        <v>35.359400000000001</v>
      </c>
      <c r="C114" s="221"/>
      <c r="D114" s="23"/>
      <c r="E114" s="24"/>
      <c r="F114" s="22">
        <f t="shared" si="12"/>
        <v>0.2925925925925883</v>
      </c>
      <c r="G114" s="22">
        <f t="shared" si="13"/>
        <v>0.65291093044263704</v>
      </c>
      <c r="H114" s="22">
        <f t="shared" si="18"/>
        <v>0.19103690187025024</v>
      </c>
      <c r="I114" s="22">
        <f t="shared" si="19"/>
        <v>8.5610425240052357E-2</v>
      </c>
      <c r="J114" s="24"/>
      <c r="K114" s="24"/>
      <c r="L114" s="235">
        <f t="shared" si="14"/>
        <v>33.383698650836088</v>
      </c>
      <c r="M114" s="126"/>
      <c r="N114" s="126"/>
      <c r="O114" s="126"/>
      <c r="P114" s="10">
        <f t="shared" si="15"/>
        <v>1.9757013491639128</v>
      </c>
      <c r="Q114" s="10">
        <f t="shared" si="20"/>
        <v>3.9033958210881052</v>
      </c>
      <c r="W114" s="240">
        <f t="shared" si="21"/>
        <v>1.9757013491639128</v>
      </c>
      <c r="X114" s="240">
        <f t="shared" si="22"/>
        <v>5.5874855036112399E-2</v>
      </c>
      <c r="Y114"/>
      <c r="Z114" s="13">
        <f t="shared" si="16"/>
        <v>1.749774491860808</v>
      </c>
      <c r="AA114" s="2"/>
      <c r="AB114" s="68"/>
      <c r="AC114" s="15">
        <f t="shared" si="17"/>
        <v>0.42629268309147</v>
      </c>
    </row>
    <row r="115" spans="1:29">
      <c r="A115" s="84">
        <f>'Q.1 &amp; 4'!K120</f>
        <v>3.8</v>
      </c>
      <c r="B115" s="141">
        <f>'Q.1 &amp; 4'!L120</f>
        <v>33.848199999999999</v>
      </c>
      <c r="C115" s="221"/>
      <c r="D115" s="23"/>
      <c r="E115" s="24"/>
      <c r="F115" s="22">
        <f t="shared" si="12"/>
        <v>0.2925925925925883</v>
      </c>
      <c r="G115" s="22">
        <f t="shared" si="13"/>
        <v>-0.85828906955736528</v>
      </c>
      <c r="H115" s="22">
        <f t="shared" si="18"/>
        <v>-0.25112902405566984</v>
      </c>
      <c r="I115" s="22">
        <f t="shared" si="19"/>
        <v>8.5610425240052357E-2</v>
      </c>
      <c r="J115" s="24"/>
      <c r="K115" s="24"/>
      <c r="L115" s="235">
        <f t="shared" si="14"/>
        <v>33.383698650836088</v>
      </c>
      <c r="M115" s="126"/>
      <c r="N115" s="126"/>
      <c r="O115" s="126"/>
      <c r="P115" s="10">
        <f t="shared" si="15"/>
        <v>0.4645013491639105</v>
      </c>
      <c r="Q115" s="10">
        <f t="shared" si="20"/>
        <v>0.21576150337509309</v>
      </c>
      <c r="W115" s="240">
        <f t="shared" si="21"/>
        <v>0.4645013491639105</v>
      </c>
      <c r="X115" s="240">
        <f t="shared" si="22"/>
        <v>1.3723073875831226E-2</v>
      </c>
      <c r="Y115"/>
      <c r="Z115" s="13">
        <f t="shared" si="16"/>
        <v>1.749774491860808</v>
      </c>
      <c r="AA115" s="2"/>
      <c r="AB115" s="68"/>
      <c r="AC115" s="15">
        <f t="shared" si="17"/>
        <v>0.73666012692164784</v>
      </c>
    </row>
    <row r="116" spans="1:29">
      <c r="A116" s="84">
        <f>'Q.1 &amp; 4'!K121</f>
        <v>3.8</v>
      </c>
      <c r="B116" s="141">
        <f>'Q.1 &amp; 4'!L121</f>
        <v>33.164900000000003</v>
      </c>
      <c r="C116" s="221"/>
      <c r="D116" s="23"/>
      <c r="E116" s="24"/>
      <c r="F116" s="22">
        <f t="shared" si="12"/>
        <v>0.2925925925925883</v>
      </c>
      <c r="G116" s="22">
        <f t="shared" si="13"/>
        <v>-1.5415890695573609</v>
      </c>
      <c r="H116" s="22">
        <f t="shared" si="18"/>
        <v>-0.45105754257418412</v>
      </c>
      <c r="I116" s="22">
        <f t="shared" si="19"/>
        <v>8.5610425240052357E-2</v>
      </c>
      <c r="J116" s="24"/>
      <c r="K116" s="24"/>
      <c r="L116" s="235">
        <f t="shared" si="14"/>
        <v>33.383698650836088</v>
      </c>
      <c r="M116" s="126"/>
      <c r="N116" s="126"/>
      <c r="O116" s="126"/>
      <c r="P116" s="10">
        <f t="shared" si="15"/>
        <v>-0.21879865083608507</v>
      </c>
      <c r="Q116" s="10">
        <f t="shared" si="20"/>
        <v>4.7872849607691073E-2</v>
      </c>
      <c r="W116" s="240">
        <f t="shared" si="21"/>
        <v>0.21879865083608507</v>
      </c>
      <c r="X116" s="240">
        <f t="shared" si="22"/>
        <v>6.5972956600527984E-3</v>
      </c>
      <c r="Y116"/>
      <c r="Z116" s="13">
        <f t="shared" si="16"/>
        <v>1.749774491860808</v>
      </c>
      <c r="AA116" s="2"/>
      <c r="AB116" s="68"/>
      <c r="AC116" s="15">
        <f t="shared" si="17"/>
        <v>2.3764968593787295</v>
      </c>
    </row>
    <row r="117" spans="1:29">
      <c r="A117" s="84">
        <f>'Q.1 &amp; 4'!K122</f>
        <v>3.8</v>
      </c>
      <c r="B117" s="141">
        <f>'Q.1 &amp; 4'!L122</f>
        <v>34.255000000000003</v>
      </c>
      <c r="C117" s="221"/>
      <c r="D117" s="23"/>
      <c r="E117" s="24"/>
      <c r="F117" s="22">
        <f t="shared" si="12"/>
        <v>0.2925925925925883</v>
      </c>
      <c r="G117" s="22">
        <f t="shared" si="13"/>
        <v>-0.45148906955736123</v>
      </c>
      <c r="H117" s="22">
        <f t="shared" si="18"/>
        <v>-0.13210235738900375</v>
      </c>
      <c r="I117" s="22">
        <f t="shared" si="19"/>
        <v>8.5610425240052357E-2</v>
      </c>
      <c r="J117" s="24"/>
      <c r="K117" s="24"/>
      <c r="L117" s="235">
        <f t="shared" si="14"/>
        <v>33.383698650836088</v>
      </c>
      <c r="M117" s="126"/>
      <c r="N117" s="126"/>
      <c r="O117" s="126"/>
      <c r="P117" s="10">
        <f t="shared" si="15"/>
        <v>0.87130134916391455</v>
      </c>
      <c r="Q117" s="10">
        <f t="shared" si="20"/>
        <v>0.75916604105485774</v>
      </c>
      <c r="W117" s="240">
        <f t="shared" si="21"/>
        <v>0.87130134916391455</v>
      </c>
      <c r="X117" s="240">
        <f t="shared" si="22"/>
        <v>2.5435742203004364E-2</v>
      </c>
      <c r="Y117"/>
      <c r="Z117" s="13">
        <f t="shared" si="16"/>
        <v>1.749774491860808</v>
      </c>
      <c r="AA117" s="2"/>
      <c r="AB117" s="68"/>
      <c r="AC117" s="15">
        <f t="shared" si="17"/>
        <v>0.20384237992977178</v>
      </c>
    </row>
    <row r="118" spans="1:29">
      <c r="A118" s="84">
        <f>'Q.1 &amp; 4'!K123</f>
        <v>3.8</v>
      </c>
      <c r="B118" s="141">
        <f>'Q.1 &amp; 4'!L123</f>
        <v>33.235700000000001</v>
      </c>
      <c r="C118" s="221"/>
      <c r="D118" s="23"/>
      <c r="E118" s="24"/>
      <c r="F118" s="22">
        <f t="shared" si="12"/>
        <v>0.2925925925925883</v>
      </c>
      <c r="G118" s="22">
        <f t="shared" si="13"/>
        <v>-1.4707890695573624</v>
      </c>
      <c r="H118" s="22">
        <f t="shared" si="18"/>
        <v>-0.43034198701862936</v>
      </c>
      <c r="I118" s="22">
        <f t="shared" si="19"/>
        <v>8.5610425240052357E-2</v>
      </c>
      <c r="J118" s="24"/>
      <c r="K118" s="24"/>
      <c r="L118" s="235">
        <f t="shared" si="14"/>
        <v>33.383698650836088</v>
      </c>
      <c r="M118" s="126"/>
      <c r="N118" s="126"/>
      <c r="O118" s="126"/>
      <c r="P118" s="10">
        <f t="shared" si="15"/>
        <v>-0.14799865083608665</v>
      </c>
      <c r="Q118" s="10">
        <f t="shared" si="20"/>
        <v>2.1903600649301892E-2</v>
      </c>
      <c r="W118" s="240">
        <f t="shared" si="21"/>
        <v>0.14799865083608665</v>
      </c>
      <c r="X118" s="240">
        <f t="shared" si="22"/>
        <v>4.4530023690214629E-3</v>
      </c>
      <c r="Y118"/>
      <c r="Z118" s="13">
        <f t="shared" si="16"/>
        <v>1.749774491860808</v>
      </c>
      <c r="AA118" s="2"/>
      <c r="AB118" s="68"/>
      <c r="AC118" s="15">
        <f t="shared" si="17"/>
        <v>2.1632204871294118</v>
      </c>
    </row>
    <row r="119" spans="1:29">
      <c r="A119" s="84">
        <f>'Q.1 &amp; 4'!K124</f>
        <v>3.8</v>
      </c>
      <c r="B119" s="141">
        <f>'Q.1 &amp; 4'!L124</f>
        <v>33.848199999999999</v>
      </c>
      <c r="C119" s="221"/>
      <c r="D119" s="23"/>
      <c r="E119" s="24"/>
      <c r="F119" s="22">
        <f t="shared" si="12"/>
        <v>0.2925925925925883</v>
      </c>
      <c r="G119" s="22">
        <f t="shared" si="13"/>
        <v>-0.85828906955736528</v>
      </c>
      <c r="H119" s="22">
        <f t="shared" si="18"/>
        <v>-0.25112902405566984</v>
      </c>
      <c r="I119" s="22">
        <f t="shared" si="19"/>
        <v>8.5610425240052357E-2</v>
      </c>
      <c r="J119" s="24"/>
      <c r="K119" s="24"/>
      <c r="L119" s="235">
        <f t="shared" si="14"/>
        <v>33.383698650836088</v>
      </c>
      <c r="M119" s="126"/>
      <c r="N119" s="126"/>
      <c r="O119" s="126"/>
      <c r="P119" s="10">
        <f t="shared" si="15"/>
        <v>0.4645013491639105</v>
      </c>
      <c r="Q119" s="10">
        <f t="shared" si="20"/>
        <v>0.21576150337509309</v>
      </c>
      <c r="W119" s="240">
        <f t="shared" si="21"/>
        <v>0.4645013491639105</v>
      </c>
      <c r="X119" s="240">
        <f t="shared" si="22"/>
        <v>1.3723073875831226E-2</v>
      </c>
      <c r="Y119"/>
      <c r="Z119" s="13">
        <f t="shared" si="16"/>
        <v>1.749774491860808</v>
      </c>
      <c r="AA119" s="2"/>
      <c r="AB119" s="68"/>
      <c r="AC119" s="15">
        <f t="shared" si="17"/>
        <v>0.73666012692164784</v>
      </c>
    </row>
    <row r="120" spans="1:29">
      <c r="A120" s="84">
        <f>'Q.1 &amp; 4'!K125</f>
        <v>3.8</v>
      </c>
      <c r="B120" s="141">
        <f>'Q.1 &amp; 4'!L125</f>
        <v>34.255000000000003</v>
      </c>
      <c r="C120" s="221"/>
      <c r="D120" s="23"/>
      <c r="E120" s="24"/>
      <c r="F120" s="22">
        <f t="shared" si="12"/>
        <v>0.2925925925925883</v>
      </c>
      <c r="G120" s="22">
        <f t="shared" si="13"/>
        <v>-0.45148906955736123</v>
      </c>
      <c r="H120" s="22">
        <f t="shared" si="18"/>
        <v>-0.13210235738900375</v>
      </c>
      <c r="I120" s="22">
        <f t="shared" si="19"/>
        <v>8.5610425240052357E-2</v>
      </c>
      <c r="J120" s="24"/>
      <c r="K120" s="24"/>
      <c r="L120" s="235">
        <f t="shared" si="14"/>
        <v>33.383698650836088</v>
      </c>
      <c r="M120" s="126"/>
      <c r="N120" s="126"/>
      <c r="O120" s="126"/>
      <c r="P120" s="10">
        <f t="shared" si="15"/>
        <v>0.87130134916391455</v>
      </c>
      <c r="Q120" s="10">
        <f t="shared" si="20"/>
        <v>0.75916604105485774</v>
      </c>
      <c r="W120" s="240">
        <f t="shared" si="21"/>
        <v>0.87130134916391455</v>
      </c>
      <c r="X120" s="240">
        <f t="shared" si="22"/>
        <v>2.5435742203004364E-2</v>
      </c>
      <c r="Y120"/>
      <c r="Z120" s="13">
        <f t="shared" si="16"/>
        <v>1.749774491860808</v>
      </c>
      <c r="AA120" s="2"/>
      <c r="AB120" s="68"/>
      <c r="AC120" s="15">
        <f t="shared" si="17"/>
        <v>0.20384237992977178</v>
      </c>
    </row>
    <row r="121" spans="1:29">
      <c r="A121" s="84">
        <f>'Q.1 &amp; 4'!K126</f>
        <v>2.5</v>
      </c>
      <c r="B121" s="141">
        <f>'Q.1 &amp; 4'!L126</f>
        <v>39.726700000000001</v>
      </c>
      <c r="C121" s="221"/>
      <c r="D121" s="23"/>
      <c r="E121" s="24"/>
      <c r="F121" s="22">
        <f t="shared" si="12"/>
        <v>-1.0074074074074115</v>
      </c>
      <c r="G121" s="22">
        <f t="shared" si="13"/>
        <v>5.0202109304426372</v>
      </c>
      <c r="H121" s="22">
        <f t="shared" si="18"/>
        <v>-5.0573976780755663</v>
      </c>
      <c r="I121" s="22">
        <f t="shared" si="19"/>
        <v>1.0148696844993224</v>
      </c>
      <c r="J121" s="24"/>
      <c r="K121" s="24"/>
      <c r="L121" s="235">
        <f t="shared" si="14"/>
        <v>39.260906713762353</v>
      </c>
      <c r="M121" s="126"/>
      <c r="N121" s="126"/>
      <c r="O121" s="126"/>
      <c r="P121" s="10">
        <f t="shared" si="15"/>
        <v>0.46579328623764837</v>
      </c>
      <c r="Q121" s="10">
        <f t="shared" si="20"/>
        <v>0.21696338550406782</v>
      </c>
      <c r="W121" s="240">
        <f t="shared" si="21"/>
        <v>0.46579328623764837</v>
      </c>
      <c r="X121" s="240">
        <f t="shared" si="22"/>
        <v>1.1724942827812236E-2</v>
      </c>
      <c r="Y121"/>
      <c r="Z121" s="13">
        <f t="shared" si="16"/>
        <v>20.742720077845721</v>
      </c>
      <c r="AA121" s="2"/>
      <c r="AB121" s="68"/>
      <c r="AC121" s="15">
        <f t="shared" si="17"/>
        <v>25.202517786135729</v>
      </c>
    </row>
    <row r="122" spans="1:29">
      <c r="A122" s="84">
        <f>'Q.1 &amp; 4'!K127</f>
        <v>5.9</v>
      </c>
      <c r="B122" s="141">
        <f>'Q.1 &amp; 4'!L127</f>
        <v>26.620799999999999</v>
      </c>
      <c r="C122" s="221"/>
      <c r="D122" s="23"/>
      <c r="E122" s="24"/>
      <c r="F122" s="22">
        <f t="shared" si="12"/>
        <v>2.3925925925925888</v>
      </c>
      <c r="G122" s="22">
        <f t="shared" si="13"/>
        <v>-8.0856890695573647</v>
      </c>
      <c r="H122" s="22">
        <f t="shared" si="18"/>
        <v>-19.345759773829812</v>
      </c>
      <c r="I122" s="22">
        <f t="shared" si="19"/>
        <v>5.7244993141289253</v>
      </c>
      <c r="J122" s="24"/>
      <c r="K122" s="24"/>
      <c r="L122" s="235">
        <f t="shared" si="14"/>
        <v>23.889747164570576</v>
      </c>
      <c r="M122" s="126"/>
      <c r="N122" s="126"/>
      <c r="O122" s="126"/>
      <c r="P122" s="10">
        <f t="shared" si="15"/>
        <v>2.7310528354294235</v>
      </c>
      <c r="Q122" s="10">
        <f t="shared" si="20"/>
        <v>7.4586495899070933</v>
      </c>
      <c r="W122" s="240">
        <f t="shared" si="21"/>
        <v>2.7310528354294235</v>
      </c>
      <c r="X122" s="240">
        <f t="shared" si="22"/>
        <v>0.1025909377415188</v>
      </c>
      <c r="Y122"/>
      <c r="Z122" s="13">
        <f t="shared" si="16"/>
        <v>117.00190543909721</v>
      </c>
      <c r="AA122" s="2"/>
      <c r="AB122" s="68"/>
      <c r="AC122" s="15">
        <f t="shared" si="17"/>
        <v>65.378367729559443</v>
      </c>
    </row>
    <row r="123" spans="1:29">
      <c r="A123" s="84">
        <f>'Q.1 &amp; 4'!K128</f>
        <v>2</v>
      </c>
      <c r="B123" s="141">
        <f>'Q.1 &amp; 4'!L128</f>
        <v>42.774299999999997</v>
      </c>
      <c r="C123" s="221"/>
      <c r="D123" s="23"/>
      <c r="E123" s="24"/>
      <c r="F123" s="22">
        <f t="shared" si="12"/>
        <v>-1.5074074074074115</v>
      </c>
      <c r="G123" s="22">
        <f t="shared" si="13"/>
        <v>8.0678109304426329</v>
      </c>
      <c r="H123" s="22">
        <f t="shared" si="18"/>
        <v>-12.161477958111705</v>
      </c>
      <c r="I123" s="22">
        <f t="shared" si="19"/>
        <v>2.2722770919067341</v>
      </c>
      <c r="J123" s="24"/>
      <c r="K123" s="24"/>
      <c r="L123" s="235">
        <f t="shared" si="14"/>
        <v>41.52137135334938</v>
      </c>
      <c r="M123" s="126"/>
      <c r="N123" s="126"/>
      <c r="O123" s="126"/>
      <c r="P123" s="10">
        <f t="shared" si="15"/>
        <v>1.2529286466506164</v>
      </c>
      <c r="Q123" s="10">
        <f t="shared" si="20"/>
        <v>1.5698301935977452</v>
      </c>
      <c r="W123" s="240">
        <f t="shared" si="21"/>
        <v>1.2529286466506164</v>
      </c>
      <c r="X123" s="240">
        <f t="shared" si="22"/>
        <v>2.9291622461398936E-2</v>
      </c>
      <c r="Y123"/>
      <c r="Z123" s="13">
        <f t="shared" si="16"/>
        <v>46.44262054194229</v>
      </c>
      <c r="AA123" s="2"/>
      <c r="AB123" s="68"/>
      <c r="AC123" s="15">
        <f t="shared" si="17"/>
        <v>65.089573209369618</v>
      </c>
    </row>
    <row r="124" spans="1:29">
      <c r="A124" s="84">
        <f>'Q.1 &amp; 4'!K129</f>
        <v>2</v>
      </c>
      <c r="B124" s="141">
        <f>'Q.1 &amp; 4'!L129</f>
        <v>37</v>
      </c>
      <c r="C124" s="221"/>
      <c r="D124" s="23"/>
      <c r="E124" s="24"/>
      <c r="F124" s="22">
        <f t="shared" si="12"/>
        <v>-1.5074074074074115</v>
      </c>
      <c r="G124" s="22">
        <f t="shared" si="13"/>
        <v>2.2935109304426362</v>
      </c>
      <c r="H124" s="22">
        <f t="shared" si="18"/>
        <v>-3.4572553655190945</v>
      </c>
      <c r="I124" s="22">
        <f t="shared" si="19"/>
        <v>2.2722770919067341</v>
      </c>
      <c r="J124" s="24"/>
      <c r="K124" s="24"/>
      <c r="L124" s="235">
        <f t="shared" si="14"/>
        <v>41.52137135334938</v>
      </c>
      <c r="M124" s="126"/>
      <c r="N124" s="126"/>
      <c r="O124" s="126"/>
      <c r="P124" s="10">
        <f t="shared" si="15"/>
        <v>-4.5213713533493802</v>
      </c>
      <c r="Q124" s="10">
        <f t="shared" si="20"/>
        <v>20.442798914888407</v>
      </c>
      <c r="W124" s="240">
        <f t="shared" si="21"/>
        <v>4.5213713533493802</v>
      </c>
      <c r="X124" s="240">
        <f t="shared" si="22"/>
        <v>0.12219922576619946</v>
      </c>
      <c r="Y124"/>
      <c r="Z124" s="13">
        <f t="shared" si="16"/>
        <v>46.44262054194229</v>
      </c>
      <c r="AA124" s="2"/>
      <c r="AB124" s="68"/>
      <c r="AC124" s="15">
        <f t="shared" si="17"/>
        <v>5.2601923880598465</v>
      </c>
    </row>
    <row r="125" spans="1:29">
      <c r="A125" s="84">
        <f>'Q.1 &amp; 4'!K130</f>
        <v>2</v>
      </c>
      <c r="B125" s="141">
        <f>'Q.1 &amp; 4'!L130</f>
        <v>37.798900000000003</v>
      </c>
      <c r="C125" s="221"/>
      <c r="D125" s="23"/>
      <c r="E125" s="24"/>
      <c r="F125" s="22">
        <f t="shared" si="12"/>
        <v>-1.5074074074074115</v>
      </c>
      <c r="G125" s="22">
        <f t="shared" si="13"/>
        <v>3.0924109304426395</v>
      </c>
      <c r="H125" s="22">
        <f t="shared" si="18"/>
        <v>-4.66152314329688</v>
      </c>
      <c r="I125" s="22">
        <f t="shared" si="19"/>
        <v>2.2722770919067341</v>
      </c>
      <c r="J125" s="24"/>
      <c r="K125" s="24"/>
      <c r="L125" s="235">
        <f t="shared" si="14"/>
        <v>41.52137135334938</v>
      </c>
      <c r="M125" s="126"/>
      <c r="N125" s="126"/>
      <c r="O125" s="126"/>
      <c r="P125" s="10">
        <f t="shared" si="15"/>
        <v>-3.722471353349377</v>
      </c>
      <c r="Q125" s="10">
        <f t="shared" si="20"/>
        <v>13.856792976506743</v>
      </c>
      <c r="W125" s="240">
        <f t="shared" si="21"/>
        <v>3.722471353349377</v>
      </c>
      <c r="X125" s="240">
        <f t="shared" si="22"/>
        <v>9.8480943978511981E-2</v>
      </c>
      <c r="Y125"/>
      <c r="Z125" s="13">
        <f t="shared" si="16"/>
        <v>46.44262054194229</v>
      </c>
      <c r="AA125" s="2"/>
      <c r="AB125" s="68"/>
      <c r="AC125" s="15">
        <f t="shared" si="17"/>
        <v>9.5630053627211105</v>
      </c>
    </row>
    <row r="126" spans="1:29">
      <c r="A126" s="84">
        <f>'Q.1 &amp; 4'!K131</f>
        <v>2</v>
      </c>
      <c r="B126" s="141">
        <f>'Q.1 &amp; 4'!L131</f>
        <v>42.575000000000003</v>
      </c>
      <c r="C126" s="221"/>
      <c r="D126" s="23"/>
      <c r="E126" s="24"/>
      <c r="F126" s="22">
        <f t="shared" si="12"/>
        <v>-1.5074074074074115</v>
      </c>
      <c r="G126" s="22">
        <f t="shared" si="13"/>
        <v>7.8685109304426391</v>
      </c>
      <c r="H126" s="22">
        <f t="shared" si="18"/>
        <v>-11.861051661815418</v>
      </c>
      <c r="I126" s="22">
        <f t="shared" si="19"/>
        <v>2.2722770919067341</v>
      </c>
      <c r="J126" s="24"/>
      <c r="K126" s="24"/>
      <c r="L126" s="235">
        <f t="shared" si="14"/>
        <v>41.52137135334938</v>
      </c>
      <c r="M126" s="126"/>
      <c r="N126" s="126"/>
      <c r="O126" s="126"/>
      <c r="P126" s="10">
        <f t="shared" si="15"/>
        <v>1.0536286466506226</v>
      </c>
      <c r="Q126" s="10">
        <f t="shared" si="20"/>
        <v>1.1101333250428225</v>
      </c>
      <c r="W126" s="240">
        <f t="shared" si="21"/>
        <v>1.0536286466506226</v>
      </c>
      <c r="X126" s="240">
        <f t="shared" si="22"/>
        <v>2.4747590056385733E-2</v>
      </c>
      <c r="Y126"/>
      <c r="Z126" s="13">
        <f t="shared" si="16"/>
        <v>46.44262054194229</v>
      </c>
      <c r="AA126" s="2"/>
      <c r="AB126" s="68"/>
      <c r="AC126" s="15">
        <f t="shared" si="17"/>
        <v>61.913464262495282</v>
      </c>
    </row>
    <row r="127" spans="1:29">
      <c r="A127" s="84">
        <f>'Q.1 &amp; 4'!K132</f>
        <v>3.2</v>
      </c>
      <c r="B127" s="141">
        <f>'Q.1 &amp; 4'!L132</f>
        <v>36.200000000000003</v>
      </c>
      <c r="C127" s="221"/>
      <c r="D127" s="23"/>
      <c r="E127" s="24"/>
      <c r="F127" s="22">
        <f t="shared" si="12"/>
        <v>-0.30740740740741135</v>
      </c>
      <c r="G127" s="22">
        <f t="shared" si="13"/>
        <v>1.4935109304426391</v>
      </c>
      <c r="H127" s="22">
        <f t="shared" si="18"/>
        <v>-0.45911632306200234</v>
      </c>
      <c r="I127" s="22">
        <f t="shared" si="19"/>
        <v>9.4499314128946188E-2</v>
      </c>
      <c r="J127" s="24"/>
      <c r="K127" s="24"/>
      <c r="L127" s="235">
        <f t="shared" si="14"/>
        <v>36.096256218340514</v>
      </c>
      <c r="M127" s="126"/>
      <c r="N127" s="126"/>
      <c r="O127" s="126"/>
      <c r="P127" s="10">
        <f t="shared" si="15"/>
        <v>0.10374378165948883</v>
      </c>
      <c r="Q127" s="10">
        <f t="shared" si="20"/>
        <v>1.0762772233011692E-2</v>
      </c>
      <c r="W127" s="240">
        <f t="shared" si="21"/>
        <v>0.10374378165948883</v>
      </c>
      <c r="X127" s="240">
        <f t="shared" si="22"/>
        <v>2.8658503220853268E-3</v>
      </c>
      <c r="Y127"/>
      <c r="Z127" s="13">
        <f t="shared" si="16"/>
        <v>1.9314527278368467</v>
      </c>
      <c r="AA127" s="2"/>
      <c r="AB127" s="68"/>
      <c r="AC127" s="15">
        <f t="shared" si="17"/>
        <v>2.2305748993516374</v>
      </c>
    </row>
    <row r="128" spans="1:29">
      <c r="A128" s="84">
        <f>'Q.1 &amp; 4'!K133</f>
        <v>4.2</v>
      </c>
      <c r="B128" s="141">
        <f>'Q.1 &amp; 4'!L133</f>
        <v>31</v>
      </c>
      <c r="C128" s="221"/>
      <c r="D128" s="23"/>
      <c r="E128" s="24"/>
      <c r="F128" s="22">
        <f t="shared" si="12"/>
        <v>0.69259259259258865</v>
      </c>
      <c r="G128" s="22">
        <f t="shared" si="13"/>
        <v>-3.7064890695573638</v>
      </c>
      <c r="H128" s="22">
        <f t="shared" si="18"/>
        <v>-2.5670868741008261</v>
      </c>
      <c r="I128" s="22">
        <f t="shared" si="19"/>
        <v>0.47968449931412349</v>
      </c>
      <c r="J128" s="24"/>
      <c r="K128" s="24"/>
      <c r="L128" s="235">
        <f t="shared" si="14"/>
        <v>31.575326939166466</v>
      </c>
      <c r="M128" s="126"/>
      <c r="N128" s="126"/>
      <c r="O128" s="126"/>
      <c r="P128" s="10">
        <f t="shared" si="15"/>
        <v>-0.57532693916646593</v>
      </c>
      <c r="Q128" s="10">
        <f t="shared" si="20"/>
        <v>0.33100108693065439</v>
      </c>
      <c r="W128" s="240">
        <f t="shared" si="21"/>
        <v>0.57532693916646593</v>
      </c>
      <c r="X128" s="240">
        <f t="shared" si="22"/>
        <v>1.8558933521498903E-2</v>
      </c>
      <c r="Y128"/>
      <c r="Z128" s="13">
        <f t="shared" si="16"/>
        <v>9.8041762867940658</v>
      </c>
      <c r="AA128" s="2"/>
      <c r="AB128" s="68"/>
      <c r="AC128" s="15">
        <f t="shared" si="17"/>
        <v>13.738061222748213</v>
      </c>
    </row>
    <row r="129" spans="1:29">
      <c r="A129" s="84">
        <f>'Q.1 &amp; 4'!K134</f>
        <v>4.2</v>
      </c>
      <c r="B129" s="141">
        <f>'Q.1 &amp; 4'!L134</f>
        <v>29.3</v>
      </c>
      <c r="C129" s="221"/>
      <c r="D129" s="23"/>
      <c r="E129" s="24"/>
      <c r="F129" s="22">
        <f t="shared" si="12"/>
        <v>0.69259259259258865</v>
      </c>
      <c r="G129" s="22">
        <f t="shared" si="13"/>
        <v>-5.4064890695573631</v>
      </c>
      <c r="H129" s="22">
        <f t="shared" si="18"/>
        <v>-3.7444942815082265</v>
      </c>
      <c r="I129" s="22">
        <f t="shared" si="19"/>
        <v>0.47968449931412349</v>
      </c>
      <c r="J129" s="24"/>
      <c r="K129" s="24"/>
      <c r="L129" s="235">
        <f t="shared" si="14"/>
        <v>31.575326939166466</v>
      </c>
      <c r="M129" s="126"/>
      <c r="N129" s="126"/>
      <c r="O129" s="126"/>
      <c r="P129" s="10">
        <f t="shared" si="15"/>
        <v>-2.2753269391664652</v>
      </c>
      <c r="Q129" s="10">
        <f t="shared" si="20"/>
        <v>5.1771126800966352</v>
      </c>
      <c r="W129" s="240">
        <f t="shared" si="21"/>
        <v>2.2753269391664652</v>
      </c>
      <c r="X129" s="240">
        <f t="shared" si="22"/>
        <v>7.7656209527865699E-2</v>
      </c>
      <c r="Y129"/>
      <c r="Z129" s="13">
        <f t="shared" si="16"/>
        <v>9.8041762867940658</v>
      </c>
      <c r="AA129" s="2"/>
      <c r="AB129" s="68"/>
      <c r="AC129" s="15">
        <f t="shared" si="17"/>
        <v>29.230124059243241</v>
      </c>
    </row>
    <row r="130" spans="1:29">
      <c r="A130" s="84">
        <f>'Q.1 &amp; 4'!K135</f>
        <v>3</v>
      </c>
      <c r="B130" s="141">
        <f>'Q.1 &amp; 4'!L135</f>
        <v>34</v>
      </c>
      <c r="C130" s="221"/>
      <c r="D130" s="23"/>
      <c r="E130" s="24"/>
      <c r="F130" s="22">
        <f t="shared" si="12"/>
        <v>-0.50740740740741153</v>
      </c>
      <c r="G130" s="22">
        <f t="shared" si="13"/>
        <v>-0.70648906955736379</v>
      </c>
      <c r="H130" s="22">
        <f t="shared" si="18"/>
        <v>0.35847778714577638</v>
      </c>
      <c r="I130" s="22">
        <f t="shared" si="19"/>
        <v>0.25746227709191088</v>
      </c>
      <c r="J130" s="24"/>
      <c r="K130" s="24"/>
      <c r="L130" s="235">
        <f t="shared" si="14"/>
        <v>37.000442074175325</v>
      </c>
      <c r="M130" s="126"/>
      <c r="N130" s="126"/>
      <c r="O130" s="126"/>
      <c r="P130" s="10">
        <f t="shared" si="15"/>
        <v>-3.000442074175325</v>
      </c>
      <c r="Q130" s="10">
        <f t="shared" si="20"/>
        <v>9.0026526404815268</v>
      </c>
      <c r="W130" s="240">
        <f t="shared" si="21"/>
        <v>3.000442074175325</v>
      </c>
      <c r="X130" s="240">
        <f t="shared" si="22"/>
        <v>8.8248296299274262E-2</v>
      </c>
      <c r="Y130"/>
      <c r="Z130" s="13">
        <f t="shared" si="16"/>
        <v>5.2622203873957725</v>
      </c>
      <c r="AA130" s="2"/>
      <c r="AB130" s="68"/>
      <c r="AC130" s="15">
        <f t="shared" si="17"/>
        <v>0.49912680540402959</v>
      </c>
    </row>
    <row r="131" spans="1:29">
      <c r="A131" s="84">
        <f>'Q.1 &amp; 4'!K136</f>
        <v>2</v>
      </c>
      <c r="B131" s="141">
        <f>'Q.1 &amp; 4'!L136</f>
        <v>39.7256</v>
      </c>
      <c r="C131" s="221"/>
      <c r="D131" s="23"/>
      <c r="E131" s="24"/>
      <c r="F131" s="22">
        <f t="shared" si="12"/>
        <v>-1.5074074074074115</v>
      </c>
      <c r="G131" s="22">
        <f t="shared" si="13"/>
        <v>5.0191109304426362</v>
      </c>
      <c r="H131" s="22">
        <f t="shared" si="18"/>
        <v>-7.5658449951487352</v>
      </c>
      <c r="I131" s="22">
        <f t="shared" si="19"/>
        <v>2.2722770919067341</v>
      </c>
      <c r="J131" s="24"/>
      <c r="K131" s="24"/>
      <c r="L131" s="235">
        <f t="shared" si="14"/>
        <v>41.52137135334938</v>
      </c>
      <c r="M131" s="126"/>
      <c r="N131" s="126"/>
      <c r="O131" s="126"/>
      <c r="P131" s="10">
        <f t="shared" si="15"/>
        <v>-1.7957713533493802</v>
      </c>
      <c r="Q131" s="10">
        <f t="shared" si="20"/>
        <v>3.2247947535102646</v>
      </c>
      <c r="W131" s="240">
        <f t="shared" si="21"/>
        <v>1.7957713533493802</v>
      </c>
      <c r="X131" s="240">
        <f t="shared" si="22"/>
        <v>4.5204385921153618E-2</v>
      </c>
      <c r="Y131"/>
      <c r="Z131" s="13">
        <f t="shared" si="16"/>
        <v>46.44262054194229</v>
      </c>
      <c r="AA131" s="2"/>
      <c r="AB131" s="68"/>
      <c r="AC131" s="15">
        <f t="shared" si="17"/>
        <v>25.191474532088744</v>
      </c>
    </row>
    <row r="132" spans="1:29">
      <c r="A132" s="84">
        <f>'Q.1 &amp; 4'!K137</f>
        <v>6</v>
      </c>
      <c r="B132" s="141">
        <f>'Q.1 &amp; 4'!L137</f>
        <v>23.2715</v>
      </c>
      <c r="C132" s="221"/>
      <c r="D132" s="23"/>
      <c r="E132" s="24"/>
      <c r="F132" s="22">
        <f t="shared" si="12"/>
        <v>2.4925925925925885</v>
      </c>
      <c r="G132" s="22">
        <f t="shared" si="13"/>
        <v>-11.434989069557364</v>
      </c>
      <c r="H132" s="22">
        <f t="shared" si="18"/>
        <v>-28.502769051155902</v>
      </c>
      <c r="I132" s="22">
        <f t="shared" si="19"/>
        <v>6.2130178326474415</v>
      </c>
      <c r="J132" s="24"/>
      <c r="K132" s="24"/>
      <c r="L132" s="235">
        <f t="shared" si="14"/>
        <v>23.437654236653174</v>
      </c>
      <c r="M132" s="126"/>
      <c r="N132" s="126"/>
      <c r="O132" s="126"/>
      <c r="P132" s="10">
        <f t="shared" si="15"/>
        <v>-0.16615423665317408</v>
      </c>
      <c r="Q132" s="10">
        <f t="shared" si="20"/>
        <v>2.7607230357798978E-2</v>
      </c>
      <c r="W132" s="240">
        <f t="shared" si="21"/>
        <v>0.16615423665317408</v>
      </c>
      <c r="X132" s="240">
        <f t="shared" si="22"/>
        <v>7.1398163699449577E-3</v>
      </c>
      <c r="Y132"/>
      <c r="Z132" s="13">
        <f t="shared" si="16"/>
        <v>126.9866384912748</v>
      </c>
      <c r="AA132" s="2"/>
      <c r="AB132" s="68"/>
      <c r="AC132" s="15">
        <f t="shared" si="17"/>
        <v>130.7589750208964</v>
      </c>
    </row>
    <row r="133" spans="1:29">
      <c r="A133" s="84">
        <f>'Q.1 &amp; 4'!K138</f>
        <v>3</v>
      </c>
      <c r="B133" s="141">
        <f>'Q.1 &amp; 4'!L138</f>
        <v>38.169600000000003</v>
      </c>
      <c r="C133" s="221"/>
      <c r="D133" s="23"/>
      <c r="E133" s="24"/>
      <c r="F133" s="22">
        <f t="shared" si="12"/>
        <v>-0.50740740740741153</v>
      </c>
      <c r="G133" s="22">
        <f t="shared" si="13"/>
        <v>3.4631109304426388</v>
      </c>
      <c r="H133" s="22">
        <f t="shared" si="18"/>
        <v>-1.7572081387801681</v>
      </c>
      <c r="I133" s="22">
        <f t="shared" si="19"/>
        <v>0.25746227709191088</v>
      </c>
      <c r="J133" s="24"/>
      <c r="K133" s="24"/>
      <c r="L133" s="235">
        <f t="shared" si="14"/>
        <v>37.000442074175325</v>
      </c>
      <c r="M133" s="126"/>
      <c r="N133" s="126"/>
      <c r="O133" s="126"/>
      <c r="P133" s="10">
        <f t="shared" si="15"/>
        <v>1.1691579258246776</v>
      </c>
      <c r="Q133" s="10">
        <f t="shared" si="20"/>
        <v>1.3669302555186622</v>
      </c>
      <c r="W133" s="240">
        <f t="shared" si="21"/>
        <v>1.1691579258246776</v>
      </c>
      <c r="X133" s="240">
        <f t="shared" si="22"/>
        <v>3.0630604612693808E-2</v>
      </c>
      <c r="Y133"/>
      <c r="Z133" s="13">
        <f t="shared" si="16"/>
        <v>5.2622203873957725</v>
      </c>
      <c r="AA133" s="2"/>
      <c r="AB133" s="68"/>
      <c r="AC133" s="15">
        <f t="shared" si="17"/>
        <v>11.99313731655128</v>
      </c>
    </row>
    <row r="134" spans="1:29">
      <c r="A134" s="84">
        <f>'Q.1 &amp; 4'!K139</f>
        <v>3</v>
      </c>
      <c r="B134" s="141">
        <f>'Q.1 &amp; 4'!L139</f>
        <v>38.7896</v>
      </c>
      <c r="C134" s="221"/>
      <c r="D134" s="23"/>
      <c r="E134" s="24"/>
      <c r="F134" s="22">
        <f t="shared" ref="F134:F197" si="23">A134-$D$6</f>
        <v>-0.50740740740741153</v>
      </c>
      <c r="G134" s="22">
        <f t="shared" ref="G134:G197" si="24">B134-$E$6</f>
        <v>4.0831109304426363</v>
      </c>
      <c r="H134" s="22">
        <f t="shared" si="18"/>
        <v>-2.071800731372762</v>
      </c>
      <c r="I134" s="22">
        <f t="shared" si="19"/>
        <v>0.25746227709191088</v>
      </c>
      <c r="J134" s="24"/>
      <c r="K134" s="24"/>
      <c r="L134" s="235">
        <f t="shared" ref="L134:L197" si="25">$K$6+$J$6*A134</f>
        <v>37.000442074175325</v>
      </c>
      <c r="M134" s="126"/>
      <c r="N134" s="126"/>
      <c r="O134" s="126"/>
      <c r="P134" s="10">
        <f t="shared" ref="P134:P197" si="26">B134-L134</f>
        <v>1.789157925824675</v>
      </c>
      <c r="Q134" s="10">
        <f t="shared" si="20"/>
        <v>3.2010860835412536</v>
      </c>
      <c r="W134" s="240">
        <f t="shared" si="21"/>
        <v>1.789157925824675</v>
      </c>
      <c r="X134" s="240">
        <f t="shared" si="22"/>
        <v>4.6124680992448361E-2</v>
      </c>
      <c r="Y134"/>
      <c r="Z134" s="13">
        <f t="shared" ref="Z134:Z197" si="27">(L134-$E$6)^2</f>
        <v>5.2622203873957725</v>
      </c>
      <c r="AA134" s="2"/>
      <c r="AB134" s="68"/>
      <c r="AC134" s="15">
        <f t="shared" ref="AC134:AC197" si="28">(B134-$E$6)^2</f>
        <v>16.671794870300133</v>
      </c>
    </row>
    <row r="135" spans="1:29">
      <c r="A135" s="84">
        <f>'Q.1 &amp; 4'!K140</f>
        <v>3</v>
      </c>
      <c r="B135" s="141">
        <f>'Q.1 &amp; 4'!L140</f>
        <v>39.710299999999997</v>
      </c>
      <c r="C135" s="221"/>
      <c r="D135" s="23"/>
      <c r="E135" s="24"/>
      <c r="F135" s="22">
        <f t="shared" si="23"/>
        <v>-0.50740740740741153</v>
      </c>
      <c r="G135" s="22">
        <f t="shared" si="24"/>
        <v>5.0038109304426328</v>
      </c>
      <c r="H135" s="22">
        <f t="shared" ref="H135:H198" si="29">F135*G135</f>
        <v>-2.5389707313727641</v>
      </c>
      <c r="I135" s="22">
        <f t="shared" ref="I135:I198" si="30">F135^2</f>
        <v>0.25746227709191088</v>
      </c>
      <c r="J135" s="24"/>
      <c r="K135" s="24"/>
      <c r="L135" s="235">
        <f t="shared" si="25"/>
        <v>37.000442074175325</v>
      </c>
      <c r="M135" s="126"/>
      <c r="N135" s="126"/>
      <c r="O135" s="126"/>
      <c r="P135" s="10">
        <f t="shared" si="26"/>
        <v>2.7098579258246716</v>
      </c>
      <c r="Q135" s="10">
        <f t="shared" ref="Q135:Q198" si="31">P135^2</f>
        <v>7.3433299781547907</v>
      </c>
      <c r="W135" s="240">
        <f t="shared" ref="W135:W198" si="32">ABS(P135)</f>
        <v>2.7098579258246716</v>
      </c>
      <c r="X135" s="240">
        <f t="shared" ref="X135:X198" si="33">W135/B135</f>
        <v>6.8240681279785637E-2</v>
      </c>
      <c r="Y135"/>
      <c r="Z135" s="13">
        <f t="shared" si="27"/>
        <v>5.2622203873957725</v>
      </c>
      <c r="AA135" s="2"/>
      <c r="AB135" s="68"/>
      <c r="AC135" s="15">
        <f t="shared" si="28"/>
        <v>25.038123827617166</v>
      </c>
    </row>
    <row r="136" spans="1:29">
      <c r="A136" s="84">
        <f>'Q.1 &amp; 4'!K141</f>
        <v>3</v>
      </c>
      <c r="B136" s="141">
        <f>'Q.1 &amp; 4'!L141</f>
        <v>38.7896</v>
      </c>
      <c r="C136" s="221"/>
      <c r="D136" s="23"/>
      <c r="E136" s="24"/>
      <c r="F136" s="22">
        <f t="shared" si="23"/>
        <v>-0.50740740740741153</v>
      </c>
      <c r="G136" s="22">
        <f t="shared" si="24"/>
        <v>4.0831109304426363</v>
      </c>
      <c r="H136" s="22">
        <f t="shared" si="29"/>
        <v>-2.071800731372762</v>
      </c>
      <c r="I136" s="22">
        <f t="shared" si="30"/>
        <v>0.25746227709191088</v>
      </c>
      <c r="J136" s="24"/>
      <c r="K136" s="24"/>
      <c r="L136" s="235">
        <f t="shared" si="25"/>
        <v>37.000442074175325</v>
      </c>
      <c r="M136" s="126"/>
      <c r="N136" s="126"/>
      <c r="O136" s="126"/>
      <c r="P136" s="10">
        <f t="shared" si="26"/>
        <v>1.789157925824675</v>
      </c>
      <c r="Q136" s="10">
        <f t="shared" si="31"/>
        <v>3.2010860835412536</v>
      </c>
      <c r="W136" s="240">
        <f t="shared" si="32"/>
        <v>1.789157925824675</v>
      </c>
      <c r="X136" s="240">
        <f t="shared" si="33"/>
        <v>4.6124680992448361E-2</v>
      </c>
      <c r="Y136"/>
      <c r="Z136" s="13">
        <f t="shared" si="27"/>
        <v>5.2622203873957725</v>
      </c>
      <c r="AA136" s="2"/>
      <c r="AB136" s="68"/>
      <c r="AC136" s="15">
        <f t="shared" si="28"/>
        <v>16.671794870300133</v>
      </c>
    </row>
    <row r="137" spans="1:29">
      <c r="A137" s="84">
        <f>'Q.1 &amp; 4'!K142</f>
        <v>3</v>
      </c>
      <c r="B137" s="141">
        <f>'Q.1 &amp; 4'!L142</f>
        <v>35.5</v>
      </c>
      <c r="C137" s="221"/>
      <c r="D137" s="23"/>
      <c r="E137" s="24"/>
      <c r="F137" s="22">
        <f t="shared" si="23"/>
        <v>-0.50740740740741153</v>
      </c>
      <c r="G137" s="22">
        <f t="shared" si="24"/>
        <v>0.79351093044263621</v>
      </c>
      <c r="H137" s="22">
        <f t="shared" si="29"/>
        <v>-0.40263332396534091</v>
      </c>
      <c r="I137" s="22">
        <f t="shared" si="30"/>
        <v>0.25746227709191088</v>
      </c>
      <c r="J137" s="24"/>
      <c r="K137" s="24"/>
      <c r="L137" s="235">
        <f t="shared" si="25"/>
        <v>37.000442074175325</v>
      </c>
      <c r="M137" s="126"/>
      <c r="N137" s="126"/>
      <c r="O137" s="126"/>
      <c r="P137" s="10">
        <f t="shared" si="26"/>
        <v>-1.500442074175325</v>
      </c>
      <c r="Q137" s="10">
        <f t="shared" si="31"/>
        <v>2.2513264179555517</v>
      </c>
      <c r="W137" s="240">
        <f t="shared" si="32"/>
        <v>1.500442074175325</v>
      </c>
      <c r="X137" s="240">
        <f t="shared" si="33"/>
        <v>4.2265973920431694E-2</v>
      </c>
      <c r="Y137"/>
      <c r="Z137" s="13">
        <f t="shared" si="27"/>
        <v>5.2622203873957725</v>
      </c>
      <c r="AA137" s="2"/>
      <c r="AB137" s="68"/>
      <c r="AC137" s="15">
        <f t="shared" si="28"/>
        <v>0.62965959673193828</v>
      </c>
    </row>
    <row r="138" spans="1:29">
      <c r="A138" s="84">
        <f>'Q.1 &amp; 4'!K143</f>
        <v>3</v>
      </c>
      <c r="B138" s="141">
        <f>'Q.1 &amp; 4'!L143</f>
        <v>35.267800000000001</v>
      </c>
      <c r="C138" s="221"/>
      <c r="D138" s="23"/>
      <c r="E138" s="24"/>
      <c r="F138" s="22">
        <f t="shared" si="23"/>
        <v>-0.50740740740741153</v>
      </c>
      <c r="G138" s="22">
        <f t="shared" si="24"/>
        <v>0.56131093044263736</v>
      </c>
      <c r="H138" s="22">
        <f t="shared" si="29"/>
        <v>-0.28481332396534054</v>
      </c>
      <c r="I138" s="22">
        <f t="shared" si="30"/>
        <v>0.25746227709191088</v>
      </c>
      <c r="J138" s="24"/>
      <c r="K138" s="24"/>
      <c r="L138" s="235">
        <f t="shared" si="25"/>
        <v>37.000442074175325</v>
      </c>
      <c r="M138" s="126"/>
      <c r="N138" s="126"/>
      <c r="O138" s="126"/>
      <c r="P138" s="10">
        <f t="shared" si="26"/>
        <v>-1.7326420741753239</v>
      </c>
      <c r="Q138" s="10">
        <f t="shared" si="31"/>
        <v>3.0020485572025688</v>
      </c>
      <c r="W138" s="240">
        <f t="shared" si="32"/>
        <v>1.7326420741753239</v>
      </c>
      <c r="X138" s="240">
        <f t="shared" si="33"/>
        <v>4.912815866527892E-2</v>
      </c>
      <c r="Y138"/>
      <c r="Z138" s="13">
        <f t="shared" si="27"/>
        <v>5.2622203873957725</v>
      </c>
      <c r="AA138" s="2"/>
      <c r="AB138" s="68"/>
      <c r="AC138" s="15">
        <f t="shared" si="28"/>
        <v>0.31506996063437925</v>
      </c>
    </row>
    <row r="139" spans="1:29">
      <c r="A139" s="84">
        <f>'Q.1 &amp; 4'!K144</f>
        <v>3</v>
      </c>
      <c r="B139" s="141">
        <f>'Q.1 &amp; 4'!L144</f>
        <v>36.154800000000002</v>
      </c>
      <c r="C139" s="221"/>
      <c r="D139" s="23"/>
      <c r="E139" s="24"/>
      <c r="F139" s="22">
        <f t="shared" si="23"/>
        <v>-0.50740740740741153</v>
      </c>
      <c r="G139" s="22">
        <f t="shared" si="24"/>
        <v>1.4483109304426378</v>
      </c>
      <c r="H139" s="22">
        <f t="shared" si="29"/>
        <v>-0.73488369433571477</v>
      </c>
      <c r="I139" s="22">
        <f t="shared" si="30"/>
        <v>0.25746227709191088</v>
      </c>
      <c r="J139" s="24"/>
      <c r="K139" s="24"/>
      <c r="L139" s="235">
        <f t="shared" si="25"/>
        <v>37.000442074175325</v>
      </c>
      <c r="M139" s="126"/>
      <c r="N139" s="126"/>
      <c r="O139" s="126"/>
      <c r="P139" s="10">
        <f t="shared" si="26"/>
        <v>-0.84564207417532344</v>
      </c>
      <c r="Q139" s="10">
        <f t="shared" si="31"/>
        <v>0.71511051761554323</v>
      </c>
      <c r="W139" s="240">
        <f t="shared" si="32"/>
        <v>0.84564207417532344</v>
      </c>
      <c r="X139" s="240">
        <f t="shared" si="33"/>
        <v>2.3389482839770194E-2</v>
      </c>
      <c r="Y139"/>
      <c r="Z139" s="13">
        <f t="shared" si="27"/>
        <v>5.2622203873957725</v>
      </c>
      <c r="AA139" s="2"/>
      <c r="AB139" s="68"/>
      <c r="AC139" s="15">
        <f t="shared" si="28"/>
        <v>2.0976045512396193</v>
      </c>
    </row>
    <row r="140" spans="1:29">
      <c r="A140" s="84">
        <f>'Q.1 &amp; 4'!K145</f>
        <v>3</v>
      </c>
      <c r="B140" s="141">
        <f>'Q.1 &amp; 4'!L145</f>
        <v>35.708100000000002</v>
      </c>
      <c r="C140" s="221"/>
      <c r="D140" s="23"/>
      <c r="E140" s="24"/>
      <c r="F140" s="22">
        <f t="shared" si="23"/>
        <v>-0.50740740740741153</v>
      </c>
      <c r="G140" s="22">
        <f t="shared" si="24"/>
        <v>1.0016109304426379</v>
      </c>
      <c r="H140" s="22">
        <f t="shared" si="29"/>
        <v>-0.50822480544682413</v>
      </c>
      <c r="I140" s="22">
        <f t="shared" si="30"/>
        <v>0.25746227709191088</v>
      </c>
      <c r="J140" s="24"/>
      <c r="K140" s="24"/>
      <c r="L140" s="235">
        <f t="shared" si="25"/>
        <v>37.000442074175325</v>
      </c>
      <c r="M140" s="126"/>
      <c r="N140" s="126"/>
      <c r="O140" s="126"/>
      <c r="P140" s="10">
        <f t="shared" si="26"/>
        <v>-1.2923420741753233</v>
      </c>
      <c r="Q140" s="10">
        <f t="shared" si="31"/>
        <v>1.6701480366837769</v>
      </c>
      <c r="W140" s="240">
        <f t="shared" si="32"/>
        <v>1.2923420741753233</v>
      </c>
      <c r="X140" s="240">
        <f t="shared" si="33"/>
        <v>3.6191846504723672E-2</v>
      </c>
      <c r="Y140"/>
      <c r="Z140" s="13">
        <f t="shared" si="27"/>
        <v>5.2622203873957725</v>
      </c>
      <c r="AA140" s="2"/>
      <c r="AB140" s="68"/>
      <c r="AC140" s="15">
        <f t="shared" si="28"/>
        <v>1.0032244559821668</v>
      </c>
    </row>
    <row r="141" spans="1:29">
      <c r="A141" s="84">
        <f>'Q.1 &amp; 4'!K146</f>
        <v>3</v>
      </c>
      <c r="B141" s="141">
        <f>'Q.1 &amp; 4'!L146</f>
        <v>39.710299999999997</v>
      </c>
      <c r="C141" s="221"/>
      <c r="D141" s="23"/>
      <c r="E141" s="24"/>
      <c r="F141" s="22">
        <f t="shared" si="23"/>
        <v>-0.50740740740741153</v>
      </c>
      <c r="G141" s="22">
        <f t="shared" si="24"/>
        <v>5.0038109304426328</v>
      </c>
      <c r="H141" s="22">
        <f t="shared" si="29"/>
        <v>-2.5389707313727641</v>
      </c>
      <c r="I141" s="22">
        <f t="shared" si="30"/>
        <v>0.25746227709191088</v>
      </c>
      <c r="J141" s="24"/>
      <c r="K141" s="24"/>
      <c r="L141" s="235">
        <f t="shared" si="25"/>
        <v>37.000442074175325</v>
      </c>
      <c r="M141" s="126"/>
      <c r="N141" s="126"/>
      <c r="O141" s="126"/>
      <c r="P141" s="10">
        <f t="shared" si="26"/>
        <v>2.7098579258246716</v>
      </c>
      <c r="Q141" s="10">
        <f t="shared" si="31"/>
        <v>7.3433299781547907</v>
      </c>
      <c r="W141" s="240">
        <f t="shared" si="32"/>
        <v>2.7098579258246716</v>
      </c>
      <c r="X141" s="240">
        <f t="shared" si="33"/>
        <v>6.8240681279785637E-2</v>
      </c>
      <c r="Y141"/>
      <c r="Z141" s="13">
        <f t="shared" si="27"/>
        <v>5.2622203873957725</v>
      </c>
      <c r="AA141" s="2"/>
      <c r="AB141" s="68"/>
      <c r="AC141" s="15">
        <f t="shared" si="28"/>
        <v>25.038123827617166</v>
      </c>
    </row>
    <row r="142" spans="1:29">
      <c r="A142" s="84">
        <f>'Q.1 &amp; 4'!K147</f>
        <v>3</v>
      </c>
      <c r="B142" s="141">
        <f>'Q.1 &amp; 4'!L147</f>
        <v>38.7896</v>
      </c>
      <c r="C142" s="221"/>
      <c r="D142" s="23"/>
      <c r="E142" s="24"/>
      <c r="F142" s="22">
        <f t="shared" si="23"/>
        <v>-0.50740740740741153</v>
      </c>
      <c r="G142" s="22">
        <f t="shared" si="24"/>
        <v>4.0831109304426363</v>
      </c>
      <c r="H142" s="22">
        <f t="shared" si="29"/>
        <v>-2.071800731372762</v>
      </c>
      <c r="I142" s="22">
        <f t="shared" si="30"/>
        <v>0.25746227709191088</v>
      </c>
      <c r="J142" s="24"/>
      <c r="K142" s="24"/>
      <c r="L142" s="235">
        <f t="shared" si="25"/>
        <v>37.000442074175325</v>
      </c>
      <c r="M142" s="126"/>
      <c r="N142" s="126"/>
      <c r="O142" s="126"/>
      <c r="P142" s="10">
        <f t="shared" si="26"/>
        <v>1.789157925824675</v>
      </c>
      <c r="Q142" s="10">
        <f t="shared" si="31"/>
        <v>3.2010860835412536</v>
      </c>
      <c r="W142" s="240">
        <f t="shared" si="32"/>
        <v>1.789157925824675</v>
      </c>
      <c r="X142" s="240">
        <f t="shared" si="33"/>
        <v>4.6124680992448361E-2</v>
      </c>
      <c r="Y142"/>
      <c r="Z142" s="13">
        <f t="shared" si="27"/>
        <v>5.2622203873957725</v>
      </c>
      <c r="AA142" s="2"/>
      <c r="AB142" s="68"/>
      <c r="AC142" s="15">
        <f t="shared" si="28"/>
        <v>16.671794870300133</v>
      </c>
    </row>
    <row r="143" spans="1:29">
      <c r="A143" s="84">
        <f>'Q.1 &amp; 4'!K148</f>
        <v>3</v>
      </c>
      <c r="B143" s="141">
        <f>'Q.1 &amp; 4'!L148</f>
        <v>38.169600000000003</v>
      </c>
      <c r="C143" s="221"/>
      <c r="D143" s="23"/>
      <c r="E143" s="24"/>
      <c r="F143" s="22">
        <f t="shared" si="23"/>
        <v>-0.50740740740741153</v>
      </c>
      <c r="G143" s="22">
        <f t="shared" si="24"/>
        <v>3.4631109304426388</v>
      </c>
      <c r="H143" s="22">
        <f t="shared" si="29"/>
        <v>-1.7572081387801681</v>
      </c>
      <c r="I143" s="22">
        <f t="shared" si="30"/>
        <v>0.25746227709191088</v>
      </c>
      <c r="J143" s="24"/>
      <c r="K143" s="24"/>
      <c r="L143" s="235">
        <f t="shared" si="25"/>
        <v>37.000442074175325</v>
      </c>
      <c r="M143" s="126"/>
      <c r="N143" s="126"/>
      <c r="O143" s="126"/>
      <c r="P143" s="10">
        <f t="shared" si="26"/>
        <v>1.1691579258246776</v>
      </c>
      <c r="Q143" s="10">
        <f t="shared" si="31"/>
        <v>1.3669302555186622</v>
      </c>
      <c r="W143" s="240">
        <f t="shared" si="32"/>
        <v>1.1691579258246776</v>
      </c>
      <c r="X143" s="240">
        <f t="shared" si="33"/>
        <v>3.0630604612693808E-2</v>
      </c>
      <c r="Y143"/>
      <c r="Z143" s="13">
        <f t="shared" si="27"/>
        <v>5.2622203873957725</v>
      </c>
      <c r="AA143" s="2"/>
      <c r="AB143" s="68"/>
      <c r="AC143" s="15">
        <f t="shared" si="28"/>
        <v>11.99313731655128</v>
      </c>
    </row>
    <row r="144" spans="1:29">
      <c r="A144" s="84">
        <f>'Q.1 &amp; 4'!K149</f>
        <v>3</v>
      </c>
      <c r="B144" s="141">
        <f>'Q.1 &amp; 4'!L149</f>
        <v>36.798000000000002</v>
      </c>
      <c r="C144" s="221"/>
      <c r="D144" s="23"/>
      <c r="E144" s="24"/>
      <c r="F144" s="22">
        <f t="shared" si="23"/>
        <v>-0.50740740740741153</v>
      </c>
      <c r="G144" s="22">
        <f t="shared" si="24"/>
        <v>2.091510930442638</v>
      </c>
      <c r="H144" s="22">
        <f t="shared" si="29"/>
        <v>-1.061248138780162</v>
      </c>
      <c r="I144" s="22">
        <f t="shared" si="30"/>
        <v>0.25746227709191088</v>
      </c>
      <c r="J144" s="24"/>
      <c r="K144" s="24"/>
      <c r="L144" s="235">
        <f t="shared" si="25"/>
        <v>37.000442074175325</v>
      </c>
      <c r="M144" s="126"/>
      <c r="N144" s="126"/>
      <c r="O144" s="126"/>
      <c r="P144" s="10">
        <f t="shared" si="26"/>
        <v>-0.20244207417532323</v>
      </c>
      <c r="Q144" s="10">
        <f t="shared" si="31"/>
        <v>4.098279339640707E-2</v>
      </c>
      <c r="W144" s="240">
        <f t="shared" si="32"/>
        <v>0.20244207417532323</v>
      </c>
      <c r="X144" s="240">
        <f t="shared" si="33"/>
        <v>5.5014423114115776E-3</v>
      </c>
      <c r="Y144"/>
      <c r="Z144" s="13">
        <f t="shared" si="27"/>
        <v>5.2622203873957725</v>
      </c>
      <c r="AA144" s="2"/>
      <c r="AB144" s="68"/>
      <c r="AC144" s="15">
        <f t="shared" si="28"/>
        <v>4.3744179721610292</v>
      </c>
    </row>
    <row r="145" spans="1:29">
      <c r="A145" s="84">
        <f>'Q.1 &amp; 4'!K150</f>
        <v>3</v>
      </c>
      <c r="B145" s="141">
        <f>'Q.1 &amp; 4'!L150</f>
        <v>35.540399999999998</v>
      </c>
      <c r="C145" s="221"/>
      <c r="D145" s="23"/>
      <c r="E145" s="24"/>
      <c r="F145" s="22">
        <f t="shared" si="23"/>
        <v>-0.50740740740741153</v>
      </c>
      <c r="G145" s="22">
        <f t="shared" si="24"/>
        <v>0.83391093044263442</v>
      </c>
      <c r="H145" s="22">
        <f t="shared" si="29"/>
        <v>-0.4231325832245994</v>
      </c>
      <c r="I145" s="22">
        <f t="shared" si="30"/>
        <v>0.25746227709191088</v>
      </c>
      <c r="J145" s="24"/>
      <c r="K145" s="24"/>
      <c r="L145" s="235">
        <f t="shared" si="25"/>
        <v>37.000442074175325</v>
      </c>
      <c r="M145" s="126"/>
      <c r="N145" s="126"/>
      <c r="O145" s="126"/>
      <c r="P145" s="10">
        <f t="shared" si="26"/>
        <v>-1.4600420741753268</v>
      </c>
      <c r="Q145" s="10">
        <f t="shared" si="31"/>
        <v>2.1317228583621906</v>
      </c>
      <c r="W145" s="240">
        <f t="shared" si="32"/>
        <v>1.4600420741753268</v>
      </c>
      <c r="X145" s="240">
        <f t="shared" si="33"/>
        <v>4.1081194195206776E-2</v>
      </c>
      <c r="Y145"/>
      <c r="Z145" s="13">
        <f t="shared" si="27"/>
        <v>5.2622203873957725</v>
      </c>
      <c r="AA145" s="2"/>
      <c r="AB145" s="68"/>
      <c r="AC145" s="15">
        <f t="shared" si="28"/>
        <v>0.69540743991170029</v>
      </c>
    </row>
    <row r="146" spans="1:29">
      <c r="A146" s="84">
        <f>'Q.1 &amp; 4'!K151</f>
        <v>3</v>
      </c>
      <c r="B146" s="141">
        <f>'Q.1 &amp; 4'!L151</f>
        <v>35.460599999999999</v>
      </c>
      <c r="C146" s="221"/>
      <c r="D146" s="23"/>
      <c r="E146" s="24"/>
      <c r="F146" s="22">
        <f t="shared" si="23"/>
        <v>-0.50740740740741153</v>
      </c>
      <c r="G146" s="22">
        <f t="shared" si="24"/>
        <v>0.75411093044263566</v>
      </c>
      <c r="H146" s="22">
        <f t="shared" si="29"/>
        <v>-0.38264147211348859</v>
      </c>
      <c r="I146" s="22">
        <f t="shared" si="30"/>
        <v>0.25746227709191088</v>
      </c>
      <c r="J146" s="24"/>
      <c r="K146" s="24"/>
      <c r="L146" s="235">
        <f t="shared" si="25"/>
        <v>37.000442074175325</v>
      </c>
      <c r="M146" s="126"/>
      <c r="N146" s="126"/>
      <c r="O146" s="126"/>
      <c r="P146" s="10">
        <f t="shared" si="26"/>
        <v>-1.5398420741753256</v>
      </c>
      <c r="Q146" s="10">
        <f t="shared" si="31"/>
        <v>2.3711136134005688</v>
      </c>
      <c r="W146" s="240">
        <f t="shared" si="32"/>
        <v>1.5398420741753256</v>
      </c>
      <c r="X146" s="240">
        <f t="shared" si="33"/>
        <v>4.3424027629970323E-2</v>
      </c>
      <c r="Y146"/>
      <c r="Z146" s="13">
        <f t="shared" si="27"/>
        <v>5.2622203873957725</v>
      </c>
      <c r="AA146" s="2"/>
      <c r="AB146" s="68"/>
      <c r="AC146" s="15">
        <f t="shared" si="28"/>
        <v>0.56868329541305773</v>
      </c>
    </row>
    <row r="147" spans="1:29">
      <c r="A147" s="84">
        <f>'Q.1 &amp; 4'!K152</f>
        <v>3</v>
      </c>
      <c r="B147" s="141">
        <f>'Q.1 &amp; 4'!L152</f>
        <v>36.154800000000002</v>
      </c>
      <c r="C147" s="221"/>
      <c r="D147" s="23"/>
      <c r="E147" s="24"/>
      <c r="F147" s="22">
        <f t="shared" si="23"/>
        <v>-0.50740740740741153</v>
      </c>
      <c r="G147" s="22">
        <f t="shared" si="24"/>
        <v>1.4483109304426378</v>
      </c>
      <c r="H147" s="22">
        <f t="shared" si="29"/>
        <v>-0.73488369433571477</v>
      </c>
      <c r="I147" s="22">
        <f t="shared" si="30"/>
        <v>0.25746227709191088</v>
      </c>
      <c r="J147" s="24"/>
      <c r="K147" s="24"/>
      <c r="L147" s="235">
        <f t="shared" si="25"/>
        <v>37.000442074175325</v>
      </c>
      <c r="M147" s="126"/>
      <c r="N147" s="126"/>
      <c r="O147" s="126"/>
      <c r="P147" s="10">
        <f t="shared" si="26"/>
        <v>-0.84564207417532344</v>
      </c>
      <c r="Q147" s="10">
        <f t="shared" si="31"/>
        <v>0.71511051761554323</v>
      </c>
      <c r="W147" s="240">
        <f t="shared" si="32"/>
        <v>0.84564207417532344</v>
      </c>
      <c r="X147" s="240">
        <f t="shared" si="33"/>
        <v>2.3389482839770194E-2</v>
      </c>
      <c r="Y147"/>
      <c r="Z147" s="13">
        <f t="shared" si="27"/>
        <v>5.2622203873957725</v>
      </c>
      <c r="AA147" s="2"/>
      <c r="AB147" s="68"/>
      <c r="AC147" s="15">
        <f t="shared" si="28"/>
        <v>2.0976045512396193</v>
      </c>
    </row>
    <row r="148" spans="1:29">
      <c r="A148" s="84">
        <f>'Q.1 &amp; 4'!K153</f>
        <v>3</v>
      </c>
      <c r="B148" s="141">
        <f>'Q.1 &amp; 4'!L153</f>
        <v>35.708100000000002</v>
      </c>
      <c r="C148" s="221"/>
      <c r="D148" s="23"/>
      <c r="E148" s="24"/>
      <c r="F148" s="22">
        <f t="shared" si="23"/>
        <v>-0.50740740740741153</v>
      </c>
      <c r="G148" s="22">
        <f t="shared" si="24"/>
        <v>1.0016109304426379</v>
      </c>
      <c r="H148" s="22">
        <f t="shared" si="29"/>
        <v>-0.50822480544682413</v>
      </c>
      <c r="I148" s="22">
        <f t="shared" si="30"/>
        <v>0.25746227709191088</v>
      </c>
      <c r="J148" s="24"/>
      <c r="K148" s="24"/>
      <c r="L148" s="235">
        <f t="shared" si="25"/>
        <v>37.000442074175325</v>
      </c>
      <c r="M148" s="126"/>
      <c r="N148" s="126"/>
      <c r="O148" s="126"/>
      <c r="P148" s="10">
        <f t="shared" si="26"/>
        <v>-1.2923420741753233</v>
      </c>
      <c r="Q148" s="10">
        <f t="shared" si="31"/>
        <v>1.6701480366837769</v>
      </c>
      <c r="W148" s="240">
        <f t="shared" si="32"/>
        <v>1.2923420741753233</v>
      </c>
      <c r="X148" s="240">
        <f t="shared" si="33"/>
        <v>3.6191846504723672E-2</v>
      </c>
      <c r="Y148"/>
      <c r="Z148" s="13">
        <f t="shared" si="27"/>
        <v>5.2622203873957725</v>
      </c>
      <c r="AA148" s="2"/>
      <c r="AB148" s="68"/>
      <c r="AC148" s="15">
        <f t="shared" si="28"/>
        <v>1.0032244559821668</v>
      </c>
    </row>
    <row r="149" spans="1:29">
      <c r="A149" s="84">
        <f>'Q.1 &amp; 4'!K154</f>
        <v>3</v>
      </c>
      <c r="B149" s="141">
        <f>'Q.1 &amp; 4'!L154</f>
        <v>36.154800000000002</v>
      </c>
      <c r="C149" s="221"/>
      <c r="D149" s="23"/>
      <c r="E149" s="24"/>
      <c r="F149" s="22">
        <f t="shared" si="23"/>
        <v>-0.50740740740741153</v>
      </c>
      <c r="G149" s="22">
        <f t="shared" si="24"/>
        <v>1.4483109304426378</v>
      </c>
      <c r="H149" s="22">
        <f t="shared" si="29"/>
        <v>-0.73488369433571477</v>
      </c>
      <c r="I149" s="22">
        <f t="shared" si="30"/>
        <v>0.25746227709191088</v>
      </c>
      <c r="J149" s="24"/>
      <c r="K149" s="24"/>
      <c r="L149" s="235">
        <f t="shared" si="25"/>
        <v>37.000442074175325</v>
      </c>
      <c r="M149" s="126"/>
      <c r="N149" s="126"/>
      <c r="O149" s="126"/>
      <c r="P149" s="10">
        <f t="shared" si="26"/>
        <v>-0.84564207417532344</v>
      </c>
      <c r="Q149" s="10">
        <f t="shared" si="31"/>
        <v>0.71511051761554323</v>
      </c>
      <c r="W149" s="240">
        <f t="shared" si="32"/>
        <v>0.84564207417532344</v>
      </c>
      <c r="X149" s="240">
        <f t="shared" si="33"/>
        <v>2.3389482839770194E-2</v>
      </c>
      <c r="Y149"/>
      <c r="Z149" s="13">
        <f t="shared" si="27"/>
        <v>5.2622203873957725</v>
      </c>
      <c r="AA149" s="2"/>
      <c r="AB149" s="68"/>
      <c r="AC149" s="15">
        <f t="shared" si="28"/>
        <v>2.0976045512396193</v>
      </c>
    </row>
    <row r="150" spans="1:29">
      <c r="A150" s="84">
        <f>'Q.1 &amp; 4'!K155</f>
        <v>3</v>
      </c>
      <c r="B150" s="141">
        <f>'Q.1 &amp; 4'!L155</f>
        <v>35.708100000000002</v>
      </c>
      <c r="C150" s="221"/>
      <c r="D150" s="23"/>
      <c r="E150" s="24"/>
      <c r="F150" s="22">
        <f t="shared" si="23"/>
        <v>-0.50740740740741153</v>
      </c>
      <c r="G150" s="22">
        <f t="shared" si="24"/>
        <v>1.0016109304426379</v>
      </c>
      <c r="H150" s="22">
        <f t="shared" si="29"/>
        <v>-0.50822480544682413</v>
      </c>
      <c r="I150" s="22">
        <f t="shared" si="30"/>
        <v>0.25746227709191088</v>
      </c>
      <c r="J150" s="24"/>
      <c r="K150" s="24"/>
      <c r="L150" s="235">
        <f t="shared" si="25"/>
        <v>37.000442074175325</v>
      </c>
      <c r="M150" s="126"/>
      <c r="N150" s="126"/>
      <c r="O150" s="126"/>
      <c r="P150" s="10">
        <f t="shared" si="26"/>
        <v>-1.2923420741753233</v>
      </c>
      <c r="Q150" s="10">
        <f t="shared" si="31"/>
        <v>1.6701480366837769</v>
      </c>
      <c r="W150" s="240">
        <f t="shared" si="32"/>
        <v>1.2923420741753233</v>
      </c>
      <c r="X150" s="240">
        <f t="shared" si="33"/>
        <v>3.6191846504723672E-2</v>
      </c>
      <c r="Y150"/>
      <c r="Z150" s="13">
        <f t="shared" si="27"/>
        <v>5.2622203873957725</v>
      </c>
      <c r="AA150" s="2"/>
      <c r="AB150" s="68"/>
      <c r="AC150" s="15">
        <f t="shared" si="28"/>
        <v>1.0032244559821668</v>
      </c>
    </row>
    <row r="151" spans="1:29">
      <c r="A151" s="84">
        <f>'Q.1 &amp; 4'!K156</f>
        <v>3</v>
      </c>
      <c r="B151" s="141">
        <f>'Q.1 &amp; 4'!L156</f>
        <v>34.7288</v>
      </c>
      <c r="C151" s="221"/>
      <c r="D151" s="23"/>
      <c r="E151" s="24"/>
      <c r="F151" s="22">
        <f t="shared" si="23"/>
        <v>-0.50740740740741153</v>
      </c>
      <c r="G151" s="22">
        <f t="shared" si="24"/>
        <v>2.2310930442635879E-2</v>
      </c>
      <c r="H151" s="22">
        <f t="shared" si="29"/>
        <v>-1.1320731372744964E-2</v>
      </c>
      <c r="I151" s="22">
        <f t="shared" si="30"/>
        <v>0.25746227709191088</v>
      </c>
      <c r="J151" s="24"/>
      <c r="K151" s="24"/>
      <c r="L151" s="235">
        <f t="shared" si="25"/>
        <v>37.000442074175325</v>
      </c>
      <c r="M151" s="126"/>
      <c r="N151" s="126"/>
      <c r="O151" s="126"/>
      <c r="P151" s="10">
        <f t="shared" si="26"/>
        <v>-2.2716420741753254</v>
      </c>
      <c r="Q151" s="10">
        <f t="shared" si="31"/>
        <v>5.1603577131635747</v>
      </c>
      <c r="W151" s="240">
        <f t="shared" si="32"/>
        <v>2.2716420741753254</v>
      </c>
      <c r="X151" s="240">
        <f t="shared" si="33"/>
        <v>6.5410900295297433E-2</v>
      </c>
      <c r="Y151"/>
      <c r="Z151" s="13">
        <f t="shared" si="27"/>
        <v>5.2622203873957725</v>
      </c>
      <c r="AA151" s="2"/>
      <c r="AB151" s="68"/>
      <c r="AC151" s="15">
        <f t="shared" si="28"/>
        <v>4.9777761721613641E-4</v>
      </c>
    </row>
    <row r="152" spans="1:29">
      <c r="A152" s="84">
        <f>'Q.1 &amp; 4'!K157</f>
        <v>3</v>
      </c>
      <c r="B152" s="141">
        <f>'Q.1 &amp; 4'!L157</f>
        <v>34.285299999999999</v>
      </c>
      <c r="C152" s="221"/>
      <c r="D152" s="23"/>
      <c r="E152" s="24"/>
      <c r="F152" s="22">
        <f t="shared" si="23"/>
        <v>-0.50740740740741153</v>
      </c>
      <c r="G152" s="22">
        <f t="shared" si="24"/>
        <v>-0.42118906955736435</v>
      </c>
      <c r="H152" s="22">
        <f t="shared" si="29"/>
        <v>0.21371445381244217</v>
      </c>
      <c r="I152" s="22">
        <f t="shared" si="30"/>
        <v>0.25746227709191088</v>
      </c>
      <c r="J152" s="24"/>
      <c r="K152" s="24"/>
      <c r="L152" s="235">
        <f t="shared" si="25"/>
        <v>37.000442074175325</v>
      </c>
      <c r="M152" s="126"/>
      <c r="N152" s="126"/>
      <c r="O152" s="126"/>
      <c r="P152" s="10">
        <f t="shared" si="26"/>
        <v>-2.7151420741753256</v>
      </c>
      <c r="Q152" s="10">
        <f t="shared" si="31"/>
        <v>7.3719964829570896</v>
      </c>
      <c r="W152" s="240">
        <f t="shared" si="32"/>
        <v>2.7151420741753256</v>
      </c>
      <c r="X152" s="240">
        <f t="shared" si="33"/>
        <v>7.9192600740705943E-2</v>
      </c>
      <c r="Y152"/>
      <c r="Z152" s="13">
        <f t="shared" si="27"/>
        <v>5.2622203873957725</v>
      </c>
      <c r="AA152" s="2"/>
      <c r="AB152" s="68"/>
      <c r="AC152" s="15">
        <f t="shared" si="28"/>
        <v>0.17740023231459831</v>
      </c>
    </row>
    <row r="153" spans="1:29">
      <c r="A153" s="84">
        <f>'Q.1 &amp; 4'!K158</f>
        <v>4.8</v>
      </c>
      <c r="B153" s="141">
        <f>'Q.1 &amp; 4'!L158</f>
        <v>30.537500000000001</v>
      </c>
      <c r="C153" s="221"/>
      <c r="D153" s="23"/>
      <c r="E153" s="24"/>
      <c r="F153" s="22">
        <f t="shared" si="23"/>
        <v>1.2925925925925883</v>
      </c>
      <c r="G153" s="22">
        <f t="shared" si="24"/>
        <v>-4.1689890695573624</v>
      </c>
      <c r="H153" s="22">
        <f t="shared" si="29"/>
        <v>-5.3888043899093132</v>
      </c>
      <c r="I153" s="22">
        <f t="shared" si="30"/>
        <v>1.6707956104252288</v>
      </c>
      <c r="J153" s="24"/>
      <c r="K153" s="24"/>
      <c r="L153" s="235">
        <f t="shared" si="25"/>
        <v>28.862769371662036</v>
      </c>
      <c r="M153" s="126"/>
      <c r="N153" s="126"/>
      <c r="O153" s="126"/>
      <c r="P153" s="10">
        <f t="shared" si="26"/>
        <v>1.674730628337965</v>
      </c>
      <c r="Q153" s="10">
        <f t="shared" si="31"/>
        <v>2.8047226774932752</v>
      </c>
      <c r="W153" s="240">
        <f t="shared" si="32"/>
        <v>1.674730628337965</v>
      </c>
      <c r="X153" s="240">
        <f t="shared" si="33"/>
        <v>5.48417725202772E-2</v>
      </c>
      <c r="Y153"/>
      <c r="Z153" s="13">
        <f t="shared" si="27"/>
        <v>34.149059907569857</v>
      </c>
      <c r="AA153" s="2"/>
      <c r="AB153" s="68"/>
      <c r="AC153" s="15">
        <f t="shared" si="28"/>
        <v>17.380469862088763</v>
      </c>
    </row>
    <row r="154" spans="1:29">
      <c r="A154" s="84">
        <f>'Q.1 &amp; 4'!K159</f>
        <v>4.8</v>
      </c>
      <c r="B154" s="141">
        <f>'Q.1 &amp; 4'!L159</f>
        <v>31.374700000000001</v>
      </c>
      <c r="C154" s="221"/>
      <c r="D154" s="23"/>
      <c r="E154" s="24"/>
      <c r="F154" s="22">
        <f t="shared" si="23"/>
        <v>1.2925925925925883</v>
      </c>
      <c r="G154" s="22">
        <f t="shared" si="24"/>
        <v>-3.3317890695573631</v>
      </c>
      <c r="H154" s="22">
        <f t="shared" si="29"/>
        <v>-4.3066458713907991</v>
      </c>
      <c r="I154" s="22">
        <f t="shared" si="30"/>
        <v>1.6707956104252288</v>
      </c>
      <c r="J154" s="24"/>
      <c r="K154" s="24"/>
      <c r="L154" s="235">
        <f t="shared" si="25"/>
        <v>28.862769371662036</v>
      </c>
      <c r="M154" s="126"/>
      <c r="N154" s="126"/>
      <c r="O154" s="126"/>
      <c r="P154" s="10">
        <f t="shared" si="26"/>
        <v>2.5119306283379643</v>
      </c>
      <c r="Q154" s="10">
        <f t="shared" si="31"/>
        <v>6.30979548158236</v>
      </c>
      <c r="W154" s="240">
        <f t="shared" si="32"/>
        <v>2.5119306283379643</v>
      </c>
      <c r="X154" s="240">
        <f t="shared" si="33"/>
        <v>8.0062299506862666E-2</v>
      </c>
      <c r="Y154"/>
      <c r="Z154" s="13">
        <f t="shared" si="27"/>
        <v>34.149059907569857</v>
      </c>
      <c r="AA154" s="2"/>
      <c r="AB154" s="68"/>
      <c r="AC154" s="15">
        <f t="shared" si="28"/>
        <v>11.100818404021918</v>
      </c>
    </row>
    <row r="155" spans="1:29">
      <c r="A155" s="84">
        <f>'Q.1 &amp; 4'!K160</f>
        <v>4.8</v>
      </c>
      <c r="B155" s="141">
        <f>'Q.1 &amp; 4'!L160</f>
        <v>28.8</v>
      </c>
      <c r="C155" s="221"/>
      <c r="D155" s="23"/>
      <c r="E155" s="24"/>
      <c r="F155" s="22">
        <f t="shared" si="23"/>
        <v>1.2925925925925883</v>
      </c>
      <c r="G155" s="22">
        <f t="shared" si="24"/>
        <v>-5.9064890695573631</v>
      </c>
      <c r="H155" s="22">
        <f t="shared" si="29"/>
        <v>-7.6346840195389367</v>
      </c>
      <c r="I155" s="22">
        <f t="shared" si="30"/>
        <v>1.6707956104252288</v>
      </c>
      <c r="J155" s="24"/>
      <c r="K155" s="24"/>
      <c r="L155" s="235">
        <f t="shared" si="25"/>
        <v>28.862769371662036</v>
      </c>
      <c r="M155" s="126"/>
      <c r="N155" s="126"/>
      <c r="O155" s="126"/>
      <c r="P155" s="10">
        <f t="shared" si="26"/>
        <v>-6.2769371662035667E-2</v>
      </c>
      <c r="Q155" s="10">
        <f t="shared" si="31"/>
        <v>3.9399940188467658E-3</v>
      </c>
      <c r="W155" s="240">
        <f t="shared" si="32"/>
        <v>6.2769371662035667E-2</v>
      </c>
      <c r="X155" s="240">
        <f t="shared" si="33"/>
        <v>2.1794920715984606E-3</v>
      </c>
      <c r="Y155"/>
      <c r="Z155" s="13">
        <f t="shared" si="27"/>
        <v>34.149059907569857</v>
      </c>
      <c r="AA155" s="2"/>
      <c r="AB155" s="68"/>
      <c r="AC155" s="15">
        <f t="shared" si="28"/>
        <v>34.886613128800604</v>
      </c>
    </row>
    <row r="156" spans="1:29">
      <c r="A156" s="84">
        <f>'Q.1 &amp; 4'!K161</f>
        <v>4.8</v>
      </c>
      <c r="B156" s="141">
        <f>'Q.1 &amp; 4'!L161</f>
        <v>31.8</v>
      </c>
      <c r="C156" s="221"/>
      <c r="D156" s="23"/>
      <c r="E156" s="24"/>
      <c r="F156" s="22">
        <f t="shared" si="23"/>
        <v>1.2925925925925883</v>
      </c>
      <c r="G156" s="22">
        <f t="shared" si="24"/>
        <v>-2.9064890695573631</v>
      </c>
      <c r="H156" s="22">
        <f t="shared" si="29"/>
        <v>-3.7569062417611718</v>
      </c>
      <c r="I156" s="22">
        <f t="shared" si="30"/>
        <v>1.6707956104252288</v>
      </c>
      <c r="J156" s="24"/>
      <c r="K156" s="24"/>
      <c r="L156" s="235">
        <f t="shared" si="25"/>
        <v>28.862769371662036</v>
      </c>
      <c r="M156" s="126"/>
      <c r="N156" s="126"/>
      <c r="O156" s="126"/>
      <c r="P156" s="10">
        <f t="shared" si="26"/>
        <v>2.9372306283379643</v>
      </c>
      <c r="Q156" s="10">
        <f t="shared" si="31"/>
        <v>8.6273237640466327</v>
      </c>
      <c r="W156" s="240">
        <f t="shared" si="32"/>
        <v>2.9372306283379643</v>
      </c>
      <c r="X156" s="240">
        <f t="shared" si="33"/>
        <v>9.2365743029495725E-2</v>
      </c>
      <c r="Y156"/>
      <c r="Z156" s="13">
        <f t="shared" si="27"/>
        <v>34.149059907569857</v>
      </c>
      <c r="AA156" s="2"/>
      <c r="AB156" s="68"/>
      <c r="AC156" s="15">
        <f t="shared" si="28"/>
        <v>8.447678711456426</v>
      </c>
    </row>
    <row r="157" spans="1:29">
      <c r="A157" s="84">
        <f>'Q.1 &amp; 4'!K162</f>
        <v>4</v>
      </c>
      <c r="B157" s="141">
        <f>'Q.1 &amp; 4'!L162</f>
        <v>27.3704</v>
      </c>
      <c r="C157" s="221"/>
      <c r="D157" s="23"/>
      <c r="E157" s="24"/>
      <c r="F157" s="22">
        <f t="shared" si="23"/>
        <v>0.49259259259258847</v>
      </c>
      <c r="G157" s="22">
        <f t="shared" si="24"/>
        <v>-7.3360890695573637</v>
      </c>
      <c r="H157" s="22">
        <f t="shared" si="29"/>
        <v>-3.6137031342634121</v>
      </c>
      <c r="I157" s="22">
        <f t="shared" si="30"/>
        <v>0.24264746227708786</v>
      </c>
      <c r="J157" s="24"/>
      <c r="K157" s="24"/>
      <c r="L157" s="235">
        <f t="shared" si="25"/>
        <v>32.479512795001277</v>
      </c>
      <c r="M157" s="126"/>
      <c r="N157" s="126"/>
      <c r="O157" s="126"/>
      <c r="P157" s="10">
        <f t="shared" si="26"/>
        <v>-5.1091127950012769</v>
      </c>
      <c r="Q157" s="10">
        <f t="shared" si="31"/>
        <v>26.103033552045758</v>
      </c>
      <c r="W157" s="240">
        <f t="shared" si="32"/>
        <v>5.1091127950012769</v>
      </c>
      <c r="X157" s="240">
        <f t="shared" si="33"/>
        <v>0.18666562399531161</v>
      </c>
      <c r="Y157"/>
      <c r="Z157" s="13">
        <f t="shared" si="27"/>
        <v>4.9594233274357071</v>
      </c>
      <c r="AA157" s="2"/>
      <c r="AB157" s="68"/>
      <c r="AC157" s="15">
        <f t="shared" si="28"/>
        <v>53.818202836479024</v>
      </c>
    </row>
    <row r="158" spans="1:29">
      <c r="A158" s="84">
        <f>'Q.1 &amp; 4'!K163</f>
        <v>4</v>
      </c>
      <c r="B158" s="141">
        <f>'Q.1 &amp; 4'!L163</f>
        <v>27.3</v>
      </c>
      <c r="C158" s="221"/>
      <c r="D158" s="23"/>
      <c r="E158" s="24"/>
      <c r="F158" s="22">
        <f t="shared" si="23"/>
        <v>0.49259259259258847</v>
      </c>
      <c r="G158" s="22">
        <f t="shared" si="24"/>
        <v>-7.4064890695573631</v>
      </c>
      <c r="H158" s="22">
        <f t="shared" si="29"/>
        <v>-3.6483816527819299</v>
      </c>
      <c r="I158" s="22">
        <f t="shared" si="30"/>
        <v>0.24264746227708786</v>
      </c>
      <c r="J158" s="24"/>
      <c r="K158" s="24"/>
      <c r="L158" s="235">
        <f t="shared" si="25"/>
        <v>32.479512795001277</v>
      </c>
      <c r="M158" s="126"/>
      <c r="N158" s="126"/>
      <c r="O158" s="126"/>
      <c r="P158" s="10">
        <f t="shared" si="26"/>
        <v>-5.1795127950012763</v>
      </c>
      <c r="Q158" s="10">
        <f t="shared" si="31"/>
        <v>26.827352793581934</v>
      </c>
      <c r="W158" s="240">
        <f t="shared" si="32"/>
        <v>5.1795127950012763</v>
      </c>
      <c r="X158" s="240">
        <f t="shared" si="33"/>
        <v>0.18972574340664014</v>
      </c>
      <c r="Y158"/>
      <c r="Z158" s="13">
        <f t="shared" si="27"/>
        <v>4.9594233274357071</v>
      </c>
      <c r="AA158" s="2"/>
      <c r="AB158" s="68"/>
      <c r="AC158" s="15">
        <f t="shared" si="28"/>
        <v>54.856080337472697</v>
      </c>
    </row>
    <row r="159" spans="1:29">
      <c r="A159" s="84">
        <f>'Q.1 &amp; 4'!K164</f>
        <v>4</v>
      </c>
      <c r="B159" s="141">
        <f>'Q.1 &amp; 4'!L164</f>
        <v>28.4</v>
      </c>
      <c r="C159" s="221"/>
      <c r="D159" s="23"/>
      <c r="E159" s="24"/>
      <c r="F159" s="22">
        <f t="shared" si="23"/>
        <v>0.49259259259258847</v>
      </c>
      <c r="G159" s="22">
        <f t="shared" si="24"/>
        <v>-6.3064890695573652</v>
      </c>
      <c r="H159" s="22">
        <f t="shared" si="29"/>
        <v>-3.1065298009300837</v>
      </c>
      <c r="I159" s="22">
        <f t="shared" si="30"/>
        <v>0.24264746227708786</v>
      </c>
      <c r="J159" s="24"/>
      <c r="K159" s="24"/>
      <c r="L159" s="235">
        <f t="shared" si="25"/>
        <v>32.479512795001277</v>
      </c>
      <c r="M159" s="126"/>
      <c r="N159" s="126"/>
      <c r="O159" s="126"/>
      <c r="P159" s="10">
        <f t="shared" si="26"/>
        <v>-4.0795127950012784</v>
      </c>
      <c r="Q159" s="10">
        <f t="shared" si="31"/>
        <v>16.642424644579144</v>
      </c>
      <c r="W159" s="240">
        <f t="shared" si="32"/>
        <v>4.0795127950012784</v>
      </c>
      <c r="X159" s="240">
        <f t="shared" si="33"/>
        <v>0.14364481672539714</v>
      </c>
      <c r="Y159"/>
      <c r="Z159" s="13">
        <f t="shared" si="27"/>
        <v>4.9594233274357071</v>
      </c>
      <c r="AA159" s="2"/>
      <c r="AB159" s="68"/>
      <c r="AC159" s="15">
        <f t="shared" si="28"/>
        <v>39.771804384446519</v>
      </c>
    </row>
    <row r="160" spans="1:29">
      <c r="A160" s="84">
        <f>'Q.1 &amp; 4'!K165</f>
        <v>4</v>
      </c>
      <c r="B160" s="141">
        <f>'Q.1 &amp; 4'!L165</f>
        <v>27.9711</v>
      </c>
      <c r="C160" s="221"/>
      <c r="D160" s="23"/>
      <c r="E160" s="24"/>
      <c r="F160" s="22">
        <f t="shared" si="23"/>
        <v>0.49259259259258847</v>
      </c>
      <c r="G160" s="22">
        <f t="shared" si="24"/>
        <v>-6.7353890695573639</v>
      </c>
      <c r="H160" s="22">
        <f t="shared" si="29"/>
        <v>-3.3178027638930443</v>
      </c>
      <c r="I160" s="22">
        <f t="shared" si="30"/>
        <v>0.24264746227708786</v>
      </c>
      <c r="J160" s="24"/>
      <c r="K160" s="24"/>
      <c r="L160" s="235">
        <f t="shared" si="25"/>
        <v>32.479512795001277</v>
      </c>
      <c r="M160" s="126"/>
      <c r="N160" s="126"/>
      <c r="O160" s="126"/>
      <c r="P160" s="10">
        <f t="shared" si="26"/>
        <v>-4.5084127950012771</v>
      </c>
      <c r="Q160" s="10">
        <f t="shared" si="31"/>
        <v>20.325785930131229</v>
      </c>
      <c r="W160" s="240">
        <f t="shared" si="32"/>
        <v>4.5084127950012771</v>
      </c>
      <c r="X160" s="240">
        <f t="shared" si="33"/>
        <v>0.16118110460444091</v>
      </c>
      <c r="Y160"/>
      <c r="Z160" s="13">
        <f t="shared" si="27"/>
        <v>4.9594233274357071</v>
      </c>
      <c r="AA160" s="2"/>
      <c r="AB160" s="68"/>
      <c r="AC160" s="15">
        <f t="shared" si="28"/>
        <v>45.365465918312815</v>
      </c>
    </row>
    <row r="161" spans="1:29">
      <c r="A161" s="84">
        <f>'Q.1 &amp; 4'!K166</f>
        <v>5</v>
      </c>
      <c r="B161" s="141">
        <f>'Q.1 &amp; 4'!L166</f>
        <v>23.227</v>
      </c>
      <c r="C161" s="221"/>
      <c r="D161" s="23"/>
      <c r="E161" s="24"/>
      <c r="F161" s="22">
        <f t="shared" si="23"/>
        <v>1.4925925925925885</v>
      </c>
      <c r="G161" s="22">
        <f t="shared" si="24"/>
        <v>-11.479489069557363</v>
      </c>
      <c r="H161" s="22">
        <f t="shared" si="29"/>
        <v>-17.134200351968907</v>
      </c>
      <c r="I161" s="22">
        <f t="shared" si="30"/>
        <v>2.2278326474622649</v>
      </c>
      <c r="J161" s="24"/>
      <c r="K161" s="24"/>
      <c r="L161" s="235">
        <f t="shared" si="25"/>
        <v>27.958583515827225</v>
      </c>
      <c r="M161" s="126"/>
      <c r="N161" s="126"/>
      <c r="O161" s="126"/>
      <c r="P161" s="10">
        <f t="shared" si="26"/>
        <v>-4.731583515827225</v>
      </c>
      <c r="Q161" s="10">
        <f t="shared" si="31"/>
        <v>22.387882567247924</v>
      </c>
      <c r="W161" s="240">
        <f t="shared" si="32"/>
        <v>4.731583515827225</v>
      </c>
      <c r="X161" s="240">
        <f t="shared" si="33"/>
        <v>0.20371048847579218</v>
      </c>
      <c r="Y161"/>
      <c r="Z161" s="13">
        <f t="shared" si="27"/>
        <v>45.53422936206205</v>
      </c>
      <c r="AA161" s="2"/>
      <c r="AB161" s="68"/>
      <c r="AC161" s="15">
        <f t="shared" si="28"/>
        <v>131.77866929808698</v>
      </c>
    </row>
    <row r="162" spans="1:29">
      <c r="A162" s="84">
        <f>'Q.1 &amp; 4'!K167</f>
        <v>5</v>
      </c>
      <c r="B162" s="141">
        <f>'Q.1 &amp; 4'!L167</f>
        <v>23.618200000000002</v>
      </c>
      <c r="C162" s="221"/>
      <c r="D162" s="23"/>
      <c r="E162" s="24"/>
      <c r="F162" s="22">
        <f t="shared" si="23"/>
        <v>1.4925925925925885</v>
      </c>
      <c r="G162" s="22">
        <f t="shared" si="24"/>
        <v>-11.088289069557362</v>
      </c>
      <c r="H162" s="22">
        <f t="shared" si="29"/>
        <v>-16.550298129746682</v>
      </c>
      <c r="I162" s="22">
        <f t="shared" si="30"/>
        <v>2.2278326474622649</v>
      </c>
      <c r="J162" s="24"/>
      <c r="K162" s="24"/>
      <c r="L162" s="235">
        <f t="shared" si="25"/>
        <v>27.958583515827225</v>
      </c>
      <c r="M162" s="126"/>
      <c r="N162" s="126"/>
      <c r="O162" s="126"/>
      <c r="P162" s="10">
        <f t="shared" si="26"/>
        <v>-4.3403835158272237</v>
      </c>
      <c r="Q162" s="10">
        <f t="shared" si="31"/>
        <v>18.83892906446469</v>
      </c>
      <c r="W162" s="240">
        <f t="shared" si="32"/>
        <v>4.3403835158272237</v>
      </c>
      <c r="X162" s="240">
        <f t="shared" si="33"/>
        <v>0.18377283263869487</v>
      </c>
      <c r="Y162"/>
      <c r="Z162" s="13">
        <f t="shared" si="27"/>
        <v>45.53422936206205</v>
      </c>
      <c r="AA162" s="2"/>
      <c r="AB162" s="68"/>
      <c r="AC162" s="15">
        <f t="shared" si="28"/>
        <v>122.95015449006527</v>
      </c>
    </row>
    <row r="163" spans="1:29">
      <c r="A163" s="84">
        <f>'Q.1 &amp; 4'!K168</f>
        <v>5</v>
      </c>
      <c r="B163" s="141">
        <f>'Q.1 &amp; 4'!L168</f>
        <v>23.7</v>
      </c>
      <c r="C163" s="221"/>
      <c r="D163" s="23"/>
      <c r="E163" s="24"/>
      <c r="F163" s="22">
        <f t="shared" si="23"/>
        <v>1.4925925925925885</v>
      </c>
      <c r="G163" s="22">
        <f t="shared" si="24"/>
        <v>-11.006489069557365</v>
      </c>
      <c r="H163" s="22">
        <f t="shared" si="29"/>
        <v>-16.428204055672612</v>
      </c>
      <c r="I163" s="22">
        <f t="shared" si="30"/>
        <v>2.2278326474622649</v>
      </c>
      <c r="J163" s="24"/>
      <c r="K163" s="24"/>
      <c r="L163" s="235">
        <f t="shared" si="25"/>
        <v>27.958583515827225</v>
      </c>
      <c r="M163" s="126"/>
      <c r="N163" s="126"/>
      <c r="O163" s="126"/>
      <c r="P163" s="10">
        <f t="shared" si="26"/>
        <v>-4.2585835158272261</v>
      </c>
      <c r="Q163" s="10">
        <f t="shared" si="31"/>
        <v>18.135533561275377</v>
      </c>
      <c r="W163" s="240">
        <f t="shared" si="32"/>
        <v>4.2585835158272261</v>
      </c>
      <c r="X163" s="240">
        <f t="shared" si="33"/>
        <v>0.17968706817836397</v>
      </c>
      <c r="Y163"/>
      <c r="Z163" s="13">
        <f t="shared" si="27"/>
        <v>45.53422936206205</v>
      </c>
      <c r="AA163" s="2"/>
      <c r="AB163" s="68"/>
      <c r="AC163" s="15">
        <f t="shared" si="28"/>
        <v>121.14280163828575</v>
      </c>
    </row>
    <row r="164" spans="1:29">
      <c r="A164" s="84">
        <f>'Q.1 &amp; 4'!K169</f>
        <v>5</v>
      </c>
      <c r="B164" s="141">
        <f>'Q.1 &amp; 4'!L169</f>
        <v>24.0505</v>
      </c>
      <c r="C164" s="221"/>
      <c r="D164" s="23"/>
      <c r="E164" s="24"/>
      <c r="F164" s="22">
        <f t="shared" si="23"/>
        <v>1.4925925925925885</v>
      </c>
      <c r="G164" s="22">
        <f t="shared" si="24"/>
        <v>-10.655989069557364</v>
      </c>
      <c r="H164" s="22">
        <f t="shared" si="29"/>
        <v>-15.90505035196891</v>
      </c>
      <c r="I164" s="22">
        <f t="shared" si="30"/>
        <v>2.2278326474622649</v>
      </c>
      <c r="J164" s="24"/>
      <c r="K164" s="24"/>
      <c r="L164" s="235">
        <f t="shared" si="25"/>
        <v>27.958583515827225</v>
      </c>
      <c r="M164" s="126"/>
      <c r="N164" s="126"/>
      <c r="O164" s="126"/>
      <c r="P164" s="10">
        <f t="shared" si="26"/>
        <v>-3.9080835158272258</v>
      </c>
      <c r="Q164" s="10">
        <f t="shared" si="31"/>
        <v>15.27311676668049</v>
      </c>
      <c r="W164" s="240">
        <f t="shared" si="32"/>
        <v>3.9080835158272258</v>
      </c>
      <c r="X164" s="240">
        <f t="shared" si="33"/>
        <v>0.1624948968140881</v>
      </c>
      <c r="Y164"/>
      <c r="Z164" s="13">
        <f t="shared" si="27"/>
        <v>45.53422936206205</v>
      </c>
      <c r="AA164" s="2"/>
      <c r="AB164" s="68"/>
      <c r="AC164" s="15">
        <f t="shared" si="28"/>
        <v>113.55010305052602</v>
      </c>
    </row>
    <row r="165" spans="1:29">
      <c r="A165" s="84">
        <f>'Q.1 &amp; 4'!K170</f>
        <v>1.6</v>
      </c>
      <c r="B165" s="141">
        <f>'Q.1 &amp; 4'!L170</f>
        <v>47.9</v>
      </c>
      <c r="C165" s="221"/>
      <c r="D165" s="23"/>
      <c r="E165" s="24"/>
      <c r="F165" s="22">
        <f t="shared" si="23"/>
        <v>-1.9074074074074114</v>
      </c>
      <c r="G165" s="22">
        <f t="shared" si="24"/>
        <v>13.193510930442635</v>
      </c>
      <c r="H165" s="22">
        <f t="shared" si="29"/>
        <v>-25.165400478436929</v>
      </c>
      <c r="I165" s="22">
        <f t="shared" si="30"/>
        <v>3.6382030178326628</v>
      </c>
      <c r="J165" s="24"/>
      <c r="K165" s="24"/>
      <c r="L165" s="235">
        <f t="shared" si="25"/>
        <v>43.329743065019002</v>
      </c>
      <c r="M165" s="126"/>
      <c r="N165" s="126"/>
      <c r="O165" s="126"/>
      <c r="P165" s="10">
        <f t="shared" si="26"/>
        <v>4.5702569349809963</v>
      </c>
      <c r="Q165" s="10">
        <f t="shared" si="31"/>
        <v>20.88724845174189</v>
      </c>
      <c r="W165" s="240">
        <f t="shared" si="32"/>
        <v>4.5702569349809963</v>
      </c>
      <c r="X165" s="240">
        <f t="shared" si="33"/>
        <v>9.541246210816276E-2</v>
      </c>
      <c r="Y165"/>
      <c r="Z165" s="13">
        <f t="shared" si="27"/>
        <v>74.360509470245105</v>
      </c>
      <c r="AA165" s="2"/>
      <c r="AB165" s="68"/>
      <c r="AC165" s="15">
        <f t="shared" si="28"/>
        <v>174.06873067170929</v>
      </c>
    </row>
    <row r="166" spans="1:29">
      <c r="A166" s="84">
        <f>'Q.1 &amp; 4'!K171</f>
        <v>1.6</v>
      </c>
      <c r="B166" s="141">
        <f>'Q.1 &amp; 4'!L171</f>
        <v>48.9</v>
      </c>
      <c r="C166" s="221"/>
      <c r="D166" s="23"/>
      <c r="E166" s="24"/>
      <c r="F166" s="22">
        <f t="shared" si="23"/>
        <v>-1.9074074074074114</v>
      </c>
      <c r="G166" s="22">
        <f t="shared" si="24"/>
        <v>14.193510930442635</v>
      </c>
      <c r="H166" s="22">
        <f t="shared" si="29"/>
        <v>-27.072807885844341</v>
      </c>
      <c r="I166" s="22">
        <f t="shared" si="30"/>
        <v>3.6382030178326628</v>
      </c>
      <c r="J166" s="24"/>
      <c r="K166" s="24"/>
      <c r="L166" s="235">
        <f t="shared" si="25"/>
        <v>43.329743065019002</v>
      </c>
      <c r="M166" s="126"/>
      <c r="N166" s="126"/>
      <c r="O166" s="126"/>
      <c r="P166" s="10">
        <f t="shared" si="26"/>
        <v>5.5702569349809963</v>
      </c>
      <c r="Q166" s="10">
        <f t="shared" si="31"/>
        <v>31.027762321703882</v>
      </c>
      <c r="W166" s="240">
        <f t="shared" si="32"/>
        <v>5.5702569349809963</v>
      </c>
      <c r="X166" s="240">
        <f t="shared" si="33"/>
        <v>0.11391118476443755</v>
      </c>
      <c r="Y166"/>
      <c r="Z166" s="13">
        <f t="shared" si="27"/>
        <v>74.360509470245105</v>
      </c>
      <c r="AA166" s="2"/>
      <c r="AB166" s="68"/>
      <c r="AC166" s="15">
        <f t="shared" si="28"/>
        <v>201.45575253259454</v>
      </c>
    </row>
    <row r="167" spans="1:29">
      <c r="A167" s="84">
        <f>'Q.1 &amp; 4'!K172</f>
        <v>2.2000000000000002</v>
      </c>
      <c r="B167" s="141">
        <f>'Q.1 &amp; 4'!L172</f>
        <v>51.9</v>
      </c>
      <c r="C167" s="221"/>
      <c r="D167" s="23"/>
      <c r="E167" s="24"/>
      <c r="F167" s="22">
        <f t="shared" si="23"/>
        <v>-1.3074074074074113</v>
      </c>
      <c r="G167" s="22">
        <f t="shared" si="24"/>
        <v>17.193510930442635</v>
      </c>
      <c r="H167" s="22">
        <f t="shared" si="29"/>
        <v>-22.478923549800992</v>
      </c>
      <c r="I167" s="22">
        <f t="shared" si="30"/>
        <v>1.7093141289437688</v>
      </c>
      <c r="J167" s="24"/>
      <c r="K167" s="24"/>
      <c r="L167" s="235">
        <f t="shared" si="25"/>
        <v>40.617185497514569</v>
      </c>
      <c r="M167" s="126"/>
      <c r="N167" s="126"/>
      <c r="O167" s="126"/>
      <c r="P167" s="10">
        <f t="shared" si="26"/>
        <v>11.282814502485429</v>
      </c>
      <c r="Q167" s="10">
        <f t="shared" si="31"/>
        <v>127.30190309749553</v>
      </c>
      <c r="W167" s="240">
        <f t="shared" si="32"/>
        <v>11.282814502485429</v>
      </c>
      <c r="X167" s="240">
        <f t="shared" si="33"/>
        <v>0.21739526979740711</v>
      </c>
      <c r="Y167"/>
      <c r="Z167" s="13">
        <f t="shared" si="27"/>
        <v>34.93633226346607</v>
      </c>
      <c r="AA167" s="2"/>
      <c r="AB167" s="68"/>
      <c r="AC167" s="15">
        <f t="shared" si="28"/>
        <v>295.61681811525034</v>
      </c>
    </row>
    <row r="168" spans="1:29">
      <c r="A168" s="84">
        <f>'Q.1 &amp; 4'!K173</f>
        <v>2.2000000000000002</v>
      </c>
      <c r="B168" s="141">
        <f>'Q.1 &amp; 4'!L173</f>
        <v>46.8</v>
      </c>
      <c r="C168" s="221"/>
      <c r="D168" s="23"/>
      <c r="E168" s="24"/>
      <c r="F168" s="22">
        <f t="shared" si="23"/>
        <v>-1.3074074074074113</v>
      </c>
      <c r="G168" s="22">
        <f t="shared" si="24"/>
        <v>12.093510930442633</v>
      </c>
      <c r="H168" s="22">
        <f t="shared" si="29"/>
        <v>-15.811145772023194</v>
      </c>
      <c r="I168" s="22">
        <f t="shared" si="30"/>
        <v>1.7093141289437688</v>
      </c>
      <c r="J168" s="24"/>
      <c r="K168" s="24"/>
      <c r="L168" s="235">
        <f t="shared" si="25"/>
        <v>40.617185497514569</v>
      </c>
      <c r="M168" s="126"/>
      <c r="N168" s="126"/>
      <c r="O168" s="126"/>
      <c r="P168" s="10">
        <f t="shared" si="26"/>
        <v>6.182814502485428</v>
      </c>
      <c r="Q168" s="10">
        <f t="shared" si="31"/>
        <v>38.227195172144128</v>
      </c>
      <c r="W168" s="240">
        <f t="shared" si="32"/>
        <v>6.182814502485428</v>
      </c>
      <c r="X168" s="240">
        <f t="shared" si="33"/>
        <v>0.13211142099327838</v>
      </c>
      <c r="Y168"/>
      <c r="Z168" s="13">
        <f t="shared" si="27"/>
        <v>34.93633226346607</v>
      </c>
      <c r="AA168" s="2"/>
      <c r="AB168" s="68"/>
      <c r="AC168" s="15">
        <f t="shared" si="28"/>
        <v>146.25300662473543</v>
      </c>
    </row>
    <row r="169" spans="1:29">
      <c r="A169" s="84">
        <f>'Q.1 &amp; 4'!K174</f>
        <v>2</v>
      </c>
      <c r="B169" s="141">
        <f>'Q.1 &amp; 4'!L174</f>
        <v>41.9</v>
      </c>
      <c r="C169" s="221"/>
      <c r="D169" s="23"/>
      <c r="E169" s="24"/>
      <c r="F169" s="22">
        <f t="shared" si="23"/>
        <v>-1.5074074074074115</v>
      </c>
      <c r="G169" s="22">
        <f t="shared" si="24"/>
        <v>7.1935109304426348</v>
      </c>
      <c r="H169" s="22">
        <f t="shared" si="29"/>
        <v>-10.843551661815409</v>
      </c>
      <c r="I169" s="22">
        <f t="shared" si="30"/>
        <v>2.2722770919067341</v>
      </c>
      <c r="J169" s="24"/>
      <c r="K169" s="24"/>
      <c r="L169" s="235">
        <f t="shared" si="25"/>
        <v>41.52137135334938</v>
      </c>
      <c r="M169" s="126"/>
      <c r="N169" s="126"/>
      <c r="O169" s="126"/>
      <c r="P169" s="10">
        <f t="shared" si="26"/>
        <v>0.37862864665061835</v>
      </c>
      <c r="Q169" s="10">
        <f t="shared" si="31"/>
        <v>0.14335965206447882</v>
      </c>
      <c r="W169" s="240">
        <f t="shared" si="32"/>
        <v>0.37862864665061835</v>
      </c>
      <c r="X169" s="240">
        <f t="shared" si="33"/>
        <v>9.0364832136185774E-3</v>
      </c>
      <c r="Y169"/>
      <c r="Z169" s="13">
        <f t="shared" si="27"/>
        <v>46.44262054194229</v>
      </c>
      <c r="AA169" s="2"/>
      <c r="AB169" s="68"/>
      <c r="AC169" s="15">
        <f t="shared" si="28"/>
        <v>51.746599506397658</v>
      </c>
    </row>
    <row r="170" spans="1:29">
      <c r="A170" s="84">
        <f>'Q.1 &amp; 4'!K175</f>
        <v>2.2000000000000002</v>
      </c>
      <c r="B170" s="141">
        <f>'Q.1 &amp; 4'!L175</f>
        <v>51.9</v>
      </c>
      <c r="C170" s="221"/>
      <c r="D170" s="23"/>
      <c r="E170" s="24"/>
      <c r="F170" s="22">
        <f t="shared" si="23"/>
        <v>-1.3074074074074113</v>
      </c>
      <c r="G170" s="22">
        <f t="shared" si="24"/>
        <v>17.193510930442635</v>
      </c>
      <c r="H170" s="22">
        <f t="shared" si="29"/>
        <v>-22.478923549800992</v>
      </c>
      <c r="I170" s="22">
        <f t="shared" si="30"/>
        <v>1.7093141289437688</v>
      </c>
      <c r="J170" s="24"/>
      <c r="K170" s="24"/>
      <c r="L170" s="235">
        <f t="shared" si="25"/>
        <v>40.617185497514569</v>
      </c>
      <c r="M170" s="126"/>
      <c r="N170" s="126"/>
      <c r="O170" s="126"/>
      <c r="P170" s="10">
        <f t="shared" si="26"/>
        <v>11.282814502485429</v>
      </c>
      <c r="Q170" s="10">
        <f t="shared" si="31"/>
        <v>127.30190309749553</v>
      </c>
      <c r="W170" s="240">
        <f t="shared" si="32"/>
        <v>11.282814502485429</v>
      </c>
      <c r="X170" s="240">
        <f t="shared" si="33"/>
        <v>0.21739526979740711</v>
      </c>
      <c r="Y170"/>
      <c r="Z170" s="13">
        <f t="shared" si="27"/>
        <v>34.93633226346607</v>
      </c>
      <c r="AA170" s="2"/>
      <c r="AB170" s="68"/>
      <c r="AC170" s="15">
        <f t="shared" si="28"/>
        <v>295.61681811525034</v>
      </c>
    </row>
    <row r="171" spans="1:29">
      <c r="A171" s="84">
        <f>'Q.1 &amp; 4'!K176</f>
        <v>4</v>
      </c>
      <c r="B171" s="141">
        <f>'Q.1 &amp; 4'!L176</f>
        <v>32.756799999999998</v>
      </c>
      <c r="C171" s="221"/>
      <c r="D171" s="23"/>
      <c r="E171" s="24"/>
      <c r="F171" s="22">
        <f t="shared" si="23"/>
        <v>0.49259259259258847</v>
      </c>
      <c r="G171" s="22">
        <f t="shared" si="24"/>
        <v>-1.9496890695573654</v>
      </c>
      <c r="H171" s="22">
        <f t="shared" si="29"/>
        <v>-0.96040239352269419</v>
      </c>
      <c r="I171" s="22">
        <f t="shared" si="30"/>
        <v>0.24264746227708786</v>
      </c>
      <c r="J171" s="24"/>
      <c r="K171" s="24"/>
      <c r="L171" s="235">
        <f t="shared" si="25"/>
        <v>32.479512795001277</v>
      </c>
      <c r="M171" s="126"/>
      <c r="N171" s="126"/>
      <c r="O171" s="126"/>
      <c r="P171" s="10">
        <f t="shared" si="26"/>
        <v>0.27728720499872139</v>
      </c>
      <c r="Q171" s="10">
        <f t="shared" si="31"/>
        <v>7.6888194056002945E-2</v>
      </c>
      <c r="W171" s="240">
        <f t="shared" si="32"/>
        <v>0.27728720499872139</v>
      </c>
      <c r="X171" s="240">
        <f t="shared" si="33"/>
        <v>8.4650272614761341E-3</v>
      </c>
      <c r="Y171"/>
      <c r="Z171" s="13">
        <f t="shared" si="27"/>
        <v>4.9594233274357071</v>
      </c>
      <c r="AA171" s="2"/>
      <c r="AB171" s="68"/>
      <c r="AC171" s="15">
        <f t="shared" si="28"/>
        <v>3.8012874679514654</v>
      </c>
    </row>
    <row r="172" spans="1:29">
      <c r="A172" s="84">
        <f>'Q.1 &amp; 4'!K177</f>
        <v>4</v>
      </c>
      <c r="B172" s="141">
        <f>'Q.1 &amp; 4'!L177</f>
        <v>36.392600000000002</v>
      </c>
      <c r="C172" s="221"/>
      <c r="D172" s="23"/>
      <c r="E172" s="24"/>
      <c r="F172" s="22">
        <f t="shared" si="23"/>
        <v>0.49259259259258847</v>
      </c>
      <c r="G172" s="22">
        <f t="shared" si="24"/>
        <v>1.6861109304426378</v>
      </c>
      <c r="H172" s="22">
        <f t="shared" si="29"/>
        <v>0.83056575462544058</v>
      </c>
      <c r="I172" s="22">
        <f t="shared" si="30"/>
        <v>0.24264746227708786</v>
      </c>
      <c r="J172" s="24"/>
      <c r="K172" s="24"/>
      <c r="L172" s="235">
        <f t="shared" si="25"/>
        <v>32.479512795001277</v>
      </c>
      <c r="M172" s="126"/>
      <c r="N172" s="126"/>
      <c r="O172" s="126"/>
      <c r="P172" s="10">
        <f t="shared" si="26"/>
        <v>3.9130872049987246</v>
      </c>
      <c r="Q172" s="10">
        <f t="shared" si="31"/>
        <v>15.31225147392473</v>
      </c>
      <c r="W172" s="240">
        <f t="shared" si="32"/>
        <v>3.9130872049987246</v>
      </c>
      <c r="X172" s="240">
        <f t="shared" si="33"/>
        <v>0.10752425506830302</v>
      </c>
      <c r="Y172"/>
      <c r="Z172" s="13">
        <f t="shared" si="27"/>
        <v>4.9594233274357071</v>
      </c>
      <c r="AA172" s="2"/>
      <c r="AB172" s="68"/>
      <c r="AC172" s="15">
        <f t="shared" si="28"/>
        <v>2.8429700697581377</v>
      </c>
    </row>
    <row r="173" spans="1:29">
      <c r="A173" s="84">
        <f>'Q.1 &amp; 4'!K178</f>
        <v>4.5999999999999996</v>
      </c>
      <c r="B173" s="141">
        <f>'Q.1 &amp; 4'!L178</f>
        <v>32.110900000000001</v>
      </c>
      <c r="C173" s="221"/>
      <c r="D173" s="23"/>
      <c r="E173" s="24"/>
      <c r="F173" s="22">
        <f t="shared" si="23"/>
        <v>1.0925925925925881</v>
      </c>
      <c r="G173" s="22">
        <f t="shared" si="24"/>
        <v>-2.5955890695573629</v>
      </c>
      <c r="H173" s="22">
        <f t="shared" si="29"/>
        <v>-2.8359213908126626</v>
      </c>
      <c r="I173" s="22">
        <f t="shared" si="30"/>
        <v>1.1937585733881932</v>
      </c>
      <c r="J173" s="24"/>
      <c r="K173" s="24"/>
      <c r="L173" s="235">
        <f t="shared" si="25"/>
        <v>29.766955227496847</v>
      </c>
      <c r="M173" s="126"/>
      <c r="N173" s="126"/>
      <c r="O173" s="126"/>
      <c r="P173" s="10">
        <f t="shared" si="26"/>
        <v>2.3439447725031535</v>
      </c>
      <c r="Q173" s="10">
        <f t="shared" si="31"/>
        <v>5.49407709654486</v>
      </c>
      <c r="W173" s="240">
        <f t="shared" si="32"/>
        <v>2.3439447725031535</v>
      </c>
      <c r="X173" s="240">
        <f t="shared" si="33"/>
        <v>7.2995299804837405E-2</v>
      </c>
      <c r="Y173"/>
      <c r="Z173" s="13">
        <f t="shared" si="27"/>
        <v>24.398994576861128</v>
      </c>
      <c r="AA173" s="2"/>
      <c r="AB173" s="68"/>
      <c r="AC173" s="15">
        <f t="shared" si="28"/>
        <v>6.7370826180056564</v>
      </c>
    </row>
    <row r="174" spans="1:29">
      <c r="A174" s="84">
        <f>'Q.1 &amp; 4'!K179</f>
        <v>4.5999999999999996</v>
      </c>
      <c r="B174" s="141">
        <f>'Q.1 &amp; 4'!L179</f>
        <v>33.799999999999997</v>
      </c>
      <c r="C174" s="221"/>
      <c r="D174" s="23"/>
      <c r="E174" s="24"/>
      <c r="F174" s="22">
        <f t="shared" si="23"/>
        <v>1.0925925925925881</v>
      </c>
      <c r="G174" s="22">
        <f t="shared" si="24"/>
        <v>-0.90648906955736663</v>
      </c>
      <c r="H174" s="22">
        <f t="shared" si="29"/>
        <v>-0.99042324266452619</v>
      </c>
      <c r="I174" s="22">
        <f t="shared" si="30"/>
        <v>1.1937585733881932</v>
      </c>
      <c r="J174" s="24"/>
      <c r="K174" s="24"/>
      <c r="L174" s="235">
        <f t="shared" si="25"/>
        <v>29.766955227496847</v>
      </c>
      <c r="M174" s="126"/>
      <c r="N174" s="126"/>
      <c r="O174" s="126"/>
      <c r="P174" s="10">
        <f t="shared" si="26"/>
        <v>4.0330447725031497</v>
      </c>
      <c r="Q174" s="10">
        <f t="shared" si="31"/>
        <v>16.265450137014984</v>
      </c>
      <c r="W174" s="240">
        <f t="shared" si="32"/>
        <v>4.0330447725031497</v>
      </c>
      <c r="X174" s="240">
        <f t="shared" si="33"/>
        <v>0.11932085125748965</v>
      </c>
      <c r="Y174"/>
      <c r="Z174" s="13">
        <f t="shared" si="27"/>
        <v>24.398994576861128</v>
      </c>
      <c r="AA174" s="2"/>
      <c r="AB174" s="68"/>
      <c r="AC174" s="15">
        <f t="shared" si="28"/>
        <v>0.82172243322698024</v>
      </c>
    </row>
    <row r="175" spans="1:29">
      <c r="A175" s="84">
        <f>'Q.1 &amp; 4'!K180</f>
        <v>5.4</v>
      </c>
      <c r="B175" s="141">
        <f>'Q.1 &amp; 4'!L180</f>
        <v>30.4</v>
      </c>
      <c r="C175" s="221"/>
      <c r="D175" s="23"/>
      <c r="E175" s="24"/>
      <c r="F175" s="22">
        <f t="shared" si="23"/>
        <v>1.8925925925925888</v>
      </c>
      <c r="G175" s="22">
        <f t="shared" si="24"/>
        <v>-4.3064890695573652</v>
      </c>
      <c r="H175" s="22">
        <f t="shared" si="29"/>
        <v>-8.150429313125219</v>
      </c>
      <c r="I175" s="22">
        <f t="shared" si="30"/>
        <v>3.5819067215363369</v>
      </c>
      <c r="J175" s="24"/>
      <c r="K175" s="24"/>
      <c r="L175" s="235">
        <f t="shared" si="25"/>
        <v>26.150211804157603</v>
      </c>
      <c r="M175" s="126"/>
      <c r="N175" s="126"/>
      <c r="O175" s="126"/>
      <c r="P175" s="10">
        <f t="shared" si="26"/>
        <v>4.2497881958423953</v>
      </c>
      <c r="Q175" s="10">
        <f t="shared" si="31"/>
        <v>18.060699709521362</v>
      </c>
      <c r="W175" s="240">
        <f t="shared" si="32"/>
        <v>4.2497881958423953</v>
      </c>
      <c r="X175" s="240">
        <f t="shared" si="33"/>
        <v>0.13979566433692089</v>
      </c>
      <c r="Y175"/>
      <c r="Z175" s="13">
        <f t="shared" si="27"/>
        <v>73.209880642396797</v>
      </c>
      <c r="AA175" s="2"/>
      <c r="AB175" s="68"/>
      <c r="AC175" s="15">
        <f t="shared" si="28"/>
        <v>18.545848106217061</v>
      </c>
    </row>
    <row r="176" spans="1:29">
      <c r="A176" s="84">
        <f>'Q.1 &amp; 4'!K181</f>
        <v>1.8</v>
      </c>
      <c r="B176" s="141">
        <f>'Q.1 &amp; 4'!L181</f>
        <v>50.5</v>
      </c>
      <c r="C176" s="221"/>
      <c r="D176" s="23"/>
      <c r="E176" s="24"/>
      <c r="F176" s="22">
        <f t="shared" si="23"/>
        <v>-1.7074074074074115</v>
      </c>
      <c r="G176" s="22">
        <f t="shared" si="24"/>
        <v>15.793510930442636</v>
      </c>
      <c r="H176" s="22">
        <f t="shared" si="29"/>
        <v>-26.965957551607676</v>
      </c>
      <c r="I176" s="22">
        <f t="shared" si="30"/>
        <v>2.9152400548696984</v>
      </c>
      <c r="J176" s="24"/>
      <c r="K176" s="24"/>
      <c r="L176" s="235">
        <f t="shared" si="25"/>
        <v>42.425557209184191</v>
      </c>
      <c r="M176" s="126"/>
      <c r="N176" s="126"/>
      <c r="O176" s="126"/>
      <c r="P176" s="10">
        <f t="shared" si="26"/>
        <v>8.0744427908158087</v>
      </c>
      <c r="Q176" s="10">
        <f t="shared" si="31"/>
        <v>65.19662638215739</v>
      </c>
      <c r="W176" s="240">
        <f t="shared" si="32"/>
        <v>8.0744427908158087</v>
      </c>
      <c r="X176" s="240">
        <f t="shared" si="33"/>
        <v>0.15988995625377839</v>
      </c>
      <c r="Y176"/>
      <c r="Z176" s="13">
        <f t="shared" si="27"/>
        <v>59.584012944201973</v>
      </c>
      <c r="AA176" s="2"/>
      <c r="AB176" s="68"/>
      <c r="AC176" s="15">
        <f t="shared" si="28"/>
        <v>249.43498751001101</v>
      </c>
    </row>
    <row r="177" spans="1:29">
      <c r="A177" s="84">
        <f>'Q.1 &amp; 4'!K182</f>
        <v>1.8</v>
      </c>
      <c r="B177" s="141">
        <f>'Q.1 &amp; 4'!L182</f>
        <v>48.6</v>
      </c>
      <c r="C177" s="221"/>
      <c r="D177" s="23"/>
      <c r="E177" s="24"/>
      <c r="F177" s="22">
        <f t="shared" si="23"/>
        <v>-1.7074074074074115</v>
      </c>
      <c r="G177" s="22">
        <f t="shared" si="24"/>
        <v>13.893510930442638</v>
      </c>
      <c r="H177" s="22">
        <f t="shared" si="29"/>
        <v>-23.721883477533598</v>
      </c>
      <c r="I177" s="22">
        <f t="shared" si="30"/>
        <v>2.9152400548696984</v>
      </c>
      <c r="J177" s="24"/>
      <c r="K177" s="24"/>
      <c r="L177" s="235">
        <f t="shared" si="25"/>
        <v>42.425557209184191</v>
      </c>
      <c r="M177" s="126"/>
      <c r="N177" s="126"/>
      <c r="O177" s="126"/>
      <c r="P177" s="10">
        <f t="shared" si="26"/>
        <v>6.1744427908158102</v>
      </c>
      <c r="Q177" s="10">
        <f t="shared" si="31"/>
        <v>38.123743777057328</v>
      </c>
      <c r="W177" s="240">
        <f t="shared" si="32"/>
        <v>6.1744427908158102</v>
      </c>
      <c r="X177" s="240">
        <f t="shared" si="33"/>
        <v>0.12704614795917304</v>
      </c>
      <c r="Y177"/>
      <c r="Z177" s="13">
        <f t="shared" si="27"/>
        <v>59.584012944201973</v>
      </c>
      <c r="AA177" s="2"/>
      <c r="AB177" s="68"/>
      <c r="AC177" s="15">
        <f t="shared" si="28"/>
        <v>193.02964597432904</v>
      </c>
    </row>
    <row r="178" spans="1:29">
      <c r="A178" s="84">
        <f>'Q.1 &amp; 4'!K183</f>
        <v>1.8</v>
      </c>
      <c r="B178" s="141">
        <f>'Q.1 &amp; 4'!L183</f>
        <v>51.191499999999998</v>
      </c>
      <c r="C178" s="221"/>
      <c r="D178" s="23"/>
      <c r="E178" s="24"/>
      <c r="F178" s="22">
        <f t="shared" si="23"/>
        <v>-1.7074074074074115</v>
      </c>
      <c r="G178" s="22">
        <f t="shared" si="24"/>
        <v>16.485010930442634</v>
      </c>
      <c r="H178" s="22">
        <f t="shared" si="29"/>
        <v>-28.146629773829897</v>
      </c>
      <c r="I178" s="22">
        <f t="shared" si="30"/>
        <v>2.9152400548696984</v>
      </c>
      <c r="J178" s="24"/>
      <c r="K178" s="24"/>
      <c r="L178" s="235">
        <f t="shared" si="25"/>
        <v>42.425557209184191</v>
      </c>
      <c r="M178" s="126"/>
      <c r="N178" s="126"/>
      <c r="O178" s="126"/>
      <c r="P178" s="10">
        <f t="shared" si="26"/>
        <v>8.7659427908158065</v>
      </c>
      <c r="Q178" s="10">
        <f t="shared" si="31"/>
        <v>76.841753011855616</v>
      </c>
      <c r="W178" s="240">
        <f t="shared" si="32"/>
        <v>8.7659427908158065</v>
      </c>
      <c r="X178" s="240">
        <f t="shared" si="33"/>
        <v>0.17123824835794627</v>
      </c>
      <c r="Y178"/>
      <c r="Z178" s="13">
        <f t="shared" si="27"/>
        <v>59.584012944201973</v>
      </c>
      <c r="AA178" s="2"/>
      <c r="AB178" s="68"/>
      <c r="AC178" s="15">
        <f t="shared" si="28"/>
        <v>271.75558537681314</v>
      </c>
    </row>
    <row r="179" spans="1:29">
      <c r="A179" s="84">
        <f>'Q.1 &amp; 4'!K184</f>
        <v>2</v>
      </c>
      <c r="B179" s="141">
        <f>'Q.1 &amp; 4'!L184</f>
        <v>40.5</v>
      </c>
      <c r="C179" s="221"/>
      <c r="D179" s="23"/>
      <c r="E179" s="24"/>
      <c r="F179" s="22">
        <f t="shared" si="23"/>
        <v>-1.5074074074074115</v>
      </c>
      <c r="G179" s="22">
        <f t="shared" si="24"/>
        <v>5.7935109304426362</v>
      </c>
      <c r="H179" s="22">
        <f t="shared" si="29"/>
        <v>-8.7331812914450353</v>
      </c>
      <c r="I179" s="22">
        <f t="shared" si="30"/>
        <v>2.2722770919067341</v>
      </c>
      <c r="J179" s="24"/>
      <c r="K179" s="24"/>
      <c r="L179" s="235">
        <f t="shared" si="25"/>
        <v>41.52137135334938</v>
      </c>
      <c r="M179" s="126"/>
      <c r="N179" s="126"/>
      <c r="O179" s="126"/>
      <c r="P179" s="10">
        <f t="shared" si="26"/>
        <v>-1.0213713533493802</v>
      </c>
      <c r="Q179" s="10">
        <f t="shared" si="31"/>
        <v>1.0431994414427446</v>
      </c>
      <c r="W179" s="240">
        <f t="shared" si="32"/>
        <v>1.0213713533493802</v>
      </c>
      <c r="X179" s="240">
        <f t="shared" si="33"/>
        <v>2.5219045761713091E-2</v>
      </c>
      <c r="Y179"/>
      <c r="Z179" s="13">
        <f t="shared" si="27"/>
        <v>46.44262054194229</v>
      </c>
      <c r="AA179" s="2"/>
      <c r="AB179" s="68"/>
      <c r="AC179" s="15">
        <f t="shared" si="28"/>
        <v>33.564768901158303</v>
      </c>
    </row>
    <row r="180" spans="1:29">
      <c r="A180" s="84">
        <f>'Q.1 &amp; 4'!K185</f>
        <v>2</v>
      </c>
      <c r="B180" s="141">
        <f>'Q.1 &amp; 4'!L185</f>
        <v>41.799799999999998</v>
      </c>
      <c r="C180" s="221"/>
      <c r="D180" s="23"/>
      <c r="E180" s="24"/>
      <c r="F180" s="22">
        <f t="shared" si="23"/>
        <v>-1.5074074074074115</v>
      </c>
      <c r="G180" s="22">
        <f t="shared" si="24"/>
        <v>7.0933109304426338</v>
      </c>
      <c r="H180" s="22">
        <f t="shared" si="29"/>
        <v>-10.692509439593184</v>
      </c>
      <c r="I180" s="22">
        <f t="shared" si="30"/>
        <v>2.2722770919067341</v>
      </c>
      <c r="J180" s="24"/>
      <c r="K180" s="24"/>
      <c r="L180" s="235">
        <f t="shared" si="25"/>
        <v>41.52137135334938</v>
      </c>
      <c r="M180" s="126"/>
      <c r="N180" s="126"/>
      <c r="O180" s="126"/>
      <c r="P180" s="10">
        <f t="shared" si="26"/>
        <v>0.2784286466506174</v>
      </c>
      <c r="Q180" s="10">
        <f t="shared" si="31"/>
        <v>7.7522511275694359E-2</v>
      </c>
      <c r="W180" s="240">
        <f t="shared" si="32"/>
        <v>0.2784286466506174</v>
      </c>
      <c r="X180" s="240">
        <f t="shared" si="33"/>
        <v>6.6610042787433772E-3</v>
      </c>
      <c r="Y180"/>
      <c r="Z180" s="13">
        <f t="shared" si="27"/>
        <v>46.44262054194229</v>
      </c>
      <c r="AA180" s="2"/>
      <c r="AB180" s="68"/>
      <c r="AC180" s="15">
        <f t="shared" si="28"/>
        <v>50.315059955936945</v>
      </c>
    </row>
    <row r="181" spans="1:29">
      <c r="A181" s="84">
        <f>'Q.1 &amp; 4'!K186</f>
        <v>2</v>
      </c>
      <c r="B181" s="141">
        <f>'Q.1 &amp; 4'!L186</f>
        <v>42</v>
      </c>
      <c r="C181" s="221"/>
      <c r="D181" s="23"/>
      <c r="E181" s="24"/>
      <c r="F181" s="22">
        <f t="shared" si="23"/>
        <v>-1.5074074074074115</v>
      </c>
      <c r="G181" s="22">
        <f t="shared" si="24"/>
        <v>7.2935109304426362</v>
      </c>
      <c r="H181" s="22">
        <f t="shared" si="29"/>
        <v>-10.994292402556152</v>
      </c>
      <c r="I181" s="22">
        <f t="shared" si="30"/>
        <v>2.2722770919067341</v>
      </c>
      <c r="J181" s="24"/>
      <c r="K181" s="24"/>
      <c r="L181" s="235">
        <f t="shared" si="25"/>
        <v>41.52137135334938</v>
      </c>
      <c r="M181" s="126"/>
      <c r="N181" s="126"/>
      <c r="O181" s="126"/>
      <c r="P181" s="10">
        <f t="shared" si="26"/>
        <v>0.47862864665061977</v>
      </c>
      <c r="Q181" s="10">
        <f t="shared" si="31"/>
        <v>0.22908538139460383</v>
      </c>
      <c r="W181" s="240">
        <f t="shared" si="32"/>
        <v>0.47862864665061977</v>
      </c>
      <c r="X181" s="240">
        <f t="shared" si="33"/>
        <v>1.139592015834809E-2</v>
      </c>
      <c r="Y181"/>
      <c r="Z181" s="13">
        <f t="shared" si="27"/>
        <v>46.44262054194229</v>
      </c>
      <c r="AA181" s="2"/>
      <c r="AB181" s="68"/>
      <c r="AC181" s="15">
        <f t="shared" si="28"/>
        <v>53.195301692486211</v>
      </c>
    </row>
    <row r="182" spans="1:29">
      <c r="A182" s="84">
        <f>'Q.1 &amp; 4'!K187</f>
        <v>3.8</v>
      </c>
      <c r="B182" s="141">
        <f>'Q.1 &amp; 4'!L187</f>
        <v>38.048400000000001</v>
      </c>
      <c r="C182" s="221"/>
      <c r="D182" s="23"/>
      <c r="E182" s="24"/>
      <c r="F182" s="22">
        <f t="shared" si="23"/>
        <v>0.2925925925925883</v>
      </c>
      <c r="G182" s="22">
        <f t="shared" si="24"/>
        <v>3.3419109304426371</v>
      </c>
      <c r="H182" s="22">
        <f t="shared" si="29"/>
        <v>0.97781838335172022</v>
      </c>
      <c r="I182" s="22">
        <f t="shared" si="30"/>
        <v>8.5610425240052357E-2</v>
      </c>
      <c r="J182" s="24"/>
      <c r="K182" s="24"/>
      <c r="L182" s="235">
        <f t="shared" si="25"/>
        <v>33.383698650836088</v>
      </c>
      <c r="M182" s="126"/>
      <c r="N182" s="126"/>
      <c r="O182" s="126"/>
      <c r="P182" s="10">
        <f t="shared" si="26"/>
        <v>4.6647013491639129</v>
      </c>
      <c r="Q182" s="10">
        <f t="shared" si="31"/>
        <v>21.75943867689163</v>
      </c>
      <c r="W182" s="240">
        <f t="shared" si="32"/>
        <v>4.6647013491639129</v>
      </c>
      <c r="X182" s="240">
        <f t="shared" si="33"/>
        <v>0.12259914606564042</v>
      </c>
      <c r="Y182"/>
      <c r="Z182" s="13">
        <f t="shared" si="27"/>
        <v>1.749774491860808</v>
      </c>
      <c r="AA182" s="2"/>
      <c r="AB182" s="68"/>
      <c r="AC182" s="15">
        <f t="shared" si="28"/>
        <v>11.168368667011972</v>
      </c>
    </row>
    <row r="183" spans="1:29">
      <c r="A183" s="84">
        <f>'Q.1 &amp; 4'!K188</f>
        <v>3.8</v>
      </c>
      <c r="B183" s="141">
        <f>'Q.1 &amp; 4'!L188</f>
        <v>36.4</v>
      </c>
      <c r="C183" s="221"/>
      <c r="D183" s="23"/>
      <c r="E183" s="24"/>
      <c r="F183" s="22">
        <f t="shared" si="23"/>
        <v>0.2925925925925883</v>
      </c>
      <c r="G183" s="22">
        <f t="shared" si="24"/>
        <v>1.6935109304426348</v>
      </c>
      <c r="H183" s="22">
        <f t="shared" si="29"/>
        <v>0.49550875372209696</v>
      </c>
      <c r="I183" s="22">
        <f t="shared" si="30"/>
        <v>8.5610425240052357E-2</v>
      </c>
      <c r="J183" s="24"/>
      <c r="K183" s="24"/>
      <c r="L183" s="235">
        <f t="shared" si="25"/>
        <v>33.383698650836088</v>
      </c>
      <c r="M183" s="126"/>
      <c r="N183" s="126"/>
      <c r="O183" s="126"/>
      <c r="P183" s="10">
        <f t="shared" si="26"/>
        <v>3.0163013491639106</v>
      </c>
      <c r="Q183" s="10">
        <f t="shared" si="31"/>
        <v>9.0980738289680279</v>
      </c>
      <c r="W183" s="240">
        <f t="shared" si="32"/>
        <v>3.0163013491639106</v>
      </c>
      <c r="X183" s="240">
        <f t="shared" si="33"/>
        <v>8.286542168032722E-2</v>
      </c>
      <c r="Y183"/>
      <c r="Z183" s="13">
        <f t="shared" si="27"/>
        <v>1.749774491860808</v>
      </c>
      <c r="AA183" s="2"/>
      <c r="AB183" s="68"/>
      <c r="AC183" s="15">
        <f t="shared" si="28"/>
        <v>2.8679792715286787</v>
      </c>
    </row>
    <row r="184" spans="1:29">
      <c r="A184" s="84">
        <f>'Q.1 &amp; 4'!K189</f>
        <v>3.7</v>
      </c>
      <c r="B184" s="141">
        <f>'Q.1 &amp; 4'!L189</f>
        <v>32.974800000000002</v>
      </c>
      <c r="C184" s="221"/>
      <c r="D184" s="23"/>
      <c r="E184" s="24"/>
      <c r="F184" s="22">
        <f t="shared" si="23"/>
        <v>0.19259259259258865</v>
      </c>
      <c r="G184" s="22">
        <f t="shared" si="24"/>
        <v>-1.7316890695573619</v>
      </c>
      <c r="H184" s="22">
        <f t="shared" si="29"/>
        <v>-0.33351048747029993</v>
      </c>
      <c r="I184" s="22">
        <f t="shared" si="30"/>
        <v>3.7091906721534833E-2</v>
      </c>
      <c r="J184" s="24"/>
      <c r="K184" s="24"/>
      <c r="L184" s="235">
        <f t="shared" si="25"/>
        <v>33.835791578753486</v>
      </c>
      <c r="M184" s="126"/>
      <c r="N184" s="126"/>
      <c r="O184" s="126"/>
      <c r="P184" s="10">
        <f t="shared" si="26"/>
        <v>-0.86099157875348453</v>
      </c>
      <c r="Q184" s="10">
        <f t="shared" si="31"/>
        <v>0.74130649868441778</v>
      </c>
      <c r="W184" s="240">
        <f t="shared" si="32"/>
        <v>0.86099157875348453</v>
      </c>
      <c r="X184" s="240">
        <f t="shared" si="33"/>
        <v>2.6110592899835163E-2</v>
      </c>
      <c r="Y184"/>
      <c r="Z184" s="13">
        <f t="shared" si="27"/>
        <v>0.75811412049216809</v>
      </c>
      <c r="AA184" s="2"/>
      <c r="AB184" s="68"/>
      <c r="AC184" s="15">
        <f t="shared" si="28"/>
        <v>2.9987470336244417</v>
      </c>
    </row>
    <row r="185" spans="1:29">
      <c r="A185" s="84">
        <f>'Q.1 &amp; 4'!K190</f>
        <v>3.7</v>
      </c>
      <c r="B185" s="141">
        <f>'Q.1 &amp; 4'!L190</f>
        <v>35.2288</v>
      </c>
      <c r="C185" s="221"/>
      <c r="D185" s="23"/>
      <c r="E185" s="24"/>
      <c r="F185" s="22">
        <f t="shared" si="23"/>
        <v>0.19259259259258865</v>
      </c>
      <c r="G185" s="22">
        <f t="shared" si="24"/>
        <v>0.52231093044263588</v>
      </c>
      <c r="H185" s="22">
        <f t="shared" si="29"/>
        <v>0.10059321623339448</v>
      </c>
      <c r="I185" s="22">
        <f t="shared" si="30"/>
        <v>3.7091906721534833E-2</v>
      </c>
      <c r="J185" s="24"/>
      <c r="K185" s="24"/>
      <c r="L185" s="235">
        <f t="shared" si="25"/>
        <v>33.835791578753486</v>
      </c>
      <c r="M185" s="126"/>
      <c r="N185" s="126"/>
      <c r="O185" s="126"/>
      <c r="P185" s="10">
        <f t="shared" si="26"/>
        <v>1.3930084212465133</v>
      </c>
      <c r="Q185" s="10">
        <f t="shared" si="31"/>
        <v>1.9404724616637032</v>
      </c>
      <c r="W185" s="240">
        <f t="shared" si="32"/>
        <v>1.3930084212465133</v>
      </c>
      <c r="X185" s="240">
        <f t="shared" si="33"/>
        <v>3.95417505349746E-2</v>
      </c>
      <c r="Y185"/>
      <c r="Z185" s="13">
        <f t="shared" si="27"/>
        <v>0.75811412049216809</v>
      </c>
      <c r="AA185" s="2"/>
      <c r="AB185" s="68"/>
      <c r="AC185" s="15">
        <f t="shared" si="28"/>
        <v>0.27280870805985202</v>
      </c>
    </row>
    <row r="186" spans="1:29">
      <c r="A186" s="84">
        <f>'Q.1 &amp; 4'!K191</f>
        <v>3.7</v>
      </c>
      <c r="B186" s="141">
        <f>'Q.1 &amp; 4'!L191</f>
        <v>34.730499999999999</v>
      </c>
      <c r="C186" s="221"/>
      <c r="D186" s="23"/>
      <c r="E186" s="24"/>
      <c r="F186" s="22">
        <f t="shared" si="23"/>
        <v>0.19259259259258865</v>
      </c>
      <c r="G186" s="22">
        <f t="shared" si="24"/>
        <v>2.401093044263547E-2</v>
      </c>
      <c r="H186" s="22">
        <f t="shared" si="29"/>
        <v>4.6243273445074774E-3</v>
      </c>
      <c r="I186" s="22">
        <f t="shared" si="30"/>
        <v>3.7091906721534833E-2</v>
      </c>
      <c r="J186" s="24"/>
      <c r="K186" s="24"/>
      <c r="L186" s="235">
        <f t="shared" si="25"/>
        <v>33.835791578753486</v>
      </c>
      <c r="M186" s="126"/>
      <c r="N186" s="126"/>
      <c r="O186" s="126"/>
      <c r="P186" s="10">
        <f t="shared" si="26"/>
        <v>0.89470842124651284</v>
      </c>
      <c r="Q186" s="10">
        <f t="shared" si="31"/>
        <v>0.80050315904942748</v>
      </c>
      <c r="W186" s="240">
        <f t="shared" si="32"/>
        <v>0.89470842124651284</v>
      </c>
      <c r="X186" s="240">
        <f t="shared" si="33"/>
        <v>2.5761460999597266E-2</v>
      </c>
      <c r="Y186"/>
      <c r="Z186" s="13">
        <f t="shared" si="27"/>
        <v>0.75811412049216809</v>
      </c>
      <c r="AA186" s="2"/>
      <c r="AB186" s="68"/>
      <c r="AC186" s="15">
        <f t="shared" si="28"/>
        <v>5.7652478072107874E-4</v>
      </c>
    </row>
    <row r="187" spans="1:29">
      <c r="A187" s="84">
        <f>'Q.1 &amp; 4'!K192</f>
        <v>3.7</v>
      </c>
      <c r="B187" s="141">
        <f>'Q.1 &amp; 4'!L192</f>
        <v>37.064999999999998</v>
      </c>
      <c r="C187" s="221"/>
      <c r="D187" s="23"/>
      <c r="E187" s="24"/>
      <c r="F187" s="22">
        <f t="shared" si="23"/>
        <v>0.19259259259258865</v>
      </c>
      <c r="G187" s="22">
        <f t="shared" si="24"/>
        <v>2.3585109304426339</v>
      </c>
      <c r="H187" s="22">
        <f t="shared" si="29"/>
        <v>0.45423173475190537</v>
      </c>
      <c r="I187" s="22">
        <f t="shared" si="30"/>
        <v>3.7091906721534833E-2</v>
      </c>
      <c r="J187" s="24"/>
      <c r="K187" s="24"/>
      <c r="L187" s="235">
        <f t="shared" si="25"/>
        <v>33.835791578753486</v>
      </c>
      <c r="M187" s="126"/>
      <c r="N187" s="126"/>
      <c r="O187" s="126"/>
      <c r="P187" s="10">
        <f t="shared" si="26"/>
        <v>3.2292084212465113</v>
      </c>
      <c r="Q187" s="10">
        <f t="shared" si="31"/>
        <v>10.427787027849385</v>
      </c>
      <c r="W187" s="240">
        <f t="shared" si="32"/>
        <v>3.2292084212465113</v>
      </c>
      <c r="X187" s="240">
        <f t="shared" si="33"/>
        <v>8.7122849622191051E-2</v>
      </c>
      <c r="Y187"/>
      <c r="Z187" s="13">
        <f t="shared" si="27"/>
        <v>0.75811412049216809</v>
      </c>
      <c r="AA187" s="2"/>
      <c r="AB187" s="68"/>
      <c r="AC187" s="15">
        <f t="shared" si="28"/>
        <v>5.5625738090173789</v>
      </c>
    </row>
    <row r="188" spans="1:29">
      <c r="A188" s="84">
        <f>'Q.1 &amp; 4'!K193</f>
        <v>3.7</v>
      </c>
      <c r="B188" s="141">
        <f>'Q.1 &amp; 4'!L193</f>
        <v>35.161999999999999</v>
      </c>
      <c r="C188" s="221"/>
      <c r="D188" s="23"/>
      <c r="E188" s="24"/>
      <c r="F188" s="22">
        <f t="shared" si="23"/>
        <v>0.19259259259258865</v>
      </c>
      <c r="G188" s="22">
        <f t="shared" si="24"/>
        <v>0.45551093044263524</v>
      </c>
      <c r="H188" s="22">
        <f t="shared" si="29"/>
        <v>8.7728031048209434E-2</v>
      </c>
      <c r="I188" s="22">
        <f t="shared" si="30"/>
        <v>3.7091906721534833E-2</v>
      </c>
      <c r="J188" s="24"/>
      <c r="K188" s="24"/>
      <c r="L188" s="235">
        <f t="shared" si="25"/>
        <v>33.835791578753486</v>
      </c>
      <c r="M188" s="126"/>
      <c r="N188" s="126"/>
      <c r="O188" s="126"/>
      <c r="P188" s="10">
        <f t="shared" si="26"/>
        <v>1.3262084212465126</v>
      </c>
      <c r="Q188" s="10">
        <f t="shared" si="31"/>
        <v>1.7588287765851673</v>
      </c>
      <c r="W188" s="240">
        <f t="shared" si="32"/>
        <v>1.3262084212465126</v>
      </c>
      <c r="X188" s="240">
        <f t="shared" si="33"/>
        <v>3.7717092919814364E-2</v>
      </c>
      <c r="Y188"/>
      <c r="Z188" s="13">
        <f t="shared" si="27"/>
        <v>0.75811412049216809</v>
      </c>
      <c r="AA188" s="2"/>
      <c r="AB188" s="68"/>
      <c r="AC188" s="15">
        <f t="shared" si="28"/>
        <v>0.20749020775271529</v>
      </c>
    </row>
    <row r="189" spans="1:29">
      <c r="A189" s="84">
        <f>'Q.1 &amp; 4'!K194</f>
        <v>2.5</v>
      </c>
      <c r="B189" s="141">
        <f>'Q.1 &amp; 4'!L194</f>
        <v>36.290100000000002</v>
      </c>
      <c r="C189" s="221"/>
      <c r="D189" s="23"/>
      <c r="E189" s="24"/>
      <c r="F189" s="22">
        <f t="shared" si="23"/>
        <v>-1.0074074074074115</v>
      </c>
      <c r="G189" s="22">
        <f t="shared" si="24"/>
        <v>1.5836109304426387</v>
      </c>
      <c r="H189" s="22">
        <f t="shared" si="29"/>
        <v>-1.5953413817792574</v>
      </c>
      <c r="I189" s="22">
        <f t="shared" si="30"/>
        <v>1.0148696844993224</v>
      </c>
      <c r="J189" s="24"/>
      <c r="K189" s="24"/>
      <c r="L189" s="235">
        <f t="shared" si="25"/>
        <v>39.260906713762353</v>
      </c>
      <c r="M189" s="126"/>
      <c r="N189" s="126"/>
      <c r="O189" s="126"/>
      <c r="P189" s="10">
        <f t="shared" si="26"/>
        <v>-2.9708067137623502</v>
      </c>
      <c r="Q189" s="10">
        <f t="shared" si="31"/>
        <v>8.8256925305354539</v>
      </c>
      <c r="W189" s="240">
        <f t="shared" si="32"/>
        <v>2.9708067137623502</v>
      </c>
      <c r="X189" s="240">
        <f t="shared" si="33"/>
        <v>8.1862731537315964E-2</v>
      </c>
      <c r="Y189"/>
      <c r="Z189" s="13">
        <f t="shared" si="27"/>
        <v>20.742720077845721</v>
      </c>
      <c r="AA189" s="2"/>
      <c r="AB189" s="68"/>
      <c r="AC189" s="15">
        <f t="shared" si="28"/>
        <v>2.5078235790173999</v>
      </c>
    </row>
    <row r="190" spans="1:29">
      <c r="A190" s="84">
        <f>'Q.1 &amp; 4'!K195</f>
        <v>2.5</v>
      </c>
      <c r="B190" s="141">
        <f>'Q.1 &amp; 4'!L195</f>
        <v>36.704700000000003</v>
      </c>
      <c r="C190" s="221"/>
      <c r="D190" s="23"/>
      <c r="E190" s="24"/>
      <c r="F190" s="22">
        <f t="shared" si="23"/>
        <v>-1.0074074074074115</v>
      </c>
      <c r="G190" s="22">
        <f t="shared" si="24"/>
        <v>1.9982109304426388</v>
      </c>
      <c r="H190" s="22">
        <f t="shared" si="29"/>
        <v>-2.0130124928903701</v>
      </c>
      <c r="I190" s="22">
        <f t="shared" si="30"/>
        <v>1.0148696844993224</v>
      </c>
      <c r="J190" s="24"/>
      <c r="K190" s="24"/>
      <c r="L190" s="235">
        <f t="shared" si="25"/>
        <v>39.260906713762353</v>
      </c>
      <c r="M190" s="126"/>
      <c r="N190" s="126"/>
      <c r="O190" s="126"/>
      <c r="P190" s="10">
        <f t="shared" si="26"/>
        <v>-2.5562067137623501</v>
      </c>
      <c r="Q190" s="10">
        <f t="shared" si="31"/>
        <v>6.5341927634837136</v>
      </c>
      <c r="W190" s="240">
        <f t="shared" si="32"/>
        <v>2.5562067137623501</v>
      </c>
      <c r="X190" s="240">
        <f t="shared" si="33"/>
        <v>6.9642490301306093E-2</v>
      </c>
      <c r="Y190"/>
      <c r="Z190" s="13">
        <f t="shared" si="27"/>
        <v>20.742720077845721</v>
      </c>
      <c r="AA190" s="2"/>
      <c r="AB190" s="68"/>
      <c r="AC190" s="15">
        <f t="shared" si="28"/>
        <v>3.9928469225404362</v>
      </c>
    </row>
    <row r="191" spans="1:29">
      <c r="A191" s="84">
        <f>'Q.1 &amp; 4'!K196</f>
        <v>2.5</v>
      </c>
      <c r="B191" s="141">
        <f>'Q.1 &amp; 4'!L196</f>
        <v>40.8247</v>
      </c>
      <c r="C191" s="221"/>
      <c r="D191" s="23"/>
      <c r="E191" s="24"/>
      <c r="F191" s="22">
        <f t="shared" si="23"/>
        <v>-1.0074074074074115</v>
      </c>
      <c r="G191" s="22">
        <f t="shared" si="24"/>
        <v>6.1182109304426362</v>
      </c>
      <c r="H191" s="22">
        <f t="shared" si="29"/>
        <v>-6.163531011408903</v>
      </c>
      <c r="I191" s="22">
        <f t="shared" si="30"/>
        <v>1.0148696844993224</v>
      </c>
      <c r="J191" s="24"/>
      <c r="K191" s="24"/>
      <c r="L191" s="235">
        <f t="shared" si="25"/>
        <v>39.260906713762353</v>
      </c>
      <c r="M191" s="126"/>
      <c r="N191" s="126"/>
      <c r="O191" s="126"/>
      <c r="P191" s="10">
        <f t="shared" si="26"/>
        <v>1.5637932862376474</v>
      </c>
      <c r="Q191" s="10">
        <f t="shared" si="31"/>
        <v>2.4454494420819404</v>
      </c>
      <c r="W191" s="240">
        <f t="shared" si="32"/>
        <v>1.5637932862376474</v>
      </c>
      <c r="X191" s="240">
        <f t="shared" si="33"/>
        <v>3.8305077226229396E-2</v>
      </c>
      <c r="Y191"/>
      <c r="Z191" s="13">
        <f t="shared" si="27"/>
        <v>20.742720077845721</v>
      </c>
      <c r="AA191" s="2"/>
      <c r="AB191" s="68"/>
      <c r="AC191" s="15">
        <f t="shared" si="28"/>
        <v>37.432504989387745</v>
      </c>
    </row>
    <row r="192" spans="1:29">
      <c r="A192" s="84">
        <f>'Q.1 &amp; 4'!K197</f>
        <v>3.5</v>
      </c>
      <c r="B192" s="141">
        <f>'Q.1 &amp; 4'!L197</f>
        <v>36.556399999999996</v>
      </c>
      <c r="C192" s="221"/>
      <c r="D192" s="23"/>
      <c r="E192" s="24"/>
      <c r="F192" s="22">
        <f t="shared" si="23"/>
        <v>-7.4074074074115259E-3</v>
      </c>
      <c r="G192" s="22">
        <f t="shared" si="24"/>
        <v>1.8499109304426327</v>
      </c>
      <c r="H192" s="22">
        <f t="shared" si="29"/>
        <v>-1.3703043929212306E-2</v>
      </c>
      <c r="I192" s="22">
        <f t="shared" si="30"/>
        <v>5.4869684499375142E-5</v>
      </c>
      <c r="J192" s="24"/>
      <c r="K192" s="24"/>
      <c r="L192" s="235">
        <f t="shared" si="25"/>
        <v>34.739977434588305</v>
      </c>
      <c r="M192" s="126"/>
      <c r="N192" s="126"/>
      <c r="O192" s="126"/>
      <c r="P192" s="10">
        <f t="shared" si="26"/>
        <v>1.8164225654116919</v>
      </c>
      <c r="Q192" s="10">
        <f t="shared" si="31"/>
        <v>3.2993909361367919</v>
      </c>
      <c r="W192" s="240">
        <f t="shared" si="32"/>
        <v>1.8164225654116919</v>
      </c>
      <c r="X192" s="240">
        <f t="shared" si="33"/>
        <v>4.9688223277228938E-2</v>
      </c>
      <c r="Y192"/>
      <c r="Z192" s="13">
        <f t="shared" si="27"/>
        <v>1.1214705924455365E-3</v>
      </c>
      <c r="AA192" s="2"/>
      <c r="AB192" s="68"/>
      <c r="AC192" s="15">
        <f t="shared" si="28"/>
        <v>3.422170450571127</v>
      </c>
    </row>
    <row r="193" spans="1:29">
      <c r="A193" s="84">
        <f>'Q.1 &amp; 4'!K198</f>
        <v>5</v>
      </c>
      <c r="B193" s="141">
        <f>'Q.1 &amp; 4'!L198</f>
        <v>32.088799999999999</v>
      </c>
      <c r="C193" s="221"/>
      <c r="D193" s="23"/>
      <c r="E193" s="24"/>
      <c r="F193" s="22">
        <f t="shared" si="23"/>
        <v>1.4925925925925885</v>
      </c>
      <c r="G193" s="22">
        <f t="shared" si="24"/>
        <v>-2.6176890695573647</v>
      </c>
      <c r="H193" s="22">
        <f t="shared" si="29"/>
        <v>-3.9071433149319077</v>
      </c>
      <c r="I193" s="22">
        <f t="shared" si="30"/>
        <v>2.2278326474622649</v>
      </c>
      <c r="J193" s="24"/>
      <c r="K193" s="24"/>
      <c r="L193" s="235">
        <f t="shared" si="25"/>
        <v>27.958583515827225</v>
      </c>
      <c r="M193" s="126"/>
      <c r="N193" s="126"/>
      <c r="O193" s="126"/>
      <c r="P193" s="10">
        <f t="shared" si="26"/>
        <v>4.1302164841727738</v>
      </c>
      <c r="Q193" s="10">
        <f t="shared" si="31"/>
        <v>17.058688206132508</v>
      </c>
      <c r="W193" s="240">
        <f t="shared" si="32"/>
        <v>4.1302164841727738</v>
      </c>
      <c r="X193" s="240">
        <f t="shared" si="33"/>
        <v>0.12871208908319332</v>
      </c>
      <c r="Y193"/>
      <c r="Z193" s="13">
        <f t="shared" si="27"/>
        <v>45.53422936206205</v>
      </c>
      <c r="AA193" s="2"/>
      <c r="AB193" s="68"/>
      <c r="AC193" s="15">
        <f t="shared" si="28"/>
        <v>6.8522960648801012</v>
      </c>
    </row>
    <row r="194" spans="1:29">
      <c r="A194" s="84">
        <f>'Q.1 &amp; 4'!K199</f>
        <v>4.2</v>
      </c>
      <c r="B194" s="141">
        <f>'Q.1 &amp; 4'!L199</f>
        <v>26.881699999999999</v>
      </c>
      <c r="C194" s="221"/>
      <c r="D194" s="23"/>
      <c r="E194" s="24"/>
      <c r="F194" s="22">
        <f t="shared" si="23"/>
        <v>0.69259259259258865</v>
      </c>
      <c r="G194" s="22">
        <f t="shared" si="24"/>
        <v>-7.8247890695573652</v>
      </c>
      <c r="H194" s="22">
        <f t="shared" si="29"/>
        <v>-5.4193909481748852</v>
      </c>
      <c r="I194" s="22">
        <f t="shared" si="30"/>
        <v>0.47968449931412349</v>
      </c>
      <c r="J194" s="24"/>
      <c r="K194" s="24"/>
      <c r="L194" s="235">
        <f t="shared" si="25"/>
        <v>31.575326939166466</v>
      </c>
      <c r="M194" s="126"/>
      <c r="N194" s="126"/>
      <c r="O194" s="126"/>
      <c r="P194" s="10">
        <f t="shared" si="26"/>
        <v>-4.6936269391664673</v>
      </c>
      <c r="Q194" s="10">
        <f t="shared" si="31"/>
        <v>22.03013384406918</v>
      </c>
      <c r="W194" s="240">
        <f t="shared" si="32"/>
        <v>4.6936269391664673</v>
      </c>
      <c r="X194" s="240">
        <f t="shared" si="33"/>
        <v>0.17460305483531427</v>
      </c>
      <c r="Y194"/>
      <c r="Z194" s="13">
        <f t="shared" si="27"/>
        <v>9.8041762867940658</v>
      </c>
      <c r="AA194" s="2"/>
      <c r="AB194" s="68"/>
      <c r="AC194" s="15">
        <f t="shared" si="28"/>
        <v>61.227323983064416</v>
      </c>
    </row>
    <row r="195" spans="1:29">
      <c r="A195" s="84">
        <f>'Q.1 &amp; 4'!K200</f>
        <v>4.7</v>
      </c>
      <c r="B195" s="141">
        <f>'Q.1 &amp; 4'!L200</f>
        <v>26.702200000000001</v>
      </c>
      <c r="C195" s="221"/>
      <c r="D195" s="23"/>
      <c r="E195" s="24"/>
      <c r="F195" s="22">
        <f t="shared" si="23"/>
        <v>1.1925925925925887</v>
      </c>
      <c r="G195" s="22">
        <f t="shared" si="24"/>
        <v>-8.0042890695573625</v>
      </c>
      <c r="H195" s="22">
        <f t="shared" si="29"/>
        <v>-9.5458558533239337</v>
      </c>
      <c r="I195" s="22">
        <f t="shared" si="30"/>
        <v>1.422277091906712</v>
      </c>
      <c r="J195" s="24"/>
      <c r="K195" s="24"/>
      <c r="L195" s="235">
        <f t="shared" si="25"/>
        <v>29.314862299579438</v>
      </c>
      <c r="M195" s="126"/>
      <c r="N195" s="126"/>
      <c r="O195" s="126"/>
      <c r="P195" s="10">
        <f t="shared" si="26"/>
        <v>-2.6126622995794371</v>
      </c>
      <c r="Q195" s="10">
        <f t="shared" si="31"/>
        <v>6.826004291643712</v>
      </c>
      <c r="W195" s="240">
        <f t="shared" si="32"/>
        <v>2.6126622995794371</v>
      </c>
      <c r="X195" s="240">
        <f t="shared" si="33"/>
        <v>9.7844458493286587E-2</v>
      </c>
      <c r="Y195"/>
      <c r="Z195" s="13">
        <f t="shared" si="27"/>
        <v>29.069639226742598</v>
      </c>
      <c r="AA195" s="2"/>
      <c r="AB195" s="68"/>
      <c r="AC195" s="15">
        <f t="shared" si="28"/>
        <v>64.068643509035468</v>
      </c>
    </row>
    <row r="196" spans="1:29">
      <c r="A196" s="84">
        <f>'Q.1 &amp; 4'!K201</f>
        <v>4.7</v>
      </c>
      <c r="B196" s="141">
        <f>'Q.1 &amp; 4'!L201</f>
        <v>26.560400000000001</v>
      </c>
      <c r="C196" s="221"/>
      <c r="D196" s="23"/>
      <c r="E196" s="24"/>
      <c r="F196" s="22">
        <f t="shared" si="23"/>
        <v>1.1925925925925887</v>
      </c>
      <c r="G196" s="22">
        <f t="shared" si="24"/>
        <v>-8.1460890695573624</v>
      </c>
      <c r="H196" s="22">
        <f t="shared" si="29"/>
        <v>-9.7149654829535628</v>
      </c>
      <c r="I196" s="22">
        <f t="shared" si="30"/>
        <v>1.422277091906712</v>
      </c>
      <c r="J196" s="24"/>
      <c r="K196" s="24"/>
      <c r="L196" s="235">
        <f t="shared" si="25"/>
        <v>29.314862299579438</v>
      </c>
      <c r="M196" s="126"/>
      <c r="N196" s="126"/>
      <c r="O196" s="126"/>
      <c r="P196" s="10">
        <f t="shared" si="26"/>
        <v>-2.754462299579437</v>
      </c>
      <c r="Q196" s="10">
        <f t="shared" si="31"/>
        <v>7.5870625598044406</v>
      </c>
      <c r="W196" s="240">
        <f t="shared" si="32"/>
        <v>2.754462299579437</v>
      </c>
      <c r="X196" s="240">
        <f t="shared" si="33"/>
        <v>0.10370560306243268</v>
      </c>
      <c r="Y196"/>
      <c r="Z196" s="13">
        <f t="shared" si="27"/>
        <v>29.069639226742598</v>
      </c>
      <c r="AA196" s="2"/>
      <c r="AB196" s="68"/>
      <c r="AC196" s="15">
        <f t="shared" si="28"/>
        <v>66.358767129161933</v>
      </c>
    </row>
    <row r="197" spans="1:29">
      <c r="A197" s="84">
        <f>'Q.1 &amp; 4'!K202</f>
        <v>1.3</v>
      </c>
      <c r="B197" s="141">
        <f>'Q.1 &amp; 4'!L202</f>
        <v>30.2</v>
      </c>
      <c r="C197" s="221"/>
      <c r="D197" s="23"/>
      <c r="E197" s="24"/>
      <c r="F197" s="22">
        <f t="shared" si="23"/>
        <v>-2.2074074074074117</v>
      </c>
      <c r="G197" s="22">
        <f t="shared" si="24"/>
        <v>-4.5064890695573645</v>
      </c>
      <c r="H197" s="22">
        <f t="shared" si="29"/>
        <v>9.9476573535414605</v>
      </c>
      <c r="I197" s="22">
        <f t="shared" si="30"/>
        <v>4.8726474622771105</v>
      </c>
      <c r="J197" s="24"/>
      <c r="K197" s="24"/>
      <c r="L197" s="235">
        <f t="shared" si="25"/>
        <v>44.686021848771219</v>
      </c>
      <c r="M197" s="126"/>
      <c r="N197" s="126"/>
      <c r="O197" s="126"/>
      <c r="P197" s="10">
        <f t="shared" si="26"/>
        <v>-14.48602184877122</v>
      </c>
      <c r="Q197" s="10">
        <f t="shared" si="31"/>
        <v>209.84482900307714</v>
      </c>
      <c r="W197" s="240">
        <f t="shared" si="32"/>
        <v>14.48602184877122</v>
      </c>
      <c r="X197" s="240">
        <f t="shared" si="33"/>
        <v>0.47966959764143113</v>
      </c>
      <c r="Y197"/>
      <c r="Z197" s="13">
        <f t="shared" si="27"/>
        <v>99.591074491403816</v>
      </c>
      <c r="AA197" s="2"/>
      <c r="AB197" s="68"/>
      <c r="AC197" s="15">
        <f t="shared" si="28"/>
        <v>20.308443734040001</v>
      </c>
    </row>
    <row r="198" spans="1:29">
      <c r="A198" s="84">
        <f>'Q.1 &amp; 4'!K203</f>
        <v>1.3</v>
      </c>
      <c r="B198" s="141">
        <f>'Q.1 &amp; 4'!L203</f>
        <v>32.1</v>
      </c>
      <c r="C198" s="221"/>
      <c r="D198" s="23"/>
      <c r="E198" s="24"/>
      <c r="F198" s="22">
        <f t="shared" ref="F198:F261" si="34">A198-$D$6</f>
        <v>-2.2074074074074117</v>
      </c>
      <c r="G198" s="22">
        <f t="shared" ref="G198:G261" si="35">B198-$E$6</f>
        <v>-2.6064890695573624</v>
      </c>
      <c r="H198" s="22">
        <f t="shared" si="29"/>
        <v>5.7535832794673745</v>
      </c>
      <c r="I198" s="22">
        <f t="shared" si="30"/>
        <v>4.8726474622771105</v>
      </c>
      <c r="J198" s="24"/>
      <c r="K198" s="24"/>
      <c r="L198" s="235">
        <f t="shared" ref="L198:L261" si="36">$K$6+$J$6*A198</f>
        <v>44.686021848771219</v>
      </c>
      <c r="M198" s="126"/>
      <c r="N198" s="126"/>
      <c r="O198" s="126"/>
      <c r="P198" s="10">
        <f t="shared" ref="P198:P261" si="37">B198-L198</f>
        <v>-12.586021848771217</v>
      </c>
      <c r="Q198" s="10">
        <f t="shared" si="31"/>
        <v>158.40794597774646</v>
      </c>
      <c r="W198" s="240">
        <f t="shared" si="32"/>
        <v>12.586021848771217</v>
      </c>
      <c r="X198" s="240">
        <f t="shared" si="33"/>
        <v>0.39208790806140864</v>
      </c>
      <c r="Y198"/>
      <c r="Z198" s="13">
        <f t="shared" ref="Z198:Z261" si="38">(L198-$E$6)^2</f>
        <v>99.591074491403816</v>
      </c>
      <c r="AA198" s="2"/>
      <c r="AB198" s="68"/>
      <c r="AC198" s="15">
        <f t="shared" ref="AC198:AC261" si="39">(B198-$E$6)^2</f>
        <v>6.7937852697220045</v>
      </c>
    </row>
    <row r="199" spans="1:29">
      <c r="A199" s="84">
        <f>'Q.1 &amp; 4'!K204</f>
        <v>3.5</v>
      </c>
      <c r="B199" s="141">
        <f>'Q.1 &amp; 4'!L204</f>
        <v>36.087600000000002</v>
      </c>
      <c r="C199" s="221"/>
      <c r="D199" s="23"/>
      <c r="E199" s="24"/>
      <c r="F199" s="22">
        <f t="shared" si="34"/>
        <v>-7.4074074074115259E-3</v>
      </c>
      <c r="G199" s="22">
        <f t="shared" si="35"/>
        <v>1.3811109304426381</v>
      </c>
      <c r="H199" s="22">
        <f t="shared" ref="H199:H262" si="40">F199*G199</f>
        <v>-1.0230451336617822E-2</v>
      </c>
      <c r="I199" s="22">
        <f t="shared" ref="I199:I262" si="41">F199^2</f>
        <v>5.4869684499375142E-5</v>
      </c>
      <c r="J199" s="24"/>
      <c r="K199" s="24"/>
      <c r="L199" s="235">
        <f t="shared" si="36"/>
        <v>34.739977434588305</v>
      </c>
      <c r="M199" s="126"/>
      <c r="N199" s="126"/>
      <c r="O199" s="126"/>
      <c r="P199" s="10">
        <f t="shared" si="37"/>
        <v>1.3476225654116973</v>
      </c>
      <c r="Q199" s="10">
        <f t="shared" ref="Q199:Q262" si="42">P199^2</f>
        <v>1.8160865788068046</v>
      </c>
      <c r="W199" s="240">
        <f t="shared" ref="W199:W262" si="43">ABS(P199)</f>
        <v>1.3476225654116973</v>
      </c>
      <c r="X199" s="240">
        <f t="shared" ref="X199:X262" si="44">W199/B199</f>
        <v>3.7343091959889191E-2</v>
      </c>
      <c r="Y199"/>
      <c r="Z199" s="13">
        <f t="shared" si="38"/>
        <v>1.1214705924455365E-3</v>
      </c>
      <c r="AA199" s="2"/>
      <c r="AB199" s="68"/>
      <c r="AC199" s="15">
        <f t="shared" si="39"/>
        <v>1.9074674021881295</v>
      </c>
    </row>
    <row r="200" spans="1:29">
      <c r="A200" s="84">
        <f>'Q.1 &amp; 4'!K205</f>
        <v>5.5</v>
      </c>
      <c r="B200" s="141">
        <f>'Q.1 &amp; 4'!L205</f>
        <v>31.7</v>
      </c>
      <c r="C200" s="221"/>
      <c r="D200" s="23"/>
      <c r="E200" s="24"/>
      <c r="F200" s="22">
        <f t="shared" si="34"/>
        <v>1.9925925925925885</v>
      </c>
      <c r="G200" s="22">
        <f t="shared" si="35"/>
        <v>-3.0064890695573645</v>
      </c>
      <c r="H200" s="22">
        <f t="shared" si="40"/>
        <v>-5.9907078497105877</v>
      </c>
      <c r="I200" s="22">
        <f t="shared" si="41"/>
        <v>3.9704252400548534</v>
      </c>
      <c r="J200" s="24"/>
      <c r="K200" s="24"/>
      <c r="L200" s="235">
        <f t="shared" si="36"/>
        <v>25.698118876240201</v>
      </c>
      <c r="M200" s="126"/>
      <c r="N200" s="126"/>
      <c r="O200" s="126"/>
      <c r="P200" s="10">
        <f t="shared" si="37"/>
        <v>6.001881123759798</v>
      </c>
      <c r="Q200" s="10">
        <f t="shared" si="42"/>
        <v>36.022577023744176</v>
      </c>
      <c r="W200" s="240">
        <f t="shared" si="43"/>
        <v>6.001881123759798</v>
      </c>
      <c r="X200" s="240">
        <f t="shared" si="44"/>
        <v>0.18933378939305356</v>
      </c>
      <c r="Y200"/>
      <c r="Z200" s="13">
        <f t="shared" si="38"/>
        <v>81.150733539845092</v>
      </c>
      <c r="AA200" s="2"/>
      <c r="AB200" s="68"/>
      <c r="AC200" s="15">
        <f t="shared" si="39"/>
        <v>9.0389765253679073</v>
      </c>
    </row>
    <row r="201" spans="1:29">
      <c r="A201" s="84">
        <f>'Q.1 &amp; 4'!K206</f>
        <v>1.6</v>
      </c>
      <c r="B201" s="141">
        <f>'Q.1 &amp; 4'!L206</f>
        <v>51.655500000000004</v>
      </c>
      <c r="C201" s="221"/>
      <c r="D201" s="23"/>
      <c r="E201" s="24"/>
      <c r="F201" s="22">
        <f t="shared" si="34"/>
        <v>-1.9074074074074114</v>
      </c>
      <c r="G201" s="22">
        <f t="shared" si="35"/>
        <v>16.94901093044264</v>
      </c>
      <c r="H201" s="22">
        <f t="shared" si="40"/>
        <v>-32.328668996955471</v>
      </c>
      <c r="I201" s="22">
        <f t="shared" si="41"/>
        <v>3.6382030178326628</v>
      </c>
      <c r="J201" s="24"/>
      <c r="K201" s="24"/>
      <c r="L201" s="235">
        <f t="shared" si="36"/>
        <v>43.329743065019002</v>
      </c>
      <c r="M201" s="126"/>
      <c r="N201" s="126"/>
      <c r="O201" s="126"/>
      <c r="P201" s="10">
        <f t="shared" si="37"/>
        <v>8.3257569349810012</v>
      </c>
      <c r="Q201" s="10">
        <f t="shared" si="42"/>
        <v>69.31822854038424</v>
      </c>
      <c r="W201" s="240">
        <f t="shared" si="43"/>
        <v>8.3257569349810012</v>
      </c>
      <c r="X201" s="240">
        <f t="shared" si="44"/>
        <v>0.16117851796964505</v>
      </c>
      <c r="Y201"/>
      <c r="Z201" s="13">
        <f t="shared" si="38"/>
        <v>74.360509470245105</v>
      </c>
      <c r="AA201" s="2"/>
      <c r="AB201" s="68"/>
      <c r="AC201" s="15">
        <f t="shared" si="39"/>
        <v>287.26897152026407</v>
      </c>
    </row>
    <row r="202" spans="1:29">
      <c r="A202" s="84">
        <f>'Q.1 &amp; 4'!K207</f>
        <v>1.6</v>
      </c>
      <c r="B202" s="141">
        <f>'Q.1 &amp; 4'!L207</f>
        <v>47.202500000000001</v>
      </c>
      <c r="C202" s="221"/>
      <c r="D202" s="23"/>
      <c r="E202" s="24"/>
      <c r="F202" s="22">
        <f t="shared" si="34"/>
        <v>-1.9074074074074114</v>
      </c>
      <c r="G202" s="22">
        <f t="shared" si="35"/>
        <v>12.496010930442637</v>
      </c>
      <c r="H202" s="22">
        <f t="shared" si="40"/>
        <v>-23.834983811770265</v>
      </c>
      <c r="I202" s="22">
        <f t="shared" si="41"/>
        <v>3.6382030178326628</v>
      </c>
      <c r="J202" s="24"/>
      <c r="K202" s="24"/>
      <c r="L202" s="235">
        <f t="shared" si="36"/>
        <v>43.329743065019002</v>
      </c>
      <c r="M202" s="126"/>
      <c r="N202" s="126"/>
      <c r="O202" s="126"/>
      <c r="P202" s="10">
        <f t="shared" si="37"/>
        <v>3.8727569349809983</v>
      </c>
      <c r="Q202" s="10">
        <f t="shared" si="42"/>
        <v>14.998246277443416</v>
      </c>
      <c r="W202" s="240">
        <f t="shared" si="43"/>
        <v>3.8727569349809983</v>
      </c>
      <c r="X202" s="240">
        <f t="shared" si="44"/>
        <v>8.2045589428123469E-2</v>
      </c>
      <c r="Y202"/>
      <c r="Z202" s="13">
        <f t="shared" si="38"/>
        <v>74.360509470245105</v>
      </c>
      <c r="AA202" s="2"/>
      <c r="AB202" s="68"/>
      <c r="AC202" s="15">
        <f t="shared" si="39"/>
        <v>156.15028917374184</v>
      </c>
    </row>
    <row r="203" spans="1:29">
      <c r="A203" s="84">
        <f>'Q.1 &amp; 4'!K208</f>
        <v>1.6</v>
      </c>
      <c r="B203" s="141">
        <f>'Q.1 &amp; 4'!L208</f>
        <v>44.571399999999997</v>
      </c>
      <c r="C203" s="221"/>
      <c r="D203" s="23"/>
      <c r="E203" s="24"/>
      <c r="F203" s="22">
        <f t="shared" si="34"/>
        <v>-1.9074074074074114</v>
      </c>
      <c r="G203" s="22">
        <f t="shared" si="35"/>
        <v>9.8649109304426332</v>
      </c>
      <c r="H203" s="22">
        <f t="shared" si="40"/>
        <v>-18.816404182140619</v>
      </c>
      <c r="I203" s="22">
        <f t="shared" si="41"/>
        <v>3.6382030178326628</v>
      </c>
      <c r="J203" s="24"/>
      <c r="K203" s="24"/>
      <c r="L203" s="235">
        <f t="shared" si="36"/>
        <v>43.329743065019002</v>
      </c>
      <c r="M203" s="126"/>
      <c r="N203" s="126"/>
      <c r="O203" s="126"/>
      <c r="P203" s="10">
        <f t="shared" si="37"/>
        <v>1.2416569349809947</v>
      </c>
      <c r="Q203" s="10">
        <f t="shared" si="42"/>
        <v>1.5417119441863982</v>
      </c>
      <c r="W203" s="240">
        <f t="shared" si="43"/>
        <v>1.2416569349809947</v>
      </c>
      <c r="X203" s="240">
        <f t="shared" si="44"/>
        <v>2.7857705501307898E-2</v>
      </c>
      <c r="Y203"/>
      <c r="Z203" s="13">
        <f t="shared" si="38"/>
        <v>74.360509470245105</v>
      </c>
      <c r="AA203" s="2"/>
      <c r="AB203" s="68"/>
      <c r="AC203" s="15">
        <f t="shared" si="39"/>
        <v>97.316467665566535</v>
      </c>
    </row>
    <row r="204" spans="1:29">
      <c r="A204" s="84">
        <f>'Q.1 &amp; 4'!K209</f>
        <v>1.6</v>
      </c>
      <c r="B204" s="141">
        <f>'Q.1 &amp; 4'!L209</f>
        <v>47.7592</v>
      </c>
      <c r="C204" s="221"/>
      <c r="D204" s="23"/>
      <c r="E204" s="24"/>
      <c r="F204" s="22">
        <f t="shared" si="34"/>
        <v>-1.9074074074074114</v>
      </c>
      <c r="G204" s="22">
        <f t="shared" si="35"/>
        <v>13.052710930442636</v>
      </c>
      <c r="H204" s="22">
        <f t="shared" si="40"/>
        <v>-24.896837515473969</v>
      </c>
      <c r="I204" s="22">
        <f t="shared" si="41"/>
        <v>3.6382030178326628</v>
      </c>
      <c r="J204" s="24"/>
      <c r="K204" s="24"/>
      <c r="L204" s="235">
        <f t="shared" si="36"/>
        <v>43.329743065019002</v>
      </c>
      <c r="M204" s="126"/>
      <c r="N204" s="126"/>
      <c r="O204" s="126"/>
      <c r="P204" s="10">
        <f t="shared" si="37"/>
        <v>4.4294569349809976</v>
      </c>
      <c r="Q204" s="10">
        <f t="shared" si="42"/>
        <v>19.620088738851255</v>
      </c>
      <c r="W204" s="240">
        <f t="shared" si="43"/>
        <v>4.4294569349809976</v>
      </c>
      <c r="X204" s="240">
        <f t="shared" si="44"/>
        <v>9.2745626706079609E-2</v>
      </c>
      <c r="Y204"/>
      <c r="Z204" s="13">
        <f t="shared" si="38"/>
        <v>74.360509470245105</v>
      </c>
      <c r="AA204" s="2"/>
      <c r="AB204" s="68"/>
      <c r="AC204" s="15">
        <f t="shared" si="39"/>
        <v>170.37326263369667</v>
      </c>
    </row>
    <row r="205" spans="1:29">
      <c r="A205" s="84">
        <f>'Q.1 &amp; 4'!K210</f>
        <v>1.6</v>
      </c>
      <c r="B205" s="141">
        <f>'Q.1 &amp; 4'!L210</f>
        <v>46.5047</v>
      </c>
      <c r="C205" s="221"/>
      <c r="D205" s="23"/>
      <c r="E205" s="24"/>
      <c r="F205" s="22">
        <f t="shared" si="34"/>
        <v>-1.9074074074074114</v>
      </c>
      <c r="G205" s="22">
        <f t="shared" si="35"/>
        <v>11.798210930442636</v>
      </c>
      <c r="H205" s="22">
        <f t="shared" si="40"/>
        <v>-22.503994922881372</v>
      </c>
      <c r="I205" s="22">
        <f t="shared" si="41"/>
        <v>3.6382030178326628</v>
      </c>
      <c r="J205" s="24"/>
      <c r="K205" s="24"/>
      <c r="L205" s="235">
        <f t="shared" si="36"/>
        <v>43.329743065019002</v>
      </c>
      <c r="M205" s="126"/>
      <c r="N205" s="126"/>
      <c r="O205" s="126"/>
      <c r="P205" s="10">
        <f t="shared" si="37"/>
        <v>3.1749569349809974</v>
      </c>
      <c r="Q205" s="10">
        <f t="shared" si="42"/>
        <v>10.08035153898393</v>
      </c>
      <c r="W205" s="240">
        <f t="shared" si="43"/>
        <v>3.1749569349809974</v>
      </c>
      <c r="X205" s="240">
        <f t="shared" si="44"/>
        <v>6.8271743178237837E-2</v>
      </c>
      <c r="Y205"/>
      <c r="Z205" s="13">
        <f t="shared" si="38"/>
        <v>74.360509470245105</v>
      </c>
      <c r="AA205" s="2"/>
      <c r="AB205" s="68"/>
      <c r="AC205" s="15">
        <f t="shared" si="39"/>
        <v>139.19778115921608</v>
      </c>
    </row>
    <row r="206" spans="1:29">
      <c r="A206" s="84">
        <f>'Q.1 &amp; 4'!K211</f>
        <v>2.4</v>
      </c>
      <c r="B206" s="141">
        <f>'Q.1 &amp; 4'!L211</f>
        <v>38.599499999999999</v>
      </c>
      <c r="C206" s="221"/>
      <c r="D206" s="23"/>
      <c r="E206" s="24"/>
      <c r="F206" s="22">
        <f t="shared" si="34"/>
        <v>-1.1074074074074116</v>
      </c>
      <c r="G206" s="22">
        <f t="shared" si="35"/>
        <v>3.8930109304426352</v>
      </c>
      <c r="H206" s="22">
        <f t="shared" si="40"/>
        <v>-4.3111491414901941</v>
      </c>
      <c r="I206" s="22">
        <f t="shared" si="41"/>
        <v>1.2263511659808048</v>
      </c>
      <c r="J206" s="24"/>
      <c r="K206" s="24"/>
      <c r="L206" s="235">
        <f t="shared" si="36"/>
        <v>39.712999641679758</v>
      </c>
      <c r="M206" s="126"/>
      <c r="N206" s="126"/>
      <c r="O206" s="126"/>
      <c r="P206" s="10">
        <f t="shared" si="37"/>
        <v>-1.1134996416797591</v>
      </c>
      <c r="Q206" s="10">
        <f t="shared" si="42"/>
        <v>1.239881452020952</v>
      </c>
      <c r="W206" s="240">
        <f t="shared" si="43"/>
        <v>1.1134996416797591</v>
      </c>
      <c r="X206" s="240">
        <f t="shared" si="44"/>
        <v>2.8847514648629106E-2</v>
      </c>
      <c r="Y206"/>
      <c r="Z206" s="13">
        <f t="shared" si="38"/>
        <v>25.065148108773304</v>
      </c>
      <c r="AA206" s="2"/>
      <c r="AB206" s="68"/>
      <c r="AC206" s="15">
        <f t="shared" si="39"/>
        <v>15.155534104545833</v>
      </c>
    </row>
    <row r="207" spans="1:29">
      <c r="A207" s="84">
        <f>'Q.1 &amp; 4'!K212</f>
        <v>2.4</v>
      </c>
      <c r="B207" s="141">
        <f>'Q.1 &amp; 4'!L212</f>
        <v>37.490200000000002</v>
      </c>
      <c r="C207" s="221"/>
      <c r="D207" s="23"/>
      <c r="E207" s="24"/>
      <c r="F207" s="22">
        <f t="shared" si="34"/>
        <v>-1.1074074074074116</v>
      </c>
      <c r="G207" s="22">
        <f t="shared" si="35"/>
        <v>2.7837109304426377</v>
      </c>
      <c r="H207" s="22">
        <f t="shared" si="40"/>
        <v>-3.0827021044531548</v>
      </c>
      <c r="I207" s="22">
        <f t="shared" si="41"/>
        <v>1.2263511659808048</v>
      </c>
      <c r="J207" s="24"/>
      <c r="K207" s="24"/>
      <c r="L207" s="235">
        <f t="shared" si="36"/>
        <v>39.712999641679758</v>
      </c>
      <c r="M207" s="126"/>
      <c r="N207" s="126"/>
      <c r="O207" s="126"/>
      <c r="P207" s="10">
        <f t="shared" si="37"/>
        <v>-2.2227996416797566</v>
      </c>
      <c r="Q207" s="10">
        <f t="shared" si="42"/>
        <v>4.9408382470516541</v>
      </c>
      <c r="W207" s="240">
        <f t="shared" si="43"/>
        <v>2.2227996416797566</v>
      </c>
      <c r="X207" s="240">
        <f t="shared" si="44"/>
        <v>5.9290151604412797E-2</v>
      </c>
      <c r="Y207"/>
      <c r="Z207" s="13">
        <f t="shared" si="38"/>
        <v>25.065148108773304</v>
      </c>
      <c r="AA207" s="2"/>
      <c r="AB207" s="68"/>
      <c r="AC207" s="15">
        <f t="shared" si="39"/>
        <v>7.7490465442658163</v>
      </c>
    </row>
    <row r="208" spans="1:29">
      <c r="A208" s="84">
        <f>'Q.1 &amp; 4'!K213</f>
        <v>3.8</v>
      </c>
      <c r="B208" s="141">
        <f>'Q.1 &amp; 4'!L213</f>
        <v>34.6</v>
      </c>
      <c r="C208" s="221"/>
      <c r="D208" s="23"/>
      <c r="E208" s="24"/>
      <c r="F208" s="22">
        <f t="shared" si="34"/>
        <v>0.2925925925925883</v>
      </c>
      <c r="G208" s="22">
        <f t="shared" si="35"/>
        <v>-0.10648906955736237</v>
      </c>
      <c r="H208" s="22">
        <f t="shared" si="40"/>
        <v>-3.1157912944561123E-2</v>
      </c>
      <c r="I208" s="22">
        <f t="shared" si="41"/>
        <v>8.5610425240052357E-2</v>
      </c>
      <c r="J208" s="24"/>
      <c r="K208" s="24"/>
      <c r="L208" s="235">
        <f t="shared" si="36"/>
        <v>33.383698650836088</v>
      </c>
      <c r="M208" s="126"/>
      <c r="N208" s="126"/>
      <c r="O208" s="126"/>
      <c r="P208" s="10">
        <f t="shared" si="37"/>
        <v>1.2163013491639134</v>
      </c>
      <c r="Q208" s="10">
        <f t="shared" si="42"/>
        <v>1.479388971977956</v>
      </c>
      <c r="W208" s="240">
        <f t="shared" si="43"/>
        <v>1.2163013491639134</v>
      </c>
      <c r="X208" s="240">
        <f t="shared" si="44"/>
        <v>3.515321818392813E-2</v>
      </c>
      <c r="Y208"/>
      <c r="Z208" s="13">
        <f t="shared" si="38"/>
        <v>1.749774491860808</v>
      </c>
      <c r="AA208" s="2"/>
      <c r="AB208" s="68"/>
      <c r="AC208" s="15">
        <f t="shared" si="39"/>
        <v>1.1339921935192761E-2</v>
      </c>
    </row>
    <row r="209" spans="1:29">
      <c r="A209" s="84">
        <f>'Q.1 &amp; 4'!K214</f>
        <v>3.8</v>
      </c>
      <c r="B209" s="141">
        <f>'Q.1 &amp; 4'!L214</f>
        <v>33.200000000000003</v>
      </c>
      <c r="C209" s="221"/>
      <c r="D209" s="23"/>
      <c r="E209" s="24"/>
      <c r="F209" s="22">
        <f t="shared" si="34"/>
        <v>0.2925925925925883</v>
      </c>
      <c r="G209" s="22">
        <f t="shared" si="35"/>
        <v>-1.5064890695573609</v>
      </c>
      <c r="H209" s="22">
        <f t="shared" si="40"/>
        <v>-0.44078754257418434</v>
      </c>
      <c r="I209" s="22">
        <f t="shared" si="41"/>
        <v>8.5610425240052357E-2</v>
      </c>
      <c r="J209" s="24"/>
      <c r="K209" s="24"/>
      <c r="L209" s="235">
        <f t="shared" si="36"/>
        <v>33.383698650836088</v>
      </c>
      <c r="M209" s="126"/>
      <c r="N209" s="126"/>
      <c r="O209" s="126"/>
      <c r="P209" s="10">
        <f t="shared" si="37"/>
        <v>-0.18369865083608516</v>
      </c>
      <c r="Q209" s="10">
        <f t="shared" si="42"/>
        <v>3.3745194318997931E-2</v>
      </c>
      <c r="W209" s="240">
        <f t="shared" si="43"/>
        <v>0.18369865083608516</v>
      </c>
      <c r="X209" s="240">
        <f t="shared" si="44"/>
        <v>5.5330918926531671E-3</v>
      </c>
      <c r="Y209"/>
      <c r="Z209" s="13">
        <f t="shared" si="38"/>
        <v>1.749774491860808</v>
      </c>
      <c r="AA209" s="2"/>
      <c r="AB209" s="68"/>
      <c r="AC209" s="15">
        <f t="shared" si="39"/>
        <v>2.2695093166958031</v>
      </c>
    </row>
    <row r="210" spans="1:29">
      <c r="A210" s="84">
        <f>'Q.1 &amp; 4'!K215</f>
        <v>2.5</v>
      </c>
      <c r="B210" s="141">
        <f>'Q.1 &amp; 4'!L215</f>
        <v>44.736499999999999</v>
      </c>
      <c r="C210" s="221"/>
      <c r="D210" s="23"/>
      <c r="E210" s="24"/>
      <c r="F210" s="22">
        <f t="shared" si="34"/>
        <v>-1.0074074074074115</v>
      </c>
      <c r="G210" s="22">
        <f t="shared" si="35"/>
        <v>10.030010930442636</v>
      </c>
      <c r="H210" s="22">
        <f t="shared" si="40"/>
        <v>-10.104307307705215</v>
      </c>
      <c r="I210" s="22">
        <f t="shared" si="41"/>
        <v>1.0148696844993224</v>
      </c>
      <c r="J210" s="24"/>
      <c r="K210" s="24"/>
      <c r="L210" s="235">
        <f t="shared" si="36"/>
        <v>39.260906713762353</v>
      </c>
      <c r="M210" s="126"/>
      <c r="N210" s="126"/>
      <c r="O210" s="126"/>
      <c r="P210" s="10">
        <f t="shared" si="37"/>
        <v>5.4755932862376469</v>
      </c>
      <c r="Q210" s="10">
        <f t="shared" si="42"/>
        <v>29.982121836290794</v>
      </c>
      <c r="W210" s="240">
        <f t="shared" si="43"/>
        <v>5.4755932862376469</v>
      </c>
      <c r="X210" s="240">
        <f t="shared" si="44"/>
        <v>0.1223965506071697</v>
      </c>
      <c r="Y210"/>
      <c r="Z210" s="13">
        <f t="shared" si="38"/>
        <v>20.742720077845721</v>
      </c>
      <c r="AA210" s="2"/>
      <c r="AB210" s="68"/>
      <c r="AC210" s="15">
        <f t="shared" si="39"/>
        <v>100.60111926479874</v>
      </c>
    </row>
    <row r="211" spans="1:29">
      <c r="A211" s="84">
        <f>'Q.1 &amp; 4'!K216</f>
        <v>2.5</v>
      </c>
      <c r="B211" s="141">
        <f>'Q.1 &amp; 4'!L216</f>
        <v>43.8</v>
      </c>
      <c r="C211" s="221"/>
      <c r="D211" s="23"/>
      <c r="E211" s="24"/>
      <c r="F211" s="22">
        <f t="shared" si="34"/>
        <v>-1.0074074074074115</v>
      </c>
      <c r="G211" s="22">
        <f t="shared" si="35"/>
        <v>9.0935109304426334</v>
      </c>
      <c r="H211" s="22">
        <f t="shared" si="40"/>
        <v>-9.1608702706681715</v>
      </c>
      <c r="I211" s="22">
        <f t="shared" si="41"/>
        <v>1.0148696844993224</v>
      </c>
      <c r="J211" s="24"/>
      <c r="K211" s="24"/>
      <c r="L211" s="235">
        <f t="shared" si="36"/>
        <v>39.260906713762353</v>
      </c>
      <c r="M211" s="126"/>
      <c r="N211" s="126"/>
      <c r="O211" s="126"/>
      <c r="P211" s="10">
        <f t="shared" si="37"/>
        <v>4.5390932862376445</v>
      </c>
      <c r="Q211" s="10">
        <f t="shared" si="42"/>
        <v>20.603367861167659</v>
      </c>
      <c r="W211" s="240">
        <f t="shared" si="43"/>
        <v>4.5390932862376445</v>
      </c>
      <c r="X211" s="240">
        <f t="shared" si="44"/>
        <v>0.10363226680907865</v>
      </c>
      <c r="Y211"/>
      <c r="Z211" s="13">
        <f t="shared" si="38"/>
        <v>20.742720077845721</v>
      </c>
      <c r="AA211" s="2"/>
      <c r="AB211" s="68"/>
      <c r="AC211" s="15">
        <f t="shared" si="39"/>
        <v>82.691941042079648</v>
      </c>
    </row>
    <row r="212" spans="1:29">
      <c r="A212" s="84">
        <f>'Q.1 &amp; 4'!K217</f>
        <v>3.5</v>
      </c>
      <c r="B212" s="141">
        <f>'Q.1 &amp; 4'!L217</f>
        <v>37.962800000000001</v>
      </c>
      <c r="C212" s="221"/>
      <c r="D212" s="23"/>
      <c r="E212" s="24"/>
      <c r="F212" s="22">
        <f t="shared" si="34"/>
        <v>-7.4074074074115259E-3</v>
      </c>
      <c r="G212" s="22">
        <f t="shared" si="35"/>
        <v>3.2563109304426376</v>
      </c>
      <c r="H212" s="22">
        <f t="shared" si="40"/>
        <v>-2.4120821706995914E-2</v>
      </c>
      <c r="I212" s="22">
        <f t="shared" si="41"/>
        <v>5.4869684499375142E-5</v>
      </c>
      <c r="J212" s="24"/>
      <c r="K212" s="24"/>
      <c r="L212" s="235">
        <f t="shared" si="36"/>
        <v>34.739977434588305</v>
      </c>
      <c r="M212" s="126"/>
      <c r="N212" s="126"/>
      <c r="O212" s="126"/>
      <c r="P212" s="10">
        <f t="shared" si="37"/>
        <v>3.2228225654116969</v>
      </c>
      <c r="Q212" s="10">
        <f t="shared" si="42"/>
        <v>10.386585288126831</v>
      </c>
      <c r="W212" s="240">
        <f t="shared" si="43"/>
        <v>3.2228225654116969</v>
      </c>
      <c r="X212" s="240">
        <f t="shared" si="44"/>
        <v>8.4894227122648935E-2</v>
      </c>
      <c r="Y212"/>
      <c r="Z212" s="13">
        <f t="shared" si="38"/>
        <v>1.1214705924455365E-3</v>
      </c>
      <c r="AA212" s="2"/>
      <c r="AB212" s="68"/>
      <c r="AC212" s="15">
        <f t="shared" si="39"/>
        <v>10.603560875720197</v>
      </c>
    </row>
    <row r="213" spans="1:29">
      <c r="A213" s="84">
        <f>'Q.1 &amp; 4'!K218</f>
        <v>3.5</v>
      </c>
      <c r="B213" s="141">
        <f>'Q.1 &amp; 4'!L218</f>
        <v>38.0169</v>
      </c>
      <c r="C213" s="221"/>
      <c r="D213" s="23"/>
      <c r="E213" s="24"/>
      <c r="F213" s="22">
        <f t="shared" si="34"/>
        <v>-7.4074074074115259E-3</v>
      </c>
      <c r="G213" s="22">
        <f t="shared" si="35"/>
        <v>3.3104109304426359</v>
      </c>
      <c r="H213" s="22">
        <f t="shared" si="40"/>
        <v>-2.4521562447736862E-2</v>
      </c>
      <c r="I213" s="22">
        <f t="shared" si="41"/>
        <v>5.4869684499375142E-5</v>
      </c>
      <c r="J213" s="24"/>
      <c r="K213" s="24"/>
      <c r="L213" s="235">
        <f t="shared" si="36"/>
        <v>34.739977434588305</v>
      </c>
      <c r="M213" s="126"/>
      <c r="N213" s="126"/>
      <c r="O213" s="126"/>
      <c r="P213" s="10">
        <f t="shared" si="37"/>
        <v>3.2769225654116951</v>
      </c>
      <c r="Q213" s="10">
        <f t="shared" si="42"/>
        <v>10.738221499704366</v>
      </c>
      <c r="W213" s="240">
        <f t="shared" si="43"/>
        <v>3.2769225654116951</v>
      </c>
      <c r="X213" s="240">
        <f t="shared" si="44"/>
        <v>8.6196469607245599E-2</v>
      </c>
      <c r="Y213"/>
      <c r="Z213" s="13">
        <f t="shared" si="38"/>
        <v>1.1214705924455365E-3</v>
      </c>
      <c r="AA213" s="2"/>
      <c r="AB213" s="68"/>
      <c r="AC213" s="15">
        <f t="shared" si="39"/>
        <v>10.958820528394078</v>
      </c>
    </row>
    <row r="214" spans="1:29">
      <c r="A214" s="84">
        <f>'Q.1 &amp; 4'!K219</f>
        <v>3.8</v>
      </c>
      <c r="B214" s="141">
        <f>'Q.1 &amp; 4'!L219</f>
        <v>29.0307</v>
      </c>
      <c r="C214" s="221"/>
      <c r="D214" s="23"/>
      <c r="E214" s="24"/>
      <c r="F214" s="22">
        <f t="shared" si="34"/>
        <v>0.2925925925925883</v>
      </c>
      <c r="G214" s="22">
        <f t="shared" si="35"/>
        <v>-5.6757890695573643</v>
      </c>
      <c r="H214" s="22">
        <f t="shared" si="40"/>
        <v>-1.6606938388704637</v>
      </c>
      <c r="I214" s="22">
        <f t="shared" si="41"/>
        <v>8.5610425240052357E-2</v>
      </c>
      <c r="J214" s="24"/>
      <c r="K214" s="24"/>
      <c r="L214" s="235">
        <f t="shared" si="36"/>
        <v>33.383698650836088</v>
      </c>
      <c r="M214" s="126"/>
      <c r="N214" s="126"/>
      <c r="O214" s="126"/>
      <c r="P214" s="10">
        <f t="shared" si="37"/>
        <v>-4.3529986508360885</v>
      </c>
      <c r="Q214" s="10">
        <f t="shared" si="42"/>
        <v>18.948597254180807</v>
      </c>
      <c r="W214" s="240">
        <f t="shared" si="43"/>
        <v>4.3529986508360885</v>
      </c>
      <c r="X214" s="240">
        <f t="shared" si="44"/>
        <v>0.14994466722593974</v>
      </c>
      <c r="Y214"/>
      <c r="Z214" s="13">
        <f t="shared" si="38"/>
        <v>1.749774491860808</v>
      </c>
      <c r="AA214" s="2"/>
      <c r="AB214" s="68"/>
      <c r="AC214" s="15">
        <f t="shared" si="39"/>
        <v>32.214581562106851</v>
      </c>
    </row>
    <row r="215" spans="1:29">
      <c r="A215" s="84">
        <f>'Q.1 &amp; 4'!K220</f>
        <v>2.2000000000000002</v>
      </c>
      <c r="B215" s="141">
        <f>'Q.1 &amp; 4'!L220</f>
        <v>51.9</v>
      </c>
      <c r="C215" s="221"/>
      <c r="D215" s="23"/>
      <c r="E215" s="24"/>
      <c r="F215" s="22">
        <f t="shared" si="34"/>
        <v>-1.3074074074074113</v>
      </c>
      <c r="G215" s="22">
        <f t="shared" si="35"/>
        <v>17.193510930442635</v>
      </c>
      <c r="H215" s="22">
        <f t="shared" si="40"/>
        <v>-22.478923549800992</v>
      </c>
      <c r="I215" s="22">
        <f t="shared" si="41"/>
        <v>1.7093141289437688</v>
      </c>
      <c r="J215" s="24"/>
      <c r="K215" s="24"/>
      <c r="L215" s="235">
        <f t="shared" si="36"/>
        <v>40.617185497514569</v>
      </c>
      <c r="M215" s="126"/>
      <c r="N215" s="126"/>
      <c r="O215" s="126"/>
      <c r="P215" s="10">
        <f t="shared" si="37"/>
        <v>11.282814502485429</v>
      </c>
      <c r="Q215" s="10">
        <f t="shared" si="42"/>
        <v>127.30190309749553</v>
      </c>
      <c r="W215" s="240">
        <f t="shared" si="43"/>
        <v>11.282814502485429</v>
      </c>
      <c r="X215" s="240">
        <f t="shared" si="44"/>
        <v>0.21739526979740711</v>
      </c>
      <c r="Y215"/>
      <c r="Z215" s="13">
        <f t="shared" si="38"/>
        <v>34.93633226346607</v>
      </c>
      <c r="AA215" s="2"/>
      <c r="AB215" s="68"/>
      <c r="AC215" s="15">
        <f t="shared" si="39"/>
        <v>295.61681811525034</v>
      </c>
    </row>
    <row r="216" spans="1:29">
      <c r="A216" s="84">
        <f>'Q.1 &amp; 4'!K221</f>
        <v>2.2000000000000002</v>
      </c>
      <c r="B216" s="141">
        <f>'Q.1 &amp; 4'!L221</f>
        <v>46.8</v>
      </c>
      <c r="C216" s="221"/>
      <c r="D216" s="23"/>
      <c r="E216" s="24"/>
      <c r="F216" s="22">
        <f t="shared" si="34"/>
        <v>-1.3074074074074113</v>
      </c>
      <c r="G216" s="22">
        <f t="shared" si="35"/>
        <v>12.093510930442633</v>
      </c>
      <c r="H216" s="22">
        <f t="shared" si="40"/>
        <v>-15.811145772023194</v>
      </c>
      <c r="I216" s="22">
        <f t="shared" si="41"/>
        <v>1.7093141289437688</v>
      </c>
      <c r="J216" s="24"/>
      <c r="K216" s="24"/>
      <c r="L216" s="235">
        <f t="shared" si="36"/>
        <v>40.617185497514569</v>
      </c>
      <c r="M216" s="126"/>
      <c r="N216" s="126"/>
      <c r="O216" s="126"/>
      <c r="P216" s="10">
        <f t="shared" si="37"/>
        <v>6.182814502485428</v>
      </c>
      <c r="Q216" s="10">
        <f t="shared" si="42"/>
        <v>38.227195172144128</v>
      </c>
      <c r="W216" s="240">
        <f t="shared" si="43"/>
        <v>6.182814502485428</v>
      </c>
      <c r="X216" s="240">
        <f t="shared" si="44"/>
        <v>0.13211142099327838</v>
      </c>
      <c r="Y216"/>
      <c r="Z216" s="13">
        <f t="shared" si="38"/>
        <v>34.93633226346607</v>
      </c>
      <c r="AA216" s="2"/>
      <c r="AB216" s="68"/>
      <c r="AC216" s="15">
        <f t="shared" si="39"/>
        <v>146.25300662473543</v>
      </c>
    </row>
    <row r="217" spans="1:29">
      <c r="A217" s="84">
        <f>'Q.1 &amp; 4'!K222</f>
        <v>2.2000000000000002</v>
      </c>
      <c r="B217" s="141">
        <f>'Q.1 &amp; 4'!L222</f>
        <v>46.8</v>
      </c>
      <c r="C217" s="221"/>
      <c r="D217" s="23"/>
      <c r="E217" s="24"/>
      <c r="F217" s="22">
        <f t="shared" si="34"/>
        <v>-1.3074074074074113</v>
      </c>
      <c r="G217" s="22">
        <f t="shared" si="35"/>
        <v>12.093510930442633</v>
      </c>
      <c r="H217" s="22">
        <f t="shared" si="40"/>
        <v>-15.811145772023194</v>
      </c>
      <c r="I217" s="22">
        <f t="shared" si="41"/>
        <v>1.7093141289437688</v>
      </c>
      <c r="J217" s="24"/>
      <c r="K217" s="24"/>
      <c r="L217" s="235">
        <f t="shared" si="36"/>
        <v>40.617185497514569</v>
      </c>
      <c r="M217" s="126"/>
      <c r="N217" s="126"/>
      <c r="O217" s="126"/>
      <c r="P217" s="10">
        <f t="shared" si="37"/>
        <v>6.182814502485428</v>
      </c>
      <c r="Q217" s="10">
        <f t="shared" si="42"/>
        <v>38.227195172144128</v>
      </c>
      <c r="W217" s="240">
        <f t="shared" si="43"/>
        <v>6.182814502485428</v>
      </c>
      <c r="X217" s="240">
        <f t="shared" si="44"/>
        <v>0.13211142099327838</v>
      </c>
      <c r="Y217"/>
      <c r="Z217" s="13">
        <f t="shared" si="38"/>
        <v>34.93633226346607</v>
      </c>
      <c r="AA217" s="2"/>
      <c r="AB217" s="68"/>
      <c r="AC217" s="15">
        <f t="shared" si="39"/>
        <v>146.25300662473543</v>
      </c>
    </row>
    <row r="218" spans="1:29">
      <c r="A218" s="84">
        <f>'Q.1 &amp; 4'!K223</f>
        <v>2.2000000000000002</v>
      </c>
      <c r="B218" s="141">
        <f>'Q.1 &amp; 4'!L223</f>
        <v>51.9</v>
      </c>
      <c r="C218" s="221"/>
      <c r="D218" s="23"/>
      <c r="E218" s="24"/>
      <c r="F218" s="22">
        <f t="shared" si="34"/>
        <v>-1.3074074074074113</v>
      </c>
      <c r="G218" s="22">
        <f t="shared" si="35"/>
        <v>17.193510930442635</v>
      </c>
      <c r="H218" s="22">
        <f t="shared" si="40"/>
        <v>-22.478923549800992</v>
      </c>
      <c r="I218" s="22">
        <f t="shared" si="41"/>
        <v>1.7093141289437688</v>
      </c>
      <c r="J218" s="24"/>
      <c r="K218" s="24"/>
      <c r="L218" s="235">
        <f t="shared" si="36"/>
        <v>40.617185497514569</v>
      </c>
      <c r="M218" s="126"/>
      <c r="N218" s="126"/>
      <c r="O218" s="126"/>
      <c r="P218" s="10">
        <f t="shared" si="37"/>
        <v>11.282814502485429</v>
      </c>
      <c r="Q218" s="10">
        <f t="shared" si="42"/>
        <v>127.30190309749553</v>
      </c>
      <c r="W218" s="240">
        <f t="shared" si="43"/>
        <v>11.282814502485429</v>
      </c>
      <c r="X218" s="240">
        <f t="shared" si="44"/>
        <v>0.21739526979740711</v>
      </c>
      <c r="Y218"/>
      <c r="Z218" s="13">
        <f t="shared" si="38"/>
        <v>34.93633226346607</v>
      </c>
      <c r="AA218" s="2"/>
      <c r="AB218" s="68"/>
      <c r="AC218" s="15">
        <f t="shared" si="39"/>
        <v>295.61681811525034</v>
      </c>
    </row>
    <row r="219" spans="1:29">
      <c r="A219" s="84">
        <f>'Q.1 &amp; 4'!K224</f>
        <v>2.2000000000000002</v>
      </c>
      <c r="B219" s="141">
        <f>'Q.1 &amp; 4'!L224</f>
        <v>51.9</v>
      </c>
      <c r="C219" s="221"/>
      <c r="D219" s="23"/>
      <c r="E219" s="24"/>
      <c r="F219" s="22">
        <f t="shared" si="34"/>
        <v>-1.3074074074074113</v>
      </c>
      <c r="G219" s="22">
        <f t="shared" si="35"/>
        <v>17.193510930442635</v>
      </c>
      <c r="H219" s="22">
        <f t="shared" si="40"/>
        <v>-22.478923549800992</v>
      </c>
      <c r="I219" s="22">
        <f t="shared" si="41"/>
        <v>1.7093141289437688</v>
      </c>
      <c r="J219" s="24"/>
      <c r="K219" s="24"/>
      <c r="L219" s="235">
        <f t="shared" si="36"/>
        <v>40.617185497514569</v>
      </c>
      <c r="M219" s="126"/>
      <c r="N219" s="126"/>
      <c r="O219" s="126"/>
      <c r="P219" s="10">
        <f t="shared" si="37"/>
        <v>11.282814502485429</v>
      </c>
      <c r="Q219" s="10">
        <f t="shared" si="42"/>
        <v>127.30190309749553</v>
      </c>
      <c r="W219" s="240">
        <f t="shared" si="43"/>
        <v>11.282814502485429</v>
      </c>
      <c r="X219" s="240">
        <f t="shared" si="44"/>
        <v>0.21739526979740711</v>
      </c>
      <c r="Y219"/>
      <c r="Z219" s="13">
        <f t="shared" si="38"/>
        <v>34.93633226346607</v>
      </c>
      <c r="AA219" s="2"/>
      <c r="AB219" s="68"/>
      <c r="AC219" s="15">
        <f t="shared" si="39"/>
        <v>295.61681811525034</v>
      </c>
    </row>
    <row r="220" spans="1:29">
      <c r="A220" s="84">
        <f>'Q.1 &amp; 4'!K225</f>
        <v>4.5999999999999996</v>
      </c>
      <c r="B220" s="141">
        <f>'Q.1 &amp; 4'!L225</f>
        <v>29.14</v>
      </c>
      <c r="C220" s="221"/>
      <c r="D220" s="23"/>
      <c r="E220" s="24"/>
      <c r="F220" s="22">
        <f t="shared" si="34"/>
        <v>1.0925925925925881</v>
      </c>
      <c r="G220" s="22">
        <f t="shared" si="35"/>
        <v>-5.5664890695573632</v>
      </c>
      <c r="H220" s="22">
        <f t="shared" si="40"/>
        <v>-6.0819047241459829</v>
      </c>
      <c r="I220" s="22">
        <f t="shared" si="41"/>
        <v>1.1937585733881932</v>
      </c>
      <c r="J220" s="24"/>
      <c r="K220" s="24"/>
      <c r="L220" s="235">
        <f t="shared" si="36"/>
        <v>29.766955227496847</v>
      </c>
      <c r="M220" s="126"/>
      <c r="N220" s="126"/>
      <c r="O220" s="126"/>
      <c r="P220" s="10">
        <f t="shared" si="37"/>
        <v>-0.62695522749684685</v>
      </c>
      <c r="Q220" s="10">
        <f t="shared" si="42"/>
        <v>0.39307285728562297</v>
      </c>
      <c r="W220" s="240">
        <f t="shared" si="43"/>
        <v>0.62695522749684685</v>
      </c>
      <c r="X220" s="240">
        <f t="shared" si="44"/>
        <v>2.1515278912040043E-2</v>
      </c>
      <c r="Y220"/>
      <c r="Z220" s="13">
        <f t="shared" si="38"/>
        <v>24.398994576861128</v>
      </c>
      <c r="AA220" s="2"/>
      <c r="AB220" s="68"/>
      <c r="AC220" s="15">
        <f t="shared" si="39"/>
        <v>30.985800561501598</v>
      </c>
    </row>
    <row r="221" spans="1:29">
      <c r="A221" s="84">
        <f>'Q.1 &amp; 4'!K226</f>
        <v>4.5999999999999996</v>
      </c>
      <c r="B221" s="141">
        <f>'Q.1 &amp; 4'!L226</f>
        <v>31.61</v>
      </c>
      <c r="C221" s="221"/>
      <c r="D221" s="23"/>
      <c r="E221" s="24"/>
      <c r="F221" s="22">
        <f t="shared" si="34"/>
        <v>1.0925925925925881</v>
      </c>
      <c r="G221" s="22">
        <f t="shared" si="35"/>
        <v>-3.0964890695573644</v>
      </c>
      <c r="H221" s="22">
        <f t="shared" si="40"/>
        <v>-3.3832010204422915</v>
      </c>
      <c r="I221" s="22">
        <f t="shared" si="41"/>
        <v>1.1937585733881932</v>
      </c>
      <c r="J221" s="24"/>
      <c r="K221" s="24"/>
      <c r="L221" s="235">
        <f t="shared" si="36"/>
        <v>29.766955227496847</v>
      </c>
      <c r="M221" s="126"/>
      <c r="N221" s="126"/>
      <c r="O221" s="126"/>
      <c r="P221" s="10">
        <f t="shared" si="37"/>
        <v>1.843044772503152</v>
      </c>
      <c r="Q221" s="10">
        <f t="shared" si="42"/>
        <v>3.3968140334511956</v>
      </c>
      <c r="W221" s="240">
        <f t="shared" si="43"/>
        <v>1.843044772503152</v>
      </c>
      <c r="X221" s="240">
        <f t="shared" si="44"/>
        <v>5.8305750474633093E-2</v>
      </c>
      <c r="Y221"/>
      <c r="Z221" s="13">
        <f t="shared" si="38"/>
        <v>24.398994576861128</v>
      </c>
      <c r="AA221" s="2"/>
      <c r="AB221" s="68"/>
      <c r="AC221" s="15">
        <f t="shared" si="39"/>
        <v>9.5882445578882329</v>
      </c>
    </row>
    <row r="222" spans="1:29">
      <c r="A222" s="84">
        <f>'Q.1 &amp; 4'!K227</f>
        <v>2</v>
      </c>
      <c r="B222" s="141">
        <f>'Q.1 &amp; 4'!L227</f>
        <v>41.2</v>
      </c>
      <c r="C222" s="221"/>
      <c r="D222" s="23"/>
      <c r="E222" s="24"/>
      <c r="F222" s="22">
        <f t="shared" si="34"/>
        <v>-1.5074074074074115</v>
      </c>
      <c r="G222" s="22">
        <f t="shared" si="35"/>
        <v>6.4935109304426391</v>
      </c>
      <c r="H222" s="22">
        <f t="shared" si="40"/>
        <v>-9.7883664766302267</v>
      </c>
      <c r="I222" s="22">
        <f t="shared" si="41"/>
        <v>2.2722770919067341</v>
      </c>
      <c r="J222" s="24"/>
      <c r="K222" s="24"/>
      <c r="L222" s="235">
        <f t="shared" si="36"/>
        <v>41.52137135334938</v>
      </c>
      <c r="M222" s="126"/>
      <c r="N222" s="126"/>
      <c r="O222" s="126"/>
      <c r="P222" s="10">
        <f t="shared" si="37"/>
        <v>-0.32137135334937739</v>
      </c>
      <c r="Q222" s="10">
        <f t="shared" si="42"/>
        <v>0.10327954675361038</v>
      </c>
      <c r="W222" s="240">
        <f t="shared" si="43"/>
        <v>0.32137135334937739</v>
      </c>
      <c r="X222" s="240">
        <f t="shared" si="44"/>
        <v>7.8002755667324602E-3</v>
      </c>
      <c r="Y222"/>
      <c r="Z222" s="13">
        <f t="shared" si="38"/>
        <v>46.44262054194229</v>
      </c>
      <c r="AA222" s="2"/>
      <c r="AB222" s="68"/>
      <c r="AC222" s="15">
        <f t="shared" si="39"/>
        <v>42.165684203778028</v>
      </c>
    </row>
    <row r="223" spans="1:29">
      <c r="A223" s="84">
        <f>'Q.1 &amp; 4'!K228</f>
        <v>2</v>
      </c>
      <c r="B223" s="141">
        <f>'Q.1 &amp; 4'!L228</f>
        <v>37.5</v>
      </c>
      <c r="C223" s="221"/>
      <c r="D223" s="23"/>
      <c r="E223" s="24"/>
      <c r="F223" s="22">
        <f t="shared" si="34"/>
        <v>-1.5074074074074115</v>
      </c>
      <c r="G223" s="22">
        <f t="shared" si="35"/>
        <v>2.7935109304426362</v>
      </c>
      <c r="H223" s="22">
        <f t="shared" si="40"/>
        <v>-4.2109590692227998</v>
      </c>
      <c r="I223" s="22">
        <f t="shared" si="41"/>
        <v>2.2722770919067341</v>
      </c>
      <c r="J223" s="24"/>
      <c r="K223" s="24"/>
      <c r="L223" s="235">
        <f t="shared" si="36"/>
        <v>41.52137135334938</v>
      </c>
      <c r="M223" s="126"/>
      <c r="N223" s="126"/>
      <c r="O223" s="126"/>
      <c r="P223" s="10">
        <f t="shared" si="37"/>
        <v>-4.0213713533493802</v>
      </c>
      <c r="Q223" s="10">
        <f t="shared" si="42"/>
        <v>16.171427561539026</v>
      </c>
      <c r="W223" s="240">
        <f t="shared" si="43"/>
        <v>4.0213713533493802</v>
      </c>
      <c r="X223" s="240">
        <f t="shared" si="44"/>
        <v>0.10723656942265014</v>
      </c>
      <c r="Y223"/>
      <c r="Z223" s="13">
        <f t="shared" si="38"/>
        <v>46.44262054194229</v>
      </c>
      <c r="AA223" s="2"/>
      <c r="AB223" s="68"/>
      <c r="AC223" s="15">
        <f t="shared" si="39"/>
        <v>7.8037033185024827</v>
      </c>
    </row>
    <row r="224" spans="1:29">
      <c r="A224" s="84">
        <f>'Q.1 &amp; 4'!K229</f>
        <v>1.6</v>
      </c>
      <c r="B224" s="141">
        <f>'Q.1 &amp; 4'!L229</f>
        <v>48.9</v>
      </c>
      <c r="C224" s="221"/>
      <c r="D224" s="23"/>
      <c r="E224" s="24"/>
      <c r="F224" s="22">
        <f t="shared" si="34"/>
        <v>-1.9074074074074114</v>
      </c>
      <c r="G224" s="22">
        <f t="shared" si="35"/>
        <v>14.193510930442635</v>
      </c>
      <c r="H224" s="22">
        <f t="shared" si="40"/>
        <v>-27.072807885844341</v>
      </c>
      <c r="I224" s="22">
        <f t="shared" si="41"/>
        <v>3.6382030178326628</v>
      </c>
      <c r="J224" s="24"/>
      <c r="K224" s="24"/>
      <c r="L224" s="235">
        <f t="shared" si="36"/>
        <v>43.329743065019002</v>
      </c>
      <c r="M224" s="126"/>
      <c r="N224" s="126"/>
      <c r="O224" s="126"/>
      <c r="P224" s="10">
        <f t="shared" si="37"/>
        <v>5.5702569349809963</v>
      </c>
      <c r="Q224" s="10">
        <f t="shared" si="42"/>
        <v>31.027762321703882</v>
      </c>
      <c r="W224" s="240">
        <f t="shared" si="43"/>
        <v>5.5702569349809963</v>
      </c>
      <c r="X224" s="240">
        <f t="shared" si="44"/>
        <v>0.11391118476443755</v>
      </c>
      <c r="Y224"/>
      <c r="Z224" s="13">
        <f t="shared" si="38"/>
        <v>74.360509470245105</v>
      </c>
      <c r="AA224" s="2"/>
      <c r="AB224" s="68"/>
      <c r="AC224" s="15">
        <f t="shared" si="39"/>
        <v>201.45575253259454</v>
      </c>
    </row>
    <row r="225" spans="1:29">
      <c r="A225" s="84">
        <f>'Q.1 &amp; 4'!K230</f>
        <v>1.6</v>
      </c>
      <c r="B225" s="141">
        <f>'Q.1 &amp; 4'!L230</f>
        <v>42.1</v>
      </c>
      <c r="C225" s="221"/>
      <c r="D225" s="23"/>
      <c r="E225" s="24"/>
      <c r="F225" s="22">
        <f t="shared" si="34"/>
        <v>-1.9074074074074114</v>
      </c>
      <c r="G225" s="22">
        <f t="shared" si="35"/>
        <v>7.3935109304426376</v>
      </c>
      <c r="H225" s="22">
        <f t="shared" si="40"/>
        <v>-14.10243751547395</v>
      </c>
      <c r="I225" s="22">
        <f t="shared" si="41"/>
        <v>3.6382030178326628</v>
      </c>
      <c r="J225" s="24"/>
      <c r="K225" s="24"/>
      <c r="L225" s="235">
        <f t="shared" si="36"/>
        <v>43.329743065019002</v>
      </c>
      <c r="M225" s="126"/>
      <c r="N225" s="126"/>
      <c r="O225" s="126"/>
      <c r="P225" s="10">
        <f t="shared" si="37"/>
        <v>-1.2297430650190009</v>
      </c>
      <c r="Q225" s="10">
        <f t="shared" si="42"/>
        <v>1.5122680059623266</v>
      </c>
      <c r="W225" s="240">
        <f t="shared" si="43"/>
        <v>1.2297430650190009</v>
      </c>
      <c r="X225" s="240">
        <f t="shared" si="44"/>
        <v>2.9210049050332563E-2</v>
      </c>
      <c r="Y225"/>
      <c r="Z225" s="13">
        <f t="shared" si="38"/>
        <v>74.360509470245105</v>
      </c>
      <c r="AA225" s="2"/>
      <c r="AB225" s="68"/>
      <c r="AC225" s="15">
        <f t="shared" si="39"/>
        <v>54.664003878574761</v>
      </c>
    </row>
    <row r="226" spans="1:29">
      <c r="A226" s="84">
        <f>'Q.1 &amp; 4'!K231</f>
        <v>2.4</v>
      </c>
      <c r="B226" s="141">
        <f>'Q.1 &amp; 4'!L231</f>
        <v>40.200000000000003</v>
      </c>
      <c r="C226" s="221"/>
      <c r="D226" s="23"/>
      <c r="E226" s="24"/>
      <c r="F226" s="22">
        <f t="shared" si="34"/>
        <v>-1.1074074074074116</v>
      </c>
      <c r="G226" s="22">
        <f t="shared" si="35"/>
        <v>5.4935109304426391</v>
      </c>
      <c r="H226" s="22">
        <f t="shared" si="40"/>
        <v>-6.0835546970457601</v>
      </c>
      <c r="I226" s="22">
        <f t="shared" si="41"/>
        <v>1.2263511659808048</v>
      </c>
      <c r="J226" s="24"/>
      <c r="K226" s="24"/>
      <c r="L226" s="235">
        <f t="shared" si="36"/>
        <v>39.712999641679758</v>
      </c>
      <c r="M226" s="126"/>
      <c r="N226" s="126"/>
      <c r="O226" s="126"/>
      <c r="P226" s="10">
        <f t="shared" si="37"/>
        <v>0.48700035832024469</v>
      </c>
      <c r="Q226" s="10">
        <f t="shared" si="42"/>
        <v>0.23716934900404671</v>
      </c>
      <c r="W226" s="240">
        <f t="shared" si="43"/>
        <v>0.48700035832024469</v>
      </c>
      <c r="X226" s="240">
        <f t="shared" si="44"/>
        <v>1.2114436774135439E-2</v>
      </c>
      <c r="Y226"/>
      <c r="Z226" s="13">
        <f t="shared" si="38"/>
        <v>25.065148108773304</v>
      </c>
      <c r="AA226" s="2"/>
      <c r="AB226" s="68"/>
      <c r="AC226" s="15">
        <f t="shared" si="39"/>
        <v>30.17866234289275</v>
      </c>
    </row>
    <row r="227" spans="1:29">
      <c r="A227" s="84">
        <f>'Q.1 &amp; 4'!K232</f>
        <v>2.4</v>
      </c>
      <c r="B227" s="141">
        <f>'Q.1 &amp; 4'!L232</f>
        <v>38.200000000000003</v>
      </c>
      <c r="C227" s="221"/>
      <c r="D227" s="23"/>
      <c r="E227" s="24"/>
      <c r="F227" s="22">
        <f t="shared" si="34"/>
        <v>-1.1074074074074116</v>
      </c>
      <c r="G227" s="22">
        <f t="shared" si="35"/>
        <v>3.4935109304426391</v>
      </c>
      <c r="H227" s="22">
        <f t="shared" si="40"/>
        <v>-3.8687398822309373</v>
      </c>
      <c r="I227" s="22">
        <f t="shared" si="41"/>
        <v>1.2263511659808048</v>
      </c>
      <c r="J227" s="24"/>
      <c r="K227" s="24"/>
      <c r="L227" s="235">
        <f t="shared" si="36"/>
        <v>39.712999641679758</v>
      </c>
      <c r="M227" s="126"/>
      <c r="N227" s="126"/>
      <c r="O227" s="126"/>
      <c r="P227" s="10">
        <f t="shared" si="37"/>
        <v>-1.5129996416797553</v>
      </c>
      <c r="Q227" s="10">
        <f t="shared" si="42"/>
        <v>2.289167915723068</v>
      </c>
      <c r="W227" s="240">
        <f t="shared" si="43"/>
        <v>1.5129996416797553</v>
      </c>
      <c r="X227" s="240">
        <f t="shared" si="44"/>
        <v>3.9607320462820818E-2</v>
      </c>
      <c r="Y227"/>
      <c r="Z227" s="13">
        <f t="shared" si="38"/>
        <v>25.065148108773304</v>
      </c>
      <c r="AA227" s="2"/>
      <c r="AB227" s="68"/>
      <c r="AC227" s="15">
        <f t="shared" si="39"/>
        <v>12.204618621122194</v>
      </c>
    </row>
    <row r="228" spans="1:29">
      <c r="A228" s="84">
        <f>'Q.1 &amp; 4'!K233</f>
        <v>1.8</v>
      </c>
      <c r="B228" s="141">
        <f>'Q.1 &amp; 4'!L233</f>
        <v>47.2</v>
      </c>
      <c r="C228" s="221"/>
      <c r="D228" s="23"/>
      <c r="E228" s="24"/>
      <c r="F228" s="22">
        <f t="shared" si="34"/>
        <v>-1.7074074074074115</v>
      </c>
      <c r="G228" s="22">
        <f t="shared" si="35"/>
        <v>12.493510930442639</v>
      </c>
      <c r="H228" s="22">
        <f t="shared" si="40"/>
        <v>-21.331513107163225</v>
      </c>
      <c r="I228" s="22">
        <f t="shared" si="41"/>
        <v>2.9152400548696984</v>
      </c>
      <c r="J228" s="24"/>
      <c r="K228" s="24"/>
      <c r="L228" s="235">
        <f t="shared" si="36"/>
        <v>42.425557209184191</v>
      </c>
      <c r="M228" s="126"/>
      <c r="N228" s="126"/>
      <c r="O228" s="126"/>
      <c r="P228" s="10">
        <f t="shared" si="37"/>
        <v>4.7744427908158116</v>
      </c>
      <c r="Q228" s="10">
        <f t="shared" si="42"/>
        <v>22.795303962773076</v>
      </c>
      <c r="W228" s="240">
        <f t="shared" si="43"/>
        <v>4.7744427908158116</v>
      </c>
      <c r="X228" s="240">
        <f t="shared" si="44"/>
        <v>0.10115344895796211</v>
      </c>
      <c r="Y228"/>
      <c r="Z228" s="13">
        <f t="shared" si="38"/>
        <v>59.584012944201973</v>
      </c>
      <c r="AA228" s="2"/>
      <c r="AB228" s="68"/>
      <c r="AC228" s="15">
        <f t="shared" si="39"/>
        <v>156.0878153690897</v>
      </c>
    </row>
    <row r="229" spans="1:29">
      <c r="A229" s="84">
        <f>'Q.1 &amp; 4'!K234</f>
        <v>1.8</v>
      </c>
      <c r="B229" s="141">
        <f>'Q.1 &amp; 4'!L234</f>
        <v>46.9</v>
      </c>
      <c r="C229" s="221"/>
      <c r="D229" s="23"/>
      <c r="E229" s="24"/>
      <c r="F229" s="22">
        <f t="shared" si="34"/>
        <v>-1.7074074074074115</v>
      </c>
      <c r="G229" s="22">
        <f t="shared" si="35"/>
        <v>12.193510930442635</v>
      </c>
      <c r="H229" s="22">
        <f t="shared" si="40"/>
        <v>-20.819290884940994</v>
      </c>
      <c r="I229" s="22">
        <f t="shared" si="41"/>
        <v>2.9152400548696984</v>
      </c>
      <c r="J229" s="24"/>
      <c r="K229" s="24"/>
      <c r="L229" s="235">
        <f t="shared" si="36"/>
        <v>42.425557209184191</v>
      </c>
      <c r="M229" s="126"/>
      <c r="N229" s="126"/>
      <c r="O229" s="126"/>
      <c r="P229" s="10">
        <f t="shared" si="37"/>
        <v>4.4744427908158073</v>
      </c>
      <c r="Q229" s="10">
        <f t="shared" si="42"/>
        <v>20.02063828828355</v>
      </c>
      <c r="W229" s="240">
        <f t="shared" si="43"/>
        <v>4.4744427908158073</v>
      </c>
      <c r="X229" s="240">
        <f t="shared" si="44"/>
        <v>9.5403897458759226E-2</v>
      </c>
      <c r="Y229"/>
      <c r="Z229" s="13">
        <f t="shared" si="38"/>
        <v>59.584012944201973</v>
      </c>
      <c r="AA229" s="2"/>
      <c r="AB229" s="68"/>
      <c r="AC229" s="15">
        <f t="shared" si="39"/>
        <v>148.68170881082401</v>
      </c>
    </row>
    <row r="230" spans="1:29">
      <c r="A230" s="84">
        <f>'Q.1 &amp; 4'!K235</f>
        <v>1.5</v>
      </c>
      <c r="B230" s="141">
        <f>'Q.1 &amp; 4'!L235</f>
        <v>48.862200000000001</v>
      </c>
      <c r="C230" s="221"/>
      <c r="D230" s="23"/>
      <c r="E230" s="24"/>
      <c r="F230" s="22">
        <f t="shared" si="34"/>
        <v>-2.0074074074074115</v>
      </c>
      <c r="G230" s="22">
        <f t="shared" si="35"/>
        <v>14.155710930442638</v>
      </c>
      <c r="H230" s="22">
        <f t="shared" si="40"/>
        <v>-28.416278978888613</v>
      </c>
      <c r="I230" s="22">
        <f t="shared" si="41"/>
        <v>4.0296844993141452</v>
      </c>
      <c r="J230" s="24"/>
      <c r="K230" s="24"/>
      <c r="L230" s="235">
        <f t="shared" si="36"/>
        <v>43.781835992936408</v>
      </c>
      <c r="M230" s="126"/>
      <c r="N230" s="126"/>
      <c r="O230" s="126"/>
      <c r="P230" s="10">
        <f t="shared" si="37"/>
        <v>5.0803640070635936</v>
      </c>
      <c r="Q230" s="10">
        <f t="shared" si="42"/>
        <v>25.810098444267254</v>
      </c>
      <c r="W230" s="240">
        <f t="shared" si="43"/>
        <v>5.0803640070635936</v>
      </c>
      <c r="X230" s="240">
        <f t="shared" si="44"/>
        <v>0.10397329647587693</v>
      </c>
      <c r="Y230"/>
      <c r="Z230" s="13">
        <f t="shared" si="38"/>
        <v>82.361921779685474</v>
      </c>
      <c r="AA230" s="2"/>
      <c r="AB230" s="68"/>
      <c r="AC230" s="15">
        <f t="shared" si="39"/>
        <v>200.38415194625316</v>
      </c>
    </row>
    <row r="231" spans="1:29">
      <c r="A231" s="84">
        <f>'Q.1 &amp; 4'!K236</f>
        <v>1.5</v>
      </c>
      <c r="B231" s="141">
        <f>'Q.1 &amp; 4'!L236</f>
        <v>50.672499999999999</v>
      </c>
      <c r="C231" s="221"/>
      <c r="D231" s="23"/>
      <c r="E231" s="24"/>
      <c r="F231" s="22">
        <f t="shared" si="34"/>
        <v>-2.0074074074074115</v>
      </c>
      <c r="G231" s="22">
        <f t="shared" si="35"/>
        <v>15.966010930442636</v>
      </c>
      <c r="H231" s="22">
        <f t="shared" si="40"/>
        <v>-32.050288608518244</v>
      </c>
      <c r="I231" s="22">
        <f t="shared" si="41"/>
        <v>4.0296844993141452</v>
      </c>
      <c r="J231" s="24"/>
      <c r="K231" s="24"/>
      <c r="L231" s="235">
        <f t="shared" si="36"/>
        <v>43.781835992936408</v>
      </c>
      <c r="M231" s="126"/>
      <c r="N231" s="126"/>
      <c r="O231" s="126"/>
      <c r="P231" s="10">
        <f t="shared" si="37"/>
        <v>6.8906640070635916</v>
      </c>
      <c r="Q231" s="10">
        <f t="shared" si="42"/>
        <v>47.481250458241675</v>
      </c>
      <c r="W231" s="240">
        <f t="shared" si="43"/>
        <v>6.8906640070635916</v>
      </c>
      <c r="X231" s="240">
        <f t="shared" si="44"/>
        <v>0.13598429142165064</v>
      </c>
      <c r="Y231"/>
      <c r="Z231" s="13">
        <f t="shared" si="38"/>
        <v>82.361921779685474</v>
      </c>
      <c r="AA231" s="2"/>
      <c r="AB231" s="68"/>
      <c r="AC231" s="15">
        <f t="shared" si="39"/>
        <v>254.91350503101373</v>
      </c>
    </row>
    <row r="232" spans="1:29">
      <c r="A232" s="84">
        <f>'Q.1 &amp; 4'!K237</f>
        <v>2</v>
      </c>
      <c r="B232" s="141">
        <f>'Q.1 &amp; 4'!L237</f>
        <v>41.521000000000001</v>
      </c>
      <c r="C232" s="221"/>
      <c r="D232" s="23"/>
      <c r="E232" s="24"/>
      <c r="F232" s="22">
        <f t="shared" si="34"/>
        <v>-1.5074074074074115</v>
      </c>
      <c r="G232" s="22">
        <f t="shared" si="35"/>
        <v>6.814510930442637</v>
      </c>
      <c r="H232" s="22">
        <f t="shared" si="40"/>
        <v>-10.272244254408003</v>
      </c>
      <c r="I232" s="22">
        <f t="shared" si="41"/>
        <v>2.2722770919067341</v>
      </c>
      <c r="J232" s="24"/>
      <c r="K232" s="24"/>
      <c r="L232" s="235">
        <f t="shared" si="36"/>
        <v>41.52137135334938</v>
      </c>
      <c r="M232" s="126"/>
      <c r="N232" s="126"/>
      <c r="O232" s="126"/>
      <c r="P232" s="10">
        <f t="shared" si="37"/>
        <v>-3.7135334937943298E-4</v>
      </c>
      <c r="Q232" s="10">
        <f t="shared" si="42"/>
        <v>1.3790331009532321E-7</v>
      </c>
      <c r="W232" s="240">
        <f t="shared" si="43"/>
        <v>3.7135334937943298E-4</v>
      </c>
      <c r="X232" s="240">
        <f t="shared" si="44"/>
        <v>8.9437477271605454E-6</v>
      </c>
      <c r="Y232"/>
      <c r="Z232" s="13">
        <f t="shared" si="38"/>
        <v>46.44262054194229</v>
      </c>
      <c r="AA232" s="2"/>
      <c r="AB232" s="68"/>
      <c r="AC232" s="15">
        <f t="shared" si="39"/>
        <v>46.437559221122171</v>
      </c>
    </row>
    <row r="233" spans="1:29">
      <c r="A233" s="84">
        <f>'Q.1 &amp; 4'!K238</f>
        <v>2</v>
      </c>
      <c r="B233" s="141">
        <f>'Q.1 &amp; 4'!L238</f>
        <v>41.315600000000003</v>
      </c>
      <c r="C233" s="221"/>
      <c r="D233" s="23"/>
      <c r="E233" s="24"/>
      <c r="F233" s="22">
        <f t="shared" si="34"/>
        <v>-1.5074074074074115</v>
      </c>
      <c r="G233" s="22">
        <f t="shared" si="35"/>
        <v>6.6091109304426396</v>
      </c>
      <c r="H233" s="22">
        <f t="shared" si="40"/>
        <v>-9.9626227729265242</v>
      </c>
      <c r="I233" s="22">
        <f t="shared" si="41"/>
        <v>2.2722770919067341</v>
      </c>
      <c r="J233" s="24"/>
      <c r="K233" s="24"/>
      <c r="L233" s="235">
        <f t="shared" si="36"/>
        <v>41.52137135334938</v>
      </c>
      <c r="M233" s="126"/>
      <c r="N233" s="126"/>
      <c r="O233" s="126"/>
      <c r="P233" s="10">
        <f t="shared" si="37"/>
        <v>-0.2057713533493768</v>
      </c>
      <c r="Q233" s="10">
        <f t="shared" si="42"/>
        <v>4.2341849859234081E-2</v>
      </c>
      <c r="W233" s="240">
        <f t="shared" si="43"/>
        <v>0.2057713533493768</v>
      </c>
      <c r="X233" s="240">
        <f t="shared" si="44"/>
        <v>4.9804759787919518E-3</v>
      </c>
      <c r="Y233"/>
      <c r="Z233" s="13">
        <f t="shared" si="38"/>
        <v>46.44262054194229</v>
      </c>
      <c r="AA233" s="2"/>
      <c r="AB233" s="68"/>
      <c r="AC233" s="15">
        <f t="shared" si="39"/>
        <v>43.680347290896371</v>
      </c>
    </row>
    <row r="234" spans="1:29">
      <c r="A234" s="84">
        <f>'Q.1 &amp; 4'!K239</f>
        <v>2.5</v>
      </c>
      <c r="B234" s="141">
        <f>'Q.1 &amp; 4'!L239</f>
        <v>40.799999999999997</v>
      </c>
      <c r="C234" s="221"/>
      <c r="D234" s="23"/>
      <c r="E234" s="24"/>
      <c r="F234" s="22">
        <f t="shared" si="34"/>
        <v>-1.0074074074074115</v>
      </c>
      <c r="G234" s="22">
        <f t="shared" si="35"/>
        <v>6.0935109304426334</v>
      </c>
      <c r="H234" s="22">
        <f t="shared" si="40"/>
        <v>-6.1386480484459369</v>
      </c>
      <c r="I234" s="22">
        <f t="shared" si="41"/>
        <v>1.0148696844993224</v>
      </c>
      <c r="J234" s="24"/>
      <c r="K234" s="24"/>
      <c r="L234" s="235">
        <f t="shared" si="36"/>
        <v>39.260906713762353</v>
      </c>
      <c r="M234" s="126"/>
      <c r="N234" s="126"/>
      <c r="O234" s="126"/>
      <c r="P234" s="10">
        <f t="shared" si="37"/>
        <v>1.5390932862376445</v>
      </c>
      <c r="Q234" s="10">
        <f t="shared" si="42"/>
        <v>2.3688081437417918</v>
      </c>
      <c r="W234" s="240">
        <f t="shared" si="43"/>
        <v>1.5390932862376445</v>
      </c>
      <c r="X234" s="240">
        <f t="shared" si="44"/>
        <v>3.7722874662687367E-2</v>
      </c>
      <c r="Y234"/>
      <c r="Z234" s="13">
        <f t="shared" si="38"/>
        <v>20.742720077845721</v>
      </c>
      <c r="AA234" s="2"/>
      <c r="AB234" s="68"/>
      <c r="AC234" s="15">
        <f t="shared" si="39"/>
        <v>37.130875459423848</v>
      </c>
    </row>
    <row r="235" spans="1:29">
      <c r="A235" s="84">
        <f>'Q.1 &amp; 4'!K240</f>
        <v>2.5</v>
      </c>
      <c r="B235" s="141">
        <f>'Q.1 &amp; 4'!L240</f>
        <v>39.375300000000003</v>
      </c>
      <c r="C235" s="221"/>
      <c r="D235" s="23"/>
      <c r="E235" s="24"/>
      <c r="F235" s="22">
        <f t="shared" si="34"/>
        <v>-1.0074074074074115</v>
      </c>
      <c r="G235" s="22">
        <f t="shared" si="35"/>
        <v>4.6688109304426391</v>
      </c>
      <c r="H235" s="22">
        <f t="shared" si="40"/>
        <v>-4.7033947151126041</v>
      </c>
      <c r="I235" s="22">
        <f t="shared" si="41"/>
        <v>1.0148696844993224</v>
      </c>
      <c r="J235" s="24"/>
      <c r="K235" s="24"/>
      <c r="L235" s="235">
        <f t="shared" si="36"/>
        <v>39.260906713762353</v>
      </c>
      <c r="M235" s="126"/>
      <c r="N235" s="126"/>
      <c r="O235" s="126"/>
      <c r="P235" s="10">
        <f t="shared" si="37"/>
        <v>0.11439328623765022</v>
      </c>
      <c r="Q235" s="10">
        <f t="shared" si="42"/>
        <v>1.3085823936248974E-2</v>
      </c>
      <c r="W235" s="240">
        <f t="shared" si="43"/>
        <v>0.11439328623765022</v>
      </c>
      <c r="X235" s="240">
        <f t="shared" si="44"/>
        <v>2.9052041822576645E-3</v>
      </c>
      <c r="Y235"/>
      <c r="Z235" s="13">
        <f t="shared" si="38"/>
        <v>20.742720077845721</v>
      </c>
      <c r="AA235" s="2"/>
      <c r="AB235" s="68"/>
      <c r="AC235" s="15">
        <f t="shared" si="39"/>
        <v>21.797795504220662</v>
      </c>
    </row>
    <row r="236" spans="1:29">
      <c r="A236" s="84">
        <f>'Q.1 &amp; 4'!K241</f>
        <v>2.5</v>
      </c>
      <c r="B236" s="141">
        <f>'Q.1 &amp; 4'!L241</f>
        <v>38.4</v>
      </c>
      <c r="C236" s="221"/>
      <c r="D236" s="23"/>
      <c r="E236" s="24"/>
      <c r="F236" s="22">
        <f t="shared" si="34"/>
        <v>-1.0074074074074115</v>
      </c>
      <c r="G236" s="22">
        <f t="shared" si="35"/>
        <v>3.6935109304426348</v>
      </c>
      <c r="H236" s="22">
        <f t="shared" si="40"/>
        <v>-3.7208702706681511</v>
      </c>
      <c r="I236" s="22">
        <f t="shared" si="41"/>
        <v>1.0148696844993224</v>
      </c>
      <c r="J236" s="24"/>
      <c r="K236" s="24"/>
      <c r="L236" s="235">
        <f t="shared" si="36"/>
        <v>39.260906713762353</v>
      </c>
      <c r="M236" s="126"/>
      <c r="N236" s="126"/>
      <c r="O236" s="126"/>
      <c r="P236" s="10">
        <f t="shared" si="37"/>
        <v>-0.86090671376235406</v>
      </c>
      <c r="Q236" s="10">
        <f t="shared" si="42"/>
        <v>0.74116036980109579</v>
      </c>
      <c r="W236" s="240">
        <f t="shared" si="43"/>
        <v>0.86090671376235406</v>
      </c>
      <c r="X236" s="240">
        <f t="shared" si="44"/>
        <v>2.2419445670894638E-2</v>
      </c>
      <c r="Y236"/>
      <c r="Z236" s="13">
        <f t="shared" si="38"/>
        <v>20.742720077845721</v>
      </c>
      <c r="AA236" s="2"/>
      <c r="AB236" s="68"/>
      <c r="AC236" s="15">
        <f t="shared" si="39"/>
        <v>13.642022993299218</v>
      </c>
    </row>
    <row r="237" spans="1:29">
      <c r="A237" s="84">
        <f>'Q.1 &amp; 4'!K242</f>
        <v>2.5</v>
      </c>
      <c r="B237" s="141">
        <f>'Q.1 &amp; 4'!L242</f>
        <v>38.6</v>
      </c>
      <c r="C237" s="221"/>
      <c r="D237" s="23"/>
      <c r="E237" s="24"/>
      <c r="F237" s="22">
        <f t="shared" si="34"/>
        <v>-1.0074074074074115</v>
      </c>
      <c r="G237" s="22">
        <f t="shared" si="35"/>
        <v>3.8935109304426376</v>
      </c>
      <c r="H237" s="22">
        <f t="shared" si="40"/>
        <v>-3.9223517521496363</v>
      </c>
      <c r="I237" s="22">
        <f t="shared" si="41"/>
        <v>1.0148696844993224</v>
      </c>
      <c r="J237" s="24"/>
      <c r="K237" s="24"/>
      <c r="L237" s="235">
        <f t="shared" si="36"/>
        <v>39.260906713762353</v>
      </c>
      <c r="M237" s="126"/>
      <c r="N237" s="126"/>
      <c r="O237" s="126"/>
      <c r="P237" s="10">
        <f t="shared" si="37"/>
        <v>-0.66090671376235122</v>
      </c>
      <c r="Q237" s="10">
        <f t="shared" si="42"/>
        <v>0.43679768429615046</v>
      </c>
      <c r="W237" s="240">
        <f t="shared" si="43"/>
        <v>0.66090671376235122</v>
      </c>
      <c r="X237" s="240">
        <f t="shared" si="44"/>
        <v>1.7121935589698219E-2</v>
      </c>
      <c r="Y237"/>
      <c r="Z237" s="13">
        <f t="shared" si="38"/>
        <v>20.742720077845721</v>
      </c>
      <c r="AA237" s="2"/>
      <c r="AB237" s="68"/>
      <c r="AC237" s="15">
        <f t="shared" si="39"/>
        <v>15.159427365476294</v>
      </c>
    </row>
    <row r="238" spans="1:29">
      <c r="A238" s="84">
        <f>'Q.1 &amp; 4'!K243</f>
        <v>2.4</v>
      </c>
      <c r="B238" s="141">
        <f>'Q.1 &amp; 4'!L243</f>
        <v>39.299999999999997</v>
      </c>
      <c r="C238" s="221"/>
      <c r="D238" s="23"/>
      <c r="E238" s="24"/>
      <c r="F238" s="22">
        <f t="shared" si="34"/>
        <v>-1.1074074074074116</v>
      </c>
      <c r="G238" s="22">
        <f t="shared" si="35"/>
        <v>4.5935109304426334</v>
      </c>
      <c r="H238" s="22">
        <f t="shared" si="40"/>
        <v>-5.0868880303790833</v>
      </c>
      <c r="I238" s="22">
        <f t="shared" si="41"/>
        <v>1.2263511659808048</v>
      </c>
      <c r="J238" s="24"/>
      <c r="K238" s="24"/>
      <c r="L238" s="235">
        <f t="shared" si="36"/>
        <v>39.712999641679758</v>
      </c>
      <c r="M238" s="126"/>
      <c r="N238" s="126"/>
      <c r="O238" s="126"/>
      <c r="P238" s="10">
        <f t="shared" si="37"/>
        <v>-0.412999641679761</v>
      </c>
      <c r="Q238" s="10">
        <f t="shared" si="42"/>
        <v>0.17056870402761098</v>
      </c>
      <c r="W238" s="240">
        <f t="shared" si="43"/>
        <v>0.412999641679761</v>
      </c>
      <c r="X238" s="240">
        <f t="shared" si="44"/>
        <v>1.050889673485397E-2</v>
      </c>
      <c r="Y238"/>
      <c r="Z238" s="13">
        <f t="shared" si="38"/>
        <v>25.065148108773304</v>
      </c>
      <c r="AA238" s="2"/>
      <c r="AB238" s="68"/>
      <c r="AC238" s="15">
        <f t="shared" si="39"/>
        <v>21.100342668095948</v>
      </c>
    </row>
    <row r="239" spans="1:29">
      <c r="A239" s="84">
        <f>'Q.1 &amp; 4'!K244</f>
        <v>2.4</v>
      </c>
      <c r="B239" s="141">
        <f>'Q.1 &amp; 4'!L244</f>
        <v>42.3</v>
      </c>
      <c r="C239" s="221"/>
      <c r="D239" s="23"/>
      <c r="E239" s="24"/>
      <c r="F239" s="22">
        <f t="shared" si="34"/>
        <v>-1.1074074074074116</v>
      </c>
      <c r="G239" s="22">
        <f t="shared" si="35"/>
        <v>7.5935109304426334</v>
      </c>
      <c r="H239" s="22">
        <f t="shared" si="40"/>
        <v>-8.4091102526013177</v>
      </c>
      <c r="I239" s="22">
        <f t="shared" si="41"/>
        <v>1.2263511659808048</v>
      </c>
      <c r="J239" s="24"/>
      <c r="K239" s="24"/>
      <c r="L239" s="235">
        <f t="shared" si="36"/>
        <v>39.712999641679758</v>
      </c>
      <c r="M239" s="126"/>
      <c r="N239" s="126"/>
      <c r="O239" s="126"/>
      <c r="P239" s="10">
        <f t="shared" si="37"/>
        <v>2.587000358320239</v>
      </c>
      <c r="Q239" s="10">
        <f t="shared" si="42"/>
        <v>6.6925708539490447</v>
      </c>
      <c r="W239" s="240">
        <f t="shared" si="43"/>
        <v>2.587000358320239</v>
      </c>
      <c r="X239" s="240">
        <f t="shared" si="44"/>
        <v>6.1158400905915823E-2</v>
      </c>
      <c r="Y239"/>
      <c r="Z239" s="13">
        <f t="shared" si="38"/>
        <v>25.065148108773304</v>
      </c>
      <c r="AA239" s="2"/>
      <c r="AB239" s="68"/>
      <c r="AC239" s="15">
        <f t="shared" si="39"/>
        <v>57.661408250751748</v>
      </c>
    </row>
    <row r="240" spans="1:29">
      <c r="A240" s="84">
        <f>'Q.1 &amp; 4'!K245</f>
        <v>3.5</v>
      </c>
      <c r="B240" s="141">
        <f>'Q.1 &amp; 4'!L245</f>
        <v>37.6</v>
      </c>
      <c r="C240" s="221"/>
      <c r="D240" s="23"/>
      <c r="E240" s="24"/>
      <c r="F240" s="22">
        <f t="shared" si="34"/>
        <v>-7.4074074074115259E-3</v>
      </c>
      <c r="G240" s="22">
        <f t="shared" si="35"/>
        <v>2.8935109304426376</v>
      </c>
      <c r="H240" s="22">
        <f t="shared" si="40"/>
        <v>-2.1433414299587009E-2</v>
      </c>
      <c r="I240" s="22">
        <f t="shared" si="41"/>
        <v>5.4869684499375142E-5</v>
      </c>
      <c r="J240" s="24"/>
      <c r="K240" s="24"/>
      <c r="L240" s="235">
        <f t="shared" si="36"/>
        <v>34.739977434588305</v>
      </c>
      <c r="M240" s="126"/>
      <c r="N240" s="126"/>
      <c r="O240" s="126"/>
      <c r="P240" s="10">
        <f t="shared" si="37"/>
        <v>2.8600225654116969</v>
      </c>
      <c r="Q240" s="10">
        <f t="shared" si="42"/>
        <v>8.1797290746641043</v>
      </c>
      <c r="W240" s="240">
        <f t="shared" si="43"/>
        <v>2.8600225654116969</v>
      </c>
      <c r="X240" s="240">
        <f t="shared" si="44"/>
        <v>7.606442993116215E-2</v>
      </c>
      <c r="Y240"/>
      <c r="Z240" s="13">
        <f t="shared" si="38"/>
        <v>1.1214705924455365E-3</v>
      </c>
      <c r="AA240" s="2"/>
      <c r="AB240" s="68"/>
      <c r="AC240" s="15">
        <f t="shared" si="39"/>
        <v>8.3724055045910184</v>
      </c>
    </row>
    <row r="241" spans="1:29">
      <c r="A241" s="84">
        <f>'Q.1 &amp; 4'!K246</f>
        <v>2</v>
      </c>
      <c r="B241" s="141">
        <f>'Q.1 &amp; 4'!L246</f>
        <v>42.774299999999997</v>
      </c>
      <c r="C241" s="221"/>
      <c r="D241" s="23"/>
      <c r="E241" s="24"/>
      <c r="F241" s="22">
        <f t="shared" si="34"/>
        <v>-1.5074074074074115</v>
      </c>
      <c r="G241" s="22">
        <f t="shared" si="35"/>
        <v>8.0678109304426329</v>
      </c>
      <c r="H241" s="22">
        <f t="shared" si="40"/>
        <v>-12.161477958111705</v>
      </c>
      <c r="I241" s="22">
        <f t="shared" si="41"/>
        <v>2.2722770919067341</v>
      </c>
      <c r="J241" s="24"/>
      <c r="K241" s="24"/>
      <c r="L241" s="235">
        <f t="shared" si="36"/>
        <v>41.52137135334938</v>
      </c>
      <c r="M241" s="126"/>
      <c r="N241" s="126"/>
      <c r="O241" s="126"/>
      <c r="P241" s="10">
        <f t="shared" si="37"/>
        <v>1.2529286466506164</v>
      </c>
      <c r="Q241" s="10">
        <f t="shared" si="42"/>
        <v>1.5698301935977452</v>
      </c>
      <c r="W241" s="240">
        <f t="shared" si="43"/>
        <v>1.2529286466506164</v>
      </c>
      <c r="X241" s="240">
        <f t="shared" si="44"/>
        <v>2.9291622461398936E-2</v>
      </c>
      <c r="Y241"/>
      <c r="Z241" s="13">
        <f t="shared" si="38"/>
        <v>46.44262054194229</v>
      </c>
      <c r="AA241" s="2"/>
      <c r="AB241" s="68"/>
      <c r="AC241" s="15">
        <f t="shared" si="39"/>
        <v>65.089573209369618</v>
      </c>
    </row>
    <row r="242" spans="1:29">
      <c r="A242" s="84">
        <f>'Q.1 &amp; 4'!K247</f>
        <v>2</v>
      </c>
      <c r="B242" s="141">
        <f>'Q.1 &amp; 4'!L247</f>
        <v>37.798900000000003</v>
      </c>
      <c r="C242" s="221"/>
      <c r="D242" s="23"/>
      <c r="E242" s="24"/>
      <c r="F242" s="22">
        <f t="shared" si="34"/>
        <v>-1.5074074074074115</v>
      </c>
      <c r="G242" s="22">
        <f t="shared" si="35"/>
        <v>3.0924109304426395</v>
      </c>
      <c r="H242" s="22">
        <f t="shared" si="40"/>
        <v>-4.66152314329688</v>
      </c>
      <c r="I242" s="22">
        <f t="shared" si="41"/>
        <v>2.2722770919067341</v>
      </c>
      <c r="J242" s="24"/>
      <c r="K242" s="24"/>
      <c r="L242" s="235">
        <f t="shared" si="36"/>
        <v>41.52137135334938</v>
      </c>
      <c r="M242" s="126"/>
      <c r="N242" s="126"/>
      <c r="O242" s="126"/>
      <c r="P242" s="10">
        <f t="shared" si="37"/>
        <v>-3.722471353349377</v>
      </c>
      <c r="Q242" s="10">
        <f t="shared" si="42"/>
        <v>13.856792976506743</v>
      </c>
      <c r="W242" s="240">
        <f t="shared" si="43"/>
        <v>3.722471353349377</v>
      </c>
      <c r="X242" s="240">
        <f t="shared" si="44"/>
        <v>9.8480943978511981E-2</v>
      </c>
      <c r="Y242"/>
      <c r="Z242" s="13">
        <f t="shared" si="38"/>
        <v>46.44262054194229</v>
      </c>
      <c r="AA242" s="2"/>
      <c r="AB242" s="68"/>
      <c r="AC242" s="15">
        <f t="shared" si="39"/>
        <v>9.5630053627211105</v>
      </c>
    </row>
    <row r="243" spans="1:29">
      <c r="A243" s="84">
        <f>'Q.1 &amp; 4'!K248</f>
        <v>2</v>
      </c>
      <c r="B243" s="141">
        <f>'Q.1 &amp; 4'!L248</f>
        <v>42.575000000000003</v>
      </c>
      <c r="C243" s="221"/>
      <c r="D243" s="23"/>
      <c r="E243" s="24"/>
      <c r="F243" s="22">
        <f t="shared" si="34"/>
        <v>-1.5074074074074115</v>
      </c>
      <c r="G243" s="22">
        <f t="shared" si="35"/>
        <v>7.8685109304426391</v>
      </c>
      <c r="H243" s="22">
        <f t="shared" si="40"/>
        <v>-11.861051661815418</v>
      </c>
      <c r="I243" s="22">
        <f t="shared" si="41"/>
        <v>2.2722770919067341</v>
      </c>
      <c r="J243" s="24"/>
      <c r="K243" s="24"/>
      <c r="L243" s="235">
        <f t="shared" si="36"/>
        <v>41.52137135334938</v>
      </c>
      <c r="M243" s="126"/>
      <c r="N243" s="126"/>
      <c r="O243" s="126"/>
      <c r="P243" s="10">
        <f t="shared" si="37"/>
        <v>1.0536286466506226</v>
      </c>
      <c r="Q243" s="10">
        <f t="shared" si="42"/>
        <v>1.1101333250428225</v>
      </c>
      <c r="W243" s="240">
        <f t="shared" si="43"/>
        <v>1.0536286466506226</v>
      </c>
      <c r="X243" s="240">
        <f t="shared" si="44"/>
        <v>2.4747590056385733E-2</v>
      </c>
      <c r="Y243"/>
      <c r="Z243" s="13">
        <f t="shared" si="38"/>
        <v>46.44262054194229</v>
      </c>
      <c r="AA243" s="2"/>
      <c r="AB243" s="68"/>
      <c r="AC243" s="15">
        <f t="shared" si="39"/>
        <v>61.913464262495282</v>
      </c>
    </row>
    <row r="244" spans="1:29">
      <c r="A244" s="84">
        <f>'Q.1 &amp; 4'!K249</f>
        <v>3</v>
      </c>
      <c r="B244" s="141">
        <f>'Q.1 &amp; 4'!L249</f>
        <v>34.1</v>
      </c>
      <c r="C244" s="221"/>
      <c r="D244" s="23"/>
      <c r="E244" s="24"/>
      <c r="F244" s="22">
        <f t="shared" si="34"/>
        <v>-0.50740740740741153</v>
      </c>
      <c r="G244" s="22">
        <f t="shared" si="35"/>
        <v>-0.60648906955736237</v>
      </c>
      <c r="H244" s="22">
        <f t="shared" si="40"/>
        <v>0.30773704640503452</v>
      </c>
      <c r="I244" s="22">
        <f t="shared" si="41"/>
        <v>0.25746227709191088</v>
      </c>
      <c r="J244" s="24"/>
      <c r="K244" s="24"/>
      <c r="L244" s="235">
        <f t="shared" si="36"/>
        <v>37.000442074175325</v>
      </c>
      <c r="M244" s="126"/>
      <c r="N244" s="126"/>
      <c r="O244" s="126"/>
      <c r="P244" s="10">
        <f t="shared" si="37"/>
        <v>-2.9004420741753236</v>
      </c>
      <c r="Q244" s="10">
        <f t="shared" si="42"/>
        <v>8.4125642256464541</v>
      </c>
      <c r="W244" s="240">
        <f t="shared" si="43"/>
        <v>2.9004420741753236</v>
      </c>
      <c r="X244" s="240">
        <f t="shared" si="44"/>
        <v>8.5056952321856991E-2</v>
      </c>
      <c r="Y244"/>
      <c r="Z244" s="13">
        <f t="shared" si="38"/>
        <v>5.2622203873957725</v>
      </c>
      <c r="AA244" s="2"/>
      <c r="AB244" s="68"/>
      <c r="AC244" s="15">
        <f t="shared" si="39"/>
        <v>0.36782899149255516</v>
      </c>
    </row>
    <row r="245" spans="1:29">
      <c r="A245" s="84">
        <f>'Q.1 &amp; 4'!K250</f>
        <v>3</v>
      </c>
      <c r="B245" s="141">
        <f>'Q.1 &amp; 4'!L250</f>
        <v>35</v>
      </c>
      <c r="C245" s="221"/>
      <c r="D245" s="23"/>
      <c r="E245" s="24"/>
      <c r="F245" s="22">
        <f t="shared" si="34"/>
        <v>-0.50740740740741153</v>
      </c>
      <c r="G245" s="22">
        <f t="shared" si="35"/>
        <v>0.29351093044263621</v>
      </c>
      <c r="H245" s="22">
        <f t="shared" si="40"/>
        <v>-0.14892962026163514</v>
      </c>
      <c r="I245" s="22">
        <f t="shared" si="41"/>
        <v>0.25746227709191088</v>
      </c>
      <c r="J245" s="24"/>
      <c r="K245" s="24"/>
      <c r="L245" s="235">
        <f t="shared" si="36"/>
        <v>37.000442074175325</v>
      </c>
      <c r="M245" s="126"/>
      <c r="N245" s="126"/>
      <c r="O245" s="126"/>
      <c r="P245" s="10">
        <f t="shared" si="37"/>
        <v>-2.000442074175325</v>
      </c>
      <c r="Q245" s="10">
        <f t="shared" si="42"/>
        <v>4.0017684921308767</v>
      </c>
      <c r="W245" s="240">
        <f t="shared" si="43"/>
        <v>2.000442074175325</v>
      </c>
      <c r="X245" s="240">
        <f t="shared" si="44"/>
        <v>5.7155487833580716E-2</v>
      </c>
      <c r="Y245"/>
      <c r="Z245" s="13">
        <f t="shared" si="38"/>
        <v>5.2622203873957725</v>
      </c>
      <c r="AA245" s="2"/>
      <c r="AB245" s="68"/>
      <c r="AC245" s="15">
        <f t="shared" si="39"/>
        <v>8.6148666289302026E-2</v>
      </c>
    </row>
    <row r="246" spans="1:29">
      <c r="A246" s="84">
        <f>'Q.1 &amp; 4'!K251</f>
        <v>6.8</v>
      </c>
      <c r="B246" s="141">
        <f>'Q.1 &amp; 4'!L251</f>
        <v>21.006</v>
      </c>
      <c r="C246" s="221"/>
      <c r="D246" s="23"/>
      <c r="E246" s="24"/>
      <c r="F246" s="22">
        <f t="shared" si="34"/>
        <v>3.2925925925925883</v>
      </c>
      <c r="G246" s="22">
        <f t="shared" si="35"/>
        <v>-13.700489069557364</v>
      </c>
      <c r="H246" s="22">
        <f t="shared" si="40"/>
        <v>-45.110128825320295</v>
      </c>
      <c r="I246" s="22">
        <f t="shared" si="41"/>
        <v>10.841165980795582</v>
      </c>
      <c r="J246" s="24"/>
      <c r="K246" s="24"/>
      <c r="L246" s="235">
        <f t="shared" si="36"/>
        <v>19.820910813313933</v>
      </c>
      <c r="M246" s="126"/>
      <c r="N246" s="126"/>
      <c r="O246" s="126"/>
      <c r="P246" s="10">
        <f t="shared" si="37"/>
        <v>1.1850891866860671</v>
      </c>
      <c r="Q246" s="10">
        <f t="shared" si="42"/>
        <v>1.404436380400244</v>
      </c>
      <c r="W246" s="240">
        <f t="shared" si="43"/>
        <v>1.1850891866860671</v>
      </c>
      <c r="X246" s="240">
        <f t="shared" si="44"/>
        <v>5.6416699356663193E-2</v>
      </c>
      <c r="Y246"/>
      <c r="Z246" s="13">
        <f t="shared" si="38"/>
        <v>221.58044002274721</v>
      </c>
      <c r="AA246" s="2"/>
      <c r="AB246" s="68"/>
      <c r="AC246" s="15">
        <f t="shared" si="39"/>
        <v>187.7034007450608</v>
      </c>
    </row>
    <row r="247" spans="1:29">
      <c r="A247" s="84">
        <f>'Q.1 &amp; 4'!K252</f>
        <v>6.8</v>
      </c>
      <c r="B247" s="141">
        <f>'Q.1 &amp; 4'!L252</f>
        <v>21.006</v>
      </c>
      <c r="C247" s="221"/>
      <c r="D247" s="23"/>
      <c r="E247" s="24"/>
      <c r="F247" s="22">
        <f t="shared" si="34"/>
        <v>3.2925925925925883</v>
      </c>
      <c r="G247" s="22">
        <f t="shared" si="35"/>
        <v>-13.700489069557364</v>
      </c>
      <c r="H247" s="22">
        <f t="shared" si="40"/>
        <v>-45.110128825320295</v>
      </c>
      <c r="I247" s="22">
        <f t="shared" si="41"/>
        <v>10.841165980795582</v>
      </c>
      <c r="J247" s="24"/>
      <c r="K247" s="24"/>
      <c r="L247" s="235">
        <f t="shared" si="36"/>
        <v>19.820910813313933</v>
      </c>
      <c r="M247" s="126"/>
      <c r="N247" s="126"/>
      <c r="O247" s="126"/>
      <c r="P247" s="10">
        <f t="shared" si="37"/>
        <v>1.1850891866860671</v>
      </c>
      <c r="Q247" s="10">
        <f t="shared" si="42"/>
        <v>1.404436380400244</v>
      </c>
      <c r="W247" s="240">
        <f t="shared" si="43"/>
        <v>1.1850891866860671</v>
      </c>
      <c r="X247" s="240">
        <f t="shared" si="44"/>
        <v>5.6416699356663193E-2</v>
      </c>
      <c r="Y247"/>
      <c r="Z247" s="13">
        <f t="shared" si="38"/>
        <v>221.58044002274721</v>
      </c>
      <c r="AA247" s="2"/>
      <c r="AB247" s="68"/>
      <c r="AC247" s="15">
        <f t="shared" si="39"/>
        <v>187.7034007450608</v>
      </c>
    </row>
    <row r="248" spans="1:29">
      <c r="A248" s="84">
        <f>'Q.1 &amp; 4'!K253</f>
        <v>6</v>
      </c>
      <c r="B248" s="141">
        <f>'Q.1 &amp; 4'!L253</f>
        <v>23.8</v>
      </c>
      <c r="C248" s="221"/>
      <c r="D248" s="23"/>
      <c r="E248" s="24"/>
      <c r="F248" s="22">
        <f t="shared" si="34"/>
        <v>2.4925925925925885</v>
      </c>
      <c r="G248" s="22">
        <f t="shared" si="35"/>
        <v>-10.906489069557363</v>
      </c>
      <c r="H248" s="22">
        <f t="shared" si="40"/>
        <v>-27.185433865970715</v>
      </c>
      <c r="I248" s="22">
        <f t="shared" si="41"/>
        <v>6.2130178326474415</v>
      </c>
      <c r="J248" s="24"/>
      <c r="K248" s="24"/>
      <c r="L248" s="235">
        <f t="shared" si="36"/>
        <v>23.437654236653174</v>
      </c>
      <c r="M248" s="126"/>
      <c r="N248" s="126"/>
      <c r="O248" s="126"/>
      <c r="P248" s="10">
        <f t="shared" si="37"/>
        <v>0.362345763346827</v>
      </c>
      <c r="Q248" s="10">
        <f t="shared" si="42"/>
        <v>0.13129445221539476</v>
      </c>
      <c r="W248" s="240">
        <f t="shared" si="43"/>
        <v>0.362345763346827</v>
      </c>
      <c r="X248" s="240">
        <f t="shared" si="44"/>
        <v>1.5224611905328865E-2</v>
      </c>
      <c r="Y248"/>
      <c r="Z248" s="13">
        <f t="shared" si="38"/>
        <v>126.9866384912748</v>
      </c>
      <c r="AA248" s="2"/>
      <c r="AB248" s="68"/>
      <c r="AC248" s="15">
        <f t="shared" si="39"/>
        <v>118.95150382437424</v>
      </c>
    </row>
    <row r="249" spans="1:29">
      <c r="A249" s="84">
        <f>'Q.1 &amp; 4'!K254</f>
        <v>3</v>
      </c>
      <c r="B249" s="141">
        <f>'Q.1 &amp; 4'!L254</f>
        <v>39.710299999999997</v>
      </c>
      <c r="C249" s="221"/>
      <c r="D249" s="23"/>
      <c r="E249" s="24"/>
      <c r="F249" s="22">
        <f t="shared" si="34"/>
        <v>-0.50740740740741153</v>
      </c>
      <c r="G249" s="22">
        <f t="shared" si="35"/>
        <v>5.0038109304426328</v>
      </c>
      <c r="H249" s="22">
        <f t="shared" si="40"/>
        <v>-2.5389707313727641</v>
      </c>
      <c r="I249" s="22">
        <f t="shared" si="41"/>
        <v>0.25746227709191088</v>
      </c>
      <c r="J249" s="24"/>
      <c r="K249" s="24"/>
      <c r="L249" s="235">
        <f t="shared" si="36"/>
        <v>37.000442074175325</v>
      </c>
      <c r="M249" s="126"/>
      <c r="N249" s="126"/>
      <c r="O249" s="126"/>
      <c r="P249" s="10">
        <f t="shared" si="37"/>
        <v>2.7098579258246716</v>
      </c>
      <c r="Q249" s="10">
        <f t="shared" si="42"/>
        <v>7.3433299781547907</v>
      </c>
      <c r="W249" s="240">
        <f t="shared" si="43"/>
        <v>2.7098579258246716</v>
      </c>
      <c r="X249" s="240">
        <f t="shared" si="44"/>
        <v>6.8240681279785637E-2</v>
      </c>
      <c r="Y249"/>
      <c r="Z249" s="13">
        <f t="shared" si="38"/>
        <v>5.2622203873957725</v>
      </c>
      <c r="AA249" s="2"/>
      <c r="AB249" s="68"/>
      <c r="AC249" s="15">
        <f t="shared" si="39"/>
        <v>25.038123827617166</v>
      </c>
    </row>
    <row r="250" spans="1:29">
      <c r="A250" s="84">
        <f>'Q.1 &amp; 4'!K255</f>
        <v>3</v>
      </c>
      <c r="B250" s="141">
        <f>'Q.1 &amp; 4'!L255</f>
        <v>38.7896</v>
      </c>
      <c r="C250" s="221"/>
      <c r="D250" s="23"/>
      <c r="E250" s="24"/>
      <c r="F250" s="22">
        <f t="shared" si="34"/>
        <v>-0.50740740740741153</v>
      </c>
      <c r="G250" s="22">
        <f t="shared" si="35"/>
        <v>4.0831109304426363</v>
      </c>
      <c r="H250" s="22">
        <f t="shared" si="40"/>
        <v>-2.071800731372762</v>
      </c>
      <c r="I250" s="22">
        <f t="shared" si="41"/>
        <v>0.25746227709191088</v>
      </c>
      <c r="J250" s="24"/>
      <c r="K250" s="24"/>
      <c r="L250" s="235">
        <f t="shared" si="36"/>
        <v>37.000442074175325</v>
      </c>
      <c r="M250" s="126"/>
      <c r="N250" s="126"/>
      <c r="O250" s="126"/>
      <c r="P250" s="10">
        <f t="shared" si="37"/>
        <v>1.789157925824675</v>
      </c>
      <c r="Q250" s="10">
        <f t="shared" si="42"/>
        <v>3.2010860835412536</v>
      </c>
      <c r="W250" s="240">
        <f t="shared" si="43"/>
        <v>1.789157925824675</v>
      </c>
      <c r="X250" s="240">
        <f t="shared" si="44"/>
        <v>4.6124680992448361E-2</v>
      </c>
      <c r="Y250"/>
      <c r="Z250" s="13">
        <f t="shared" si="38"/>
        <v>5.2622203873957725</v>
      </c>
      <c r="AA250" s="2"/>
      <c r="AB250" s="68"/>
      <c r="AC250" s="15">
        <f t="shared" si="39"/>
        <v>16.671794870300133</v>
      </c>
    </row>
    <row r="251" spans="1:29">
      <c r="A251" s="84">
        <f>'Q.1 &amp; 4'!K256</f>
        <v>3</v>
      </c>
      <c r="B251" s="141">
        <f>'Q.1 &amp; 4'!L256</f>
        <v>35.540399999999998</v>
      </c>
      <c r="C251" s="221"/>
      <c r="D251" s="23"/>
      <c r="E251" s="24"/>
      <c r="F251" s="22">
        <f t="shared" si="34"/>
        <v>-0.50740740740741153</v>
      </c>
      <c r="G251" s="22">
        <f t="shared" si="35"/>
        <v>0.83391093044263442</v>
      </c>
      <c r="H251" s="22">
        <f t="shared" si="40"/>
        <v>-0.4231325832245994</v>
      </c>
      <c r="I251" s="22">
        <f t="shared" si="41"/>
        <v>0.25746227709191088</v>
      </c>
      <c r="J251" s="24"/>
      <c r="K251" s="24"/>
      <c r="L251" s="235">
        <f t="shared" si="36"/>
        <v>37.000442074175325</v>
      </c>
      <c r="M251" s="126"/>
      <c r="N251" s="126"/>
      <c r="O251" s="126"/>
      <c r="P251" s="10">
        <f t="shared" si="37"/>
        <v>-1.4600420741753268</v>
      </c>
      <c r="Q251" s="10">
        <f t="shared" si="42"/>
        <v>2.1317228583621906</v>
      </c>
      <c r="W251" s="240">
        <f t="shared" si="43"/>
        <v>1.4600420741753268</v>
      </c>
      <c r="X251" s="240">
        <f t="shared" si="44"/>
        <v>4.1081194195206776E-2</v>
      </c>
      <c r="Y251"/>
      <c r="Z251" s="13">
        <f t="shared" si="38"/>
        <v>5.2622203873957725</v>
      </c>
      <c r="AA251" s="2"/>
      <c r="AB251" s="68"/>
      <c r="AC251" s="15">
        <f t="shared" si="39"/>
        <v>0.69540743991170029</v>
      </c>
    </row>
    <row r="252" spans="1:29">
      <c r="A252" s="84">
        <f>'Q.1 &amp; 4'!K257</f>
        <v>3</v>
      </c>
      <c r="B252" s="141">
        <f>'Q.1 &amp; 4'!L257</f>
        <v>35.460599999999999</v>
      </c>
      <c r="C252" s="221"/>
      <c r="D252" s="23"/>
      <c r="E252" s="24"/>
      <c r="F252" s="22">
        <f t="shared" si="34"/>
        <v>-0.50740740740741153</v>
      </c>
      <c r="G252" s="22">
        <f t="shared" si="35"/>
        <v>0.75411093044263566</v>
      </c>
      <c r="H252" s="22">
        <f t="shared" si="40"/>
        <v>-0.38264147211348859</v>
      </c>
      <c r="I252" s="22">
        <f t="shared" si="41"/>
        <v>0.25746227709191088</v>
      </c>
      <c r="J252" s="24"/>
      <c r="K252" s="24"/>
      <c r="L252" s="235">
        <f t="shared" si="36"/>
        <v>37.000442074175325</v>
      </c>
      <c r="M252" s="126"/>
      <c r="N252" s="126"/>
      <c r="O252" s="126"/>
      <c r="P252" s="10">
        <f t="shared" si="37"/>
        <v>-1.5398420741753256</v>
      </c>
      <c r="Q252" s="10">
        <f t="shared" si="42"/>
        <v>2.3711136134005688</v>
      </c>
      <c r="W252" s="240">
        <f t="shared" si="43"/>
        <v>1.5398420741753256</v>
      </c>
      <c r="X252" s="240">
        <f t="shared" si="44"/>
        <v>4.3424027629970323E-2</v>
      </c>
      <c r="Y252"/>
      <c r="Z252" s="13">
        <f t="shared" si="38"/>
        <v>5.2622203873957725</v>
      </c>
      <c r="AA252" s="2"/>
      <c r="AB252" s="68"/>
      <c r="AC252" s="15">
        <f t="shared" si="39"/>
        <v>0.56868329541305773</v>
      </c>
    </row>
    <row r="253" spans="1:29">
      <c r="A253" s="84">
        <f>'Q.1 &amp; 4'!K258</f>
        <v>3</v>
      </c>
      <c r="B253" s="141">
        <f>'Q.1 &amp; 4'!L258</f>
        <v>51.1</v>
      </c>
      <c r="C253" s="221"/>
      <c r="D253" s="23"/>
      <c r="E253" s="24"/>
      <c r="F253" s="22">
        <f t="shared" si="34"/>
        <v>-0.50740740740741153</v>
      </c>
      <c r="G253" s="22">
        <f t="shared" si="35"/>
        <v>16.393510930442638</v>
      </c>
      <c r="H253" s="22">
        <f t="shared" si="40"/>
        <v>-8.318188879520962</v>
      </c>
      <c r="I253" s="22">
        <f t="shared" si="41"/>
        <v>0.25746227709191088</v>
      </c>
      <c r="J253" s="24"/>
      <c r="K253" s="24"/>
      <c r="L253" s="235">
        <f t="shared" si="36"/>
        <v>37.000442074175325</v>
      </c>
      <c r="M253" s="126"/>
      <c r="N253" s="126"/>
      <c r="O253" s="126"/>
      <c r="P253" s="10">
        <f t="shared" si="37"/>
        <v>14.099557925824676</v>
      </c>
      <c r="Q253" s="10">
        <f t="shared" si="42"/>
        <v>198.79753370368545</v>
      </c>
      <c r="W253" s="240">
        <f t="shared" si="43"/>
        <v>14.099557925824676</v>
      </c>
      <c r="X253" s="240">
        <f t="shared" si="44"/>
        <v>0.27592089874412284</v>
      </c>
      <c r="Y253"/>
      <c r="Z253" s="13">
        <f t="shared" si="38"/>
        <v>5.2622203873957725</v>
      </c>
      <c r="AA253" s="2"/>
      <c r="AB253" s="68"/>
      <c r="AC253" s="15">
        <f t="shared" si="39"/>
        <v>268.74720062654222</v>
      </c>
    </row>
    <row r="254" spans="1:29">
      <c r="A254" s="84">
        <f>'Q.1 &amp; 4'!K259</f>
        <v>3</v>
      </c>
      <c r="B254" s="141">
        <f>'Q.1 &amp; 4'!L259</f>
        <v>36.154800000000002</v>
      </c>
      <c r="C254" s="221"/>
      <c r="D254" s="23"/>
      <c r="E254" s="24"/>
      <c r="F254" s="22">
        <f t="shared" si="34"/>
        <v>-0.50740740740741153</v>
      </c>
      <c r="G254" s="22">
        <f t="shared" si="35"/>
        <v>1.4483109304426378</v>
      </c>
      <c r="H254" s="22">
        <f t="shared" si="40"/>
        <v>-0.73488369433571477</v>
      </c>
      <c r="I254" s="22">
        <f t="shared" si="41"/>
        <v>0.25746227709191088</v>
      </c>
      <c r="J254" s="24"/>
      <c r="K254" s="24"/>
      <c r="L254" s="235">
        <f t="shared" si="36"/>
        <v>37.000442074175325</v>
      </c>
      <c r="M254" s="126"/>
      <c r="N254" s="126"/>
      <c r="O254" s="126"/>
      <c r="P254" s="10">
        <f t="shared" si="37"/>
        <v>-0.84564207417532344</v>
      </c>
      <c r="Q254" s="10">
        <f t="shared" si="42"/>
        <v>0.71511051761554323</v>
      </c>
      <c r="W254" s="240">
        <f t="shared" si="43"/>
        <v>0.84564207417532344</v>
      </c>
      <c r="X254" s="240">
        <f t="shared" si="44"/>
        <v>2.3389482839770194E-2</v>
      </c>
      <c r="Y254"/>
      <c r="Z254" s="13">
        <f t="shared" si="38"/>
        <v>5.2622203873957725</v>
      </c>
      <c r="AA254" s="2"/>
      <c r="AB254" s="68"/>
      <c r="AC254" s="15">
        <f t="shared" si="39"/>
        <v>2.0976045512396193</v>
      </c>
    </row>
    <row r="255" spans="1:29">
      <c r="A255" s="84">
        <f>'Q.1 &amp; 4'!K260</f>
        <v>3</v>
      </c>
      <c r="B255" s="141">
        <f>'Q.1 &amp; 4'!L260</f>
        <v>35.708100000000002</v>
      </c>
      <c r="C255" s="221"/>
      <c r="D255" s="23"/>
      <c r="E255" s="24"/>
      <c r="F255" s="22">
        <f t="shared" si="34"/>
        <v>-0.50740740740741153</v>
      </c>
      <c r="G255" s="22">
        <f t="shared" si="35"/>
        <v>1.0016109304426379</v>
      </c>
      <c r="H255" s="22">
        <f t="shared" si="40"/>
        <v>-0.50822480544682413</v>
      </c>
      <c r="I255" s="22">
        <f t="shared" si="41"/>
        <v>0.25746227709191088</v>
      </c>
      <c r="J255" s="24"/>
      <c r="K255" s="24"/>
      <c r="L255" s="235">
        <f t="shared" si="36"/>
        <v>37.000442074175325</v>
      </c>
      <c r="M255" s="126"/>
      <c r="N255" s="126"/>
      <c r="O255" s="126"/>
      <c r="P255" s="10">
        <f t="shared" si="37"/>
        <v>-1.2923420741753233</v>
      </c>
      <c r="Q255" s="10">
        <f t="shared" si="42"/>
        <v>1.6701480366837769</v>
      </c>
      <c r="W255" s="240">
        <f t="shared" si="43"/>
        <v>1.2923420741753233</v>
      </c>
      <c r="X255" s="240">
        <f t="shared" si="44"/>
        <v>3.6191846504723672E-2</v>
      </c>
      <c r="Y255"/>
      <c r="Z255" s="13">
        <f t="shared" si="38"/>
        <v>5.2622203873957725</v>
      </c>
      <c r="AA255" s="2"/>
      <c r="AB255" s="68"/>
      <c r="AC255" s="15">
        <f t="shared" si="39"/>
        <v>1.0032244559821668</v>
      </c>
    </row>
    <row r="256" spans="1:29">
      <c r="A256" s="84">
        <f>'Q.1 &amp; 4'!K261</f>
        <v>3</v>
      </c>
      <c r="B256" s="141">
        <f>'Q.1 &amp; 4'!L261</f>
        <v>34.7288</v>
      </c>
      <c r="C256" s="221"/>
      <c r="D256" s="23"/>
      <c r="E256" s="24"/>
      <c r="F256" s="22">
        <f t="shared" si="34"/>
        <v>-0.50740740740741153</v>
      </c>
      <c r="G256" s="22">
        <f t="shared" si="35"/>
        <v>2.2310930442635879E-2</v>
      </c>
      <c r="H256" s="22">
        <f t="shared" si="40"/>
        <v>-1.1320731372744964E-2</v>
      </c>
      <c r="I256" s="22">
        <f t="shared" si="41"/>
        <v>0.25746227709191088</v>
      </c>
      <c r="J256" s="24"/>
      <c r="K256" s="24"/>
      <c r="L256" s="235">
        <f t="shared" si="36"/>
        <v>37.000442074175325</v>
      </c>
      <c r="M256" s="126"/>
      <c r="N256" s="126"/>
      <c r="O256" s="126"/>
      <c r="P256" s="10">
        <f t="shared" si="37"/>
        <v>-2.2716420741753254</v>
      </c>
      <c r="Q256" s="10">
        <f t="shared" si="42"/>
        <v>5.1603577131635747</v>
      </c>
      <c r="W256" s="240">
        <f t="shared" si="43"/>
        <v>2.2716420741753254</v>
      </c>
      <c r="X256" s="240">
        <f t="shared" si="44"/>
        <v>6.5410900295297433E-2</v>
      </c>
      <c r="Y256"/>
      <c r="Z256" s="13">
        <f t="shared" si="38"/>
        <v>5.2622203873957725</v>
      </c>
      <c r="AA256" s="2"/>
      <c r="AB256" s="68"/>
      <c r="AC256" s="15">
        <f t="shared" si="39"/>
        <v>4.9777761721613641E-4</v>
      </c>
    </row>
    <row r="257" spans="1:29">
      <c r="A257" s="84">
        <f>'Q.1 &amp; 4'!K262</f>
        <v>3</v>
      </c>
      <c r="B257" s="141">
        <f>'Q.1 &amp; 4'!L262</f>
        <v>34.285299999999999</v>
      </c>
      <c r="C257" s="221"/>
      <c r="D257" s="23"/>
      <c r="E257" s="24"/>
      <c r="F257" s="22">
        <f t="shared" si="34"/>
        <v>-0.50740740740741153</v>
      </c>
      <c r="G257" s="22">
        <f t="shared" si="35"/>
        <v>-0.42118906955736435</v>
      </c>
      <c r="H257" s="22">
        <f t="shared" si="40"/>
        <v>0.21371445381244217</v>
      </c>
      <c r="I257" s="22">
        <f t="shared" si="41"/>
        <v>0.25746227709191088</v>
      </c>
      <c r="J257" s="24"/>
      <c r="K257" s="24"/>
      <c r="L257" s="235">
        <f t="shared" si="36"/>
        <v>37.000442074175325</v>
      </c>
      <c r="M257" s="126"/>
      <c r="N257" s="126"/>
      <c r="O257" s="126"/>
      <c r="P257" s="10">
        <f t="shared" si="37"/>
        <v>-2.7151420741753256</v>
      </c>
      <c r="Q257" s="10">
        <f t="shared" si="42"/>
        <v>7.3719964829570896</v>
      </c>
      <c r="W257" s="240">
        <f t="shared" si="43"/>
        <v>2.7151420741753256</v>
      </c>
      <c r="X257" s="240">
        <f t="shared" si="44"/>
        <v>7.9192600740705943E-2</v>
      </c>
      <c r="Y257"/>
      <c r="Z257" s="13">
        <f t="shared" si="38"/>
        <v>5.2622203873957725</v>
      </c>
      <c r="AA257" s="2"/>
      <c r="AB257" s="68"/>
      <c r="AC257" s="15">
        <f t="shared" si="39"/>
        <v>0.17740023231459831</v>
      </c>
    </row>
    <row r="258" spans="1:29">
      <c r="A258" s="84">
        <f>'Q.1 &amp; 4'!K263</f>
        <v>4</v>
      </c>
      <c r="B258" s="141">
        <f>'Q.1 &amp; 4'!L263</f>
        <v>28.4</v>
      </c>
      <c r="C258" s="221"/>
      <c r="D258" s="23"/>
      <c r="E258" s="24"/>
      <c r="F258" s="22">
        <f t="shared" si="34"/>
        <v>0.49259259259258847</v>
      </c>
      <c r="G258" s="22">
        <f t="shared" si="35"/>
        <v>-6.3064890695573652</v>
      </c>
      <c r="H258" s="22">
        <f t="shared" si="40"/>
        <v>-3.1065298009300837</v>
      </c>
      <c r="I258" s="22">
        <f t="shared" si="41"/>
        <v>0.24264746227708786</v>
      </c>
      <c r="J258" s="24"/>
      <c r="K258" s="24"/>
      <c r="L258" s="235">
        <f t="shared" si="36"/>
        <v>32.479512795001277</v>
      </c>
      <c r="M258" s="126"/>
      <c r="N258" s="126"/>
      <c r="O258" s="126"/>
      <c r="P258" s="10">
        <f t="shared" si="37"/>
        <v>-4.0795127950012784</v>
      </c>
      <c r="Q258" s="10">
        <f t="shared" si="42"/>
        <v>16.642424644579144</v>
      </c>
      <c r="W258" s="240">
        <f t="shared" si="43"/>
        <v>4.0795127950012784</v>
      </c>
      <c r="X258" s="240">
        <f t="shared" si="44"/>
        <v>0.14364481672539714</v>
      </c>
      <c r="Y258"/>
      <c r="Z258" s="13">
        <f t="shared" si="38"/>
        <v>4.9594233274357071</v>
      </c>
      <c r="AA258" s="2"/>
      <c r="AB258" s="68"/>
      <c r="AC258" s="15">
        <f t="shared" si="39"/>
        <v>39.771804384446519</v>
      </c>
    </row>
    <row r="259" spans="1:29">
      <c r="A259" s="84">
        <f>'Q.1 &amp; 4'!K264</f>
        <v>4</v>
      </c>
      <c r="B259" s="141">
        <f>'Q.1 &amp; 4'!L264</f>
        <v>27.9711</v>
      </c>
      <c r="C259" s="221"/>
      <c r="D259" s="23"/>
      <c r="E259" s="24"/>
      <c r="F259" s="22">
        <f t="shared" si="34"/>
        <v>0.49259259259258847</v>
      </c>
      <c r="G259" s="22">
        <f t="shared" si="35"/>
        <v>-6.7353890695573639</v>
      </c>
      <c r="H259" s="22">
        <f t="shared" si="40"/>
        <v>-3.3178027638930443</v>
      </c>
      <c r="I259" s="22">
        <f t="shared" si="41"/>
        <v>0.24264746227708786</v>
      </c>
      <c r="J259" s="24"/>
      <c r="K259" s="24"/>
      <c r="L259" s="235">
        <f t="shared" si="36"/>
        <v>32.479512795001277</v>
      </c>
      <c r="M259" s="126"/>
      <c r="N259" s="126"/>
      <c r="O259" s="126"/>
      <c r="P259" s="10">
        <f t="shared" si="37"/>
        <v>-4.5084127950012771</v>
      </c>
      <c r="Q259" s="10">
        <f t="shared" si="42"/>
        <v>20.325785930131229</v>
      </c>
      <c r="W259" s="240">
        <f t="shared" si="43"/>
        <v>4.5084127950012771</v>
      </c>
      <c r="X259" s="240">
        <f t="shared" si="44"/>
        <v>0.16118110460444091</v>
      </c>
      <c r="Y259"/>
      <c r="Z259" s="13">
        <f t="shared" si="38"/>
        <v>4.9594233274357071</v>
      </c>
      <c r="AA259" s="2"/>
      <c r="AB259" s="68"/>
      <c r="AC259" s="15">
        <f t="shared" si="39"/>
        <v>45.365465918312815</v>
      </c>
    </row>
    <row r="260" spans="1:29">
      <c r="A260" s="84">
        <f>'Q.1 &amp; 4'!K265</f>
        <v>1.6</v>
      </c>
      <c r="B260" s="141">
        <f>'Q.1 &amp; 4'!L265</f>
        <v>47.9</v>
      </c>
      <c r="C260" s="221"/>
      <c r="D260" s="23"/>
      <c r="E260" s="24"/>
      <c r="F260" s="22">
        <f t="shared" si="34"/>
        <v>-1.9074074074074114</v>
      </c>
      <c r="G260" s="22">
        <f t="shared" si="35"/>
        <v>13.193510930442635</v>
      </c>
      <c r="H260" s="22">
        <f t="shared" si="40"/>
        <v>-25.165400478436929</v>
      </c>
      <c r="I260" s="22">
        <f t="shared" si="41"/>
        <v>3.6382030178326628</v>
      </c>
      <c r="J260" s="24"/>
      <c r="K260" s="24"/>
      <c r="L260" s="235">
        <f t="shared" si="36"/>
        <v>43.329743065019002</v>
      </c>
      <c r="M260" s="126"/>
      <c r="N260" s="126"/>
      <c r="O260" s="126"/>
      <c r="P260" s="10">
        <f t="shared" si="37"/>
        <v>4.5702569349809963</v>
      </c>
      <c r="Q260" s="10">
        <f t="shared" si="42"/>
        <v>20.88724845174189</v>
      </c>
      <c r="W260" s="240">
        <f t="shared" si="43"/>
        <v>4.5702569349809963</v>
      </c>
      <c r="X260" s="240">
        <f t="shared" si="44"/>
        <v>9.541246210816276E-2</v>
      </c>
      <c r="Y260"/>
      <c r="Z260" s="13">
        <f t="shared" si="38"/>
        <v>74.360509470245105</v>
      </c>
      <c r="AA260" s="2"/>
      <c r="AB260" s="68"/>
      <c r="AC260" s="15">
        <f t="shared" si="39"/>
        <v>174.06873067170929</v>
      </c>
    </row>
    <row r="261" spans="1:29">
      <c r="A261" s="84">
        <f>'Q.1 &amp; 4'!K266</f>
        <v>1.6</v>
      </c>
      <c r="B261" s="141">
        <f>'Q.1 &amp; 4'!L266</f>
        <v>48.9</v>
      </c>
      <c r="C261" s="221"/>
      <c r="D261" s="23"/>
      <c r="E261" s="24"/>
      <c r="F261" s="22">
        <f t="shared" si="34"/>
        <v>-1.9074074074074114</v>
      </c>
      <c r="G261" s="22">
        <f t="shared" si="35"/>
        <v>14.193510930442635</v>
      </c>
      <c r="H261" s="22">
        <f t="shared" si="40"/>
        <v>-27.072807885844341</v>
      </c>
      <c r="I261" s="22">
        <f t="shared" si="41"/>
        <v>3.6382030178326628</v>
      </c>
      <c r="J261" s="24"/>
      <c r="K261" s="24"/>
      <c r="L261" s="235">
        <f t="shared" si="36"/>
        <v>43.329743065019002</v>
      </c>
      <c r="M261" s="126"/>
      <c r="N261" s="126"/>
      <c r="O261" s="126"/>
      <c r="P261" s="10">
        <f t="shared" si="37"/>
        <v>5.5702569349809963</v>
      </c>
      <c r="Q261" s="10">
        <f t="shared" si="42"/>
        <v>31.027762321703882</v>
      </c>
      <c r="W261" s="240">
        <f t="shared" si="43"/>
        <v>5.5702569349809963</v>
      </c>
      <c r="X261" s="240">
        <f t="shared" si="44"/>
        <v>0.11391118476443755</v>
      </c>
      <c r="Y261"/>
      <c r="Z261" s="13">
        <f t="shared" si="38"/>
        <v>74.360509470245105</v>
      </c>
      <c r="AA261" s="2"/>
      <c r="AB261" s="68"/>
      <c r="AC261" s="15">
        <f t="shared" si="39"/>
        <v>201.45575253259454</v>
      </c>
    </row>
    <row r="262" spans="1:29">
      <c r="A262" s="84">
        <f>'Q.1 &amp; 4'!K267</f>
        <v>3.6</v>
      </c>
      <c r="B262" s="141">
        <f>'Q.1 &amp; 4'!L267</f>
        <v>40.4</v>
      </c>
      <c r="C262" s="221"/>
      <c r="D262" s="23"/>
      <c r="E262" s="24"/>
      <c r="F262" s="22">
        <f t="shared" ref="F262:F325" si="45">A262-$D$6</f>
        <v>9.2592592592588563E-2</v>
      </c>
      <c r="G262" s="22">
        <f t="shared" ref="G262:G325" si="46">B262-$E$6</f>
        <v>5.6935109304426348</v>
      </c>
      <c r="H262" s="22">
        <f t="shared" si="40"/>
        <v>0.52717693800392473</v>
      </c>
      <c r="I262" s="22">
        <f t="shared" si="41"/>
        <v>8.573388203017087E-3</v>
      </c>
      <c r="J262" s="24"/>
      <c r="K262" s="24"/>
      <c r="L262" s="235">
        <f t="shared" ref="L262:L325" si="47">$K$6+$J$6*A262</f>
        <v>34.287884506670892</v>
      </c>
      <c r="M262" s="126"/>
      <c r="N262" s="126"/>
      <c r="O262" s="126"/>
      <c r="P262" s="10">
        <f t="shared" ref="P262:P325" si="48">B262-L262</f>
        <v>6.1121154933291066</v>
      </c>
      <c r="Q262" s="10">
        <f t="shared" si="42"/>
        <v>37.357955803793708</v>
      </c>
      <c r="W262" s="240">
        <f t="shared" si="43"/>
        <v>6.1121154933291066</v>
      </c>
      <c r="X262" s="240">
        <f t="shared" si="44"/>
        <v>0.15128998745864125</v>
      </c>
      <c r="Y262"/>
      <c r="Z262" s="13">
        <f t="shared" ref="Z262:Z325" si="49">(L262-$E$6)^2</f>
        <v>0.17522978006937417</v>
      </c>
      <c r="AA262" s="2"/>
      <c r="AB262" s="68"/>
      <c r="AC262" s="15">
        <f t="shared" ref="AC262:AC325" si="50">(B262-$E$6)^2</f>
        <v>32.416066715069753</v>
      </c>
    </row>
    <row r="263" spans="1:29">
      <c r="A263" s="84">
        <f>'Q.1 &amp; 4'!K268</f>
        <v>3.6</v>
      </c>
      <c r="B263" s="141">
        <f>'Q.1 &amp; 4'!L268</f>
        <v>40</v>
      </c>
      <c r="C263" s="221"/>
      <c r="D263" s="23"/>
      <c r="E263" s="24"/>
      <c r="F263" s="22">
        <f t="shared" si="45"/>
        <v>9.2592592592588563E-2</v>
      </c>
      <c r="G263" s="22">
        <f t="shared" si="46"/>
        <v>5.2935109304426362</v>
      </c>
      <c r="H263" s="22">
        <f t="shared" ref="H263:H326" si="51">F263*G263</f>
        <v>0.49013990096688942</v>
      </c>
      <c r="I263" s="22">
        <f t="shared" ref="I263:I326" si="52">F263^2</f>
        <v>8.573388203017087E-3</v>
      </c>
      <c r="J263" s="24"/>
      <c r="K263" s="24"/>
      <c r="L263" s="235">
        <f t="shared" si="47"/>
        <v>34.287884506670892</v>
      </c>
      <c r="M263" s="126"/>
      <c r="N263" s="126"/>
      <c r="O263" s="126"/>
      <c r="P263" s="10">
        <f t="shared" si="48"/>
        <v>5.7121154933291081</v>
      </c>
      <c r="Q263" s="10">
        <f t="shared" ref="Q263:Q326" si="53">P263^2</f>
        <v>32.62826340913044</v>
      </c>
      <c r="W263" s="240">
        <f t="shared" ref="W263:W326" si="54">ABS(P263)</f>
        <v>5.7121154933291081</v>
      </c>
      <c r="X263" s="240">
        <f t="shared" ref="X263:X326" si="55">W263/B263</f>
        <v>0.14280288733322771</v>
      </c>
      <c r="Y263"/>
      <c r="Z263" s="13">
        <f t="shared" si="49"/>
        <v>0.17522978006937417</v>
      </c>
      <c r="AA263" s="2"/>
      <c r="AB263" s="68"/>
      <c r="AC263" s="15">
        <f t="shared" si="50"/>
        <v>28.021257970715663</v>
      </c>
    </row>
    <row r="264" spans="1:29">
      <c r="A264" s="84">
        <f>'Q.1 &amp; 4'!K269</f>
        <v>6.2</v>
      </c>
      <c r="B264" s="141">
        <f>'Q.1 &amp; 4'!L269</f>
        <v>33.799999999999997</v>
      </c>
      <c r="C264" s="221"/>
      <c r="D264" s="23"/>
      <c r="E264" s="24"/>
      <c r="F264" s="22">
        <f t="shared" si="45"/>
        <v>2.6925925925925887</v>
      </c>
      <c r="G264" s="22">
        <f t="shared" si="46"/>
        <v>-0.90648906955736663</v>
      </c>
      <c r="H264" s="22">
        <f t="shared" si="51"/>
        <v>-2.4408057539563131</v>
      </c>
      <c r="I264" s="22">
        <f t="shared" si="52"/>
        <v>7.2500548696844778</v>
      </c>
      <c r="J264" s="24"/>
      <c r="K264" s="24"/>
      <c r="L264" s="235">
        <f t="shared" si="47"/>
        <v>22.533468380818363</v>
      </c>
      <c r="M264" s="126"/>
      <c r="N264" s="126"/>
      <c r="O264" s="126"/>
      <c r="P264" s="10">
        <f t="shared" si="48"/>
        <v>11.266531619181634</v>
      </c>
      <c r="Q264" s="10">
        <f t="shared" si="53"/>
        <v>126.93473472601954</v>
      </c>
      <c r="W264" s="240">
        <f t="shared" si="54"/>
        <v>11.266531619181634</v>
      </c>
      <c r="X264" s="240">
        <f t="shared" si="55"/>
        <v>0.33332933784561053</v>
      </c>
      <c r="Y264"/>
      <c r="Z264" s="13">
        <f t="shared" si="49"/>
        <v>148.18243268846774</v>
      </c>
      <c r="AA264" s="2"/>
      <c r="AB264" s="68"/>
      <c r="AC264" s="15">
        <f t="shared" si="50"/>
        <v>0.82172243322698024</v>
      </c>
    </row>
    <row r="265" spans="1:29">
      <c r="A265" s="84">
        <f>'Q.1 &amp; 4'!K270</f>
        <v>6.2</v>
      </c>
      <c r="B265" s="141">
        <f>'Q.1 &amp; 4'!L270</f>
        <v>35.200000000000003</v>
      </c>
      <c r="C265" s="221"/>
      <c r="D265" s="23"/>
      <c r="E265" s="24"/>
      <c r="F265" s="22">
        <f t="shared" si="45"/>
        <v>2.6925925925925887</v>
      </c>
      <c r="G265" s="22">
        <f t="shared" si="46"/>
        <v>0.49351093044263905</v>
      </c>
      <c r="H265" s="22">
        <f t="shared" si="51"/>
        <v>1.3288238756733262</v>
      </c>
      <c r="I265" s="22">
        <f t="shared" si="52"/>
        <v>7.2500548696844778</v>
      </c>
      <c r="J265" s="24"/>
      <c r="K265" s="24"/>
      <c r="L265" s="235">
        <f t="shared" si="47"/>
        <v>22.533468380818363</v>
      </c>
      <c r="M265" s="126"/>
      <c r="N265" s="126"/>
      <c r="O265" s="126"/>
      <c r="P265" s="10">
        <f t="shared" si="48"/>
        <v>12.66653161918164</v>
      </c>
      <c r="Q265" s="10">
        <f t="shared" si="53"/>
        <v>160.44102325972827</v>
      </c>
      <c r="W265" s="240">
        <f t="shared" si="54"/>
        <v>12.66653161918164</v>
      </c>
      <c r="X265" s="240">
        <f t="shared" si="55"/>
        <v>0.35984464827220564</v>
      </c>
      <c r="Y265"/>
      <c r="Z265" s="13">
        <f t="shared" si="49"/>
        <v>148.18243268846774</v>
      </c>
      <c r="AA265" s="2"/>
      <c r="AB265" s="68"/>
      <c r="AC265" s="15">
        <f t="shared" si="50"/>
        <v>0.24355303846635931</v>
      </c>
    </row>
    <row r="266" spans="1:29">
      <c r="A266" s="84">
        <f>'Q.1 &amp; 4'!K271</f>
        <v>2.2000000000000002</v>
      </c>
      <c r="B266" s="141">
        <f>'Q.1 &amp; 4'!L271</f>
        <v>51.9</v>
      </c>
      <c r="C266" s="221"/>
      <c r="D266" s="23"/>
      <c r="E266" s="24"/>
      <c r="F266" s="22">
        <f t="shared" si="45"/>
        <v>-1.3074074074074113</v>
      </c>
      <c r="G266" s="22">
        <f t="shared" si="46"/>
        <v>17.193510930442635</v>
      </c>
      <c r="H266" s="22">
        <f t="shared" si="51"/>
        <v>-22.478923549800992</v>
      </c>
      <c r="I266" s="22">
        <f t="shared" si="52"/>
        <v>1.7093141289437688</v>
      </c>
      <c r="J266" s="24"/>
      <c r="K266" s="24"/>
      <c r="L266" s="235">
        <f t="shared" si="47"/>
        <v>40.617185497514569</v>
      </c>
      <c r="M266" s="126"/>
      <c r="N266" s="126"/>
      <c r="O266" s="126"/>
      <c r="P266" s="10">
        <f t="shared" si="48"/>
        <v>11.282814502485429</v>
      </c>
      <c r="Q266" s="10">
        <f t="shared" si="53"/>
        <v>127.30190309749553</v>
      </c>
      <c r="W266" s="240">
        <f t="shared" si="54"/>
        <v>11.282814502485429</v>
      </c>
      <c r="X266" s="240">
        <f t="shared" si="55"/>
        <v>0.21739526979740711</v>
      </c>
      <c r="Y266"/>
      <c r="Z266" s="13">
        <f t="shared" si="49"/>
        <v>34.93633226346607</v>
      </c>
      <c r="AA266" s="2"/>
      <c r="AB266" s="68"/>
      <c r="AC266" s="15">
        <f t="shared" si="50"/>
        <v>295.61681811525034</v>
      </c>
    </row>
    <row r="267" spans="1:29">
      <c r="A267" s="84">
        <f>'Q.1 &amp; 4'!K272</f>
        <v>2.2000000000000002</v>
      </c>
      <c r="B267" s="141">
        <f>'Q.1 &amp; 4'!L272</f>
        <v>46.8</v>
      </c>
      <c r="C267" s="221"/>
      <c r="D267" s="23"/>
      <c r="E267" s="24"/>
      <c r="F267" s="22">
        <f t="shared" si="45"/>
        <v>-1.3074074074074113</v>
      </c>
      <c r="G267" s="22">
        <f t="shared" si="46"/>
        <v>12.093510930442633</v>
      </c>
      <c r="H267" s="22">
        <f t="shared" si="51"/>
        <v>-15.811145772023194</v>
      </c>
      <c r="I267" s="22">
        <f t="shared" si="52"/>
        <v>1.7093141289437688</v>
      </c>
      <c r="J267" s="24"/>
      <c r="K267" s="24"/>
      <c r="L267" s="235">
        <f t="shared" si="47"/>
        <v>40.617185497514569</v>
      </c>
      <c r="M267" s="126"/>
      <c r="N267" s="126"/>
      <c r="O267" s="126"/>
      <c r="P267" s="10">
        <f t="shared" si="48"/>
        <v>6.182814502485428</v>
      </c>
      <c r="Q267" s="10">
        <f t="shared" si="53"/>
        <v>38.227195172144128</v>
      </c>
      <c r="W267" s="240">
        <f t="shared" si="54"/>
        <v>6.182814502485428</v>
      </c>
      <c r="X267" s="240">
        <f t="shared" si="55"/>
        <v>0.13211142099327838</v>
      </c>
      <c r="Y267"/>
      <c r="Z267" s="13">
        <f t="shared" si="49"/>
        <v>34.93633226346607</v>
      </c>
      <c r="AA267" s="2"/>
      <c r="AB267" s="68"/>
      <c r="AC267" s="15">
        <f t="shared" si="50"/>
        <v>146.25300662473543</v>
      </c>
    </row>
    <row r="268" spans="1:29">
      <c r="A268" s="84">
        <f>'Q.1 &amp; 4'!K273</f>
        <v>2.2000000000000002</v>
      </c>
      <c r="B268" s="141">
        <f>'Q.1 &amp; 4'!L273</f>
        <v>51.9</v>
      </c>
      <c r="C268" s="221"/>
      <c r="D268" s="23"/>
      <c r="E268" s="24"/>
      <c r="F268" s="22">
        <f t="shared" si="45"/>
        <v>-1.3074074074074113</v>
      </c>
      <c r="G268" s="22">
        <f t="shared" si="46"/>
        <v>17.193510930442635</v>
      </c>
      <c r="H268" s="22">
        <f t="shared" si="51"/>
        <v>-22.478923549800992</v>
      </c>
      <c r="I268" s="22">
        <f t="shared" si="52"/>
        <v>1.7093141289437688</v>
      </c>
      <c r="J268" s="24"/>
      <c r="K268" s="24"/>
      <c r="L268" s="235">
        <f t="shared" si="47"/>
        <v>40.617185497514569</v>
      </c>
      <c r="M268" s="126"/>
      <c r="N268" s="126"/>
      <c r="O268" s="126"/>
      <c r="P268" s="10">
        <f t="shared" si="48"/>
        <v>11.282814502485429</v>
      </c>
      <c r="Q268" s="10">
        <f t="shared" si="53"/>
        <v>127.30190309749553</v>
      </c>
      <c r="W268" s="240">
        <f t="shared" si="54"/>
        <v>11.282814502485429</v>
      </c>
      <c r="X268" s="240">
        <f t="shared" si="55"/>
        <v>0.21739526979740711</v>
      </c>
      <c r="Y268"/>
      <c r="Z268" s="13">
        <f t="shared" si="49"/>
        <v>34.93633226346607</v>
      </c>
      <c r="AA268" s="2"/>
      <c r="AB268" s="68"/>
      <c r="AC268" s="15">
        <f t="shared" si="50"/>
        <v>295.61681811525034</v>
      </c>
    </row>
    <row r="269" spans="1:29">
      <c r="A269" s="84">
        <f>'Q.1 &amp; 4'!K274</f>
        <v>2.4</v>
      </c>
      <c r="B269" s="141">
        <f>'Q.1 &amp; 4'!L274</f>
        <v>40.1</v>
      </c>
      <c r="C269" s="221"/>
      <c r="D269" s="23"/>
      <c r="E269" s="24"/>
      <c r="F269" s="22">
        <f t="shared" si="45"/>
        <v>-1.1074074074074116</v>
      </c>
      <c r="G269" s="22">
        <f t="shared" si="46"/>
        <v>5.3935109304426376</v>
      </c>
      <c r="H269" s="22">
        <f t="shared" si="51"/>
        <v>-5.9728139563050178</v>
      </c>
      <c r="I269" s="22">
        <f t="shared" si="52"/>
        <v>1.2263511659808048</v>
      </c>
      <c r="J269" s="24"/>
      <c r="K269" s="24"/>
      <c r="L269" s="235">
        <f t="shared" si="47"/>
        <v>39.712999641679758</v>
      </c>
      <c r="M269" s="126"/>
      <c r="N269" s="126"/>
      <c r="O269" s="126"/>
      <c r="P269" s="10">
        <f t="shared" si="48"/>
        <v>0.38700035832024327</v>
      </c>
      <c r="Q269" s="10">
        <f t="shared" si="53"/>
        <v>0.14976927733999668</v>
      </c>
      <c r="W269" s="240">
        <f t="shared" si="54"/>
        <v>0.38700035832024327</v>
      </c>
      <c r="X269" s="240">
        <f t="shared" si="55"/>
        <v>9.6508817536220259E-3</v>
      </c>
      <c r="Y269"/>
      <c r="Z269" s="13">
        <f t="shared" si="49"/>
        <v>25.065148108773304</v>
      </c>
      <c r="AA269" s="2"/>
      <c r="AB269" s="68"/>
      <c r="AC269" s="15">
        <f t="shared" si="50"/>
        <v>29.089960156804207</v>
      </c>
    </row>
    <row r="270" spans="1:29">
      <c r="A270" s="84">
        <f>'Q.1 &amp; 4'!K275</f>
        <v>2.7</v>
      </c>
      <c r="B270" s="141">
        <f>'Q.1 &amp; 4'!L275</f>
        <v>36.5</v>
      </c>
      <c r="C270" s="221"/>
      <c r="D270" s="23"/>
      <c r="E270" s="24"/>
      <c r="F270" s="22">
        <f t="shared" si="45"/>
        <v>-0.80740740740741135</v>
      </c>
      <c r="G270" s="22">
        <f t="shared" si="46"/>
        <v>1.7935109304426362</v>
      </c>
      <c r="H270" s="22">
        <f t="shared" si="51"/>
        <v>-1.4480940105055429</v>
      </c>
      <c r="I270" s="22">
        <f t="shared" si="52"/>
        <v>0.65190672153635754</v>
      </c>
      <c r="J270" s="24"/>
      <c r="K270" s="24"/>
      <c r="L270" s="235">
        <f t="shared" si="47"/>
        <v>38.356720857927542</v>
      </c>
      <c r="M270" s="126"/>
      <c r="N270" s="126"/>
      <c r="O270" s="126"/>
      <c r="P270" s="10">
        <f t="shared" si="48"/>
        <v>-1.8567208579275416</v>
      </c>
      <c r="Q270" s="10">
        <f t="shared" si="53"/>
        <v>3.4474123442631863</v>
      </c>
      <c r="W270" s="240">
        <f t="shared" si="54"/>
        <v>1.8567208579275416</v>
      </c>
      <c r="X270" s="240">
        <f t="shared" si="55"/>
        <v>5.0869064600754563E-2</v>
      </c>
      <c r="Y270"/>
      <c r="Z270" s="13">
        <f t="shared" si="49"/>
        <v>13.324192108828147</v>
      </c>
      <c r="AA270" s="2"/>
      <c r="AB270" s="68"/>
      <c r="AC270" s="15">
        <f t="shared" si="50"/>
        <v>3.2166814576172107</v>
      </c>
    </row>
    <row r="271" spans="1:29">
      <c r="A271" s="84">
        <f>'Q.1 &amp; 4'!K276</f>
        <v>3.5</v>
      </c>
      <c r="B271" s="141">
        <f>'Q.1 &amp; 4'!L276</f>
        <v>37.6</v>
      </c>
      <c r="C271" s="221"/>
      <c r="D271" s="23"/>
      <c r="E271" s="24"/>
      <c r="F271" s="22">
        <f t="shared" si="45"/>
        <v>-7.4074074074115259E-3</v>
      </c>
      <c r="G271" s="22">
        <f t="shared" si="46"/>
        <v>2.8935109304426376</v>
      </c>
      <c r="H271" s="22">
        <f t="shared" si="51"/>
        <v>-2.1433414299587009E-2</v>
      </c>
      <c r="I271" s="22">
        <f t="shared" si="52"/>
        <v>5.4869684499375142E-5</v>
      </c>
      <c r="J271" s="24"/>
      <c r="K271" s="24"/>
      <c r="L271" s="235">
        <f t="shared" si="47"/>
        <v>34.739977434588305</v>
      </c>
      <c r="M271" s="126"/>
      <c r="N271" s="126"/>
      <c r="O271" s="126"/>
      <c r="P271" s="10">
        <f t="shared" si="48"/>
        <v>2.8600225654116969</v>
      </c>
      <c r="Q271" s="10">
        <f t="shared" si="53"/>
        <v>8.1797290746641043</v>
      </c>
      <c r="W271" s="240">
        <f t="shared" si="54"/>
        <v>2.8600225654116969</v>
      </c>
      <c r="X271" s="240">
        <f t="shared" si="55"/>
        <v>7.606442993116215E-2</v>
      </c>
      <c r="Y271"/>
      <c r="Z271" s="13">
        <f t="shared" si="49"/>
        <v>1.1214705924455365E-3</v>
      </c>
      <c r="AA271" s="2"/>
      <c r="AB271" s="68"/>
      <c r="AC271" s="15">
        <f t="shared" si="50"/>
        <v>8.3724055045910184</v>
      </c>
    </row>
    <row r="272" spans="1:29">
      <c r="A272" s="84">
        <f>'Q.1 &amp; 4'!K277</f>
        <v>3.5</v>
      </c>
      <c r="B272" s="141">
        <f>'Q.1 &amp; 4'!L277</f>
        <v>34.700000000000003</v>
      </c>
      <c r="C272" s="221"/>
      <c r="D272" s="23"/>
      <c r="E272" s="24"/>
      <c r="F272" s="22">
        <f t="shared" si="45"/>
        <v>-7.4074074074115259E-3</v>
      </c>
      <c r="G272" s="22">
        <f t="shared" si="46"/>
        <v>-6.4890695573609491E-3</v>
      </c>
      <c r="H272" s="22">
        <f t="shared" si="51"/>
        <v>4.8067181906404123E-5</v>
      </c>
      <c r="I272" s="22">
        <f t="shared" si="52"/>
        <v>5.4869684499375142E-5</v>
      </c>
      <c r="J272" s="24"/>
      <c r="K272" s="24"/>
      <c r="L272" s="235">
        <f t="shared" si="47"/>
        <v>34.739977434588305</v>
      </c>
      <c r="M272" s="126"/>
      <c r="N272" s="126"/>
      <c r="O272" s="126"/>
      <c r="P272" s="10">
        <f t="shared" si="48"/>
        <v>-3.9977434588301719E-2</v>
      </c>
      <c r="Q272" s="10">
        <f t="shared" si="53"/>
        <v>1.5981952762619425E-3</v>
      </c>
      <c r="W272" s="240">
        <f t="shared" si="54"/>
        <v>3.9977434588301719E-2</v>
      </c>
      <c r="X272" s="240">
        <f t="shared" si="55"/>
        <v>1.1520874521124414E-3</v>
      </c>
      <c r="Y272"/>
      <c r="Z272" s="13">
        <f t="shared" si="49"/>
        <v>1.1214705924455365E-3</v>
      </c>
      <c r="AA272" s="2"/>
      <c r="AB272" s="68"/>
      <c r="AC272" s="15">
        <f t="shared" si="50"/>
        <v>4.2108023720268626E-5</v>
      </c>
    </row>
    <row r="273" spans="1:29">
      <c r="A273" s="84">
        <f>'Q.1 &amp; 4'!K278</f>
        <v>5.7</v>
      </c>
      <c r="B273" s="141">
        <f>'Q.1 &amp; 4'!L278</f>
        <v>34.5</v>
      </c>
      <c r="C273" s="221"/>
      <c r="D273" s="23"/>
      <c r="E273" s="24"/>
      <c r="F273" s="22">
        <f t="shared" si="45"/>
        <v>2.1925925925925887</v>
      </c>
      <c r="G273" s="22">
        <f t="shared" si="46"/>
        <v>-0.20648906955736379</v>
      </c>
      <c r="H273" s="22">
        <f t="shared" si="51"/>
        <v>-0.45274640436281166</v>
      </c>
      <c r="I273" s="22">
        <f t="shared" si="52"/>
        <v>4.8074622770918891</v>
      </c>
      <c r="J273" s="24"/>
      <c r="K273" s="24"/>
      <c r="L273" s="235">
        <f t="shared" si="47"/>
        <v>24.793933020405387</v>
      </c>
      <c r="M273" s="126"/>
      <c r="N273" s="126"/>
      <c r="O273" s="126"/>
      <c r="P273" s="10">
        <f t="shared" si="48"/>
        <v>9.7060669795946133</v>
      </c>
      <c r="Q273" s="10">
        <f t="shared" si="53"/>
        <v>94.207736212376901</v>
      </c>
      <c r="W273" s="240">
        <f t="shared" si="54"/>
        <v>9.7060669795946133</v>
      </c>
      <c r="X273" s="240">
        <f t="shared" si="55"/>
        <v>0.28133527477085835</v>
      </c>
      <c r="Y273"/>
      <c r="Z273" s="13">
        <f t="shared" si="49"/>
        <v>98.258767427579457</v>
      </c>
      <c r="AA273" s="2"/>
      <c r="AB273" s="68"/>
      <c r="AC273" s="15">
        <f t="shared" si="50"/>
        <v>4.2637735846665824E-2</v>
      </c>
    </row>
    <row r="274" spans="1:29">
      <c r="A274" s="84">
        <f>'Q.1 &amp; 4'!K279</f>
        <v>5.7</v>
      </c>
      <c r="B274" s="141">
        <f>'Q.1 &amp; 4'!L279</f>
        <v>33.6</v>
      </c>
      <c r="C274" s="221"/>
      <c r="D274" s="23"/>
      <c r="E274" s="24"/>
      <c r="F274" s="22">
        <f t="shared" si="45"/>
        <v>2.1925925925925887</v>
      </c>
      <c r="G274" s="22">
        <f t="shared" si="46"/>
        <v>-1.1064890695573624</v>
      </c>
      <c r="H274" s="22">
        <f t="shared" si="51"/>
        <v>-2.4260797376961385</v>
      </c>
      <c r="I274" s="22">
        <f t="shared" si="52"/>
        <v>4.8074622770918891</v>
      </c>
      <c r="J274" s="24"/>
      <c r="K274" s="24"/>
      <c r="L274" s="235">
        <f t="shared" si="47"/>
        <v>24.793933020405387</v>
      </c>
      <c r="M274" s="126"/>
      <c r="N274" s="126"/>
      <c r="O274" s="126"/>
      <c r="P274" s="10">
        <f t="shared" si="48"/>
        <v>8.8060669795946147</v>
      </c>
      <c r="Q274" s="10">
        <f t="shared" si="53"/>
        <v>77.54681564910662</v>
      </c>
      <c r="W274" s="240">
        <f t="shared" si="54"/>
        <v>8.8060669795946147</v>
      </c>
      <c r="X274" s="240">
        <f t="shared" si="55"/>
        <v>0.26208532677364926</v>
      </c>
      <c r="Y274"/>
      <c r="Z274" s="13">
        <f t="shared" si="49"/>
        <v>98.258767427579457</v>
      </c>
      <c r="AA274" s="2"/>
      <c r="AB274" s="68"/>
      <c r="AC274" s="15">
        <f t="shared" si="50"/>
        <v>1.2243180610499176</v>
      </c>
    </row>
    <row r="275" spans="1:29">
      <c r="A275" s="84">
        <f>'Q.1 &amp; 4'!K280</f>
        <v>6.1</v>
      </c>
      <c r="B275" s="141">
        <f>'Q.1 &amp; 4'!L280</f>
        <v>30.1</v>
      </c>
      <c r="C275" s="221"/>
      <c r="D275" s="23"/>
      <c r="E275" s="24"/>
      <c r="F275" s="22">
        <f t="shared" si="45"/>
        <v>2.5925925925925881</v>
      </c>
      <c r="G275" s="22">
        <f t="shared" si="46"/>
        <v>-4.6064890695573624</v>
      </c>
      <c r="H275" s="22">
        <f t="shared" si="51"/>
        <v>-11.942749439593142</v>
      </c>
      <c r="I275" s="22">
        <f t="shared" si="52"/>
        <v>6.7215363511659572</v>
      </c>
      <c r="J275" s="24"/>
      <c r="K275" s="24"/>
      <c r="L275" s="235">
        <f t="shared" si="47"/>
        <v>22.985561308735772</v>
      </c>
      <c r="M275" s="126"/>
      <c r="N275" s="126"/>
      <c r="O275" s="126"/>
      <c r="P275" s="10">
        <f t="shared" si="48"/>
        <v>7.1144386912642297</v>
      </c>
      <c r="Q275" s="10">
        <f t="shared" si="53"/>
        <v>50.615237891757488</v>
      </c>
      <c r="W275" s="240">
        <f t="shared" si="54"/>
        <v>7.1144386912642297</v>
      </c>
      <c r="X275" s="240">
        <f t="shared" si="55"/>
        <v>0.23636008941077175</v>
      </c>
      <c r="Y275"/>
      <c r="Z275" s="13">
        <f t="shared" si="49"/>
        <v>137.38014757439825</v>
      </c>
      <c r="AA275" s="2"/>
      <c r="AB275" s="68"/>
      <c r="AC275" s="15">
        <f t="shared" si="50"/>
        <v>21.219741547951454</v>
      </c>
    </row>
    <row r="276" spans="1:29">
      <c r="A276" s="84">
        <f>'Q.1 &amp; 4'!K281</f>
        <v>6.1</v>
      </c>
      <c r="B276" s="141">
        <f>'Q.1 &amp; 4'!L281</f>
        <v>26</v>
      </c>
      <c r="C276" s="221"/>
      <c r="D276" s="23"/>
      <c r="E276" s="24"/>
      <c r="F276" s="22">
        <f t="shared" si="45"/>
        <v>2.5925925925925881</v>
      </c>
      <c r="G276" s="22">
        <f t="shared" si="46"/>
        <v>-8.7064890695573638</v>
      </c>
      <c r="H276" s="22">
        <f t="shared" si="51"/>
        <v>-22.572379069222755</v>
      </c>
      <c r="I276" s="22">
        <f t="shared" si="52"/>
        <v>6.7215363511659572</v>
      </c>
      <c r="J276" s="24"/>
      <c r="K276" s="24"/>
      <c r="L276" s="235">
        <f t="shared" si="47"/>
        <v>22.985561308735772</v>
      </c>
      <c r="M276" s="126"/>
      <c r="N276" s="126"/>
      <c r="O276" s="126"/>
      <c r="P276" s="10">
        <f t="shared" si="48"/>
        <v>3.0144386912642283</v>
      </c>
      <c r="Q276" s="10">
        <f t="shared" si="53"/>
        <v>9.0868406233907937</v>
      </c>
      <c r="W276" s="240">
        <f t="shared" si="54"/>
        <v>3.0144386912642283</v>
      </c>
      <c r="X276" s="240">
        <f t="shared" si="55"/>
        <v>0.11593994966400878</v>
      </c>
      <c r="Y276"/>
      <c r="Z276" s="13">
        <f t="shared" si="49"/>
        <v>137.38014757439825</v>
      </c>
      <c r="AA276" s="2"/>
      <c r="AB276" s="68"/>
      <c r="AC276" s="15">
        <f t="shared" si="50"/>
        <v>75.802951918321853</v>
      </c>
    </row>
    <row r="277" spans="1:29">
      <c r="A277" s="84">
        <f>'Q.1 &amp; 4'!K282</f>
        <v>2</v>
      </c>
      <c r="B277" s="141">
        <f>'Q.1 &amp; 4'!L282</f>
        <v>47.327800000000003</v>
      </c>
      <c r="C277" s="221"/>
      <c r="D277" s="23"/>
      <c r="E277" s="24"/>
      <c r="F277" s="22">
        <f t="shared" si="45"/>
        <v>-1.5074074074074115</v>
      </c>
      <c r="G277" s="22">
        <f t="shared" si="46"/>
        <v>12.62131093044264</v>
      </c>
      <c r="H277" s="22">
        <f t="shared" si="51"/>
        <v>-19.025457587741364</v>
      </c>
      <c r="I277" s="22">
        <f t="shared" si="52"/>
        <v>2.2722770919067341</v>
      </c>
      <c r="J277" s="24"/>
      <c r="K277" s="24"/>
      <c r="L277" s="235">
        <f t="shared" si="47"/>
        <v>41.52137135334938</v>
      </c>
      <c r="M277" s="126"/>
      <c r="N277" s="126"/>
      <c r="O277" s="126"/>
      <c r="P277" s="10">
        <f t="shared" si="48"/>
        <v>5.8064286466506232</v>
      </c>
      <c r="Q277" s="10">
        <f t="shared" si="53"/>
        <v>33.71461362864499</v>
      </c>
      <c r="W277" s="240">
        <f t="shared" si="54"/>
        <v>5.8064286466506232</v>
      </c>
      <c r="X277" s="240">
        <f t="shared" si="55"/>
        <v>0.12268536983867036</v>
      </c>
      <c r="Y277"/>
      <c r="Z277" s="13">
        <f t="shared" si="49"/>
        <v>46.44262054194229</v>
      </c>
      <c r="AA277" s="2"/>
      <c r="AB277" s="68"/>
      <c r="AC277" s="15">
        <f t="shared" si="50"/>
        <v>159.29748960291084</v>
      </c>
    </row>
    <row r="278" spans="1:29">
      <c r="A278" s="84">
        <f>'Q.1 &amp; 4'!K283</f>
        <v>2</v>
      </c>
      <c r="B278" s="141">
        <f>'Q.1 &amp; 4'!L283</f>
        <v>49.3</v>
      </c>
      <c r="C278" s="221"/>
      <c r="D278" s="23"/>
      <c r="E278" s="24"/>
      <c r="F278" s="22">
        <f t="shared" si="45"/>
        <v>-1.5074074074074115</v>
      </c>
      <c r="G278" s="22">
        <f t="shared" si="46"/>
        <v>14.593510930442633</v>
      </c>
      <c r="H278" s="22">
        <f t="shared" si="51"/>
        <v>-21.998366476630252</v>
      </c>
      <c r="I278" s="22">
        <f t="shared" si="52"/>
        <v>2.2722770919067341</v>
      </c>
      <c r="J278" s="24"/>
      <c r="K278" s="24"/>
      <c r="L278" s="235">
        <f t="shared" si="47"/>
        <v>41.52137135334938</v>
      </c>
      <c r="M278" s="126"/>
      <c r="N278" s="126"/>
      <c r="O278" s="126"/>
      <c r="P278" s="10">
        <f t="shared" si="48"/>
        <v>7.7786286466506169</v>
      </c>
      <c r="Q278" s="10">
        <f t="shared" si="53"/>
        <v>60.507063622493611</v>
      </c>
      <c r="W278" s="240">
        <f t="shared" si="54"/>
        <v>7.7786286466506169</v>
      </c>
      <c r="X278" s="240">
        <f t="shared" si="55"/>
        <v>0.15778151413084415</v>
      </c>
      <c r="Y278"/>
      <c r="Z278" s="13">
        <f t="shared" si="49"/>
        <v>46.44262054194229</v>
      </c>
      <c r="AA278" s="2"/>
      <c r="AB278" s="68"/>
      <c r="AC278" s="15">
        <f t="shared" si="50"/>
        <v>212.97056127694862</v>
      </c>
    </row>
    <row r="279" spans="1:29">
      <c r="A279" s="84">
        <f>'Q.1 &amp; 4'!K284</f>
        <v>2.4</v>
      </c>
      <c r="B279" s="141">
        <f>'Q.1 &amp; 4'!L284</f>
        <v>43.5</v>
      </c>
      <c r="C279" s="221"/>
      <c r="D279" s="23"/>
      <c r="E279" s="24"/>
      <c r="F279" s="22">
        <f t="shared" si="45"/>
        <v>-1.1074074074074116</v>
      </c>
      <c r="G279" s="22">
        <f t="shared" si="46"/>
        <v>8.7935109304426362</v>
      </c>
      <c r="H279" s="22">
        <f t="shared" si="51"/>
        <v>-9.7379991414902154</v>
      </c>
      <c r="I279" s="22">
        <f t="shared" si="52"/>
        <v>1.2263511659808048</v>
      </c>
      <c r="J279" s="24"/>
      <c r="K279" s="24"/>
      <c r="L279" s="235">
        <f t="shared" si="47"/>
        <v>39.712999641679758</v>
      </c>
      <c r="M279" s="126"/>
      <c r="N279" s="126"/>
      <c r="O279" s="126"/>
      <c r="P279" s="10">
        <f t="shared" si="48"/>
        <v>3.7870003583202418</v>
      </c>
      <c r="Q279" s="10">
        <f t="shared" si="53"/>
        <v>14.34137171391764</v>
      </c>
      <c r="W279" s="240">
        <f t="shared" si="54"/>
        <v>3.7870003583202418</v>
      </c>
      <c r="X279" s="240">
        <f t="shared" si="55"/>
        <v>8.7057479501614757E-2</v>
      </c>
      <c r="Y279"/>
      <c r="Z279" s="13">
        <f t="shared" si="49"/>
        <v>25.065148108773304</v>
      </c>
      <c r="AA279" s="2"/>
      <c r="AB279" s="68"/>
      <c r="AC279" s="15">
        <f t="shared" si="50"/>
        <v>77.32583448381412</v>
      </c>
    </row>
    <row r="280" spans="1:29">
      <c r="A280" s="84">
        <f>'Q.1 &amp; 4'!K285</f>
        <v>2.4</v>
      </c>
      <c r="B280" s="141">
        <f>'Q.1 &amp; 4'!L285</f>
        <v>43.3</v>
      </c>
      <c r="C280" s="221"/>
      <c r="D280" s="23"/>
      <c r="E280" s="24"/>
      <c r="F280" s="22">
        <f t="shared" si="45"/>
        <v>-1.1074074074074116</v>
      </c>
      <c r="G280" s="22">
        <f t="shared" si="46"/>
        <v>8.5935109304426334</v>
      </c>
      <c r="H280" s="22">
        <f t="shared" si="51"/>
        <v>-9.5165176600087307</v>
      </c>
      <c r="I280" s="22">
        <f t="shared" si="52"/>
        <v>1.2263511659808048</v>
      </c>
      <c r="J280" s="24"/>
      <c r="K280" s="24"/>
      <c r="L280" s="235">
        <f t="shared" si="47"/>
        <v>39.712999641679758</v>
      </c>
      <c r="M280" s="126"/>
      <c r="N280" s="126"/>
      <c r="O280" s="126"/>
      <c r="P280" s="10">
        <f t="shared" si="48"/>
        <v>3.587000358320239</v>
      </c>
      <c r="Q280" s="10">
        <f t="shared" si="53"/>
        <v>12.866571570589523</v>
      </c>
      <c r="W280" s="240">
        <f t="shared" si="54"/>
        <v>3.587000358320239</v>
      </c>
      <c r="X280" s="240">
        <f t="shared" si="55"/>
        <v>8.2840654926564422E-2</v>
      </c>
      <c r="Y280"/>
      <c r="Z280" s="13">
        <f t="shared" si="49"/>
        <v>25.065148108773304</v>
      </c>
      <c r="AA280" s="2"/>
      <c r="AB280" s="68"/>
      <c r="AC280" s="15">
        <f t="shared" si="50"/>
        <v>73.848430111637015</v>
      </c>
    </row>
    <row r="281" spans="1:29">
      <c r="A281" s="84">
        <f>'Q.1 &amp; 4'!K286</f>
        <v>3.5</v>
      </c>
      <c r="B281" s="141">
        <f>'Q.1 &amp; 4'!L286</f>
        <v>35.5</v>
      </c>
      <c r="C281" s="221"/>
      <c r="D281" s="23"/>
      <c r="E281" s="24"/>
      <c r="F281" s="22">
        <f t="shared" si="45"/>
        <v>-7.4074074074115259E-3</v>
      </c>
      <c r="G281" s="22">
        <f t="shared" si="46"/>
        <v>0.79351093044263621</v>
      </c>
      <c r="H281" s="22">
        <f t="shared" si="51"/>
        <v>-5.8778587440227953E-3</v>
      </c>
      <c r="I281" s="22">
        <f t="shared" si="52"/>
        <v>5.4869684499375142E-5</v>
      </c>
      <c r="J281" s="24"/>
      <c r="K281" s="24"/>
      <c r="L281" s="235">
        <f t="shared" si="47"/>
        <v>34.739977434588305</v>
      </c>
      <c r="M281" s="126"/>
      <c r="N281" s="126"/>
      <c r="O281" s="126"/>
      <c r="P281" s="10">
        <f t="shared" si="48"/>
        <v>0.76002256541169544</v>
      </c>
      <c r="Q281" s="10">
        <f t="shared" si="53"/>
        <v>0.57763429993497484</v>
      </c>
      <c r="W281" s="240">
        <f t="shared" si="54"/>
        <v>0.76002256541169544</v>
      </c>
      <c r="X281" s="240">
        <f t="shared" si="55"/>
        <v>2.1409086349625222E-2</v>
      </c>
      <c r="Y281"/>
      <c r="Z281" s="13">
        <f t="shared" si="49"/>
        <v>1.1214705924455365E-3</v>
      </c>
      <c r="AA281" s="2"/>
      <c r="AB281" s="68"/>
      <c r="AC281" s="15">
        <f t="shared" si="50"/>
        <v>0.62965959673193828</v>
      </c>
    </row>
    <row r="282" spans="1:29">
      <c r="A282" s="84">
        <f>'Q.1 &amp; 4'!K287</f>
        <v>3.5</v>
      </c>
      <c r="B282" s="141">
        <f>'Q.1 &amp; 4'!L287</f>
        <v>39.9</v>
      </c>
      <c r="C282" s="221"/>
      <c r="D282" s="23"/>
      <c r="E282" s="24"/>
      <c r="F282" s="22">
        <f t="shared" si="45"/>
        <v>-7.4074074074115259E-3</v>
      </c>
      <c r="G282" s="22">
        <f t="shared" si="46"/>
        <v>5.1935109304426348</v>
      </c>
      <c r="H282" s="22">
        <f t="shared" si="51"/>
        <v>-3.8470451336633502E-2</v>
      </c>
      <c r="I282" s="22">
        <f t="shared" si="52"/>
        <v>5.4869684499375142E-5</v>
      </c>
      <c r="J282" s="24"/>
      <c r="K282" s="24"/>
      <c r="L282" s="235">
        <f t="shared" si="47"/>
        <v>34.739977434588305</v>
      </c>
      <c r="M282" s="126"/>
      <c r="N282" s="126"/>
      <c r="O282" s="126"/>
      <c r="P282" s="10">
        <f t="shared" si="48"/>
        <v>5.160022565411694</v>
      </c>
      <c r="Q282" s="10">
        <f t="shared" si="53"/>
        <v>26.625832875557879</v>
      </c>
      <c r="W282" s="240">
        <f t="shared" si="54"/>
        <v>5.160022565411694</v>
      </c>
      <c r="X282" s="240">
        <f t="shared" si="55"/>
        <v>0.12932387381984195</v>
      </c>
      <c r="Y282"/>
      <c r="Z282" s="13">
        <f t="shared" si="49"/>
        <v>1.1214705924455365E-3</v>
      </c>
      <c r="AA282" s="2"/>
      <c r="AB282" s="68"/>
      <c r="AC282" s="15">
        <f t="shared" si="50"/>
        <v>26.972555784627122</v>
      </c>
    </row>
    <row r="283" spans="1:29">
      <c r="A283" s="84">
        <f>'Q.1 &amp; 4'!K288</f>
        <v>1.3</v>
      </c>
      <c r="B283" s="141">
        <f>'Q.1 &amp; 4'!L288</f>
        <v>65</v>
      </c>
      <c r="C283" s="221"/>
      <c r="D283" s="23"/>
      <c r="E283" s="24"/>
      <c r="F283" s="22">
        <f t="shared" si="45"/>
        <v>-2.2074074074074117</v>
      </c>
      <c r="G283" s="22">
        <f t="shared" si="46"/>
        <v>30.293510930442636</v>
      </c>
      <c r="H283" s="22">
        <f t="shared" si="51"/>
        <v>-66.870120424236461</v>
      </c>
      <c r="I283" s="22">
        <f t="shared" si="52"/>
        <v>4.8726474622771105</v>
      </c>
      <c r="J283" s="24"/>
      <c r="K283" s="24"/>
      <c r="L283" s="235">
        <f t="shared" si="47"/>
        <v>44.686021848771219</v>
      </c>
      <c r="M283" s="126"/>
      <c r="N283" s="126"/>
      <c r="O283" s="126"/>
      <c r="P283" s="10">
        <f t="shared" si="48"/>
        <v>20.313978151228781</v>
      </c>
      <c r="Q283" s="10">
        <f t="shared" si="53"/>
        <v>412.65770832860028</v>
      </c>
      <c r="W283" s="240">
        <f t="shared" si="54"/>
        <v>20.313978151228781</v>
      </c>
      <c r="X283" s="240">
        <f t="shared" si="55"/>
        <v>0.31252274078813508</v>
      </c>
      <c r="Y283"/>
      <c r="Z283" s="13">
        <f t="shared" si="49"/>
        <v>99.591074491403816</v>
      </c>
      <c r="AA283" s="2"/>
      <c r="AB283" s="68"/>
      <c r="AC283" s="15">
        <f t="shared" si="50"/>
        <v>917.69680449284749</v>
      </c>
    </row>
    <row r="284" spans="1:29">
      <c r="A284" s="84">
        <f>'Q.1 &amp; 4'!K289</f>
        <v>1.3</v>
      </c>
      <c r="B284" s="141">
        <f>'Q.1 &amp; 4'!L289</f>
        <v>62.267400000000002</v>
      </c>
      <c r="C284" s="221"/>
      <c r="D284" s="23"/>
      <c r="E284" s="24"/>
      <c r="F284" s="22">
        <f t="shared" si="45"/>
        <v>-2.2074074074074117</v>
      </c>
      <c r="G284" s="22">
        <f t="shared" si="46"/>
        <v>27.560910930442638</v>
      </c>
      <c r="H284" s="22">
        <f t="shared" si="51"/>
        <v>-60.83815894275498</v>
      </c>
      <c r="I284" s="22">
        <f t="shared" si="52"/>
        <v>4.8726474622771105</v>
      </c>
      <c r="J284" s="24"/>
      <c r="K284" s="24"/>
      <c r="L284" s="235">
        <f t="shared" si="47"/>
        <v>44.686021848771219</v>
      </c>
      <c r="M284" s="126"/>
      <c r="N284" s="126"/>
      <c r="O284" s="126"/>
      <c r="P284" s="10">
        <f t="shared" si="48"/>
        <v>17.581378151228783</v>
      </c>
      <c r="Q284" s="10">
        <f t="shared" si="53"/>
        <v>309.10485769650484</v>
      </c>
      <c r="W284" s="240">
        <f t="shared" si="54"/>
        <v>17.581378151228783</v>
      </c>
      <c r="X284" s="240">
        <f t="shared" si="55"/>
        <v>0.28235285480409944</v>
      </c>
      <c r="Y284"/>
      <c r="Z284" s="13">
        <f t="shared" si="49"/>
        <v>99.591074491403816</v>
      </c>
      <c r="AA284" s="2"/>
      <c r="AB284" s="68"/>
      <c r="AC284" s="15">
        <f t="shared" si="50"/>
        <v>759.60381131579254</v>
      </c>
    </row>
    <row r="285" spans="1:29">
      <c r="A285" s="84">
        <f>'Q.1 &amp; 4'!K290</f>
        <v>1.3</v>
      </c>
      <c r="B285" s="141">
        <f>'Q.1 &amp; 4'!L290</f>
        <v>61.2</v>
      </c>
      <c r="C285" s="221"/>
      <c r="D285" s="23"/>
      <c r="E285" s="24"/>
      <c r="F285" s="22">
        <f t="shared" si="45"/>
        <v>-2.2074074074074117</v>
      </c>
      <c r="G285" s="22">
        <f t="shared" si="46"/>
        <v>26.493510930442639</v>
      </c>
      <c r="H285" s="22">
        <f t="shared" si="51"/>
        <v>-58.481972276088307</v>
      </c>
      <c r="I285" s="22">
        <f t="shared" si="52"/>
        <v>4.8726474622771105</v>
      </c>
      <c r="J285" s="24"/>
      <c r="K285" s="24"/>
      <c r="L285" s="235">
        <f t="shared" si="47"/>
        <v>44.686021848771219</v>
      </c>
      <c r="M285" s="126"/>
      <c r="N285" s="126"/>
      <c r="O285" s="126"/>
      <c r="P285" s="10">
        <f t="shared" si="48"/>
        <v>16.513978151228784</v>
      </c>
      <c r="Q285" s="10">
        <f t="shared" si="53"/>
        <v>272.71147437926163</v>
      </c>
      <c r="W285" s="240">
        <f t="shared" si="54"/>
        <v>16.513978151228784</v>
      </c>
      <c r="X285" s="240">
        <f t="shared" si="55"/>
        <v>0.26983624430112391</v>
      </c>
      <c r="Y285"/>
      <c r="Z285" s="13">
        <f t="shared" si="49"/>
        <v>99.591074491403816</v>
      </c>
      <c r="AA285" s="2"/>
      <c r="AB285" s="68"/>
      <c r="AC285" s="15">
        <f t="shared" si="50"/>
        <v>701.90612142148359</v>
      </c>
    </row>
    <row r="286" spans="1:29">
      <c r="A286" s="84">
        <f>'Q.1 &amp; 4'!K291</f>
        <v>1.6</v>
      </c>
      <c r="B286" s="141">
        <f>'Q.1 &amp; 4'!L291</f>
        <v>50.4</v>
      </c>
      <c r="C286" s="221"/>
      <c r="D286" s="23"/>
      <c r="E286" s="24"/>
      <c r="F286" s="22">
        <f t="shared" si="45"/>
        <v>-1.9074074074074114</v>
      </c>
      <c r="G286" s="22">
        <f t="shared" si="46"/>
        <v>15.693510930442635</v>
      </c>
      <c r="H286" s="22">
        <f t="shared" si="51"/>
        <v>-29.933918996955459</v>
      </c>
      <c r="I286" s="22">
        <f t="shared" si="52"/>
        <v>3.6382030178326628</v>
      </c>
      <c r="J286" s="24"/>
      <c r="K286" s="24"/>
      <c r="L286" s="235">
        <f t="shared" si="47"/>
        <v>43.329743065019002</v>
      </c>
      <c r="M286" s="126"/>
      <c r="N286" s="126"/>
      <c r="O286" s="126"/>
      <c r="P286" s="10">
        <f t="shared" si="48"/>
        <v>7.0702569349809963</v>
      </c>
      <c r="Q286" s="10">
        <f t="shared" si="53"/>
        <v>49.988533126646871</v>
      </c>
      <c r="W286" s="240">
        <f t="shared" si="54"/>
        <v>7.0702569349809963</v>
      </c>
      <c r="X286" s="240">
        <f t="shared" si="55"/>
        <v>0.14028287569406739</v>
      </c>
      <c r="Y286"/>
      <c r="Z286" s="13">
        <f t="shared" si="49"/>
        <v>74.360509470245105</v>
      </c>
      <c r="AA286" s="2"/>
      <c r="AB286" s="68"/>
      <c r="AC286" s="15">
        <f t="shared" si="50"/>
        <v>246.28628532392244</v>
      </c>
    </row>
    <row r="287" spans="1:29">
      <c r="A287" s="84">
        <f>'Q.1 &amp; 4'!K292</f>
        <v>1.6</v>
      </c>
      <c r="B287" s="141">
        <f>'Q.1 &amp; 4'!L292</f>
        <v>48.2</v>
      </c>
      <c r="C287" s="221"/>
      <c r="D287" s="23"/>
      <c r="E287" s="24"/>
      <c r="F287" s="22">
        <f t="shared" si="45"/>
        <v>-1.9074074074074114</v>
      </c>
      <c r="G287" s="22">
        <f t="shared" si="46"/>
        <v>13.493510930442639</v>
      </c>
      <c r="H287" s="22">
        <f t="shared" si="51"/>
        <v>-25.737622700659163</v>
      </c>
      <c r="I287" s="22">
        <f t="shared" si="52"/>
        <v>3.6382030178326628</v>
      </c>
      <c r="J287" s="24"/>
      <c r="K287" s="24"/>
      <c r="L287" s="235">
        <f t="shared" si="47"/>
        <v>43.329743065019002</v>
      </c>
      <c r="M287" s="126"/>
      <c r="N287" s="126"/>
      <c r="O287" s="126"/>
      <c r="P287" s="10">
        <f t="shared" si="48"/>
        <v>4.8702569349810005</v>
      </c>
      <c r="Q287" s="10">
        <f t="shared" si="53"/>
        <v>23.71940261273053</v>
      </c>
      <c r="W287" s="240">
        <f t="shared" si="54"/>
        <v>4.8702569349810005</v>
      </c>
      <c r="X287" s="240">
        <f t="shared" si="55"/>
        <v>0.10104267499960581</v>
      </c>
      <c r="Y287"/>
      <c r="Z287" s="13">
        <f t="shared" si="49"/>
        <v>74.360509470245105</v>
      </c>
      <c r="AA287" s="2"/>
      <c r="AB287" s="68"/>
      <c r="AC287" s="15">
        <f t="shared" si="50"/>
        <v>182.07483722997497</v>
      </c>
    </row>
    <row r="288" spans="1:29">
      <c r="A288" s="84">
        <f>'Q.1 &amp; 4'!K293</f>
        <v>1.6</v>
      </c>
      <c r="B288" s="141">
        <f>'Q.1 &amp; 4'!L293</f>
        <v>50.820500000000003</v>
      </c>
      <c r="C288" s="221"/>
      <c r="D288" s="23"/>
      <c r="E288" s="24"/>
      <c r="F288" s="22">
        <f t="shared" si="45"/>
        <v>-1.9074074074074114</v>
      </c>
      <c r="G288" s="22">
        <f t="shared" si="46"/>
        <v>16.114010930442639</v>
      </c>
      <c r="H288" s="22">
        <f t="shared" si="51"/>
        <v>-30.735983811770282</v>
      </c>
      <c r="I288" s="22">
        <f t="shared" si="52"/>
        <v>3.6382030178326628</v>
      </c>
      <c r="J288" s="24"/>
      <c r="K288" s="24"/>
      <c r="L288" s="235">
        <f t="shared" si="47"/>
        <v>43.329743065019002</v>
      </c>
      <c r="M288" s="126"/>
      <c r="N288" s="126"/>
      <c r="O288" s="126"/>
      <c r="P288" s="10">
        <f t="shared" si="48"/>
        <v>7.4907569349810004</v>
      </c>
      <c r="Q288" s="10">
        <f t="shared" si="53"/>
        <v>56.111439458965954</v>
      </c>
      <c r="W288" s="240">
        <f t="shared" si="54"/>
        <v>7.4907569349810004</v>
      </c>
      <c r="X288" s="240">
        <f t="shared" si="55"/>
        <v>0.14739636436046477</v>
      </c>
      <c r="Y288"/>
      <c r="Z288" s="13">
        <f t="shared" si="49"/>
        <v>74.360509470245105</v>
      </c>
      <c r="AA288" s="2"/>
      <c r="AB288" s="68"/>
      <c r="AC288" s="15">
        <f t="shared" si="50"/>
        <v>259.66134826642485</v>
      </c>
    </row>
    <row r="289" spans="1:29">
      <c r="A289" s="84">
        <f>'Q.1 &amp; 4'!K294</f>
        <v>2</v>
      </c>
      <c r="B289" s="141">
        <f>'Q.1 &amp; 4'!L294</f>
        <v>47.296399999999998</v>
      </c>
      <c r="C289" s="221"/>
      <c r="D289" s="23"/>
      <c r="E289" s="24"/>
      <c r="F289" s="22">
        <f t="shared" si="45"/>
        <v>-1.5074074074074115</v>
      </c>
      <c r="G289" s="22">
        <f t="shared" si="46"/>
        <v>12.589910930442635</v>
      </c>
      <c r="H289" s="22">
        <f t="shared" si="51"/>
        <v>-18.978124995148764</v>
      </c>
      <c r="I289" s="22">
        <f t="shared" si="52"/>
        <v>2.2722770919067341</v>
      </c>
      <c r="J289" s="24"/>
      <c r="K289" s="24"/>
      <c r="L289" s="235">
        <f t="shared" si="47"/>
        <v>41.52137135334938</v>
      </c>
      <c r="M289" s="126"/>
      <c r="N289" s="126"/>
      <c r="O289" s="126"/>
      <c r="P289" s="10">
        <f t="shared" si="48"/>
        <v>5.7750286466506182</v>
      </c>
      <c r="Q289" s="10">
        <f t="shared" si="53"/>
        <v>33.350955869635271</v>
      </c>
      <c r="W289" s="240">
        <f t="shared" si="54"/>
        <v>5.7750286466506182</v>
      </c>
      <c r="X289" s="240">
        <f t="shared" si="55"/>
        <v>0.12210292213890736</v>
      </c>
      <c r="Y289"/>
      <c r="Z289" s="13">
        <f t="shared" si="49"/>
        <v>46.44262054194229</v>
      </c>
      <c r="AA289" s="2"/>
      <c r="AB289" s="68"/>
      <c r="AC289" s="15">
        <f t="shared" si="50"/>
        <v>158.50585723647893</v>
      </c>
    </row>
    <row r="290" spans="1:29">
      <c r="A290" s="84">
        <f>'Q.1 &amp; 4'!K295</f>
        <v>2</v>
      </c>
      <c r="B290" s="141">
        <f>'Q.1 &amp; 4'!L295</f>
        <v>50.9</v>
      </c>
      <c r="C290" s="221"/>
      <c r="D290" s="23"/>
      <c r="E290" s="24"/>
      <c r="F290" s="22">
        <f t="shared" si="45"/>
        <v>-1.5074074074074115</v>
      </c>
      <c r="G290" s="22">
        <f t="shared" si="46"/>
        <v>16.193510930442635</v>
      </c>
      <c r="H290" s="22">
        <f t="shared" si="51"/>
        <v>-24.410218328482113</v>
      </c>
      <c r="I290" s="22">
        <f t="shared" si="52"/>
        <v>2.2722770919067341</v>
      </c>
      <c r="J290" s="24"/>
      <c r="K290" s="24"/>
      <c r="L290" s="235">
        <f t="shared" si="47"/>
        <v>41.52137135334938</v>
      </c>
      <c r="M290" s="126"/>
      <c r="N290" s="126"/>
      <c r="O290" s="126"/>
      <c r="P290" s="10">
        <f t="shared" si="48"/>
        <v>9.3786286466506184</v>
      </c>
      <c r="Q290" s="10">
        <f t="shared" si="53"/>
        <v>87.958675291775606</v>
      </c>
      <c r="W290" s="240">
        <f t="shared" si="54"/>
        <v>9.3786286466506184</v>
      </c>
      <c r="X290" s="240">
        <f t="shared" si="55"/>
        <v>0.18425596555305734</v>
      </c>
      <c r="Y290"/>
      <c r="Z290" s="13">
        <f t="shared" si="49"/>
        <v>46.44262054194229</v>
      </c>
      <c r="AA290" s="2"/>
      <c r="AB290" s="68"/>
      <c r="AC290" s="15">
        <f t="shared" si="50"/>
        <v>262.22979625436511</v>
      </c>
    </row>
    <row r="291" spans="1:29">
      <c r="A291" s="84">
        <f>'Q.1 &amp; 4'!K296</f>
        <v>2</v>
      </c>
      <c r="B291" s="141">
        <f>'Q.1 &amp; 4'!L296</f>
        <v>47.4</v>
      </c>
      <c r="C291" s="221"/>
      <c r="D291" s="23"/>
      <c r="E291" s="24"/>
      <c r="F291" s="22">
        <f t="shared" si="45"/>
        <v>-1.5074074074074115</v>
      </c>
      <c r="G291" s="22">
        <f t="shared" si="46"/>
        <v>12.693510930442635</v>
      </c>
      <c r="H291" s="22">
        <f t="shared" si="51"/>
        <v>-19.134292402556174</v>
      </c>
      <c r="I291" s="22">
        <f t="shared" si="52"/>
        <v>2.2722770919067341</v>
      </c>
      <c r="J291" s="24"/>
      <c r="K291" s="24"/>
      <c r="L291" s="235">
        <f t="shared" si="47"/>
        <v>41.52137135334938</v>
      </c>
      <c r="M291" s="126"/>
      <c r="N291" s="126"/>
      <c r="O291" s="126"/>
      <c r="P291" s="10">
        <f t="shared" si="48"/>
        <v>5.8786286466506184</v>
      </c>
      <c r="Q291" s="10">
        <f t="shared" si="53"/>
        <v>34.558274765221277</v>
      </c>
      <c r="W291" s="240">
        <f t="shared" si="54"/>
        <v>5.8786286466506184</v>
      </c>
      <c r="X291" s="240">
        <f t="shared" si="55"/>
        <v>0.1240217014061312</v>
      </c>
      <c r="Y291"/>
      <c r="Z291" s="13">
        <f t="shared" si="49"/>
        <v>46.44262054194229</v>
      </c>
      <c r="AA291" s="2"/>
      <c r="AB291" s="68"/>
      <c r="AC291" s="15">
        <f t="shared" si="50"/>
        <v>161.12521974126665</v>
      </c>
    </row>
    <row r="292" spans="1:29">
      <c r="A292" s="84">
        <f>'Q.1 &amp; 4'!K297</f>
        <v>2.4</v>
      </c>
      <c r="B292" s="141">
        <f>'Q.1 &amp; 4'!L297</f>
        <v>44.344000000000001</v>
      </c>
      <c r="C292" s="221"/>
      <c r="D292" s="23"/>
      <c r="E292" s="24"/>
      <c r="F292" s="22">
        <f t="shared" si="45"/>
        <v>-1.1074074074074116</v>
      </c>
      <c r="G292" s="22">
        <f t="shared" si="46"/>
        <v>9.6375109304426374</v>
      </c>
      <c r="H292" s="22">
        <f t="shared" si="51"/>
        <v>-10.672650993342073</v>
      </c>
      <c r="I292" s="22">
        <f t="shared" si="52"/>
        <v>1.2263511659808048</v>
      </c>
      <c r="J292" s="24"/>
      <c r="K292" s="24"/>
      <c r="L292" s="235">
        <f t="shared" si="47"/>
        <v>39.712999641679758</v>
      </c>
      <c r="M292" s="126"/>
      <c r="N292" s="126"/>
      <c r="O292" s="126"/>
      <c r="P292" s="10">
        <f t="shared" si="48"/>
        <v>4.631000358320243</v>
      </c>
      <c r="Q292" s="10">
        <f t="shared" si="53"/>
        <v>21.446164318762218</v>
      </c>
      <c r="W292" s="240">
        <f t="shared" si="54"/>
        <v>4.631000358320243</v>
      </c>
      <c r="X292" s="240">
        <f t="shared" si="55"/>
        <v>0.10443352783511282</v>
      </c>
      <c r="Y292"/>
      <c r="Z292" s="13">
        <f t="shared" si="49"/>
        <v>25.065148108773304</v>
      </c>
      <c r="AA292" s="2"/>
      <c r="AB292" s="68"/>
      <c r="AC292" s="15">
        <f t="shared" si="50"/>
        <v>92.881616934401308</v>
      </c>
    </row>
    <row r="293" spans="1:29">
      <c r="A293" s="84">
        <f>'Q.1 &amp; 4'!K298</f>
        <v>2.4</v>
      </c>
      <c r="B293" s="141">
        <f>'Q.1 &amp; 4'!L298</f>
        <v>44.6</v>
      </c>
      <c r="C293" s="221"/>
      <c r="D293" s="23"/>
      <c r="E293" s="24"/>
      <c r="F293" s="22">
        <f t="shared" si="45"/>
        <v>-1.1074074074074116</v>
      </c>
      <c r="G293" s="22">
        <f t="shared" si="46"/>
        <v>9.8935109304426376</v>
      </c>
      <c r="H293" s="22">
        <f t="shared" si="51"/>
        <v>-10.95614728963837</v>
      </c>
      <c r="I293" s="22">
        <f t="shared" si="52"/>
        <v>1.2263511659808048</v>
      </c>
      <c r="J293" s="24"/>
      <c r="K293" s="24"/>
      <c r="L293" s="235">
        <f t="shared" si="47"/>
        <v>39.712999641679758</v>
      </c>
      <c r="M293" s="126"/>
      <c r="N293" s="126"/>
      <c r="O293" s="126"/>
      <c r="P293" s="10">
        <f t="shared" si="48"/>
        <v>4.8870003583202433</v>
      </c>
      <c r="Q293" s="10">
        <f t="shared" si="53"/>
        <v>23.882772502222185</v>
      </c>
      <c r="W293" s="240">
        <f t="shared" si="54"/>
        <v>4.8870003583202433</v>
      </c>
      <c r="X293" s="240">
        <f t="shared" si="55"/>
        <v>0.1095739990654763</v>
      </c>
      <c r="Y293"/>
      <c r="Z293" s="13">
        <f t="shared" si="49"/>
        <v>25.065148108773304</v>
      </c>
      <c r="AA293" s="2"/>
      <c r="AB293" s="68"/>
      <c r="AC293" s="15">
        <f t="shared" si="50"/>
        <v>97.881558530787942</v>
      </c>
    </row>
    <row r="294" spans="1:29">
      <c r="A294" s="84">
        <f>'Q.1 &amp; 4'!K299</f>
        <v>1.6</v>
      </c>
      <c r="B294" s="141">
        <f>'Q.1 &amp; 4'!L299</f>
        <v>50.2669</v>
      </c>
      <c r="C294" s="221"/>
      <c r="D294" s="23"/>
      <c r="E294" s="24"/>
      <c r="F294" s="22">
        <f t="shared" si="45"/>
        <v>-1.9074074074074114</v>
      </c>
      <c r="G294" s="22">
        <f t="shared" si="46"/>
        <v>15.560410930442636</v>
      </c>
      <c r="H294" s="22">
        <f t="shared" si="51"/>
        <v>-29.680043071029534</v>
      </c>
      <c r="I294" s="22">
        <f t="shared" si="52"/>
        <v>3.6382030178326628</v>
      </c>
      <c r="J294" s="24"/>
      <c r="K294" s="24"/>
      <c r="L294" s="235">
        <f t="shared" si="47"/>
        <v>43.329743065019002</v>
      </c>
      <c r="M294" s="126"/>
      <c r="N294" s="126"/>
      <c r="O294" s="126"/>
      <c r="P294" s="10">
        <f t="shared" si="48"/>
        <v>6.9371569349809974</v>
      </c>
      <c r="Q294" s="10">
        <f t="shared" si="53"/>
        <v>48.124146340554944</v>
      </c>
      <c r="W294" s="240">
        <f t="shared" si="54"/>
        <v>6.9371569349809974</v>
      </c>
      <c r="X294" s="240">
        <f t="shared" si="55"/>
        <v>0.13800646021499233</v>
      </c>
      <c r="Y294"/>
      <c r="Z294" s="13">
        <f t="shared" si="49"/>
        <v>74.360509470245105</v>
      </c>
      <c r="AA294" s="2"/>
      <c r="AB294" s="68"/>
      <c r="AC294" s="15">
        <f t="shared" si="50"/>
        <v>242.12638832423866</v>
      </c>
    </row>
    <row r="295" spans="1:29">
      <c r="A295" s="84">
        <f>'Q.1 &amp; 4'!K300</f>
        <v>1.6</v>
      </c>
      <c r="B295" s="141">
        <f>'Q.1 &amp; 4'!L300</f>
        <v>48.318800000000003</v>
      </c>
      <c r="C295" s="221"/>
      <c r="D295" s="23"/>
      <c r="E295" s="24"/>
      <c r="F295" s="22">
        <f t="shared" si="45"/>
        <v>-1.9074074074074114</v>
      </c>
      <c r="G295" s="22">
        <f t="shared" si="46"/>
        <v>13.612310930442639</v>
      </c>
      <c r="H295" s="22">
        <f t="shared" si="51"/>
        <v>-25.964222700659164</v>
      </c>
      <c r="I295" s="22">
        <f t="shared" si="52"/>
        <v>3.6382030178326628</v>
      </c>
      <c r="J295" s="24"/>
      <c r="K295" s="24"/>
      <c r="L295" s="235">
        <f t="shared" si="47"/>
        <v>43.329743065019002</v>
      </c>
      <c r="M295" s="126"/>
      <c r="N295" s="126"/>
      <c r="O295" s="126"/>
      <c r="P295" s="10">
        <f t="shared" si="48"/>
        <v>4.9890569349810008</v>
      </c>
      <c r="Q295" s="10">
        <f t="shared" si="53"/>
        <v>24.890689100482017</v>
      </c>
      <c r="W295" s="240">
        <f t="shared" si="54"/>
        <v>4.9890569349810008</v>
      </c>
      <c r="X295" s="240">
        <f t="shared" si="55"/>
        <v>0.10325291470361433</v>
      </c>
      <c r="Y295"/>
      <c r="Z295" s="13">
        <f t="shared" si="49"/>
        <v>74.360509470245105</v>
      </c>
      <c r="AA295" s="2"/>
      <c r="AB295" s="68"/>
      <c r="AC295" s="15">
        <f t="shared" si="50"/>
        <v>185.29500886704815</v>
      </c>
    </row>
    <row r="296" spans="1:29">
      <c r="A296" s="84">
        <f>'Q.1 &amp; 4'!K301</f>
        <v>3.5</v>
      </c>
      <c r="B296" s="141">
        <f>'Q.1 &amp; 4'!L301</f>
        <v>35.349400000000003</v>
      </c>
      <c r="C296" s="221"/>
      <c r="D296" s="23"/>
      <c r="E296" s="24"/>
      <c r="F296" s="22">
        <f t="shared" si="45"/>
        <v>-7.4074074074115259E-3</v>
      </c>
      <c r="G296" s="22">
        <f t="shared" si="46"/>
        <v>0.64291093044263903</v>
      </c>
      <c r="H296" s="22">
        <f t="shared" si="51"/>
        <v>-4.7623031884666406E-3</v>
      </c>
      <c r="I296" s="22">
        <f t="shared" si="52"/>
        <v>5.4869684499375142E-5</v>
      </c>
      <c r="J296" s="24"/>
      <c r="K296" s="24"/>
      <c r="L296" s="235">
        <f t="shared" si="47"/>
        <v>34.739977434588305</v>
      </c>
      <c r="M296" s="126"/>
      <c r="N296" s="126"/>
      <c r="O296" s="126"/>
      <c r="P296" s="10">
        <f t="shared" si="48"/>
        <v>0.60942256541169826</v>
      </c>
      <c r="Q296" s="10">
        <f t="shared" si="53"/>
        <v>0.37139586323297563</v>
      </c>
      <c r="W296" s="240">
        <f t="shared" si="54"/>
        <v>0.60942256541169826</v>
      </c>
      <c r="X296" s="240">
        <f t="shared" si="55"/>
        <v>1.7239969148322126E-2</v>
      </c>
      <c r="Y296"/>
      <c r="Z296" s="13">
        <f t="shared" si="49"/>
        <v>1.1214705924455365E-3</v>
      </c>
      <c r="AA296" s="2"/>
      <c r="AB296" s="68"/>
      <c r="AC296" s="15">
        <f t="shared" si="50"/>
        <v>0.41333446448261985</v>
      </c>
    </row>
    <row r="297" spans="1:29">
      <c r="A297" s="84">
        <f>'Q.1 &amp; 4'!K302</f>
        <v>2.4</v>
      </c>
      <c r="B297" s="141">
        <f>'Q.1 &amp; 4'!L302</f>
        <v>47.408099999999997</v>
      </c>
      <c r="C297" s="221"/>
      <c r="D297" s="23"/>
      <c r="E297" s="24"/>
      <c r="F297" s="22">
        <f t="shared" si="45"/>
        <v>-1.1074074074074116</v>
      </c>
      <c r="G297" s="22">
        <f t="shared" si="46"/>
        <v>12.701610930442634</v>
      </c>
      <c r="H297" s="22">
        <f t="shared" si="51"/>
        <v>-14.065858030379118</v>
      </c>
      <c r="I297" s="22">
        <f t="shared" si="52"/>
        <v>1.2263511659808048</v>
      </c>
      <c r="J297" s="24"/>
      <c r="K297" s="24"/>
      <c r="L297" s="235">
        <f t="shared" si="47"/>
        <v>39.712999641679758</v>
      </c>
      <c r="M297" s="126"/>
      <c r="N297" s="126"/>
      <c r="O297" s="126"/>
      <c r="P297" s="10">
        <f t="shared" si="48"/>
        <v>7.6951003583202393</v>
      </c>
      <c r="Q297" s="10">
        <f t="shared" si="53"/>
        <v>59.214569524620273</v>
      </c>
      <c r="W297" s="240">
        <f t="shared" si="54"/>
        <v>7.6951003583202393</v>
      </c>
      <c r="X297" s="240">
        <f t="shared" si="55"/>
        <v>0.16231615184578668</v>
      </c>
      <c r="Y297"/>
      <c r="Z297" s="13">
        <f t="shared" si="49"/>
        <v>25.065148108773304</v>
      </c>
      <c r="AA297" s="2"/>
      <c r="AB297" s="68"/>
      <c r="AC297" s="15">
        <f t="shared" si="50"/>
        <v>161.33092022833978</v>
      </c>
    </row>
    <row r="298" spans="1:29">
      <c r="A298" s="84">
        <f>'Q.1 &amp; 4'!K303</f>
        <v>2</v>
      </c>
      <c r="B298" s="141">
        <f>'Q.1 &amp; 4'!L303</f>
        <v>46.624000000000002</v>
      </c>
      <c r="C298" s="221"/>
      <c r="D298" s="23"/>
      <c r="E298" s="24"/>
      <c r="F298" s="22">
        <f t="shared" si="45"/>
        <v>-1.5074074074074115</v>
      </c>
      <c r="G298" s="22">
        <f t="shared" si="46"/>
        <v>11.917510930442639</v>
      </c>
      <c r="H298" s="22">
        <f t="shared" si="51"/>
        <v>-17.964544254408025</v>
      </c>
      <c r="I298" s="22">
        <f t="shared" si="52"/>
        <v>2.2722770919067341</v>
      </c>
      <c r="J298" s="24"/>
      <c r="K298" s="24"/>
      <c r="L298" s="235">
        <f t="shared" si="47"/>
        <v>41.52137135334938</v>
      </c>
      <c r="M298" s="126"/>
      <c r="N298" s="126"/>
      <c r="O298" s="126"/>
      <c r="P298" s="10">
        <f t="shared" si="48"/>
        <v>5.1026286466506221</v>
      </c>
      <c r="Q298" s="10">
        <f t="shared" si="53"/>
        <v>26.036819105619561</v>
      </c>
      <c r="W298" s="240">
        <f t="shared" si="54"/>
        <v>5.1026286466506221</v>
      </c>
      <c r="X298" s="240">
        <f t="shared" si="55"/>
        <v>0.10944210378025528</v>
      </c>
      <c r="Y298"/>
      <c r="Z298" s="13">
        <f t="shared" si="49"/>
        <v>46.44262054194229</v>
      </c>
      <c r="AA298" s="2"/>
      <c r="AB298" s="68"/>
      <c r="AC298" s="15">
        <f t="shared" si="50"/>
        <v>142.02706677721977</v>
      </c>
    </row>
    <row r="299" spans="1:29">
      <c r="A299" s="84">
        <f>'Q.1 &amp; 4'!K304</f>
        <v>2</v>
      </c>
      <c r="B299" s="141">
        <f>'Q.1 &amp; 4'!L304</f>
        <v>46.438699999999997</v>
      </c>
      <c r="C299" s="221"/>
      <c r="D299" s="23"/>
      <c r="E299" s="24"/>
      <c r="F299" s="22">
        <f t="shared" si="45"/>
        <v>-1.5074074074074115</v>
      </c>
      <c r="G299" s="22">
        <f t="shared" si="46"/>
        <v>11.732210930442633</v>
      </c>
      <c r="H299" s="22">
        <f t="shared" si="51"/>
        <v>-17.685221661815426</v>
      </c>
      <c r="I299" s="22">
        <f t="shared" si="52"/>
        <v>2.2722770919067341</v>
      </c>
      <c r="J299" s="24"/>
      <c r="K299" s="24"/>
      <c r="L299" s="235">
        <f t="shared" si="47"/>
        <v>41.52137135334938</v>
      </c>
      <c r="M299" s="126"/>
      <c r="N299" s="126"/>
      <c r="O299" s="126"/>
      <c r="P299" s="10">
        <f t="shared" si="48"/>
        <v>4.917328646650617</v>
      </c>
      <c r="Q299" s="10">
        <f t="shared" si="53"/>
        <v>24.180121019170787</v>
      </c>
      <c r="W299" s="240">
        <f t="shared" si="54"/>
        <v>4.917328646650617</v>
      </c>
      <c r="X299" s="240">
        <f t="shared" si="55"/>
        <v>0.10588859392383114</v>
      </c>
      <c r="Y299"/>
      <c r="Z299" s="13">
        <f t="shared" si="49"/>
        <v>46.44262054194229</v>
      </c>
      <c r="AA299" s="2"/>
      <c r="AB299" s="68"/>
      <c r="AC299" s="15">
        <f t="shared" si="50"/>
        <v>137.64477331639759</v>
      </c>
    </row>
    <row r="300" spans="1:29">
      <c r="A300" s="84">
        <f>'Q.1 &amp; 4'!K305</f>
        <v>2.5</v>
      </c>
      <c r="B300" s="141">
        <f>'Q.1 &amp; 4'!L305</f>
        <v>40.187600000000003</v>
      </c>
      <c r="C300" s="221"/>
      <c r="D300" s="23"/>
      <c r="E300" s="24"/>
      <c r="F300" s="22">
        <f t="shared" si="45"/>
        <v>-1.0074074074074115</v>
      </c>
      <c r="G300" s="22">
        <f t="shared" si="46"/>
        <v>5.4811109304426395</v>
      </c>
      <c r="H300" s="22">
        <f t="shared" si="51"/>
        <v>-5.5217117521496446</v>
      </c>
      <c r="I300" s="22">
        <f t="shared" si="52"/>
        <v>1.0148696844993224</v>
      </c>
      <c r="J300" s="24"/>
      <c r="K300" s="24"/>
      <c r="L300" s="235">
        <f t="shared" si="47"/>
        <v>39.260906713762353</v>
      </c>
      <c r="M300" s="126"/>
      <c r="N300" s="126"/>
      <c r="O300" s="126"/>
      <c r="P300" s="10">
        <f t="shared" si="48"/>
        <v>0.92669328623765068</v>
      </c>
      <c r="Q300" s="10">
        <f t="shared" si="53"/>
        <v>0.85876044675793639</v>
      </c>
      <c r="W300" s="240">
        <f t="shared" si="54"/>
        <v>0.92669328623765068</v>
      </c>
      <c r="X300" s="240">
        <f t="shared" si="55"/>
        <v>2.3059184580259847E-2</v>
      </c>
      <c r="Y300"/>
      <c r="Z300" s="13">
        <f t="shared" si="49"/>
        <v>20.742720077845721</v>
      </c>
      <c r="AA300" s="2"/>
      <c r="AB300" s="68"/>
      <c r="AC300" s="15">
        <f t="shared" si="50"/>
        <v>30.042577031817778</v>
      </c>
    </row>
    <row r="301" spans="1:29">
      <c r="A301" s="84">
        <f>'Q.1 &amp; 4'!K306</f>
        <v>2.5</v>
      </c>
      <c r="B301" s="141">
        <f>'Q.1 &amp; 4'!L306</f>
        <v>40.887300000000003</v>
      </c>
      <c r="C301" s="221"/>
      <c r="D301" s="23"/>
      <c r="E301" s="24"/>
      <c r="F301" s="22">
        <f t="shared" si="45"/>
        <v>-1.0074074074074115</v>
      </c>
      <c r="G301" s="22">
        <f t="shared" si="46"/>
        <v>6.1808109304426395</v>
      </c>
      <c r="H301" s="22">
        <f t="shared" si="51"/>
        <v>-6.2265947151126104</v>
      </c>
      <c r="I301" s="22">
        <f t="shared" si="52"/>
        <v>1.0148696844993224</v>
      </c>
      <c r="J301" s="24"/>
      <c r="K301" s="24"/>
      <c r="L301" s="235">
        <f t="shared" si="47"/>
        <v>39.260906713762353</v>
      </c>
      <c r="M301" s="126"/>
      <c r="N301" s="126"/>
      <c r="O301" s="126"/>
      <c r="P301" s="10">
        <f t="shared" si="48"/>
        <v>1.6263932862376507</v>
      </c>
      <c r="Q301" s="10">
        <f t="shared" si="53"/>
        <v>2.6451551215189046</v>
      </c>
      <c r="W301" s="240">
        <f t="shared" si="54"/>
        <v>1.6263932862376507</v>
      </c>
      <c r="X301" s="240">
        <f t="shared" si="55"/>
        <v>3.977746846178766E-2</v>
      </c>
      <c r="Y301"/>
      <c r="Z301" s="13">
        <f t="shared" si="49"/>
        <v>20.742720077845721</v>
      </c>
      <c r="AA301" s="2"/>
      <c r="AB301" s="68"/>
      <c r="AC301" s="15">
        <f t="shared" si="50"/>
        <v>38.20242375787921</v>
      </c>
    </row>
    <row r="302" spans="1:29">
      <c r="A302" s="84">
        <f>'Q.1 &amp; 4'!K307</f>
        <v>3</v>
      </c>
      <c r="B302" s="141">
        <f>'Q.1 &amp; 4'!L307</f>
        <v>35.799999999999997</v>
      </c>
      <c r="C302" s="221"/>
      <c r="D302" s="23"/>
      <c r="E302" s="24"/>
      <c r="F302" s="22">
        <f t="shared" si="45"/>
        <v>-0.50740740740741153</v>
      </c>
      <c r="G302" s="22">
        <f t="shared" si="46"/>
        <v>1.0935109304426334</v>
      </c>
      <c r="H302" s="22">
        <f t="shared" si="51"/>
        <v>-0.55485554618756294</v>
      </c>
      <c r="I302" s="22">
        <f t="shared" si="52"/>
        <v>0.25746227709191088</v>
      </c>
      <c r="J302" s="24"/>
      <c r="K302" s="24"/>
      <c r="L302" s="235">
        <f t="shared" si="47"/>
        <v>37.000442074175325</v>
      </c>
      <c r="M302" s="126"/>
      <c r="N302" s="126"/>
      <c r="O302" s="126"/>
      <c r="P302" s="10">
        <f t="shared" si="48"/>
        <v>-1.2004420741753279</v>
      </c>
      <c r="Q302" s="10">
        <f t="shared" si="53"/>
        <v>1.4410611734503633</v>
      </c>
      <c r="W302" s="240">
        <f t="shared" si="54"/>
        <v>1.2004420741753279</v>
      </c>
      <c r="X302" s="240">
        <f t="shared" si="55"/>
        <v>3.3531901513277319E-2</v>
      </c>
      <c r="Y302"/>
      <c r="Z302" s="13">
        <f t="shared" si="49"/>
        <v>5.2622203873957725</v>
      </c>
      <c r="AA302" s="2"/>
      <c r="AB302" s="68"/>
      <c r="AC302" s="15">
        <f t="shared" si="50"/>
        <v>1.1957661549975138</v>
      </c>
    </row>
    <row r="303" spans="1:29">
      <c r="A303" s="84">
        <f>'Q.1 &amp; 4'!K308</f>
        <v>3</v>
      </c>
      <c r="B303" s="141">
        <f>'Q.1 &amp; 4'!L308</f>
        <v>35.731099999999998</v>
      </c>
      <c r="C303" s="221"/>
      <c r="D303" s="23"/>
      <c r="E303" s="24"/>
      <c r="F303" s="22">
        <f t="shared" si="45"/>
        <v>-0.50740740740741153</v>
      </c>
      <c r="G303" s="22">
        <f t="shared" si="46"/>
        <v>1.0246109304426341</v>
      </c>
      <c r="H303" s="22">
        <f t="shared" si="51"/>
        <v>-0.51989517581719258</v>
      </c>
      <c r="I303" s="22">
        <f t="shared" si="52"/>
        <v>0.25746227709191088</v>
      </c>
      <c r="J303" s="24"/>
      <c r="K303" s="24"/>
      <c r="L303" s="235">
        <f t="shared" si="47"/>
        <v>37.000442074175325</v>
      </c>
      <c r="M303" s="126"/>
      <c r="N303" s="126"/>
      <c r="O303" s="126"/>
      <c r="P303" s="10">
        <f t="shared" si="48"/>
        <v>-1.2693420741753272</v>
      </c>
      <c r="Q303" s="10">
        <f t="shared" si="53"/>
        <v>1.6112293012717218</v>
      </c>
      <c r="W303" s="240">
        <f t="shared" si="54"/>
        <v>1.2693420741753272</v>
      </c>
      <c r="X303" s="240">
        <f t="shared" si="55"/>
        <v>3.5524852976128E-2</v>
      </c>
      <c r="Y303"/>
      <c r="Z303" s="13">
        <f t="shared" si="49"/>
        <v>5.2622203873957725</v>
      </c>
      <c r="AA303" s="2"/>
      <c r="AB303" s="68"/>
      <c r="AC303" s="15">
        <f t="shared" si="50"/>
        <v>1.0498275587825203</v>
      </c>
    </row>
    <row r="304" spans="1:29">
      <c r="A304" s="84">
        <f>'Q.1 &amp; 4'!K309</f>
        <v>3.5</v>
      </c>
      <c r="B304" s="141">
        <f>'Q.1 &amp; 4'!L309</f>
        <v>35.9</v>
      </c>
      <c r="C304" s="221"/>
      <c r="D304" s="23"/>
      <c r="E304" s="24"/>
      <c r="F304" s="22">
        <f t="shared" si="45"/>
        <v>-7.4074074074115259E-3</v>
      </c>
      <c r="G304" s="22">
        <f t="shared" si="46"/>
        <v>1.1935109304426348</v>
      </c>
      <c r="H304" s="22">
        <f t="shared" si="51"/>
        <v>-8.8408217069873962E-3</v>
      </c>
      <c r="I304" s="22">
        <f t="shared" si="52"/>
        <v>5.4869684499375142E-5</v>
      </c>
      <c r="J304" s="24"/>
      <c r="K304" s="24"/>
      <c r="L304" s="235">
        <f t="shared" si="47"/>
        <v>34.739977434588305</v>
      </c>
      <c r="M304" s="126"/>
      <c r="N304" s="126"/>
      <c r="O304" s="126"/>
      <c r="P304" s="10">
        <f t="shared" si="48"/>
        <v>1.160022565411694</v>
      </c>
      <c r="Q304" s="10">
        <f t="shared" si="53"/>
        <v>1.345652352264328</v>
      </c>
      <c r="W304" s="240">
        <f t="shared" si="54"/>
        <v>1.160022565411694</v>
      </c>
      <c r="X304" s="240">
        <f t="shared" si="55"/>
        <v>3.2312606278877269E-2</v>
      </c>
      <c r="Y304"/>
      <c r="Z304" s="13">
        <f t="shared" si="49"/>
        <v>1.1214705924455365E-3</v>
      </c>
      <c r="AA304" s="2"/>
      <c r="AB304" s="68"/>
      <c r="AC304" s="15">
        <f t="shared" si="50"/>
        <v>1.4244683410860439</v>
      </c>
    </row>
    <row r="305" spans="1:29">
      <c r="A305" s="84">
        <f>'Q.1 &amp; 4'!K310</f>
        <v>3</v>
      </c>
      <c r="B305" s="141">
        <f>'Q.1 &amp; 4'!L310</f>
        <v>34.9</v>
      </c>
      <c r="C305" s="221"/>
      <c r="D305" s="23"/>
      <c r="E305" s="24"/>
      <c r="F305" s="22">
        <f t="shared" si="45"/>
        <v>-0.50740740740741153</v>
      </c>
      <c r="G305" s="22">
        <f t="shared" si="46"/>
        <v>0.19351093044263479</v>
      </c>
      <c r="H305" s="22">
        <f t="shared" si="51"/>
        <v>-9.8188879520893266E-2</v>
      </c>
      <c r="I305" s="22">
        <f t="shared" si="52"/>
        <v>0.25746227709191088</v>
      </c>
      <c r="J305" s="24"/>
      <c r="K305" s="24"/>
      <c r="L305" s="235">
        <f t="shared" si="47"/>
        <v>37.000442074175325</v>
      </c>
      <c r="M305" s="126"/>
      <c r="N305" s="126"/>
      <c r="O305" s="126"/>
      <c r="P305" s="10">
        <f t="shared" si="48"/>
        <v>-2.1004420741753265</v>
      </c>
      <c r="Q305" s="10">
        <f t="shared" si="53"/>
        <v>4.4118569069659479</v>
      </c>
      <c r="W305" s="240">
        <f t="shared" si="54"/>
        <v>2.1004420741753265</v>
      </c>
      <c r="X305" s="240">
        <f t="shared" si="55"/>
        <v>6.0184586652588155E-2</v>
      </c>
      <c r="Y305"/>
      <c r="Z305" s="13">
        <f t="shared" si="49"/>
        <v>5.2622203873957725</v>
      </c>
      <c r="AA305" s="2"/>
      <c r="AB305" s="68"/>
      <c r="AC305" s="15">
        <f t="shared" si="50"/>
        <v>3.7446480200774242E-2</v>
      </c>
    </row>
    <row r="306" spans="1:29">
      <c r="A306" s="84">
        <f>'Q.1 &amp; 4'!K311</f>
        <v>3.5</v>
      </c>
      <c r="B306" s="141">
        <f>'Q.1 &amp; 4'!L311</f>
        <v>33.9</v>
      </c>
      <c r="C306" s="221"/>
      <c r="D306" s="23"/>
      <c r="E306" s="24"/>
      <c r="F306" s="22">
        <f t="shared" si="45"/>
        <v>-7.4074074074115259E-3</v>
      </c>
      <c r="G306" s="22">
        <f t="shared" si="46"/>
        <v>-0.80648906955736521</v>
      </c>
      <c r="H306" s="22">
        <f t="shared" si="51"/>
        <v>5.9739931078356566E-3</v>
      </c>
      <c r="I306" s="22">
        <f t="shared" si="52"/>
        <v>5.4869684499375142E-5</v>
      </c>
      <c r="J306" s="24"/>
      <c r="K306" s="24"/>
      <c r="L306" s="235">
        <f t="shared" si="47"/>
        <v>34.739977434588305</v>
      </c>
      <c r="M306" s="126"/>
      <c r="N306" s="126"/>
      <c r="O306" s="126"/>
      <c r="P306" s="10">
        <f t="shared" si="48"/>
        <v>-0.83997743458830598</v>
      </c>
      <c r="Q306" s="10">
        <f t="shared" si="53"/>
        <v>0.70556209061755182</v>
      </c>
      <c r="W306" s="240">
        <f t="shared" si="54"/>
        <v>0.83997743458830598</v>
      </c>
      <c r="X306" s="240">
        <f t="shared" si="55"/>
        <v>2.4778095415584248E-2</v>
      </c>
      <c r="Y306"/>
      <c r="Z306" s="13">
        <f t="shared" si="49"/>
        <v>1.1214705924455365E-3</v>
      </c>
      <c r="AA306" s="2"/>
      <c r="AB306" s="68"/>
      <c r="AC306" s="15">
        <f t="shared" si="50"/>
        <v>0.65042461931550466</v>
      </c>
    </row>
    <row r="307" spans="1:29">
      <c r="A307" s="84">
        <f>'Q.1 &amp; 4'!K312</f>
        <v>3.5</v>
      </c>
      <c r="B307" s="141">
        <f>'Q.1 &amp; 4'!L312</f>
        <v>34.6</v>
      </c>
      <c r="C307" s="221"/>
      <c r="D307" s="23"/>
      <c r="E307" s="24"/>
      <c r="F307" s="22">
        <f t="shared" si="45"/>
        <v>-7.4074074074115259E-3</v>
      </c>
      <c r="G307" s="22">
        <f t="shared" si="46"/>
        <v>-0.10648906955736237</v>
      </c>
      <c r="H307" s="22">
        <f t="shared" si="51"/>
        <v>7.8880792264756727E-4</v>
      </c>
      <c r="I307" s="22">
        <f t="shared" si="52"/>
        <v>5.4869684499375142E-5</v>
      </c>
      <c r="J307" s="24"/>
      <c r="K307" s="24"/>
      <c r="L307" s="235">
        <f t="shared" si="47"/>
        <v>34.739977434588305</v>
      </c>
      <c r="M307" s="126"/>
      <c r="N307" s="126"/>
      <c r="O307" s="126"/>
      <c r="P307" s="10">
        <f t="shared" si="48"/>
        <v>-0.13997743458830314</v>
      </c>
      <c r="Q307" s="10">
        <f t="shared" si="53"/>
        <v>1.9593682193922685E-2</v>
      </c>
      <c r="W307" s="240">
        <f t="shared" si="54"/>
        <v>0.13997743458830314</v>
      </c>
      <c r="X307" s="240">
        <f t="shared" si="55"/>
        <v>4.0455905950376632E-3</v>
      </c>
      <c r="Y307"/>
      <c r="Z307" s="13">
        <f t="shared" si="49"/>
        <v>1.1214705924455365E-3</v>
      </c>
      <c r="AA307" s="2"/>
      <c r="AB307" s="68"/>
      <c r="AC307" s="15">
        <f t="shared" si="50"/>
        <v>1.1339921935192761E-2</v>
      </c>
    </row>
    <row r="308" spans="1:29">
      <c r="A308" s="84">
        <f>'Q.1 &amp; 4'!K313</f>
        <v>6.3</v>
      </c>
      <c r="B308" s="141">
        <f>'Q.1 &amp; 4'!L313</f>
        <v>26.6722</v>
      </c>
      <c r="C308" s="221"/>
      <c r="D308" s="23"/>
      <c r="E308" s="24"/>
      <c r="F308" s="22">
        <f t="shared" si="45"/>
        <v>2.7925925925925883</v>
      </c>
      <c r="G308" s="22">
        <f t="shared" si="46"/>
        <v>-8.0342890695573637</v>
      </c>
      <c r="H308" s="22">
        <f t="shared" si="51"/>
        <v>-22.436496142393491</v>
      </c>
      <c r="I308" s="22">
        <f t="shared" si="52"/>
        <v>7.7985733882029935</v>
      </c>
      <c r="J308" s="24"/>
      <c r="K308" s="24"/>
      <c r="L308" s="235">
        <f t="shared" si="47"/>
        <v>22.081375452900961</v>
      </c>
      <c r="M308" s="126"/>
      <c r="N308" s="126"/>
      <c r="O308" s="126"/>
      <c r="P308" s="10">
        <f t="shared" si="48"/>
        <v>4.5908245470990394</v>
      </c>
      <c r="Q308" s="10">
        <f t="shared" si="53"/>
        <v>21.075670022247099</v>
      </c>
      <c r="W308" s="240">
        <f t="shared" si="54"/>
        <v>4.5908245470990394</v>
      </c>
      <c r="X308" s="240">
        <f t="shared" si="55"/>
        <v>0.17212020557355748</v>
      </c>
      <c r="Y308"/>
      <c r="Z308" s="13">
        <f t="shared" si="49"/>
        <v>159.39349383348292</v>
      </c>
      <c r="AA308" s="2"/>
      <c r="AB308" s="68"/>
      <c r="AC308" s="15">
        <f t="shared" si="50"/>
        <v>64.549800853208922</v>
      </c>
    </row>
    <row r="309" spans="1:29">
      <c r="A309" s="84">
        <f>'Q.1 &amp; 4'!K314</f>
        <v>5.5</v>
      </c>
      <c r="B309" s="141">
        <f>'Q.1 &amp; 4'!L314</f>
        <v>29.2</v>
      </c>
      <c r="C309" s="221"/>
      <c r="D309" s="23"/>
      <c r="E309" s="24"/>
      <c r="F309" s="22">
        <f t="shared" si="45"/>
        <v>1.9925925925925885</v>
      </c>
      <c r="G309" s="22">
        <f t="shared" si="46"/>
        <v>-5.5064890695573645</v>
      </c>
      <c r="H309" s="22">
        <f t="shared" si="51"/>
        <v>-10.972189331192059</v>
      </c>
      <c r="I309" s="22">
        <f t="shared" si="52"/>
        <v>3.9704252400548534</v>
      </c>
      <c r="J309" s="24"/>
      <c r="K309" s="24"/>
      <c r="L309" s="235">
        <f t="shared" si="47"/>
        <v>25.698118876240201</v>
      </c>
      <c r="M309" s="126"/>
      <c r="N309" s="126"/>
      <c r="O309" s="126"/>
      <c r="P309" s="10">
        <f t="shared" si="48"/>
        <v>3.501881123759798</v>
      </c>
      <c r="Q309" s="10">
        <f t="shared" si="53"/>
        <v>12.263171404945185</v>
      </c>
      <c r="W309" s="240">
        <f t="shared" si="54"/>
        <v>3.501881123759798</v>
      </c>
      <c r="X309" s="240">
        <f t="shared" si="55"/>
        <v>0.11992743574519857</v>
      </c>
      <c r="Y309"/>
      <c r="Z309" s="13">
        <f t="shared" si="49"/>
        <v>81.150733539845092</v>
      </c>
      <c r="AA309" s="2"/>
      <c r="AB309" s="68"/>
      <c r="AC309" s="15">
        <f t="shared" si="50"/>
        <v>30.32142187315473</v>
      </c>
    </row>
    <row r="310" spans="1:29">
      <c r="A310" s="84">
        <f>'Q.1 &amp; 4'!K315</f>
        <v>5.5</v>
      </c>
      <c r="B310" s="141">
        <f>'Q.1 &amp; 4'!L315</f>
        <v>23.9</v>
      </c>
      <c r="C310" s="221"/>
      <c r="D310" s="23"/>
      <c r="E310" s="24"/>
      <c r="F310" s="22">
        <f t="shared" si="45"/>
        <v>1.9925925925925885</v>
      </c>
      <c r="G310" s="22">
        <f t="shared" si="46"/>
        <v>-10.806489069557365</v>
      </c>
      <c r="H310" s="22">
        <f t="shared" si="51"/>
        <v>-21.532930071932778</v>
      </c>
      <c r="I310" s="22">
        <f t="shared" si="52"/>
        <v>3.9704252400548534</v>
      </c>
      <c r="J310" s="24"/>
      <c r="K310" s="24"/>
      <c r="L310" s="235">
        <f t="shared" si="47"/>
        <v>25.698118876240201</v>
      </c>
      <c r="M310" s="126"/>
      <c r="N310" s="126"/>
      <c r="O310" s="126"/>
      <c r="P310" s="10">
        <f t="shared" si="48"/>
        <v>-1.7981188762402027</v>
      </c>
      <c r="Q310" s="10">
        <f t="shared" si="53"/>
        <v>3.2332314930913295</v>
      </c>
      <c r="W310" s="240">
        <f t="shared" si="54"/>
        <v>1.7981188762402027</v>
      </c>
      <c r="X310" s="240">
        <f t="shared" si="55"/>
        <v>7.5235099424276267E-2</v>
      </c>
      <c r="Y310"/>
      <c r="Z310" s="13">
        <f t="shared" si="49"/>
        <v>81.150733539845092</v>
      </c>
      <c r="AA310" s="2"/>
      <c r="AB310" s="68"/>
      <c r="AC310" s="15">
        <f t="shared" si="50"/>
        <v>116.78020601046281</v>
      </c>
    </row>
    <row r="311" spans="1:29">
      <c r="A311" s="84">
        <f>'Q.1 &amp; 4'!K316</f>
        <v>6.3</v>
      </c>
      <c r="B311" s="141">
        <f>'Q.1 &amp; 4'!L316</f>
        <v>24.7</v>
      </c>
      <c r="C311" s="221"/>
      <c r="D311" s="23"/>
      <c r="E311" s="24"/>
      <c r="F311" s="22">
        <f t="shared" si="45"/>
        <v>2.7925925925925883</v>
      </c>
      <c r="G311" s="22">
        <f t="shared" si="46"/>
        <v>-10.006489069557365</v>
      </c>
      <c r="H311" s="22">
        <f t="shared" si="51"/>
        <v>-27.944047253504596</v>
      </c>
      <c r="I311" s="22">
        <f t="shared" si="52"/>
        <v>7.7985733882029935</v>
      </c>
      <c r="J311" s="24"/>
      <c r="K311" s="24"/>
      <c r="L311" s="235">
        <f t="shared" si="47"/>
        <v>22.081375452900961</v>
      </c>
      <c r="M311" s="126"/>
      <c r="N311" s="126"/>
      <c r="O311" s="126"/>
      <c r="P311" s="10">
        <f t="shared" si="48"/>
        <v>2.6186245470990386</v>
      </c>
      <c r="Q311" s="10">
        <f t="shared" si="53"/>
        <v>6.8571945186696448</v>
      </c>
      <c r="W311" s="240">
        <f t="shared" si="54"/>
        <v>2.6186245470990386</v>
      </c>
      <c r="X311" s="240">
        <f t="shared" si="55"/>
        <v>0.10601718814166149</v>
      </c>
      <c r="Y311"/>
      <c r="Z311" s="13">
        <f t="shared" si="49"/>
        <v>159.39349383348292</v>
      </c>
      <c r="AA311" s="2"/>
      <c r="AB311" s="68"/>
      <c r="AC311" s="15">
        <f t="shared" si="50"/>
        <v>100.12982349917101</v>
      </c>
    </row>
    <row r="312" spans="1:29">
      <c r="A312" s="84">
        <f>'Q.1 &amp; 4'!K317</f>
        <v>6</v>
      </c>
      <c r="B312" s="141">
        <f>'Q.1 &amp; 4'!L317</f>
        <v>23.4</v>
      </c>
      <c r="C312" s="221"/>
      <c r="D312" s="23"/>
      <c r="E312" s="24"/>
      <c r="F312" s="22">
        <f t="shared" si="45"/>
        <v>2.4925925925925885</v>
      </c>
      <c r="G312" s="22">
        <f t="shared" si="46"/>
        <v>-11.306489069557365</v>
      </c>
      <c r="H312" s="22">
        <f t="shared" si="51"/>
        <v>-28.182470903007758</v>
      </c>
      <c r="I312" s="22">
        <f t="shared" si="52"/>
        <v>6.2130178326474415</v>
      </c>
      <c r="J312" s="24"/>
      <c r="K312" s="24"/>
      <c r="L312" s="235">
        <f t="shared" si="47"/>
        <v>23.437654236653174</v>
      </c>
      <c r="M312" s="126"/>
      <c r="N312" s="126"/>
      <c r="O312" s="126"/>
      <c r="P312" s="10">
        <f t="shared" si="48"/>
        <v>-3.7654236653175133E-2</v>
      </c>
      <c r="Q312" s="10">
        <f t="shared" si="53"/>
        <v>1.4178415379333177E-3</v>
      </c>
      <c r="W312" s="240">
        <f t="shared" si="54"/>
        <v>3.7654236653175133E-2</v>
      </c>
      <c r="X312" s="240">
        <f t="shared" si="55"/>
        <v>1.6091554125288519E-3</v>
      </c>
      <c r="Y312"/>
      <c r="Z312" s="13">
        <f t="shared" si="49"/>
        <v>126.9866384912748</v>
      </c>
      <c r="AA312" s="2"/>
      <c r="AB312" s="68"/>
      <c r="AC312" s="15">
        <f t="shared" si="50"/>
        <v>127.83669508002018</v>
      </c>
    </row>
    <row r="313" spans="1:29">
      <c r="A313" s="84">
        <f>'Q.1 &amp; 4'!K318</f>
        <v>5.5</v>
      </c>
      <c r="B313" s="141">
        <f>'Q.1 &amp; 4'!L318</f>
        <v>29</v>
      </c>
      <c r="C313" s="221"/>
      <c r="D313" s="23"/>
      <c r="E313" s="24"/>
      <c r="F313" s="22">
        <f t="shared" si="45"/>
        <v>1.9925925925925885</v>
      </c>
      <c r="G313" s="22">
        <f t="shared" si="46"/>
        <v>-5.7064890695573638</v>
      </c>
      <c r="H313" s="22">
        <f t="shared" si="51"/>
        <v>-11.370707849710575</v>
      </c>
      <c r="I313" s="22">
        <f t="shared" si="52"/>
        <v>3.9704252400548534</v>
      </c>
      <c r="J313" s="24"/>
      <c r="K313" s="24"/>
      <c r="L313" s="235">
        <f t="shared" si="47"/>
        <v>25.698118876240201</v>
      </c>
      <c r="M313" s="126"/>
      <c r="N313" s="126"/>
      <c r="O313" s="126"/>
      <c r="P313" s="10">
        <f t="shared" si="48"/>
        <v>3.3018811237597987</v>
      </c>
      <c r="Q313" s="10">
        <f t="shared" si="53"/>
        <v>10.902418955441272</v>
      </c>
      <c r="W313" s="240">
        <f t="shared" si="54"/>
        <v>3.3018811237597987</v>
      </c>
      <c r="X313" s="240">
        <f t="shared" si="55"/>
        <v>0.11385796978482064</v>
      </c>
      <c r="Y313"/>
      <c r="Z313" s="13">
        <f t="shared" si="49"/>
        <v>81.150733539845092</v>
      </c>
      <c r="AA313" s="2"/>
      <c r="AB313" s="68"/>
      <c r="AC313" s="15">
        <f t="shared" si="50"/>
        <v>32.56401750097767</v>
      </c>
    </row>
    <row r="314" spans="1:29">
      <c r="A314" s="84">
        <f>'Q.1 &amp; 4'!K319</f>
        <v>6.3</v>
      </c>
      <c r="B314" s="141">
        <f>'Q.1 &amp; 4'!L319</f>
        <v>24.8202</v>
      </c>
      <c r="C314" s="221"/>
      <c r="D314" s="23"/>
      <c r="E314" s="24"/>
      <c r="F314" s="22">
        <f t="shared" si="45"/>
        <v>2.7925925925925883</v>
      </c>
      <c r="G314" s="22">
        <f t="shared" si="46"/>
        <v>-9.886289069557364</v>
      </c>
      <c r="H314" s="22">
        <f t="shared" si="51"/>
        <v>-27.608377623874965</v>
      </c>
      <c r="I314" s="22">
        <f t="shared" si="52"/>
        <v>7.7985733882029935</v>
      </c>
      <c r="J314" s="24"/>
      <c r="K314" s="24"/>
      <c r="L314" s="235">
        <f t="shared" si="47"/>
        <v>22.081375452900961</v>
      </c>
      <c r="M314" s="126"/>
      <c r="N314" s="126"/>
      <c r="O314" s="126"/>
      <c r="P314" s="10">
        <f t="shared" si="48"/>
        <v>2.7388245470990391</v>
      </c>
      <c r="Q314" s="10">
        <f t="shared" si="53"/>
        <v>7.5011598997922571</v>
      </c>
      <c r="W314" s="240">
        <f t="shared" si="54"/>
        <v>2.7388245470990391</v>
      </c>
      <c r="X314" s="240">
        <f t="shared" si="55"/>
        <v>0.11034659459226917</v>
      </c>
      <c r="Y314"/>
      <c r="Z314" s="13">
        <f t="shared" si="49"/>
        <v>159.39349383348292</v>
      </c>
      <c r="AA314" s="2"/>
      <c r="AB314" s="68"/>
      <c r="AC314" s="15">
        <f t="shared" si="50"/>
        <v>97.738711566849403</v>
      </c>
    </row>
    <row r="315" spans="1:29">
      <c r="A315" s="84">
        <f>'Q.1 &amp; 4'!K320</f>
        <v>2</v>
      </c>
      <c r="B315" s="141">
        <f>'Q.1 &amp; 4'!L320</f>
        <v>42.936300000000003</v>
      </c>
      <c r="C315" s="221"/>
      <c r="D315" s="23"/>
      <c r="E315" s="24"/>
      <c r="F315" s="22">
        <f t="shared" si="45"/>
        <v>-1.5074074074074115</v>
      </c>
      <c r="G315" s="22">
        <f t="shared" si="46"/>
        <v>8.229810930442639</v>
      </c>
      <c r="H315" s="22">
        <f t="shared" si="51"/>
        <v>-12.405677958111715</v>
      </c>
      <c r="I315" s="22">
        <f t="shared" si="52"/>
        <v>2.2722770919067341</v>
      </c>
      <c r="J315" s="24"/>
      <c r="K315" s="24"/>
      <c r="L315" s="235">
        <f t="shared" si="47"/>
        <v>41.52137135334938</v>
      </c>
      <c r="M315" s="126"/>
      <c r="N315" s="126"/>
      <c r="O315" s="126"/>
      <c r="P315" s="10">
        <f t="shared" si="48"/>
        <v>1.4149286466506226</v>
      </c>
      <c r="Q315" s="10">
        <f t="shared" si="53"/>
        <v>2.0020230751125623</v>
      </c>
      <c r="W315" s="240">
        <f t="shared" si="54"/>
        <v>1.4149286466506226</v>
      </c>
      <c r="X315" s="240">
        <f t="shared" si="55"/>
        <v>3.2954135466973691E-2</v>
      </c>
      <c r="Y315"/>
      <c r="Z315" s="13">
        <f t="shared" si="49"/>
        <v>46.44262054194229</v>
      </c>
      <c r="AA315" s="2"/>
      <c r="AB315" s="68"/>
      <c r="AC315" s="15">
        <f t="shared" si="50"/>
        <v>67.729787950833142</v>
      </c>
    </row>
    <row r="316" spans="1:29">
      <c r="A316" s="84">
        <f>'Q.1 &amp; 4'!K321</f>
        <v>2</v>
      </c>
      <c r="B316" s="141">
        <f>'Q.1 &amp; 4'!L321</f>
        <v>42.457900000000002</v>
      </c>
      <c r="C316" s="221"/>
      <c r="D316" s="23"/>
      <c r="E316" s="24"/>
      <c r="F316" s="22">
        <f t="shared" si="45"/>
        <v>-1.5074074074074115</v>
      </c>
      <c r="G316" s="22">
        <f t="shared" si="46"/>
        <v>7.7514109304426384</v>
      </c>
      <c r="H316" s="22">
        <f t="shared" si="51"/>
        <v>-11.684534254408009</v>
      </c>
      <c r="I316" s="22">
        <f t="shared" si="52"/>
        <v>2.2722770919067341</v>
      </c>
      <c r="J316" s="24"/>
      <c r="K316" s="24"/>
      <c r="L316" s="235">
        <f t="shared" si="47"/>
        <v>41.52137135334938</v>
      </c>
      <c r="M316" s="126"/>
      <c r="N316" s="126"/>
      <c r="O316" s="126"/>
      <c r="P316" s="10">
        <f t="shared" si="48"/>
        <v>0.93652864665062197</v>
      </c>
      <c r="Q316" s="10">
        <f t="shared" si="53"/>
        <v>0.87708590599724556</v>
      </c>
      <c r="W316" s="240">
        <f t="shared" si="54"/>
        <v>0.93652864665062197</v>
      </c>
      <c r="X316" s="240">
        <f t="shared" si="55"/>
        <v>2.2057818371860643E-2</v>
      </c>
      <c r="Y316"/>
      <c r="Z316" s="13">
        <f t="shared" si="49"/>
        <v>46.44262054194229</v>
      </c>
      <c r="AA316" s="2"/>
      <c r="AB316" s="68"/>
      <c r="AC316" s="15">
        <f t="shared" si="50"/>
        <v>60.084371412585611</v>
      </c>
    </row>
    <row r="317" spans="1:29">
      <c r="A317" s="84">
        <f>'Q.1 &amp; 4'!K322</f>
        <v>2</v>
      </c>
      <c r="B317" s="141">
        <f>'Q.1 &amp; 4'!L322</f>
        <v>34.9</v>
      </c>
      <c r="C317" s="221"/>
      <c r="D317" s="23"/>
      <c r="E317" s="24"/>
      <c r="F317" s="22">
        <f t="shared" si="45"/>
        <v>-1.5074074074074115</v>
      </c>
      <c r="G317" s="22">
        <f t="shared" si="46"/>
        <v>0.19351093044263479</v>
      </c>
      <c r="H317" s="22">
        <f t="shared" si="51"/>
        <v>-0.29169980996352807</v>
      </c>
      <c r="I317" s="22">
        <f t="shared" si="52"/>
        <v>2.2722770919067341</v>
      </c>
      <c r="J317" s="24"/>
      <c r="K317" s="24"/>
      <c r="L317" s="235">
        <f t="shared" si="47"/>
        <v>41.52137135334938</v>
      </c>
      <c r="M317" s="126"/>
      <c r="N317" s="126"/>
      <c r="O317" s="126"/>
      <c r="P317" s="10">
        <f t="shared" si="48"/>
        <v>-6.6213713533493816</v>
      </c>
      <c r="Q317" s="10">
        <f t="shared" si="53"/>
        <v>43.842558598955819</v>
      </c>
      <c r="W317" s="240">
        <f t="shared" si="54"/>
        <v>6.6213713533493816</v>
      </c>
      <c r="X317" s="240">
        <f t="shared" si="55"/>
        <v>0.18972410754582755</v>
      </c>
      <c r="Y317"/>
      <c r="Z317" s="13">
        <f t="shared" si="49"/>
        <v>46.44262054194229</v>
      </c>
      <c r="AA317" s="2"/>
      <c r="AB317" s="68"/>
      <c r="AC317" s="15">
        <f t="shared" si="50"/>
        <v>3.7446480200774242E-2</v>
      </c>
    </row>
    <row r="318" spans="1:29">
      <c r="A318" s="84">
        <f>'Q.1 &amp; 4'!K323</f>
        <v>2.4</v>
      </c>
      <c r="B318" s="141">
        <f>'Q.1 &amp; 4'!L323</f>
        <v>38.876899999999999</v>
      </c>
      <c r="C318" s="221"/>
      <c r="D318" s="23"/>
      <c r="E318" s="24"/>
      <c r="F318" s="22">
        <f t="shared" si="45"/>
        <v>-1.1074074074074116</v>
      </c>
      <c r="G318" s="22">
        <f t="shared" si="46"/>
        <v>4.1704109304426353</v>
      </c>
      <c r="H318" s="22">
        <f t="shared" si="51"/>
        <v>-4.6183439563050097</v>
      </c>
      <c r="I318" s="22">
        <f t="shared" si="52"/>
        <v>1.2263511659808048</v>
      </c>
      <c r="J318" s="24"/>
      <c r="K318" s="24"/>
      <c r="L318" s="235">
        <f t="shared" si="47"/>
        <v>39.712999641679758</v>
      </c>
      <c r="M318" s="126"/>
      <c r="N318" s="126"/>
      <c r="O318" s="126"/>
      <c r="P318" s="10">
        <f t="shared" si="48"/>
        <v>-0.83609964167975903</v>
      </c>
      <c r="Q318" s="10">
        <f t="shared" si="53"/>
        <v>0.69906261081702148</v>
      </c>
      <c r="W318" s="240">
        <f t="shared" si="54"/>
        <v>0.83609964167975903</v>
      </c>
      <c r="X318" s="240">
        <f t="shared" si="55"/>
        <v>2.1506335167664065E-2</v>
      </c>
      <c r="Y318"/>
      <c r="Z318" s="13">
        <f t="shared" si="49"/>
        <v>25.065148108773304</v>
      </c>
      <c r="AA318" s="2"/>
      <c r="AB318" s="68"/>
      <c r="AC318" s="15">
        <f t="shared" si="50"/>
        <v>17.392327328755407</v>
      </c>
    </row>
    <row r="319" spans="1:29">
      <c r="A319" s="84">
        <f>'Q.1 &amp; 4'!K324</f>
        <v>2.4</v>
      </c>
      <c r="B319" s="141">
        <f>'Q.1 &amp; 4'!L324</f>
        <v>40.370600000000003</v>
      </c>
      <c r="C319" s="221"/>
      <c r="D319" s="23"/>
      <c r="E319" s="24"/>
      <c r="F319" s="22">
        <f t="shared" si="45"/>
        <v>-1.1074074074074116</v>
      </c>
      <c r="G319" s="22">
        <f t="shared" si="46"/>
        <v>5.6641109304426394</v>
      </c>
      <c r="H319" s="22">
        <f t="shared" si="51"/>
        <v>-6.2724784007494652</v>
      </c>
      <c r="I319" s="22">
        <f t="shared" si="52"/>
        <v>1.2263511659808048</v>
      </c>
      <c r="J319" s="24"/>
      <c r="K319" s="24"/>
      <c r="L319" s="235">
        <f t="shared" si="47"/>
        <v>39.712999641679758</v>
      </c>
      <c r="M319" s="126"/>
      <c r="N319" s="126"/>
      <c r="O319" s="126"/>
      <c r="P319" s="10">
        <f t="shared" si="48"/>
        <v>0.65760035832024499</v>
      </c>
      <c r="Q319" s="10">
        <f t="shared" si="53"/>
        <v>0.43243823126291459</v>
      </c>
      <c r="W319" s="240">
        <f t="shared" si="54"/>
        <v>0.65760035832024499</v>
      </c>
      <c r="X319" s="240">
        <f t="shared" si="55"/>
        <v>1.6289090534206699E-2</v>
      </c>
      <c r="Y319"/>
      <c r="Z319" s="13">
        <f t="shared" si="49"/>
        <v>25.065148108773304</v>
      </c>
      <c r="AA319" s="2"/>
      <c r="AB319" s="68"/>
      <c r="AC319" s="15">
        <f t="shared" si="50"/>
        <v>32.082152632359779</v>
      </c>
    </row>
    <row r="320" spans="1:29">
      <c r="A320" s="84">
        <f>'Q.1 &amp; 4'!K325</f>
        <v>2</v>
      </c>
      <c r="B320" s="141">
        <f>'Q.1 &amp; 4'!L325</f>
        <v>30.6</v>
      </c>
      <c r="C320" s="221"/>
      <c r="D320" s="23"/>
      <c r="E320" s="24"/>
      <c r="F320" s="22">
        <f t="shared" si="45"/>
        <v>-1.5074074074074115</v>
      </c>
      <c r="G320" s="22">
        <f t="shared" si="46"/>
        <v>-4.1064890695573624</v>
      </c>
      <c r="H320" s="22">
        <f t="shared" si="51"/>
        <v>6.1901520418883376</v>
      </c>
      <c r="I320" s="22">
        <f t="shared" si="52"/>
        <v>2.2722770919067341</v>
      </c>
      <c r="J320" s="24"/>
      <c r="K320" s="24"/>
      <c r="L320" s="235">
        <f t="shared" si="47"/>
        <v>41.52137135334938</v>
      </c>
      <c r="M320" s="126"/>
      <c r="N320" s="126"/>
      <c r="O320" s="126"/>
      <c r="P320" s="10">
        <f t="shared" si="48"/>
        <v>-10.921371353349379</v>
      </c>
      <c r="Q320" s="10">
        <f t="shared" si="53"/>
        <v>119.27635223776045</v>
      </c>
      <c r="W320" s="240">
        <f t="shared" si="54"/>
        <v>10.921371353349379</v>
      </c>
      <c r="X320" s="240">
        <f t="shared" si="55"/>
        <v>0.35690756056697315</v>
      </c>
      <c r="Y320"/>
      <c r="Z320" s="13">
        <f t="shared" si="49"/>
        <v>46.44262054194229</v>
      </c>
      <c r="AA320" s="2"/>
      <c r="AB320" s="68"/>
      <c r="AC320" s="15">
        <f t="shared" si="50"/>
        <v>16.863252478394092</v>
      </c>
    </row>
    <row r="321" spans="1:29">
      <c r="A321" s="84">
        <f>'Q.1 &amp; 4'!K326</f>
        <v>2</v>
      </c>
      <c r="B321" s="141">
        <f>'Q.1 &amp; 4'!L326</f>
        <v>31.1</v>
      </c>
      <c r="C321" s="221"/>
      <c r="D321" s="23"/>
      <c r="E321" s="24"/>
      <c r="F321" s="22">
        <f t="shared" si="45"/>
        <v>-1.5074074074074115</v>
      </c>
      <c r="G321" s="22">
        <f t="shared" si="46"/>
        <v>-3.6064890695573624</v>
      </c>
      <c r="H321" s="22">
        <f t="shared" si="51"/>
        <v>5.4364483381846318</v>
      </c>
      <c r="I321" s="22">
        <f t="shared" si="52"/>
        <v>2.2722770919067341</v>
      </c>
      <c r="J321" s="24"/>
      <c r="K321" s="24"/>
      <c r="L321" s="235">
        <f t="shared" si="47"/>
        <v>41.52137135334938</v>
      </c>
      <c r="M321" s="126"/>
      <c r="N321" s="126"/>
      <c r="O321" s="126"/>
      <c r="P321" s="10">
        <f t="shared" si="48"/>
        <v>-10.421371353349379</v>
      </c>
      <c r="Q321" s="10">
        <f t="shared" si="53"/>
        <v>108.60498088441106</v>
      </c>
      <c r="W321" s="240">
        <f t="shared" si="54"/>
        <v>10.421371353349379</v>
      </c>
      <c r="X321" s="240">
        <f t="shared" si="55"/>
        <v>0.33509232647425652</v>
      </c>
      <c r="Y321"/>
      <c r="Z321" s="13">
        <f t="shared" si="49"/>
        <v>46.44262054194229</v>
      </c>
      <c r="AA321" s="2"/>
      <c r="AB321" s="68"/>
      <c r="AC321" s="15">
        <f t="shared" si="50"/>
        <v>13.006763408836729</v>
      </c>
    </row>
    <row r="322" spans="1:29">
      <c r="A322" s="84">
        <f>'Q.1 &amp; 4'!K327</f>
        <v>1.6</v>
      </c>
      <c r="B322" s="141">
        <f>'Q.1 &amp; 4'!L327</f>
        <v>47.9</v>
      </c>
      <c r="C322" s="221"/>
      <c r="D322" s="23"/>
      <c r="E322" s="24"/>
      <c r="F322" s="22">
        <f t="shared" si="45"/>
        <v>-1.9074074074074114</v>
      </c>
      <c r="G322" s="22">
        <f t="shared" si="46"/>
        <v>13.193510930442635</v>
      </c>
      <c r="H322" s="22">
        <f t="shared" si="51"/>
        <v>-25.165400478436929</v>
      </c>
      <c r="I322" s="22">
        <f t="shared" si="52"/>
        <v>3.6382030178326628</v>
      </c>
      <c r="J322" s="24"/>
      <c r="K322" s="24"/>
      <c r="L322" s="235">
        <f t="shared" si="47"/>
        <v>43.329743065019002</v>
      </c>
      <c r="M322" s="126"/>
      <c r="N322" s="126"/>
      <c r="O322" s="126"/>
      <c r="P322" s="10">
        <f t="shared" si="48"/>
        <v>4.5702569349809963</v>
      </c>
      <c r="Q322" s="10">
        <f t="shared" si="53"/>
        <v>20.88724845174189</v>
      </c>
      <c r="W322" s="240">
        <f t="shared" si="54"/>
        <v>4.5702569349809963</v>
      </c>
      <c r="X322" s="240">
        <f t="shared" si="55"/>
        <v>9.541246210816276E-2</v>
      </c>
      <c r="Y322"/>
      <c r="Z322" s="13">
        <f t="shared" si="49"/>
        <v>74.360509470245105</v>
      </c>
      <c r="AA322" s="2"/>
      <c r="AB322" s="68"/>
      <c r="AC322" s="15">
        <f t="shared" si="50"/>
        <v>174.06873067170929</v>
      </c>
    </row>
    <row r="323" spans="1:29">
      <c r="A323" s="84">
        <f>'Q.1 &amp; 4'!K328</f>
        <v>1.6</v>
      </c>
      <c r="B323" s="141">
        <f>'Q.1 &amp; 4'!L328</f>
        <v>48.9</v>
      </c>
      <c r="C323" s="221"/>
      <c r="D323" s="23"/>
      <c r="E323" s="24"/>
      <c r="F323" s="22">
        <f t="shared" si="45"/>
        <v>-1.9074074074074114</v>
      </c>
      <c r="G323" s="22">
        <f t="shared" si="46"/>
        <v>14.193510930442635</v>
      </c>
      <c r="H323" s="22">
        <f t="shared" si="51"/>
        <v>-27.072807885844341</v>
      </c>
      <c r="I323" s="22">
        <f t="shared" si="52"/>
        <v>3.6382030178326628</v>
      </c>
      <c r="J323" s="24"/>
      <c r="K323" s="24"/>
      <c r="L323" s="235">
        <f t="shared" si="47"/>
        <v>43.329743065019002</v>
      </c>
      <c r="M323" s="126"/>
      <c r="N323" s="126"/>
      <c r="O323" s="126"/>
      <c r="P323" s="10">
        <f t="shared" si="48"/>
        <v>5.5702569349809963</v>
      </c>
      <c r="Q323" s="10">
        <f t="shared" si="53"/>
        <v>31.027762321703882</v>
      </c>
      <c r="W323" s="240">
        <f t="shared" si="54"/>
        <v>5.5702569349809963</v>
      </c>
      <c r="X323" s="240">
        <f t="shared" si="55"/>
        <v>0.11391118476443755</v>
      </c>
      <c r="Y323"/>
      <c r="Z323" s="13">
        <f t="shared" si="49"/>
        <v>74.360509470245105</v>
      </c>
      <c r="AA323" s="2"/>
      <c r="AB323" s="68"/>
      <c r="AC323" s="15">
        <f t="shared" si="50"/>
        <v>201.45575253259454</v>
      </c>
    </row>
    <row r="324" spans="1:29">
      <c r="A324" s="84">
        <f>'Q.1 &amp; 4'!K329</f>
        <v>2.4</v>
      </c>
      <c r="B324" s="141">
        <f>'Q.1 &amp; 4'!L329</f>
        <v>42.8</v>
      </c>
      <c r="C324" s="221"/>
      <c r="D324" s="23"/>
      <c r="E324" s="24"/>
      <c r="F324" s="22">
        <f t="shared" si="45"/>
        <v>-1.1074074074074116</v>
      </c>
      <c r="G324" s="22">
        <f t="shared" si="46"/>
        <v>8.0935109304426334</v>
      </c>
      <c r="H324" s="22">
        <f t="shared" si="51"/>
        <v>-8.9628139563050251</v>
      </c>
      <c r="I324" s="22">
        <f t="shared" si="52"/>
        <v>1.2263511659808048</v>
      </c>
      <c r="J324" s="24"/>
      <c r="K324" s="24"/>
      <c r="L324" s="235">
        <f t="shared" si="47"/>
        <v>39.712999641679758</v>
      </c>
      <c r="M324" s="126"/>
      <c r="N324" s="126"/>
      <c r="O324" s="126"/>
      <c r="P324" s="10">
        <f t="shared" si="48"/>
        <v>3.087000358320239</v>
      </c>
      <c r="Q324" s="10">
        <f t="shared" si="53"/>
        <v>9.5295712122692837</v>
      </c>
      <c r="W324" s="240">
        <f t="shared" si="54"/>
        <v>3.087000358320239</v>
      </c>
      <c r="X324" s="240">
        <f t="shared" si="55"/>
        <v>7.2126176596267272E-2</v>
      </c>
      <c r="Y324"/>
      <c r="Z324" s="13">
        <f t="shared" si="49"/>
        <v>25.065148108773304</v>
      </c>
      <c r="AA324" s="2"/>
      <c r="AB324" s="68"/>
      <c r="AC324" s="15">
        <f t="shared" si="50"/>
        <v>65.504919181194381</v>
      </c>
    </row>
    <row r="325" spans="1:29">
      <c r="A325" s="84">
        <f>'Q.1 &amp; 4'!K330</f>
        <v>2.4</v>
      </c>
      <c r="B325" s="141">
        <f>'Q.1 &amp; 4'!L330</f>
        <v>46.9</v>
      </c>
      <c r="C325" s="221"/>
      <c r="D325" s="23"/>
      <c r="E325" s="24"/>
      <c r="F325" s="22">
        <f t="shared" si="45"/>
        <v>-1.1074074074074116</v>
      </c>
      <c r="G325" s="22">
        <f t="shared" si="46"/>
        <v>12.193510930442635</v>
      </c>
      <c r="H325" s="22">
        <f t="shared" si="51"/>
        <v>-13.503184326675413</v>
      </c>
      <c r="I325" s="22">
        <f t="shared" si="52"/>
        <v>1.2263511659808048</v>
      </c>
      <c r="J325" s="24"/>
      <c r="K325" s="24"/>
      <c r="L325" s="235">
        <f t="shared" si="47"/>
        <v>39.712999641679758</v>
      </c>
      <c r="M325" s="126"/>
      <c r="N325" s="126"/>
      <c r="O325" s="126"/>
      <c r="P325" s="10">
        <f t="shared" si="48"/>
        <v>7.1870003583202404</v>
      </c>
      <c r="Q325" s="10">
        <f t="shared" si="53"/>
        <v>51.652974150495261</v>
      </c>
      <c r="W325" s="240">
        <f t="shared" si="54"/>
        <v>7.1870003583202404</v>
      </c>
      <c r="X325" s="240">
        <f t="shared" si="55"/>
        <v>0.15324094580640171</v>
      </c>
      <c r="Y325"/>
      <c r="Z325" s="13">
        <f t="shared" si="49"/>
        <v>25.065148108773304</v>
      </c>
      <c r="AA325" s="2"/>
      <c r="AB325" s="68"/>
      <c r="AC325" s="15">
        <f t="shared" si="50"/>
        <v>148.68170881082401</v>
      </c>
    </row>
    <row r="326" spans="1:29">
      <c r="A326" s="84">
        <f>'Q.1 &amp; 4'!K331</f>
        <v>2.4</v>
      </c>
      <c r="B326" s="141">
        <f>'Q.1 &amp; 4'!L331</f>
        <v>42.6</v>
      </c>
      <c r="C326" s="221"/>
      <c r="D326" s="23"/>
      <c r="E326" s="24"/>
      <c r="F326" s="22">
        <f t="shared" ref="F326:F389" si="56">A326-$D$6</f>
        <v>-1.1074074074074116</v>
      </c>
      <c r="G326" s="22">
        <f t="shared" ref="G326:G389" si="57">B326-$E$6</f>
        <v>7.8935109304426376</v>
      </c>
      <c r="H326" s="22">
        <f t="shared" si="51"/>
        <v>-8.7413324748235475</v>
      </c>
      <c r="I326" s="22">
        <f t="shared" si="52"/>
        <v>1.2263511659808048</v>
      </c>
      <c r="J326" s="24"/>
      <c r="K326" s="24"/>
      <c r="L326" s="235">
        <f t="shared" ref="L326:L389" si="58">$K$6+$J$6*A326</f>
        <v>39.712999641679758</v>
      </c>
      <c r="M326" s="126"/>
      <c r="N326" s="126"/>
      <c r="O326" s="126"/>
      <c r="P326" s="10">
        <f t="shared" ref="P326:P389" si="59">B326-L326</f>
        <v>2.8870003583202433</v>
      </c>
      <c r="Q326" s="10">
        <f t="shared" si="53"/>
        <v>8.3347710689412136</v>
      </c>
      <c r="W326" s="240">
        <f t="shared" si="54"/>
        <v>2.8870003583202433</v>
      </c>
      <c r="X326" s="240">
        <f t="shared" si="55"/>
        <v>6.77699614629165E-2</v>
      </c>
      <c r="Y326"/>
      <c r="Z326" s="13">
        <f t="shared" ref="Z326:Z389" si="60">(L326-$E$6)^2</f>
        <v>25.065148108773304</v>
      </c>
      <c r="AA326" s="2"/>
      <c r="AB326" s="68"/>
      <c r="AC326" s="15">
        <f t="shared" ref="AC326:AC389" si="61">(B326-$E$6)^2</f>
        <v>62.307514809017398</v>
      </c>
    </row>
    <row r="327" spans="1:29">
      <c r="A327" s="84">
        <f>'Q.1 &amp; 4'!K332</f>
        <v>2.4</v>
      </c>
      <c r="B327" s="141">
        <f>'Q.1 &amp; 4'!L332</f>
        <v>46.8</v>
      </c>
      <c r="C327" s="221"/>
      <c r="D327" s="23"/>
      <c r="E327" s="24"/>
      <c r="F327" s="22">
        <f t="shared" si="56"/>
        <v>-1.1074074074074116</v>
      </c>
      <c r="G327" s="22">
        <f t="shared" si="57"/>
        <v>12.093510930442633</v>
      </c>
      <c r="H327" s="22">
        <f t="shared" ref="H327:H390" si="62">F327*G327</f>
        <v>-13.392443585934672</v>
      </c>
      <c r="I327" s="22">
        <f t="shared" ref="I327:I390" si="63">F327^2</f>
        <v>1.2263511659808048</v>
      </c>
      <c r="J327" s="24"/>
      <c r="K327" s="24"/>
      <c r="L327" s="235">
        <f t="shared" si="58"/>
        <v>39.712999641679758</v>
      </c>
      <c r="M327" s="126"/>
      <c r="N327" s="126"/>
      <c r="O327" s="126"/>
      <c r="P327" s="10">
        <f t="shared" si="59"/>
        <v>7.087000358320239</v>
      </c>
      <c r="Q327" s="10">
        <f t="shared" ref="Q327:Q390" si="64">P327^2</f>
        <v>50.225574078831194</v>
      </c>
      <c r="W327" s="240">
        <f t="shared" ref="W327:W390" si="65">ABS(P327)</f>
        <v>7.087000358320239</v>
      </c>
      <c r="X327" s="240">
        <f t="shared" ref="X327:X390" si="66">W327/B327</f>
        <v>0.15143163158803929</v>
      </c>
      <c r="Y327"/>
      <c r="Z327" s="13">
        <f t="shared" si="60"/>
        <v>25.065148108773304</v>
      </c>
      <c r="AA327" s="2"/>
      <c r="AB327" s="68"/>
      <c r="AC327" s="15">
        <f t="shared" si="61"/>
        <v>146.25300662473543</v>
      </c>
    </row>
    <row r="328" spans="1:29">
      <c r="A328" s="84">
        <f>'Q.1 &amp; 4'!K333</f>
        <v>3.5</v>
      </c>
      <c r="B328" s="141">
        <f>'Q.1 &amp; 4'!L333</f>
        <v>40.299999999999997</v>
      </c>
      <c r="C328" s="221"/>
      <c r="D328" s="23"/>
      <c r="E328" s="24"/>
      <c r="F328" s="22">
        <f t="shared" si="56"/>
        <v>-7.4074074074115259E-3</v>
      </c>
      <c r="G328" s="22">
        <f t="shared" si="57"/>
        <v>5.5935109304426334</v>
      </c>
      <c r="H328" s="22">
        <f t="shared" si="62"/>
        <v>-4.1433414299598098E-2</v>
      </c>
      <c r="I328" s="22">
        <f t="shared" si="63"/>
        <v>5.4869684499375142E-5</v>
      </c>
      <c r="J328" s="24"/>
      <c r="K328" s="24"/>
      <c r="L328" s="235">
        <f t="shared" si="58"/>
        <v>34.739977434588305</v>
      </c>
      <c r="M328" s="126"/>
      <c r="N328" s="126"/>
      <c r="O328" s="126"/>
      <c r="P328" s="10">
        <f t="shared" si="59"/>
        <v>5.5600225654116926</v>
      </c>
      <c r="Q328" s="10">
        <f t="shared" si="64"/>
        <v>30.913850927887218</v>
      </c>
      <c r="W328" s="240">
        <f t="shared" si="65"/>
        <v>5.5600225654116926</v>
      </c>
      <c r="X328" s="240">
        <f t="shared" si="66"/>
        <v>0.13796582048167971</v>
      </c>
      <c r="Y328"/>
      <c r="Z328" s="13">
        <f t="shared" si="60"/>
        <v>1.1214705924455365E-3</v>
      </c>
      <c r="AA328" s="2"/>
      <c r="AB328" s="68"/>
      <c r="AC328" s="15">
        <f t="shared" si="61"/>
        <v>31.287364528981215</v>
      </c>
    </row>
    <row r="329" spans="1:29">
      <c r="A329" s="84">
        <f>'Q.1 &amp; 4'!K334</f>
        <v>3.5</v>
      </c>
      <c r="B329" s="141">
        <f>'Q.1 &amp; 4'!L334</f>
        <v>41.2</v>
      </c>
      <c r="C329" s="221"/>
      <c r="D329" s="23"/>
      <c r="E329" s="24"/>
      <c r="F329" s="22">
        <f t="shared" si="56"/>
        <v>-7.4074074074115259E-3</v>
      </c>
      <c r="G329" s="22">
        <f t="shared" si="57"/>
        <v>6.4935109304426391</v>
      </c>
      <c r="H329" s="22">
        <f t="shared" si="62"/>
        <v>-4.8100080966268513E-2</v>
      </c>
      <c r="I329" s="22">
        <f t="shared" si="63"/>
        <v>5.4869684499375142E-5</v>
      </c>
      <c r="J329" s="24"/>
      <c r="K329" s="24"/>
      <c r="L329" s="235">
        <f t="shared" si="58"/>
        <v>34.739977434588305</v>
      </c>
      <c r="M329" s="126"/>
      <c r="N329" s="126"/>
      <c r="O329" s="126"/>
      <c r="P329" s="10">
        <f t="shared" si="59"/>
        <v>6.4600225654116983</v>
      </c>
      <c r="Q329" s="10">
        <f t="shared" si="64"/>
        <v>41.731891545628336</v>
      </c>
      <c r="W329" s="240">
        <f t="shared" si="65"/>
        <v>6.4600225654116983</v>
      </c>
      <c r="X329" s="240">
        <f t="shared" si="66"/>
        <v>0.1567966642090218</v>
      </c>
      <c r="Y329"/>
      <c r="Z329" s="13">
        <f t="shared" si="60"/>
        <v>1.1214705924455365E-3</v>
      </c>
      <c r="AA329" s="2"/>
      <c r="AB329" s="68"/>
      <c r="AC329" s="15">
        <f t="shared" si="61"/>
        <v>42.165684203778028</v>
      </c>
    </row>
    <row r="330" spans="1:29">
      <c r="A330" s="84">
        <f>'Q.1 &amp; 4'!K335</f>
        <v>3.6</v>
      </c>
      <c r="B330" s="141">
        <f>'Q.1 &amp; 4'!L335</f>
        <v>35.6</v>
      </c>
      <c r="C330" s="221"/>
      <c r="D330" s="23"/>
      <c r="E330" s="24"/>
      <c r="F330" s="22">
        <f t="shared" si="56"/>
        <v>9.2592592592588563E-2</v>
      </c>
      <c r="G330" s="22">
        <f t="shared" si="57"/>
        <v>0.89351093044263763</v>
      </c>
      <c r="H330" s="22">
        <f t="shared" si="62"/>
        <v>8.2732493559499881E-2</v>
      </c>
      <c r="I330" s="22">
        <f t="shared" si="63"/>
        <v>8.573388203017087E-3</v>
      </c>
      <c r="J330" s="24"/>
      <c r="K330" s="24"/>
      <c r="L330" s="235">
        <f t="shared" si="58"/>
        <v>34.287884506670892</v>
      </c>
      <c r="M330" s="126"/>
      <c r="N330" s="126"/>
      <c r="O330" s="126"/>
      <c r="P330" s="10">
        <f t="shared" si="59"/>
        <v>1.3121154933291095</v>
      </c>
      <c r="Q330" s="10">
        <f t="shared" si="64"/>
        <v>1.7216470678342923</v>
      </c>
      <c r="W330" s="240">
        <f t="shared" si="65"/>
        <v>1.3121154933291095</v>
      </c>
      <c r="X330" s="240">
        <f t="shared" si="66"/>
        <v>3.6857176778907569E-2</v>
      </c>
      <c r="Y330"/>
      <c r="Z330" s="13">
        <f t="shared" si="60"/>
        <v>0.17522978006937417</v>
      </c>
      <c r="AA330" s="2"/>
      <c r="AB330" s="68"/>
      <c r="AC330" s="15">
        <f t="shared" si="61"/>
        <v>0.79836178282046799</v>
      </c>
    </row>
    <row r="331" spans="1:29">
      <c r="A331" s="84">
        <f>'Q.1 &amp; 4'!K336</f>
        <v>3.6</v>
      </c>
      <c r="B331" s="141">
        <f>'Q.1 &amp; 4'!L336</f>
        <v>31</v>
      </c>
      <c r="C331" s="221"/>
      <c r="D331" s="23"/>
      <c r="E331" s="24"/>
      <c r="F331" s="22">
        <f t="shared" si="56"/>
        <v>9.2592592592588563E-2</v>
      </c>
      <c r="G331" s="22">
        <f t="shared" si="57"/>
        <v>-3.7064890695573638</v>
      </c>
      <c r="H331" s="22">
        <f t="shared" si="62"/>
        <v>-0.34319343236640765</v>
      </c>
      <c r="I331" s="22">
        <f t="shared" si="63"/>
        <v>8.573388203017087E-3</v>
      </c>
      <c r="J331" s="24"/>
      <c r="K331" s="24"/>
      <c r="L331" s="235">
        <f t="shared" si="58"/>
        <v>34.287884506670892</v>
      </c>
      <c r="M331" s="126"/>
      <c r="N331" s="126"/>
      <c r="O331" s="126"/>
      <c r="P331" s="10">
        <f t="shared" si="59"/>
        <v>-3.2878845066708919</v>
      </c>
      <c r="Q331" s="10">
        <f t="shared" si="64"/>
        <v>10.810184529206495</v>
      </c>
      <c r="W331" s="240">
        <f t="shared" si="65"/>
        <v>3.2878845066708919</v>
      </c>
      <c r="X331" s="240">
        <f t="shared" si="66"/>
        <v>0.1060607905377707</v>
      </c>
      <c r="Y331"/>
      <c r="Z331" s="13">
        <f t="shared" si="60"/>
        <v>0.17522978006937417</v>
      </c>
      <c r="AA331" s="2"/>
      <c r="AB331" s="68"/>
      <c r="AC331" s="15">
        <f t="shared" si="61"/>
        <v>13.738061222748213</v>
      </c>
    </row>
    <row r="332" spans="1:29">
      <c r="A332" s="84">
        <f>'Q.1 &amp; 4'!K337</f>
        <v>6.7</v>
      </c>
      <c r="B332" s="141">
        <f>'Q.1 &amp; 4'!L337</f>
        <v>24.2</v>
      </c>
      <c r="C332" s="221"/>
      <c r="D332" s="23"/>
      <c r="E332" s="24"/>
      <c r="F332" s="22">
        <f t="shared" si="56"/>
        <v>3.1925925925925887</v>
      </c>
      <c r="G332" s="22">
        <f t="shared" si="57"/>
        <v>-10.506489069557365</v>
      </c>
      <c r="H332" s="22">
        <f t="shared" si="62"/>
        <v>-33.542939177623843</v>
      </c>
      <c r="I332" s="22">
        <f t="shared" si="63"/>
        <v>10.192647462277067</v>
      </c>
      <c r="J332" s="24"/>
      <c r="K332" s="24"/>
      <c r="L332" s="235">
        <f t="shared" si="58"/>
        <v>20.273003741231335</v>
      </c>
      <c r="M332" s="126"/>
      <c r="N332" s="126"/>
      <c r="O332" s="126"/>
      <c r="P332" s="10">
        <f t="shared" si="59"/>
        <v>3.9269962587686642</v>
      </c>
      <c r="Q332" s="10">
        <f t="shared" si="64"/>
        <v>15.421299616383086</v>
      </c>
      <c r="W332" s="240">
        <f t="shared" si="65"/>
        <v>3.9269962587686642</v>
      </c>
      <c r="X332" s="240">
        <f t="shared" si="66"/>
        <v>0.16227257267639109</v>
      </c>
      <c r="Y332"/>
      <c r="Z332" s="13">
        <f t="shared" si="60"/>
        <v>208.32549872300274</v>
      </c>
      <c r="AA332" s="2"/>
      <c r="AB332" s="68"/>
      <c r="AC332" s="15">
        <f t="shared" si="61"/>
        <v>110.38631256872837</v>
      </c>
    </row>
    <row r="333" spans="1:29">
      <c r="A333" s="84">
        <f>'Q.1 &amp; 4'!K338</f>
        <v>6.7</v>
      </c>
      <c r="B333" s="141">
        <f>'Q.1 &amp; 4'!L338</f>
        <v>24.2</v>
      </c>
      <c r="C333" s="221"/>
      <c r="D333" s="23"/>
      <c r="E333" s="24"/>
      <c r="F333" s="22">
        <f t="shared" si="56"/>
        <v>3.1925925925925887</v>
      </c>
      <c r="G333" s="22">
        <f t="shared" si="57"/>
        <v>-10.506489069557365</v>
      </c>
      <c r="H333" s="22">
        <f t="shared" si="62"/>
        <v>-33.542939177623843</v>
      </c>
      <c r="I333" s="22">
        <f t="shared" si="63"/>
        <v>10.192647462277067</v>
      </c>
      <c r="J333" s="24"/>
      <c r="K333" s="24"/>
      <c r="L333" s="235">
        <f t="shared" si="58"/>
        <v>20.273003741231335</v>
      </c>
      <c r="M333" s="126"/>
      <c r="N333" s="126"/>
      <c r="O333" s="126"/>
      <c r="P333" s="10">
        <f t="shared" si="59"/>
        <v>3.9269962587686642</v>
      </c>
      <c r="Q333" s="10">
        <f t="shared" si="64"/>
        <v>15.421299616383086</v>
      </c>
      <c r="W333" s="240">
        <f t="shared" si="65"/>
        <v>3.9269962587686642</v>
      </c>
      <c r="X333" s="240">
        <f t="shared" si="66"/>
        <v>0.16227257267639109</v>
      </c>
      <c r="Y333"/>
      <c r="Z333" s="13">
        <f t="shared" si="60"/>
        <v>208.32549872300274</v>
      </c>
      <c r="AA333" s="2"/>
      <c r="AB333" s="68"/>
      <c r="AC333" s="15">
        <f t="shared" si="61"/>
        <v>110.38631256872837</v>
      </c>
    </row>
    <row r="334" spans="1:29">
      <c r="A334" s="84">
        <f>'Q.1 &amp; 4'!K339</f>
        <v>2</v>
      </c>
      <c r="B334" s="141">
        <f>'Q.1 &amp; 4'!L339</f>
        <v>37.1</v>
      </c>
      <c r="C334" s="221"/>
      <c r="D334" s="23"/>
      <c r="E334" s="24"/>
      <c r="F334" s="22">
        <f t="shared" si="56"/>
        <v>-1.5074074074074115</v>
      </c>
      <c r="G334" s="22">
        <f t="shared" si="57"/>
        <v>2.3935109304426376</v>
      </c>
      <c r="H334" s="22">
        <f t="shared" si="62"/>
        <v>-3.6079961062598378</v>
      </c>
      <c r="I334" s="22">
        <f t="shared" si="63"/>
        <v>2.2722770919067341</v>
      </c>
      <c r="J334" s="24"/>
      <c r="K334" s="24"/>
      <c r="L334" s="235">
        <f t="shared" si="58"/>
        <v>41.52137135334938</v>
      </c>
      <c r="M334" s="126"/>
      <c r="N334" s="126"/>
      <c r="O334" s="126"/>
      <c r="P334" s="10">
        <f t="shared" si="59"/>
        <v>-4.4213713533493788</v>
      </c>
      <c r="Q334" s="10">
        <f t="shared" si="64"/>
        <v>19.548524644218517</v>
      </c>
      <c r="W334" s="240">
        <f t="shared" si="65"/>
        <v>4.4213713533493788</v>
      </c>
      <c r="X334" s="240">
        <f t="shared" si="66"/>
        <v>0.11917443000941721</v>
      </c>
      <c r="Y334"/>
      <c r="Z334" s="13">
        <f t="shared" si="60"/>
        <v>46.44262054194229</v>
      </c>
      <c r="AA334" s="2"/>
      <c r="AB334" s="68"/>
      <c r="AC334" s="15">
        <f t="shared" si="61"/>
        <v>5.7288945741483808</v>
      </c>
    </row>
    <row r="335" spans="1:29">
      <c r="A335" s="84">
        <f>'Q.1 &amp; 4'!K340</f>
        <v>2</v>
      </c>
      <c r="B335" s="141">
        <f>'Q.1 &amp; 4'!L340</f>
        <v>41.113199999999999</v>
      </c>
      <c r="C335" s="221"/>
      <c r="D335" s="23"/>
      <c r="E335" s="24"/>
      <c r="F335" s="22">
        <f t="shared" si="56"/>
        <v>-1.5074074074074115</v>
      </c>
      <c r="G335" s="22">
        <f t="shared" si="57"/>
        <v>6.4067109304426353</v>
      </c>
      <c r="H335" s="22">
        <f t="shared" si="62"/>
        <v>-9.6575235136672575</v>
      </c>
      <c r="I335" s="22">
        <f t="shared" si="63"/>
        <v>2.2722770919067341</v>
      </c>
      <c r="J335" s="24"/>
      <c r="K335" s="24"/>
      <c r="L335" s="235">
        <f t="shared" si="58"/>
        <v>41.52137135334938</v>
      </c>
      <c r="M335" s="126"/>
      <c r="N335" s="126"/>
      <c r="O335" s="126"/>
      <c r="P335" s="10">
        <f t="shared" si="59"/>
        <v>-0.40817135334938115</v>
      </c>
      <c r="Q335" s="10">
        <f t="shared" si="64"/>
        <v>0.16660385369506536</v>
      </c>
      <c r="W335" s="240">
        <f t="shared" si="65"/>
        <v>0.40817135334938115</v>
      </c>
      <c r="X335" s="240">
        <f t="shared" si="66"/>
        <v>9.9279879296523058E-3</v>
      </c>
      <c r="Y335"/>
      <c r="Z335" s="13">
        <f t="shared" si="60"/>
        <v>46.44262054194229</v>
      </c>
      <c r="AA335" s="2"/>
      <c r="AB335" s="68"/>
      <c r="AC335" s="15">
        <f t="shared" si="61"/>
        <v>41.045944946253137</v>
      </c>
    </row>
    <row r="336" spans="1:29">
      <c r="A336" s="84">
        <f>'Q.1 &amp; 4'!K341</f>
        <v>2</v>
      </c>
      <c r="B336" s="141">
        <f>'Q.1 &amp; 4'!L341</f>
        <v>38.462699999999998</v>
      </c>
      <c r="C336" s="221"/>
      <c r="D336" s="23"/>
      <c r="E336" s="24"/>
      <c r="F336" s="22">
        <f t="shared" si="56"/>
        <v>-1.5074074074074115</v>
      </c>
      <c r="G336" s="22">
        <f t="shared" si="57"/>
        <v>3.7562109304426343</v>
      </c>
      <c r="H336" s="22">
        <f t="shared" si="62"/>
        <v>-5.6621401803339122</v>
      </c>
      <c r="I336" s="22">
        <f t="shared" si="63"/>
        <v>2.2722770919067341</v>
      </c>
      <c r="J336" s="24"/>
      <c r="K336" s="24"/>
      <c r="L336" s="235">
        <f t="shared" si="58"/>
        <v>41.52137135334938</v>
      </c>
      <c r="M336" s="126"/>
      <c r="N336" s="126"/>
      <c r="O336" s="126"/>
      <c r="P336" s="10">
        <f t="shared" si="59"/>
        <v>-3.0586713533493821</v>
      </c>
      <c r="Q336" s="10">
        <f t="shared" si="64"/>
        <v>9.3554704478001405</v>
      </c>
      <c r="W336" s="240">
        <f t="shared" si="65"/>
        <v>3.0586713533493821</v>
      </c>
      <c r="X336" s="240">
        <f t="shared" si="66"/>
        <v>7.9523053590865492E-2</v>
      </c>
      <c r="Y336"/>
      <c r="Z336" s="13">
        <f t="shared" si="60"/>
        <v>46.44262054194229</v>
      </c>
      <c r="AA336" s="2"/>
      <c r="AB336" s="68"/>
      <c r="AC336" s="15">
        <f t="shared" si="61"/>
        <v>14.109120553976721</v>
      </c>
    </row>
    <row r="337" spans="1:29">
      <c r="A337" s="84">
        <f>'Q.1 &amp; 4'!K342</f>
        <v>2</v>
      </c>
      <c r="B337" s="141">
        <f>'Q.1 &amp; 4'!L342</f>
        <v>43.1</v>
      </c>
      <c r="C337" s="221"/>
      <c r="D337" s="23"/>
      <c r="E337" s="24"/>
      <c r="F337" s="22">
        <f t="shared" si="56"/>
        <v>-1.5074074074074115</v>
      </c>
      <c r="G337" s="22">
        <f t="shared" si="57"/>
        <v>8.3935109304426376</v>
      </c>
      <c r="H337" s="22">
        <f t="shared" si="62"/>
        <v>-12.652440550704307</v>
      </c>
      <c r="I337" s="22">
        <f t="shared" si="63"/>
        <v>2.2722770919067341</v>
      </c>
      <c r="J337" s="24"/>
      <c r="K337" s="24"/>
      <c r="L337" s="235">
        <f t="shared" si="58"/>
        <v>41.52137135334938</v>
      </c>
      <c r="M337" s="126"/>
      <c r="N337" s="126"/>
      <c r="O337" s="126"/>
      <c r="P337" s="10">
        <f t="shared" si="59"/>
        <v>1.5786286466506212</v>
      </c>
      <c r="Q337" s="10">
        <f t="shared" si="64"/>
        <v>2.492068404025972</v>
      </c>
      <c r="W337" s="240">
        <f t="shared" si="65"/>
        <v>1.5786286466506212</v>
      </c>
      <c r="X337" s="240">
        <f t="shared" si="66"/>
        <v>3.6627114771476128E-2</v>
      </c>
      <c r="Y337"/>
      <c r="Z337" s="13">
        <f t="shared" si="60"/>
        <v>46.44262054194229</v>
      </c>
      <c r="AA337" s="2"/>
      <c r="AB337" s="68"/>
      <c r="AC337" s="15">
        <f t="shared" si="61"/>
        <v>70.451025739460036</v>
      </c>
    </row>
    <row r="338" spans="1:29">
      <c r="A338" s="84">
        <f>'Q.1 &amp; 4'!K343</f>
        <v>2</v>
      </c>
      <c r="B338" s="141">
        <f>'Q.1 &amp; 4'!L343</f>
        <v>38.499699999999997</v>
      </c>
      <c r="C338" s="221"/>
      <c r="D338" s="23"/>
      <c r="E338" s="24"/>
      <c r="F338" s="22">
        <f t="shared" si="56"/>
        <v>-1.5074074074074115</v>
      </c>
      <c r="G338" s="22">
        <f t="shared" si="57"/>
        <v>3.7932109304426334</v>
      </c>
      <c r="H338" s="22">
        <f t="shared" si="62"/>
        <v>-5.7179142544079848</v>
      </c>
      <c r="I338" s="22">
        <f t="shared" si="63"/>
        <v>2.2722770919067341</v>
      </c>
      <c r="J338" s="24"/>
      <c r="K338" s="24"/>
      <c r="L338" s="235">
        <f t="shared" si="58"/>
        <v>41.52137135334938</v>
      </c>
      <c r="M338" s="126"/>
      <c r="N338" s="126"/>
      <c r="O338" s="126"/>
      <c r="P338" s="10">
        <f t="shared" si="59"/>
        <v>-3.0216713533493831</v>
      </c>
      <c r="Q338" s="10">
        <f t="shared" si="64"/>
        <v>9.130497767652292</v>
      </c>
      <c r="W338" s="240">
        <f t="shared" si="65"/>
        <v>3.0216713533493831</v>
      </c>
      <c r="X338" s="240">
        <f t="shared" si="66"/>
        <v>7.8485581792829121E-2</v>
      </c>
      <c r="Y338"/>
      <c r="Z338" s="13">
        <f t="shared" si="60"/>
        <v>46.44262054194229</v>
      </c>
      <c r="AA338" s="2"/>
      <c r="AB338" s="68"/>
      <c r="AC338" s="15">
        <f t="shared" si="61"/>
        <v>14.388449162829469</v>
      </c>
    </row>
    <row r="339" spans="1:29">
      <c r="A339" s="84">
        <f>'Q.1 &amp; 4'!K344</f>
        <v>2.5</v>
      </c>
      <c r="B339" s="141">
        <f>'Q.1 &amp; 4'!L344</f>
        <v>37.070999999999998</v>
      </c>
      <c r="C339" s="221"/>
      <c r="D339" s="23"/>
      <c r="E339" s="24"/>
      <c r="F339" s="22">
        <f t="shared" si="56"/>
        <v>-1.0074074074074115</v>
      </c>
      <c r="G339" s="22">
        <f t="shared" si="57"/>
        <v>2.3645109304426342</v>
      </c>
      <c r="H339" s="22">
        <f t="shared" si="62"/>
        <v>-2.3820258262237006</v>
      </c>
      <c r="I339" s="22">
        <f t="shared" si="63"/>
        <v>1.0148696844993224</v>
      </c>
      <c r="J339" s="24"/>
      <c r="K339" s="24"/>
      <c r="L339" s="235">
        <f t="shared" si="58"/>
        <v>39.260906713762353</v>
      </c>
      <c r="M339" s="126"/>
      <c r="N339" s="126"/>
      <c r="O339" s="126"/>
      <c r="P339" s="10">
        <f t="shared" si="59"/>
        <v>-2.1899067137623547</v>
      </c>
      <c r="Q339" s="10">
        <f t="shared" si="64"/>
        <v>4.7956914149814356</v>
      </c>
      <c r="W339" s="240">
        <f t="shared" si="65"/>
        <v>2.1899067137623547</v>
      </c>
      <c r="X339" s="240">
        <f t="shared" si="66"/>
        <v>5.9073311045354987E-2</v>
      </c>
      <c r="Y339"/>
      <c r="Z339" s="13">
        <f t="shared" si="60"/>
        <v>20.742720077845721</v>
      </c>
      <c r="AA339" s="2"/>
      <c r="AB339" s="68"/>
      <c r="AC339" s="15">
        <f t="shared" si="61"/>
        <v>5.5909119401826919</v>
      </c>
    </row>
    <row r="340" spans="1:29">
      <c r="A340" s="84">
        <f>'Q.1 &amp; 4'!K345</f>
        <v>2.5</v>
      </c>
      <c r="B340" s="141">
        <f>'Q.1 &amp; 4'!L345</f>
        <v>35.922600000000003</v>
      </c>
      <c r="C340" s="221"/>
      <c r="D340" s="23"/>
      <c r="E340" s="24"/>
      <c r="F340" s="22">
        <f t="shared" si="56"/>
        <v>-1.0074074074074115</v>
      </c>
      <c r="G340" s="22">
        <f t="shared" si="57"/>
        <v>1.216110930442639</v>
      </c>
      <c r="H340" s="22">
        <f t="shared" si="62"/>
        <v>-1.2251191595570339</v>
      </c>
      <c r="I340" s="22">
        <f t="shared" si="63"/>
        <v>1.0148696844993224</v>
      </c>
      <c r="J340" s="24"/>
      <c r="K340" s="24"/>
      <c r="L340" s="235">
        <f t="shared" si="58"/>
        <v>39.260906713762353</v>
      </c>
      <c r="M340" s="126"/>
      <c r="N340" s="126"/>
      <c r="O340" s="126"/>
      <c r="P340" s="10">
        <f t="shared" si="59"/>
        <v>-3.3383067137623499</v>
      </c>
      <c r="Q340" s="10">
        <f t="shared" si="64"/>
        <v>11.14429171515078</v>
      </c>
      <c r="W340" s="240">
        <f t="shared" si="65"/>
        <v>3.3383067137623499</v>
      </c>
      <c r="X340" s="240">
        <f t="shared" si="66"/>
        <v>9.293054271579311E-2</v>
      </c>
      <c r="Y340"/>
      <c r="Z340" s="13">
        <f t="shared" si="60"/>
        <v>20.742720077845721</v>
      </c>
      <c r="AA340" s="2"/>
      <c r="AB340" s="68"/>
      <c r="AC340" s="15">
        <f t="shared" si="61"/>
        <v>1.4789257951420611</v>
      </c>
    </row>
    <row r="341" spans="1:29">
      <c r="A341" s="84">
        <f>'Q.1 &amp; 4'!K346</f>
        <v>2.5</v>
      </c>
      <c r="B341" s="141">
        <f>'Q.1 &amp; 4'!L346</f>
        <v>34.143500000000003</v>
      </c>
      <c r="C341" s="221"/>
      <c r="D341" s="23"/>
      <c r="E341" s="24"/>
      <c r="F341" s="22">
        <f t="shared" si="56"/>
        <v>-1.0074074074074115</v>
      </c>
      <c r="G341" s="22">
        <f t="shared" si="57"/>
        <v>-0.56298906955736072</v>
      </c>
      <c r="H341" s="22">
        <f t="shared" si="62"/>
        <v>0.56715935896149161</v>
      </c>
      <c r="I341" s="22">
        <f t="shared" si="63"/>
        <v>1.0148696844993224</v>
      </c>
      <c r="J341" s="24"/>
      <c r="K341" s="24"/>
      <c r="L341" s="235">
        <f t="shared" si="58"/>
        <v>39.260906713762353</v>
      </c>
      <c r="M341" s="126"/>
      <c r="N341" s="126"/>
      <c r="O341" s="126"/>
      <c r="P341" s="10">
        <f t="shared" si="59"/>
        <v>-5.1174067137623496</v>
      </c>
      <c r="Q341" s="10">
        <f t="shared" si="64"/>
        <v>26.187851474059968</v>
      </c>
      <c r="W341" s="240">
        <f t="shared" si="65"/>
        <v>5.1174067137623496</v>
      </c>
      <c r="X341" s="240">
        <f t="shared" si="66"/>
        <v>0.1498793830088406</v>
      </c>
      <c r="Y341"/>
      <c r="Z341" s="13">
        <f t="shared" si="60"/>
        <v>20.742720077845721</v>
      </c>
      <c r="AA341" s="2"/>
      <c r="AB341" s="68"/>
      <c r="AC341" s="15">
        <f t="shared" si="61"/>
        <v>0.31695669244106273</v>
      </c>
    </row>
    <row r="342" spans="1:29">
      <c r="A342" s="84">
        <f>'Q.1 &amp; 4'!K347</f>
        <v>2.5</v>
      </c>
      <c r="B342" s="141">
        <f>'Q.1 &amp; 4'!L347</f>
        <v>32.910299999999999</v>
      </c>
      <c r="C342" s="221"/>
      <c r="D342" s="23"/>
      <c r="E342" s="24"/>
      <c r="F342" s="22">
        <f t="shared" si="56"/>
        <v>-1.0074074074074115</v>
      </c>
      <c r="G342" s="22">
        <f t="shared" si="57"/>
        <v>-1.7961890695573643</v>
      </c>
      <c r="H342" s="22">
        <f t="shared" si="62"/>
        <v>1.8094941737763153</v>
      </c>
      <c r="I342" s="22">
        <f t="shared" si="63"/>
        <v>1.0148696844993224</v>
      </c>
      <c r="J342" s="24"/>
      <c r="K342" s="24"/>
      <c r="L342" s="235">
        <f t="shared" si="58"/>
        <v>39.260906713762353</v>
      </c>
      <c r="M342" s="126"/>
      <c r="N342" s="126"/>
      <c r="O342" s="126"/>
      <c r="P342" s="10">
        <f t="shared" si="59"/>
        <v>-6.3506067137623532</v>
      </c>
      <c r="Q342" s="10">
        <f t="shared" si="64"/>
        <v>40.330205632883477</v>
      </c>
      <c r="W342" s="240">
        <f t="shared" si="65"/>
        <v>6.3506067137623532</v>
      </c>
      <c r="X342" s="240">
        <f t="shared" si="66"/>
        <v>0.19296714748155908</v>
      </c>
      <c r="Y342"/>
      <c r="Z342" s="13">
        <f t="shared" si="60"/>
        <v>20.742720077845721</v>
      </c>
      <c r="AA342" s="2"/>
      <c r="AB342" s="68"/>
      <c r="AC342" s="15">
        <f t="shared" si="61"/>
        <v>3.2262951735973502</v>
      </c>
    </row>
    <row r="343" spans="1:29">
      <c r="A343" s="84">
        <f>'Q.1 &amp; 4'!K348</f>
        <v>2.4</v>
      </c>
      <c r="B343" s="141">
        <f>'Q.1 &amp; 4'!L348</f>
        <v>42.3947</v>
      </c>
      <c r="C343" s="221"/>
      <c r="D343" s="23"/>
      <c r="E343" s="24"/>
      <c r="F343" s="22">
        <f t="shared" si="56"/>
        <v>-1.1074074074074116</v>
      </c>
      <c r="G343" s="22">
        <f t="shared" si="57"/>
        <v>7.6882109304426365</v>
      </c>
      <c r="H343" s="22">
        <f t="shared" si="62"/>
        <v>-8.5139817340828046</v>
      </c>
      <c r="I343" s="22">
        <f t="shared" si="63"/>
        <v>1.2263511659808048</v>
      </c>
      <c r="J343" s="24"/>
      <c r="K343" s="24"/>
      <c r="L343" s="235">
        <f t="shared" si="58"/>
        <v>39.712999641679758</v>
      </c>
      <c r="M343" s="126"/>
      <c r="N343" s="126"/>
      <c r="O343" s="126"/>
      <c r="P343" s="10">
        <f t="shared" si="59"/>
        <v>2.6817003583202421</v>
      </c>
      <c r="Q343" s="10">
        <f t="shared" si="64"/>
        <v>7.1915168118149149</v>
      </c>
      <c r="W343" s="240">
        <f t="shared" si="65"/>
        <v>2.6817003583202421</v>
      </c>
      <c r="X343" s="240">
        <f t="shared" si="66"/>
        <v>6.3255556904996194E-2</v>
      </c>
      <c r="Y343"/>
      <c r="Z343" s="13">
        <f t="shared" si="60"/>
        <v>25.065148108773304</v>
      </c>
      <c r="AA343" s="2"/>
      <c r="AB343" s="68"/>
      <c r="AC343" s="15">
        <f t="shared" si="61"/>
        <v>59.108587310977633</v>
      </c>
    </row>
    <row r="344" spans="1:29">
      <c r="A344" s="84">
        <f>'Q.1 &amp; 4'!K349</f>
        <v>2.4</v>
      </c>
      <c r="B344" s="141">
        <f>'Q.1 &amp; 4'!L349</f>
        <v>41.395899999999997</v>
      </c>
      <c r="C344" s="221"/>
      <c r="D344" s="23"/>
      <c r="E344" s="24"/>
      <c r="F344" s="22">
        <f t="shared" si="56"/>
        <v>-1.1074074074074116</v>
      </c>
      <c r="G344" s="22">
        <f t="shared" si="57"/>
        <v>6.6894109304426337</v>
      </c>
      <c r="H344" s="22">
        <f t="shared" si="62"/>
        <v>-7.4079032155642777</v>
      </c>
      <c r="I344" s="22">
        <f t="shared" si="63"/>
        <v>1.2263511659808048</v>
      </c>
      <c r="J344" s="24"/>
      <c r="K344" s="24"/>
      <c r="L344" s="235">
        <f t="shared" si="58"/>
        <v>39.712999641679758</v>
      </c>
      <c r="M344" s="126"/>
      <c r="N344" s="126"/>
      <c r="O344" s="126"/>
      <c r="P344" s="10">
        <f t="shared" si="59"/>
        <v>1.6829003583202393</v>
      </c>
      <c r="Q344" s="10">
        <f t="shared" si="64"/>
        <v>2.8321536160343901</v>
      </c>
      <c r="W344" s="240">
        <f t="shared" si="65"/>
        <v>1.6829003583202393</v>
      </c>
      <c r="X344" s="240">
        <f t="shared" si="66"/>
        <v>4.065379320947822E-2</v>
      </c>
      <c r="Y344"/>
      <c r="Z344" s="13">
        <f t="shared" si="60"/>
        <v>25.065148108773304</v>
      </c>
      <c r="AA344" s="2"/>
      <c r="AB344" s="68"/>
      <c r="AC344" s="15">
        <f t="shared" si="61"/>
        <v>44.74821859632538</v>
      </c>
    </row>
    <row r="345" spans="1:29">
      <c r="A345" s="84">
        <f>'Q.1 &amp; 4'!K350</f>
        <v>2.4</v>
      </c>
      <c r="B345" s="141">
        <f>'Q.1 &amp; 4'!L350</f>
        <v>40.832099999999997</v>
      </c>
      <c r="C345" s="221"/>
      <c r="D345" s="23"/>
      <c r="E345" s="24"/>
      <c r="F345" s="22">
        <f t="shared" si="56"/>
        <v>-1.1074074074074116</v>
      </c>
      <c r="G345" s="22">
        <f t="shared" si="57"/>
        <v>6.1256109304426332</v>
      </c>
      <c r="H345" s="22">
        <f t="shared" si="62"/>
        <v>-6.7835469192679785</v>
      </c>
      <c r="I345" s="22">
        <f t="shared" si="63"/>
        <v>1.2263511659808048</v>
      </c>
      <c r="J345" s="24"/>
      <c r="K345" s="24"/>
      <c r="L345" s="235">
        <f t="shared" si="58"/>
        <v>39.712999641679758</v>
      </c>
      <c r="M345" s="126"/>
      <c r="N345" s="126"/>
      <c r="O345" s="126"/>
      <c r="P345" s="10">
        <f t="shared" si="59"/>
        <v>1.1191003583202388</v>
      </c>
      <c r="Q345" s="10">
        <f t="shared" si="64"/>
        <v>1.2523856119924868</v>
      </c>
      <c r="W345" s="240">
        <f t="shared" si="65"/>
        <v>1.1191003583202388</v>
      </c>
      <c r="X345" s="240">
        <f t="shared" si="66"/>
        <v>2.7407367201790721E-2</v>
      </c>
      <c r="Y345"/>
      <c r="Z345" s="13">
        <f t="shared" si="60"/>
        <v>25.065148108773304</v>
      </c>
      <c r="AA345" s="2"/>
      <c r="AB345" s="68"/>
      <c r="AC345" s="15">
        <f t="shared" si="61"/>
        <v>37.523109271158262</v>
      </c>
    </row>
    <row r="346" spans="1:29">
      <c r="A346" s="84">
        <f>'Q.1 &amp; 4'!K351</f>
        <v>2.4</v>
      </c>
      <c r="B346" s="141">
        <f>'Q.1 &amp; 4'!L351</f>
        <v>44.081800000000001</v>
      </c>
      <c r="C346" s="221"/>
      <c r="D346" s="23"/>
      <c r="E346" s="24"/>
      <c r="F346" s="22">
        <f t="shared" si="56"/>
        <v>-1.1074074074074116</v>
      </c>
      <c r="G346" s="22">
        <f t="shared" si="57"/>
        <v>9.3753109304426374</v>
      </c>
      <c r="H346" s="22">
        <f t="shared" si="62"/>
        <v>-10.38228877111985</v>
      </c>
      <c r="I346" s="22">
        <f t="shared" si="63"/>
        <v>1.2263511659808048</v>
      </c>
      <c r="J346" s="24"/>
      <c r="K346" s="24"/>
      <c r="L346" s="235">
        <f t="shared" si="58"/>
        <v>39.712999641679758</v>
      </c>
      <c r="M346" s="126"/>
      <c r="N346" s="126"/>
      <c r="O346" s="126"/>
      <c r="P346" s="10">
        <f t="shared" si="59"/>
        <v>4.368800358320243</v>
      </c>
      <c r="Q346" s="10">
        <f t="shared" si="64"/>
        <v>19.086416570859082</v>
      </c>
      <c r="W346" s="240">
        <f t="shared" si="65"/>
        <v>4.368800358320243</v>
      </c>
      <c r="X346" s="240">
        <f t="shared" si="66"/>
        <v>9.9106668927317912E-2</v>
      </c>
      <c r="Y346"/>
      <c r="Z346" s="13">
        <f t="shared" si="60"/>
        <v>25.065148108773304</v>
      </c>
      <c r="AA346" s="2"/>
      <c r="AB346" s="68"/>
      <c r="AC346" s="15">
        <f t="shared" si="61"/>
        <v>87.896455042477186</v>
      </c>
    </row>
    <row r="347" spans="1:29">
      <c r="A347" s="84">
        <f>'Q.1 &amp; 4'!K352</f>
        <v>2.4</v>
      </c>
      <c r="B347" s="141">
        <f>'Q.1 &amp; 4'!L352</f>
        <v>43.003500000000003</v>
      </c>
      <c r="C347" s="221"/>
      <c r="D347" s="23"/>
      <c r="E347" s="24"/>
      <c r="F347" s="22">
        <f t="shared" si="56"/>
        <v>-1.1074074074074116</v>
      </c>
      <c r="G347" s="22">
        <f t="shared" si="57"/>
        <v>8.2970109304426387</v>
      </c>
      <c r="H347" s="22">
        <f t="shared" si="62"/>
        <v>-9.1881713637124385</v>
      </c>
      <c r="I347" s="22">
        <f t="shared" si="63"/>
        <v>1.2263511659808048</v>
      </c>
      <c r="J347" s="24"/>
      <c r="K347" s="24"/>
      <c r="L347" s="235">
        <f t="shared" si="58"/>
        <v>39.712999641679758</v>
      </c>
      <c r="M347" s="126"/>
      <c r="N347" s="126"/>
      <c r="O347" s="126"/>
      <c r="P347" s="10">
        <f t="shared" si="59"/>
        <v>3.2905003583202443</v>
      </c>
      <c r="Q347" s="10">
        <f t="shared" si="64"/>
        <v>10.827392608105656</v>
      </c>
      <c r="W347" s="240">
        <f t="shared" si="65"/>
        <v>3.2905003583202443</v>
      </c>
      <c r="X347" s="240">
        <f t="shared" si="66"/>
        <v>7.6517036016143902E-2</v>
      </c>
      <c r="Y347"/>
      <c r="Z347" s="13">
        <f t="shared" si="60"/>
        <v>25.065148108773304</v>
      </c>
      <c r="AA347" s="2"/>
      <c r="AB347" s="68"/>
      <c r="AC347" s="15">
        <f t="shared" si="61"/>
        <v>68.840390379884624</v>
      </c>
    </row>
    <row r="348" spans="1:29">
      <c r="A348" s="84">
        <f>'Q.1 &amp; 4'!K353</f>
        <v>2.4</v>
      </c>
      <c r="B348" s="141">
        <f>'Q.1 &amp; 4'!L353</f>
        <v>41.585799999999999</v>
      </c>
      <c r="C348" s="221"/>
      <c r="D348" s="23"/>
      <c r="E348" s="24"/>
      <c r="F348" s="22">
        <f t="shared" si="56"/>
        <v>-1.1074074074074116</v>
      </c>
      <c r="G348" s="22">
        <f t="shared" si="57"/>
        <v>6.8793109304426352</v>
      </c>
      <c r="H348" s="22">
        <f t="shared" si="62"/>
        <v>-7.6181998822309476</v>
      </c>
      <c r="I348" s="22">
        <f t="shared" si="63"/>
        <v>1.2263511659808048</v>
      </c>
      <c r="J348" s="24"/>
      <c r="K348" s="24"/>
      <c r="L348" s="235">
        <f t="shared" si="58"/>
        <v>39.712999641679758</v>
      </c>
      <c r="M348" s="126"/>
      <c r="N348" s="126"/>
      <c r="O348" s="126"/>
      <c r="P348" s="10">
        <f t="shared" si="59"/>
        <v>1.8728003583202408</v>
      </c>
      <c r="Q348" s="10">
        <f t="shared" si="64"/>
        <v>3.5073811821244223</v>
      </c>
      <c r="W348" s="240">
        <f t="shared" si="65"/>
        <v>1.8728003583202408</v>
      </c>
      <c r="X348" s="240">
        <f t="shared" si="66"/>
        <v>4.5034611774217179E-2</v>
      </c>
      <c r="Y348"/>
      <c r="Z348" s="13">
        <f t="shared" si="60"/>
        <v>25.065148108773304</v>
      </c>
      <c r="AA348" s="2"/>
      <c r="AB348" s="68"/>
      <c r="AC348" s="15">
        <f t="shared" si="61"/>
        <v>47.324918877707518</v>
      </c>
    </row>
    <row r="349" spans="1:29">
      <c r="A349" s="84">
        <f>'Q.1 &amp; 4'!K354</f>
        <v>2</v>
      </c>
      <c r="B349" s="141">
        <f>'Q.1 &amp; 4'!L354</f>
        <v>46.362900000000003</v>
      </c>
      <c r="C349" s="221"/>
      <c r="D349" s="23"/>
      <c r="E349" s="24"/>
      <c r="F349" s="22">
        <f t="shared" si="56"/>
        <v>-1.5074074074074115</v>
      </c>
      <c r="G349" s="22">
        <f t="shared" si="57"/>
        <v>11.65641093044264</v>
      </c>
      <c r="H349" s="22">
        <f t="shared" si="62"/>
        <v>-17.570960180333952</v>
      </c>
      <c r="I349" s="22">
        <f t="shared" si="63"/>
        <v>2.2722770919067341</v>
      </c>
      <c r="J349" s="24"/>
      <c r="K349" s="24"/>
      <c r="L349" s="235">
        <f t="shared" si="58"/>
        <v>41.52137135334938</v>
      </c>
      <c r="M349" s="126"/>
      <c r="N349" s="126"/>
      <c r="O349" s="126"/>
      <c r="P349" s="10">
        <f t="shared" si="59"/>
        <v>4.8415286466506231</v>
      </c>
      <c r="Q349" s="10">
        <f t="shared" si="64"/>
        <v>23.440399636338615</v>
      </c>
      <c r="W349" s="240">
        <f t="shared" si="65"/>
        <v>4.8415286466506231</v>
      </c>
      <c r="X349" s="240">
        <f t="shared" si="66"/>
        <v>0.10442678621593177</v>
      </c>
      <c r="Y349"/>
      <c r="Z349" s="13">
        <f t="shared" si="60"/>
        <v>46.44262054194229</v>
      </c>
      <c r="AA349" s="2"/>
      <c r="AB349" s="68"/>
      <c r="AC349" s="15">
        <f t="shared" si="61"/>
        <v>135.87191577934263</v>
      </c>
    </row>
    <row r="350" spans="1:29">
      <c r="A350" s="84">
        <f>'Q.1 &amp; 4'!K355</f>
        <v>2</v>
      </c>
      <c r="B350" s="141">
        <f>'Q.1 &amp; 4'!L355</f>
        <v>45.190100000000001</v>
      </c>
      <c r="C350" s="221"/>
      <c r="D350" s="23"/>
      <c r="E350" s="24"/>
      <c r="F350" s="22">
        <f t="shared" si="56"/>
        <v>-1.5074074074074115</v>
      </c>
      <c r="G350" s="22">
        <f t="shared" si="57"/>
        <v>10.483610930442637</v>
      </c>
      <c r="H350" s="22">
        <f t="shared" si="62"/>
        <v>-15.803072772926537</v>
      </c>
      <c r="I350" s="22">
        <f t="shared" si="63"/>
        <v>2.2722770919067341</v>
      </c>
      <c r="J350" s="24"/>
      <c r="K350" s="24"/>
      <c r="L350" s="235">
        <f t="shared" si="58"/>
        <v>41.52137135334938</v>
      </c>
      <c r="M350" s="126"/>
      <c r="N350" s="126"/>
      <c r="O350" s="126"/>
      <c r="P350" s="10">
        <f t="shared" si="59"/>
        <v>3.6687286466506208</v>
      </c>
      <c r="Q350" s="10">
        <f t="shared" si="64"/>
        <v>13.459569882754895</v>
      </c>
      <c r="W350" s="240">
        <f t="shared" si="65"/>
        <v>3.6687286466506208</v>
      </c>
      <c r="X350" s="240">
        <f t="shared" si="66"/>
        <v>8.1184344505779382E-2</v>
      </c>
      <c r="Y350"/>
      <c r="Z350" s="13">
        <f t="shared" si="60"/>
        <v>46.44262054194229</v>
      </c>
      <c r="AA350" s="2"/>
      <c r="AB350" s="68"/>
      <c r="AC350" s="15">
        <f t="shared" si="61"/>
        <v>109.90609814089633</v>
      </c>
    </row>
    <row r="351" spans="1:29">
      <c r="A351" s="84">
        <f>'Q.1 &amp; 4'!K356</f>
        <v>2</v>
      </c>
      <c r="B351" s="141">
        <f>'Q.1 &amp; 4'!L356</f>
        <v>44.707999999999998</v>
      </c>
      <c r="C351" s="221"/>
      <c r="D351" s="23"/>
      <c r="E351" s="24"/>
      <c r="F351" s="22">
        <f t="shared" si="56"/>
        <v>-1.5074074074074115</v>
      </c>
      <c r="G351" s="22">
        <f t="shared" si="57"/>
        <v>10.001510930442635</v>
      </c>
      <c r="H351" s="22">
        <f t="shared" si="62"/>
        <v>-15.076351661815419</v>
      </c>
      <c r="I351" s="22">
        <f t="shared" si="63"/>
        <v>2.2722770919067341</v>
      </c>
      <c r="J351" s="24"/>
      <c r="K351" s="24"/>
      <c r="L351" s="235">
        <f t="shared" si="58"/>
        <v>41.52137135334938</v>
      </c>
      <c r="M351" s="126"/>
      <c r="N351" s="126"/>
      <c r="O351" s="126"/>
      <c r="P351" s="10">
        <f t="shared" si="59"/>
        <v>3.1866286466506182</v>
      </c>
      <c r="Q351" s="10">
        <f t="shared" si="64"/>
        <v>10.15460213165435</v>
      </c>
      <c r="W351" s="240">
        <f t="shared" si="65"/>
        <v>3.1866286466506182</v>
      </c>
      <c r="X351" s="240">
        <f t="shared" si="66"/>
        <v>7.1276475052577129E-2</v>
      </c>
      <c r="Y351"/>
      <c r="Z351" s="13">
        <f t="shared" si="60"/>
        <v>46.44262054194229</v>
      </c>
      <c r="AA351" s="2"/>
      <c r="AB351" s="68"/>
      <c r="AC351" s="15">
        <f t="shared" si="61"/>
        <v>100.03022089176349</v>
      </c>
    </row>
    <row r="352" spans="1:29">
      <c r="A352" s="84">
        <f>'Q.1 &amp; 4'!K357</f>
        <v>2</v>
      </c>
      <c r="B352" s="141">
        <f>'Q.1 &amp; 4'!L357</f>
        <v>41.566099999999999</v>
      </c>
      <c r="C352" s="221"/>
      <c r="D352" s="23"/>
      <c r="E352" s="24"/>
      <c r="F352" s="22">
        <f t="shared" si="56"/>
        <v>-1.5074074074074115</v>
      </c>
      <c r="G352" s="22">
        <f t="shared" si="57"/>
        <v>6.8596109304426349</v>
      </c>
      <c r="H352" s="22">
        <f t="shared" si="62"/>
        <v>-10.340228328482075</v>
      </c>
      <c r="I352" s="22">
        <f t="shared" si="63"/>
        <v>2.2722770919067341</v>
      </c>
      <c r="J352" s="24"/>
      <c r="K352" s="24"/>
      <c r="L352" s="235">
        <f t="shared" si="58"/>
        <v>41.52137135334938</v>
      </c>
      <c r="M352" s="126"/>
      <c r="N352" s="126"/>
      <c r="O352" s="126"/>
      <c r="P352" s="10">
        <f t="shared" si="59"/>
        <v>4.4728646650618487E-2</v>
      </c>
      <c r="Q352" s="10">
        <f t="shared" si="64"/>
        <v>2.0006518311958842E-3</v>
      </c>
      <c r="W352" s="240">
        <f t="shared" si="65"/>
        <v>4.4728646650618487E-2</v>
      </c>
      <c r="X352" s="240">
        <f t="shared" si="66"/>
        <v>1.0760847577862365E-3</v>
      </c>
      <c r="Y352"/>
      <c r="Z352" s="13">
        <f t="shared" si="60"/>
        <v>46.44262054194229</v>
      </c>
      <c r="AA352" s="2"/>
      <c r="AB352" s="68"/>
      <c r="AC352" s="15">
        <f t="shared" si="61"/>
        <v>47.054262117048069</v>
      </c>
    </row>
    <row r="353" spans="1:29">
      <c r="A353" s="84">
        <f>'Q.1 &amp; 4'!K358</f>
        <v>1.8</v>
      </c>
      <c r="B353" s="141">
        <f>'Q.1 &amp; 4'!L358</f>
        <v>48.4</v>
      </c>
      <c r="C353" s="221"/>
      <c r="D353" s="23"/>
      <c r="E353" s="24"/>
      <c r="F353" s="22">
        <f t="shared" si="56"/>
        <v>-1.7074074074074115</v>
      </c>
      <c r="G353" s="22">
        <f t="shared" si="57"/>
        <v>13.693510930442635</v>
      </c>
      <c r="H353" s="22">
        <f t="shared" si="62"/>
        <v>-23.380401996052111</v>
      </c>
      <c r="I353" s="22">
        <f t="shared" si="63"/>
        <v>2.9152400548696984</v>
      </c>
      <c r="J353" s="24"/>
      <c r="K353" s="24"/>
      <c r="L353" s="235">
        <f t="shared" si="58"/>
        <v>42.425557209184191</v>
      </c>
      <c r="M353" s="126"/>
      <c r="N353" s="126"/>
      <c r="O353" s="126"/>
      <c r="P353" s="10">
        <f t="shared" si="59"/>
        <v>5.9744427908158073</v>
      </c>
      <c r="Q353" s="10">
        <f t="shared" si="64"/>
        <v>35.693966660730972</v>
      </c>
      <c r="W353" s="240">
        <f t="shared" si="65"/>
        <v>5.9744427908158073</v>
      </c>
      <c r="X353" s="240">
        <f t="shared" si="66"/>
        <v>0.12343890063669023</v>
      </c>
      <c r="Y353"/>
      <c r="Z353" s="13">
        <f t="shared" si="60"/>
        <v>59.584012944201973</v>
      </c>
      <c r="AA353" s="2"/>
      <c r="AB353" s="68"/>
      <c r="AC353" s="15">
        <f t="shared" si="61"/>
        <v>187.5122416021519</v>
      </c>
    </row>
    <row r="354" spans="1:29">
      <c r="A354" s="84">
        <f>'Q.1 &amp; 4'!K359</f>
        <v>1.8</v>
      </c>
      <c r="B354" s="141">
        <f>'Q.1 &amp; 4'!L359</f>
        <v>50</v>
      </c>
      <c r="C354" s="221"/>
      <c r="D354" s="23"/>
      <c r="E354" s="24"/>
      <c r="F354" s="22">
        <f t="shared" si="56"/>
        <v>-1.7074074074074115</v>
      </c>
      <c r="G354" s="22">
        <f t="shared" si="57"/>
        <v>15.293510930442636</v>
      </c>
      <c r="H354" s="22">
        <f t="shared" si="62"/>
        <v>-26.112253847903972</v>
      </c>
      <c r="I354" s="22">
        <f t="shared" si="63"/>
        <v>2.9152400548696984</v>
      </c>
      <c r="J354" s="24"/>
      <c r="K354" s="24"/>
      <c r="L354" s="235">
        <f t="shared" si="58"/>
        <v>42.425557209184191</v>
      </c>
      <c r="M354" s="126"/>
      <c r="N354" s="126"/>
      <c r="O354" s="126"/>
      <c r="P354" s="10">
        <f t="shared" si="59"/>
        <v>7.5744427908158087</v>
      </c>
      <c r="Q354" s="10">
        <f t="shared" si="64"/>
        <v>57.372183591341575</v>
      </c>
      <c r="W354" s="240">
        <f t="shared" si="65"/>
        <v>7.5744427908158087</v>
      </c>
      <c r="X354" s="240">
        <f t="shared" si="66"/>
        <v>0.15148885581631619</v>
      </c>
      <c r="Y354"/>
      <c r="Z354" s="13">
        <f t="shared" si="60"/>
        <v>59.584012944201973</v>
      </c>
      <c r="AA354" s="2"/>
      <c r="AB354" s="68"/>
      <c r="AC354" s="15">
        <f t="shared" si="61"/>
        <v>233.89147657956838</v>
      </c>
    </row>
    <row r="355" spans="1:29">
      <c r="A355" s="84">
        <f>'Q.1 &amp; 4'!K360</f>
        <v>2.4</v>
      </c>
      <c r="B355" s="141">
        <f>'Q.1 &amp; 4'!L360</f>
        <v>42.2</v>
      </c>
      <c r="C355" s="221"/>
      <c r="D355" s="23"/>
      <c r="E355" s="24"/>
      <c r="F355" s="22">
        <f t="shared" si="56"/>
        <v>-1.1074074074074116</v>
      </c>
      <c r="G355" s="22">
        <f t="shared" si="57"/>
        <v>7.4935109304426391</v>
      </c>
      <c r="H355" s="22">
        <f t="shared" si="62"/>
        <v>-8.2983695118605834</v>
      </c>
      <c r="I355" s="22">
        <f t="shared" si="63"/>
        <v>1.2263511659808048</v>
      </c>
      <c r="J355" s="24"/>
      <c r="K355" s="24"/>
      <c r="L355" s="235">
        <f t="shared" si="58"/>
        <v>39.712999641679758</v>
      </c>
      <c r="M355" s="126"/>
      <c r="N355" s="126"/>
      <c r="O355" s="126"/>
      <c r="P355" s="10">
        <f t="shared" si="59"/>
        <v>2.4870003583202447</v>
      </c>
      <c r="Q355" s="10">
        <f t="shared" si="64"/>
        <v>6.1851707822850255</v>
      </c>
      <c r="W355" s="240">
        <f t="shared" si="65"/>
        <v>2.4870003583202447</v>
      </c>
      <c r="X355" s="240">
        <f t="shared" si="66"/>
        <v>5.8933657780100582E-2</v>
      </c>
      <c r="Y355"/>
      <c r="Z355" s="13">
        <f t="shared" si="60"/>
        <v>25.065148108773304</v>
      </c>
      <c r="AA355" s="2"/>
      <c r="AB355" s="68"/>
      <c r="AC355" s="15">
        <f t="shared" si="61"/>
        <v>56.152706064663306</v>
      </c>
    </row>
    <row r="356" spans="1:29">
      <c r="A356" s="84">
        <f>'Q.1 &amp; 4'!K361</f>
        <v>2.4</v>
      </c>
      <c r="B356" s="141">
        <f>'Q.1 &amp; 4'!L361</f>
        <v>42.6</v>
      </c>
      <c r="C356" s="221"/>
      <c r="D356" s="23"/>
      <c r="E356" s="24"/>
      <c r="F356" s="22">
        <f t="shared" si="56"/>
        <v>-1.1074074074074116</v>
      </c>
      <c r="G356" s="22">
        <f t="shared" si="57"/>
        <v>7.8935109304426376</v>
      </c>
      <c r="H356" s="22">
        <f t="shared" si="62"/>
        <v>-8.7413324748235475</v>
      </c>
      <c r="I356" s="22">
        <f t="shared" si="63"/>
        <v>1.2263511659808048</v>
      </c>
      <c r="J356" s="24"/>
      <c r="K356" s="24"/>
      <c r="L356" s="235">
        <f t="shared" si="58"/>
        <v>39.712999641679758</v>
      </c>
      <c r="M356" s="126"/>
      <c r="N356" s="126"/>
      <c r="O356" s="126"/>
      <c r="P356" s="10">
        <f t="shared" si="59"/>
        <v>2.8870003583202433</v>
      </c>
      <c r="Q356" s="10">
        <f t="shared" si="64"/>
        <v>8.3347710689412136</v>
      </c>
      <c r="W356" s="240">
        <f t="shared" si="65"/>
        <v>2.8870003583202433</v>
      </c>
      <c r="X356" s="240">
        <f t="shared" si="66"/>
        <v>6.77699614629165E-2</v>
      </c>
      <c r="Y356"/>
      <c r="Z356" s="13">
        <f t="shared" si="60"/>
        <v>25.065148108773304</v>
      </c>
      <c r="AA356" s="2"/>
      <c r="AB356" s="68"/>
      <c r="AC356" s="15">
        <f t="shared" si="61"/>
        <v>62.307514809017398</v>
      </c>
    </row>
    <row r="357" spans="1:29">
      <c r="A357" s="84">
        <f>'Q.1 &amp; 4'!K362</f>
        <v>2</v>
      </c>
      <c r="B357" s="141">
        <f>'Q.1 &amp; 4'!L362</f>
        <v>42</v>
      </c>
      <c r="C357" s="221"/>
      <c r="D357" s="23"/>
      <c r="E357" s="24"/>
      <c r="F357" s="22">
        <f t="shared" si="56"/>
        <v>-1.5074074074074115</v>
      </c>
      <c r="G357" s="22">
        <f t="shared" si="57"/>
        <v>7.2935109304426362</v>
      </c>
      <c r="H357" s="22">
        <f t="shared" si="62"/>
        <v>-10.994292402556152</v>
      </c>
      <c r="I357" s="22">
        <f t="shared" si="63"/>
        <v>2.2722770919067341</v>
      </c>
      <c r="J357" s="24"/>
      <c r="K357" s="24"/>
      <c r="L357" s="235">
        <f t="shared" si="58"/>
        <v>41.52137135334938</v>
      </c>
      <c r="M357" s="126"/>
      <c r="N357" s="126"/>
      <c r="O357" s="126"/>
      <c r="P357" s="10">
        <f t="shared" si="59"/>
        <v>0.47862864665061977</v>
      </c>
      <c r="Q357" s="10">
        <f t="shared" si="64"/>
        <v>0.22908538139460383</v>
      </c>
      <c r="W357" s="240">
        <f t="shared" si="65"/>
        <v>0.47862864665061977</v>
      </c>
      <c r="X357" s="240">
        <f t="shared" si="66"/>
        <v>1.139592015834809E-2</v>
      </c>
      <c r="Y357"/>
      <c r="Z357" s="13">
        <f t="shared" si="60"/>
        <v>46.44262054194229</v>
      </c>
      <c r="AA357" s="2"/>
      <c r="AB357" s="68"/>
      <c r="AC357" s="15">
        <f t="shared" si="61"/>
        <v>53.195301692486211</v>
      </c>
    </row>
    <row r="358" spans="1:29">
      <c r="A358" s="84">
        <f>'Q.1 &amp; 4'!K363</f>
        <v>2</v>
      </c>
      <c r="B358" s="141">
        <f>'Q.1 &amp; 4'!L363</f>
        <v>41.521000000000001</v>
      </c>
      <c r="C358" s="221"/>
      <c r="D358" s="23"/>
      <c r="E358" s="24"/>
      <c r="F358" s="22">
        <f t="shared" si="56"/>
        <v>-1.5074074074074115</v>
      </c>
      <c r="G358" s="22">
        <f t="shared" si="57"/>
        <v>6.814510930442637</v>
      </c>
      <c r="H358" s="22">
        <f t="shared" si="62"/>
        <v>-10.272244254408003</v>
      </c>
      <c r="I358" s="22">
        <f t="shared" si="63"/>
        <v>2.2722770919067341</v>
      </c>
      <c r="J358" s="24"/>
      <c r="K358" s="24"/>
      <c r="L358" s="235">
        <f t="shared" si="58"/>
        <v>41.52137135334938</v>
      </c>
      <c r="M358" s="126"/>
      <c r="N358" s="126"/>
      <c r="O358" s="126"/>
      <c r="P358" s="10">
        <f t="shared" si="59"/>
        <v>-3.7135334937943298E-4</v>
      </c>
      <c r="Q358" s="10">
        <f t="shared" si="64"/>
        <v>1.3790331009532321E-7</v>
      </c>
      <c r="W358" s="240">
        <f t="shared" si="65"/>
        <v>3.7135334937943298E-4</v>
      </c>
      <c r="X358" s="240">
        <f t="shared" si="66"/>
        <v>8.9437477271605454E-6</v>
      </c>
      <c r="Y358"/>
      <c r="Z358" s="13">
        <f t="shared" si="60"/>
        <v>46.44262054194229</v>
      </c>
      <c r="AA358" s="2"/>
      <c r="AB358" s="68"/>
      <c r="AC358" s="15">
        <f t="shared" si="61"/>
        <v>46.437559221122171</v>
      </c>
    </row>
    <row r="359" spans="1:29">
      <c r="A359" s="84">
        <f>'Q.1 &amp; 4'!K364</f>
        <v>3.6</v>
      </c>
      <c r="B359" s="141">
        <f>'Q.1 &amp; 4'!L364</f>
        <v>35.1</v>
      </c>
      <c r="C359" s="221"/>
      <c r="D359" s="23"/>
      <c r="E359" s="24"/>
      <c r="F359" s="22">
        <f t="shared" si="56"/>
        <v>9.2592592592588563E-2</v>
      </c>
      <c r="G359" s="22">
        <f t="shared" si="57"/>
        <v>0.39351093044263763</v>
      </c>
      <c r="H359" s="22">
        <f t="shared" si="62"/>
        <v>3.64361972632056E-2</v>
      </c>
      <c r="I359" s="22">
        <f t="shared" si="63"/>
        <v>8.573388203017087E-3</v>
      </c>
      <c r="J359" s="24"/>
      <c r="K359" s="24"/>
      <c r="L359" s="235">
        <f t="shared" si="58"/>
        <v>34.287884506670892</v>
      </c>
      <c r="M359" s="126"/>
      <c r="N359" s="126"/>
      <c r="O359" s="126"/>
      <c r="P359" s="10">
        <f t="shared" si="59"/>
        <v>0.81211549332910948</v>
      </c>
      <c r="Q359" s="10">
        <f t="shared" si="64"/>
        <v>0.65953157450518285</v>
      </c>
      <c r="W359" s="240">
        <f t="shared" si="65"/>
        <v>0.81211549332910948</v>
      </c>
      <c r="X359" s="240">
        <f t="shared" si="66"/>
        <v>2.3137193542139872E-2</v>
      </c>
      <c r="Y359"/>
      <c r="Z359" s="13">
        <f t="shared" si="60"/>
        <v>0.17522978006937417</v>
      </c>
      <c r="AA359" s="2"/>
      <c r="AB359" s="68"/>
      <c r="AC359" s="15">
        <f t="shared" si="61"/>
        <v>0.15485085237783039</v>
      </c>
    </row>
    <row r="360" spans="1:29">
      <c r="A360" s="84">
        <f>'Q.1 &amp; 4'!K365</f>
        <v>3.6</v>
      </c>
      <c r="B360" s="141">
        <f>'Q.1 &amp; 4'!L365</f>
        <v>33.5</v>
      </c>
      <c r="C360" s="221"/>
      <c r="D360" s="23"/>
      <c r="E360" s="24"/>
      <c r="F360" s="22">
        <f t="shared" si="56"/>
        <v>9.2592592592588563E-2</v>
      </c>
      <c r="G360" s="22">
        <f t="shared" si="57"/>
        <v>-1.2064890695573638</v>
      </c>
      <c r="H360" s="22">
        <f t="shared" si="62"/>
        <v>-0.11171195088493623</v>
      </c>
      <c r="I360" s="22">
        <f t="shared" si="63"/>
        <v>8.573388203017087E-3</v>
      </c>
      <c r="J360" s="24"/>
      <c r="K360" s="24"/>
      <c r="L360" s="235">
        <f t="shared" si="58"/>
        <v>34.287884506670892</v>
      </c>
      <c r="M360" s="126"/>
      <c r="N360" s="126"/>
      <c r="O360" s="126"/>
      <c r="P360" s="10">
        <f t="shared" si="59"/>
        <v>-0.78788450667089194</v>
      </c>
      <c r="Q360" s="10">
        <f t="shared" si="64"/>
        <v>0.62076199585203473</v>
      </c>
      <c r="W360" s="240">
        <f t="shared" si="65"/>
        <v>0.78788450667089194</v>
      </c>
      <c r="X360" s="240">
        <f t="shared" si="66"/>
        <v>2.3518940497638564E-2</v>
      </c>
      <c r="Y360"/>
      <c r="Z360" s="13">
        <f t="shared" si="60"/>
        <v>0.17522978006937417</v>
      </c>
      <c r="AA360" s="2"/>
      <c r="AB360" s="68"/>
      <c r="AC360" s="15">
        <f t="shared" si="61"/>
        <v>1.4556158749613934</v>
      </c>
    </row>
    <row r="361" spans="1:29">
      <c r="A361" s="84">
        <f>'Q.1 &amp; 4'!K366</f>
        <v>2</v>
      </c>
      <c r="B361" s="141">
        <f>'Q.1 &amp; 4'!L366</f>
        <v>60.1</v>
      </c>
      <c r="C361" s="221"/>
      <c r="D361" s="23"/>
      <c r="E361" s="24"/>
      <c r="F361" s="22">
        <f t="shared" si="56"/>
        <v>-1.5074074074074115</v>
      </c>
      <c r="G361" s="22">
        <f t="shared" si="57"/>
        <v>25.393510930442638</v>
      </c>
      <c r="H361" s="22">
        <f t="shared" si="62"/>
        <v>-38.278366476630303</v>
      </c>
      <c r="I361" s="22">
        <f t="shared" si="63"/>
        <v>2.2722770919067341</v>
      </c>
      <c r="J361" s="24"/>
      <c r="K361" s="24"/>
      <c r="L361" s="235">
        <f t="shared" si="58"/>
        <v>41.52137135334938</v>
      </c>
      <c r="M361" s="126"/>
      <c r="N361" s="126"/>
      <c r="O361" s="126"/>
      <c r="P361" s="10">
        <f t="shared" si="59"/>
        <v>18.578628646650621</v>
      </c>
      <c r="Q361" s="10">
        <f t="shared" si="64"/>
        <v>345.16544239014712</v>
      </c>
      <c r="W361" s="240">
        <f t="shared" si="65"/>
        <v>18.578628646650621</v>
      </c>
      <c r="X361" s="240">
        <f t="shared" si="66"/>
        <v>0.3091285964500935</v>
      </c>
      <c r="Y361"/>
      <c r="Z361" s="13">
        <f t="shared" si="60"/>
        <v>46.44262054194229</v>
      </c>
      <c r="AA361" s="2"/>
      <c r="AB361" s="68"/>
      <c r="AC361" s="15">
        <f t="shared" si="61"/>
        <v>644.83039737450974</v>
      </c>
    </row>
    <row r="362" spans="1:29">
      <c r="A362" s="84">
        <f>'Q.1 &amp; 4'!K367</f>
        <v>2</v>
      </c>
      <c r="B362" s="141">
        <f>'Q.1 &amp; 4'!L367</f>
        <v>58.534999999999997</v>
      </c>
      <c r="C362" s="221"/>
      <c r="D362" s="23"/>
      <c r="E362" s="24"/>
      <c r="F362" s="22">
        <f t="shared" si="56"/>
        <v>-1.5074074074074115</v>
      </c>
      <c r="G362" s="22">
        <f t="shared" si="57"/>
        <v>23.828510930442633</v>
      </c>
      <c r="H362" s="22">
        <f t="shared" si="62"/>
        <v>-35.919273884037693</v>
      </c>
      <c r="I362" s="22">
        <f t="shared" si="63"/>
        <v>2.2722770919067341</v>
      </c>
      <c r="J362" s="24"/>
      <c r="K362" s="24"/>
      <c r="L362" s="235">
        <f t="shared" si="58"/>
        <v>41.52137135334938</v>
      </c>
      <c r="M362" s="126"/>
      <c r="N362" s="126"/>
      <c r="O362" s="126"/>
      <c r="P362" s="10">
        <f t="shared" si="59"/>
        <v>17.013628646650616</v>
      </c>
      <c r="Q362" s="10">
        <f t="shared" si="64"/>
        <v>289.46355972613048</v>
      </c>
      <c r="W362" s="240">
        <f t="shared" si="65"/>
        <v>17.013628646650616</v>
      </c>
      <c r="X362" s="240">
        <f t="shared" si="66"/>
        <v>0.29065736135048464</v>
      </c>
      <c r="Y362"/>
      <c r="Z362" s="13">
        <f t="shared" si="60"/>
        <v>46.44262054194229</v>
      </c>
      <c r="AA362" s="2"/>
      <c r="AB362" s="68"/>
      <c r="AC362" s="15">
        <f t="shared" si="61"/>
        <v>567.79793316222401</v>
      </c>
    </row>
    <row r="363" spans="1:29">
      <c r="A363" s="84">
        <f>'Q.1 &amp; 4'!K368</f>
        <v>2.5</v>
      </c>
      <c r="B363" s="141">
        <f>'Q.1 &amp; 4'!L368</f>
        <v>39.614699999999999</v>
      </c>
      <c r="C363" s="221"/>
      <c r="D363" s="23"/>
      <c r="E363" s="24"/>
      <c r="F363" s="22">
        <f t="shared" si="56"/>
        <v>-1.0074074074074115</v>
      </c>
      <c r="G363" s="22">
        <f t="shared" si="57"/>
        <v>4.9082109304426353</v>
      </c>
      <c r="H363" s="22">
        <f t="shared" si="62"/>
        <v>-4.9445680484459347</v>
      </c>
      <c r="I363" s="22">
        <f t="shared" si="63"/>
        <v>1.0148696844993224</v>
      </c>
      <c r="J363" s="24"/>
      <c r="K363" s="24"/>
      <c r="L363" s="235">
        <f t="shared" si="58"/>
        <v>39.260906713762353</v>
      </c>
      <c r="M363" s="126"/>
      <c r="N363" s="126"/>
      <c r="O363" s="126"/>
      <c r="P363" s="10">
        <f t="shared" si="59"/>
        <v>0.3537932862376465</v>
      </c>
      <c r="Q363" s="10">
        <f t="shared" si="64"/>
        <v>0.12516968938683326</v>
      </c>
      <c r="W363" s="240">
        <f t="shared" si="65"/>
        <v>0.3537932862376465</v>
      </c>
      <c r="X363" s="240">
        <f t="shared" si="66"/>
        <v>8.9308586519056439E-3</v>
      </c>
      <c r="Y363"/>
      <c r="Z363" s="13">
        <f t="shared" si="60"/>
        <v>20.742720077845721</v>
      </c>
      <c r="AA363" s="2"/>
      <c r="AB363" s="68"/>
      <c r="AC363" s="15">
        <f t="shared" si="61"/>
        <v>24.090534537716561</v>
      </c>
    </row>
    <row r="364" spans="1:29">
      <c r="A364" s="84">
        <f>'Q.1 &amp; 4'!K369</f>
        <v>2.5</v>
      </c>
      <c r="B364" s="141">
        <f>'Q.1 &amp; 4'!L369</f>
        <v>40.240900000000003</v>
      </c>
      <c r="C364" s="221"/>
      <c r="D364" s="23"/>
      <c r="E364" s="24"/>
      <c r="F364" s="22">
        <f t="shared" si="56"/>
        <v>-1.0074074074074115</v>
      </c>
      <c r="G364" s="22">
        <f t="shared" si="57"/>
        <v>5.5344109304426397</v>
      </c>
      <c r="H364" s="22">
        <f t="shared" si="62"/>
        <v>-5.5754065669644595</v>
      </c>
      <c r="I364" s="22">
        <f t="shared" si="63"/>
        <v>1.0148696844993224</v>
      </c>
      <c r="J364" s="24"/>
      <c r="K364" s="24"/>
      <c r="L364" s="235">
        <f t="shared" si="58"/>
        <v>39.260906713762353</v>
      </c>
      <c r="M364" s="126"/>
      <c r="N364" s="126"/>
      <c r="O364" s="126"/>
      <c r="P364" s="10">
        <f t="shared" si="59"/>
        <v>0.97999328623765081</v>
      </c>
      <c r="Q364" s="10">
        <f t="shared" si="64"/>
        <v>0.96038684107087013</v>
      </c>
      <c r="W364" s="240">
        <f t="shared" si="65"/>
        <v>0.97999328623765081</v>
      </c>
      <c r="X364" s="240">
        <f t="shared" si="66"/>
        <v>2.4353165218413374E-2</v>
      </c>
      <c r="Y364"/>
      <c r="Z364" s="13">
        <f t="shared" si="60"/>
        <v>20.742720077845721</v>
      </c>
      <c r="AA364" s="2"/>
      <c r="AB364" s="68"/>
      <c r="AC364" s="15">
        <f t="shared" si="61"/>
        <v>30.629704347002964</v>
      </c>
    </row>
    <row r="365" spans="1:29">
      <c r="A365" s="84">
        <f>'Q.1 &amp; 4'!K370</f>
        <v>2</v>
      </c>
      <c r="B365" s="141">
        <f>'Q.1 &amp; 4'!L370</f>
        <v>43.541400000000003</v>
      </c>
      <c r="C365" s="221"/>
      <c r="D365" s="23"/>
      <c r="E365" s="24"/>
      <c r="F365" s="22">
        <f t="shared" si="56"/>
        <v>-1.5074074074074115</v>
      </c>
      <c r="G365" s="22">
        <f t="shared" si="57"/>
        <v>8.8349109304426392</v>
      </c>
      <c r="H365" s="22">
        <f t="shared" si="62"/>
        <v>-13.317810180333941</v>
      </c>
      <c r="I365" s="22">
        <f t="shared" si="63"/>
        <v>2.2722770919067341</v>
      </c>
      <c r="J365" s="24"/>
      <c r="K365" s="24"/>
      <c r="L365" s="235">
        <f t="shared" si="58"/>
        <v>41.52137135334938</v>
      </c>
      <c r="M365" s="126"/>
      <c r="N365" s="126"/>
      <c r="O365" s="126"/>
      <c r="P365" s="10">
        <f t="shared" si="59"/>
        <v>2.0200286466506228</v>
      </c>
      <c r="Q365" s="10">
        <f t="shared" si="64"/>
        <v>4.0805157332891469</v>
      </c>
      <c r="W365" s="240">
        <f t="shared" si="65"/>
        <v>2.0200286466506228</v>
      </c>
      <c r="X365" s="240">
        <f t="shared" si="66"/>
        <v>4.6393286542247669E-2</v>
      </c>
      <c r="Y365"/>
      <c r="Z365" s="13">
        <f t="shared" si="60"/>
        <v>46.44262054194229</v>
      </c>
      <c r="AA365" s="2"/>
      <c r="AB365" s="68"/>
      <c r="AC365" s="15">
        <f t="shared" si="61"/>
        <v>78.055651148854821</v>
      </c>
    </row>
    <row r="366" spans="1:29">
      <c r="A366" s="84">
        <f>'Q.1 &amp; 4'!K371</f>
        <v>2</v>
      </c>
      <c r="B366" s="141">
        <f>'Q.1 &amp; 4'!L371</f>
        <v>41.521000000000001</v>
      </c>
      <c r="C366" s="221"/>
      <c r="D366" s="23"/>
      <c r="E366" s="24"/>
      <c r="F366" s="22">
        <f t="shared" si="56"/>
        <v>-1.5074074074074115</v>
      </c>
      <c r="G366" s="22">
        <f t="shared" si="57"/>
        <v>6.814510930442637</v>
      </c>
      <c r="H366" s="22">
        <f t="shared" si="62"/>
        <v>-10.272244254408003</v>
      </c>
      <c r="I366" s="22">
        <f t="shared" si="63"/>
        <v>2.2722770919067341</v>
      </c>
      <c r="J366" s="24"/>
      <c r="K366" s="24"/>
      <c r="L366" s="235">
        <f t="shared" si="58"/>
        <v>41.52137135334938</v>
      </c>
      <c r="M366" s="126"/>
      <c r="N366" s="126"/>
      <c r="O366" s="126"/>
      <c r="P366" s="10">
        <f t="shared" si="59"/>
        <v>-3.7135334937943298E-4</v>
      </c>
      <c r="Q366" s="10">
        <f t="shared" si="64"/>
        <v>1.3790331009532321E-7</v>
      </c>
      <c r="W366" s="240">
        <f t="shared" si="65"/>
        <v>3.7135334937943298E-4</v>
      </c>
      <c r="X366" s="240">
        <f t="shared" si="66"/>
        <v>8.9437477271605454E-6</v>
      </c>
      <c r="Y366"/>
      <c r="Z366" s="13">
        <f t="shared" si="60"/>
        <v>46.44262054194229</v>
      </c>
      <c r="AA366" s="2"/>
      <c r="AB366" s="68"/>
      <c r="AC366" s="15">
        <f t="shared" si="61"/>
        <v>46.437559221122171</v>
      </c>
    </row>
    <row r="367" spans="1:29">
      <c r="A367" s="84">
        <f>'Q.1 &amp; 4'!K372</f>
        <v>2</v>
      </c>
      <c r="B367" s="141">
        <f>'Q.1 &amp; 4'!L372</f>
        <v>43.541400000000003</v>
      </c>
      <c r="C367" s="221"/>
      <c r="D367" s="23"/>
      <c r="E367" s="24"/>
      <c r="F367" s="22">
        <f t="shared" si="56"/>
        <v>-1.5074074074074115</v>
      </c>
      <c r="G367" s="22">
        <f t="shared" si="57"/>
        <v>8.8349109304426392</v>
      </c>
      <c r="H367" s="22">
        <f t="shared" si="62"/>
        <v>-13.317810180333941</v>
      </c>
      <c r="I367" s="22">
        <f t="shared" si="63"/>
        <v>2.2722770919067341</v>
      </c>
      <c r="J367" s="24"/>
      <c r="K367" s="24"/>
      <c r="L367" s="235">
        <f t="shared" si="58"/>
        <v>41.52137135334938</v>
      </c>
      <c r="M367" s="126"/>
      <c r="N367" s="126"/>
      <c r="O367" s="126"/>
      <c r="P367" s="10">
        <f t="shared" si="59"/>
        <v>2.0200286466506228</v>
      </c>
      <c r="Q367" s="10">
        <f t="shared" si="64"/>
        <v>4.0805157332891469</v>
      </c>
      <c r="W367" s="240">
        <f t="shared" si="65"/>
        <v>2.0200286466506228</v>
      </c>
      <c r="X367" s="240">
        <f t="shared" si="66"/>
        <v>4.6393286542247669E-2</v>
      </c>
      <c r="Y367"/>
      <c r="Z367" s="13">
        <f t="shared" si="60"/>
        <v>46.44262054194229</v>
      </c>
      <c r="AA367" s="2"/>
      <c r="AB367" s="68"/>
      <c r="AC367" s="15">
        <f t="shared" si="61"/>
        <v>78.055651148854821</v>
      </c>
    </row>
    <row r="368" spans="1:29">
      <c r="A368" s="84">
        <f>'Q.1 &amp; 4'!K373</f>
        <v>2</v>
      </c>
      <c r="B368" s="141">
        <f>'Q.1 &amp; 4'!L373</f>
        <v>41.521000000000001</v>
      </c>
      <c r="C368" s="221"/>
      <c r="D368" s="23"/>
      <c r="E368" s="24"/>
      <c r="F368" s="22">
        <f t="shared" si="56"/>
        <v>-1.5074074074074115</v>
      </c>
      <c r="G368" s="22">
        <f t="shared" si="57"/>
        <v>6.814510930442637</v>
      </c>
      <c r="H368" s="22">
        <f t="shared" si="62"/>
        <v>-10.272244254408003</v>
      </c>
      <c r="I368" s="22">
        <f t="shared" si="63"/>
        <v>2.2722770919067341</v>
      </c>
      <c r="J368" s="24"/>
      <c r="K368" s="24"/>
      <c r="L368" s="235">
        <f t="shared" si="58"/>
        <v>41.52137135334938</v>
      </c>
      <c r="M368" s="126"/>
      <c r="N368" s="126"/>
      <c r="O368" s="126"/>
      <c r="P368" s="10">
        <f t="shared" si="59"/>
        <v>-3.7135334937943298E-4</v>
      </c>
      <c r="Q368" s="10">
        <f t="shared" si="64"/>
        <v>1.3790331009532321E-7</v>
      </c>
      <c r="W368" s="240">
        <f t="shared" si="65"/>
        <v>3.7135334937943298E-4</v>
      </c>
      <c r="X368" s="240">
        <f t="shared" si="66"/>
        <v>8.9437477271605454E-6</v>
      </c>
      <c r="Y368"/>
      <c r="Z368" s="13">
        <f t="shared" si="60"/>
        <v>46.44262054194229</v>
      </c>
      <c r="AA368" s="2"/>
      <c r="AB368" s="68"/>
      <c r="AC368" s="15">
        <f t="shared" si="61"/>
        <v>46.437559221122171</v>
      </c>
    </row>
    <row r="369" spans="1:29">
      <c r="A369" s="84">
        <f>'Q.1 &amp; 4'!K374</f>
        <v>2</v>
      </c>
      <c r="B369" s="141">
        <f>'Q.1 &amp; 4'!L374</f>
        <v>60.1</v>
      </c>
      <c r="C369" s="221"/>
      <c r="D369" s="23"/>
      <c r="E369" s="24"/>
      <c r="F369" s="22">
        <f t="shared" si="56"/>
        <v>-1.5074074074074115</v>
      </c>
      <c r="G369" s="22">
        <f t="shared" si="57"/>
        <v>25.393510930442638</v>
      </c>
      <c r="H369" s="22">
        <f t="shared" si="62"/>
        <v>-38.278366476630303</v>
      </c>
      <c r="I369" s="22">
        <f t="shared" si="63"/>
        <v>2.2722770919067341</v>
      </c>
      <c r="J369" s="24"/>
      <c r="K369" s="24"/>
      <c r="L369" s="235">
        <f t="shared" si="58"/>
        <v>41.52137135334938</v>
      </c>
      <c r="M369" s="126"/>
      <c r="N369" s="126"/>
      <c r="O369" s="126"/>
      <c r="P369" s="10">
        <f t="shared" si="59"/>
        <v>18.578628646650621</v>
      </c>
      <c r="Q369" s="10">
        <f t="shared" si="64"/>
        <v>345.16544239014712</v>
      </c>
      <c r="W369" s="240">
        <f t="shared" si="65"/>
        <v>18.578628646650621</v>
      </c>
      <c r="X369" s="240">
        <f t="shared" si="66"/>
        <v>0.3091285964500935</v>
      </c>
      <c r="Y369"/>
      <c r="Z369" s="13">
        <f t="shared" si="60"/>
        <v>46.44262054194229</v>
      </c>
      <c r="AA369" s="2"/>
      <c r="AB369" s="68"/>
      <c r="AC369" s="15">
        <f t="shared" si="61"/>
        <v>644.83039737450974</v>
      </c>
    </row>
    <row r="370" spans="1:29">
      <c r="A370" s="84">
        <f>'Q.1 &amp; 4'!K375</f>
        <v>2</v>
      </c>
      <c r="B370" s="141">
        <f>'Q.1 &amp; 4'!L375</f>
        <v>58.534999999999997</v>
      </c>
      <c r="C370" s="221"/>
      <c r="D370" s="23"/>
      <c r="E370" s="24"/>
      <c r="F370" s="22">
        <f t="shared" si="56"/>
        <v>-1.5074074074074115</v>
      </c>
      <c r="G370" s="22">
        <f t="shared" si="57"/>
        <v>23.828510930442633</v>
      </c>
      <c r="H370" s="22">
        <f t="shared" si="62"/>
        <v>-35.919273884037693</v>
      </c>
      <c r="I370" s="22">
        <f t="shared" si="63"/>
        <v>2.2722770919067341</v>
      </c>
      <c r="J370" s="24"/>
      <c r="K370" s="24"/>
      <c r="L370" s="235">
        <f t="shared" si="58"/>
        <v>41.52137135334938</v>
      </c>
      <c r="M370" s="126"/>
      <c r="N370" s="126"/>
      <c r="O370" s="126"/>
      <c r="P370" s="10">
        <f t="shared" si="59"/>
        <v>17.013628646650616</v>
      </c>
      <c r="Q370" s="10">
        <f t="shared" si="64"/>
        <v>289.46355972613048</v>
      </c>
      <c r="W370" s="240">
        <f t="shared" si="65"/>
        <v>17.013628646650616</v>
      </c>
      <c r="X370" s="240">
        <f t="shared" si="66"/>
        <v>0.29065736135048464</v>
      </c>
      <c r="Y370"/>
      <c r="Z370" s="13">
        <f t="shared" si="60"/>
        <v>46.44262054194229</v>
      </c>
      <c r="AA370" s="2"/>
      <c r="AB370" s="68"/>
      <c r="AC370" s="15">
        <f t="shared" si="61"/>
        <v>567.79793316222401</v>
      </c>
    </row>
    <row r="371" spans="1:29">
      <c r="A371" s="84">
        <f>'Q.1 &amp; 4'!K376</f>
        <v>2.5</v>
      </c>
      <c r="B371" s="141">
        <f>'Q.1 &amp; 4'!L376</f>
        <v>39.571399999999997</v>
      </c>
      <c r="C371" s="221"/>
      <c r="D371" s="23"/>
      <c r="E371" s="24"/>
      <c r="F371" s="22">
        <f t="shared" si="56"/>
        <v>-1.0074074074074115</v>
      </c>
      <c r="G371" s="22">
        <f t="shared" si="57"/>
        <v>4.8649109304426332</v>
      </c>
      <c r="H371" s="22">
        <f t="shared" si="62"/>
        <v>-4.9009473077051915</v>
      </c>
      <c r="I371" s="22">
        <f t="shared" si="63"/>
        <v>1.0148696844993224</v>
      </c>
      <c r="J371" s="24"/>
      <c r="K371" s="24"/>
      <c r="L371" s="235">
        <f t="shared" si="58"/>
        <v>39.260906713762353</v>
      </c>
      <c r="M371" s="126"/>
      <c r="N371" s="126"/>
      <c r="O371" s="126"/>
      <c r="P371" s="10">
        <f t="shared" si="59"/>
        <v>0.31049328623764438</v>
      </c>
      <c r="Q371" s="10">
        <f t="shared" si="64"/>
        <v>9.6406080798651761E-2</v>
      </c>
      <c r="W371" s="240">
        <f t="shared" si="65"/>
        <v>0.31049328623764438</v>
      </c>
      <c r="X371" s="240">
        <f t="shared" si="66"/>
        <v>7.8464064005227107E-3</v>
      </c>
      <c r="Y371"/>
      <c r="Z371" s="13">
        <f t="shared" si="60"/>
        <v>20.742720077845721</v>
      </c>
      <c r="AA371" s="2"/>
      <c r="AB371" s="68"/>
      <c r="AC371" s="15">
        <f t="shared" si="61"/>
        <v>23.667358361140206</v>
      </c>
    </row>
    <row r="372" spans="1:29">
      <c r="A372" s="84">
        <f>'Q.1 &amp; 4'!K377</f>
        <v>2.5</v>
      </c>
      <c r="B372" s="141">
        <f>'Q.1 &amp; 4'!L377</f>
        <v>40.0169</v>
      </c>
      <c r="C372" s="221"/>
      <c r="D372" s="23"/>
      <c r="E372" s="24"/>
      <c r="F372" s="22">
        <f t="shared" si="56"/>
        <v>-1.0074074074074115</v>
      </c>
      <c r="G372" s="22">
        <f t="shared" si="57"/>
        <v>5.3104109304426359</v>
      </c>
      <c r="H372" s="22">
        <f t="shared" si="62"/>
        <v>-5.3497473077051962</v>
      </c>
      <c r="I372" s="22">
        <f t="shared" si="63"/>
        <v>1.0148696844993224</v>
      </c>
      <c r="J372" s="24"/>
      <c r="K372" s="24"/>
      <c r="L372" s="235">
        <f t="shared" si="58"/>
        <v>39.260906713762353</v>
      </c>
      <c r="M372" s="126"/>
      <c r="N372" s="126"/>
      <c r="O372" s="126"/>
      <c r="P372" s="10">
        <f t="shared" si="59"/>
        <v>0.75599328623764706</v>
      </c>
      <c r="Q372" s="10">
        <f t="shared" si="64"/>
        <v>0.5715258488363969</v>
      </c>
      <c r="W372" s="240">
        <f t="shared" si="65"/>
        <v>0.75599328623764706</v>
      </c>
      <c r="X372" s="240">
        <f t="shared" si="66"/>
        <v>1.8891850349168654E-2</v>
      </c>
      <c r="Y372"/>
      <c r="Z372" s="13">
        <f t="shared" si="60"/>
        <v>20.742720077845721</v>
      </c>
      <c r="AA372" s="2"/>
      <c r="AB372" s="68"/>
      <c r="AC372" s="15">
        <f t="shared" si="61"/>
        <v>28.200464250164622</v>
      </c>
    </row>
    <row r="373" spans="1:29">
      <c r="A373" s="84">
        <f>'Q.1 &amp; 4'!K378</f>
        <v>2.4</v>
      </c>
      <c r="B373" s="141">
        <f>'Q.1 &amp; 4'!L378</f>
        <v>39.347999999999999</v>
      </c>
      <c r="C373" s="221"/>
      <c r="D373" s="23"/>
      <c r="E373" s="24"/>
      <c r="F373" s="22">
        <f t="shared" si="56"/>
        <v>-1.1074074074074116</v>
      </c>
      <c r="G373" s="22">
        <f t="shared" si="57"/>
        <v>4.6415109304426352</v>
      </c>
      <c r="H373" s="22">
        <f t="shared" si="62"/>
        <v>-5.1400435859346416</v>
      </c>
      <c r="I373" s="22">
        <f t="shared" si="63"/>
        <v>1.2263511659808048</v>
      </c>
      <c r="J373" s="24"/>
      <c r="K373" s="24"/>
      <c r="L373" s="235">
        <f t="shared" si="58"/>
        <v>39.712999641679758</v>
      </c>
      <c r="M373" s="126"/>
      <c r="N373" s="126"/>
      <c r="O373" s="126"/>
      <c r="P373" s="10">
        <f t="shared" si="59"/>
        <v>-0.36499964167975918</v>
      </c>
      <c r="Q373" s="10">
        <f t="shared" si="64"/>
        <v>0.1332247384263526</v>
      </c>
      <c r="W373" s="240">
        <f t="shared" si="65"/>
        <v>0.36499964167975918</v>
      </c>
      <c r="X373" s="240">
        <f t="shared" si="66"/>
        <v>9.276192987693381E-3</v>
      </c>
      <c r="Y373"/>
      <c r="Z373" s="13">
        <f t="shared" si="60"/>
        <v>25.065148108773304</v>
      </c>
      <c r="AA373" s="2"/>
      <c r="AB373" s="68"/>
      <c r="AC373" s="15">
        <f t="shared" si="61"/>
        <v>21.543623717418455</v>
      </c>
    </row>
    <row r="374" spans="1:29">
      <c r="A374" s="84">
        <f>'Q.1 &amp; 4'!K379</f>
        <v>2.4</v>
      </c>
      <c r="B374" s="141">
        <f>'Q.1 &amp; 4'!L379</f>
        <v>39.299999999999997</v>
      </c>
      <c r="C374" s="221"/>
      <c r="D374" s="23"/>
      <c r="E374" s="24"/>
      <c r="F374" s="22">
        <f t="shared" si="56"/>
        <v>-1.1074074074074116</v>
      </c>
      <c r="G374" s="22">
        <f t="shared" si="57"/>
        <v>4.5935109304426334</v>
      </c>
      <c r="H374" s="22">
        <f t="shared" si="62"/>
        <v>-5.0868880303790833</v>
      </c>
      <c r="I374" s="22">
        <f t="shared" si="63"/>
        <v>1.2263511659808048</v>
      </c>
      <c r="J374" s="24"/>
      <c r="K374" s="24"/>
      <c r="L374" s="235">
        <f t="shared" si="58"/>
        <v>39.712999641679758</v>
      </c>
      <c r="M374" s="126"/>
      <c r="N374" s="126"/>
      <c r="O374" s="126"/>
      <c r="P374" s="10">
        <f t="shared" si="59"/>
        <v>-0.412999641679761</v>
      </c>
      <c r="Q374" s="10">
        <f t="shared" si="64"/>
        <v>0.17056870402761098</v>
      </c>
      <c r="W374" s="240">
        <f t="shared" si="65"/>
        <v>0.412999641679761</v>
      </c>
      <c r="X374" s="240">
        <f t="shared" si="66"/>
        <v>1.050889673485397E-2</v>
      </c>
      <c r="Y374"/>
      <c r="Z374" s="13">
        <f t="shared" si="60"/>
        <v>25.065148108773304</v>
      </c>
      <c r="AA374" s="2"/>
      <c r="AB374" s="68"/>
      <c r="AC374" s="15">
        <f t="shared" si="61"/>
        <v>21.100342668095948</v>
      </c>
    </row>
    <row r="375" spans="1:29">
      <c r="A375" s="84">
        <f>'Q.1 &amp; 4'!K380</f>
        <v>2.5</v>
      </c>
      <c r="B375" s="141">
        <f>'Q.1 &amp; 4'!L380</f>
        <v>40.6</v>
      </c>
      <c r="C375" s="221"/>
      <c r="D375" s="23"/>
      <c r="E375" s="24"/>
      <c r="F375" s="22">
        <f t="shared" si="56"/>
        <v>-1.0074074074074115</v>
      </c>
      <c r="G375" s="22">
        <f t="shared" si="57"/>
        <v>5.8935109304426376</v>
      </c>
      <c r="H375" s="22">
        <f t="shared" si="62"/>
        <v>-5.9371665669644589</v>
      </c>
      <c r="I375" s="22">
        <f t="shared" si="63"/>
        <v>1.0148696844993224</v>
      </c>
      <c r="J375" s="24"/>
      <c r="K375" s="24"/>
      <c r="L375" s="235">
        <f t="shared" si="58"/>
        <v>39.260906713762353</v>
      </c>
      <c r="M375" s="126"/>
      <c r="N375" s="126"/>
      <c r="O375" s="126"/>
      <c r="P375" s="10">
        <f t="shared" si="59"/>
        <v>1.3390932862376488</v>
      </c>
      <c r="Q375" s="10">
        <f t="shared" si="64"/>
        <v>1.7931708292467456</v>
      </c>
      <c r="W375" s="240">
        <f t="shared" si="65"/>
        <v>1.3390932862376488</v>
      </c>
      <c r="X375" s="240">
        <f t="shared" si="66"/>
        <v>3.2982593257084941E-2</v>
      </c>
      <c r="Y375"/>
      <c r="Z375" s="13">
        <f t="shared" si="60"/>
        <v>20.742720077845721</v>
      </c>
      <c r="AA375" s="2"/>
      <c r="AB375" s="68"/>
      <c r="AC375" s="15">
        <f t="shared" si="61"/>
        <v>34.733471087246848</v>
      </c>
    </row>
    <row r="376" spans="1:29">
      <c r="A376" s="84">
        <f>'Q.1 &amp; 4'!K381</f>
        <v>2.5</v>
      </c>
      <c r="B376" s="141">
        <f>'Q.1 &amp; 4'!L381</f>
        <v>40.4</v>
      </c>
      <c r="C376" s="221"/>
      <c r="D376" s="23"/>
      <c r="E376" s="24"/>
      <c r="F376" s="22">
        <f t="shared" si="56"/>
        <v>-1.0074074074074115</v>
      </c>
      <c r="G376" s="22">
        <f t="shared" si="57"/>
        <v>5.6935109304426348</v>
      </c>
      <c r="H376" s="22">
        <f t="shared" si="62"/>
        <v>-5.7356850854829737</v>
      </c>
      <c r="I376" s="22">
        <f t="shared" si="63"/>
        <v>1.0148696844993224</v>
      </c>
      <c r="J376" s="24"/>
      <c r="K376" s="24"/>
      <c r="L376" s="235">
        <f t="shared" si="58"/>
        <v>39.260906713762353</v>
      </c>
      <c r="M376" s="126"/>
      <c r="N376" s="126"/>
      <c r="O376" s="126"/>
      <c r="P376" s="10">
        <f t="shared" si="59"/>
        <v>1.1390932862376459</v>
      </c>
      <c r="Q376" s="10">
        <f t="shared" si="64"/>
        <v>1.2975335147516796</v>
      </c>
      <c r="W376" s="240">
        <f t="shared" si="65"/>
        <v>1.1390932862376459</v>
      </c>
      <c r="X376" s="240">
        <f t="shared" si="66"/>
        <v>2.8195378372218961E-2</v>
      </c>
      <c r="Y376"/>
      <c r="Z376" s="13">
        <f t="shared" si="60"/>
        <v>20.742720077845721</v>
      </c>
      <c r="AA376" s="2"/>
      <c r="AB376" s="68"/>
      <c r="AC376" s="15">
        <f t="shared" si="61"/>
        <v>32.416066715069753</v>
      </c>
    </row>
    <row r="377" spans="1:29">
      <c r="A377" s="84">
        <f>'Q.1 &amp; 4'!K382</f>
        <v>2.5</v>
      </c>
      <c r="B377" s="141">
        <f>'Q.1 &amp; 4'!L382</f>
        <v>37.799999999999997</v>
      </c>
      <c r="C377" s="221"/>
      <c r="D377" s="23"/>
      <c r="E377" s="24"/>
      <c r="F377" s="22">
        <f t="shared" si="56"/>
        <v>-1.0074074074074115</v>
      </c>
      <c r="G377" s="22">
        <f t="shared" si="57"/>
        <v>3.0935109304426334</v>
      </c>
      <c r="H377" s="22">
        <f t="shared" si="62"/>
        <v>-3.1164258262237028</v>
      </c>
      <c r="I377" s="22">
        <f t="shared" si="63"/>
        <v>1.0148696844993224</v>
      </c>
      <c r="J377" s="24"/>
      <c r="K377" s="24"/>
      <c r="L377" s="235">
        <f t="shared" si="58"/>
        <v>39.260906713762353</v>
      </c>
      <c r="M377" s="126"/>
      <c r="N377" s="126"/>
      <c r="O377" s="126"/>
      <c r="P377" s="10">
        <f t="shared" si="59"/>
        <v>-1.4609067137623555</v>
      </c>
      <c r="Q377" s="10">
        <f t="shared" si="64"/>
        <v>2.1342484263159247</v>
      </c>
      <c r="W377" s="240">
        <f t="shared" si="65"/>
        <v>1.4609067137623555</v>
      </c>
      <c r="X377" s="240">
        <f t="shared" si="66"/>
        <v>3.8648325760908875E-2</v>
      </c>
      <c r="Y377"/>
      <c r="Z377" s="13">
        <f t="shared" si="60"/>
        <v>20.742720077845721</v>
      </c>
      <c r="AA377" s="2"/>
      <c r="AB377" s="68"/>
      <c r="AC377" s="15">
        <f t="shared" si="61"/>
        <v>9.5698098767680477</v>
      </c>
    </row>
    <row r="378" spans="1:29">
      <c r="A378" s="84">
        <f>'Q.1 &amp; 4'!K383</f>
        <v>2.5</v>
      </c>
      <c r="B378" s="141">
        <f>'Q.1 &amp; 4'!L383</f>
        <v>37.799999999999997</v>
      </c>
      <c r="C378" s="221"/>
      <c r="D378" s="23"/>
      <c r="E378" s="24"/>
      <c r="F378" s="22">
        <f t="shared" si="56"/>
        <v>-1.0074074074074115</v>
      </c>
      <c r="G378" s="22">
        <f t="shared" si="57"/>
        <v>3.0935109304426334</v>
      </c>
      <c r="H378" s="22">
        <f t="shared" si="62"/>
        <v>-3.1164258262237028</v>
      </c>
      <c r="I378" s="22">
        <f t="shared" si="63"/>
        <v>1.0148696844993224</v>
      </c>
      <c r="J378" s="24"/>
      <c r="K378" s="24"/>
      <c r="L378" s="235">
        <f t="shared" si="58"/>
        <v>39.260906713762353</v>
      </c>
      <c r="M378" s="126"/>
      <c r="N378" s="126"/>
      <c r="O378" s="126"/>
      <c r="P378" s="10">
        <f t="shared" si="59"/>
        <v>-1.4609067137623555</v>
      </c>
      <c r="Q378" s="10">
        <f t="shared" si="64"/>
        <v>2.1342484263159247</v>
      </c>
      <c r="W378" s="240">
        <f t="shared" si="65"/>
        <v>1.4609067137623555</v>
      </c>
      <c r="X378" s="240">
        <f t="shared" si="66"/>
        <v>3.8648325760908875E-2</v>
      </c>
      <c r="Y378"/>
      <c r="Z378" s="13">
        <f t="shared" si="60"/>
        <v>20.742720077845721</v>
      </c>
      <c r="AA378" s="2"/>
      <c r="AB378" s="68"/>
      <c r="AC378" s="15">
        <f t="shared" si="61"/>
        <v>9.5698098767680477</v>
      </c>
    </row>
    <row r="379" spans="1:29">
      <c r="A379" s="84">
        <f>'Q.1 &amp; 4'!K384</f>
        <v>2.4</v>
      </c>
      <c r="B379" s="141">
        <f>'Q.1 &amp; 4'!L384</f>
        <v>39.347999999999999</v>
      </c>
      <c r="C379" s="221"/>
      <c r="D379" s="23"/>
      <c r="E379" s="24"/>
      <c r="F379" s="22">
        <f t="shared" si="56"/>
        <v>-1.1074074074074116</v>
      </c>
      <c r="G379" s="22">
        <f t="shared" si="57"/>
        <v>4.6415109304426352</v>
      </c>
      <c r="H379" s="22">
        <f t="shared" si="62"/>
        <v>-5.1400435859346416</v>
      </c>
      <c r="I379" s="22">
        <f t="shared" si="63"/>
        <v>1.2263511659808048</v>
      </c>
      <c r="J379" s="24"/>
      <c r="K379" s="24"/>
      <c r="L379" s="235">
        <f t="shared" si="58"/>
        <v>39.712999641679758</v>
      </c>
      <c r="M379" s="126"/>
      <c r="N379" s="126"/>
      <c r="O379" s="126"/>
      <c r="P379" s="10">
        <f t="shared" si="59"/>
        <v>-0.36499964167975918</v>
      </c>
      <c r="Q379" s="10">
        <f t="shared" si="64"/>
        <v>0.1332247384263526</v>
      </c>
      <c r="W379" s="240">
        <f t="shared" si="65"/>
        <v>0.36499964167975918</v>
      </c>
      <c r="X379" s="240">
        <f t="shared" si="66"/>
        <v>9.276192987693381E-3</v>
      </c>
      <c r="Y379"/>
      <c r="Z379" s="13">
        <f t="shared" si="60"/>
        <v>25.065148108773304</v>
      </c>
      <c r="AA379" s="2"/>
      <c r="AB379" s="68"/>
      <c r="AC379" s="15">
        <f t="shared" si="61"/>
        <v>21.543623717418455</v>
      </c>
    </row>
    <row r="380" spans="1:29">
      <c r="A380" s="84">
        <f>'Q.1 &amp; 4'!K385</f>
        <v>2.4</v>
      </c>
      <c r="B380" s="141">
        <f>'Q.1 &amp; 4'!L385</f>
        <v>39.299999999999997</v>
      </c>
      <c r="C380" s="221"/>
      <c r="D380" s="23"/>
      <c r="E380" s="24"/>
      <c r="F380" s="22">
        <f t="shared" si="56"/>
        <v>-1.1074074074074116</v>
      </c>
      <c r="G380" s="22">
        <f t="shared" si="57"/>
        <v>4.5935109304426334</v>
      </c>
      <c r="H380" s="22">
        <f t="shared" si="62"/>
        <v>-5.0868880303790833</v>
      </c>
      <c r="I380" s="22">
        <f t="shared" si="63"/>
        <v>1.2263511659808048</v>
      </c>
      <c r="J380" s="24"/>
      <c r="K380" s="24"/>
      <c r="L380" s="235">
        <f t="shared" si="58"/>
        <v>39.712999641679758</v>
      </c>
      <c r="M380" s="126"/>
      <c r="N380" s="126"/>
      <c r="O380" s="126"/>
      <c r="P380" s="10">
        <f t="shared" si="59"/>
        <v>-0.412999641679761</v>
      </c>
      <c r="Q380" s="10">
        <f t="shared" si="64"/>
        <v>0.17056870402761098</v>
      </c>
      <c r="W380" s="240">
        <f t="shared" si="65"/>
        <v>0.412999641679761</v>
      </c>
      <c r="X380" s="240">
        <f t="shared" si="66"/>
        <v>1.050889673485397E-2</v>
      </c>
      <c r="Y380"/>
      <c r="Z380" s="13">
        <f t="shared" si="60"/>
        <v>25.065148108773304</v>
      </c>
      <c r="AA380" s="2"/>
      <c r="AB380" s="68"/>
      <c r="AC380" s="15">
        <f t="shared" si="61"/>
        <v>21.100342668095948</v>
      </c>
    </row>
    <row r="381" spans="1:29">
      <c r="A381" s="84">
        <f>'Q.1 &amp; 4'!K386</f>
        <v>2.5</v>
      </c>
      <c r="B381" s="141">
        <f>'Q.1 &amp; 4'!L386</f>
        <v>40.6</v>
      </c>
      <c r="C381" s="221"/>
      <c r="D381" s="23"/>
      <c r="E381" s="24"/>
      <c r="F381" s="22">
        <f t="shared" si="56"/>
        <v>-1.0074074074074115</v>
      </c>
      <c r="G381" s="22">
        <f t="shared" si="57"/>
        <v>5.8935109304426376</v>
      </c>
      <c r="H381" s="22">
        <f t="shared" si="62"/>
        <v>-5.9371665669644589</v>
      </c>
      <c r="I381" s="22">
        <f t="shared" si="63"/>
        <v>1.0148696844993224</v>
      </c>
      <c r="J381" s="24"/>
      <c r="K381" s="24"/>
      <c r="L381" s="235">
        <f t="shared" si="58"/>
        <v>39.260906713762353</v>
      </c>
      <c r="M381" s="126"/>
      <c r="N381" s="126"/>
      <c r="O381" s="126"/>
      <c r="P381" s="10">
        <f t="shared" si="59"/>
        <v>1.3390932862376488</v>
      </c>
      <c r="Q381" s="10">
        <f t="shared" si="64"/>
        <v>1.7931708292467456</v>
      </c>
      <c r="W381" s="240">
        <f t="shared" si="65"/>
        <v>1.3390932862376488</v>
      </c>
      <c r="X381" s="240">
        <f t="shared" si="66"/>
        <v>3.2982593257084941E-2</v>
      </c>
      <c r="Y381"/>
      <c r="Z381" s="13">
        <f t="shared" si="60"/>
        <v>20.742720077845721</v>
      </c>
      <c r="AA381" s="2"/>
      <c r="AB381" s="68"/>
      <c r="AC381" s="15">
        <f t="shared" si="61"/>
        <v>34.733471087246848</v>
      </c>
    </row>
    <row r="382" spans="1:29">
      <c r="A382" s="84">
        <f>'Q.1 &amp; 4'!K387</f>
        <v>2.5</v>
      </c>
      <c r="B382" s="141">
        <f>'Q.1 &amp; 4'!L387</f>
        <v>40.4</v>
      </c>
      <c r="C382" s="221"/>
      <c r="D382" s="23"/>
      <c r="E382" s="24"/>
      <c r="F382" s="22">
        <f t="shared" si="56"/>
        <v>-1.0074074074074115</v>
      </c>
      <c r="G382" s="22">
        <f t="shared" si="57"/>
        <v>5.6935109304426348</v>
      </c>
      <c r="H382" s="22">
        <f t="shared" si="62"/>
        <v>-5.7356850854829737</v>
      </c>
      <c r="I382" s="22">
        <f t="shared" si="63"/>
        <v>1.0148696844993224</v>
      </c>
      <c r="J382" s="24"/>
      <c r="K382" s="24"/>
      <c r="L382" s="235">
        <f t="shared" si="58"/>
        <v>39.260906713762353</v>
      </c>
      <c r="M382" s="126"/>
      <c r="N382" s="126"/>
      <c r="O382" s="126"/>
      <c r="P382" s="10">
        <f t="shared" si="59"/>
        <v>1.1390932862376459</v>
      </c>
      <c r="Q382" s="10">
        <f t="shared" si="64"/>
        <v>1.2975335147516796</v>
      </c>
      <c r="W382" s="240">
        <f t="shared" si="65"/>
        <v>1.1390932862376459</v>
      </c>
      <c r="X382" s="240">
        <f t="shared" si="66"/>
        <v>2.8195378372218961E-2</v>
      </c>
      <c r="Y382"/>
      <c r="Z382" s="13">
        <f t="shared" si="60"/>
        <v>20.742720077845721</v>
      </c>
      <c r="AA382" s="2"/>
      <c r="AB382" s="68"/>
      <c r="AC382" s="15">
        <f t="shared" si="61"/>
        <v>32.416066715069753</v>
      </c>
    </row>
    <row r="383" spans="1:29">
      <c r="A383" s="84">
        <f>'Q.1 &amp; 4'!K388</f>
        <v>3.7</v>
      </c>
      <c r="B383" s="141">
        <f>'Q.1 &amp; 4'!L388</f>
        <v>30.9</v>
      </c>
      <c r="C383" s="221"/>
      <c r="D383" s="23"/>
      <c r="E383" s="24"/>
      <c r="F383" s="22">
        <f t="shared" si="56"/>
        <v>0.19259259259258865</v>
      </c>
      <c r="G383" s="22">
        <f t="shared" si="57"/>
        <v>-3.8064890695573652</v>
      </c>
      <c r="H383" s="22">
        <f t="shared" si="62"/>
        <v>-0.73310159858140345</v>
      </c>
      <c r="I383" s="22">
        <f t="shared" si="63"/>
        <v>3.7091906721534833E-2</v>
      </c>
      <c r="J383" s="24"/>
      <c r="K383" s="24"/>
      <c r="L383" s="235">
        <f t="shared" si="58"/>
        <v>33.835791578753486</v>
      </c>
      <c r="M383" s="126"/>
      <c r="N383" s="126"/>
      <c r="O383" s="126"/>
      <c r="P383" s="10">
        <f t="shared" si="59"/>
        <v>-2.9357915787534878</v>
      </c>
      <c r="Q383" s="10">
        <f t="shared" si="64"/>
        <v>8.6188721938798967</v>
      </c>
      <c r="W383" s="240">
        <f t="shared" si="65"/>
        <v>2.9357915787534878</v>
      </c>
      <c r="X383" s="240">
        <f t="shared" si="66"/>
        <v>9.50094362056145E-2</v>
      </c>
      <c r="Y383"/>
      <c r="Z383" s="13">
        <f t="shared" si="60"/>
        <v>0.75811412049216809</v>
      </c>
      <c r="AA383" s="2"/>
      <c r="AB383" s="68"/>
      <c r="AC383" s="15">
        <f t="shared" si="61"/>
        <v>14.489359036659696</v>
      </c>
    </row>
    <row r="384" spans="1:29">
      <c r="A384" s="84">
        <f>'Q.1 &amp; 4'!K389</f>
        <v>3.5</v>
      </c>
      <c r="B384" s="141">
        <f>'Q.1 &amp; 4'!L389</f>
        <v>36.799999999999997</v>
      </c>
      <c r="C384" s="221"/>
      <c r="D384" s="23"/>
      <c r="E384" s="24"/>
      <c r="F384" s="22">
        <f t="shared" si="56"/>
        <v>-7.4074074074115259E-3</v>
      </c>
      <c r="G384" s="22">
        <f t="shared" si="57"/>
        <v>2.0935109304426334</v>
      </c>
      <c r="H384" s="22">
        <f t="shared" si="62"/>
        <v>-1.5507488373657757E-2</v>
      </c>
      <c r="I384" s="22">
        <f t="shared" si="63"/>
        <v>5.4869684499375142E-5</v>
      </c>
      <c r="J384" s="24"/>
      <c r="K384" s="24"/>
      <c r="L384" s="235">
        <f t="shared" si="58"/>
        <v>34.739977434588305</v>
      </c>
      <c r="M384" s="126"/>
      <c r="N384" s="126"/>
      <c r="O384" s="126"/>
      <c r="P384" s="10">
        <f t="shared" si="59"/>
        <v>2.0600225654116926</v>
      </c>
      <c r="Q384" s="10">
        <f t="shared" si="64"/>
        <v>4.2436929700053714</v>
      </c>
      <c r="W384" s="240">
        <f t="shared" si="65"/>
        <v>2.0600225654116926</v>
      </c>
      <c r="X384" s="240">
        <f t="shared" si="66"/>
        <v>5.5978874060100346E-2</v>
      </c>
      <c r="Y384"/>
      <c r="Z384" s="13">
        <f t="shared" si="60"/>
        <v>1.1214705924455365E-3</v>
      </c>
      <c r="AA384" s="2"/>
      <c r="AB384" s="68"/>
      <c r="AC384" s="15">
        <f t="shared" si="61"/>
        <v>4.3827880158827801</v>
      </c>
    </row>
    <row r="385" spans="1:29">
      <c r="A385" s="84">
        <f>'Q.1 &amp; 4'!K390</f>
        <v>3.7</v>
      </c>
      <c r="B385" s="141">
        <f>'Q.1 &amp; 4'!L390</f>
        <v>34.299999999999997</v>
      </c>
      <c r="C385" s="221"/>
      <c r="D385" s="23"/>
      <c r="E385" s="24"/>
      <c r="F385" s="22">
        <f t="shared" si="56"/>
        <v>0.19259259259258865</v>
      </c>
      <c r="G385" s="22">
        <f t="shared" si="57"/>
        <v>-0.40648906955736663</v>
      </c>
      <c r="H385" s="22">
        <f t="shared" si="62"/>
        <v>-7.8286783766602336E-2</v>
      </c>
      <c r="I385" s="22">
        <f t="shared" si="63"/>
        <v>3.7091906721534833E-2</v>
      </c>
      <c r="J385" s="24"/>
      <c r="K385" s="24"/>
      <c r="L385" s="235">
        <f t="shared" si="58"/>
        <v>33.835791578753486</v>
      </c>
      <c r="M385" s="126"/>
      <c r="N385" s="126"/>
      <c r="O385" s="126"/>
      <c r="P385" s="10">
        <f t="shared" si="59"/>
        <v>0.46420842124651074</v>
      </c>
      <c r="Q385" s="10">
        <f t="shared" si="64"/>
        <v>0.21548945835617797</v>
      </c>
      <c r="W385" s="240">
        <f t="shared" si="65"/>
        <v>0.46420842124651074</v>
      </c>
      <c r="X385" s="240">
        <f t="shared" si="66"/>
        <v>1.3533773214183987E-2</v>
      </c>
      <c r="Y385"/>
      <c r="Z385" s="13">
        <f t="shared" si="60"/>
        <v>0.75811412049216809</v>
      </c>
      <c r="AA385" s="2"/>
      <c r="AB385" s="68"/>
      <c r="AC385" s="15">
        <f t="shared" si="61"/>
        <v>0.16523336366961364</v>
      </c>
    </row>
    <row r="386" spans="1:29">
      <c r="A386" s="84">
        <f>'Q.1 &amp; 4'!K391</f>
        <v>3.7</v>
      </c>
      <c r="B386" s="141">
        <f>'Q.1 &amp; 4'!L391</f>
        <v>34.4</v>
      </c>
      <c r="C386" s="221"/>
      <c r="D386" s="23"/>
      <c r="E386" s="24"/>
      <c r="F386" s="22">
        <f t="shared" si="56"/>
        <v>0.19259259259258865</v>
      </c>
      <c r="G386" s="22">
        <f t="shared" si="57"/>
        <v>-0.30648906955736521</v>
      </c>
      <c r="H386" s="22">
        <f t="shared" si="62"/>
        <v>-5.90275245073432E-2</v>
      </c>
      <c r="I386" s="22">
        <f t="shared" si="63"/>
        <v>3.7091906721534833E-2</v>
      </c>
      <c r="J386" s="24"/>
      <c r="K386" s="24"/>
      <c r="L386" s="235">
        <f t="shared" si="58"/>
        <v>33.835791578753486</v>
      </c>
      <c r="M386" s="126"/>
      <c r="N386" s="126"/>
      <c r="O386" s="126"/>
      <c r="P386" s="10">
        <f t="shared" si="59"/>
        <v>0.56420842124651216</v>
      </c>
      <c r="Q386" s="10">
        <f t="shared" si="64"/>
        <v>0.31833114260548173</v>
      </c>
      <c r="W386" s="240">
        <f t="shared" si="65"/>
        <v>0.56420842124651216</v>
      </c>
      <c r="X386" s="240">
        <f t="shared" si="66"/>
        <v>1.6401407594375354E-2</v>
      </c>
      <c r="Y386"/>
      <c r="Z386" s="13">
        <f t="shared" si="60"/>
        <v>0.75811412049216809</v>
      </c>
      <c r="AA386" s="2"/>
      <c r="AB386" s="68"/>
      <c r="AC386" s="15">
        <f t="shared" si="61"/>
        <v>9.3935549758139447E-2</v>
      </c>
    </row>
    <row r="387" spans="1:29">
      <c r="A387" s="84">
        <f>'Q.1 &amp; 4'!K392</f>
        <v>3.2</v>
      </c>
      <c r="B387" s="141">
        <f>'Q.1 &amp; 4'!L392</f>
        <v>38.9</v>
      </c>
      <c r="C387" s="221"/>
      <c r="D387" s="23"/>
      <c r="E387" s="24"/>
      <c r="F387" s="22">
        <f t="shared" si="56"/>
        <v>-0.30740740740741135</v>
      </c>
      <c r="G387" s="22">
        <f t="shared" si="57"/>
        <v>4.1935109304426348</v>
      </c>
      <c r="H387" s="22">
        <f t="shared" si="62"/>
        <v>-1.2891163230620117</v>
      </c>
      <c r="I387" s="22">
        <f t="shared" si="63"/>
        <v>9.4499314128946188E-2</v>
      </c>
      <c r="J387" s="24"/>
      <c r="K387" s="24"/>
      <c r="L387" s="235">
        <f t="shared" si="58"/>
        <v>36.096256218340514</v>
      </c>
      <c r="M387" s="126"/>
      <c r="N387" s="126"/>
      <c r="O387" s="126"/>
      <c r="P387" s="10">
        <f t="shared" si="59"/>
        <v>2.8037437816594846</v>
      </c>
      <c r="Q387" s="10">
        <f t="shared" si="64"/>
        <v>7.8609791931942272</v>
      </c>
      <c r="W387" s="240">
        <f t="shared" si="65"/>
        <v>2.8037437816594846</v>
      </c>
      <c r="X387" s="240">
        <f t="shared" si="66"/>
        <v>7.207567562106644E-2</v>
      </c>
      <c r="Y387"/>
      <c r="Z387" s="13">
        <f t="shared" si="60"/>
        <v>1.9314527278368467</v>
      </c>
      <c r="AA387" s="2"/>
      <c r="AB387" s="68"/>
      <c r="AC387" s="15">
        <f t="shared" si="61"/>
        <v>17.585533923741853</v>
      </c>
    </row>
    <row r="388" spans="1:29">
      <c r="A388" s="84">
        <f>'Q.1 &amp; 4'!K393</f>
        <v>3</v>
      </c>
      <c r="B388" s="141">
        <f>'Q.1 &amp; 4'!L393</f>
        <v>34.7286</v>
      </c>
      <c r="C388" s="221"/>
      <c r="D388" s="23"/>
      <c r="E388" s="24"/>
      <c r="F388" s="22">
        <f t="shared" si="56"/>
        <v>-0.50740740740741153</v>
      </c>
      <c r="G388" s="22">
        <f t="shared" si="57"/>
        <v>2.2110930442636345E-2</v>
      </c>
      <c r="H388" s="22">
        <f t="shared" si="62"/>
        <v>-1.1219249891263718E-2</v>
      </c>
      <c r="I388" s="22">
        <f t="shared" si="63"/>
        <v>0.25746227709191088</v>
      </c>
      <c r="J388" s="24"/>
      <c r="K388" s="24"/>
      <c r="L388" s="235">
        <f t="shared" si="58"/>
        <v>37.000442074175325</v>
      </c>
      <c r="M388" s="126"/>
      <c r="N388" s="126"/>
      <c r="O388" s="126"/>
      <c r="P388" s="10">
        <f t="shared" si="59"/>
        <v>-2.2718420741753249</v>
      </c>
      <c r="Q388" s="10">
        <f t="shared" si="64"/>
        <v>5.1612664099932424</v>
      </c>
      <c r="W388" s="240">
        <f t="shared" si="65"/>
        <v>2.2718420741753249</v>
      </c>
      <c r="X388" s="240">
        <f t="shared" si="66"/>
        <v>6.5417035935088796E-2</v>
      </c>
      <c r="Y388"/>
      <c r="Z388" s="13">
        <f t="shared" si="60"/>
        <v>5.2622203873957725</v>
      </c>
      <c r="AA388" s="2"/>
      <c r="AB388" s="68"/>
      <c r="AC388" s="15">
        <f t="shared" si="61"/>
        <v>4.8889324503910273E-4</v>
      </c>
    </row>
    <row r="389" spans="1:29">
      <c r="A389" s="84">
        <f>'Q.1 &amp; 4'!K394</f>
        <v>4.2</v>
      </c>
      <c r="B389" s="141">
        <f>'Q.1 &amp; 4'!L394</f>
        <v>31.5002</v>
      </c>
      <c r="C389" s="221"/>
      <c r="D389" s="23"/>
      <c r="E389" s="24"/>
      <c r="F389" s="22">
        <f t="shared" si="56"/>
        <v>0.69259259259258865</v>
      </c>
      <c r="G389" s="22">
        <f t="shared" si="57"/>
        <v>-3.2062890695573643</v>
      </c>
      <c r="H389" s="22">
        <f t="shared" si="62"/>
        <v>-2.2206520592860137</v>
      </c>
      <c r="I389" s="22">
        <f t="shared" si="63"/>
        <v>0.47968449931412349</v>
      </c>
      <c r="J389" s="24"/>
      <c r="K389" s="24"/>
      <c r="L389" s="235">
        <f t="shared" si="58"/>
        <v>31.575326939166466</v>
      </c>
      <c r="M389" s="126"/>
      <c r="N389" s="126"/>
      <c r="O389" s="126"/>
      <c r="P389" s="10">
        <f t="shared" si="59"/>
        <v>-7.51269391664664E-2</v>
      </c>
      <c r="Q389" s="10">
        <f t="shared" si="64"/>
        <v>5.6440569885219428E-3</v>
      </c>
      <c r="W389" s="240">
        <f t="shared" si="65"/>
        <v>7.51269391664664E-2</v>
      </c>
      <c r="X389" s="240">
        <f t="shared" si="66"/>
        <v>2.3849670531128817E-3</v>
      </c>
      <c r="Y389"/>
      <c r="Z389" s="13">
        <f t="shared" si="60"/>
        <v>9.8041762867940658</v>
      </c>
      <c r="AA389" s="2"/>
      <c r="AB389" s="68"/>
      <c r="AC389" s="15">
        <f t="shared" si="61"/>
        <v>10.280289597563028</v>
      </c>
    </row>
    <row r="390" spans="1:29">
      <c r="A390" s="84">
        <f>'Q.1 &amp; 4'!K395</f>
        <v>4.2</v>
      </c>
      <c r="B390" s="141">
        <f>'Q.1 &amp; 4'!L395</f>
        <v>31.5002</v>
      </c>
      <c r="C390" s="221"/>
      <c r="D390" s="23"/>
      <c r="E390" s="24"/>
      <c r="F390" s="22">
        <f t="shared" ref="F390:F453" si="67">A390-$D$6</f>
        <v>0.69259259259258865</v>
      </c>
      <c r="G390" s="22">
        <f t="shared" ref="G390:G453" si="68">B390-$E$6</f>
        <v>-3.2062890695573643</v>
      </c>
      <c r="H390" s="22">
        <f t="shared" si="62"/>
        <v>-2.2206520592860137</v>
      </c>
      <c r="I390" s="22">
        <f t="shared" si="63"/>
        <v>0.47968449931412349</v>
      </c>
      <c r="J390" s="24"/>
      <c r="K390" s="24"/>
      <c r="L390" s="235">
        <f t="shared" ref="L390:L453" si="69">$K$6+$J$6*A390</f>
        <v>31.575326939166466</v>
      </c>
      <c r="M390" s="126"/>
      <c r="N390" s="126"/>
      <c r="O390" s="126"/>
      <c r="P390" s="10">
        <f t="shared" ref="P390:P453" si="70">B390-L390</f>
        <v>-7.51269391664664E-2</v>
      </c>
      <c r="Q390" s="10">
        <f t="shared" si="64"/>
        <v>5.6440569885219428E-3</v>
      </c>
      <c r="W390" s="240">
        <f t="shared" si="65"/>
        <v>7.51269391664664E-2</v>
      </c>
      <c r="X390" s="240">
        <f t="shared" si="66"/>
        <v>2.3849670531128817E-3</v>
      </c>
      <c r="Y390"/>
      <c r="Z390" s="13">
        <f t="shared" ref="Z390:Z453" si="71">(L390-$E$6)^2</f>
        <v>9.8041762867940658</v>
      </c>
      <c r="AA390" s="2"/>
      <c r="AB390" s="68"/>
      <c r="AC390" s="15">
        <f t="shared" ref="AC390:AC453" si="72">(B390-$E$6)^2</f>
        <v>10.280289597563028</v>
      </c>
    </row>
    <row r="391" spans="1:29">
      <c r="A391" s="84">
        <f>'Q.1 &amp; 4'!K396</f>
        <v>5.2</v>
      </c>
      <c r="B391" s="141">
        <f>'Q.1 &amp; 4'!L396</f>
        <v>26.7</v>
      </c>
      <c r="C391" s="221"/>
      <c r="D391" s="23"/>
      <c r="E391" s="24"/>
      <c r="F391" s="22">
        <f t="shared" si="67"/>
        <v>1.6925925925925887</v>
      </c>
      <c r="G391" s="22">
        <f t="shared" si="68"/>
        <v>-8.0064890695573645</v>
      </c>
      <c r="H391" s="22">
        <f t="shared" ref="H391:H454" si="73">F391*G391</f>
        <v>-13.551724091806323</v>
      </c>
      <c r="I391" s="22">
        <f t="shared" ref="I391:I454" si="74">F391^2</f>
        <v>2.8648696844993009</v>
      </c>
      <c r="J391" s="24"/>
      <c r="K391" s="24"/>
      <c r="L391" s="235">
        <f t="shared" si="69"/>
        <v>27.054397659992414</v>
      </c>
      <c r="M391" s="126"/>
      <c r="N391" s="126"/>
      <c r="O391" s="126"/>
      <c r="P391" s="10">
        <f t="shared" si="70"/>
        <v>-0.35439765999241502</v>
      </c>
      <c r="Q391" s="10">
        <f t="shared" ref="Q391:Q454" si="75">P391^2</f>
        <v>0.12559770140809939</v>
      </c>
      <c r="W391" s="240">
        <f t="shared" ref="W391:W454" si="76">ABS(P391)</f>
        <v>0.35439765999241502</v>
      </c>
      <c r="X391" s="240">
        <f t="shared" ref="X391:X454" si="77">W391/B391</f>
        <v>1.3273320598966855E-2</v>
      </c>
      <c r="Y391"/>
      <c r="Z391" s="13">
        <f t="shared" si="71"/>
        <v>58.554502940337699</v>
      </c>
      <c r="AA391" s="2"/>
      <c r="AB391" s="68"/>
      <c r="AC391" s="15">
        <f t="shared" si="72"/>
        <v>64.103867220941552</v>
      </c>
    </row>
    <row r="392" spans="1:29">
      <c r="A392" s="84">
        <f>'Q.1 &amp; 4'!K397</f>
        <v>6</v>
      </c>
      <c r="B392" s="141">
        <f>'Q.1 &amp; 4'!L397</f>
        <v>23.2715</v>
      </c>
      <c r="C392" s="221"/>
      <c r="D392" s="23"/>
      <c r="E392" s="24"/>
      <c r="F392" s="22">
        <f t="shared" si="67"/>
        <v>2.4925925925925885</v>
      </c>
      <c r="G392" s="22">
        <f t="shared" si="68"/>
        <v>-11.434989069557364</v>
      </c>
      <c r="H392" s="22">
        <f t="shared" si="73"/>
        <v>-28.502769051155902</v>
      </c>
      <c r="I392" s="22">
        <f t="shared" si="74"/>
        <v>6.2130178326474415</v>
      </c>
      <c r="J392" s="24"/>
      <c r="K392" s="24"/>
      <c r="L392" s="235">
        <f t="shared" si="69"/>
        <v>23.437654236653174</v>
      </c>
      <c r="M392" s="126"/>
      <c r="N392" s="126"/>
      <c r="O392" s="126"/>
      <c r="P392" s="10">
        <f t="shared" si="70"/>
        <v>-0.16615423665317408</v>
      </c>
      <c r="Q392" s="10">
        <f t="shared" si="75"/>
        <v>2.7607230357798978E-2</v>
      </c>
      <c r="W392" s="240">
        <f t="shared" si="76"/>
        <v>0.16615423665317408</v>
      </c>
      <c r="X392" s="240">
        <f t="shared" si="77"/>
        <v>7.1398163699449577E-3</v>
      </c>
      <c r="Y392"/>
      <c r="Z392" s="13">
        <f t="shared" si="71"/>
        <v>126.9866384912748</v>
      </c>
      <c r="AA392" s="2"/>
      <c r="AB392" s="68"/>
      <c r="AC392" s="15">
        <f t="shared" si="72"/>
        <v>130.7589750208964</v>
      </c>
    </row>
    <row r="393" spans="1:29">
      <c r="A393" s="84">
        <f>'Q.1 &amp; 4'!K398</f>
        <v>3</v>
      </c>
      <c r="B393" s="141">
        <f>'Q.1 &amp; 4'!L398</f>
        <v>38.169600000000003</v>
      </c>
      <c r="C393" s="221"/>
      <c r="D393" s="23"/>
      <c r="E393" s="24"/>
      <c r="F393" s="22">
        <f t="shared" si="67"/>
        <v>-0.50740740740741153</v>
      </c>
      <c r="G393" s="22">
        <f t="shared" si="68"/>
        <v>3.4631109304426388</v>
      </c>
      <c r="H393" s="22">
        <f t="shared" si="73"/>
        <v>-1.7572081387801681</v>
      </c>
      <c r="I393" s="22">
        <f t="shared" si="74"/>
        <v>0.25746227709191088</v>
      </c>
      <c r="J393" s="24"/>
      <c r="K393" s="24"/>
      <c r="L393" s="235">
        <f t="shared" si="69"/>
        <v>37.000442074175325</v>
      </c>
      <c r="M393" s="126"/>
      <c r="N393" s="126"/>
      <c r="O393" s="126"/>
      <c r="P393" s="10">
        <f t="shared" si="70"/>
        <v>1.1691579258246776</v>
      </c>
      <c r="Q393" s="10">
        <f t="shared" si="75"/>
        <v>1.3669302555186622</v>
      </c>
      <c r="W393" s="240">
        <f t="shared" si="76"/>
        <v>1.1691579258246776</v>
      </c>
      <c r="X393" s="240">
        <f t="shared" si="77"/>
        <v>3.0630604612693808E-2</v>
      </c>
      <c r="Y393"/>
      <c r="Z393" s="13">
        <f t="shared" si="71"/>
        <v>5.2622203873957725</v>
      </c>
      <c r="AA393" s="2"/>
      <c r="AB393" s="68"/>
      <c r="AC393" s="15">
        <f t="shared" si="72"/>
        <v>11.99313731655128</v>
      </c>
    </row>
    <row r="394" spans="1:29">
      <c r="A394" s="84">
        <f>'Q.1 &amp; 4'!K399</f>
        <v>3</v>
      </c>
      <c r="B394" s="141">
        <f>'Q.1 &amp; 4'!L399</f>
        <v>38.7896</v>
      </c>
      <c r="C394" s="221"/>
      <c r="D394" s="23"/>
      <c r="E394" s="24"/>
      <c r="F394" s="22">
        <f t="shared" si="67"/>
        <v>-0.50740740740741153</v>
      </c>
      <c r="G394" s="22">
        <f t="shared" si="68"/>
        <v>4.0831109304426363</v>
      </c>
      <c r="H394" s="22">
        <f t="shared" si="73"/>
        <v>-2.071800731372762</v>
      </c>
      <c r="I394" s="22">
        <f t="shared" si="74"/>
        <v>0.25746227709191088</v>
      </c>
      <c r="J394" s="24"/>
      <c r="K394" s="24"/>
      <c r="L394" s="235">
        <f t="shared" si="69"/>
        <v>37.000442074175325</v>
      </c>
      <c r="M394" s="126"/>
      <c r="N394" s="126"/>
      <c r="O394" s="126"/>
      <c r="P394" s="10">
        <f t="shared" si="70"/>
        <v>1.789157925824675</v>
      </c>
      <c r="Q394" s="10">
        <f t="shared" si="75"/>
        <v>3.2010860835412536</v>
      </c>
      <c r="W394" s="240">
        <f t="shared" si="76"/>
        <v>1.789157925824675</v>
      </c>
      <c r="X394" s="240">
        <f t="shared" si="77"/>
        <v>4.6124680992448361E-2</v>
      </c>
      <c r="Y394"/>
      <c r="Z394" s="13">
        <f t="shared" si="71"/>
        <v>5.2622203873957725</v>
      </c>
      <c r="AA394" s="2"/>
      <c r="AB394" s="68"/>
      <c r="AC394" s="15">
        <f t="shared" si="72"/>
        <v>16.671794870300133</v>
      </c>
    </row>
    <row r="395" spans="1:29">
      <c r="A395" s="84">
        <f>'Q.1 &amp; 4'!K400</f>
        <v>3</v>
      </c>
      <c r="B395" s="141">
        <f>'Q.1 &amp; 4'!L400</f>
        <v>34.781799999999997</v>
      </c>
      <c r="C395" s="221"/>
      <c r="D395" s="23"/>
      <c r="E395" s="24"/>
      <c r="F395" s="22">
        <f t="shared" si="67"/>
        <v>-0.50740740740741153</v>
      </c>
      <c r="G395" s="22">
        <f t="shared" si="68"/>
        <v>7.5310930442633151E-2</v>
      </c>
      <c r="H395" s="22">
        <f t="shared" si="73"/>
        <v>-3.8213323965336388E-2</v>
      </c>
      <c r="I395" s="22">
        <f t="shared" si="74"/>
        <v>0.25746227709191088</v>
      </c>
      <c r="J395" s="24"/>
      <c r="K395" s="24"/>
      <c r="L395" s="235">
        <f t="shared" si="69"/>
        <v>37.000442074175325</v>
      </c>
      <c r="M395" s="126"/>
      <c r="N395" s="126"/>
      <c r="O395" s="126"/>
      <c r="P395" s="10">
        <f t="shared" si="70"/>
        <v>-2.2186420741753281</v>
      </c>
      <c r="Q395" s="10">
        <f t="shared" si="75"/>
        <v>4.9223726533010019</v>
      </c>
      <c r="W395" s="240">
        <f t="shared" si="76"/>
        <v>2.2186420741753281</v>
      </c>
      <c r="X395" s="240">
        <f t="shared" si="77"/>
        <v>6.3787442690583243E-2</v>
      </c>
      <c r="Y395"/>
      <c r="Z395" s="13">
        <f t="shared" si="71"/>
        <v>5.2622203873957725</v>
      </c>
      <c r="AA395" s="2"/>
      <c r="AB395" s="68"/>
      <c r="AC395" s="15">
        <f t="shared" si="72"/>
        <v>5.6717362441351289E-3</v>
      </c>
    </row>
    <row r="396" spans="1:29">
      <c r="A396" s="84">
        <f>'Q.1 &amp; 4'!K401</f>
        <v>3</v>
      </c>
      <c r="B396" s="141">
        <f>'Q.1 &amp; 4'!L401</f>
        <v>35.460599999999999</v>
      </c>
      <c r="C396" s="221"/>
      <c r="D396" s="23"/>
      <c r="E396" s="24"/>
      <c r="F396" s="22">
        <f t="shared" si="67"/>
        <v>-0.50740740740741153</v>
      </c>
      <c r="G396" s="22">
        <f t="shared" si="68"/>
        <v>0.75411093044263566</v>
      </c>
      <c r="H396" s="22">
        <f t="shared" si="73"/>
        <v>-0.38264147211348859</v>
      </c>
      <c r="I396" s="22">
        <f t="shared" si="74"/>
        <v>0.25746227709191088</v>
      </c>
      <c r="J396" s="24"/>
      <c r="K396" s="24"/>
      <c r="L396" s="235">
        <f t="shared" si="69"/>
        <v>37.000442074175325</v>
      </c>
      <c r="M396" s="126"/>
      <c r="N396" s="126"/>
      <c r="O396" s="126"/>
      <c r="P396" s="10">
        <f t="shared" si="70"/>
        <v>-1.5398420741753256</v>
      </c>
      <c r="Q396" s="10">
        <f t="shared" si="75"/>
        <v>2.3711136134005688</v>
      </c>
      <c r="W396" s="240">
        <f t="shared" si="76"/>
        <v>1.5398420741753256</v>
      </c>
      <c r="X396" s="240">
        <f t="shared" si="77"/>
        <v>4.3424027629970323E-2</v>
      </c>
      <c r="Y396"/>
      <c r="Z396" s="13">
        <f t="shared" si="71"/>
        <v>5.2622203873957725</v>
      </c>
      <c r="AA396" s="2"/>
      <c r="AB396" s="68"/>
      <c r="AC396" s="15">
        <f t="shared" si="72"/>
        <v>0.56868329541305773</v>
      </c>
    </row>
    <row r="397" spans="1:29">
      <c r="A397" s="84">
        <f>'Q.1 &amp; 4'!K402</f>
        <v>3</v>
      </c>
      <c r="B397" s="141">
        <f>'Q.1 &amp; 4'!L402</f>
        <v>35.883099999999999</v>
      </c>
      <c r="C397" s="221"/>
      <c r="D397" s="23"/>
      <c r="E397" s="24"/>
      <c r="F397" s="22">
        <f t="shared" si="67"/>
        <v>-0.50740740740741153</v>
      </c>
      <c r="G397" s="22">
        <f t="shared" si="68"/>
        <v>1.1766109304426351</v>
      </c>
      <c r="H397" s="22">
        <f t="shared" si="73"/>
        <v>-0.59702110174311973</v>
      </c>
      <c r="I397" s="22">
        <f t="shared" si="74"/>
        <v>0.25746227709191088</v>
      </c>
      <c r="J397" s="24"/>
      <c r="K397" s="24"/>
      <c r="L397" s="235">
        <f t="shared" si="69"/>
        <v>37.000442074175325</v>
      </c>
      <c r="M397" s="126"/>
      <c r="N397" s="126"/>
      <c r="O397" s="126"/>
      <c r="P397" s="10">
        <f t="shared" si="70"/>
        <v>-1.1173420741753262</v>
      </c>
      <c r="Q397" s="10">
        <f t="shared" si="75"/>
        <v>1.2484533107224201</v>
      </c>
      <c r="W397" s="240">
        <f t="shared" si="76"/>
        <v>1.1173420741753262</v>
      </c>
      <c r="X397" s="240">
        <f t="shared" si="77"/>
        <v>3.1138393120308062E-2</v>
      </c>
      <c r="Y397"/>
      <c r="Z397" s="13">
        <f t="shared" si="71"/>
        <v>5.2622203873957725</v>
      </c>
      <c r="AA397" s="2"/>
      <c r="AB397" s="68"/>
      <c r="AC397" s="15">
        <f t="shared" si="72"/>
        <v>1.3844132816370835</v>
      </c>
    </row>
    <row r="398" spans="1:29">
      <c r="A398" s="84">
        <f>'Q.1 &amp; 4'!K403</f>
        <v>3</v>
      </c>
      <c r="B398" s="141">
        <f>'Q.1 &amp; 4'!L403</f>
        <v>35.708100000000002</v>
      </c>
      <c r="C398" s="221"/>
      <c r="D398" s="23"/>
      <c r="E398" s="24"/>
      <c r="F398" s="22">
        <f t="shared" si="67"/>
        <v>-0.50740740740741153</v>
      </c>
      <c r="G398" s="22">
        <f t="shared" si="68"/>
        <v>1.0016109304426379</v>
      </c>
      <c r="H398" s="22">
        <f t="shared" si="73"/>
        <v>-0.50822480544682413</v>
      </c>
      <c r="I398" s="22">
        <f t="shared" si="74"/>
        <v>0.25746227709191088</v>
      </c>
      <c r="J398" s="24"/>
      <c r="K398" s="24"/>
      <c r="L398" s="235">
        <f t="shared" si="69"/>
        <v>37.000442074175325</v>
      </c>
      <c r="M398" s="126"/>
      <c r="N398" s="126"/>
      <c r="O398" s="126"/>
      <c r="P398" s="10">
        <f t="shared" si="70"/>
        <v>-1.2923420741753233</v>
      </c>
      <c r="Q398" s="10">
        <f t="shared" si="75"/>
        <v>1.6701480366837769</v>
      </c>
      <c r="W398" s="240">
        <f t="shared" si="76"/>
        <v>1.2923420741753233</v>
      </c>
      <c r="X398" s="240">
        <f t="shared" si="77"/>
        <v>3.6191846504723672E-2</v>
      </c>
      <c r="Y398"/>
      <c r="Z398" s="13">
        <f t="shared" si="71"/>
        <v>5.2622203873957725</v>
      </c>
      <c r="AA398" s="2"/>
      <c r="AB398" s="68"/>
      <c r="AC398" s="15">
        <f t="shared" si="72"/>
        <v>1.0032244559821668</v>
      </c>
    </row>
    <row r="399" spans="1:29">
      <c r="A399" s="84">
        <f>'Q.1 &amp; 4'!K404</f>
        <v>3</v>
      </c>
      <c r="B399" s="141">
        <f>'Q.1 &amp; 4'!L404</f>
        <v>34.7288</v>
      </c>
      <c r="C399" s="221"/>
      <c r="D399" s="23"/>
      <c r="E399" s="24"/>
      <c r="F399" s="22">
        <f t="shared" si="67"/>
        <v>-0.50740740740741153</v>
      </c>
      <c r="G399" s="22">
        <f t="shared" si="68"/>
        <v>2.2310930442635879E-2</v>
      </c>
      <c r="H399" s="22">
        <f t="shared" si="73"/>
        <v>-1.1320731372744964E-2</v>
      </c>
      <c r="I399" s="22">
        <f t="shared" si="74"/>
        <v>0.25746227709191088</v>
      </c>
      <c r="J399" s="24"/>
      <c r="K399" s="24"/>
      <c r="L399" s="235">
        <f t="shared" si="69"/>
        <v>37.000442074175325</v>
      </c>
      <c r="M399" s="126"/>
      <c r="N399" s="126"/>
      <c r="O399" s="126"/>
      <c r="P399" s="10">
        <f t="shared" si="70"/>
        <v>-2.2716420741753254</v>
      </c>
      <c r="Q399" s="10">
        <f t="shared" si="75"/>
        <v>5.1603577131635747</v>
      </c>
      <c r="W399" s="240">
        <f t="shared" si="76"/>
        <v>2.2716420741753254</v>
      </c>
      <c r="X399" s="240">
        <f t="shared" si="77"/>
        <v>6.5410900295297433E-2</v>
      </c>
      <c r="Y399"/>
      <c r="Z399" s="13">
        <f t="shared" si="71"/>
        <v>5.2622203873957725</v>
      </c>
      <c r="AA399" s="2"/>
      <c r="AB399" s="68"/>
      <c r="AC399" s="15">
        <f t="shared" si="72"/>
        <v>4.9777761721613641E-4</v>
      </c>
    </row>
    <row r="400" spans="1:29">
      <c r="A400" s="84">
        <f>'Q.1 &amp; 4'!K405</f>
        <v>3</v>
      </c>
      <c r="B400" s="141">
        <f>'Q.1 &amp; 4'!L405</f>
        <v>34.285299999999999</v>
      </c>
      <c r="C400" s="221"/>
      <c r="D400" s="23"/>
      <c r="E400" s="24"/>
      <c r="F400" s="22">
        <f t="shared" si="67"/>
        <v>-0.50740740740741153</v>
      </c>
      <c r="G400" s="22">
        <f t="shared" si="68"/>
        <v>-0.42118906955736435</v>
      </c>
      <c r="H400" s="22">
        <f t="shared" si="73"/>
        <v>0.21371445381244217</v>
      </c>
      <c r="I400" s="22">
        <f t="shared" si="74"/>
        <v>0.25746227709191088</v>
      </c>
      <c r="J400" s="24"/>
      <c r="K400" s="24"/>
      <c r="L400" s="235">
        <f t="shared" si="69"/>
        <v>37.000442074175325</v>
      </c>
      <c r="M400" s="126"/>
      <c r="N400" s="126"/>
      <c r="O400" s="126"/>
      <c r="P400" s="10">
        <f t="shared" si="70"/>
        <v>-2.7151420741753256</v>
      </c>
      <c r="Q400" s="10">
        <f t="shared" si="75"/>
        <v>7.3719964829570896</v>
      </c>
      <c r="W400" s="240">
        <f t="shared" si="76"/>
        <v>2.7151420741753256</v>
      </c>
      <c r="X400" s="240">
        <f t="shared" si="77"/>
        <v>7.9192600740705943E-2</v>
      </c>
      <c r="Y400"/>
      <c r="Z400" s="13">
        <f t="shared" si="71"/>
        <v>5.2622203873957725</v>
      </c>
      <c r="AA400" s="2"/>
      <c r="AB400" s="68"/>
      <c r="AC400" s="15">
        <f t="shared" si="72"/>
        <v>0.17740023231459831</v>
      </c>
    </row>
    <row r="401" spans="1:29">
      <c r="A401" s="84">
        <f>'Q.1 &amp; 4'!K406</f>
        <v>4.8</v>
      </c>
      <c r="B401" s="141">
        <f>'Q.1 &amp; 4'!L406</f>
        <v>30.537500000000001</v>
      </c>
      <c r="C401" s="221"/>
      <c r="D401" s="23"/>
      <c r="E401" s="24"/>
      <c r="F401" s="22">
        <f t="shared" si="67"/>
        <v>1.2925925925925883</v>
      </c>
      <c r="G401" s="22">
        <f t="shared" si="68"/>
        <v>-4.1689890695573624</v>
      </c>
      <c r="H401" s="22">
        <f t="shared" si="73"/>
        <v>-5.3888043899093132</v>
      </c>
      <c r="I401" s="22">
        <f t="shared" si="74"/>
        <v>1.6707956104252288</v>
      </c>
      <c r="J401" s="24"/>
      <c r="K401" s="24"/>
      <c r="L401" s="235">
        <f t="shared" si="69"/>
        <v>28.862769371662036</v>
      </c>
      <c r="M401" s="126"/>
      <c r="N401" s="126"/>
      <c r="O401" s="126"/>
      <c r="P401" s="10">
        <f t="shared" si="70"/>
        <v>1.674730628337965</v>
      </c>
      <c r="Q401" s="10">
        <f t="shared" si="75"/>
        <v>2.8047226774932752</v>
      </c>
      <c r="W401" s="240">
        <f t="shared" si="76"/>
        <v>1.674730628337965</v>
      </c>
      <c r="X401" s="240">
        <f t="shared" si="77"/>
        <v>5.48417725202772E-2</v>
      </c>
      <c r="Y401"/>
      <c r="Z401" s="13">
        <f t="shared" si="71"/>
        <v>34.149059907569857</v>
      </c>
      <c r="AA401" s="2"/>
      <c r="AB401" s="68"/>
      <c r="AC401" s="15">
        <f t="shared" si="72"/>
        <v>17.380469862088763</v>
      </c>
    </row>
    <row r="402" spans="1:29">
      <c r="A402" s="84">
        <f>'Q.1 &amp; 4'!K407</f>
        <v>4.8</v>
      </c>
      <c r="B402" s="141">
        <f>'Q.1 &amp; 4'!L407</f>
        <v>31.374700000000001</v>
      </c>
      <c r="C402" s="221"/>
      <c r="D402" s="23"/>
      <c r="E402" s="24"/>
      <c r="F402" s="22">
        <f t="shared" si="67"/>
        <v>1.2925925925925883</v>
      </c>
      <c r="G402" s="22">
        <f t="shared" si="68"/>
        <v>-3.3317890695573631</v>
      </c>
      <c r="H402" s="22">
        <f t="shared" si="73"/>
        <v>-4.3066458713907991</v>
      </c>
      <c r="I402" s="22">
        <f t="shared" si="74"/>
        <v>1.6707956104252288</v>
      </c>
      <c r="J402" s="24"/>
      <c r="K402" s="24"/>
      <c r="L402" s="235">
        <f t="shared" si="69"/>
        <v>28.862769371662036</v>
      </c>
      <c r="M402" s="126"/>
      <c r="N402" s="126"/>
      <c r="O402" s="126"/>
      <c r="P402" s="10">
        <f t="shared" si="70"/>
        <v>2.5119306283379643</v>
      </c>
      <c r="Q402" s="10">
        <f t="shared" si="75"/>
        <v>6.30979548158236</v>
      </c>
      <c r="W402" s="240">
        <f t="shared" si="76"/>
        <v>2.5119306283379643</v>
      </c>
      <c r="X402" s="240">
        <f t="shared" si="77"/>
        <v>8.0062299506862666E-2</v>
      </c>
      <c r="Y402"/>
      <c r="Z402" s="13">
        <f t="shared" si="71"/>
        <v>34.149059907569857</v>
      </c>
      <c r="AA402" s="2"/>
      <c r="AB402" s="68"/>
      <c r="AC402" s="15">
        <f t="shared" si="72"/>
        <v>11.100818404021918</v>
      </c>
    </row>
    <row r="403" spans="1:29">
      <c r="A403" s="84">
        <f>'Q.1 &amp; 4'!K408</f>
        <v>5</v>
      </c>
      <c r="B403" s="141">
        <f>'Q.1 &amp; 4'!L408</f>
        <v>23.227</v>
      </c>
      <c r="C403" s="221"/>
      <c r="D403" s="23"/>
      <c r="E403" s="24"/>
      <c r="F403" s="22">
        <f t="shared" si="67"/>
        <v>1.4925925925925885</v>
      </c>
      <c r="G403" s="22">
        <f t="shared" si="68"/>
        <v>-11.479489069557363</v>
      </c>
      <c r="H403" s="22">
        <f t="shared" si="73"/>
        <v>-17.134200351968907</v>
      </c>
      <c r="I403" s="22">
        <f t="shared" si="74"/>
        <v>2.2278326474622649</v>
      </c>
      <c r="J403" s="24"/>
      <c r="K403" s="24"/>
      <c r="L403" s="235">
        <f t="shared" si="69"/>
        <v>27.958583515827225</v>
      </c>
      <c r="M403" s="126"/>
      <c r="N403" s="126"/>
      <c r="O403" s="126"/>
      <c r="P403" s="10">
        <f t="shared" si="70"/>
        <v>-4.731583515827225</v>
      </c>
      <c r="Q403" s="10">
        <f t="shared" si="75"/>
        <v>22.387882567247924</v>
      </c>
      <c r="W403" s="240">
        <f t="shared" si="76"/>
        <v>4.731583515827225</v>
      </c>
      <c r="X403" s="240">
        <f t="shared" si="77"/>
        <v>0.20371048847579218</v>
      </c>
      <c r="Y403"/>
      <c r="Z403" s="13">
        <f t="shared" si="71"/>
        <v>45.53422936206205</v>
      </c>
      <c r="AA403" s="2"/>
      <c r="AB403" s="68"/>
      <c r="AC403" s="15">
        <f t="shared" si="72"/>
        <v>131.77866929808698</v>
      </c>
    </row>
    <row r="404" spans="1:29">
      <c r="A404" s="84">
        <f>'Q.1 &amp; 4'!K409</f>
        <v>5</v>
      </c>
      <c r="B404" s="141">
        <f>'Q.1 &amp; 4'!L409</f>
        <v>23.618200000000002</v>
      </c>
      <c r="C404" s="221"/>
      <c r="D404" s="23"/>
      <c r="E404" s="24"/>
      <c r="F404" s="22">
        <f t="shared" si="67"/>
        <v>1.4925925925925885</v>
      </c>
      <c r="G404" s="22">
        <f t="shared" si="68"/>
        <v>-11.088289069557362</v>
      </c>
      <c r="H404" s="22">
        <f t="shared" si="73"/>
        <v>-16.550298129746682</v>
      </c>
      <c r="I404" s="22">
        <f t="shared" si="74"/>
        <v>2.2278326474622649</v>
      </c>
      <c r="J404" s="24"/>
      <c r="K404" s="24"/>
      <c r="L404" s="235">
        <f t="shared" si="69"/>
        <v>27.958583515827225</v>
      </c>
      <c r="M404" s="126"/>
      <c r="N404" s="126"/>
      <c r="O404" s="126"/>
      <c r="P404" s="10">
        <f t="shared" si="70"/>
        <v>-4.3403835158272237</v>
      </c>
      <c r="Q404" s="10">
        <f t="shared" si="75"/>
        <v>18.83892906446469</v>
      </c>
      <c r="W404" s="240">
        <f t="shared" si="76"/>
        <v>4.3403835158272237</v>
      </c>
      <c r="X404" s="240">
        <f t="shared" si="77"/>
        <v>0.18377283263869487</v>
      </c>
      <c r="Y404"/>
      <c r="Z404" s="13">
        <f t="shared" si="71"/>
        <v>45.53422936206205</v>
      </c>
      <c r="AA404" s="2"/>
      <c r="AB404" s="68"/>
      <c r="AC404" s="15">
        <f t="shared" si="72"/>
        <v>122.95015449006527</v>
      </c>
    </row>
    <row r="405" spans="1:29">
      <c r="A405" s="84">
        <f>'Q.1 &amp; 4'!K410</f>
        <v>2.4</v>
      </c>
      <c r="B405" s="141">
        <f>'Q.1 &amp; 4'!L410</f>
        <v>41.695999999999998</v>
      </c>
      <c r="C405" s="221"/>
      <c r="D405" s="23"/>
      <c r="E405" s="24"/>
      <c r="F405" s="22">
        <f t="shared" si="67"/>
        <v>-1.1074074074074116</v>
      </c>
      <c r="G405" s="22">
        <f t="shared" si="68"/>
        <v>6.9895109304426342</v>
      </c>
      <c r="H405" s="22">
        <f t="shared" si="73"/>
        <v>-7.7402361785272431</v>
      </c>
      <c r="I405" s="22">
        <f t="shared" si="74"/>
        <v>1.2263511659808048</v>
      </c>
      <c r="J405" s="24"/>
      <c r="K405" s="24"/>
      <c r="L405" s="235">
        <f t="shared" si="69"/>
        <v>39.712999641679758</v>
      </c>
      <c r="M405" s="126"/>
      <c r="N405" s="126"/>
      <c r="O405" s="126"/>
      <c r="P405" s="10">
        <f t="shared" si="70"/>
        <v>1.9830003583202398</v>
      </c>
      <c r="Q405" s="10">
        <f t="shared" si="75"/>
        <v>3.9322904210981995</v>
      </c>
      <c r="W405" s="240">
        <f t="shared" si="76"/>
        <v>1.9830003583202398</v>
      </c>
      <c r="X405" s="240">
        <f t="shared" si="77"/>
        <v>4.7558527396398695E-2</v>
      </c>
      <c r="Y405"/>
      <c r="Z405" s="13">
        <f t="shared" si="71"/>
        <v>25.065148108773304</v>
      </c>
      <c r="AA405" s="2"/>
      <c r="AB405" s="68"/>
      <c r="AC405" s="15">
        <f t="shared" si="72"/>
        <v>48.853263046777059</v>
      </c>
    </row>
    <row r="406" spans="1:29">
      <c r="A406" s="84">
        <f>'Q.1 &amp; 4'!K411</f>
        <v>3</v>
      </c>
      <c r="B406" s="141">
        <f>'Q.1 &amp; 4'!L411</f>
        <v>36.1</v>
      </c>
      <c r="C406" s="221"/>
      <c r="D406" s="23"/>
      <c r="E406" s="24"/>
      <c r="F406" s="22">
        <f t="shared" si="67"/>
        <v>-0.50740740740741153</v>
      </c>
      <c r="G406" s="22">
        <f t="shared" si="68"/>
        <v>1.3935109304426376</v>
      </c>
      <c r="H406" s="22">
        <f t="shared" si="73"/>
        <v>-0.70707776840978853</v>
      </c>
      <c r="I406" s="22">
        <f t="shared" si="74"/>
        <v>0.25746227709191088</v>
      </c>
      <c r="J406" s="24"/>
      <c r="K406" s="24"/>
      <c r="L406" s="235">
        <f t="shared" si="69"/>
        <v>37.000442074175325</v>
      </c>
      <c r="M406" s="126"/>
      <c r="N406" s="126"/>
      <c r="O406" s="126"/>
      <c r="P406" s="10">
        <f t="shared" si="70"/>
        <v>-0.90044207417532363</v>
      </c>
      <c r="Q406" s="10">
        <f t="shared" si="75"/>
        <v>0.81079592894515906</v>
      </c>
      <c r="W406" s="240">
        <f t="shared" si="76"/>
        <v>0.90044207417532363</v>
      </c>
      <c r="X406" s="240">
        <f t="shared" si="77"/>
        <v>2.4942993744468799E-2</v>
      </c>
      <c r="Y406"/>
      <c r="Z406" s="13">
        <f t="shared" si="71"/>
        <v>5.2622203873957725</v>
      </c>
      <c r="AA406" s="2"/>
      <c r="AB406" s="68"/>
      <c r="AC406" s="15">
        <f t="shared" si="72"/>
        <v>1.9418727132631057</v>
      </c>
    </row>
    <row r="407" spans="1:29">
      <c r="A407" s="84">
        <f>'Q.1 &amp; 4'!K412</f>
        <v>3.6</v>
      </c>
      <c r="B407" s="141">
        <f>'Q.1 &amp; 4'!L412</f>
        <v>38.1</v>
      </c>
      <c r="C407" s="221"/>
      <c r="D407" s="23"/>
      <c r="E407" s="24"/>
      <c r="F407" s="22">
        <f t="shared" si="67"/>
        <v>9.2592592592588563E-2</v>
      </c>
      <c r="G407" s="22">
        <f t="shared" si="68"/>
        <v>3.3935109304426376</v>
      </c>
      <c r="H407" s="22">
        <f t="shared" si="73"/>
        <v>0.31421397504097132</v>
      </c>
      <c r="I407" s="22">
        <f t="shared" si="74"/>
        <v>8.573388203017087E-3</v>
      </c>
      <c r="J407" s="24"/>
      <c r="K407" s="24"/>
      <c r="L407" s="235">
        <f t="shared" si="69"/>
        <v>34.287884506670892</v>
      </c>
      <c r="M407" s="126"/>
      <c r="N407" s="126"/>
      <c r="O407" s="126"/>
      <c r="P407" s="10">
        <f t="shared" si="70"/>
        <v>3.8121154933291095</v>
      </c>
      <c r="Q407" s="10">
        <f t="shared" si="75"/>
        <v>14.532224534479839</v>
      </c>
      <c r="W407" s="240">
        <f t="shared" si="76"/>
        <v>3.8121154933291095</v>
      </c>
      <c r="X407" s="240">
        <f t="shared" si="77"/>
        <v>0.1000555247592942</v>
      </c>
      <c r="Y407"/>
      <c r="Z407" s="13">
        <f t="shared" si="71"/>
        <v>0.17522978006937417</v>
      </c>
      <c r="AA407" s="2"/>
      <c r="AB407" s="68"/>
      <c r="AC407" s="15">
        <f t="shared" si="72"/>
        <v>11.515916435033656</v>
      </c>
    </row>
    <row r="408" spans="1:29">
      <c r="A408" s="84">
        <f>'Q.1 &amp; 4'!K413</f>
        <v>3</v>
      </c>
      <c r="B408" s="141">
        <f>'Q.1 &amp; 4'!L413</f>
        <v>34.4</v>
      </c>
      <c r="C408" s="221"/>
      <c r="D408" s="23"/>
      <c r="E408" s="24"/>
      <c r="F408" s="22">
        <f t="shared" si="67"/>
        <v>-0.50740740740741153</v>
      </c>
      <c r="G408" s="22">
        <f t="shared" si="68"/>
        <v>-0.30648906955736521</v>
      </c>
      <c r="H408" s="22">
        <f t="shared" si="73"/>
        <v>0.15551482418281251</v>
      </c>
      <c r="I408" s="22">
        <f t="shared" si="74"/>
        <v>0.25746227709191088</v>
      </c>
      <c r="J408" s="24"/>
      <c r="K408" s="24"/>
      <c r="L408" s="235">
        <f t="shared" si="69"/>
        <v>37.000442074175325</v>
      </c>
      <c r="M408" s="126"/>
      <c r="N408" s="126"/>
      <c r="O408" s="126"/>
      <c r="P408" s="10">
        <f t="shared" si="70"/>
        <v>-2.6004420741753265</v>
      </c>
      <c r="Q408" s="10">
        <f t="shared" si="75"/>
        <v>6.7622989811412744</v>
      </c>
      <c r="W408" s="240">
        <f t="shared" si="76"/>
        <v>2.6004420741753265</v>
      </c>
      <c r="X408" s="240">
        <f t="shared" si="77"/>
        <v>7.5594246342306007E-2</v>
      </c>
      <c r="Y408"/>
      <c r="Z408" s="13">
        <f t="shared" si="71"/>
        <v>5.2622203873957725</v>
      </c>
      <c r="AA408" s="2"/>
      <c r="AB408" s="68"/>
      <c r="AC408" s="15">
        <f t="shared" si="72"/>
        <v>9.3935549758139447E-2</v>
      </c>
    </row>
    <row r="409" spans="1:29">
      <c r="A409" s="84">
        <f>'Q.1 &amp; 4'!K414</f>
        <v>3</v>
      </c>
      <c r="B409" s="141">
        <f>'Q.1 &amp; 4'!L414</f>
        <v>38.299999999999997</v>
      </c>
      <c r="C409" s="221"/>
      <c r="D409" s="23"/>
      <c r="E409" s="24"/>
      <c r="F409" s="22">
        <f t="shared" si="67"/>
        <v>-0.50740740740741153</v>
      </c>
      <c r="G409" s="22">
        <f t="shared" si="68"/>
        <v>3.5935109304426334</v>
      </c>
      <c r="H409" s="22">
        <f t="shared" si="73"/>
        <v>-1.8233740647060916</v>
      </c>
      <c r="I409" s="22">
        <f t="shared" si="74"/>
        <v>0.25746227709191088</v>
      </c>
      <c r="J409" s="24"/>
      <c r="K409" s="24"/>
      <c r="L409" s="235">
        <f t="shared" si="69"/>
        <v>37.000442074175325</v>
      </c>
      <c r="M409" s="126"/>
      <c r="N409" s="126"/>
      <c r="O409" s="126"/>
      <c r="P409" s="10">
        <f t="shared" si="70"/>
        <v>1.2995579258246721</v>
      </c>
      <c r="Q409" s="10">
        <f t="shared" si="75"/>
        <v>1.6888508025737239</v>
      </c>
      <c r="W409" s="240">
        <f t="shared" si="76"/>
        <v>1.2995579258246721</v>
      </c>
      <c r="X409" s="240">
        <f t="shared" si="77"/>
        <v>3.3931016340069772E-2</v>
      </c>
      <c r="Y409"/>
      <c r="Z409" s="13">
        <f t="shared" si="71"/>
        <v>5.2622203873957725</v>
      </c>
      <c r="AA409" s="2"/>
      <c r="AB409" s="68"/>
      <c r="AC409" s="15">
        <f t="shared" si="72"/>
        <v>12.913320807210681</v>
      </c>
    </row>
    <row r="410" spans="1:29">
      <c r="A410" s="84">
        <f>'Q.1 &amp; 4'!K415</f>
        <v>3</v>
      </c>
      <c r="B410" s="141">
        <f>'Q.1 &amp; 4'!L415</f>
        <v>36</v>
      </c>
      <c r="C410" s="221"/>
      <c r="D410" s="23"/>
      <c r="E410" s="24"/>
      <c r="F410" s="22">
        <f t="shared" si="67"/>
        <v>-0.50740740740741153</v>
      </c>
      <c r="G410" s="22">
        <f t="shared" si="68"/>
        <v>1.2935109304426362</v>
      </c>
      <c r="H410" s="22">
        <f t="shared" si="73"/>
        <v>-0.65633702766904667</v>
      </c>
      <c r="I410" s="22">
        <f t="shared" si="74"/>
        <v>0.25746227709191088</v>
      </c>
      <c r="J410" s="24"/>
      <c r="K410" s="24"/>
      <c r="L410" s="235">
        <f t="shared" si="69"/>
        <v>37.000442074175325</v>
      </c>
      <c r="M410" s="126"/>
      <c r="N410" s="126"/>
      <c r="O410" s="126"/>
      <c r="P410" s="10">
        <f t="shared" si="70"/>
        <v>-1.000442074175325</v>
      </c>
      <c r="Q410" s="10">
        <f t="shared" si="75"/>
        <v>1.0008843437802266</v>
      </c>
      <c r="W410" s="240">
        <f t="shared" si="76"/>
        <v>1.000442074175325</v>
      </c>
      <c r="X410" s="240">
        <f t="shared" si="77"/>
        <v>2.7790057615981252E-2</v>
      </c>
      <c r="Y410"/>
      <c r="Z410" s="13">
        <f t="shared" si="71"/>
        <v>5.2622203873957725</v>
      </c>
      <c r="AA410" s="2"/>
      <c r="AB410" s="68"/>
      <c r="AC410" s="15">
        <f t="shared" si="72"/>
        <v>1.6731705271745745</v>
      </c>
    </row>
    <row r="411" spans="1:29">
      <c r="A411" s="84">
        <f>'Q.1 &amp; 4'!K416</f>
        <v>3.6</v>
      </c>
      <c r="B411" s="141">
        <f>'Q.1 &amp; 4'!L416</f>
        <v>34.9</v>
      </c>
      <c r="C411" s="221"/>
      <c r="D411" s="23"/>
      <c r="E411" s="24"/>
      <c r="F411" s="22">
        <f t="shared" si="67"/>
        <v>9.2592592592588563E-2</v>
      </c>
      <c r="G411" s="22">
        <f t="shared" si="68"/>
        <v>0.19351093044263479</v>
      </c>
      <c r="H411" s="22">
        <f t="shared" si="73"/>
        <v>1.7917678744687627E-2</v>
      </c>
      <c r="I411" s="22">
        <f t="shared" si="74"/>
        <v>8.573388203017087E-3</v>
      </c>
      <c r="J411" s="24"/>
      <c r="K411" s="24"/>
      <c r="L411" s="235">
        <f t="shared" si="69"/>
        <v>34.287884506670892</v>
      </c>
      <c r="M411" s="126"/>
      <c r="N411" s="126"/>
      <c r="O411" s="126"/>
      <c r="P411" s="10">
        <f t="shared" si="70"/>
        <v>0.61211549332910664</v>
      </c>
      <c r="Q411" s="10">
        <f t="shared" si="75"/>
        <v>0.37468537717353562</v>
      </c>
      <c r="W411" s="240">
        <f t="shared" si="76"/>
        <v>0.61211549332910664</v>
      </c>
      <c r="X411" s="240">
        <f t="shared" si="77"/>
        <v>1.7539125883355492E-2</v>
      </c>
      <c r="Y411"/>
      <c r="Z411" s="13">
        <f t="shared" si="71"/>
        <v>0.17522978006937417</v>
      </c>
      <c r="AA411" s="2"/>
      <c r="AB411" s="68"/>
      <c r="AC411" s="15">
        <f t="shared" si="72"/>
        <v>3.7446480200774242E-2</v>
      </c>
    </row>
    <row r="412" spans="1:29">
      <c r="A412" s="84">
        <f>'Q.1 &amp; 4'!K417</f>
        <v>3.6</v>
      </c>
      <c r="B412" s="141">
        <f>'Q.1 &amp; 4'!L417</f>
        <v>40</v>
      </c>
      <c r="C412" s="221"/>
      <c r="D412" s="23"/>
      <c r="E412" s="24"/>
      <c r="F412" s="22">
        <f t="shared" si="67"/>
        <v>9.2592592592588563E-2</v>
      </c>
      <c r="G412" s="22">
        <f t="shared" si="68"/>
        <v>5.2935109304426362</v>
      </c>
      <c r="H412" s="22">
        <f t="shared" si="73"/>
        <v>0.49013990096688942</v>
      </c>
      <c r="I412" s="22">
        <f t="shared" si="74"/>
        <v>8.573388203017087E-3</v>
      </c>
      <c r="J412" s="24"/>
      <c r="K412" s="24"/>
      <c r="L412" s="235">
        <f t="shared" si="69"/>
        <v>34.287884506670892</v>
      </c>
      <c r="M412" s="126"/>
      <c r="N412" s="126"/>
      <c r="O412" s="126"/>
      <c r="P412" s="10">
        <f t="shared" si="70"/>
        <v>5.7121154933291081</v>
      </c>
      <c r="Q412" s="10">
        <f t="shared" si="75"/>
        <v>32.62826340913044</v>
      </c>
      <c r="W412" s="240">
        <f t="shared" si="76"/>
        <v>5.7121154933291081</v>
      </c>
      <c r="X412" s="240">
        <f t="shared" si="77"/>
        <v>0.14280288733322771</v>
      </c>
      <c r="Y412"/>
      <c r="Z412" s="13">
        <f t="shared" si="71"/>
        <v>0.17522978006937417</v>
      </c>
      <c r="AA412" s="2"/>
      <c r="AB412" s="68"/>
      <c r="AC412" s="15">
        <f t="shared" si="72"/>
        <v>28.021257970715663</v>
      </c>
    </row>
    <row r="413" spans="1:29">
      <c r="A413" s="84">
        <f>'Q.1 &amp; 4'!K418</f>
        <v>6.2</v>
      </c>
      <c r="B413" s="141">
        <f>'Q.1 &amp; 4'!L418</f>
        <v>24.9754</v>
      </c>
      <c r="C413" s="221"/>
      <c r="D413" s="23"/>
      <c r="E413" s="24"/>
      <c r="F413" s="22">
        <f t="shared" si="67"/>
        <v>2.6925925925925887</v>
      </c>
      <c r="G413" s="22">
        <f t="shared" si="68"/>
        <v>-9.7310890695573633</v>
      </c>
      <c r="H413" s="22">
        <f t="shared" si="73"/>
        <v>-26.20185834654886</v>
      </c>
      <c r="I413" s="22">
        <f t="shared" si="74"/>
        <v>7.2500548696844778</v>
      </c>
      <c r="J413" s="24"/>
      <c r="K413" s="24"/>
      <c r="L413" s="235">
        <f t="shared" si="69"/>
        <v>22.533468380818363</v>
      </c>
      <c r="M413" s="126"/>
      <c r="N413" s="126"/>
      <c r="O413" s="126"/>
      <c r="P413" s="10">
        <f t="shared" si="70"/>
        <v>2.4419316191816378</v>
      </c>
      <c r="Q413" s="10">
        <f t="shared" si="75"/>
        <v>5.9630300327590557</v>
      </c>
      <c r="W413" s="240">
        <f t="shared" si="76"/>
        <v>2.4419316191816378</v>
      </c>
      <c r="X413" s="240">
        <f t="shared" si="77"/>
        <v>9.7773473865549215E-2</v>
      </c>
      <c r="Y413"/>
      <c r="Z413" s="13">
        <f t="shared" si="71"/>
        <v>148.18243268846774</v>
      </c>
      <c r="AA413" s="2"/>
      <c r="AB413" s="68"/>
      <c r="AC413" s="15">
        <f t="shared" si="72"/>
        <v>94.694094479658787</v>
      </c>
    </row>
    <row r="414" spans="1:29">
      <c r="A414" s="84">
        <f>'Q.1 &amp; 4'!K419</f>
        <v>6.2</v>
      </c>
      <c r="B414" s="141">
        <f>'Q.1 &amp; 4'!L419</f>
        <v>26.299900000000001</v>
      </c>
      <c r="C414" s="221"/>
      <c r="D414" s="23"/>
      <c r="E414" s="24"/>
      <c r="F414" s="22">
        <f t="shared" si="67"/>
        <v>2.6925925925925887</v>
      </c>
      <c r="G414" s="22">
        <f t="shared" si="68"/>
        <v>-8.4065890695573628</v>
      </c>
      <c r="H414" s="22">
        <f t="shared" si="73"/>
        <v>-22.635519457659978</v>
      </c>
      <c r="I414" s="22">
        <f t="shared" si="74"/>
        <v>7.2500548696844778</v>
      </c>
      <c r="J414" s="24"/>
      <c r="K414" s="24"/>
      <c r="L414" s="235">
        <f t="shared" si="69"/>
        <v>22.533468380818363</v>
      </c>
      <c r="M414" s="126"/>
      <c r="N414" s="126"/>
      <c r="O414" s="126"/>
      <c r="P414" s="10">
        <f t="shared" si="70"/>
        <v>3.7664316191816383</v>
      </c>
      <c r="Q414" s="10">
        <f t="shared" si="75"/>
        <v>14.186007141971217</v>
      </c>
      <c r="W414" s="240">
        <f t="shared" si="76"/>
        <v>3.7664316191816383</v>
      </c>
      <c r="X414" s="240">
        <f t="shared" si="77"/>
        <v>0.14321087225356896</v>
      </c>
      <c r="Y414"/>
      <c r="Z414" s="13">
        <f t="shared" si="71"/>
        <v>148.18243268846774</v>
      </c>
      <c r="AA414" s="2"/>
      <c r="AB414" s="68"/>
      <c r="AC414" s="15">
        <f t="shared" si="72"/>
        <v>70.670739784401334</v>
      </c>
    </row>
    <row r="415" spans="1:29">
      <c r="A415" s="84">
        <f>'Q.1 &amp; 4'!K420</f>
        <v>3</v>
      </c>
      <c r="B415" s="141">
        <f>'Q.1 &amp; 4'!L420</f>
        <v>36.1</v>
      </c>
      <c r="C415" s="221"/>
      <c r="D415" s="23"/>
      <c r="E415" s="24"/>
      <c r="F415" s="22">
        <f t="shared" si="67"/>
        <v>-0.50740740740741153</v>
      </c>
      <c r="G415" s="22">
        <f t="shared" si="68"/>
        <v>1.3935109304426376</v>
      </c>
      <c r="H415" s="22">
        <f t="shared" si="73"/>
        <v>-0.70707776840978853</v>
      </c>
      <c r="I415" s="22">
        <f t="shared" si="74"/>
        <v>0.25746227709191088</v>
      </c>
      <c r="J415" s="24"/>
      <c r="K415" s="24"/>
      <c r="L415" s="235">
        <f t="shared" si="69"/>
        <v>37.000442074175325</v>
      </c>
      <c r="M415" s="126"/>
      <c r="N415" s="126"/>
      <c r="O415" s="126"/>
      <c r="P415" s="10">
        <f t="shared" si="70"/>
        <v>-0.90044207417532363</v>
      </c>
      <c r="Q415" s="10">
        <f t="shared" si="75"/>
        <v>0.81079592894515906</v>
      </c>
      <c r="W415" s="240">
        <f t="shared" si="76"/>
        <v>0.90044207417532363</v>
      </c>
      <c r="X415" s="240">
        <f t="shared" si="77"/>
        <v>2.4942993744468799E-2</v>
      </c>
      <c r="Y415"/>
      <c r="Z415" s="13">
        <f t="shared" si="71"/>
        <v>5.2622203873957725</v>
      </c>
      <c r="AA415" s="2"/>
      <c r="AB415" s="68"/>
      <c r="AC415" s="15">
        <f t="shared" si="72"/>
        <v>1.9418727132631057</v>
      </c>
    </row>
    <row r="416" spans="1:29">
      <c r="A416" s="84">
        <f>'Q.1 &amp; 4'!K421</f>
        <v>3.6</v>
      </c>
      <c r="B416" s="141">
        <f>'Q.1 &amp; 4'!L421</f>
        <v>37.200000000000003</v>
      </c>
      <c r="C416" s="221"/>
      <c r="D416" s="23"/>
      <c r="E416" s="24"/>
      <c r="F416" s="22">
        <f t="shared" si="67"/>
        <v>9.2592592592588563E-2</v>
      </c>
      <c r="G416" s="22">
        <f t="shared" si="68"/>
        <v>2.4935109304426391</v>
      </c>
      <c r="H416" s="22">
        <f t="shared" si="73"/>
        <v>0.23088064170764172</v>
      </c>
      <c r="I416" s="22">
        <f t="shared" si="74"/>
        <v>8.573388203017087E-3</v>
      </c>
      <c r="J416" s="24"/>
      <c r="K416" s="24"/>
      <c r="L416" s="235">
        <f t="shared" si="69"/>
        <v>34.287884506670892</v>
      </c>
      <c r="M416" s="126"/>
      <c r="N416" s="126"/>
      <c r="O416" s="126"/>
      <c r="P416" s="10">
        <f t="shared" si="70"/>
        <v>2.9121154933291109</v>
      </c>
      <c r="Q416" s="10">
        <f t="shared" si="75"/>
        <v>8.4804166464874502</v>
      </c>
      <c r="W416" s="240">
        <f t="shared" si="76"/>
        <v>2.9121154933291109</v>
      </c>
      <c r="X416" s="240">
        <f t="shared" si="77"/>
        <v>7.828267455185782E-2</v>
      </c>
      <c r="Y416"/>
      <c r="Z416" s="13">
        <f t="shared" si="71"/>
        <v>0.17522978006937417</v>
      </c>
      <c r="AA416" s="2"/>
      <c r="AB416" s="68"/>
      <c r="AC416" s="15">
        <f t="shared" si="72"/>
        <v>6.2175967602369155</v>
      </c>
    </row>
    <row r="417" spans="1:29">
      <c r="A417" s="84">
        <f>'Q.1 &amp; 4'!K422</f>
        <v>3.6</v>
      </c>
      <c r="B417" s="141">
        <f>'Q.1 &amp; 4'!L422</f>
        <v>40</v>
      </c>
      <c r="C417" s="221"/>
      <c r="D417" s="23"/>
      <c r="E417" s="24"/>
      <c r="F417" s="22">
        <f t="shared" si="67"/>
        <v>9.2592592592588563E-2</v>
      </c>
      <c r="G417" s="22">
        <f t="shared" si="68"/>
        <v>5.2935109304426362</v>
      </c>
      <c r="H417" s="22">
        <f t="shared" si="73"/>
        <v>0.49013990096688942</v>
      </c>
      <c r="I417" s="22">
        <f t="shared" si="74"/>
        <v>8.573388203017087E-3</v>
      </c>
      <c r="J417" s="24"/>
      <c r="K417" s="24"/>
      <c r="L417" s="235">
        <f t="shared" si="69"/>
        <v>34.287884506670892</v>
      </c>
      <c r="M417" s="126"/>
      <c r="N417" s="126"/>
      <c r="O417" s="126"/>
      <c r="P417" s="10">
        <f t="shared" si="70"/>
        <v>5.7121154933291081</v>
      </c>
      <c r="Q417" s="10">
        <f t="shared" si="75"/>
        <v>32.62826340913044</v>
      </c>
      <c r="W417" s="240">
        <f t="shared" si="76"/>
        <v>5.7121154933291081</v>
      </c>
      <c r="X417" s="240">
        <f t="shared" si="77"/>
        <v>0.14280288733322771</v>
      </c>
      <c r="Y417"/>
      <c r="Z417" s="13">
        <f t="shared" si="71"/>
        <v>0.17522978006937417</v>
      </c>
      <c r="AA417" s="2"/>
      <c r="AB417" s="68"/>
      <c r="AC417" s="15">
        <f t="shared" si="72"/>
        <v>28.021257970715663</v>
      </c>
    </row>
    <row r="418" spans="1:29">
      <c r="A418" s="84">
        <f>'Q.1 &amp; 4'!K423</f>
        <v>4.5999999999999996</v>
      </c>
      <c r="B418" s="141">
        <f>'Q.1 &amp; 4'!L423</f>
        <v>34.1</v>
      </c>
      <c r="C418" s="221"/>
      <c r="D418" s="23"/>
      <c r="E418" s="24"/>
      <c r="F418" s="22">
        <f t="shared" si="67"/>
        <v>1.0925925925925881</v>
      </c>
      <c r="G418" s="22">
        <f t="shared" si="68"/>
        <v>-0.60648906955736237</v>
      </c>
      <c r="H418" s="22">
        <f t="shared" si="73"/>
        <v>-0.66264546488674503</v>
      </c>
      <c r="I418" s="22">
        <f t="shared" si="74"/>
        <v>1.1937585733881932</v>
      </c>
      <c r="J418" s="24"/>
      <c r="K418" s="24"/>
      <c r="L418" s="235">
        <f t="shared" si="69"/>
        <v>29.766955227496847</v>
      </c>
      <c r="M418" s="126"/>
      <c r="N418" s="126"/>
      <c r="O418" s="126"/>
      <c r="P418" s="10">
        <f t="shared" si="70"/>
        <v>4.333044772503154</v>
      </c>
      <c r="Q418" s="10">
        <f t="shared" si="75"/>
        <v>18.775277000516908</v>
      </c>
      <c r="W418" s="240">
        <f t="shared" si="76"/>
        <v>4.333044772503154</v>
      </c>
      <c r="X418" s="240">
        <f t="shared" si="77"/>
        <v>0.12706876165698397</v>
      </c>
      <c r="Y418"/>
      <c r="Z418" s="13">
        <f t="shared" si="71"/>
        <v>24.398994576861128</v>
      </c>
      <c r="AA418" s="2"/>
      <c r="AB418" s="68"/>
      <c r="AC418" s="15">
        <f t="shared" si="72"/>
        <v>0.36782899149255516</v>
      </c>
    </row>
    <row r="419" spans="1:29">
      <c r="A419" s="84">
        <f>'Q.1 &amp; 4'!K424</f>
        <v>3.6</v>
      </c>
      <c r="B419" s="141">
        <f>'Q.1 &amp; 4'!L424</f>
        <v>37.200000000000003</v>
      </c>
      <c r="C419" s="221"/>
      <c r="D419" s="23"/>
      <c r="E419" s="24"/>
      <c r="F419" s="22">
        <f t="shared" si="67"/>
        <v>9.2592592592588563E-2</v>
      </c>
      <c r="G419" s="22">
        <f t="shared" si="68"/>
        <v>2.4935109304426391</v>
      </c>
      <c r="H419" s="22">
        <f t="shared" si="73"/>
        <v>0.23088064170764172</v>
      </c>
      <c r="I419" s="22">
        <f t="shared" si="74"/>
        <v>8.573388203017087E-3</v>
      </c>
      <c r="J419" s="24"/>
      <c r="K419" s="24"/>
      <c r="L419" s="235">
        <f t="shared" si="69"/>
        <v>34.287884506670892</v>
      </c>
      <c r="M419" s="126"/>
      <c r="N419" s="126"/>
      <c r="O419" s="126"/>
      <c r="P419" s="10">
        <f t="shared" si="70"/>
        <v>2.9121154933291109</v>
      </c>
      <c r="Q419" s="10">
        <f t="shared" si="75"/>
        <v>8.4804166464874502</v>
      </c>
      <c r="W419" s="240">
        <f t="shared" si="76"/>
        <v>2.9121154933291109</v>
      </c>
      <c r="X419" s="240">
        <f t="shared" si="77"/>
        <v>7.828267455185782E-2</v>
      </c>
      <c r="Y419"/>
      <c r="Z419" s="13">
        <f t="shared" si="71"/>
        <v>0.17522978006937417</v>
      </c>
      <c r="AA419" s="2"/>
      <c r="AB419" s="68"/>
      <c r="AC419" s="15">
        <f t="shared" si="72"/>
        <v>6.2175967602369155</v>
      </c>
    </row>
    <row r="420" spans="1:29">
      <c r="A420" s="84">
        <f>'Q.1 &amp; 4'!K425</f>
        <v>4.5999999999999996</v>
      </c>
      <c r="B420" s="141">
        <f>'Q.1 &amp; 4'!L425</f>
        <v>30.299900000000001</v>
      </c>
      <c r="C420" s="221"/>
      <c r="D420" s="23"/>
      <c r="E420" s="24"/>
      <c r="F420" s="22">
        <f t="shared" si="67"/>
        <v>1.0925925925925881</v>
      </c>
      <c r="G420" s="22">
        <f t="shared" si="68"/>
        <v>-4.4065890695573628</v>
      </c>
      <c r="H420" s="22">
        <f t="shared" si="73"/>
        <v>-4.81460657599784</v>
      </c>
      <c r="I420" s="22">
        <f t="shared" si="74"/>
        <v>1.1937585733881932</v>
      </c>
      <c r="J420" s="24"/>
      <c r="K420" s="24"/>
      <c r="L420" s="235">
        <f t="shared" si="69"/>
        <v>29.766955227496847</v>
      </c>
      <c r="M420" s="126"/>
      <c r="N420" s="126"/>
      <c r="O420" s="126"/>
      <c r="P420" s="10">
        <f t="shared" si="70"/>
        <v>0.53294477250315353</v>
      </c>
      <c r="Q420" s="10">
        <f t="shared" si="75"/>
        <v>0.28403013053843806</v>
      </c>
      <c r="W420" s="240">
        <f t="shared" si="76"/>
        <v>0.53294477250315353</v>
      </c>
      <c r="X420" s="240">
        <f t="shared" si="77"/>
        <v>1.7588994435729276E-2</v>
      </c>
      <c r="Y420"/>
      <c r="Z420" s="13">
        <f t="shared" si="71"/>
        <v>24.398994576861128</v>
      </c>
      <c r="AA420" s="2"/>
      <c r="AB420" s="68"/>
      <c r="AC420" s="15">
        <f t="shared" si="72"/>
        <v>19.418027227942424</v>
      </c>
    </row>
    <row r="421" spans="1:29">
      <c r="A421" s="84">
        <f>'Q.1 &amp; 4'!K426</f>
        <v>2.4</v>
      </c>
      <c r="B421" s="141">
        <f>'Q.1 &amp; 4'!L426</f>
        <v>42.8</v>
      </c>
      <c r="C421" s="221"/>
      <c r="D421" s="23"/>
      <c r="E421" s="24"/>
      <c r="F421" s="22">
        <f t="shared" si="67"/>
        <v>-1.1074074074074116</v>
      </c>
      <c r="G421" s="22">
        <f t="shared" si="68"/>
        <v>8.0935109304426334</v>
      </c>
      <c r="H421" s="22">
        <f t="shared" si="73"/>
        <v>-8.9628139563050251</v>
      </c>
      <c r="I421" s="22">
        <f t="shared" si="74"/>
        <v>1.2263511659808048</v>
      </c>
      <c r="J421" s="24"/>
      <c r="K421" s="24"/>
      <c r="L421" s="235">
        <f t="shared" si="69"/>
        <v>39.712999641679758</v>
      </c>
      <c r="M421" s="126"/>
      <c r="N421" s="126"/>
      <c r="O421" s="126"/>
      <c r="P421" s="10">
        <f t="shared" si="70"/>
        <v>3.087000358320239</v>
      </c>
      <c r="Q421" s="10">
        <f t="shared" si="75"/>
        <v>9.5295712122692837</v>
      </c>
      <c r="W421" s="240">
        <f t="shared" si="76"/>
        <v>3.087000358320239</v>
      </c>
      <c r="X421" s="240">
        <f t="shared" si="77"/>
        <v>7.2126176596267272E-2</v>
      </c>
      <c r="Y421"/>
      <c r="Z421" s="13">
        <f t="shared" si="71"/>
        <v>25.065148108773304</v>
      </c>
      <c r="AA421" s="2"/>
      <c r="AB421" s="68"/>
      <c r="AC421" s="15">
        <f t="shared" si="72"/>
        <v>65.504919181194381</v>
      </c>
    </row>
    <row r="422" spans="1:29">
      <c r="A422" s="84">
        <f>'Q.1 &amp; 4'!K427</f>
        <v>2.4</v>
      </c>
      <c r="B422" s="141">
        <f>'Q.1 &amp; 4'!L427</f>
        <v>46.9</v>
      </c>
      <c r="C422" s="221"/>
      <c r="D422" s="23"/>
      <c r="E422" s="24"/>
      <c r="F422" s="22">
        <f t="shared" si="67"/>
        <v>-1.1074074074074116</v>
      </c>
      <c r="G422" s="22">
        <f t="shared" si="68"/>
        <v>12.193510930442635</v>
      </c>
      <c r="H422" s="22">
        <f t="shared" si="73"/>
        <v>-13.503184326675413</v>
      </c>
      <c r="I422" s="22">
        <f t="shared" si="74"/>
        <v>1.2263511659808048</v>
      </c>
      <c r="J422" s="24"/>
      <c r="K422" s="24"/>
      <c r="L422" s="235">
        <f t="shared" si="69"/>
        <v>39.712999641679758</v>
      </c>
      <c r="M422" s="126"/>
      <c r="N422" s="126"/>
      <c r="O422" s="126"/>
      <c r="P422" s="10">
        <f t="shared" si="70"/>
        <v>7.1870003583202404</v>
      </c>
      <c r="Q422" s="10">
        <f t="shared" si="75"/>
        <v>51.652974150495261</v>
      </c>
      <c r="W422" s="240">
        <f t="shared" si="76"/>
        <v>7.1870003583202404</v>
      </c>
      <c r="X422" s="240">
        <f t="shared" si="77"/>
        <v>0.15324094580640171</v>
      </c>
      <c r="Y422"/>
      <c r="Z422" s="13">
        <f t="shared" si="71"/>
        <v>25.065148108773304</v>
      </c>
      <c r="AA422" s="2"/>
      <c r="AB422" s="68"/>
      <c r="AC422" s="15">
        <f t="shared" si="72"/>
        <v>148.68170881082401</v>
      </c>
    </row>
    <row r="423" spans="1:29">
      <c r="A423" s="84">
        <f>'Q.1 &amp; 4'!K428</f>
        <v>2.4</v>
      </c>
      <c r="B423" s="141">
        <f>'Q.1 &amp; 4'!L428</f>
        <v>42.6</v>
      </c>
      <c r="C423" s="221"/>
      <c r="D423" s="23"/>
      <c r="E423" s="24"/>
      <c r="F423" s="22">
        <f t="shared" si="67"/>
        <v>-1.1074074074074116</v>
      </c>
      <c r="G423" s="22">
        <f t="shared" si="68"/>
        <v>7.8935109304426376</v>
      </c>
      <c r="H423" s="22">
        <f t="shared" si="73"/>
        <v>-8.7413324748235475</v>
      </c>
      <c r="I423" s="22">
        <f t="shared" si="74"/>
        <v>1.2263511659808048</v>
      </c>
      <c r="J423" s="24"/>
      <c r="K423" s="24"/>
      <c r="L423" s="235">
        <f t="shared" si="69"/>
        <v>39.712999641679758</v>
      </c>
      <c r="M423" s="126"/>
      <c r="N423" s="126"/>
      <c r="O423" s="126"/>
      <c r="P423" s="10">
        <f t="shared" si="70"/>
        <v>2.8870003583202433</v>
      </c>
      <c r="Q423" s="10">
        <f t="shared" si="75"/>
        <v>8.3347710689412136</v>
      </c>
      <c r="W423" s="240">
        <f t="shared" si="76"/>
        <v>2.8870003583202433</v>
      </c>
      <c r="X423" s="240">
        <f t="shared" si="77"/>
        <v>6.77699614629165E-2</v>
      </c>
      <c r="Y423"/>
      <c r="Z423" s="13">
        <f t="shared" si="71"/>
        <v>25.065148108773304</v>
      </c>
      <c r="AA423" s="2"/>
      <c r="AB423" s="68"/>
      <c r="AC423" s="15">
        <f t="shared" si="72"/>
        <v>62.307514809017398</v>
      </c>
    </row>
    <row r="424" spans="1:29">
      <c r="A424" s="84">
        <f>'Q.1 &amp; 4'!K429</f>
        <v>2.4</v>
      </c>
      <c r="B424" s="141">
        <f>'Q.1 &amp; 4'!L429</f>
        <v>46.8</v>
      </c>
      <c r="C424" s="221"/>
      <c r="D424" s="23"/>
      <c r="E424" s="24"/>
      <c r="F424" s="22">
        <f t="shared" si="67"/>
        <v>-1.1074074074074116</v>
      </c>
      <c r="G424" s="22">
        <f t="shared" si="68"/>
        <v>12.093510930442633</v>
      </c>
      <c r="H424" s="22">
        <f t="shared" si="73"/>
        <v>-13.392443585934672</v>
      </c>
      <c r="I424" s="22">
        <f t="shared" si="74"/>
        <v>1.2263511659808048</v>
      </c>
      <c r="J424" s="24"/>
      <c r="K424" s="24"/>
      <c r="L424" s="235">
        <f t="shared" si="69"/>
        <v>39.712999641679758</v>
      </c>
      <c r="M424" s="126"/>
      <c r="N424" s="126"/>
      <c r="O424" s="126"/>
      <c r="P424" s="10">
        <f t="shared" si="70"/>
        <v>7.087000358320239</v>
      </c>
      <c r="Q424" s="10">
        <f t="shared" si="75"/>
        <v>50.225574078831194</v>
      </c>
      <c r="W424" s="240">
        <f t="shared" si="76"/>
        <v>7.087000358320239</v>
      </c>
      <c r="X424" s="240">
        <f t="shared" si="77"/>
        <v>0.15143163158803929</v>
      </c>
      <c r="Y424"/>
      <c r="Z424" s="13">
        <f t="shared" si="71"/>
        <v>25.065148108773304</v>
      </c>
      <c r="AA424" s="2"/>
      <c r="AB424" s="68"/>
      <c r="AC424" s="15">
        <f t="shared" si="72"/>
        <v>146.25300662473543</v>
      </c>
    </row>
    <row r="425" spans="1:29">
      <c r="A425" s="84">
        <f>'Q.1 &amp; 4'!K430</f>
        <v>3.5</v>
      </c>
      <c r="B425" s="141">
        <f>'Q.1 &amp; 4'!L430</f>
        <v>40.299999999999997</v>
      </c>
      <c r="C425" s="221"/>
      <c r="D425" s="23"/>
      <c r="E425" s="24"/>
      <c r="F425" s="22">
        <f t="shared" si="67"/>
        <v>-7.4074074074115259E-3</v>
      </c>
      <c r="G425" s="22">
        <f t="shared" si="68"/>
        <v>5.5935109304426334</v>
      </c>
      <c r="H425" s="22">
        <f t="shared" si="73"/>
        <v>-4.1433414299598098E-2</v>
      </c>
      <c r="I425" s="22">
        <f t="shared" si="74"/>
        <v>5.4869684499375142E-5</v>
      </c>
      <c r="J425" s="24"/>
      <c r="K425" s="24"/>
      <c r="L425" s="235">
        <f t="shared" si="69"/>
        <v>34.739977434588305</v>
      </c>
      <c r="M425" s="126"/>
      <c r="N425" s="126"/>
      <c r="O425" s="126"/>
      <c r="P425" s="10">
        <f t="shared" si="70"/>
        <v>5.5600225654116926</v>
      </c>
      <c r="Q425" s="10">
        <f t="shared" si="75"/>
        <v>30.913850927887218</v>
      </c>
      <c r="W425" s="240">
        <f t="shared" si="76"/>
        <v>5.5600225654116926</v>
      </c>
      <c r="X425" s="240">
        <f t="shared" si="77"/>
        <v>0.13796582048167971</v>
      </c>
      <c r="Y425"/>
      <c r="Z425" s="13">
        <f t="shared" si="71"/>
        <v>1.1214705924455365E-3</v>
      </c>
      <c r="AA425" s="2"/>
      <c r="AB425" s="68"/>
      <c r="AC425" s="15">
        <f t="shared" si="72"/>
        <v>31.287364528981215</v>
      </c>
    </row>
    <row r="426" spans="1:29">
      <c r="A426" s="84">
        <f>'Q.1 &amp; 4'!K431</f>
        <v>3.5</v>
      </c>
      <c r="B426" s="141">
        <f>'Q.1 &amp; 4'!L431</f>
        <v>41.2</v>
      </c>
      <c r="C426" s="221"/>
      <c r="D426" s="23"/>
      <c r="E426" s="24"/>
      <c r="F426" s="22">
        <f t="shared" si="67"/>
        <v>-7.4074074074115259E-3</v>
      </c>
      <c r="G426" s="22">
        <f t="shared" si="68"/>
        <v>6.4935109304426391</v>
      </c>
      <c r="H426" s="22">
        <f t="shared" si="73"/>
        <v>-4.8100080966268513E-2</v>
      </c>
      <c r="I426" s="22">
        <f t="shared" si="74"/>
        <v>5.4869684499375142E-5</v>
      </c>
      <c r="J426" s="24"/>
      <c r="K426" s="24"/>
      <c r="L426" s="235">
        <f t="shared" si="69"/>
        <v>34.739977434588305</v>
      </c>
      <c r="M426" s="126"/>
      <c r="N426" s="126"/>
      <c r="O426" s="126"/>
      <c r="P426" s="10">
        <f t="shared" si="70"/>
        <v>6.4600225654116983</v>
      </c>
      <c r="Q426" s="10">
        <f t="shared" si="75"/>
        <v>41.731891545628336</v>
      </c>
      <c r="W426" s="240">
        <f t="shared" si="76"/>
        <v>6.4600225654116983</v>
      </c>
      <c r="X426" s="240">
        <f t="shared" si="77"/>
        <v>0.1567966642090218</v>
      </c>
      <c r="Y426"/>
      <c r="Z426" s="13">
        <f t="shared" si="71"/>
        <v>1.1214705924455365E-3</v>
      </c>
      <c r="AA426" s="2"/>
      <c r="AB426" s="68"/>
      <c r="AC426" s="15">
        <f t="shared" si="72"/>
        <v>42.165684203778028</v>
      </c>
    </row>
    <row r="427" spans="1:29">
      <c r="A427" s="84">
        <f>'Q.1 &amp; 4'!K432</f>
        <v>3.6</v>
      </c>
      <c r="B427" s="141">
        <f>'Q.1 &amp; 4'!L432</f>
        <v>35.6</v>
      </c>
      <c r="C427" s="221"/>
      <c r="D427" s="23"/>
      <c r="E427" s="24"/>
      <c r="F427" s="22">
        <f t="shared" si="67"/>
        <v>9.2592592592588563E-2</v>
      </c>
      <c r="G427" s="22">
        <f t="shared" si="68"/>
        <v>0.89351093044263763</v>
      </c>
      <c r="H427" s="22">
        <f t="shared" si="73"/>
        <v>8.2732493559499881E-2</v>
      </c>
      <c r="I427" s="22">
        <f t="shared" si="74"/>
        <v>8.573388203017087E-3</v>
      </c>
      <c r="J427" s="24"/>
      <c r="K427" s="24"/>
      <c r="L427" s="235">
        <f t="shared" si="69"/>
        <v>34.287884506670892</v>
      </c>
      <c r="M427" s="126"/>
      <c r="N427" s="126"/>
      <c r="O427" s="126"/>
      <c r="P427" s="10">
        <f t="shared" si="70"/>
        <v>1.3121154933291095</v>
      </c>
      <c r="Q427" s="10">
        <f t="shared" si="75"/>
        <v>1.7216470678342923</v>
      </c>
      <c r="W427" s="240">
        <f t="shared" si="76"/>
        <v>1.3121154933291095</v>
      </c>
      <c r="X427" s="240">
        <f t="shared" si="77"/>
        <v>3.6857176778907569E-2</v>
      </c>
      <c r="Y427"/>
      <c r="Z427" s="13">
        <f t="shared" si="71"/>
        <v>0.17522978006937417</v>
      </c>
      <c r="AA427" s="2"/>
      <c r="AB427" s="68"/>
      <c r="AC427" s="15">
        <f t="shared" si="72"/>
        <v>0.79836178282046799</v>
      </c>
    </row>
    <row r="428" spans="1:29">
      <c r="A428" s="84">
        <f>'Q.1 &amp; 4'!K433</f>
        <v>2.4</v>
      </c>
      <c r="B428" s="141">
        <f>'Q.1 &amp; 4'!L433</f>
        <v>48.1</v>
      </c>
      <c r="C428" s="221"/>
      <c r="D428" s="23"/>
      <c r="E428" s="24"/>
      <c r="F428" s="22">
        <f t="shared" si="67"/>
        <v>-1.1074074074074116</v>
      </c>
      <c r="G428" s="22">
        <f t="shared" si="68"/>
        <v>13.393510930442638</v>
      </c>
      <c r="H428" s="22">
        <f t="shared" si="73"/>
        <v>-14.832073215564311</v>
      </c>
      <c r="I428" s="22">
        <f t="shared" si="74"/>
        <v>1.2263511659808048</v>
      </c>
      <c r="J428" s="24"/>
      <c r="K428" s="24"/>
      <c r="L428" s="235">
        <f t="shared" si="69"/>
        <v>39.712999641679758</v>
      </c>
      <c r="M428" s="126"/>
      <c r="N428" s="126"/>
      <c r="O428" s="126"/>
      <c r="P428" s="10">
        <f t="shared" si="70"/>
        <v>8.3870003583202433</v>
      </c>
      <c r="Q428" s="10">
        <f t="shared" si="75"/>
        <v>70.341775010463891</v>
      </c>
      <c r="W428" s="240">
        <f t="shared" si="76"/>
        <v>8.3870003583202433</v>
      </c>
      <c r="X428" s="240">
        <f t="shared" si="77"/>
        <v>0.17436591181538966</v>
      </c>
      <c r="Y428"/>
      <c r="Z428" s="13">
        <f t="shared" si="71"/>
        <v>25.065148108773304</v>
      </c>
      <c r="AA428" s="2"/>
      <c r="AB428" s="68"/>
      <c r="AC428" s="15">
        <f t="shared" si="72"/>
        <v>179.38613504388641</v>
      </c>
    </row>
    <row r="429" spans="1:29">
      <c r="A429" s="84">
        <f>'Q.1 &amp; 4'!K434</f>
        <v>2.4</v>
      </c>
      <c r="B429" s="141">
        <f>'Q.1 &amp; 4'!L434</f>
        <v>41.699800000000003</v>
      </c>
      <c r="C429" s="221"/>
      <c r="D429" s="23"/>
      <c r="E429" s="24"/>
      <c r="F429" s="22">
        <f t="shared" si="67"/>
        <v>-1.1074074074074116</v>
      </c>
      <c r="G429" s="22">
        <f t="shared" si="68"/>
        <v>6.9933109304426395</v>
      </c>
      <c r="H429" s="22">
        <f t="shared" si="73"/>
        <v>-7.7444443266753966</v>
      </c>
      <c r="I429" s="22">
        <f t="shared" si="74"/>
        <v>1.2263511659808048</v>
      </c>
      <c r="J429" s="24"/>
      <c r="K429" s="24"/>
      <c r="L429" s="235">
        <f t="shared" si="69"/>
        <v>39.712999641679758</v>
      </c>
      <c r="M429" s="126"/>
      <c r="N429" s="126"/>
      <c r="O429" s="126"/>
      <c r="P429" s="10">
        <f t="shared" si="70"/>
        <v>1.9868003583202452</v>
      </c>
      <c r="Q429" s="10">
        <f t="shared" si="75"/>
        <v>3.9473756638214543</v>
      </c>
      <c r="W429" s="240">
        <f t="shared" si="76"/>
        <v>1.9868003583202452</v>
      </c>
      <c r="X429" s="240">
        <f t="shared" si="77"/>
        <v>4.764532104039456E-2</v>
      </c>
      <c r="Y429"/>
      <c r="Z429" s="13">
        <f t="shared" si="71"/>
        <v>25.065148108773304</v>
      </c>
      <c r="AA429" s="2"/>
      <c r="AB429" s="68"/>
      <c r="AC429" s="15">
        <f t="shared" si="72"/>
        <v>48.906397769848496</v>
      </c>
    </row>
    <row r="430" spans="1:29">
      <c r="A430" s="84">
        <f>'Q.1 &amp; 4'!K435</f>
        <v>2.7</v>
      </c>
      <c r="B430" s="141">
        <f>'Q.1 &amp; 4'!L435</f>
        <v>38.299999999999997</v>
      </c>
      <c r="C430" s="221"/>
      <c r="D430" s="23"/>
      <c r="E430" s="24"/>
      <c r="F430" s="22">
        <f t="shared" si="67"/>
        <v>-0.80740740740741135</v>
      </c>
      <c r="G430" s="22">
        <f t="shared" si="68"/>
        <v>3.5935109304426334</v>
      </c>
      <c r="H430" s="22">
        <f t="shared" si="73"/>
        <v>-2.9014273438388809</v>
      </c>
      <c r="I430" s="22">
        <f t="shared" si="74"/>
        <v>0.65190672153635754</v>
      </c>
      <c r="J430" s="24"/>
      <c r="K430" s="24"/>
      <c r="L430" s="235">
        <f t="shared" si="69"/>
        <v>38.356720857927542</v>
      </c>
      <c r="M430" s="126"/>
      <c r="N430" s="126"/>
      <c r="O430" s="126"/>
      <c r="P430" s="10">
        <f t="shared" si="70"/>
        <v>-5.6720857927544444E-2</v>
      </c>
      <c r="Q430" s="10">
        <f t="shared" si="75"/>
        <v>3.2172557240366813E-3</v>
      </c>
      <c r="W430" s="240">
        <f t="shared" si="76"/>
        <v>5.6720857927544444E-2</v>
      </c>
      <c r="X430" s="240">
        <f t="shared" si="77"/>
        <v>1.4809623479776618E-3</v>
      </c>
      <c r="Y430"/>
      <c r="Z430" s="13">
        <f t="shared" si="71"/>
        <v>13.324192108828147</v>
      </c>
      <c r="AA430" s="2"/>
      <c r="AB430" s="68"/>
      <c r="AC430" s="15">
        <f t="shared" si="72"/>
        <v>12.913320807210681</v>
      </c>
    </row>
    <row r="431" spans="1:29">
      <c r="A431" s="84">
        <f>'Q.1 &amp; 4'!K436</f>
        <v>3.5</v>
      </c>
      <c r="B431" s="141">
        <f>'Q.1 &amp; 4'!L436</f>
        <v>37.6</v>
      </c>
      <c r="C431" s="221"/>
      <c r="D431" s="23"/>
      <c r="E431" s="24"/>
      <c r="F431" s="22">
        <f t="shared" si="67"/>
        <v>-7.4074074074115259E-3</v>
      </c>
      <c r="G431" s="22">
        <f t="shared" si="68"/>
        <v>2.8935109304426376</v>
      </c>
      <c r="H431" s="22">
        <f t="shared" si="73"/>
        <v>-2.1433414299587009E-2</v>
      </c>
      <c r="I431" s="22">
        <f t="shared" si="74"/>
        <v>5.4869684499375142E-5</v>
      </c>
      <c r="J431" s="24"/>
      <c r="K431" s="24"/>
      <c r="L431" s="235">
        <f t="shared" si="69"/>
        <v>34.739977434588305</v>
      </c>
      <c r="M431" s="126"/>
      <c r="N431" s="126"/>
      <c r="O431" s="126"/>
      <c r="P431" s="10">
        <f t="shared" si="70"/>
        <v>2.8600225654116969</v>
      </c>
      <c r="Q431" s="10">
        <f t="shared" si="75"/>
        <v>8.1797290746641043</v>
      </c>
      <c r="W431" s="240">
        <f t="shared" si="76"/>
        <v>2.8600225654116969</v>
      </c>
      <c r="X431" s="240">
        <f t="shared" si="77"/>
        <v>7.606442993116215E-2</v>
      </c>
      <c r="Y431"/>
      <c r="Z431" s="13">
        <f t="shared" si="71"/>
        <v>1.1214705924455365E-3</v>
      </c>
      <c r="AA431" s="2"/>
      <c r="AB431" s="68"/>
      <c r="AC431" s="15">
        <f t="shared" si="72"/>
        <v>8.3724055045910184</v>
      </c>
    </row>
    <row r="432" spans="1:29">
      <c r="A432" s="84">
        <f>'Q.1 &amp; 4'!K437</f>
        <v>2.4</v>
      </c>
      <c r="B432" s="141">
        <f>'Q.1 &amp; 4'!L437</f>
        <v>41.699800000000003</v>
      </c>
      <c r="C432" s="221"/>
      <c r="D432" s="23"/>
      <c r="E432" s="24"/>
      <c r="F432" s="22">
        <f t="shared" si="67"/>
        <v>-1.1074074074074116</v>
      </c>
      <c r="G432" s="22">
        <f t="shared" si="68"/>
        <v>6.9933109304426395</v>
      </c>
      <c r="H432" s="22">
        <f t="shared" si="73"/>
        <v>-7.7444443266753966</v>
      </c>
      <c r="I432" s="22">
        <f t="shared" si="74"/>
        <v>1.2263511659808048</v>
      </c>
      <c r="J432" s="24"/>
      <c r="K432" s="24"/>
      <c r="L432" s="235">
        <f t="shared" si="69"/>
        <v>39.712999641679758</v>
      </c>
      <c r="M432" s="126"/>
      <c r="N432" s="126"/>
      <c r="O432" s="126"/>
      <c r="P432" s="10">
        <f t="shared" si="70"/>
        <v>1.9868003583202452</v>
      </c>
      <c r="Q432" s="10">
        <f t="shared" si="75"/>
        <v>3.9473756638214543</v>
      </c>
      <c r="W432" s="240">
        <f t="shared" si="76"/>
        <v>1.9868003583202452</v>
      </c>
      <c r="X432" s="240">
        <f t="shared" si="77"/>
        <v>4.764532104039456E-2</v>
      </c>
      <c r="Y432"/>
      <c r="Z432" s="13">
        <f t="shared" si="71"/>
        <v>25.065148108773304</v>
      </c>
      <c r="AA432" s="2"/>
      <c r="AB432" s="68"/>
      <c r="AC432" s="15">
        <f t="shared" si="72"/>
        <v>48.906397769848496</v>
      </c>
    </row>
    <row r="433" spans="1:29">
      <c r="A433" s="84">
        <f>'Q.1 &amp; 4'!K438</f>
        <v>2.7</v>
      </c>
      <c r="B433" s="141">
        <f>'Q.1 &amp; 4'!L438</f>
        <v>38.299999999999997</v>
      </c>
      <c r="C433" s="221"/>
      <c r="D433" s="23"/>
      <c r="E433" s="24"/>
      <c r="F433" s="22">
        <f t="shared" si="67"/>
        <v>-0.80740740740741135</v>
      </c>
      <c r="G433" s="22">
        <f t="shared" si="68"/>
        <v>3.5935109304426334</v>
      </c>
      <c r="H433" s="22">
        <f t="shared" si="73"/>
        <v>-2.9014273438388809</v>
      </c>
      <c r="I433" s="22">
        <f t="shared" si="74"/>
        <v>0.65190672153635754</v>
      </c>
      <c r="J433" s="24"/>
      <c r="K433" s="24"/>
      <c r="L433" s="235">
        <f t="shared" si="69"/>
        <v>38.356720857927542</v>
      </c>
      <c r="M433" s="126"/>
      <c r="N433" s="126"/>
      <c r="O433" s="126"/>
      <c r="P433" s="10">
        <f t="shared" si="70"/>
        <v>-5.6720857927544444E-2</v>
      </c>
      <c r="Q433" s="10">
        <f t="shared" si="75"/>
        <v>3.2172557240366813E-3</v>
      </c>
      <c r="W433" s="240">
        <f t="shared" si="76"/>
        <v>5.6720857927544444E-2</v>
      </c>
      <c r="X433" s="240">
        <f t="shared" si="77"/>
        <v>1.4809623479776618E-3</v>
      </c>
      <c r="Y433"/>
      <c r="Z433" s="13">
        <f t="shared" si="71"/>
        <v>13.324192108828147</v>
      </c>
      <c r="AA433" s="2"/>
      <c r="AB433" s="68"/>
      <c r="AC433" s="15">
        <f t="shared" si="72"/>
        <v>12.913320807210681</v>
      </c>
    </row>
    <row r="434" spans="1:29">
      <c r="A434" s="84">
        <f>'Q.1 &amp; 4'!K439</f>
        <v>3.5</v>
      </c>
      <c r="B434" s="141">
        <f>'Q.1 &amp; 4'!L439</f>
        <v>37.6</v>
      </c>
      <c r="C434" s="221"/>
      <c r="D434" s="23"/>
      <c r="E434" s="24"/>
      <c r="F434" s="22">
        <f t="shared" si="67"/>
        <v>-7.4074074074115259E-3</v>
      </c>
      <c r="G434" s="22">
        <f t="shared" si="68"/>
        <v>2.8935109304426376</v>
      </c>
      <c r="H434" s="22">
        <f t="shared" si="73"/>
        <v>-2.1433414299587009E-2</v>
      </c>
      <c r="I434" s="22">
        <f t="shared" si="74"/>
        <v>5.4869684499375142E-5</v>
      </c>
      <c r="J434" s="24"/>
      <c r="K434" s="24"/>
      <c r="L434" s="235">
        <f t="shared" si="69"/>
        <v>34.739977434588305</v>
      </c>
      <c r="M434" s="126"/>
      <c r="N434" s="126"/>
      <c r="O434" s="126"/>
      <c r="P434" s="10">
        <f t="shared" si="70"/>
        <v>2.8600225654116969</v>
      </c>
      <c r="Q434" s="10">
        <f t="shared" si="75"/>
        <v>8.1797290746641043</v>
      </c>
      <c r="W434" s="240">
        <f t="shared" si="76"/>
        <v>2.8600225654116969</v>
      </c>
      <c r="X434" s="240">
        <f t="shared" si="77"/>
        <v>7.606442993116215E-2</v>
      </c>
      <c r="Y434"/>
      <c r="Z434" s="13">
        <f t="shared" si="71"/>
        <v>1.1214705924455365E-3</v>
      </c>
      <c r="AA434" s="2"/>
      <c r="AB434" s="68"/>
      <c r="AC434" s="15">
        <f t="shared" si="72"/>
        <v>8.3724055045910184</v>
      </c>
    </row>
    <row r="435" spans="1:29">
      <c r="A435" s="84">
        <f>'Q.1 &amp; 4'!K440</f>
        <v>5.7</v>
      </c>
      <c r="B435" s="141">
        <f>'Q.1 &amp; 4'!L440</f>
        <v>21.7</v>
      </c>
      <c r="C435" s="221"/>
      <c r="D435" s="23"/>
      <c r="E435" s="24"/>
      <c r="F435" s="22">
        <f t="shared" si="67"/>
        <v>2.1925925925925887</v>
      </c>
      <c r="G435" s="22">
        <f t="shared" si="68"/>
        <v>-13.006489069557365</v>
      </c>
      <c r="H435" s="22">
        <f t="shared" si="73"/>
        <v>-28.517931589547949</v>
      </c>
      <c r="I435" s="22">
        <f t="shared" si="74"/>
        <v>4.8074622770918891</v>
      </c>
      <c r="J435" s="24"/>
      <c r="K435" s="24"/>
      <c r="L435" s="235">
        <f t="shared" si="69"/>
        <v>24.793933020405387</v>
      </c>
      <c r="M435" s="126"/>
      <c r="N435" s="126"/>
      <c r="O435" s="126"/>
      <c r="P435" s="10">
        <f t="shared" si="70"/>
        <v>-3.0939330204053874</v>
      </c>
      <c r="Q435" s="10">
        <f t="shared" si="75"/>
        <v>9.5724215347548043</v>
      </c>
      <c r="W435" s="240">
        <f t="shared" si="76"/>
        <v>3.0939330204053874</v>
      </c>
      <c r="X435" s="240">
        <f t="shared" si="77"/>
        <v>0.14257755854402707</v>
      </c>
      <c r="Y435"/>
      <c r="Z435" s="13">
        <f t="shared" si="71"/>
        <v>98.258767427579457</v>
      </c>
      <c r="AA435" s="2"/>
      <c r="AB435" s="68"/>
      <c r="AC435" s="15">
        <f t="shared" si="72"/>
        <v>169.1687579165152</v>
      </c>
    </row>
    <row r="436" spans="1:29">
      <c r="A436" s="84">
        <f>'Q.1 &amp; 4'!K441</f>
        <v>5.7</v>
      </c>
      <c r="B436" s="141">
        <f>'Q.1 &amp; 4'!L441</f>
        <v>21.3</v>
      </c>
      <c r="C436" s="221"/>
      <c r="D436" s="23"/>
      <c r="E436" s="24"/>
      <c r="F436" s="22">
        <f t="shared" si="67"/>
        <v>2.1925925925925887</v>
      </c>
      <c r="G436" s="22">
        <f t="shared" si="68"/>
        <v>-13.406489069557363</v>
      </c>
      <c r="H436" s="22">
        <f t="shared" si="73"/>
        <v>-29.39496862658498</v>
      </c>
      <c r="I436" s="22">
        <f t="shared" si="74"/>
        <v>4.8074622770918891</v>
      </c>
      <c r="J436" s="24"/>
      <c r="K436" s="24"/>
      <c r="L436" s="235">
        <f t="shared" si="69"/>
        <v>24.793933020405387</v>
      </c>
      <c r="M436" s="126"/>
      <c r="N436" s="126"/>
      <c r="O436" s="126"/>
      <c r="P436" s="10">
        <f t="shared" si="70"/>
        <v>-3.493933020405386</v>
      </c>
      <c r="Q436" s="10">
        <f t="shared" si="75"/>
        <v>12.207567951079103</v>
      </c>
      <c r="W436" s="240">
        <f t="shared" si="76"/>
        <v>3.493933020405386</v>
      </c>
      <c r="X436" s="240">
        <f t="shared" si="77"/>
        <v>0.16403441410353925</v>
      </c>
      <c r="Y436"/>
      <c r="Z436" s="13">
        <f t="shared" si="71"/>
        <v>98.258767427579457</v>
      </c>
      <c r="AA436" s="2"/>
      <c r="AB436" s="68"/>
      <c r="AC436" s="15">
        <f t="shared" si="72"/>
        <v>179.73394917216106</v>
      </c>
    </row>
    <row r="437" spans="1:29">
      <c r="A437" s="84">
        <f>'Q.1 &amp; 4'!K442</f>
        <v>3.5</v>
      </c>
      <c r="B437" s="141">
        <f>'Q.1 &amp; 4'!L442</f>
        <v>33.5</v>
      </c>
      <c r="C437" s="221"/>
      <c r="D437" s="23"/>
      <c r="E437" s="24"/>
      <c r="F437" s="22">
        <f t="shared" si="67"/>
        <v>-7.4074074074115259E-3</v>
      </c>
      <c r="G437" s="22">
        <f t="shared" si="68"/>
        <v>-1.2064890695573638</v>
      </c>
      <c r="H437" s="22">
        <f t="shared" si="73"/>
        <v>8.9369560708002557E-3</v>
      </c>
      <c r="I437" s="22">
        <f t="shared" si="74"/>
        <v>5.4869684499375142E-5</v>
      </c>
      <c r="J437" s="24"/>
      <c r="K437" s="24"/>
      <c r="L437" s="235">
        <f t="shared" si="69"/>
        <v>34.739977434588305</v>
      </c>
      <c r="M437" s="126"/>
      <c r="N437" s="126"/>
      <c r="O437" s="126"/>
      <c r="P437" s="10">
        <f t="shared" si="70"/>
        <v>-1.2399774345883046</v>
      </c>
      <c r="Q437" s="10">
        <f t="shared" si="75"/>
        <v>1.5375440382881931</v>
      </c>
      <c r="W437" s="240">
        <f t="shared" si="76"/>
        <v>1.2399774345883046</v>
      </c>
      <c r="X437" s="240">
        <f t="shared" si="77"/>
        <v>3.7014251778755357E-2</v>
      </c>
      <c r="Y437"/>
      <c r="Z437" s="13">
        <f t="shared" si="71"/>
        <v>1.1214705924455365E-3</v>
      </c>
      <c r="AA437" s="2"/>
      <c r="AB437" s="68"/>
      <c r="AC437" s="15">
        <f t="shared" si="72"/>
        <v>1.4556158749613934</v>
      </c>
    </row>
    <row r="438" spans="1:29">
      <c r="A438" s="84">
        <f>'Q.1 &amp; 4'!K443</f>
        <v>3</v>
      </c>
      <c r="B438" s="141">
        <f>'Q.1 &amp; 4'!L443</f>
        <v>35.465499999999999</v>
      </c>
      <c r="C438" s="221"/>
      <c r="D438" s="23"/>
      <c r="E438" s="24"/>
      <c r="F438" s="22">
        <f t="shared" si="67"/>
        <v>-0.50740740740741153</v>
      </c>
      <c r="G438" s="22">
        <f t="shared" si="68"/>
        <v>0.7590109304426349</v>
      </c>
      <c r="H438" s="22">
        <f t="shared" si="73"/>
        <v>-0.38512776840978452</v>
      </c>
      <c r="I438" s="22">
        <f t="shared" si="74"/>
        <v>0.25746227709191088</v>
      </c>
      <c r="J438" s="24"/>
      <c r="K438" s="24"/>
      <c r="L438" s="235">
        <f t="shared" si="69"/>
        <v>37.000442074175325</v>
      </c>
      <c r="M438" s="126"/>
      <c r="N438" s="126"/>
      <c r="O438" s="126"/>
      <c r="P438" s="10">
        <f t="shared" si="70"/>
        <v>-1.5349420741753264</v>
      </c>
      <c r="Q438" s="10">
        <f t="shared" si="75"/>
        <v>2.3560471710736532</v>
      </c>
      <c r="W438" s="240">
        <f t="shared" si="76"/>
        <v>1.5349420741753264</v>
      </c>
      <c r="X438" s="240">
        <f t="shared" si="77"/>
        <v>4.3279865620823796E-2</v>
      </c>
      <c r="Y438"/>
      <c r="Z438" s="13">
        <f t="shared" si="71"/>
        <v>5.2622203873957725</v>
      </c>
      <c r="AA438" s="2"/>
      <c r="AB438" s="68"/>
      <c r="AC438" s="15">
        <f t="shared" si="72"/>
        <v>0.57609759253139436</v>
      </c>
    </row>
    <row r="439" spans="1:29">
      <c r="A439" s="84">
        <f>'Q.1 &amp; 4'!K444</f>
        <v>2.5</v>
      </c>
      <c r="B439" s="141">
        <f>'Q.1 &amp; 4'!L444</f>
        <v>42.908000000000001</v>
      </c>
      <c r="C439" s="221"/>
      <c r="D439" s="23"/>
      <c r="E439" s="24"/>
      <c r="F439" s="22">
        <f t="shared" si="67"/>
        <v>-1.0074074074074115</v>
      </c>
      <c r="G439" s="22">
        <f t="shared" si="68"/>
        <v>8.2015109304426375</v>
      </c>
      <c r="H439" s="22">
        <f t="shared" si="73"/>
        <v>-8.262262863260764</v>
      </c>
      <c r="I439" s="22">
        <f t="shared" si="74"/>
        <v>1.0148696844993224</v>
      </c>
      <c r="J439" s="24"/>
      <c r="K439" s="24"/>
      <c r="L439" s="235">
        <f t="shared" si="69"/>
        <v>39.260906713762353</v>
      </c>
      <c r="M439" s="126"/>
      <c r="N439" s="126"/>
      <c r="O439" s="126"/>
      <c r="P439" s="10">
        <f t="shared" si="70"/>
        <v>3.6470932862376486</v>
      </c>
      <c r="Q439" s="10">
        <f t="shared" si="75"/>
        <v>13.301289438519731</v>
      </c>
      <c r="W439" s="240">
        <f t="shared" si="76"/>
        <v>3.6470932862376486</v>
      </c>
      <c r="X439" s="240">
        <f t="shared" si="77"/>
        <v>8.4997979077040375E-2</v>
      </c>
      <c r="Y439"/>
      <c r="Z439" s="13">
        <f t="shared" si="71"/>
        <v>20.742720077845721</v>
      </c>
      <c r="AA439" s="2"/>
      <c r="AB439" s="68"/>
      <c r="AC439" s="15">
        <f t="shared" si="72"/>
        <v>67.264781542170056</v>
      </c>
    </row>
    <row r="440" spans="1:29">
      <c r="A440" s="84">
        <f>'Q.1 &amp; 4'!K445</f>
        <v>2.5</v>
      </c>
      <c r="B440" s="141">
        <f>'Q.1 &amp; 4'!L445</f>
        <v>40.200000000000003</v>
      </c>
      <c r="C440" s="221"/>
      <c r="D440" s="23"/>
      <c r="E440" s="24"/>
      <c r="F440" s="22">
        <f t="shared" si="67"/>
        <v>-1.0074074074074115</v>
      </c>
      <c r="G440" s="22">
        <f t="shared" si="68"/>
        <v>5.4935109304426391</v>
      </c>
      <c r="H440" s="22">
        <f t="shared" si="73"/>
        <v>-5.5342036040014957</v>
      </c>
      <c r="I440" s="22">
        <f t="shared" si="74"/>
        <v>1.0148696844993224</v>
      </c>
      <c r="J440" s="24"/>
      <c r="K440" s="24"/>
      <c r="L440" s="235">
        <f t="shared" si="69"/>
        <v>39.260906713762353</v>
      </c>
      <c r="M440" s="126"/>
      <c r="N440" s="126"/>
      <c r="O440" s="126"/>
      <c r="P440" s="10">
        <f t="shared" si="70"/>
        <v>0.9390932862376502</v>
      </c>
      <c r="Q440" s="10">
        <f t="shared" si="75"/>
        <v>0.88189620025662918</v>
      </c>
      <c r="W440" s="240">
        <f t="shared" si="76"/>
        <v>0.9390932862376502</v>
      </c>
      <c r="X440" s="240">
        <f t="shared" si="77"/>
        <v>2.3360529508399258E-2</v>
      </c>
      <c r="Y440"/>
      <c r="Z440" s="13">
        <f t="shared" si="71"/>
        <v>20.742720077845721</v>
      </c>
      <c r="AA440" s="2"/>
      <c r="AB440" s="68"/>
      <c r="AC440" s="15">
        <f t="shared" si="72"/>
        <v>30.17866234289275</v>
      </c>
    </row>
    <row r="441" spans="1:29">
      <c r="A441" s="84">
        <f>'Q.1 &amp; 4'!K446</f>
        <v>3</v>
      </c>
      <c r="B441" s="141">
        <f>'Q.1 &amp; 4'!L446</f>
        <v>37.9</v>
      </c>
      <c r="C441" s="221"/>
      <c r="D441" s="23"/>
      <c r="E441" s="24"/>
      <c r="F441" s="22">
        <f t="shared" si="67"/>
        <v>-0.50740740740741153</v>
      </c>
      <c r="G441" s="22">
        <f t="shared" si="68"/>
        <v>3.1935109304426348</v>
      </c>
      <c r="H441" s="22">
        <f t="shared" si="73"/>
        <v>-1.6204111017431277</v>
      </c>
      <c r="I441" s="22">
        <f t="shared" si="74"/>
        <v>0.25746227709191088</v>
      </c>
      <c r="J441" s="24"/>
      <c r="K441" s="24"/>
      <c r="L441" s="235">
        <f t="shared" si="69"/>
        <v>37.000442074175325</v>
      </c>
      <c r="M441" s="126"/>
      <c r="N441" s="126"/>
      <c r="O441" s="126"/>
      <c r="P441" s="10">
        <f t="shared" si="70"/>
        <v>0.89955792582467353</v>
      </c>
      <c r="Q441" s="10">
        <f t="shared" si="75"/>
        <v>0.80920446191398887</v>
      </c>
      <c r="W441" s="240">
        <f t="shared" si="76"/>
        <v>0.89955792582467353</v>
      </c>
      <c r="X441" s="240">
        <f t="shared" si="77"/>
        <v>2.3735037620703787E-2</v>
      </c>
      <c r="Y441"/>
      <c r="Z441" s="13">
        <f t="shared" si="71"/>
        <v>5.2622203873957725</v>
      </c>
      <c r="AA441" s="2"/>
      <c r="AB441" s="68"/>
      <c r="AC441" s="15">
        <f t="shared" si="72"/>
        <v>10.198512062856583</v>
      </c>
    </row>
    <row r="442" spans="1:29">
      <c r="A442" s="84">
        <f>'Q.1 &amp; 4'!K447</f>
        <v>3.5</v>
      </c>
      <c r="B442" s="141">
        <f>'Q.1 &amp; 4'!L447</f>
        <v>37.4</v>
      </c>
      <c r="C442" s="221"/>
      <c r="D442" s="23"/>
      <c r="E442" s="24"/>
      <c r="F442" s="22">
        <f t="shared" si="67"/>
        <v>-7.4074074074115259E-3</v>
      </c>
      <c r="G442" s="22">
        <f t="shared" si="68"/>
        <v>2.6935109304426348</v>
      </c>
      <c r="H442" s="22">
        <f t="shared" si="73"/>
        <v>-1.9951932818104683E-2</v>
      </c>
      <c r="I442" s="22">
        <f t="shared" si="74"/>
        <v>5.4869684499375142E-5</v>
      </c>
      <c r="J442" s="24"/>
      <c r="K442" s="24"/>
      <c r="L442" s="235">
        <f t="shared" si="69"/>
        <v>34.739977434588305</v>
      </c>
      <c r="M442" s="126"/>
      <c r="N442" s="126"/>
      <c r="O442" s="126"/>
      <c r="P442" s="10">
        <f t="shared" si="70"/>
        <v>2.660022565411694</v>
      </c>
      <c r="Q442" s="10">
        <f t="shared" si="75"/>
        <v>7.0757200484994103</v>
      </c>
      <c r="W442" s="240">
        <f t="shared" si="76"/>
        <v>2.660022565411694</v>
      </c>
      <c r="X442" s="240">
        <f t="shared" si="77"/>
        <v>7.1123598005660274E-2</v>
      </c>
      <c r="Y442"/>
      <c r="Z442" s="13">
        <f t="shared" si="71"/>
        <v>1.1214705924455365E-3</v>
      </c>
      <c r="AA442" s="2"/>
      <c r="AB442" s="68"/>
      <c r="AC442" s="15">
        <f t="shared" si="72"/>
        <v>7.2550011324139483</v>
      </c>
    </row>
    <row r="443" spans="1:29">
      <c r="A443" s="84">
        <f>'Q.1 &amp; 4'!K448</f>
        <v>2.5</v>
      </c>
      <c r="B443" s="141">
        <f>'Q.1 &amp; 4'!L448</f>
        <v>51.6</v>
      </c>
      <c r="C443" s="221"/>
      <c r="D443" s="23"/>
      <c r="E443" s="24"/>
      <c r="F443" s="22">
        <f t="shared" si="67"/>
        <v>-1.0074074074074115</v>
      </c>
      <c r="G443" s="22">
        <f t="shared" si="68"/>
        <v>16.893510930442638</v>
      </c>
      <c r="H443" s="22">
        <f t="shared" si="73"/>
        <v>-17.018648048445986</v>
      </c>
      <c r="I443" s="22">
        <f t="shared" si="74"/>
        <v>1.0148696844993224</v>
      </c>
      <c r="J443" s="24"/>
      <c r="K443" s="24"/>
      <c r="L443" s="235">
        <f t="shared" si="69"/>
        <v>39.260906713762353</v>
      </c>
      <c r="M443" s="126"/>
      <c r="N443" s="126"/>
      <c r="O443" s="126"/>
      <c r="P443" s="10">
        <f t="shared" si="70"/>
        <v>12.339093286237649</v>
      </c>
      <c r="Q443" s="10">
        <f t="shared" si="75"/>
        <v>152.25322312647501</v>
      </c>
      <c r="W443" s="240">
        <f t="shared" si="76"/>
        <v>12.339093286237649</v>
      </c>
      <c r="X443" s="240">
        <f t="shared" si="77"/>
        <v>0.23912971484956683</v>
      </c>
      <c r="Y443"/>
      <c r="Z443" s="13">
        <f t="shared" si="71"/>
        <v>20.742720077845721</v>
      </c>
      <c r="AA443" s="2"/>
      <c r="AB443" s="68"/>
      <c r="AC443" s="15">
        <f t="shared" si="72"/>
        <v>285.39071155698485</v>
      </c>
    </row>
    <row r="444" spans="1:29">
      <c r="A444" s="84">
        <f>'Q.1 &amp; 4'!K449</f>
        <v>2.5</v>
      </c>
      <c r="B444" s="141">
        <f>'Q.1 &amp; 4'!L449</f>
        <v>44.2</v>
      </c>
      <c r="C444" s="221"/>
      <c r="D444" s="23"/>
      <c r="E444" s="24"/>
      <c r="F444" s="22">
        <f t="shared" si="67"/>
        <v>-1.0074074074074115</v>
      </c>
      <c r="G444" s="22">
        <f t="shared" si="68"/>
        <v>9.4935109304426391</v>
      </c>
      <c r="H444" s="22">
        <f t="shared" si="73"/>
        <v>-9.5638332336311418</v>
      </c>
      <c r="I444" s="22">
        <f t="shared" si="74"/>
        <v>1.0148696844993224</v>
      </c>
      <c r="J444" s="24"/>
      <c r="K444" s="24"/>
      <c r="L444" s="235">
        <f t="shared" si="69"/>
        <v>39.260906713762353</v>
      </c>
      <c r="M444" s="126"/>
      <c r="N444" s="126"/>
      <c r="O444" s="126"/>
      <c r="P444" s="10">
        <f t="shared" si="70"/>
        <v>4.9390932862376502</v>
      </c>
      <c r="Q444" s="10">
        <f t="shared" si="75"/>
        <v>24.394642490157832</v>
      </c>
      <c r="W444" s="240">
        <f t="shared" si="76"/>
        <v>4.9390932862376502</v>
      </c>
      <c r="X444" s="240">
        <f t="shared" si="77"/>
        <v>0.11174419199632692</v>
      </c>
      <c r="Y444"/>
      <c r="Z444" s="13">
        <f t="shared" si="71"/>
        <v>20.742720077845721</v>
      </c>
      <c r="AA444" s="2"/>
      <c r="AB444" s="68"/>
      <c r="AC444" s="15">
        <f t="shared" si="72"/>
        <v>90.126749786433862</v>
      </c>
    </row>
    <row r="445" spans="1:29">
      <c r="A445" s="84">
        <f>'Q.1 &amp; 4'!K450</f>
        <v>2.5</v>
      </c>
      <c r="B445" s="141">
        <f>'Q.1 &amp; 4'!L450</f>
        <v>47.649299999999997</v>
      </c>
      <c r="C445" s="221"/>
      <c r="D445" s="23"/>
      <c r="E445" s="24"/>
      <c r="F445" s="22">
        <f t="shared" si="67"/>
        <v>-1.0074074074074115</v>
      </c>
      <c r="G445" s="22">
        <f t="shared" si="68"/>
        <v>12.942810930442633</v>
      </c>
      <c r="H445" s="22">
        <f t="shared" si="73"/>
        <v>-13.03868360400152</v>
      </c>
      <c r="I445" s="22">
        <f t="shared" si="74"/>
        <v>1.0148696844993224</v>
      </c>
      <c r="J445" s="24"/>
      <c r="K445" s="24"/>
      <c r="L445" s="235">
        <f t="shared" si="69"/>
        <v>39.260906713762353</v>
      </c>
      <c r="M445" s="126"/>
      <c r="N445" s="126"/>
      <c r="O445" s="126"/>
      <c r="P445" s="10">
        <f t="shared" si="70"/>
        <v>8.388393286237644</v>
      </c>
      <c r="Q445" s="10">
        <f t="shared" si="75"/>
        <v>70.365141924596784</v>
      </c>
      <c r="W445" s="240">
        <f t="shared" si="76"/>
        <v>8.388393286237644</v>
      </c>
      <c r="X445" s="240">
        <f t="shared" si="77"/>
        <v>0.17604441799224008</v>
      </c>
      <c r="Y445"/>
      <c r="Z445" s="13">
        <f t="shared" si="71"/>
        <v>20.742720077845721</v>
      </c>
      <c r="AA445" s="2"/>
      <c r="AB445" s="68"/>
      <c r="AC445" s="15">
        <f t="shared" si="72"/>
        <v>167.5163547811853</v>
      </c>
    </row>
    <row r="446" spans="1:29">
      <c r="A446" s="84">
        <f>'Q.1 &amp; 4'!K451</f>
        <v>2</v>
      </c>
      <c r="B446" s="141">
        <f>'Q.1 &amp; 4'!L451</f>
        <v>47.7</v>
      </c>
      <c r="C446" s="221"/>
      <c r="D446" s="23"/>
      <c r="E446" s="24"/>
      <c r="F446" s="22">
        <f t="shared" si="67"/>
        <v>-1.5074074074074115</v>
      </c>
      <c r="G446" s="22">
        <f t="shared" si="68"/>
        <v>12.993510930442639</v>
      </c>
      <c r="H446" s="22">
        <f t="shared" si="73"/>
        <v>-19.586514624778403</v>
      </c>
      <c r="I446" s="22">
        <f t="shared" si="74"/>
        <v>2.2722770919067341</v>
      </c>
      <c r="J446" s="24"/>
      <c r="K446" s="24"/>
      <c r="L446" s="235">
        <f t="shared" si="69"/>
        <v>41.52137135334938</v>
      </c>
      <c r="M446" s="126"/>
      <c r="N446" s="126"/>
      <c r="O446" s="126"/>
      <c r="P446" s="10">
        <f t="shared" si="70"/>
        <v>6.1786286466506226</v>
      </c>
      <c r="Q446" s="10">
        <f t="shared" si="75"/>
        <v>38.175451953211706</v>
      </c>
      <c r="W446" s="240">
        <f t="shared" si="76"/>
        <v>6.1786286466506226</v>
      </c>
      <c r="X446" s="240">
        <f t="shared" si="77"/>
        <v>0.12953099888156441</v>
      </c>
      <c r="Y446"/>
      <c r="Z446" s="13">
        <f t="shared" si="71"/>
        <v>46.44262054194229</v>
      </c>
      <c r="AA446" s="2"/>
      <c r="AB446" s="68"/>
      <c r="AC446" s="15">
        <f t="shared" si="72"/>
        <v>168.83132629953232</v>
      </c>
    </row>
    <row r="447" spans="1:29">
      <c r="A447" s="84">
        <f>'Q.1 &amp; 4'!K452</f>
        <v>2</v>
      </c>
      <c r="B447" s="141">
        <f>'Q.1 &amp; 4'!L452</f>
        <v>48.2</v>
      </c>
      <c r="C447" s="221"/>
      <c r="D447" s="23"/>
      <c r="E447" s="24"/>
      <c r="F447" s="22">
        <f t="shared" si="67"/>
        <v>-1.5074074074074115</v>
      </c>
      <c r="G447" s="22">
        <f t="shared" si="68"/>
        <v>13.493510930442639</v>
      </c>
      <c r="H447" s="22">
        <f t="shared" si="73"/>
        <v>-20.340218328482109</v>
      </c>
      <c r="I447" s="22">
        <f t="shared" si="74"/>
        <v>2.2722770919067341</v>
      </c>
      <c r="J447" s="24"/>
      <c r="K447" s="24"/>
      <c r="L447" s="235">
        <f t="shared" si="69"/>
        <v>41.52137135334938</v>
      </c>
      <c r="M447" s="126"/>
      <c r="N447" s="126"/>
      <c r="O447" s="126"/>
      <c r="P447" s="10">
        <f t="shared" si="70"/>
        <v>6.6786286466506226</v>
      </c>
      <c r="Q447" s="10">
        <f t="shared" si="75"/>
        <v>44.604080599862328</v>
      </c>
      <c r="W447" s="240">
        <f t="shared" si="76"/>
        <v>6.6786286466506226</v>
      </c>
      <c r="X447" s="240">
        <f t="shared" si="77"/>
        <v>0.13856076030395481</v>
      </c>
      <c r="Y447"/>
      <c r="Z447" s="13">
        <f t="shared" si="71"/>
        <v>46.44262054194229</v>
      </c>
      <c r="AA447" s="2"/>
      <c r="AB447" s="68"/>
      <c r="AC447" s="15">
        <f t="shared" si="72"/>
        <v>182.07483722997497</v>
      </c>
    </row>
    <row r="448" spans="1:29">
      <c r="A448" s="84">
        <f>'Q.1 &amp; 4'!K453</f>
        <v>2</v>
      </c>
      <c r="B448" s="141">
        <f>'Q.1 &amp; 4'!L453</f>
        <v>49.216999999999999</v>
      </c>
      <c r="C448" s="221"/>
      <c r="D448" s="23"/>
      <c r="E448" s="24"/>
      <c r="F448" s="22">
        <f t="shared" si="67"/>
        <v>-1.5074074074074115</v>
      </c>
      <c r="G448" s="22">
        <f t="shared" si="68"/>
        <v>14.510510930442635</v>
      </c>
      <c r="H448" s="22">
        <f t="shared" si="73"/>
        <v>-21.873251661815438</v>
      </c>
      <c r="I448" s="22">
        <f t="shared" si="74"/>
        <v>2.2722770919067341</v>
      </c>
      <c r="J448" s="24"/>
      <c r="K448" s="24"/>
      <c r="L448" s="235">
        <f t="shared" si="69"/>
        <v>41.52137135334938</v>
      </c>
      <c r="M448" s="126"/>
      <c r="N448" s="126"/>
      <c r="O448" s="126"/>
      <c r="P448" s="10">
        <f t="shared" si="70"/>
        <v>7.6956286466506185</v>
      </c>
      <c r="Q448" s="10">
        <f t="shared" si="75"/>
        <v>59.222700267149634</v>
      </c>
      <c r="W448" s="240">
        <f t="shared" si="76"/>
        <v>7.6956286466506185</v>
      </c>
      <c r="X448" s="240">
        <f t="shared" si="77"/>
        <v>0.15636118915518255</v>
      </c>
      <c r="Y448"/>
      <c r="Z448" s="13">
        <f t="shared" si="71"/>
        <v>46.44262054194229</v>
      </c>
      <c r="AA448" s="2"/>
      <c r="AB448" s="68"/>
      <c r="AC448" s="15">
        <f t="shared" si="72"/>
        <v>210.55492746249519</v>
      </c>
    </row>
    <row r="449" spans="1:29">
      <c r="A449" s="84">
        <f>'Q.1 &amp; 4'!K454</f>
        <v>3.7</v>
      </c>
      <c r="B449" s="141">
        <f>'Q.1 &amp; 4'!L454</f>
        <v>34.730499999999999</v>
      </c>
      <c r="C449" s="221"/>
      <c r="D449" s="23"/>
      <c r="E449" s="24"/>
      <c r="F449" s="22">
        <f t="shared" si="67"/>
        <v>0.19259259259258865</v>
      </c>
      <c r="G449" s="22">
        <f t="shared" si="68"/>
        <v>2.401093044263547E-2</v>
      </c>
      <c r="H449" s="22">
        <f t="shared" si="73"/>
        <v>4.6243273445074774E-3</v>
      </c>
      <c r="I449" s="22">
        <f t="shared" si="74"/>
        <v>3.7091906721534833E-2</v>
      </c>
      <c r="J449" s="24"/>
      <c r="K449" s="24"/>
      <c r="L449" s="235">
        <f t="shared" si="69"/>
        <v>33.835791578753486</v>
      </c>
      <c r="M449" s="126"/>
      <c r="N449" s="126"/>
      <c r="O449" s="126"/>
      <c r="P449" s="10">
        <f t="shared" si="70"/>
        <v>0.89470842124651284</v>
      </c>
      <c r="Q449" s="10">
        <f t="shared" si="75"/>
        <v>0.80050315904942748</v>
      </c>
      <c r="W449" s="240">
        <f t="shared" si="76"/>
        <v>0.89470842124651284</v>
      </c>
      <c r="X449" s="240">
        <f t="shared" si="77"/>
        <v>2.5761460999597266E-2</v>
      </c>
      <c r="Y449"/>
      <c r="Z449" s="13">
        <f t="shared" si="71"/>
        <v>0.75811412049216809</v>
      </c>
      <c r="AA449" s="2"/>
      <c r="AB449" s="68"/>
      <c r="AC449" s="15">
        <f t="shared" si="72"/>
        <v>5.7652478072107874E-4</v>
      </c>
    </row>
    <row r="450" spans="1:29">
      <c r="A450" s="84">
        <f>'Q.1 &amp; 4'!K455</f>
        <v>3.7</v>
      </c>
      <c r="B450" s="141">
        <f>'Q.1 &amp; 4'!L455</f>
        <v>37.064999999999998</v>
      </c>
      <c r="C450" s="221"/>
      <c r="D450" s="23"/>
      <c r="E450" s="24"/>
      <c r="F450" s="22">
        <f t="shared" si="67"/>
        <v>0.19259259259258865</v>
      </c>
      <c r="G450" s="22">
        <f t="shared" si="68"/>
        <v>2.3585109304426339</v>
      </c>
      <c r="H450" s="22">
        <f t="shared" si="73"/>
        <v>0.45423173475190537</v>
      </c>
      <c r="I450" s="22">
        <f t="shared" si="74"/>
        <v>3.7091906721534833E-2</v>
      </c>
      <c r="J450" s="24"/>
      <c r="K450" s="24"/>
      <c r="L450" s="235">
        <f t="shared" si="69"/>
        <v>33.835791578753486</v>
      </c>
      <c r="M450" s="126"/>
      <c r="N450" s="126"/>
      <c r="O450" s="126"/>
      <c r="P450" s="10">
        <f t="shared" si="70"/>
        <v>3.2292084212465113</v>
      </c>
      <c r="Q450" s="10">
        <f t="shared" si="75"/>
        <v>10.427787027849385</v>
      </c>
      <c r="W450" s="240">
        <f t="shared" si="76"/>
        <v>3.2292084212465113</v>
      </c>
      <c r="X450" s="240">
        <f t="shared" si="77"/>
        <v>8.7122849622191051E-2</v>
      </c>
      <c r="Y450"/>
      <c r="Z450" s="13">
        <f t="shared" si="71"/>
        <v>0.75811412049216809</v>
      </c>
      <c r="AA450" s="2"/>
      <c r="AB450" s="68"/>
      <c r="AC450" s="15">
        <f t="shared" si="72"/>
        <v>5.5625738090173789</v>
      </c>
    </row>
    <row r="451" spans="1:29">
      <c r="A451" s="84">
        <f>'Q.1 &amp; 4'!K456</f>
        <v>3.7</v>
      </c>
      <c r="B451" s="141">
        <f>'Q.1 &amp; 4'!L456</f>
        <v>35.161999999999999</v>
      </c>
      <c r="C451" s="221"/>
      <c r="D451" s="23"/>
      <c r="E451" s="24"/>
      <c r="F451" s="22">
        <f t="shared" si="67"/>
        <v>0.19259259259258865</v>
      </c>
      <c r="G451" s="22">
        <f t="shared" si="68"/>
        <v>0.45551093044263524</v>
      </c>
      <c r="H451" s="22">
        <f t="shared" si="73"/>
        <v>8.7728031048209434E-2</v>
      </c>
      <c r="I451" s="22">
        <f t="shared" si="74"/>
        <v>3.7091906721534833E-2</v>
      </c>
      <c r="J451" s="24"/>
      <c r="K451" s="24"/>
      <c r="L451" s="235">
        <f t="shared" si="69"/>
        <v>33.835791578753486</v>
      </c>
      <c r="M451" s="126"/>
      <c r="N451" s="126"/>
      <c r="O451" s="126"/>
      <c r="P451" s="10">
        <f t="shared" si="70"/>
        <v>1.3262084212465126</v>
      </c>
      <c r="Q451" s="10">
        <f t="shared" si="75"/>
        <v>1.7588287765851673</v>
      </c>
      <c r="W451" s="240">
        <f t="shared" si="76"/>
        <v>1.3262084212465126</v>
      </c>
      <c r="X451" s="240">
        <f t="shared" si="77"/>
        <v>3.7717092919814364E-2</v>
      </c>
      <c r="Y451"/>
      <c r="Z451" s="13">
        <f t="shared" si="71"/>
        <v>0.75811412049216809</v>
      </c>
      <c r="AA451" s="2"/>
      <c r="AB451" s="68"/>
      <c r="AC451" s="15">
        <f t="shared" si="72"/>
        <v>0.20749020775271529</v>
      </c>
    </row>
    <row r="452" spans="1:29">
      <c r="A452" s="84">
        <f>'Q.1 &amp; 4'!K457</f>
        <v>4.2</v>
      </c>
      <c r="B452" s="141">
        <f>'Q.1 &amp; 4'!L457</f>
        <v>34.485500000000002</v>
      </c>
      <c r="C452" s="221"/>
      <c r="D452" s="23"/>
      <c r="E452" s="24"/>
      <c r="F452" s="22">
        <f t="shared" si="67"/>
        <v>0.69259259259258865</v>
      </c>
      <c r="G452" s="22">
        <f t="shared" si="68"/>
        <v>-0.22098906955736197</v>
      </c>
      <c r="H452" s="22">
        <f t="shared" si="73"/>
        <v>-0.15305539261935724</v>
      </c>
      <c r="I452" s="22">
        <f t="shared" si="74"/>
        <v>0.47968449931412349</v>
      </c>
      <c r="J452" s="24"/>
      <c r="K452" s="24"/>
      <c r="L452" s="235">
        <f t="shared" si="69"/>
        <v>31.575326939166466</v>
      </c>
      <c r="M452" s="126"/>
      <c r="N452" s="126"/>
      <c r="O452" s="126"/>
      <c r="P452" s="10">
        <f t="shared" si="70"/>
        <v>2.9101730608335359</v>
      </c>
      <c r="Q452" s="10">
        <f t="shared" si="75"/>
        <v>8.4691072440012309</v>
      </c>
      <c r="W452" s="240">
        <f t="shared" si="76"/>
        <v>2.9101730608335359</v>
      </c>
      <c r="X452" s="240">
        <f t="shared" si="77"/>
        <v>8.4388309893536004E-2</v>
      </c>
      <c r="Y452"/>
      <c r="Z452" s="13">
        <f t="shared" si="71"/>
        <v>9.8041762867940658</v>
      </c>
      <c r="AA452" s="2"/>
      <c r="AB452" s="68"/>
      <c r="AC452" s="15">
        <f t="shared" si="72"/>
        <v>4.883616886382857E-2</v>
      </c>
    </row>
    <row r="453" spans="1:29">
      <c r="A453" s="84">
        <f>'Q.1 &amp; 4'!K458</f>
        <v>5</v>
      </c>
      <c r="B453" s="141">
        <f>'Q.1 &amp; 4'!L458</f>
        <v>29.7559</v>
      </c>
      <c r="C453" s="221"/>
      <c r="D453" s="23"/>
      <c r="E453" s="24"/>
      <c r="F453" s="22">
        <f t="shared" si="67"/>
        <v>1.4925925925925885</v>
      </c>
      <c r="G453" s="22">
        <f t="shared" si="68"/>
        <v>-4.9505890695573633</v>
      </c>
      <c r="H453" s="22">
        <f t="shared" si="73"/>
        <v>-7.3892125741911556</v>
      </c>
      <c r="I453" s="22">
        <f t="shared" si="74"/>
        <v>2.2278326474622649</v>
      </c>
      <c r="J453" s="24"/>
      <c r="K453" s="24"/>
      <c r="L453" s="235">
        <f t="shared" si="69"/>
        <v>27.958583515827225</v>
      </c>
      <c r="M453" s="126"/>
      <c r="N453" s="126"/>
      <c r="O453" s="126"/>
      <c r="P453" s="10">
        <f t="shared" si="70"/>
        <v>1.7973164841727751</v>
      </c>
      <c r="Q453" s="10">
        <f t="shared" si="75"/>
        <v>3.2303465442791852</v>
      </c>
      <c r="W453" s="240">
        <f t="shared" si="76"/>
        <v>1.7973164841727751</v>
      </c>
      <c r="X453" s="240">
        <f t="shared" si="77"/>
        <v>6.0402020579877438E-2</v>
      </c>
      <c r="Y453"/>
      <c r="Z453" s="13">
        <f t="shared" si="71"/>
        <v>45.53422936206205</v>
      </c>
      <c r="AA453" s="2"/>
      <c r="AB453" s="68"/>
      <c r="AC453" s="15">
        <f t="shared" si="72"/>
        <v>24.50833213562084</v>
      </c>
    </row>
    <row r="454" spans="1:29">
      <c r="A454" s="84">
        <f>'Q.1 &amp; 4'!K459</f>
        <v>5</v>
      </c>
      <c r="B454" s="141">
        <f>'Q.1 &amp; 4'!L459</f>
        <v>32.670099999999998</v>
      </c>
      <c r="C454" s="221"/>
      <c r="D454" s="23"/>
      <c r="E454" s="24"/>
      <c r="F454" s="22">
        <f t="shared" ref="F454:F517" si="78">A454-$D$6</f>
        <v>1.4925925925925885</v>
      </c>
      <c r="G454" s="22">
        <f t="shared" ref="G454:G517" si="79">B454-$E$6</f>
        <v>-2.0363890695573659</v>
      </c>
      <c r="H454" s="22">
        <f t="shared" si="73"/>
        <v>-3.0394992408578378</v>
      </c>
      <c r="I454" s="22">
        <f t="shared" si="74"/>
        <v>2.2278326474622649</v>
      </c>
      <c r="J454" s="24"/>
      <c r="K454" s="24"/>
      <c r="L454" s="235">
        <f t="shared" ref="L454:L517" si="80">$K$6+$J$6*A454</f>
        <v>27.958583515827225</v>
      </c>
      <c r="M454" s="126"/>
      <c r="N454" s="126"/>
      <c r="O454" s="126"/>
      <c r="P454" s="10">
        <f t="shared" ref="P454:P517" si="81">B454-L454</f>
        <v>4.7115164841727726</v>
      </c>
      <c r="Q454" s="10">
        <f t="shared" si="75"/>
        <v>22.198387580631763</v>
      </c>
      <c r="W454" s="240">
        <f t="shared" si="76"/>
        <v>4.7115164841727726</v>
      </c>
      <c r="X454" s="240">
        <f t="shared" si="77"/>
        <v>0.1442149391698456</v>
      </c>
      <c r="Y454"/>
      <c r="Z454" s="13">
        <f t="shared" ref="Z454:Z517" si="82">(L454-$E$6)^2</f>
        <v>45.53422936206205</v>
      </c>
      <c r="AA454" s="2"/>
      <c r="AB454" s="68"/>
      <c r="AC454" s="15">
        <f t="shared" ref="AC454:AC517" si="83">(B454-$E$6)^2</f>
        <v>4.1468804426127139</v>
      </c>
    </row>
    <row r="455" spans="1:29">
      <c r="A455" s="84">
        <f>'Q.1 &amp; 4'!K460</f>
        <v>2.4</v>
      </c>
      <c r="B455" s="141">
        <f>'Q.1 &amp; 4'!L460</f>
        <v>44.6</v>
      </c>
      <c r="C455" s="221"/>
      <c r="D455" s="23"/>
      <c r="E455" s="24"/>
      <c r="F455" s="22">
        <f t="shared" si="78"/>
        <v>-1.1074074074074116</v>
      </c>
      <c r="G455" s="22">
        <f t="shared" si="79"/>
        <v>9.8935109304426376</v>
      </c>
      <c r="H455" s="22">
        <f t="shared" ref="H455:H518" si="84">F455*G455</f>
        <v>-10.95614728963837</v>
      </c>
      <c r="I455" s="22">
        <f t="shared" ref="I455:I518" si="85">F455^2</f>
        <v>1.2263511659808048</v>
      </c>
      <c r="J455" s="24"/>
      <c r="K455" s="24"/>
      <c r="L455" s="235">
        <f t="shared" si="80"/>
        <v>39.712999641679758</v>
      </c>
      <c r="M455" s="126"/>
      <c r="N455" s="126"/>
      <c r="O455" s="126"/>
      <c r="P455" s="10">
        <f t="shared" si="81"/>
        <v>4.8870003583202433</v>
      </c>
      <c r="Q455" s="10">
        <f t="shared" ref="Q455:Q518" si="86">P455^2</f>
        <v>23.882772502222185</v>
      </c>
      <c r="W455" s="240">
        <f t="shared" ref="W455:W518" si="87">ABS(P455)</f>
        <v>4.8870003583202433</v>
      </c>
      <c r="X455" s="240">
        <f t="shared" ref="X455:X518" si="88">W455/B455</f>
        <v>0.1095739990654763</v>
      </c>
      <c r="Y455"/>
      <c r="Z455" s="13">
        <f t="shared" si="82"/>
        <v>25.065148108773304</v>
      </c>
      <c r="AA455" s="2"/>
      <c r="AB455" s="68"/>
      <c r="AC455" s="15">
        <f t="shared" si="83"/>
        <v>97.881558530787942</v>
      </c>
    </row>
    <row r="456" spans="1:29">
      <c r="A456" s="84">
        <f>'Q.1 &amp; 4'!K461</f>
        <v>2.4</v>
      </c>
      <c r="B456" s="141">
        <f>'Q.1 &amp; 4'!L461</f>
        <v>44.6</v>
      </c>
      <c r="C456" s="221"/>
      <c r="D456" s="23"/>
      <c r="E456" s="24"/>
      <c r="F456" s="22">
        <f t="shared" si="78"/>
        <v>-1.1074074074074116</v>
      </c>
      <c r="G456" s="22">
        <f t="shared" si="79"/>
        <v>9.8935109304426376</v>
      </c>
      <c r="H456" s="22">
        <f t="shared" si="84"/>
        <v>-10.95614728963837</v>
      </c>
      <c r="I456" s="22">
        <f t="shared" si="85"/>
        <v>1.2263511659808048</v>
      </c>
      <c r="J456" s="24"/>
      <c r="K456" s="24"/>
      <c r="L456" s="235">
        <f t="shared" si="80"/>
        <v>39.712999641679758</v>
      </c>
      <c r="M456" s="126"/>
      <c r="N456" s="126"/>
      <c r="O456" s="126"/>
      <c r="P456" s="10">
        <f t="shared" si="81"/>
        <v>4.8870003583202433</v>
      </c>
      <c r="Q456" s="10">
        <f t="shared" si="86"/>
        <v>23.882772502222185</v>
      </c>
      <c r="W456" s="240">
        <f t="shared" si="87"/>
        <v>4.8870003583202433</v>
      </c>
      <c r="X456" s="240">
        <f t="shared" si="88"/>
        <v>0.1095739990654763</v>
      </c>
      <c r="Y456"/>
      <c r="Z456" s="13">
        <f t="shared" si="82"/>
        <v>25.065148108773304</v>
      </c>
      <c r="AA456" s="2"/>
      <c r="AB456" s="68"/>
      <c r="AC456" s="15">
        <f t="shared" si="83"/>
        <v>97.881558530787942</v>
      </c>
    </row>
    <row r="457" spans="1:29">
      <c r="A457" s="84">
        <f>'Q.1 &amp; 4'!K462</f>
        <v>2.7</v>
      </c>
      <c r="B457" s="141">
        <f>'Q.1 &amp; 4'!L462</f>
        <v>39.799999999999997</v>
      </c>
      <c r="C457" s="221"/>
      <c r="D457" s="23"/>
      <c r="E457" s="24"/>
      <c r="F457" s="22">
        <f t="shared" si="78"/>
        <v>-0.80740740740741135</v>
      </c>
      <c r="G457" s="22">
        <f t="shared" si="79"/>
        <v>5.0935109304426334</v>
      </c>
      <c r="H457" s="22">
        <f t="shared" si="84"/>
        <v>-4.1125384549499984</v>
      </c>
      <c r="I457" s="22">
        <f t="shared" si="85"/>
        <v>0.65190672153635754</v>
      </c>
      <c r="J457" s="24"/>
      <c r="K457" s="24"/>
      <c r="L457" s="235">
        <f t="shared" si="80"/>
        <v>38.356720857927542</v>
      </c>
      <c r="M457" s="126"/>
      <c r="N457" s="126"/>
      <c r="O457" s="126"/>
      <c r="P457" s="10">
        <f t="shared" si="81"/>
        <v>1.4432791420724556</v>
      </c>
      <c r="Q457" s="10">
        <f t="shared" si="86"/>
        <v>2.0830546819414035</v>
      </c>
      <c r="W457" s="240">
        <f t="shared" si="87"/>
        <v>1.4432791420724556</v>
      </c>
      <c r="X457" s="240">
        <f t="shared" si="88"/>
        <v>3.626329502694612E-2</v>
      </c>
      <c r="Y457"/>
      <c r="Z457" s="13">
        <f t="shared" si="82"/>
        <v>13.324192108828147</v>
      </c>
      <c r="AA457" s="2"/>
      <c r="AB457" s="68"/>
      <c r="AC457" s="15">
        <f t="shared" si="83"/>
        <v>25.943853598538581</v>
      </c>
    </row>
    <row r="458" spans="1:29">
      <c r="A458" s="84">
        <f>'Q.1 &amp; 4'!K463</f>
        <v>3.5</v>
      </c>
      <c r="B458" s="141">
        <f>'Q.1 &amp; 4'!L463</f>
        <v>38.299999999999997</v>
      </c>
      <c r="C458" s="221"/>
      <c r="D458" s="23"/>
      <c r="E458" s="24"/>
      <c r="F458" s="22">
        <f t="shared" si="78"/>
        <v>-7.4074074074115259E-3</v>
      </c>
      <c r="G458" s="22">
        <f t="shared" si="79"/>
        <v>3.5935109304426334</v>
      </c>
      <c r="H458" s="22">
        <f t="shared" si="84"/>
        <v>-2.6618599484775046E-2</v>
      </c>
      <c r="I458" s="22">
        <f t="shared" si="85"/>
        <v>5.4869684499375142E-5</v>
      </c>
      <c r="J458" s="24"/>
      <c r="K458" s="24"/>
      <c r="L458" s="235">
        <f t="shared" si="80"/>
        <v>34.739977434588305</v>
      </c>
      <c r="M458" s="126"/>
      <c r="N458" s="126"/>
      <c r="O458" s="126"/>
      <c r="P458" s="10">
        <f t="shared" si="81"/>
        <v>3.5600225654116926</v>
      </c>
      <c r="Q458" s="10">
        <f t="shared" si="86"/>
        <v>12.673760666240449</v>
      </c>
      <c r="W458" s="240">
        <f t="shared" si="87"/>
        <v>3.5600225654116926</v>
      </c>
      <c r="X458" s="240">
        <f t="shared" si="88"/>
        <v>9.2950980820148632E-2</v>
      </c>
      <c r="Y458"/>
      <c r="Z458" s="13">
        <f t="shared" si="82"/>
        <v>1.1214705924455365E-3</v>
      </c>
      <c r="AA458" s="2"/>
      <c r="AB458" s="68"/>
      <c r="AC458" s="15">
        <f t="shared" si="83"/>
        <v>12.913320807210681</v>
      </c>
    </row>
    <row r="459" spans="1:29">
      <c r="A459" s="84">
        <f>'Q.1 &amp; 4'!K464</f>
        <v>3.5</v>
      </c>
      <c r="B459" s="141">
        <f>'Q.1 &amp; 4'!L464</f>
        <v>36.556399999999996</v>
      </c>
      <c r="C459" s="221"/>
      <c r="D459" s="23"/>
      <c r="E459" s="24"/>
      <c r="F459" s="22">
        <f t="shared" si="78"/>
        <v>-7.4074074074115259E-3</v>
      </c>
      <c r="G459" s="22">
        <f t="shared" si="79"/>
        <v>1.8499109304426327</v>
      </c>
      <c r="H459" s="22">
        <f t="shared" si="84"/>
        <v>-1.3703043929212306E-2</v>
      </c>
      <c r="I459" s="22">
        <f t="shared" si="85"/>
        <v>5.4869684499375142E-5</v>
      </c>
      <c r="J459" s="24"/>
      <c r="K459" s="24"/>
      <c r="L459" s="235">
        <f t="shared" si="80"/>
        <v>34.739977434588305</v>
      </c>
      <c r="M459" s="126"/>
      <c r="N459" s="126"/>
      <c r="O459" s="126"/>
      <c r="P459" s="10">
        <f t="shared" si="81"/>
        <v>1.8164225654116919</v>
      </c>
      <c r="Q459" s="10">
        <f t="shared" si="86"/>
        <v>3.2993909361367919</v>
      </c>
      <c r="W459" s="240">
        <f t="shared" si="87"/>
        <v>1.8164225654116919</v>
      </c>
      <c r="X459" s="240">
        <f t="shared" si="88"/>
        <v>4.9688223277228938E-2</v>
      </c>
      <c r="Y459"/>
      <c r="Z459" s="13">
        <f t="shared" si="82"/>
        <v>1.1214705924455365E-3</v>
      </c>
      <c r="AA459" s="2"/>
      <c r="AB459" s="68"/>
      <c r="AC459" s="15">
        <f t="shared" si="83"/>
        <v>3.422170450571127</v>
      </c>
    </row>
    <row r="460" spans="1:29">
      <c r="A460" s="84">
        <f>'Q.1 &amp; 4'!K465</f>
        <v>3.5</v>
      </c>
      <c r="B460" s="141">
        <f>'Q.1 &amp; 4'!L465</f>
        <v>34.749400000000001</v>
      </c>
      <c r="C460" s="221"/>
      <c r="D460" s="23"/>
      <c r="E460" s="24"/>
      <c r="F460" s="22">
        <f t="shared" si="78"/>
        <v>-7.4074074074115259E-3</v>
      </c>
      <c r="G460" s="22">
        <f t="shared" si="79"/>
        <v>4.2910930442637607E-2</v>
      </c>
      <c r="H460" s="22">
        <f t="shared" si="84"/>
        <v>-3.1785874401971456E-4</v>
      </c>
      <c r="I460" s="22">
        <f t="shared" si="85"/>
        <v>5.4869684499375142E-5</v>
      </c>
      <c r="J460" s="24"/>
      <c r="K460" s="24"/>
      <c r="L460" s="235">
        <f t="shared" si="80"/>
        <v>34.739977434588305</v>
      </c>
      <c r="M460" s="126"/>
      <c r="N460" s="126"/>
      <c r="O460" s="126"/>
      <c r="P460" s="10">
        <f t="shared" si="81"/>
        <v>9.4225654116968371E-3</v>
      </c>
      <c r="Q460" s="10">
        <f t="shared" si="86"/>
        <v>8.8784738937705589E-5</v>
      </c>
      <c r="W460" s="240">
        <f t="shared" si="87"/>
        <v>9.4225654116968371E-3</v>
      </c>
      <c r="X460" s="240">
        <f t="shared" si="88"/>
        <v>2.711576433462689E-4</v>
      </c>
      <c r="Y460"/>
      <c r="Z460" s="13">
        <f t="shared" si="82"/>
        <v>1.1214705924455365E-3</v>
      </c>
      <c r="AA460" s="2"/>
      <c r="AB460" s="68"/>
      <c r="AC460" s="15">
        <f t="shared" si="83"/>
        <v>1.841347951452883E-3</v>
      </c>
    </row>
    <row r="461" spans="1:29">
      <c r="A461" s="84">
        <f>'Q.1 &amp; 4'!K466</f>
        <v>4.5999999999999996</v>
      </c>
      <c r="B461" s="141">
        <f>'Q.1 &amp; 4'!L466</f>
        <v>34.049900000000001</v>
      </c>
      <c r="C461" s="221"/>
      <c r="D461" s="23"/>
      <c r="E461" s="24"/>
      <c r="F461" s="22">
        <f t="shared" si="78"/>
        <v>1.0925925925925881</v>
      </c>
      <c r="G461" s="22">
        <f t="shared" si="79"/>
        <v>-0.65658906955736285</v>
      </c>
      <c r="H461" s="22">
        <f t="shared" si="84"/>
        <v>-0.71738435377563425</v>
      </c>
      <c r="I461" s="22">
        <f t="shared" si="85"/>
        <v>1.1937585733881932</v>
      </c>
      <c r="J461" s="24"/>
      <c r="K461" s="24"/>
      <c r="L461" s="235">
        <f t="shared" si="80"/>
        <v>29.766955227496847</v>
      </c>
      <c r="M461" s="126"/>
      <c r="N461" s="126"/>
      <c r="O461" s="126"/>
      <c r="P461" s="10">
        <f t="shared" si="81"/>
        <v>4.2829447725031535</v>
      </c>
      <c r="Q461" s="10">
        <f t="shared" si="86"/>
        <v>18.34361592431209</v>
      </c>
      <c r="W461" s="240">
        <f t="shared" si="87"/>
        <v>4.2829447725031535</v>
      </c>
      <c r="X461" s="240">
        <f t="shared" si="88"/>
        <v>0.12578435685576619</v>
      </c>
      <c r="Y461"/>
      <c r="Z461" s="13">
        <f t="shared" si="82"/>
        <v>24.398994576861128</v>
      </c>
      <c r="AA461" s="2"/>
      <c r="AB461" s="68"/>
      <c r="AC461" s="15">
        <f t="shared" si="83"/>
        <v>0.43110920626220345</v>
      </c>
    </row>
    <row r="462" spans="1:29">
      <c r="A462" s="84">
        <f>'Q.1 &amp; 4'!K467</f>
        <v>4.5999999999999996</v>
      </c>
      <c r="B462" s="141">
        <f>'Q.1 &amp; 4'!L467</f>
        <v>33.550899999999999</v>
      </c>
      <c r="C462" s="221"/>
      <c r="D462" s="23"/>
      <c r="E462" s="24"/>
      <c r="F462" s="22">
        <f t="shared" si="78"/>
        <v>1.0925925925925881</v>
      </c>
      <c r="G462" s="22">
        <f t="shared" si="79"/>
        <v>-1.1555890695573652</v>
      </c>
      <c r="H462" s="22">
        <f t="shared" si="84"/>
        <v>-1.2625880574793382</v>
      </c>
      <c r="I462" s="22">
        <f t="shared" si="85"/>
        <v>1.1937585733881932</v>
      </c>
      <c r="J462" s="24"/>
      <c r="K462" s="24"/>
      <c r="L462" s="235">
        <f t="shared" si="80"/>
        <v>29.766955227496847</v>
      </c>
      <c r="M462" s="126"/>
      <c r="N462" s="126"/>
      <c r="O462" s="126"/>
      <c r="P462" s="10">
        <f t="shared" si="81"/>
        <v>3.7839447725031512</v>
      </c>
      <c r="Q462" s="10">
        <f t="shared" si="86"/>
        <v>14.318238041353924</v>
      </c>
      <c r="W462" s="240">
        <f t="shared" si="87"/>
        <v>3.7839447725031512</v>
      </c>
      <c r="X462" s="240">
        <f t="shared" si="88"/>
        <v>0.11278221366649334</v>
      </c>
      <c r="Y462"/>
      <c r="Z462" s="13">
        <f t="shared" si="82"/>
        <v>24.398994576861128</v>
      </c>
      <c r="AA462" s="2"/>
      <c r="AB462" s="68"/>
      <c r="AC462" s="15">
        <f t="shared" si="83"/>
        <v>1.335386097680457</v>
      </c>
    </row>
    <row r="463" spans="1:29">
      <c r="A463" s="84">
        <f>'Q.1 &amp; 4'!K468</f>
        <v>4.5999999999999996</v>
      </c>
      <c r="B463" s="141">
        <f>'Q.1 &amp; 4'!L468</f>
        <v>32.149900000000002</v>
      </c>
      <c r="C463" s="221"/>
      <c r="D463" s="23"/>
      <c r="E463" s="24"/>
      <c r="F463" s="22">
        <f t="shared" si="78"/>
        <v>1.0925925925925881</v>
      </c>
      <c r="G463" s="22">
        <f t="shared" si="79"/>
        <v>-2.5565890695573614</v>
      </c>
      <c r="H463" s="22">
        <f t="shared" si="84"/>
        <v>-2.7933102797015503</v>
      </c>
      <c r="I463" s="22">
        <f t="shared" si="85"/>
        <v>1.1937585733881932</v>
      </c>
      <c r="J463" s="24"/>
      <c r="K463" s="24"/>
      <c r="L463" s="235">
        <f t="shared" si="80"/>
        <v>29.766955227496847</v>
      </c>
      <c r="M463" s="126"/>
      <c r="N463" s="126"/>
      <c r="O463" s="126"/>
      <c r="P463" s="10">
        <f t="shared" si="81"/>
        <v>2.382944772503155</v>
      </c>
      <c r="Q463" s="10">
        <f t="shared" si="86"/>
        <v>5.6784257888001131</v>
      </c>
      <c r="W463" s="240">
        <f t="shared" si="87"/>
        <v>2.382944772503155</v>
      </c>
      <c r="X463" s="240">
        <f t="shared" si="88"/>
        <v>7.4119819113065824E-2</v>
      </c>
      <c r="Y463"/>
      <c r="Z463" s="13">
        <f t="shared" si="82"/>
        <v>24.398994576861128</v>
      </c>
      <c r="AA463" s="2"/>
      <c r="AB463" s="68"/>
      <c r="AC463" s="15">
        <f t="shared" si="83"/>
        <v>6.5361476705801751</v>
      </c>
    </row>
    <row r="464" spans="1:29">
      <c r="A464" s="84">
        <f>'Q.1 &amp; 4'!K469</f>
        <v>4.5999999999999996</v>
      </c>
      <c r="B464" s="141">
        <f>'Q.1 &amp; 4'!L469</f>
        <v>33.550899999999999</v>
      </c>
      <c r="C464" s="221"/>
      <c r="D464" s="23"/>
      <c r="E464" s="24"/>
      <c r="F464" s="22">
        <f t="shared" si="78"/>
        <v>1.0925925925925881</v>
      </c>
      <c r="G464" s="22">
        <f t="shared" si="79"/>
        <v>-1.1555890695573652</v>
      </c>
      <c r="H464" s="22">
        <f t="shared" si="84"/>
        <v>-1.2625880574793382</v>
      </c>
      <c r="I464" s="22">
        <f t="shared" si="85"/>
        <v>1.1937585733881932</v>
      </c>
      <c r="J464" s="24"/>
      <c r="K464" s="24"/>
      <c r="L464" s="235">
        <f t="shared" si="80"/>
        <v>29.766955227496847</v>
      </c>
      <c r="M464" s="126"/>
      <c r="N464" s="126"/>
      <c r="O464" s="126"/>
      <c r="P464" s="10">
        <f t="shared" si="81"/>
        <v>3.7839447725031512</v>
      </c>
      <c r="Q464" s="10">
        <f t="shared" si="86"/>
        <v>14.318238041353924</v>
      </c>
      <c r="W464" s="240">
        <f t="shared" si="87"/>
        <v>3.7839447725031512</v>
      </c>
      <c r="X464" s="240">
        <f t="shared" si="88"/>
        <v>0.11278221366649334</v>
      </c>
      <c r="Y464"/>
      <c r="Z464" s="13">
        <f t="shared" si="82"/>
        <v>24.398994576861128</v>
      </c>
      <c r="AA464" s="2"/>
      <c r="AB464" s="68"/>
      <c r="AC464" s="15">
        <f t="shared" si="83"/>
        <v>1.335386097680457</v>
      </c>
    </row>
    <row r="465" spans="1:29">
      <c r="A465" s="84">
        <f>'Q.1 &amp; 4'!K470</f>
        <v>4.5999999999999996</v>
      </c>
      <c r="B465" s="141">
        <f>'Q.1 &amp; 4'!L470</f>
        <v>32.149900000000002</v>
      </c>
      <c r="C465" s="221"/>
      <c r="D465" s="23"/>
      <c r="E465" s="24"/>
      <c r="F465" s="22">
        <f t="shared" si="78"/>
        <v>1.0925925925925881</v>
      </c>
      <c r="G465" s="22">
        <f t="shared" si="79"/>
        <v>-2.5565890695573614</v>
      </c>
      <c r="H465" s="22">
        <f t="shared" si="84"/>
        <v>-2.7933102797015503</v>
      </c>
      <c r="I465" s="22">
        <f t="shared" si="85"/>
        <v>1.1937585733881932</v>
      </c>
      <c r="J465" s="24"/>
      <c r="K465" s="24"/>
      <c r="L465" s="235">
        <f t="shared" si="80"/>
        <v>29.766955227496847</v>
      </c>
      <c r="M465" s="126"/>
      <c r="N465" s="126"/>
      <c r="O465" s="126"/>
      <c r="P465" s="10">
        <f t="shared" si="81"/>
        <v>2.382944772503155</v>
      </c>
      <c r="Q465" s="10">
        <f t="shared" si="86"/>
        <v>5.6784257888001131</v>
      </c>
      <c r="W465" s="240">
        <f t="shared" si="87"/>
        <v>2.382944772503155</v>
      </c>
      <c r="X465" s="240">
        <f t="shared" si="88"/>
        <v>7.4119819113065824E-2</v>
      </c>
      <c r="Y465"/>
      <c r="Z465" s="13">
        <f t="shared" si="82"/>
        <v>24.398994576861128</v>
      </c>
      <c r="AA465" s="2"/>
      <c r="AB465" s="68"/>
      <c r="AC465" s="15">
        <f t="shared" si="83"/>
        <v>6.5361476705801751</v>
      </c>
    </row>
    <row r="466" spans="1:29">
      <c r="A466" s="84">
        <f>'Q.1 &amp; 4'!K471</f>
        <v>5</v>
      </c>
      <c r="B466" s="141">
        <f>'Q.1 &amp; 4'!L471</f>
        <v>30.3</v>
      </c>
      <c r="C466" s="221"/>
      <c r="D466" s="23"/>
      <c r="E466" s="24"/>
      <c r="F466" s="22">
        <f t="shared" si="78"/>
        <v>1.4925925925925885</v>
      </c>
      <c r="G466" s="22">
        <f t="shared" si="79"/>
        <v>-4.4064890695573631</v>
      </c>
      <c r="H466" s="22">
        <f t="shared" si="84"/>
        <v>-6.5770929445615272</v>
      </c>
      <c r="I466" s="22">
        <f t="shared" si="85"/>
        <v>2.2278326474622649</v>
      </c>
      <c r="J466" s="24"/>
      <c r="K466" s="24"/>
      <c r="L466" s="235">
        <f t="shared" si="80"/>
        <v>27.958583515827225</v>
      </c>
      <c r="M466" s="126"/>
      <c r="N466" s="126"/>
      <c r="O466" s="126"/>
      <c r="P466" s="10">
        <f t="shared" si="81"/>
        <v>2.3414164841727754</v>
      </c>
      <c r="Q466" s="10">
        <f t="shared" si="86"/>
        <v>5.4822311523560003</v>
      </c>
      <c r="W466" s="240">
        <f t="shared" si="87"/>
        <v>2.3414164841727754</v>
      </c>
      <c r="X466" s="240">
        <f t="shared" si="88"/>
        <v>7.7274471424844074E-2</v>
      </c>
      <c r="Y466"/>
      <c r="Z466" s="13">
        <f t="shared" si="82"/>
        <v>45.53422936206205</v>
      </c>
      <c r="AA466" s="2"/>
      <c r="AB466" s="68"/>
      <c r="AC466" s="15">
        <f t="shared" si="83"/>
        <v>19.417145920128515</v>
      </c>
    </row>
    <row r="467" spans="1:29">
      <c r="A467" s="84">
        <f>'Q.1 &amp; 4'!K472</f>
        <v>3</v>
      </c>
      <c r="B467" s="141">
        <f>'Q.1 &amp; 4'!L472</f>
        <v>35.465499999999999</v>
      </c>
      <c r="C467" s="221"/>
      <c r="D467" s="23"/>
      <c r="E467" s="24"/>
      <c r="F467" s="22">
        <f t="shared" si="78"/>
        <v>-0.50740740740741153</v>
      </c>
      <c r="G467" s="22">
        <f t="shared" si="79"/>
        <v>0.7590109304426349</v>
      </c>
      <c r="H467" s="22">
        <f t="shared" si="84"/>
        <v>-0.38512776840978452</v>
      </c>
      <c r="I467" s="22">
        <f t="shared" si="85"/>
        <v>0.25746227709191088</v>
      </c>
      <c r="J467" s="24"/>
      <c r="K467" s="24"/>
      <c r="L467" s="235">
        <f t="shared" si="80"/>
        <v>37.000442074175325</v>
      </c>
      <c r="M467" s="126"/>
      <c r="N467" s="126"/>
      <c r="O467" s="126"/>
      <c r="P467" s="10">
        <f t="shared" si="81"/>
        <v>-1.5349420741753264</v>
      </c>
      <c r="Q467" s="10">
        <f t="shared" si="86"/>
        <v>2.3560471710736532</v>
      </c>
      <c r="W467" s="240">
        <f t="shared" si="87"/>
        <v>1.5349420741753264</v>
      </c>
      <c r="X467" s="240">
        <f t="shared" si="88"/>
        <v>4.3279865620823796E-2</v>
      </c>
      <c r="Y467"/>
      <c r="Z467" s="13">
        <f t="shared" si="82"/>
        <v>5.2622203873957725</v>
      </c>
      <c r="AA467" s="2"/>
      <c r="AB467" s="68"/>
      <c r="AC467" s="15">
        <f t="shared" si="83"/>
        <v>0.57609759253139436</v>
      </c>
    </row>
    <row r="468" spans="1:29">
      <c r="A468" s="84">
        <f>'Q.1 &amp; 4'!K473</f>
        <v>2.5</v>
      </c>
      <c r="B468" s="141">
        <f>'Q.1 &amp; 4'!L473</f>
        <v>42.908000000000001</v>
      </c>
      <c r="C468" s="221"/>
      <c r="D468" s="23"/>
      <c r="E468" s="24"/>
      <c r="F468" s="22">
        <f t="shared" si="78"/>
        <v>-1.0074074074074115</v>
      </c>
      <c r="G468" s="22">
        <f t="shared" si="79"/>
        <v>8.2015109304426375</v>
      </c>
      <c r="H468" s="22">
        <f t="shared" si="84"/>
        <v>-8.262262863260764</v>
      </c>
      <c r="I468" s="22">
        <f t="shared" si="85"/>
        <v>1.0148696844993224</v>
      </c>
      <c r="J468" s="24"/>
      <c r="K468" s="24"/>
      <c r="L468" s="235">
        <f t="shared" si="80"/>
        <v>39.260906713762353</v>
      </c>
      <c r="M468" s="126"/>
      <c r="N468" s="126"/>
      <c r="O468" s="126"/>
      <c r="P468" s="10">
        <f t="shared" si="81"/>
        <v>3.6470932862376486</v>
      </c>
      <c r="Q468" s="10">
        <f t="shared" si="86"/>
        <v>13.301289438519731</v>
      </c>
      <c r="W468" s="240">
        <f t="shared" si="87"/>
        <v>3.6470932862376486</v>
      </c>
      <c r="X468" s="240">
        <f t="shared" si="88"/>
        <v>8.4997979077040375E-2</v>
      </c>
      <c r="Y468"/>
      <c r="Z468" s="13">
        <f t="shared" si="82"/>
        <v>20.742720077845721</v>
      </c>
      <c r="AA468" s="2"/>
      <c r="AB468" s="68"/>
      <c r="AC468" s="15">
        <f t="shared" si="83"/>
        <v>67.264781542170056</v>
      </c>
    </row>
    <row r="469" spans="1:29">
      <c r="A469" s="84">
        <f>'Q.1 &amp; 4'!K474</f>
        <v>2.5</v>
      </c>
      <c r="B469" s="141">
        <f>'Q.1 &amp; 4'!L474</f>
        <v>40.200000000000003</v>
      </c>
      <c r="C469" s="221"/>
      <c r="D469" s="23"/>
      <c r="E469" s="24"/>
      <c r="F469" s="22">
        <f t="shared" si="78"/>
        <v>-1.0074074074074115</v>
      </c>
      <c r="G469" s="22">
        <f t="shared" si="79"/>
        <v>5.4935109304426391</v>
      </c>
      <c r="H469" s="22">
        <f t="shared" si="84"/>
        <v>-5.5342036040014957</v>
      </c>
      <c r="I469" s="22">
        <f t="shared" si="85"/>
        <v>1.0148696844993224</v>
      </c>
      <c r="J469" s="24"/>
      <c r="K469" s="24"/>
      <c r="L469" s="235">
        <f t="shared" si="80"/>
        <v>39.260906713762353</v>
      </c>
      <c r="M469" s="126"/>
      <c r="N469" s="126"/>
      <c r="O469" s="126"/>
      <c r="P469" s="10">
        <f t="shared" si="81"/>
        <v>0.9390932862376502</v>
      </c>
      <c r="Q469" s="10">
        <f t="shared" si="86"/>
        <v>0.88189620025662918</v>
      </c>
      <c r="W469" s="240">
        <f t="shared" si="87"/>
        <v>0.9390932862376502</v>
      </c>
      <c r="X469" s="240">
        <f t="shared" si="88"/>
        <v>2.3360529508399258E-2</v>
      </c>
      <c r="Y469"/>
      <c r="Z469" s="13">
        <f t="shared" si="82"/>
        <v>20.742720077845721</v>
      </c>
      <c r="AA469" s="2"/>
      <c r="AB469" s="68"/>
      <c r="AC469" s="15">
        <f t="shared" si="83"/>
        <v>30.17866234289275</v>
      </c>
    </row>
    <row r="470" spans="1:29">
      <c r="A470" s="84">
        <f>'Q.1 &amp; 4'!K475</f>
        <v>3</v>
      </c>
      <c r="B470" s="141">
        <f>'Q.1 &amp; 4'!L475</f>
        <v>37.9</v>
      </c>
      <c r="C470" s="221"/>
      <c r="D470" s="23"/>
      <c r="E470" s="24"/>
      <c r="F470" s="22">
        <f t="shared" si="78"/>
        <v>-0.50740740740741153</v>
      </c>
      <c r="G470" s="22">
        <f t="shared" si="79"/>
        <v>3.1935109304426348</v>
      </c>
      <c r="H470" s="22">
        <f t="shared" si="84"/>
        <v>-1.6204111017431277</v>
      </c>
      <c r="I470" s="22">
        <f t="shared" si="85"/>
        <v>0.25746227709191088</v>
      </c>
      <c r="J470" s="24"/>
      <c r="K470" s="24"/>
      <c r="L470" s="235">
        <f t="shared" si="80"/>
        <v>37.000442074175325</v>
      </c>
      <c r="M470" s="126"/>
      <c r="N470" s="126"/>
      <c r="O470" s="126"/>
      <c r="P470" s="10">
        <f t="shared" si="81"/>
        <v>0.89955792582467353</v>
      </c>
      <c r="Q470" s="10">
        <f t="shared" si="86"/>
        <v>0.80920446191398887</v>
      </c>
      <c r="W470" s="240">
        <f t="shared" si="87"/>
        <v>0.89955792582467353</v>
      </c>
      <c r="X470" s="240">
        <f t="shared" si="88"/>
        <v>2.3735037620703787E-2</v>
      </c>
      <c r="Y470"/>
      <c r="Z470" s="13">
        <f t="shared" si="82"/>
        <v>5.2622203873957725</v>
      </c>
      <c r="AA470" s="2"/>
      <c r="AB470" s="68"/>
      <c r="AC470" s="15">
        <f t="shared" si="83"/>
        <v>10.198512062856583</v>
      </c>
    </row>
    <row r="471" spans="1:29">
      <c r="A471" s="84">
        <f>'Q.1 &amp; 4'!K476</f>
        <v>2.5</v>
      </c>
      <c r="B471" s="141">
        <f>'Q.1 &amp; 4'!L476</f>
        <v>51.6</v>
      </c>
      <c r="C471" s="221"/>
      <c r="D471" s="23"/>
      <c r="E471" s="24"/>
      <c r="F471" s="22">
        <f t="shared" si="78"/>
        <v>-1.0074074074074115</v>
      </c>
      <c r="G471" s="22">
        <f t="shared" si="79"/>
        <v>16.893510930442638</v>
      </c>
      <c r="H471" s="22">
        <f t="shared" si="84"/>
        <v>-17.018648048445986</v>
      </c>
      <c r="I471" s="22">
        <f t="shared" si="85"/>
        <v>1.0148696844993224</v>
      </c>
      <c r="J471" s="24"/>
      <c r="K471" s="24"/>
      <c r="L471" s="235">
        <f t="shared" si="80"/>
        <v>39.260906713762353</v>
      </c>
      <c r="M471" s="126"/>
      <c r="N471" s="126"/>
      <c r="O471" s="126"/>
      <c r="P471" s="10">
        <f t="shared" si="81"/>
        <v>12.339093286237649</v>
      </c>
      <c r="Q471" s="10">
        <f t="shared" si="86"/>
        <v>152.25322312647501</v>
      </c>
      <c r="W471" s="240">
        <f t="shared" si="87"/>
        <v>12.339093286237649</v>
      </c>
      <c r="X471" s="240">
        <f t="shared" si="88"/>
        <v>0.23912971484956683</v>
      </c>
      <c r="Y471"/>
      <c r="Z471" s="13">
        <f t="shared" si="82"/>
        <v>20.742720077845721</v>
      </c>
      <c r="AA471" s="2"/>
      <c r="AB471" s="68"/>
      <c r="AC471" s="15">
        <f t="shared" si="83"/>
        <v>285.39071155698485</v>
      </c>
    </row>
    <row r="472" spans="1:29">
      <c r="A472" s="84">
        <f>'Q.1 &amp; 4'!K477</f>
        <v>2.5</v>
      </c>
      <c r="B472" s="141">
        <f>'Q.1 &amp; 4'!L477</f>
        <v>47.649299999999997</v>
      </c>
      <c r="C472" s="221"/>
      <c r="D472" s="23"/>
      <c r="E472" s="24"/>
      <c r="F472" s="22">
        <f t="shared" si="78"/>
        <v>-1.0074074074074115</v>
      </c>
      <c r="G472" s="22">
        <f t="shared" si="79"/>
        <v>12.942810930442633</v>
      </c>
      <c r="H472" s="22">
        <f t="shared" si="84"/>
        <v>-13.03868360400152</v>
      </c>
      <c r="I472" s="22">
        <f t="shared" si="85"/>
        <v>1.0148696844993224</v>
      </c>
      <c r="J472" s="24"/>
      <c r="K472" s="24"/>
      <c r="L472" s="235">
        <f t="shared" si="80"/>
        <v>39.260906713762353</v>
      </c>
      <c r="M472" s="126"/>
      <c r="N472" s="126"/>
      <c r="O472" s="126"/>
      <c r="P472" s="10">
        <f t="shared" si="81"/>
        <v>8.388393286237644</v>
      </c>
      <c r="Q472" s="10">
        <f t="shared" si="86"/>
        <v>70.365141924596784</v>
      </c>
      <c r="W472" s="240">
        <f t="shared" si="87"/>
        <v>8.388393286237644</v>
      </c>
      <c r="X472" s="240">
        <f t="shared" si="88"/>
        <v>0.17604441799224008</v>
      </c>
      <c r="Y472"/>
      <c r="Z472" s="13">
        <f t="shared" si="82"/>
        <v>20.742720077845721</v>
      </c>
      <c r="AA472" s="2"/>
      <c r="AB472" s="68"/>
      <c r="AC472" s="15">
        <f t="shared" si="83"/>
        <v>167.5163547811853</v>
      </c>
    </row>
    <row r="473" spans="1:29">
      <c r="A473" s="84">
        <f>'Q.1 &amp; 4'!K478</f>
        <v>2.5</v>
      </c>
      <c r="B473" s="141">
        <f>'Q.1 &amp; 4'!L478</f>
        <v>44.2</v>
      </c>
      <c r="C473" s="221"/>
      <c r="D473" s="23"/>
      <c r="E473" s="24"/>
      <c r="F473" s="22">
        <f t="shared" si="78"/>
        <v>-1.0074074074074115</v>
      </c>
      <c r="G473" s="22">
        <f t="shared" si="79"/>
        <v>9.4935109304426391</v>
      </c>
      <c r="H473" s="22">
        <f t="shared" si="84"/>
        <v>-9.5638332336311418</v>
      </c>
      <c r="I473" s="22">
        <f t="shared" si="85"/>
        <v>1.0148696844993224</v>
      </c>
      <c r="J473" s="24"/>
      <c r="K473" s="24"/>
      <c r="L473" s="235">
        <f t="shared" si="80"/>
        <v>39.260906713762353</v>
      </c>
      <c r="M473" s="126"/>
      <c r="N473" s="126"/>
      <c r="O473" s="126"/>
      <c r="P473" s="10">
        <f t="shared" si="81"/>
        <v>4.9390932862376502</v>
      </c>
      <c r="Q473" s="10">
        <f t="shared" si="86"/>
        <v>24.394642490157832</v>
      </c>
      <c r="W473" s="240">
        <f t="shared" si="87"/>
        <v>4.9390932862376502</v>
      </c>
      <c r="X473" s="240">
        <f t="shared" si="88"/>
        <v>0.11174419199632692</v>
      </c>
      <c r="Y473"/>
      <c r="Z473" s="13">
        <f t="shared" si="82"/>
        <v>20.742720077845721</v>
      </c>
      <c r="AA473" s="2"/>
      <c r="AB473" s="68"/>
      <c r="AC473" s="15">
        <f t="shared" si="83"/>
        <v>90.126749786433862</v>
      </c>
    </row>
    <row r="474" spans="1:29">
      <c r="A474" s="84">
        <f>'Q.1 &amp; 4'!K479</f>
        <v>3.5</v>
      </c>
      <c r="B474" s="141">
        <f>'Q.1 &amp; 4'!L479</f>
        <v>33.5</v>
      </c>
      <c r="C474" s="221"/>
      <c r="D474" s="23"/>
      <c r="E474" s="24"/>
      <c r="F474" s="22">
        <f t="shared" si="78"/>
        <v>-7.4074074074115259E-3</v>
      </c>
      <c r="G474" s="22">
        <f t="shared" si="79"/>
        <v>-1.2064890695573638</v>
      </c>
      <c r="H474" s="22">
        <f t="shared" si="84"/>
        <v>8.9369560708002557E-3</v>
      </c>
      <c r="I474" s="22">
        <f t="shared" si="85"/>
        <v>5.4869684499375142E-5</v>
      </c>
      <c r="J474" s="24"/>
      <c r="K474" s="24"/>
      <c r="L474" s="235">
        <f t="shared" si="80"/>
        <v>34.739977434588305</v>
      </c>
      <c r="M474" s="126"/>
      <c r="N474" s="126"/>
      <c r="O474" s="126"/>
      <c r="P474" s="10">
        <f t="shared" si="81"/>
        <v>-1.2399774345883046</v>
      </c>
      <c r="Q474" s="10">
        <f t="shared" si="86"/>
        <v>1.5375440382881931</v>
      </c>
      <c r="W474" s="240">
        <f t="shared" si="87"/>
        <v>1.2399774345883046</v>
      </c>
      <c r="X474" s="240">
        <f t="shared" si="88"/>
        <v>3.7014251778755357E-2</v>
      </c>
      <c r="Y474"/>
      <c r="Z474" s="13">
        <f t="shared" si="82"/>
        <v>1.1214705924455365E-3</v>
      </c>
      <c r="AA474" s="2"/>
      <c r="AB474" s="68"/>
      <c r="AC474" s="15">
        <f t="shared" si="83"/>
        <v>1.4556158749613934</v>
      </c>
    </row>
    <row r="475" spans="1:29">
      <c r="A475" s="84">
        <f>'Q.1 &amp; 4'!K480</f>
        <v>3.5</v>
      </c>
      <c r="B475" s="141">
        <f>'Q.1 &amp; 4'!L480</f>
        <v>37.4</v>
      </c>
      <c r="C475" s="221"/>
      <c r="D475" s="23"/>
      <c r="E475" s="24"/>
      <c r="F475" s="22">
        <f t="shared" si="78"/>
        <v>-7.4074074074115259E-3</v>
      </c>
      <c r="G475" s="22">
        <f t="shared" si="79"/>
        <v>2.6935109304426348</v>
      </c>
      <c r="H475" s="22">
        <f t="shared" si="84"/>
        <v>-1.9951932818104683E-2</v>
      </c>
      <c r="I475" s="22">
        <f t="shared" si="85"/>
        <v>5.4869684499375142E-5</v>
      </c>
      <c r="J475" s="24"/>
      <c r="K475" s="24"/>
      <c r="L475" s="235">
        <f t="shared" si="80"/>
        <v>34.739977434588305</v>
      </c>
      <c r="M475" s="126"/>
      <c r="N475" s="126"/>
      <c r="O475" s="126"/>
      <c r="P475" s="10">
        <f t="shared" si="81"/>
        <v>2.660022565411694</v>
      </c>
      <c r="Q475" s="10">
        <f t="shared" si="86"/>
        <v>7.0757200484994103</v>
      </c>
      <c r="W475" s="240">
        <f t="shared" si="87"/>
        <v>2.660022565411694</v>
      </c>
      <c r="X475" s="240">
        <f t="shared" si="88"/>
        <v>7.1123598005660274E-2</v>
      </c>
      <c r="Y475"/>
      <c r="Z475" s="13">
        <f t="shared" si="82"/>
        <v>1.1214705924455365E-3</v>
      </c>
      <c r="AA475" s="2"/>
      <c r="AB475" s="68"/>
      <c r="AC475" s="15">
        <f t="shared" si="83"/>
        <v>7.2550011324139483</v>
      </c>
    </row>
    <row r="476" spans="1:29">
      <c r="A476" s="84">
        <f>'Q.1 &amp; 4'!K481</f>
        <v>2.5</v>
      </c>
      <c r="B476" s="141">
        <f>'Q.1 &amp; 4'!L481</f>
        <v>40.193100000000001</v>
      </c>
      <c r="C476" s="221"/>
      <c r="D476" s="23"/>
      <c r="E476" s="24"/>
      <c r="F476" s="22">
        <f t="shared" si="78"/>
        <v>-1.0074074074074115</v>
      </c>
      <c r="G476" s="22">
        <f t="shared" si="79"/>
        <v>5.4866109304426374</v>
      </c>
      <c r="H476" s="22">
        <f t="shared" si="84"/>
        <v>-5.5272524928903835</v>
      </c>
      <c r="I476" s="22">
        <f t="shared" si="85"/>
        <v>1.0148696844993224</v>
      </c>
      <c r="J476" s="24"/>
      <c r="K476" s="24"/>
      <c r="L476" s="235">
        <f t="shared" si="80"/>
        <v>39.260906713762353</v>
      </c>
      <c r="M476" s="126"/>
      <c r="N476" s="126"/>
      <c r="O476" s="126"/>
      <c r="P476" s="10">
        <f t="shared" si="81"/>
        <v>0.93219328623764852</v>
      </c>
      <c r="Q476" s="10">
        <f t="shared" si="86"/>
        <v>0.86898432290654648</v>
      </c>
      <c r="W476" s="240">
        <f t="shared" si="87"/>
        <v>0.93219328623764852</v>
      </c>
      <c r="X476" s="240">
        <f t="shared" si="88"/>
        <v>2.3192868582857469E-2</v>
      </c>
      <c r="Y476"/>
      <c r="Z476" s="13">
        <f t="shared" si="82"/>
        <v>20.742720077845721</v>
      </c>
      <c r="AA476" s="2"/>
      <c r="AB476" s="68"/>
      <c r="AC476" s="15">
        <f t="shared" si="83"/>
        <v>30.102899502052622</v>
      </c>
    </row>
    <row r="477" spans="1:29">
      <c r="A477" s="84">
        <f>'Q.1 &amp; 4'!K482</f>
        <v>2.5</v>
      </c>
      <c r="B477" s="141">
        <f>'Q.1 &amp; 4'!L482</f>
        <v>41.664200000000001</v>
      </c>
      <c r="C477" s="221"/>
      <c r="D477" s="23"/>
      <c r="E477" s="24"/>
      <c r="F477" s="22">
        <f t="shared" si="78"/>
        <v>-1.0074074074074115</v>
      </c>
      <c r="G477" s="22">
        <f t="shared" si="79"/>
        <v>6.9577109304426372</v>
      </c>
      <c r="H477" s="22">
        <f t="shared" si="84"/>
        <v>-7.009249529927426</v>
      </c>
      <c r="I477" s="22">
        <f t="shared" si="85"/>
        <v>1.0148696844993224</v>
      </c>
      <c r="J477" s="24"/>
      <c r="K477" s="24"/>
      <c r="L477" s="235">
        <f t="shared" si="80"/>
        <v>39.260906713762353</v>
      </c>
      <c r="M477" s="126"/>
      <c r="N477" s="126"/>
      <c r="O477" s="126"/>
      <c r="P477" s="10">
        <f t="shared" si="81"/>
        <v>2.4032932862376484</v>
      </c>
      <c r="Q477" s="10">
        <f t="shared" si="86"/>
        <v>5.775818619674955</v>
      </c>
      <c r="W477" s="240">
        <f t="shared" si="87"/>
        <v>2.4032932862376484</v>
      </c>
      <c r="X477" s="240">
        <f t="shared" si="88"/>
        <v>5.7682453670960879E-2</v>
      </c>
      <c r="Y477"/>
      <c r="Z477" s="13">
        <f t="shared" si="82"/>
        <v>20.742720077845721</v>
      </c>
      <c r="AA477" s="2"/>
      <c r="AB477" s="68"/>
      <c r="AC477" s="15">
        <f t="shared" si="83"/>
        <v>48.409741391600946</v>
      </c>
    </row>
    <row r="478" spans="1:29">
      <c r="A478" s="84">
        <f>'Q.1 &amp; 4'!K483</f>
        <v>3.7</v>
      </c>
      <c r="B478" s="141">
        <f>'Q.1 &amp; 4'!L483</f>
        <v>34.823500000000003</v>
      </c>
      <c r="C478" s="221"/>
      <c r="D478" s="23"/>
      <c r="E478" s="24"/>
      <c r="F478" s="22">
        <f t="shared" si="78"/>
        <v>0.19259259259258865</v>
      </c>
      <c r="G478" s="22">
        <f t="shared" si="79"/>
        <v>0.11701093044263899</v>
      </c>
      <c r="H478" s="22">
        <f t="shared" si="84"/>
        <v>2.2535438455618902E-2</v>
      </c>
      <c r="I478" s="22">
        <f t="shared" si="85"/>
        <v>3.7091906721534833E-2</v>
      </c>
      <c r="J478" s="24"/>
      <c r="K478" s="24"/>
      <c r="L478" s="235">
        <f t="shared" si="80"/>
        <v>33.835791578753486</v>
      </c>
      <c r="M478" s="126"/>
      <c r="N478" s="126"/>
      <c r="O478" s="126"/>
      <c r="P478" s="10">
        <f t="shared" si="81"/>
        <v>0.98770842124651637</v>
      </c>
      <c r="Q478" s="10">
        <f t="shared" si="86"/>
        <v>0.97556792540128578</v>
      </c>
      <c r="W478" s="240">
        <f t="shared" si="87"/>
        <v>0.98770842124651637</v>
      </c>
      <c r="X478" s="240">
        <f t="shared" si="88"/>
        <v>2.8363272538559199E-2</v>
      </c>
      <c r="Y478"/>
      <c r="Z478" s="13">
        <f t="shared" si="82"/>
        <v>0.75811412049216809</v>
      </c>
      <c r="AA478" s="2"/>
      <c r="AB478" s="68"/>
      <c r="AC478" s="15">
        <f t="shared" si="83"/>
        <v>1.36915578430521E-2</v>
      </c>
    </row>
    <row r="479" spans="1:29">
      <c r="A479" s="84">
        <f>'Q.1 &amp; 4'!K484</f>
        <v>2.2999999999999998</v>
      </c>
      <c r="B479" s="141">
        <f>'Q.1 &amp; 4'!L484</f>
        <v>34.700000000000003</v>
      </c>
      <c r="C479" s="221"/>
      <c r="D479" s="23"/>
      <c r="E479" s="24"/>
      <c r="F479" s="22">
        <f t="shared" si="78"/>
        <v>-1.2074074074074117</v>
      </c>
      <c r="G479" s="22">
        <f t="shared" si="79"/>
        <v>-6.4890695573609491E-3</v>
      </c>
      <c r="H479" s="22">
        <f t="shared" si="84"/>
        <v>7.8349506507395441E-3</v>
      </c>
      <c r="I479" s="22">
        <f t="shared" si="85"/>
        <v>1.4578326474622874</v>
      </c>
      <c r="J479" s="24"/>
      <c r="K479" s="24"/>
      <c r="L479" s="235">
        <f t="shared" si="80"/>
        <v>40.165092569597164</v>
      </c>
      <c r="M479" s="126"/>
      <c r="N479" s="126"/>
      <c r="O479" s="126"/>
      <c r="P479" s="10">
        <f t="shared" si="81"/>
        <v>-5.4650925695971608</v>
      </c>
      <c r="Q479" s="10">
        <f t="shared" si="86"/>
        <v>29.867236794266098</v>
      </c>
      <c r="W479" s="240">
        <f t="shared" si="87"/>
        <v>5.4650925695971608</v>
      </c>
      <c r="X479" s="240">
        <f t="shared" si="88"/>
        <v>0.15749546310078272</v>
      </c>
      <c r="Y479"/>
      <c r="Z479" s="13">
        <f t="shared" si="82"/>
        <v>29.796352170646752</v>
      </c>
      <c r="AA479" s="2"/>
      <c r="AB479" s="68"/>
      <c r="AC479" s="15">
        <f t="shared" si="83"/>
        <v>4.2108023720268626E-5</v>
      </c>
    </row>
    <row r="480" spans="1:29">
      <c r="A480" s="84">
        <f>'Q.1 &amp; 4'!K485</f>
        <v>3.5</v>
      </c>
      <c r="B480" s="141">
        <f>'Q.1 &amp; 4'!L485</f>
        <v>36.200000000000003</v>
      </c>
      <c r="C480" s="221"/>
      <c r="D480" s="23"/>
      <c r="E480" s="24"/>
      <c r="F480" s="22">
        <f t="shared" si="78"/>
        <v>-7.4074074074115259E-3</v>
      </c>
      <c r="G480" s="22">
        <f t="shared" si="79"/>
        <v>1.4935109304426391</v>
      </c>
      <c r="H480" s="22">
        <f t="shared" si="84"/>
        <v>-1.1063043929210885E-2</v>
      </c>
      <c r="I480" s="22">
        <f t="shared" si="85"/>
        <v>5.4869684499375142E-5</v>
      </c>
      <c r="J480" s="24"/>
      <c r="K480" s="24"/>
      <c r="L480" s="235">
        <f t="shared" si="80"/>
        <v>34.739977434588305</v>
      </c>
      <c r="M480" s="126"/>
      <c r="N480" s="126"/>
      <c r="O480" s="126"/>
      <c r="P480" s="10">
        <f t="shared" si="81"/>
        <v>1.4600225654116983</v>
      </c>
      <c r="Q480" s="10">
        <f t="shared" si="86"/>
        <v>2.1316658915113567</v>
      </c>
      <c r="W480" s="240">
        <f t="shared" si="87"/>
        <v>1.4600225654116983</v>
      </c>
      <c r="X480" s="240">
        <f t="shared" si="88"/>
        <v>4.0332115066621495E-2</v>
      </c>
      <c r="Y480"/>
      <c r="Z480" s="13">
        <f t="shared" si="82"/>
        <v>1.1214705924455365E-3</v>
      </c>
      <c r="AA480" s="2"/>
      <c r="AB480" s="68"/>
      <c r="AC480" s="15">
        <f t="shared" si="83"/>
        <v>2.2305748993516374</v>
      </c>
    </row>
    <row r="481" spans="1:29">
      <c r="A481" s="84">
        <f>'Q.1 &amp; 4'!K486</f>
        <v>3.5</v>
      </c>
      <c r="B481" s="141">
        <f>'Q.1 &amp; 4'!L486</f>
        <v>33.200000000000003</v>
      </c>
      <c r="C481" s="221"/>
      <c r="D481" s="23"/>
      <c r="E481" s="24"/>
      <c r="F481" s="22">
        <f t="shared" si="78"/>
        <v>-7.4074074074115259E-3</v>
      </c>
      <c r="G481" s="22">
        <f t="shared" si="79"/>
        <v>-1.5064890695573609</v>
      </c>
      <c r="H481" s="22">
        <f t="shared" si="84"/>
        <v>1.1159178293023693E-2</v>
      </c>
      <c r="I481" s="22">
        <f t="shared" si="85"/>
        <v>5.4869684499375142E-5</v>
      </c>
      <c r="J481" s="24"/>
      <c r="K481" s="24"/>
      <c r="L481" s="235">
        <f t="shared" si="80"/>
        <v>34.739977434588305</v>
      </c>
      <c r="M481" s="126"/>
      <c r="N481" s="126"/>
      <c r="O481" s="126"/>
      <c r="P481" s="10">
        <f t="shared" si="81"/>
        <v>-1.5399774345883017</v>
      </c>
      <c r="Q481" s="10">
        <f t="shared" si="86"/>
        <v>2.371530499041167</v>
      </c>
      <c r="W481" s="240">
        <f t="shared" si="87"/>
        <v>1.5399774345883017</v>
      </c>
      <c r="X481" s="240">
        <f t="shared" si="88"/>
        <v>4.6384862487599446E-2</v>
      </c>
      <c r="Y481"/>
      <c r="Z481" s="13">
        <f t="shared" si="82"/>
        <v>1.1214705924455365E-3</v>
      </c>
      <c r="AA481" s="2"/>
      <c r="AB481" s="68"/>
      <c r="AC481" s="15">
        <f t="shared" si="83"/>
        <v>2.2695093166958031</v>
      </c>
    </row>
    <row r="482" spans="1:29">
      <c r="A482" s="84">
        <f>'Q.1 &amp; 4'!K487</f>
        <v>5.5</v>
      </c>
      <c r="B482" s="141">
        <f>'Q.1 &amp; 4'!L487</f>
        <v>33</v>
      </c>
      <c r="C482" s="221"/>
      <c r="D482" s="23"/>
      <c r="E482" s="24"/>
      <c r="F482" s="22">
        <f t="shared" si="78"/>
        <v>1.9925925925925885</v>
      </c>
      <c r="G482" s="22">
        <f t="shared" si="79"/>
        <v>-1.7064890695573638</v>
      </c>
      <c r="H482" s="22">
        <f t="shared" si="84"/>
        <v>-3.4003374793402217</v>
      </c>
      <c r="I482" s="22">
        <f t="shared" si="85"/>
        <v>3.9704252400548534</v>
      </c>
      <c r="J482" s="24"/>
      <c r="K482" s="24"/>
      <c r="L482" s="235">
        <f t="shared" si="80"/>
        <v>25.698118876240201</v>
      </c>
      <c r="M482" s="126"/>
      <c r="N482" s="126"/>
      <c r="O482" s="126"/>
      <c r="P482" s="10">
        <f t="shared" si="81"/>
        <v>7.3018811237597987</v>
      </c>
      <c r="Q482" s="10">
        <f t="shared" si="86"/>
        <v>53.31746794551966</v>
      </c>
      <c r="W482" s="240">
        <f t="shared" si="87"/>
        <v>7.3018811237597987</v>
      </c>
      <c r="X482" s="240">
        <f t="shared" si="88"/>
        <v>0.22126912496241813</v>
      </c>
      <c r="Y482"/>
      <c r="Z482" s="13">
        <f t="shared" si="82"/>
        <v>81.150733539845092</v>
      </c>
      <c r="AA482" s="2"/>
      <c r="AB482" s="68"/>
      <c r="AC482" s="15">
        <f t="shared" si="83"/>
        <v>2.9121049445187572</v>
      </c>
    </row>
    <row r="483" spans="1:29">
      <c r="A483" s="84">
        <f>'Q.1 &amp; 4'!K488</f>
        <v>5.5</v>
      </c>
      <c r="B483" s="141">
        <f>'Q.1 &amp; 4'!L488</f>
        <v>32.299999999999997</v>
      </c>
      <c r="C483" s="221"/>
      <c r="D483" s="23"/>
      <c r="E483" s="24"/>
      <c r="F483" s="22">
        <f t="shared" si="78"/>
        <v>1.9925925925925885</v>
      </c>
      <c r="G483" s="22">
        <f t="shared" si="79"/>
        <v>-2.4064890695573666</v>
      </c>
      <c r="H483" s="22">
        <f t="shared" si="84"/>
        <v>-4.7951522941550389</v>
      </c>
      <c r="I483" s="22">
        <f t="shared" si="85"/>
        <v>3.9704252400548534</v>
      </c>
      <c r="J483" s="24"/>
      <c r="K483" s="24"/>
      <c r="L483" s="235">
        <f t="shared" si="80"/>
        <v>25.698118876240201</v>
      </c>
      <c r="M483" s="126"/>
      <c r="N483" s="126"/>
      <c r="O483" s="126"/>
      <c r="P483" s="10">
        <f t="shared" si="81"/>
        <v>6.6018811237597959</v>
      </c>
      <c r="Q483" s="10">
        <f t="shared" si="86"/>
        <v>43.584834372255905</v>
      </c>
      <c r="W483" s="240">
        <f t="shared" si="87"/>
        <v>6.6018811237597959</v>
      </c>
      <c r="X483" s="240">
        <f t="shared" si="88"/>
        <v>0.20439260445076768</v>
      </c>
      <c r="Y483"/>
      <c r="Z483" s="13">
        <f t="shared" si="82"/>
        <v>81.150733539845092</v>
      </c>
      <c r="AA483" s="2"/>
      <c r="AB483" s="68"/>
      <c r="AC483" s="15">
        <f t="shared" si="83"/>
        <v>5.7911896418990798</v>
      </c>
    </row>
    <row r="484" spans="1:29">
      <c r="A484" s="84">
        <f>'Q.1 &amp; 4'!K489</f>
        <v>6.3</v>
      </c>
      <c r="B484" s="141">
        <f>'Q.1 &amp; 4'!L489</f>
        <v>27.1158</v>
      </c>
      <c r="C484" s="221"/>
      <c r="D484" s="23"/>
      <c r="E484" s="24"/>
      <c r="F484" s="22">
        <f t="shared" si="78"/>
        <v>2.7925925925925883</v>
      </c>
      <c r="G484" s="22">
        <f t="shared" si="79"/>
        <v>-7.5906890695573637</v>
      </c>
      <c r="H484" s="22">
        <f t="shared" si="84"/>
        <v>-21.197702068319419</v>
      </c>
      <c r="I484" s="22">
        <f t="shared" si="85"/>
        <v>7.7985733882029935</v>
      </c>
      <c r="J484" s="24"/>
      <c r="K484" s="24"/>
      <c r="L484" s="235">
        <f t="shared" si="80"/>
        <v>22.081375452900961</v>
      </c>
      <c r="M484" s="126"/>
      <c r="N484" s="126"/>
      <c r="O484" s="126"/>
      <c r="P484" s="10">
        <f t="shared" si="81"/>
        <v>5.0344245470990394</v>
      </c>
      <c r="Q484" s="10">
        <f t="shared" si="86"/>
        <v>25.345430520433368</v>
      </c>
      <c r="W484" s="240">
        <f t="shared" si="87"/>
        <v>5.0344245470990394</v>
      </c>
      <c r="X484" s="240">
        <f t="shared" si="88"/>
        <v>0.18566387667334319</v>
      </c>
      <c r="Y484"/>
      <c r="Z484" s="13">
        <f t="shared" si="82"/>
        <v>159.39349383348292</v>
      </c>
      <c r="AA484" s="2"/>
      <c r="AB484" s="68"/>
      <c r="AC484" s="15">
        <f t="shared" si="83"/>
        <v>57.618560550697637</v>
      </c>
    </row>
    <row r="485" spans="1:29">
      <c r="A485" s="84">
        <f>'Q.1 &amp; 4'!K490</f>
        <v>2.4</v>
      </c>
      <c r="B485" s="141">
        <f>'Q.1 &amp; 4'!L490</f>
        <v>42.214599999999997</v>
      </c>
      <c r="C485" s="221"/>
      <c r="D485" s="23"/>
      <c r="E485" s="24"/>
      <c r="F485" s="22">
        <f t="shared" si="78"/>
        <v>-1.1074074074074116</v>
      </c>
      <c r="G485" s="22">
        <f t="shared" si="79"/>
        <v>7.5081109304426334</v>
      </c>
      <c r="H485" s="22">
        <f t="shared" si="84"/>
        <v>-8.3145376600087264</v>
      </c>
      <c r="I485" s="22">
        <f t="shared" si="85"/>
        <v>1.2263511659808048</v>
      </c>
      <c r="J485" s="24"/>
      <c r="K485" s="24"/>
      <c r="L485" s="235">
        <f t="shared" si="80"/>
        <v>39.712999641679758</v>
      </c>
      <c r="M485" s="126"/>
      <c r="N485" s="126"/>
      <c r="O485" s="126"/>
      <c r="P485" s="10">
        <f t="shared" si="81"/>
        <v>2.5016003583202391</v>
      </c>
      <c r="Q485" s="10">
        <f t="shared" si="86"/>
        <v>6.2580043527479488</v>
      </c>
      <c r="W485" s="240">
        <f t="shared" si="87"/>
        <v>2.5016003583202391</v>
      </c>
      <c r="X485" s="240">
        <f t="shared" si="88"/>
        <v>5.9259127371104767E-2</v>
      </c>
      <c r="Y485"/>
      <c r="Z485" s="13">
        <f t="shared" si="82"/>
        <v>25.065148108773304</v>
      </c>
      <c r="AA485" s="2"/>
      <c r="AB485" s="68"/>
      <c r="AC485" s="15">
        <f t="shared" si="83"/>
        <v>56.371729743832148</v>
      </c>
    </row>
    <row r="486" spans="1:29">
      <c r="A486" s="84">
        <f>'Q.1 &amp; 4'!K491</f>
        <v>2.5</v>
      </c>
      <c r="B486" s="141">
        <f>'Q.1 &amp; 4'!L491</f>
        <v>45.672899999999998</v>
      </c>
      <c r="C486" s="221"/>
      <c r="D486" s="23"/>
      <c r="E486" s="24"/>
      <c r="F486" s="22">
        <f t="shared" si="78"/>
        <v>-1.0074074074074115</v>
      </c>
      <c r="G486" s="22">
        <f t="shared" si="79"/>
        <v>10.966410930442635</v>
      </c>
      <c r="H486" s="22">
        <f t="shared" si="84"/>
        <v>-11.047643604001514</v>
      </c>
      <c r="I486" s="22">
        <f t="shared" si="85"/>
        <v>1.0148696844993224</v>
      </c>
      <c r="J486" s="24"/>
      <c r="K486" s="24"/>
      <c r="L486" s="235">
        <f t="shared" si="80"/>
        <v>39.260906713762353</v>
      </c>
      <c r="M486" s="126"/>
      <c r="N486" s="126"/>
      <c r="O486" s="126"/>
      <c r="P486" s="10">
        <f t="shared" si="81"/>
        <v>6.4119932862376459</v>
      </c>
      <c r="Q486" s="10">
        <f t="shared" si="86"/>
        <v>41.113657902756643</v>
      </c>
      <c r="W486" s="240">
        <f t="shared" si="87"/>
        <v>6.4119932862376459</v>
      </c>
      <c r="X486" s="240">
        <f t="shared" si="88"/>
        <v>0.14038944945991269</v>
      </c>
      <c r="Y486"/>
      <c r="Z486" s="13">
        <f t="shared" si="82"/>
        <v>20.742720077845721</v>
      </c>
      <c r="AA486" s="2"/>
      <c r="AB486" s="68"/>
      <c r="AC486" s="15">
        <f t="shared" si="83"/>
        <v>120.2621686953317</v>
      </c>
    </row>
    <row r="487" spans="1:29">
      <c r="A487" s="84">
        <f>'Q.1 &amp; 4'!K492</f>
        <v>3.5</v>
      </c>
      <c r="B487" s="141">
        <f>'Q.1 &amp; 4'!L492</f>
        <v>37.9499</v>
      </c>
      <c r="C487" s="221"/>
      <c r="D487" s="23"/>
      <c r="E487" s="24"/>
      <c r="F487" s="22">
        <f t="shared" si="78"/>
        <v>-7.4074074074115259E-3</v>
      </c>
      <c r="G487" s="22">
        <f t="shared" si="79"/>
        <v>3.2434109304426357</v>
      </c>
      <c r="H487" s="22">
        <f t="shared" si="84"/>
        <v>-2.4025266151440291E-2</v>
      </c>
      <c r="I487" s="22">
        <f t="shared" si="85"/>
        <v>5.4869684499375142E-5</v>
      </c>
      <c r="J487" s="24"/>
      <c r="K487" s="24"/>
      <c r="L487" s="235">
        <f t="shared" si="80"/>
        <v>34.739977434588305</v>
      </c>
      <c r="M487" s="126"/>
      <c r="N487" s="126"/>
      <c r="O487" s="126"/>
      <c r="P487" s="10">
        <f t="shared" si="81"/>
        <v>3.209922565411695</v>
      </c>
      <c r="Q487" s="10">
        <f t="shared" si="86"/>
        <v>10.303602875939196</v>
      </c>
      <c r="W487" s="240">
        <f t="shared" si="87"/>
        <v>3.209922565411695</v>
      </c>
      <c r="X487" s="240">
        <f t="shared" si="88"/>
        <v>8.4583162680578736E-2</v>
      </c>
      <c r="Y487"/>
      <c r="Z487" s="13">
        <f t="shared" si="82"/>
        <v>1.1214705924455365E-3</v>
      </c>
      <c r="AA487" s="2"/>
      <c r="AB487" s="68"/>
      <c r="AC487" s="15">
        <f t="shared" si="83"/>
        <v>10.519714463714765</v>
      </c>
    </row>
    <row r="488" spans="1:29">
      <c r="A488" s="84">
        <f>'Q.1 &amp; 4'!K493</f>
        <v>3.5</v>
      </c>
      <c r="B488" s="141">
        <f>'Q.1 &amp; 4'!L493</f>
        <v>38.034700000000001</v>
      </c>
      <c r="C488" s="221"/>
      <c r="D488" s="23"/>
      <c r="E488" s="24"/>
      <c r="F488" s="22">
        <f t="shared" si="78"/>
        <v>-7.4074074074115259E-3</v>
      </c>
      <c r="G488" s="22">
        <f t="shared" si="79"/>
        <v>3.328210930442637</v>
      </c>
      <c r="H488" s="22">
        <f t="shared" si="84"/>
        <v>-2.4653414299588797E-2</v>
      </c>
      <c r="I488" s="22">
        <f t="shared" si="85"/>
        <v>5.4869684499375142E-5</v>
      </c>
      <c r="J488" s="24"/>
      <c r="K488" s="24"/>
      <c r="L488" s="235">
        <f t="shared" si="80"/>
        <v>34.739977434588305</v>
      </c>
      <c r="M488" s="126"/>
      <c r="N488" s="126"/>
      <c r="O488" s="126"/>
      <c r="P488" s="10">
        <f t="shared" si="81"/>
        <v>3.2947225654116963</v>
      </c>
      <c r="Q488" s="10">
        <f t="shared" si="86"/>
        <v>10.85519678303303</v>
      </c>
      <c r="W488" s="240">
        <f t="shared" si="87"/>
        <v>3.2947225654116963</v>
      </c>
      <c r="X488" s="240">
        <f t="shared" si="88"/>
        <v>8.6624123902954306E-2</v>
      </c>
      <c r="Y488"/>
      <c r="Z488" s="13">
        <f t="shared" si="82"/>
        <v>1.1214705924455365E-3</v>
      </c>
      <c r="AA488" s="2"/>
      <c r="AB488" s="68"/>
      <c r="AC488" s="15">
        <f t="shared" si="83"/>
        <v>11.076987997517843</v>
      </c>
    </row>
    <row r="489" spans="1:29">
      <c r="A489" s="84">
        <f>'Q.1 &amp; 4'!K494</f>
        <v>2.5</v>
      </c>
      <c r="B489" s="141">
        <f>'Q.1 &amp; 4'!L494</f>
        <v>46.6</v>
      </c>
      <c r="C489" s="221"/>
      <c r="D489" s="23"/>
      <c r="E489" s="24"/>
      <c r="F489" s="22">
        <f t="shared" si="78"/>
        <v>-1.0074074074074115</v>
      </c>
      <c r="G489" s="22">
        <f t="shared" si="79"/>
        <v>11.893510930442638</v>
      </c>
      <c r="H489" s="22">
        <f t="shared" si="84"/>
        <v>-11.981611011408928</v>
      </c>
      <c r="I489" s="22">
        <f t="shared" si="85"/>
        <v>1.0148696844993224</v>
      </c>
      <c r="J489" s="24"/>
      <c r="K489" s="24"/>
      <c r="L489" s="235">
        <f t="shared" si="80"/>
        <v>39.260906713762353</v>
      </c>
      <c r="M489" s="126"/>
      <c r="N489" s="126"/>
      <c r="O489" s="126"/>
      <c r="P489" s="10">
        <f t="shared" si="81"/>
        <v>7.3390932862376488</v>
      </c>
      <c r="Q489" s="10">
        <f t="shared" si="86"/>
        <v>53.862290264098533</v>
      </c>
      <c r="W489" s="240">
        <f t="shared" si="87"/>
        <v>7.3390932862376488</v>
      </c>
      <c r="X489" s="240">
        <f t="shared" si="88"/>
        <v>0.15749127223685941</v>
      </c>
      <c r="Y489"/>
      <c r="Z489" s="13">
        <f t="shared" si="82"/>
        <v>20.742720077845721</v>
      </c>
      <c r="AA489" s="2"/>
      <c r="AB489" s="68"/>
      <c r="AC489" s="15">
        <f t="shared" si="83"/>
        <v>141.45560225255849</v>
      </c>
    </row>
    <row r="490" spans="1:29">
      <c r="A490" s="84">
        <f>'Q.1 &amp; 4'!K495</f>
        <v>3.5</v>
      </c>
      <c r="B490" s="141">
        <f>'Q.1 &amp; 4'!L495</f>
        <v>36.410200000000003</v>
      </c>
      <c r="C490" s="221"/>
      <c r="D490" s="23"/>
      <c r="E490" s="24"/>
      <c r="F490" s="22">
        <f t="shared" si="78"/>
        <v>-7.4074074074115259E-3</v>
      </c>
      <c r="G490" s="22">
        <f t="shared" si="79"/>
        <v>1.7037109304426394</v>
      </c>
      <c r="H490" s="22">
        <f t="shared" si="84"/>
        <v>-1.262008096624879E-2</v>
      </c>
      <c r="I490" s="22">
        <f t="shared" si="85"/>
        <v>5.4869684499375142E-5</v>
      </c>
      <c r="J490" s="24"/>
      <c r="K490" s="24"/>
      <c r="L490" s="235">
        <f t="shared" si="80"/>
        <v>34.739977434588305</v>
      </c>
      <c r="M490" s="126"/>
      <c r="N490" s="126"/>
      <c r="O490" s="126"/>
      <c r="P490" s="10">
        <f t="shared" si="81"/>
        <v>1.6702225654116987</v>
      </c>
      <c r="Q490" s="10">
        <f t="shared" si="86"/>
        <v>2.7896434180104359</v>
      </c>
      <c r="W490" s="240">
        <f t="shared" si="87"/>
        <v>1.6702225654116987</v>
      </c>
      <c r="X490" s="240">
        <f t="shared" si="88"/>
        <v>4.5872380964996032E-2</v>
      </c>
      <c r="Y490"/>
      <c r="Z490" s="13">
        <f t="shared" si="82"/>
        <v>1.1214705924455365E-3</v>
      </c>
      <c r="AA490" s="2"/>
      <c r="AB490" s="68"/>
      <c r="AC490" s="15">
        <f t="shared" si="83"/>
        <v>2.9026309345097241</v>
      </c>
    </row>
    <row r="491" spans="1:29">
      <c r="A491" s="84">
        <f>'Q.1 &amp; 4'!K496</f>
        <v>2</v>
      </c>
      <c r="B491" s="141">
        <f>'Q.1 &amp; 4'!L496</f>
        <v>43</v>
      </c>
      <c r="C491" s="221"/>
      <c r="D491" s="23"/>
      <c r="E491" s="24"/>
      <c r="F491" s="22">
        <f t="shared" si="78"/>
        <v>-1.5074074074074115</v>
      </c>
      <c r="G491" s="22">
        <f t="shared" si="79"/>
        <v>8.2935109304426362</v>
      </c>
      <c r="H491" s="22">
        <f t="shared" si="84"/>
        <v>-12.501699809963563</v>
      </c>
      <c r="I491" s="22">
        <f t="shared" si="85"/>
        <v>2.2722770919067341</v>
      </c>
      <c r="J491" s="24"/>
      <c r="K491" s="24"/>
      <c r="L491" s="235">
        <f t="shared" si="80"/>
        <v>41.52137135334938</v>
      </c>
      <c r="M491" s="126"/>
      <c r="N491" s="126"/>
      <c r="O491" s="126"/>
      <c r="P491" s="10">
        <f t="shared" si="81"/>
        <v>1.4786286466506198</v>
      </c>
      <c r="Q491" s="10">
        <f t="shared" si="86"/>
        <v>2.1863426746958434</v>
      </c>
      <c r="W491" s="240">
        <f t="shared" si="87"/>
        <v>1.4786286466506198</v>
      </c>
      <c r="X491" s="240">
        <f t="shared" si="88"/>
        <v>3.4386712712805113E-2</v>
      </c>
      <c r="Y491"/>
      <c r="Z491" s="13">
        <f t="shared" si="82"/>
        <v>46.44262054194229</v>
      </c>
      <c r="AA491" s="2"/>
      <c r="AB491" s="68"/>
      <c r="AC491" s="15">
        <f t="shared" si="83"/>
        <v>68.782323553371484</v>
      </c>
    </row>
    <row r="492" spans="1:29">
      <c r="A492" s="84">
        <f>'Q.1 &amp; 4'!K497</f>
        <v>2</v>
      </c>
      <c r="B492" s="141">
        <f>'Q.1 &amp; 4'!L497</f>
        <v>47.512900000000002</v>
      </c>
      <c r="C492" s="221"/>
      <c r="D492" s="23"/>
      <c r="E492" s="24"/>
      <c r="F492" s="22">
        <f t="shared" si="78"/>
        <v>-1.5074074074074115</v>
      </c>
      <c r="G492" s="22">
        <f t="shared" si="79"/>
        <v>12.806410930442638</v>
      </c>
      <c r="H492" s="22">
        <f t="shared" si="84"/>
        <v>-19.304478698852474</v>
      </c>
      <c r="I492" s="22">
        <f t="shared" si="85"/>
        <v>2.2722770919067341</v>
      </c>
      <c r="J492" s="24"/>
      <c r="K492" s="24"/>
      <c r="L492" s="235">
        <f t="shared" si="80"/>
        <v>41.52137135334938</v>
      </c>
      <c r="M492" s="126"/>
      <c r="N492" s="126"/>
      <c r="O492" s="126"/>
      <c r="P492" s="10">
        <f t="shared" si="81"/>
        <v>5.9915286466506217</v>
      </c>
      <c r="Q492" s="10">
        <f t="shared" si="86"/>
        <v>35.89841552363503</v>
      </c>
      <c r="W492" s="240">
        <f t="shared" si="87"/>
        <v>5.9915286466506217</v>
      </c>
      <c r="X492" s="240">
        <f t="shared" si="88"/>
        <v>0.12610319821881261</v>
      </c>
      <c r="Y492"/>
      <c r="Z492" s="13">
        <f t="shared" si="82"/>
        <v>46.44262054194229</v>
      </c>
      <c r="AA492" s="2"/>
      <c r="AB492" s="68"/>
      <c r="AC492" s="15">
        <f t="shared" si="83"/>
        <v>164.00416091936069</v>
      </c>
    </row>
    <row r="493" spans="1:29">
      <c r="A493" s="84">
        <f>'Q.1 &amp; 4'!K498</f>
        <v>2.5</v>
      </c>
      <c r="B493" s="141">
        <f>'Q.1 &amp; 4'!L498</f>
        <v>39.6</v>
      </c>
      <c r="C493" s="221"/>
      <c r="D493" s="23"/>
      <c r="E493" s="24"/>
      <c r="F493" s="22">
        <f t="shared" si="78"/>
        <v>-1.0074074074074115</v>
      </c>
      <c r="G493" s="22">
        <f t="shared" si="79"/>
        <v>4.8935109304426376</v>
      </c>
      <c r="H493" s="22">
        <f t="shared" si="84"/>
        <v>-4.9297591595570474</v>
      </c>
      <c r="I493" s="22">
        <f t="shared" si="85"/>
        <v>1.0148696844993224</v>
      </c>
      <c r="J493" s="24"/>
      <c r="K493" s="24"/>
      <c r="L493" s="235">
        <f t="shared" si="80"/>
        <v>39.260906713762353</v>
      </c>
      <c r="M493" s="126"/>
      <c r="N493" s="126"/>
      <c r="O493" s="126"/>
      <c r="P493" s="10">
        <f t="shared" si="81"/>
        <v>0.33909328623764878</v>
      </c>
      <c r="Q493" s="10">
        <f t="shared" si="86"/>
        <v>0.11498425677144801</v>
      </c>
      <c r="W493" s="240">
        <f t="shared" si="87"/>
        <v>0.33909328623764878</v>
      </c>
      <c r="X493" s="240">
        <f t="shared" si="88"/>
        <v>8.5629617736779993E-3</v>
      </c>
      <c r="Y493"/>
      <c r="Z493" s="13">
        <f t="shared" si="82"/>
        <v>20.742720077845721</v>
      </c>
      <c r="AA493" s="2"/>
      <c r="AB493" s="68"/>
      <c r="AC493" s="15">
        <f t="shared" si="83"/>
        <v>23.946449226361569</v>
      </c>
    </row>
    <row r="494" spans="1:29">
      <c r="A494" s="84">
        <f>'Q.1 &amp; 4'!K499</f>
        <v>2.5</v>
      </c>
      <c r="B494" s="141">
        <f>'Q.1 &amp; 4'!L499</f>
        <v>42.699800000000003</v>
      </c>
      <c r="C494" s="221"/>
      <c r="D494" s="23"/>
      <c r="E494" s="24"/>
      <c r="F494" s="22">
        <f t="shared" si="78"/>
        <v>-1.0074074074074115</v>
      </c>
      <c r="G494" s="22">
        <f t="shared" si="79"/>
        <v>7.9933109304426395</v>
      </c>
      <c r="H494" s="22">
        <f t="shared" si="84"/>
        <v>-8.0525206410385444</v>
      </c>
      <c r="I494" s="22">
        <f t="shared" si="85"/>
        <v>1.0148696844993224</v>
      </c>
      <c r="J494" s="24"/>
      <c r="K494" s="24"/>
      <c r="L494" s="235">
        <f t="shared" si="80"/>
        <v>39.260906713762353</v>
      </c>
      <c r="M494" s="126"/>
      <c r="N494" s="126"/>
      <c r="O494" s="126"/>
      <c r="P494" s="10">
        <f t="shared" si="81"/>
        <v>3.4388932862376507</v>
      </c>
      <c r="Q494" s="10">
        <f t="shared" si="86"/>
        <v>11.825987034130389</v>
      </c>
      <c r="W494" s="240">
        <f t="shared" si="87"/>
        <v>3.4388932862376507</v>
      </c>
      <c r="X494" s="240">
        <f t="shared" si="88"/>
        <v>8.053651975507263E-2</v>
      </c>
      <c r="Y494"/>
      <c r="Z494" s="13">
        <f t="shared" si="82"/>
        <v>20.742720077845721</v>
      </c>
      <c r="AA494" s="2"/>
      <c r="AB494" s="68"/>
      <c r="AC494" s="15">
        <f t="shared" si="83"/>
        <v>63.893019630733775</v>
      </c>
    </row>
    <row r="495" spans="1:29">
      <c r="A495" s="84">
        <f>'Q.1 &amp; 4'!K500</f>
        <v>1.6</v>
      </c>
      <c r="B495" s="141">
        <f>'Q.1 &amp; 4'!L500</f>
        <v>46.5</v>
      </c>
      <c r="C495" s="221"/>
      <c r="D495" s="23"/>
      <c r="E495" s="24"/>
      <c r="F495" s="22">
        <f t="shared" si="78"/>
        <v>-1.9074074074074114</v>
      </c>
      <c r="G495" s="22">
        <f t="shared" si="79"/>
        <v>11.793510930442636</v>
      </c>
      <c r="H495" s="22">
        <f t="shared" si="84"/>
        <v>-22.495030108066558</v>
      </c>
      <c r="I495" s="22">
        <f t="shared" si="85"/>
        <v>3.6382030178326628</v>
      </c>
      <c r="J495" s="24"/>
      <c r="K495" s="24"/>
      <c r="L495" s="235">
        <f t="shared" si="80"/>
        <v>43.329743065019002</v>
      </c>
      <c r="M495" s="126"/>
      <c r="N495" s="126"/>
      <c r="O495" s="126"/>
      <c r="P495" s="10">
        <f t="shared" si="81"/>
        <v>3.1702569349809977</v>
      </c>
      <c r="Q495" s="10">
        <f t="shared" si="86"/>
        <v>10.05052903379511</v>
      </c>
      <c r="W495" s="240">
        <f t="shared" si="87"/>
        <v>3.1702569349809977</v>
      </c>
      <c r="X495" s="240">
        <f t="shared" si="88"/>
        <v>6.817756849421501E-2</v>
      </c>
      <c r="Y495"/>
      <c r="Z495" s="13">
        <f t="shared" si="82"/>
        <v>74.360509470245105</v>
      </c>
      <c r="AA495" s="2"/>
      <c r="AB495" s="68"/>
      <c r="AC495" s="15">
        <f t="shared" si="83"/>
        <v>139.08690006646992</v>
      </c>
    </row>
    <row r="496" spans="1:29">
      <c r="A496" s="84">
        <f>'Q.1 &amp; 4'!K501</f>
        <v>1.6</v>
      </c>
      <c r="B496" s="141">
        <f>'Q.1 &amp; 4'!L501</f>
        <v>47.3</v>
      </c>
      <c r="C496" s="221"/>
      <c r="D496" s="23"/>
      <c r="E496" s="24"/>
      <c r="F496" s="22">
        <f t="shared" si="78"/>
        <v>-1.9074074074074114</v>
      </c>
      <c r="G496" s="22">
        <f t="shared" si="79"/>
        <v>12.593510930442633</v>
      </c>
      <c r="H496" s="22">
        <f t="shared" si="84"/>
        <v>-24.02095603399248</v>
      </c>
      <c r="I496" s="22">
        <f t="shared" si="85"/>
        <v>3.6382030178326628</v>
      </c>
      <c r="J496" s="24"/>
      <c r="K496" s="24"/>
      <c r="L496" s="235">
        <f t="shared" si="80"/>
        <v>43.329743065019002</v>
      </c>
      <c r="M496" s="126"/>
      <c r="N496" s="126"/>
      <c r="O496" s="126"/>
      <c r="P496" s="10">
        <f t="shared" si="81"/>
        <v>3.9702569349809949</v>
      </c>
      <c r="Q496" s="10">
        <f t="shared" si="86"/>
        <v>15.762940129764683</v>
      </c>
      <c r="W496" s="240">
        <f t="shared" si="87"/>
        <v>3.9702569349809949</v>
      </c>
      <c r="X496" s="240">
        <f t="shared" si="88"/>
        <v>8.3937778752240913E-2</v>
      </c>
      <c r="Y496"/>
      <c r="Z496" s="13">
        <f t="shared" si="82"/>
        <v>74.360509470245105</v>
      </c>
      <c r="AA496" s="2"/>
      <c r="AB496" s="68"/>
      <c r="AC496" s="15">
        <f t="shared" si="83"/>
        <v>158.59651755517808</v>
      </c>
    </row>
    <row r="497" spans="1:29">
      <c r="A497" s="84">
        <f>'Q.1 &amp; 4'!K502</f>
        <v>1.8</v>
      </c>
      <c r="B497" s="141">
        <f>'Q.1 &amp; 4'!L502</f>
        <v>47.5</v>
      </c>
      <c r="C497" s="221"/>
      <c r="D497" s="23"/>
      <c r="E497" s="24"/>
      <c r="F497" s="22">
        <f t="shared" si="78"/>
        <v>-1.7074074074074115</v>
      </c>
      <c r="G497" s="22">
        <f t="shared" si="79"/>
        <v>12.793510930442636</v>
      </c>
      <c r="H497" s="22">
        <f t="shared" si="84"/>
        <v>-21.843735329385442</v>
      </c>
      <c r="I497" s="22">
        <f t="shared" si="85"/>
        <v>2.9152400548696984</v>
      </c>
      <c r="J497" s="24"/>
      <c r="K497" s="24"/>
      <c r="L497" s="235">
        <f t="shared" si="80"/>
        <v>42.425557209184191</v>
      </c>
      <c r="M497" s="126"/>
      <c r="N497" s="126"/>
      <c r="O497" s="126"/>
      <c r="P497" s="10">
        <f t="shared" si="81"/>
        <v>5.0744427908158087</v>
      </c>
      <c r="Q497" s="10">
        <f t="shared" si="86"/>
        <v>25.749969637262534</v>
      </c>
      <c r="W497" s="240">
        <f t="shared" si="87"/>
        <v>5.0744427908158087</v>
      </c>
      <c r="X497" s="240">
        <f t="shared" si="88"/>
        <v>0.10683037454349072</v>
      </c>
      <c r="Y497"/>
      <c r="Z497" s="13">
        <f t="shared" si="82"/>
        <v>59.584012944201973</v>
      </c>
      <c r="AA497" s="2"/>
      <c r="AB497" s="68"/>
      <c r="AC497" s="15">
        <f t="shared" si="83"/>
        <v>163.6739219273552</v>
      </c>
    </row>
    <row r="498" spans="1:29">
      <c r="A498" s="84">
        <f>'Q.1 &amp; 4'!K503</f>
        <v>1.8</v>
      </c>
      <c r="B498" s="141">
        <f>'Q.1 &amp; 4'!L503</f>
        <v>44.9</v>
      </c>
      <c r="C498" s="221"/>
      <c r="D498" s="23"/>
      <c r="E498" s="24"/>
      <c r="F498" s="22">
        <f t="shared" si="78"/>
        <v>-1.7074074074074115</v>
      </c>
      <c r="G498" s="22">
        <f t="shared" si="79"/>
        <v>10.193510930442635</v>
      </c>
      <c r="H498" s="22">
        <f t="shared" si="84"/>
        <v>-17.404476070126169</v>
      </c>
      <c r="I498" s="22">
        <f t="shared" si="85"/>
        <v>2.9152400548696984</v>
      </c>
      <c r="J498" s="24"/>
      <c r="K498" s="24"/>
      <c r="L498" s="235">
        <f t="shared" si="80"/>
        <v>42.425557209184191</v>
      </c>
      <c r="M498" s="126"/>
      <c r="N498" s="126"/>
      <c r="O498" s="126"/>
      <c r="P498" s="10">
        <f t="shared" si="81"/>
        <v>2.4744427908158073</v>
      </c>
      <c r="Q498" s="10">
        <f t="shared" si="86"/>
        <v>6.1228671250203215</v>
      </c>
      <c r="W498" s="240">
        <f t="shared" si="87"/>
        <v>2.4744427908158073</v>
      </c>
      <c r="X498" s="240">
        <f t="shared" si="88"/>
        <v>5.5110084427968983E-2</v>
      </c>
      <c r="Y498"/>
      <c r="Z498" s="13">
        <f t="shared" si="82"/>
        <v>59.584012944201973</v>
      </c>
      <c r="AA498" s="2"/>
      <c r="AB498" s="68"/>
      <c r="AC498" s="15">
        <f t="shared" si="83"/>
        <v>103.90766508905347</v>
      </c>
    </row>
    <row r="499" spans="1:29">
      <c r="A499" s="84">
        <f>'Q.1 &amp; 4'!K504</f>
        <v>1.8</v>
      </c>
      <c r="B499" s="141">
        <f>'Q.1 &amp; 4'!L504</f>
        <v>44.2</v>
      </c>
      <c r="C499" s="221"/>
      <c r="D499" s="23"/>
      <c r="E499" s="24"/>
      <c r="F499" s="22">
        <f t="shared" si="78"/>
        <v>-1.7074074074074115</v>
      </c>
      <c r="G499" s="22">
        <f t="shared" si="79"/>
        <v>9.4935109304426391</v>
      </c>
      <c r="H499" s="22">
        <f t="shared" si="84"/>
        <v>-16.209290884940987</v>
      </c>
      <c r="I499" s="22">
        <f t="shared" si="85"/>
        <v>2.9152400548696984</v>
      </c>
      <c r="J499" s="24"/>
      <c r="K499" s="24"/>
      <c r="L499" s="235">
        <f t="shared" si="80"/>
        <v>42.425557209184191</v>
      </c>
      <c r="M499" s="126"/>
      <c r="N499" s="126"/>
      <c r="O499" s="126"/>
      <c r="P499" s="10">
        <f t="shared" si="81"/>
        <v>1.7744427908158116</v>
      </c>
      <c r="Q499" s="10">
        <f t="shared" si="86"/>
        <v>3.1486472178782061</v>
      </c>
      <c r="W499" s="240">
        <f t="shared" si="87"/>
        <v>1.7744427908158116</v>
      </c>
      <c r="X499" s="240">
        <f t="shared" si="88"/>
        <v>4.0145764498095281E-2</v>
      </c>
      <c r="Y499"/>
      <c r="Z499" s="13">
        <f t="shared" si="82"/>
        <v>59.584012944201973</v>
      </c>
      <c r="AA499" s="2"/>
      <c r="AB499" s="68"/>
      <c r="AC499" s="15">
        <f t="shared" si="83"/>
        <v>90.126749786433862</v>
      </c>
    </row>
    <row r="500" spans="1:29">
      <c r="A500" s="84">
        <f>'Q.1 &amp; 4'!K505</f>
        <v>6.7</v>
      </c>
      <c r="B500" s="141">
        <f>'Q.1 &amp; 4'!L505</f>
        <v>24.2</v>
      </c>
      <c r="C500" s="221"/>
      <c r="D500" s="23"/>
      <c r="E500" s="24"/>
      <c r="F500" s="22">
        <f t="shared" si="78"/>
        <v>3.1925925925925887</v>
      </c>
      <c r="G500" s="22">
        <f t="shared" si="79"/>
        <v>-10.506489069557365</v>
      </c>
      <c r="H500" s="22">
        <f t="shared" si="84"/>
        <v>-33.542939177623843</v>
      </c>
      <c r="I500" s="22">
        <f t="shared" si="85"/>
        <v>10.192647462277067</v>
      </c>
      <c r="J500" s="24"/>
      <c r="K500" s="24"/>
      <c r="L500" s="235">
        <f t="shared" si="80"/>
        <v>20.273003741231335</v>
      </c>
      <c r="M500" s="126"/>
      <c r="N500" s="126"/>
      <c r="O500" s="126"/>
      <c r="P500" s="10">
        <f t="shared" si="81"/>
        <v>3.9269962587686642</v>
      </c>
      <c r="Q500" s="10">
        <f t="shared" si="86"/>
        <v>15.421299616383086</v>
      </c>
      <c r="W500" s="240">
        <f t="shared" si="87"/>
        <v>3.9269962587686642</v>
      </c>
      <c r="X500" s="240">
        <f t="shared" si="88"/>
        <v>0.16227257267639109</v>
      </c>
      <c r="Y500"/>
      <c r="Z500" s="13">
        <f t="shared" si="82"/>
        <v>208.32549872300274</v>
      </c>
      <c r="AA500" s="2"/>
      <c r="AB500" s="68"/>
      <c r="AC500" s="15">
        <f t="shared" si="83"/>
        <v>110.38631256872837</v>
      </c>
    </row>
    <row r="501" spans="1:29">
      <c r="A501" s="84">
        <f>'Q.1 &amp; 4'!K506</f>
        <v>2.8</v>
      </c>
      <c r="B501" s="141">
        <f>'Q.1 &amp; 4'!L506</f>
        <v>37.118499999999997</v>
      </c>
      <c r="C501" s="221"/>
      <c r="D501" s="23"/>
      <c r="E501" s="24"/>
      <c r="F501" s="22">
        <f t="shared" si="78"/>
        <v>-0.7074074074074117</v>
      </c>
      <c r="G501" s="22">
        <f t="shared" si="79"/>
        <v>2.4120109304426336</v>
      </c>
      <c r="H501" s="22">
        <f t="shared" si="84"/>
        <v>-1.7062743989427622</v>
      </c>
      <c r="I501" s="22">
        <f t="shared" si="85"/>
        <v>0.50042524005487576</v>
      </c>
      <c r="J501" s="24"/>
      <c r="K501" s="24"/>
      <c r="L501" s="235">
        <f t="shared" si="80"/>
        <v>37.904627930010136</v>
      </c>
      <c r="M501" s="126"/>
      <c r="N501" s="126"/>
      <c r="O501" s="126"/>
      <c r="P501" s="10">
        <f t="shared" si="81"/>
        <v>-0.7861279300101387</v>
      </c>
      <c r="Q501" s="10">
        <f t="shared" si="86"/>
        <v>0.61799712234202553</v>
      </c>
      <c r="W501" s="240">
        <f t="shared" si="87"/>
        <v>0.7861279300101387</v>
      </c>
      <c r="X501" s="240">
        <f t="shared" si="88"/>
        <v>2.1178871183106504E-2</v>
      </c>
      <c r="Y501"/>
      <c r="Z501" s="13">
        <f t="shared" si="82"/>
        <v>10.228092170738156</v>
      </c>
      <c r="AA501" s="2"/>
      <c r="AB501" s="68"/>
      <c r="AC501" s="15">
        <f t="shared" si="83"/>
        <v>5.8177967285747387</v>
      </c>
    </row>
    <row r="502" spans="1:29">
      <c r="A502" s="84">
        <f>'Q.1 &amp; 4'!K507</f>
        <v>2.4</v>
      </c>
      <c r="B502" s="141">
        <f>'Q.1 &amp; 4'!L507</f>
        <v>46.9</v>
      </c>
      <c r="C502" s="221"/>
      <c r="D502" s="23"/>
      <c r="E502" s="24"/>
      <c r="F502" s="22">
        <f t="shared" si="78"/>
        <v>-1.1074074074074116</v>
      </c>
      <c r="G502" s="22">
        <f t="shared" si="79"/>
        <v>12.193510930442635</v>
      </c>
      <c r="H502" s="22">
        <f t="shared" si="84"/>
        <v>-13.503184326675413</v>
      </c>
      <c r="I502" s="22">
        <f t="shared" si="85"/>
        <v>1.2263511659808048</v>
      </c>
      <c r="J502" s="24"/>
      <c r="K502" s="24"/>
      <c r="L502" s="235">
        <f t="shared" si="80"/>
        <v>39.712999641679758</v>
      </c>
      <c r="M502" s="126"/>
      <c r="N502" s="126"/>
      <c r="O502" s="126"/>
      <c r="P502" s="10">
        <f t="shared" si="81"/>
        <v>7.1870003583202404</v>
      </c>
      <c r="Q502" s="10">
        <f t="shared" si="86"/>
        <v>51.652974150495261</v>
      </c>
      <c r="W502" s="240">
        <f t="shared" si="87"/>
        <v>7.1870003583202404</v>
      </c>
      <c r="X502" s="240">
        <f t="shared" si="88"/>
        <v>0.15324094580640171</v>
      </c>
      <c r="Y502"/>
      <c r="Z502" s="13">
        <f t="shared" si="82"/>
        <v>25.065148108773304</v>
      </c>
      <c r="AA502" s="2"/>
      <c r="AB502" s="68"/>
      <c r="AC502" s="15">
        <f t="shared" si="83"/>
        <v>148.68170881082401</v>
      </c>
    </row>
    <row r="503" spans="1:29">
      <c r="A503" s="84">
        <f>'Q.1 &amp; 4'!K508</f>
        <v>2.4</v>
      </c>
      <c r="B503" s="141">
        <f>'Q.1 &amp; 4'!L508</f>
        <v>46.8</v>
      </c>
      <c r="C503" s="221"/>
      <c r="D503" s="23"/>
      <c r="E503" s="24"/>
      <c r="F503" s="22">
        <f t="shared" si="78"/>
        <v>-1.1074074074074116</v>
      </c>
      <c r="G503" s="22">
        <f t="shared" si="79"/>
        <v>12.093510930442633</v>
      </c>
      <c r="H503" s="22">
        <f t="shared" si="84"/>
        <v>-13.392443585934672</v>
      </c>
      <c r="I503" s="22">
        <f t="shared" si="85"/>
        <v>1.2263511659808048</v>
      </c>
      <c r="J503" s="24"/>
      <c r="K503" s="24"/>
      <c r="L503" s="235">
        <f t="shared" si="80"/>
        <v>39.712999641679758</v>
      </c>
      <c r="M503" s="126"/>
      <c r="N503" s="126"/>
      <c r="O503" s="126"/>
      <c r="P503" s="10">
        <f t="shared" si="81"/>
        <v>7.087000358320239</v>
      </c>
      <c r="Q503" s="10">
        <f t="shared" si="86"/>
        <v>50.225574078831194</v>
      </c>
      <c r="W503" s="240">
        <f t="shared" si="87"/>
        <v>7.087000358320239</v>
      </c>
      <c r="X503" s="240">
        <f t="shared" si="88"/>
        <v>0.15143163158803929</v>
      </c>
      <c r="Y503"/>
      <c r="Z503" s="13">
        <f t="shared" si="82"/>
        <v>25.065148108773304</v>
      </c>
      <c r="AA503" s="2"/>
      <c r="AB503" s="68"/>
      <c r="AC503" s="15">
        <f t="shared" si="83"/>
        <v>146.25300662473543</v>
      </c>
    </row>
    <row r="504" spans="1:29">
      <c r="A504" s="84">
        <f>'Q.1 &amp; 4'!K509</f>
        <v>3.6</v>
      </c>
      <c r="B504" s="141">
        <f>'Q.1 &amp; 4'!L509</f>
        <v>35.6</v>
      </c>
      <c r="C504" s="221"/>
      <c r="D504" s="23"/>
      <c r="E504" s="24"/>
      <c r="F504" s="22">
        <f t="shared" si="78"/>
        <v>9.2592592592588563E-2</v>
      </c>
      <c r="G504" s="22">
        <f t="shared" si="79"/>
        <v>0.89351093044263763</v>
      </c>
      <c r="H504" s="22">
        <f t="shared" si="84"/>
        <v>8.2732493559499881E-2</v>
      </c>
      <c r="I504" s="22">
        <f t="shared" si="85"/>
        <v>8.573388203017087E-3</v>
      </c>
      <c r="J504" s="24"/>
      <c r="K504" s="24"/>
      <c r="L504" s="235">
        <f t="shared" si="80"/>
        <v>34.287884506670892</v>
      </c>
      <c r="M504" s="126"/>
      <c r="N504" s="126"/>
      <c r="O504" s="126"/>
      <c r="P504" s="10">
        <f t="shared" si="81"/>
        <v>1.3121154933291095</v>
      </c>
      <c r="Q504" s="10">
        <f t="shared" si="86"/>
        <v>1.7216470678342923</v>
      </c>
      <c r="W504" s="240">
        <f t="shared" si="87"/>
        <v>1.3121154933291095</v>
      </c>
      <c r="X504" s="240">
        <f t="shared" si="88"/>
        <v>3.6857176778907569E-2</v>
      </c>
      <c r="Y504"/>
      <c r="Z504" s="13">
        <f t="shared" si="82"/>
        <v>0.17522978006937417</v>
      </c>
      <c r="AA504" s="2"/>
      <c r="AB504" s="68"/>
      <c r="AC504" s="15">
        <f t="shared" si="83"/>
        <v>0.79836178282046799</v>
      </c>
    </row>
    <row r="505" spans="1:29">
      <c r="A505" s="84">
        <f>'Q.1 &amp; 4'!K510</f>
        <v>2.5</v>
      </c>
      <c r="B505" s="141">
        <f>'Q.1 &amp; 4'!L510</f>
        <v>37.057400000000001</v>
      </c>
      <c r="C505" s="221"/>
      <c r="D505" s="23"/>
      <c r="E505" s="24"/>
      <c r="F505" s="22">
        <f t="shared" si="78"/>
        <v>-1.0074074074074115</v>
      </c>
      <c r="G505" s="22">
        <f t="shared" si="79"/>
        <v>2.3509109304426374</v>
      </c>
      <c r="H505" s="22">
        <f t="shared" si="84"/>
        <v>-2.3683250854829629</v>
      </c>
      <c r="I505" s="22">
        <f t="shared" si="85"/>
        <v>1.0148696844993224</v>
      </c>
      <c r="J505" s="24"/>
      <c r="K505" s="24"/>
      <c r="L505" s="235">
        <f t="shared" si="80"/>
        <v>39.260906713762353</v>
      </c>
      <c r="M505" s="126"/>
      <c r="N505" s="126"/>
      <c r="O505" s="126"/>
      <c r="P505" s="10">
        <f t="shared" si="81"/>
        <v>-2.2035067137623514</v>
      </c>
      <c r="Q505" s="10">
        <f t="shared" si="86"/>
        <v>4.8554418375957571</v>
      </c>
      <c r="W505" s="240">
        <f t="shared" si="87"/>
        <v>2.2035067137623514</v>
      </c>
      <c r="X505" s="240">
        <f t="shared" si="88"/>
        <v>5.9461989069992803E-2</v>
      </c>
      <c r="Y505"/>
      <c r="Z505" s="13">
        <f t="shared" si="82"/>
        <v>20.742720077845721</v>
      </c>
      <c r="AA505" s="2"/>
      <c r="AB505" s="68"/>
      <c r="AC505" s="15">
        <f t="shared" si="83"/>
        <v>5.5267822028746671</v>
      </c>
    </row>
    <row r="506" spans="1:29">
      <c r="A506" s="84">
        <f>'Q.1 &amp; 4'!K511</f>
        <v>2.5</v>
      </c>
      <c r="B506" s="141">
        <f>'Q.1 &amp; 4'!L511</f>
        <v>34.6</v>
      </c>
      <c r="C506" s="221"/>
      <c r="D506" s="23"/>
      <c r="E506" s="24"/>
      <c r="F506" s="22">
        <f t="shared" si="78"/>
        <v>-1.0074074074074115</v>
      </c>
      <c r="G506" s="22">
        <f t="shared" si="79"/>
        <v>-0.10648906955736237</v>
      </c>
      <c r="H506" s="22">
        <f t="shared" si="84"/>
        <v>0.10727787748000994</v>
      </c>
      <c r="I506" s="22">
        <f t="shared" si="85"/>
        <v>1.0148696844993224</v>
      </c>
      <c r="J506" s="24"/>
      <c r="K506" s="24"/>
      <c r="L506" s="235">
        <f t="shared" si="80"/>
        <v>39.260906713762353</v>
      </c>
      <c r="M506" s="126"/>
      <c r="N506" s="126"/>
      <c r="O506" s="126"/>
      <c r="P506" s="10">
        <f t="shared" si="81"/>
        <v>-4.6609067137623512</v>
      </c>
      <c r="Q506" s="10">
        <f t="shared" si="86"/>
        <v>21.724051394394959</v>
      </c>
      <c r="W506" s="240">
        <f t="shared" si="87"/>
        <v>4.6609067137623512</v>
      </c>
      <c r="X506" s="240">
        <f t="shared" si="88"/>
        <v>0.13470828652492345</v>
      </c>
      <c r="Y506"/>
      <c r="Z506" s="13">
        <f t="shared" si="82"/>
        <v>20.742720077845721</v>
      </c>
      <c r="AA506" s="2"/>
      <c r="AB506" s="68"/>
      <c r="AC506" s="15">
        <f t="shared" si="83"/>
        <v>1.1339921935192761E-2</v>
      </c>
    </row>
    <row r="507" spans="1:29">
      <c r="A507" s="84">
        <f>'Q.1 &amp; 4'!K512</f>
        <v>2.5</v>
      </c>
      <c r="B507" s="141">
        <f>'Q.1 &amp; 4'!L512</f>
        <v>42.921500000000002</v>
      </c>
      <c r="C507" s="221"/>
      <c r="D507" s="23"/>
      <c r="E507" s="24"/>
      <c r="F507" s="22">
        <f t="shared" si="78"/>
        <v>-1.0074074074074115</v>
      </c>
      <c r="G507" s="22">
        <f t="shared" si="79"/>
        <v>8.215010930442638</v>
      </c>
      <c r="H507" s="22">
        <f t="shared" si="84"/>
        <v>-8.275862863260766</v>
      </c>
      <c r="I507" s="22">
        <f t="shared" si="85"/>
        <v>1.0148696844993224</v>
      </c>
      <c r="J507" s="24"/>
      <c r="K507" s="24"/>
      <c r="L507" s="235">
        <f t="shared" si="80"/>
        <v>39.260906713762353</v>
      </c>
      <c r="M507" s="126"/>
      <c r="N507" s="126"/>
      <c r="O507" s="126"/>
      <c r="P507" s="10">
        <f t="shared" si="81"/>
        <v>3.6605932862376491</v>
      </c>
      <c r="Q507" s="10">
        <f t="shared" si="86"/>
        <v>13.399943207248151</v>
      </c>
      <c r="W507" s="240">
        <f t="shared" si="87"/>
        <v>3.6605932862376491</v>
      </c>
      <c r="X507" s="240">
        <f t="shared" si="88"/>
        <v>8.5285772543775243E-2</v>
      </c>
      <c r="Y507"/>
      <c r="Z507" s="13">
        <f t="shared" si="82"/>
        <v>20.742720077845721</v>
      </c>
      <c r="AA507" s="2"/>
      <c r="AB507" s="68"/>
      <c r="AC507" s="15">
        <f t="shared" si="83"/>
        <v>67.486404587292014</v>
      </c>
    </row>
    <row r="508" spans="1:29">
      <c r="A508" s="84">
        <f>'Q.1 &amp; 4'!K513</f>
        <v>3.6</v>
      </c>
      <c r="B508" s="141">
        <f>'Q.1 &amp; 4'!L513</f>
        <v>34.270800000000001</v>
      </c>
      <c r="C508" s="221"/>
      <c r="D508" s="23"/>
      <c r="E508" s="24"/>
      <c r="F508" s="22">
        <f t="shared" si="78"/>
        <v>9.2592592592588563E-2</v>
      </c>
      <c r="G508" s="22">
        <f t="shared" si="79"/>
        <v>-0.43568906955736253</v>
      </c>
      <c r="H508" s="22">
        <f t="shared" si="84"/>
        <v>-4.0341580514568848E-2</v>
      </c>
      <c r="I508" s="22">
        <f t="shared" si="85"/>
        <v>8.573388203017087E-3</v>
      </c>
      <c r="J508" s="24"/>
      <c r="K508" s="24"/>
      <c r="L508" s="235">
        <f t="shared" si="80"/>
        <v>34.287884506670892</v>
      </c>
      <c r="M508" s="126"/>
      <c r="N508" s="126"/>
      <c r="O508" s="126"/>
      <c r="P508" s="10">
        <f t="shared" si="81"/>
        <v>-1.7084506670890676E-2</v>
      </c>
      <c r="Q508" s="10">
        <f t="shared" si="86"/>
        <v>2.9188036818770797E-4</v>
      </c>
      <c r="W508" s="240">
        <f t="shared" si="87"/>
        <v>1.7084506670890676E-2</v>
      </c>
      <c r="X508" s="240">
        <f t="shared" si="88"/>
        <v>4.9851496524419255E-4</v>
      </c>
      <c r="Y508"/>
      <c r="Z508" s="13">
        <f t="shared" si="82"/>
        <v>0.17522978006937417</v>
      </c>
      <c r="AA508" s="2"/>
      <c r="AB508" s="68"/>
      <c r="AC508" s="15">
        <f t="shared" si="83"/>
        <v>0.1898249653317603</v>
      </c>
    </row>
    <row r="509" spans="1:29">
      <c r="A509" s="84">
        <f>'Q.1 &amp; 4'!K514</f>
        <v>2.5</v>
      </c>
      <c r="B509" s="141">
        <f>'Q.1 &amp; 4'!L514</f>
        <v>46.8</v>
      </c>
      <c r="C509" s="221"/>
      <c r="D509" s="23"/>
      <c r="E509" s="24"/>
      <c r="F509" s="22">
        <f t="shared" si="78"/>
        <v>-1.0074074074074115</v>
      </c>
      <c r="G509" s="22">
        <f t="shared" si="79"/>
        <v>12.093510930442633</v>
      </c>
      <c r="H509" s="22">
        <f t="shared" si="84"/>
        <v>-12.183092492890406</v>
      </c>
      <c r="I509" s="22">
        <f t="shared" si="85"/>
        <v>1.0148696844993224</v>
      </c>
      <c r="J509" s="24"/>
      <c r="K509" s="24"/>
      <c r="L509" s="235">
        <f t="shared" si="80"/>
        <v>39.260906713762353</v>
      </c>
      <c r="M509" s="126"/>
      <c r="N509" s="126"/>
      <c r="O509" s="126"/>
      <c r="P509" s="10">
        <f t="shared" si="81"/>
        <v>7.5390932862376445</v>
      </c>
      <c r="Q509" s="10">
        <f t="shared" si="86"/>
        <v>56.837927578593529</v>
      </c>
      <c r="W509" s="240">
        <f t="shared" si="87"/>
        <v>7.5390932862376445</v>
      </c>
      <c r="X509" s="240">
        <f t="shared" si="88"/>
        <v>0.16109173688541975</v>
      </c>
      <c r="Y509"/>
      <c r="Z509" s="13">
        <f t="shared" si="82"/>
        <v>20.742720077845721</v>
      </c>
      <c r="AA509" s="2"/>
      <c r="AB509" s="68"/>
      <c r="AC509" s="15">
        <f t="shared" si="83"/>
        <v>146.25300662473543</v>
      </c>
    </row>
    <row r="510" spans="1:29">
      <c r="A510" s="84">
        <f>'Q.1 &amp; 4'!K515</f>
        <v>2.5</v>
      </c>
      <c r="B510" s="141">
        <f>'Q.1 &amp; 4'!L515</f>
        <v>45.056600000000003</v>
      </c>
      <c r="C510" s="221"/>
      <c r="D510" s="23"/>
      <c r="E510" s="24"/>
      <c r="F510" s="22">
        <f t="shared" si="78"/>
        <v>-1.0074074074074115</v>
      </c>
      <c r="G510" s="22">
        <f t="shared" si="79"/>
        <v>10.350110930442639</v>
      </c>
      <c r="H510" s="22">
        <f t="shared" si="84"/>
        <v>-10.426778418816331</v>
      </c>
      <c r="I510" s="22">
        <f t="shared" si="85"/>
        <v>1.0148696844993224</v>
      </c>
      <c r="J510" s="24"/>
      <c r="K510" s="24"/>
      <c r="L510" s="235">
        <f t="shared" si="80"/>
        <v>39.260906713762353</v>
      </c>
      <c r="M510" s="126"/>
      <c r="N510" s="126"/>
      <c r="O510" s="126"/>
      <c r="P510" s="10">
        <f t="shared" si="81"/>
        <v>5.7956932862376505</v>
      </c>
      <c r="Q510" s="10">
        <f t="shared" si="86"/>
        <v>33.590060668140175</v>
      </c>
      <c r="W510" s="240">
        <f t="shared" si="87"/>
        <v>5.7956932862376505</v>
      </c>
      <c r="X510" s="240">
        <f t="shared" si="88"/>
        <v>0.12863139442917687</v>
      </c>
      <c r="Y510"/>
      <c r="Z510" s="13">
        <f t="shared" si="82"/>
        <v>20.742720077845721</v>
      </c>
      <c r="AA510" s="2"/>
      <c r="AB510" s="68"/>
      <c r="AC510" s="15">
        <f t="shared" si="83"/>
        <v>107.1247962724682</v>
      </c>
    </row>
    <row r="511" spans="1:29">
      <c r="A511" s="84">
        <f>'Q.1 &amp; 4'!K516</f>
        <v>3.5</v>
      </c>
      <c r="B511" s="141">
        <f>'Q.1 &amp; 4'!L516</f>
        <v>39.799999999999997</v>
      </c>
      <c r="C511" s="221"/>
      <c r="D511" s="23"/>
      <c r="E511" s="24"/>
      <c r="F511" s="22">
        <f t="shared" si="78"/>
        <v>-7.4074074074115259E-3</v>
      </c>
      <c r="G511" s="22">
        <f t="shared" si="79"/>
        <v>5.0935109304426334</v>
      </c>
      <c r="H511" s="22">
        <f t="shared" si="84"/>
        <v>-3.7729710595892335E-2</v>
      </c>
      <c r="I511" s="22">
        <f t="shared" si="85"/>
        <v>5.4869684499375142E-5</v>
      </c>
      <c r="J511" s="24"/>
      <c r="K511" s="24"/>
      <c r="L511" s="235">
        <f t="shared" si="80"/>
        <v>34.739977434588305</v>
      </c>
      <c r="M511" s="126"/>
      <c r="N511" s="126"/>
      <c r="O511" s="126"/>
      <c r="P511" s="10">
        <f t="shared" si="81"/>
        <v>5.0600225654116926</v>
      </c>
      <c r="Q511" s="10">
        <f t="shared" si="86"/>
        <v>25.603828362475525</v>
      </c>
      <c r="W511" s="240">
        <f t="shared" si="87"/>
        <v>5.0600225654116926</v>
      </c>
      <c r="X511" s="240">
        <f t="shared" si="88"/>
        <v>0.12713624536210283</v>
      </c>
      <c r="Y511"/>
      <c r="Z511" s="13">
        <f t="shared" si="82"/>
        <v>1.1214705924455365E-3</v>
      </c>
      <c r="AA511" s="2"/>
      <c r="AB511" s="68"/>
      <c r="AC511" s="15">
        <f t="shared" si="83"/>
        <v>25.943853598538581</v>
      </c>
    </row>
    <row r="512" spans="1:29">
      <c r="A512" s="84">
        <f>'Q.1 &amp; 4'!K517</f>
        <v>2.4</v>
      </c>
      <c r="B512" s="141">
        <f>'Q.1 &amp; 4'!L517</f>
        <v>48.2</v>
      </c>
      <c r="C512" s="221"/>
      <c r="D512" s="23"/>
      <c r="E512" s="24"/>
      <c r="F512" s="22">
        <f t="shared" si="78"/>
        <v>-1.1074074074074116</v>
      </c>
      <c r="G512" s="22">
        <f t="shared" si="79"/>
        <v>13.493510930442639</v>
      </c>
      <c r="H512" s="22">
        <f t="shared" si="84"/>
        <v>-14.942813956305054</v>
      </c>
      <c r="I512" s="22">
        <f t="shared" si="85"/>
        <v>1.2263511659808048</v>
      </c>
      <c r="J512" s="24"/>
      <c r="K512" s="24"/>
      <c r="L512" s="235">
        <f t="shared" si="80"/>
        <v>39.712999641679758</v>
      </c>
      <c r="M512" s="126"/>
      <c r="N512" s="126"/>
      <c r="O512" s="126"/>
      <c r="P512" s="10">
        <f t="shared" si="81"/>
        <v>8.4870003583202447</v>
      </c>
      <c r="Q512" s="10">
        <f t="shared" si="86"/>
        <v>72.029175082127963</v>
      </c>
      <c r="W512" s="240">
        <f t="shared" si="87"/>
        <v>8.4870003583202447</v>
      </c>
      <c r="X512" s="240">
        <f t="shared" si="88"/>
        <v>0.17607884560830381</v>
      </c>
      <c r="Y512"/>
      <c r="Z512" s="13">
        <f t="shared" si="82"/>
        <v>25.065148108773304</v>
      </c>
      <c r="AA512" s="2"/>
      <c r="AB512" s="68"/>
      <c r="AC512" s="15">
        <f t="shared" si="83"/>
        <v>182.07483722997497</v>
      </c>
    </row>
    <row r="513" spans="1:29">
      <c r="A513" s="84">
        <f>'Q.1 &amp; 4'!K518</f>
        <v>1.8</v>
      </c>
      <c r="B513" s="141">
        <f>'Q.1 &amp; 4'!L518</f>
        <v>69.6404</v>
      </c>
      <c r="C513" s="221"/>
      <c r="D513" s="23"/>
      <c r="E513" s="24"/>
      <c r="F513" s="22">
        <f t="shared" si="78"/>
        <v>-1.7074074074074115</v>
      </c>
      <c r="G513" s="22">
        <f t="shared" si="79"/>
        <v>34.933910930442636</v>
      </c>
      <c r="H513" s="22">
        <f t="shared" si="84"/>
        <v>-59.646418292348493</v>
      </c>
      <c r="I513" s="22">
        <f t="shared" si="85"/>
        <v>2.9152400548696984</v>
      </c>
      <c r="J513" s="24"/>
      <c r="K513" s="24"/>
      <c r="L513" s="235">
        <f t="shared" si="80"/>
        <v>42.425557209184191</v>
      </c>
      <c r="M513" s="126"/>
      <c r="N513" s="126"/>
      <c r="O513" s="126"/>
      <c r="P513" s="10">
        <f t="shared" si="81"/>
        <v>27.214842790815808</v>
      </c>
      <c r="Q513" s="10">
        <f t="shared" si="86"/>
        <v>740.64766812881919</v>
      </c>
      <c r="W513" s="240">
        <f t="shared" si="87"/>
        <v>27.214842790815808</v>
      </c>
      <c r="X513" s="240">
        <f t="shared" si="88"/>
        <v>0.39079101772557034</v>
      </c>
      <c r="Y513"/>
      <c r="Z513" s="13">
        <f t="shared" si="82"/>
        <v>59.584012944201973</v>
      </c>
      <c r="AA513" s="2"/>
      <c r="AB513" s="68"/>
      <c r="AC513" s="15">
        <f t="shared" si="83"/>
        <v>1220.3781328960995</v>
      </c>
    </row>
    <row r="514" spans="1:29">
      <c r="A514" s="84">
        <f>'Q.1 &amp; 4'!K519</f>
        <v>2</v>
      </c>
      <c r="B514" s="141">
        <f>'Q.1 &amp; 4'!L519</f>
        <v>42</v>
      </c>
      <c r="C514" s="221"/>
      <c r="D514" s="23"/>
      <c r="E514" s="24"/>
      <c r="F514" s="22">
        <f t="shared" si="78"/>
        <v>-1.5074074074074115</v>
      </c>
      <c r="G514" s="22">
        <f t="shared" si="79"/>
        <v>7.2935109304426362</v>
      </c>
      <c r="H514" s="22">
        <f t="shared" si="84"/>
        <v>-10.994292402556152</v>
      </c>
      <c r="I514" s="22">
        <f t="shared" si="85"/>
        <v>2.2722770919067341</v>
      </c>
      <c r="J514" s="24"/>
      <c r="K514" s="24"/>
      <c r="L514" s="235">
        <f t="shared" si="80"/>
        <v>41.52137135334938</v>
      </c>
      <c r="M514" s="126"/>
      <c r="N514" s="126"/>
      <c r="O514" s="126"/>
      <c r="P514" s="10">
        <f t="shared" si="81"/>
        <v>0.47862864665061977</v>
      </c>
      <c r="Q514" s="10">
        <f t="shared" si="86"/>
        <v>0.22908538139460383</v>
      </c>
      <c r="W514" s="240">
        <f t="shared" si="87"/>
        <v>0.47862864665061977</v>
      </c>
      <c r="X514" s="240">
        <f t="shared" si="88"/>
        <v>1.139592015834809E-2</v>
      </c>
      <c r="Y514"/>
      <c r="Z514" s="13">
        <f t="shared" si="82"/>
        <v>46.44262054194229</v>
      </c>
      <c r="AA514" s="2"/>
      <c r="AB514" s="68"/>
      <c r="AC514" s="15">
        <f t="shared" si="83"/>
        <v>53.195301692486211</v>
      </c>
    </row>
    <row r="515" spans="1:29">
      <c r="A515" s="84">
        <f>'Q.1 &amp; 4'!K520</f>
        <v>3</v>
      </c>
      <c r="B515" s="141">
        <f>'Q.1 &amp; 4'!L520</f>
        <v>32</v>
      </c>
      <c r="C515" s="221"/>
      <c r="D515" s="23"/>
      <c r="E515" s="24"/>
      <c r="F515" s="22">
        <f t="shared" si="78"/>
        <v>-0.50740740740741153</v>
      </c>
      <c r="G515" s="22">
        <f t="shared" si="79"/>
        <v>-2.7064890695573638</v>
      </c>
      <c r="H515" s="22">
        <f t="shared" si="84"/>
        <v>1.3732926019605995</v>
      </c>
      <c r="I515" s="22">
        <f t="shared" si="85"/>
        <v>0.25746227709191088</v>
      </c>
      <c r="J515" s="24"/>
      <c r="K515" s="24"/>
      <c r="L515" s="235">
        <f t="shared" si="80"/>
        <v>37.000442074175325</v>
      </c>
      <c r="M515" s="126"/>
      <c r="N515" s="126"/>
      <c r="O515" s="126"/>
      <c r="P515" s="10">
        <f t="shared" si="81"/>
        <v>-5.000442074175325</v>
      </c>
      <c r="Q515" s="10">
        <f t="shared" si="86"/>
        <v>25.004420937182825</v>
      </c>
      <c r="W515" s="240">
        <f t="shared" si="87"/>
        <v>5.000442074175325</v>
      </c>
      <c r="X515" s="240">
        <f t="shared" si="88"/>
        <v>0.15626381481797891</v>
      </c>
      <c r="Y515"/>
      <c r="Z515" s="13">
        <f t="shared" si="82"/>
        <v>5.2622203873957725</v>
      </c>
      <c r="AA515" s="2"/>
      <c r="AB515" s="68"/>
      <c r="AC515" s="15">
        <f t="shared" si="83"/>
        <v>7.3250830836334844</v>
      </c>
    </row>
    <row r="516" spans="1:29">
      <c r="A516" s="84">
        <f>'Q.1 &amp; 4'!K521</f>
        <v>4.4000000000000004</v>
      </c>
      <c r="B516" s="141">
        <f>'Q.1 &amp; 4'!L521</f>
        <v>30.8</v>
      </c>
      <c r="C516" s="221"/>
      <c r="D516" s="23"/>
      <c r="E516" s="24"/>
      <c r="F516" s="22">
        <f t="shared" si="78"/>
        <v>0.89259259259258883</v>
      </c>
      <c r="G516" s="22">
        <f t="shared" si="79"/>
        <v>-3.9064890695573631</v>
      </c>
      <c r="H516" s="22">
        <f t="shared" si="84"/>
        <v>-3.4869032065308168</v>
      </c>
      <c r="I516" s="22">
        <f t="shared" si="85"/>
        <v>0.79672153635115928</v>
      </c>
      <c r="J516" s="24"/>
      <c r="K516" s="24"/>
      <c r="L516" s="235">
        <f t="shared" si="80"/>
        <v>30.671141083331655</v>
      </c>
      <c r="M516" s="126"/>
      <c r="N516" s="126"/>
      <c r="O516" s="126"/>
      <c r="P516" s="10">
        <f t="shared" si="81"/>
        <v>0.12885891666834581</v>
      </c>
      <c r="Q516" s="10">
        <f t="shared" si="86"/>
        <v>1.660462040493969E-2</v>
      </c>
      <c r="W516" s="240">
        <f t="shared" si="87"/>
        <v>0.12885891666834581</v>
      </c>
      <c r="X516" s="240">
        <f t="shared" si="88"/>
        <v>4.1837310606605786E-3</v>
      </c>
      <c r="Y516"/>
      <c r="Z516" s="13">
        <f t="shared" si="82"/>
        <v>16.284033369935884</v>
      </c>
      <c r="AA516" s="2"/>
      <c r="AB516" s="68"/>
      <c r="AC516" s="15">
        <f t="shared" si="83"/>
        <v>15.260656850571152</v>
      </c>
    </row>
    <row r="517" spans="1:29">
      <c r="A517" s="84">
        <f>'Q.1 &amp; 4'!K522</f>
        <v>3.2</v>
      </c>
      <c r="B517" s="141">
        <f>'Q.1 &amp; 4'!L522</f>
        <v>36.4</v>
      </c>
      <c r="C517" s="221"/>
      <c r="D517" s="23"/>
      <c r="E517" s="24"/>
      <c r="F517" s="22">
        <f t="shared" si="78"/>
        <v>-0.30740740740741135</v>
      </c>
      <c r="G517" s="22">
        <f t="shared" si="79"/>
        <v>1.6935109304426348</v>
      </c>
      <c r="H517" s="22">
        <f t="shared" si="84"/>
        <v>-0.52059780454348326</v>
      </c>
      <c r="I517" s="22">
        <f t="shared" si="85"/>
        <v>9.4499314128946188E-2</v>
      </c>
      <c r="J517" s="24"/>
      <c r="K517" s="24"/>
      <c r="L517" s="235">
        <f t="shared" si="80"/>
        <v>36.096256218340514</v>
      </c>
      <c r="M517" s="126"/>
      <c r="N517" s="126"/>
      <c r="O517" s="126"/>
      <c r="P517" s="10">
        <f t="shared" si="81"/>
        <v>0.30374378165948457</v>
      </c>
      <c r="Q517" s="10">
        <f t="shared" si="86"/>
        <v>9.2260284896804629E-2</v>
      </c>
      <c r="W517" s="240">
        <f t="shared" si="87"/>
        <v>0.30374378165948457</v>
      </c>
      <c r="X517" s="240">
        <f t="shared" si="88"/>
        <v>8.3446093862495768E-3</v>
      </c>
      <c r="Y517"/>
      <c r="Z517" s="13">
        <f t="shared" si="82"/>
        <v>1.9314527278368467</v>
      </c>
      <c r="AA517" s="2"/>
      <c r="AB517" s="68"/>
      <c r="AC517" s="15">
        <f t="shared" si="83"/>
        <v>2.8679792715286787</v>
      </c>
    </row>
    <row r="518" spans="1:29">
      <c r="A518" s="84">
        <f>'Q.1 &amp; 4'!K523</f>
        <v>4.2</v>
      </c>
      <c r="B518" s="141">
        <f>'Q.1 &amp; 4'!L523</f>
        <v>31.5002</v>
      </c>
      <c r="C518" s="221"/>
      <c r="D518" s="23"/>
      <c r="E518" s="24"/>
      <c r="F518" s="22">
        <f t="shared" ref="F518:F581" si="89">A518-$D$6</f>
        <v>0.69259259259258865</v>
      </c>
      <c r="G518" s="22">
        <f t="shared" ref="G518:G581" si="90">B518-$E$6</f>
        <v>-3.2062890695573643</v>
      </c>
      <c r="H518" s="22">
        <f t="shared" si="84"/>
        <v>-2.2206520592860137</v>
      </c>
      <c r="I518" s="22">
        <f t="shared" si="85"/>
        <v>0.47968449931412349</v>
      </c>
      <c r="J518" s="24"/>
      <c r="K518" s="24"/>
      <c r="L518" s="235">
        <f t="shared" ref="L518:L581" si="91">$K$6+$J$6*A518</f>
        <v>31.575326939166466</v>
      </c>
      <c r="M518" s="126"/>
      <c r="N518" s="126"/>
      <c r="O518" s="126"/>
      <c r="P518" s="10">
        <f t="shared" ref="P518:P581" si="92">B518-L518</f>
        <v>-7.51269391664664E-2</v>
      </c>
      <c r="Q518" s="10">
        <f t="shared" si="86"/>
        <v>5.6440569885219428E-3</v>
      </c>
      <c r="W518" s="240">
        <f t="shared" si="87"/>
        <v>7.51269391664664E-2</v>
      </c>
      <c r="X518" s="240">
        <f t="shared" si="88"/>
        <v>2.3849670531128817E-3</v>
      </c>
      <c r="Y518"/>
      <c r="Z518" s="13">
        <f t="shared" ref="Z518:Z581" si="93">(L518-$E$6)^2</f>
        <v>9.8041762867940658</v>
      </c>
      <c r="AA518" s="2"/>
      <c r="AB518" s="68"/>
      <c r="AC518" s="15">
        <f t="shared" ref="AC518:AC581" si="94">(B518-$E$6)^2</f>
        <v>10.280289597563028</v>
      </c>
    </row>
    <row r="519" spans="1:29">
      <c r="A519" s="84">
        <f>'Q.1 &amp; 4'!K524</f>
        <v>3</v>
      </c>
      <c r="B519" s="141">
        <f>'Q.1 &amp; 4'!L524</f>
        <v>39.493699999999997</v>
      </c>
      <c r="C519" s="221"/>
      <c r="D519" s="23"/>
      <c r="E519" s="24"/>
      <c r="F519" s="22">
        <f t="shared" si="89"/>
        <v>-0.50740740740741153</v>
      </c>
      <c r="G519" s="22">
        <f t="shared" si="90"/>
        <v>4.7872109304426331</v>
      </c>
      <c r="H519" s="22">
        <f t="shared" ref="H519:H582" si="95">F519*G519</f>
        <v>-2.4290662869283186</v>
      </c>
      <c r="I519" s="22">
        <f t="shared" ref="I519:I582" si="96">F519^2</f>
        <v>0.25746227709191088</v>
      </c>
      <c r="J519" s="24"/>
      <c r="K519" s="24"/>
      <c r="L519" s="235">
        <f t="shared" si="91"/>
        <v>37.000442074175325</v>
      </c>
      <c r="M519" s="126"/>
      <c r="N519" s="126"/>
      <c r="O519" s="126"/>
      <c r="P519" s="10">
        <f t="shared" si="92"/>
        <v>2.4932579258246719</v>
      </c>
      <c r="Q519" s="10">
        <f t="shared" ref="Q519:Q582" si="97">P519^2</f>
        <v>6.2163350846875449</v>
      </c>
      <c r="W519" s="240">
        <f t="shared" ref="W519:W582" si="98">ABS(P519)</f>
        <v>2.4932579258246719</v>
      </c>
      <c r="X519" s="240">
        <f t="shared" ref="X519:X582" si="99">W519/B519</f>
        <v>6.3130522737162437E-2</v>
      </c>
      <c r="Y519"/>
      <c r="Z519" s="13">
        <f t="shared" si="93"/>
        <v>5.2622203873957725</v>
      </c>
      <c r="AA519" s="2"/>
      <c r="AB519" s="68"/>
      <c r="AC519" s="15">
        <f t="shared" si="94"/>
        <v>22.917388492549421</v>
      </c>
    </row>
    <row r="520" spans="1:29">
      <c r="A520" s="84">
        <f>'Q.1 &amp; 4'!K525</f>
        <v>4.4000000000000004</v>
      </c>
      <c r="B520" s="141">
        <f>'Q.1 &amp; 4'!L525</f>
        <v>30.953700000000001</v>
      </c>
      <c r="C520" s="221"/>
      <c r="D520" s="23"/>
      <c r="E520" s="24"/>
      <c r="F520" s="22">
        <f t="shared" si="89"/>
        <v>0.89259259259258883</v>
      </c>
      <c r="G520" s="22">
        <f t="shared" si="90"/>
        <v>-3.7527890695573625</v>
      </c>
      <c r="H520" s="22">
        <f t="shared" si="95"/>
        <v>-3.3497117250493353</v>
      </c>
      <c r="I520" s="22">
        <f t="shared" si="96"/>
        <v>0.79672153635115928</v>
      </c>
      <c r="J520" s="24"/>
      <c r="K520" s="24"/>
      <c r="L520" s="235">
        <f t="shared" si="91"/>
        <v>30.671141083331655</v>
      </c>
      <c r="M520" s="126"/>
      <c r="N520" s="126"/>
      <c r="O520" s="126"/>
      <c r="P520" s="10">
        <f t="shared" si="92"/>
        <v>0.28255891666834643</v>
      </c>
      <c r="Q520" s="10">
        <f t="shared" si="97"/>
        <v>7.9839541388789542E-2</v>
      </c>
      <c r="W520" s="240">
        <f t="shared" si="98"/>
        <v>0.28255891666834643</v>
      </c>
      <c r="X520" s="240">
        <f t="shared" si="99"/>
        <v>9.1284375266396725E-3</v>
      </c>
      <c r="Y520"/>
      <c r="Z520" s="13">
        <f t="shared" si="93"/>
        <v>16.284033369935884</v>
      </c>
      <c r="AA520" s="2"/>
      <c r="AB520" s="68"/>
      <c r="AC520" s="15">
        <f t="shared" si="94"/>
        <v>14.083425800589215</v>
      </c>
    </row>
    <row r="521" spans="1:29">
      <c r="A521" s="84">
        <f>'Q.1 &amp; 4'!K526</f>
        <v>4.4000000000000004</v>
      </c>
      <c r="B521" s="141">
        <f>'Q.1 &amp; 4'!L526</f>
        <v>30.562000000000001</v>
      </c>
      <c r="C521" s="221"/>
      <c r="D521" s="23"/>
      <c r="E521" s="24"/>
      <c r="F521" s="22">
        <f t="shared" si="89"/>
        <v>0.89259259259258883</v>
      </c>
      <c r="G521" s="22">
        <f t="shared" si="90"/>
        <v>-4.1444890695573626</v>
      </c>
      <c r="H521" s="22">
        <f t="shared" si="95"/>
        <v>-3.6993402435678524</v>
      </c>
      <c r="I521" s="22">
        <f t="shared" si="96"/>
        <v>0.79672153635115928</v>
      </c>
      <c r="J521" s="24"/>
      <c r="K521" s="24"/>
      <c r="L521" s="235">
        <f t="shared" si="91"/>
        <v>30.671141083331655</v>
      </c>
      <c r="M521" s="126"/>
      <c r="N521" s="126"/>
      <c r="O521" s="126"/>
      <c r="P521" s="10">
        <f t="shared" si="92"/>
        <v>-0.10914108333165373</v>
      </c>
      <c r="Q521" s="10">
        <f t="shared" si="97"/>
        <v>1.1911776070806984E-2</v>
      </c>
      <c r="W521" s="240">
        <f t="shared" si="98"/>
        <v>0.10914108333165373</v>
      </c>
      <c r="X521" s="240">
        <f t="shared" si="99"/>
        <v>3.5711368147259251E-3</v>
      </c>
      <c r="Y521"/>
      <c r="Z521" s="13">
        <f t="shared" si="93"/>
        <v>16.284033369935884</v>
      </c>
      <c r="AA521" s="2"/>
      <c r="AB521" s="68"/>
      <c r="AC521" s="15">
        <f t="shared" si="94"/>
        <v>17.176789647680454</v>
      </c>
    </row>
    <row r="522" spans="1:29">
      <c r="A522" s="84">
        <f>'Q.1 &amp; 4'!K527</f>
        <v>4.4000000000000004</v>
      </c>
      <c r="B522" s="141">
        <f>'Q.1 &amp; 4'!L527</f>
        <v>30.172599999999999</v>
      </c>
      <c r="C522" s="221"/>
      <c r="D522" s="23"/>
      <c r="E522" s="24"/>
      <c r="F522" s="22">
        <f t="shared" si="89"/>
        <v>0.89259259259258883</v>
      </c>
      <c r="G522" s="22">
        <f t="shared" si="90"/>
        <v>-4.5338890695573646</v>
      </c>
      <c r="H522" s="22">
        <f t="shared" si="95"/>
        <v>-4.0469157991234086</v>
      </c>
      <c r="I522" s="22">
        <f t="shared" si="96"/>
        <v>0.79672153635115928</v>
      </c>
      <c r="J522" s="24"/>
      <c r="K522" s="24"/>
      <c r="L522" s="235">
        <f t="shared" si="91"/>
        <v>30.671141083331655</v>
      </c>
      <c r="M522" s="126"/>
      <c r="N522" s="126"/>
      <c r="O522" s="126"/>
      <c r="P522" s="10">
        <f t="shared" si="92"/>
        <v>-0.4985410833316557</v>
      </c>
      <c r="Q522" s="10">
        <f t="shared" si="97"/>
        <v>0.24854321176950087</v>
      </c>
      <c r="W522" s="240">
        <f t="shared" si="98"/>
        <v>0.4985410833316557</v>
      </c>
      <c r="X522" s="240">
        <f t="shared" si="99"/>
        <v>1.652297393435288E-2</v>
      </c>
      <c r="Y522"/>
      <c r="Z522" s="13">
        <f t="shared" si="93"/>
        <v>16.284033369935884</v>
      </c>
      <c r="AA522" s="2"/>
      <c r="AB522" s="68"/>
      <c r="AC522" s="15">
        <f t="shared" si="94"/>
        <v>20.556150095051745</v>
      </c>
    </row>
    <row r="523" spans="1:29">
      <c r="A523" s="84">
        <f>'Q.1 &amp; 4'!K528</f>
        <v>4.4000000000000004</v>
      </c>
      <c r="B523" s="141">
        <f>'Q.1 &amp; 4'!L528</f>
        <v>27.7</v>
      </c>
      <c r="C523" s="221"/>
      <c r="D523" s="23"/>
      <c r="E523" s="24"/>
      <c r="F523" s="22">
        <f t="shared" si="89"/>
        <v>0.89259259259258883</v>
      </c>
      <c r="G523" s="22">
        <f t="shared" si="90"/>
        <v>-7.0064890695573645</v>
      </c>
      <c r="H523" s="22">
        <f t="shared" si="95"/>
        <v>-6.2539402435678433</v>
      </c>
      <c r="I523" s="22">
        <f t="shared" si="96"/>
        <v>0.79672153635115928</v>
      </c>
      <c r="J523" s="24"/>
      <c r="K523" s="24"/>
      <c r="L523" s="235">
        <f t="shared" si="91"/>
        <v>30.671141083331655</v>
      </c>
      <c r="M523" s="126"/>
      <c r="N523" s="126"/>
      <c r="O523" s="126"/>
      <c r="P523" s="10">
        <f t="shared" si="92"/>
        <v>-2.9711410833316556</v>
      </c>
      <c r="Q523" s="10">
        <f t="shared" si="97"/>
        <v>8.8276793370612037</v>
      </c>
      <c r="W523" s="240">
        <f t="shared" si="98"/>
        <v>2.9711410833316556</v>
      </c>
      <c r="X523" s="240">
        <f t="shared" si="99"/>
        <v>0.10726141095060129</v>
      </c>
      <c r="Y523"/>
      <c r="Z523" s="13">
        <f t="shared" si="93"/>
        <v>16.284033369935884</v>
      </c>
      <c r="AA523" s="2"/>
      <c r="AB523" s="68"/>
      <c r="AC523" s="15">
        <f t="shared" si="94"/>
        <v>49.090889081826823</v>
      </c>
    </row>
    <row r="524" spans="1:29">
      <c r="A524" s="84">
        <f>'Q.1 &amp; 4'!K529</f>
        <v>4.4000000000000004</v>
      </c>
      <c r="B524" s="141">
        <f>'Q.1 &amp; 4'!L529</f>
        <v>29.452100000000002</v>
      </c>
      <c r="C524" s="221"/>
      <c r="D524" s="23"/>
      <c r="E524" s="24"/>
      <c r="F524" s="22">
        <f t="shared" si="89"/>
        <v>0.89259259259258883</v>
      </c>
      <c r="G524" s="22">
        <f t="shared" si="90"/>
        <v>-5.2543890695573623</v>
      </c>
      <c r="H524" s="22">
        <f t="shared" si="95"/>
        <v>-4.6900287620863663</v>
      </c>
      <c r="I524" s="22">
        <f t="shared" si="96"/>
        <v>0.79672153635115928</v>
      </c>
      <c r="J524" s="24"/>
      <c r="K524" s="24"/>
      <c r="L524" s="235">
        <f t="shared" si="91"/>
        <v>30.671141083331655</v>
      </c>
      <c r="M524" s="126"/>
      <c r="N524" s="126"/>
      <c r="O524" s="126"/>
      <c r="P524" s="10">
        <f t="shared" si="92"/>
        <v>-1.2190410833316534</v>
      </c>
      <c r="Q524" s="10">
        <f t="shared" si="97"/>
        <v>1.486061162850411</v>
      </c>
      <c r="W524" s="240">
        <f t="shared" si="98"/>
        <v>1.2190410833316534</v>
      </c>
      <c r="X524" s="240">
        <f t="shared" si="99"/>
        <v>4.1390633718195083E-2</v>
      </c>
      <c r="Y524"/>
      <c r="Z524" s="13">
        <f t="shared" si="93"/>
        <v>16.284033369935884</v>
      </c>
      <c r="AA524" s="2"/>
      <c r="AB524" s="68"/>
      <c r="AC524" s="15">
        <f t="shared" si="94"/>
        <v>27.608604494283885</v>
      </c>
    </row>
    <row r="525" spans="1:29">
      <c r="A525" s="84">
        <f>'Q.1 &amp; 4'!K530</f>
        <v>4.4000000000000004</v>
      </c>
      <c r="B525" s="141">
        <f>'Q.1 &amp; 4'!L530</f>
        <v>27.7</v>
      </c>
      <c r="C525" s="221"/>
      <c r="D525" s="23"/>
      <c r="E525" s="24"/>
      <c r="F525" s="22">
        <f t="shared" si="89"/>
        <v>0.89259259259258883</v>
      </c>
      <c r="G525" s="22">
        <f t="shared" si="90"/>
        <v>-7.0064890695573645</v>
      </c>
      <c r="H525" s="22">
        <f t="shared" si="95"/>
        <v>-6.2539402435678433</v>
      </c>
      <c r="I525" s="22">
        <f t="shared" si="96"/>
        <v>0.79672153635115928</v>
      </c>
      <c r="J525" s="24"/>
      <c r="K525" s="24"/>
      <c r="L525" s="235">
        <f t="shared" si="91"/>
        <v>30.671141083331655</v>
      </c>
      <c r="M525" s="126"/>
      <c r="N525" s="126"/>
      <c r="O525" s="126"/>
      <c r="P525" s="10">
        <f t="shared" si="92"/>
        <v>-2.9711410833316556</v>
      </c>
      <c r="Q525" s="10">
        <f t="shared" si="97"/>
        <v>8.8276793370612037</v>
      </c>
      <c r="W525" s="240">
        <f t="shared" si="98"/>
        <v>2.9711410833316556</v>
      </c>
      <c r="X525" s="240">
        <f t="shared" si="99"/>
        <v>0.10726141095060129</v>
      </c>
      <c r="Y525"/>
      <c r="Z525" s="13">
        <f t="shared" si="93"/>
        <v>16.284033369935884</v>
      </c>
      <c r="AA525" s="2"/>
      <c r="AB525" s="68"/>
      <c r="AC525" s="15">
        <f t="shared" si="94"/>
        <v>49.090889081826823</v>
      </c>
    </row>
    <row r="526" spans="1:29">
      <c r="A526" s="84">
        <f>'Q.1 &amp; 4'!K531</f>
        <v>6</v>
      </c>
      <c r="B526" s="141">
        <f>'Q.1 &amp; 4'!L531</f>
        <v>26.749500000000001</v>
      </c>
      <c r="C526" s="221"/>
      <c r="D526" s="23"/>
      <c r="E526" s="24"/>
      <c r="F526" s="22">
        <f t="shared" si="89"/>
        <v>2.4925925925925885</v>
      </c>
      <c r="G526" s="22">
        <f t="shared" si="90"/>
        <v>-7.9569890695573626</v>
      </c>
      <c r="H526" s="22">
        <f t="shared" si="95"/>
        <v>-19.833532014118873</v>
      </c>
      <c r="I526" s="22">
        <f t="shared" si="96"/>
        <v>6.2130178326474415</v>
      </c>
      <c r="J526" s="24"/>
      <c r="K526" s="24"/>
      <c r="L526" s="235">
        <f t="shared" si="91"/>
        <v>23.437654236653174</v>
      </c>
      <c r="M526" s="126"/>
      <c r="N526" s="126"/>
      <c r="O526" s="126"/>
      <c r="P526" s="10">
        <f t="shared" si="92"/>
        <v>3.3118457633468275</v>
      </c>
      <c r="Q526" s="10">
        <f t="shared" si="97"/>
        <v>10.96832236019833</v>
      </c>
      <c r="W526" s="240">
        <f t="shared" si="98"/>
        <v>3.3118457633468275</v>
      </c>
      <c r="X526" s="240">
        <f t="shared" si="99"/>
        <v>0.12380963245469363</v>
      </c>
      <c r="Y526"/>
      <c r="Z526" s="13">
        <f t="shared" si="93"/>
        <v>126.9866384912748</v>
      </c>
      <c r="AA526" s="2"/>
      <c r="AB526" s="68"/>
      <c r="AC526" s="15">
        <f t="shared" si="94"/>
        <v>63.313675053055341</v>
      </c>
    </row>
    <row r="527" spans="1:29">
      <c r="A527" s="84">
        <f>'Q.1 &amp; 4'!K532</f>
        <v>3.9</v>
      </c>
      <c r="B527" s="141">
        <f>'Q.1 &amp; 4'!L532</f>
        <v>37.299999999999997</v>
      </c>
      <c r="C527" s="221"/>
      <c r="D527" s="23"/>
      <c r="E527" s="24"/>
      <c r="F527" s="22">
        <f t="shared" si="89"/>
        <v>0.39259259259258839</v>
      </c>
      <c r="G527" s="22">
        <f t="shared" si="90"/>
        <v>2.5935109304426334</v>
      </c>
      <c r="H527" s="22">
        <f t="shared" si="95"/>
        <v>1.0181931800996895</v>
      </c>
      <c r="I527" s="22">
        <f t="shared" si="96"/>
        <v>0.15412894375857009</v>
      </c>
      <c r="J527" s="24"/>
      <c r="K527" s="24"/>
      <c r="L527" s="235">
        <f t="shared" si="91"/>
        <v>32.931605722918682</v>
      </c>
      <c r="M527" s="126"/>
      <c r="N527" s="126"/>
      <c r="O527" s="126"/>
      <c r="P527" s="10">
        <f t="shared" si="92"/>
        <v>4.3683942770813147</v>
      </c>
      <c r="Q527" s="10">
        <f t="shared" si="97"/>
        <v>19.082868560036783</v>
      </c>
      <c r="W527" s="240">
        <f t="shared" si="98"/>
        <v>4.3683942770813147</v>
      </c>
      <c r="X527" s="240">
        <f t="shared" si="99"/>
        <v>0.11711512807188512</v>
      </c>
      <c r="Y527"/>
      <c r="Z527" s="13">
        <f t="shared" si="93"/>
        <v>3.1502108941753253</v>
      </c>
      <c r="AA527" s="2"/>
      <c r="AB527" s="68"/>
      <c r="AC527" s="15">
        <f t="shared" si="94"/>
        <v>6.7262989463254135</v>
      </c>
    </row>
    <row r="528" spans="1:29">
      <c r="A528" s="84">
        <f>'Q.1 &amp; 4'!K533</f>
        <v>3.9</v>
      </c>
      <c r="B528" s="141">
        <f>'Q.1 &amp; 4'!L533</f>
        <v>36.6</v>
      </c>
      <c r="C528" s="221"/>
      <c r="D528" s="23"/>
      <c r="E528" s="24"/>
      <c r="F528" s="22">
        <f t="shared" si="89"/>
        <v>0.39259259259258839</v>
      </c>
      <c r="G528" s="22">
        <f t="shared" si="90"/>
        <v>1.8935109304426376</v>
      </c>
      <c r="H528" s="22">
        <f t="shared" si="95"/>
        <v>0.74337836528487944</v>
      </c>
      <c r="I528" s="22">
        <f t="shared" si="96"/>
        <v>0.15412894375857009</v>
      </c>
      <c r="J528" s="24"/>
      <c r="K528" s="24"/>
      <c r="L528" s="235">
        <f t="shared" si="91"/>
        <v>32.931605722918682</v>
      </c>
      <c r="M528" s="126"/>
      <c r="N528" s="126"/>
      <c r="O528" s="126"/>
      <c r="P528" s="10">
        <f t="shared" si="92"/>
        <v>3.6683942770813189</v>
      </c>
      <c r="Q528" s="10">
        <f t="shared" si="97"/>
        <v>13.457116572122972</v>
      </c>
      <c r="W528" s="240">
        <f t="shared" si="98"/>
        <v>3.6683942770813189</v>
      </c>
      <c r="X528" s="240">
        <f t="shared" si="99"/>
        <v>0.10022935183282292</v>
      </c>
      <c r="Y528"/>
      <c r="Z528" s="13">
        <f t="shared" si="93"/>
        <v>3.1502108941753253</v>
      </c>
      <c r="AA528" s="2"/>
      <c r="AB528" s="68"/>
      <c r="AC528" s="15">
        <f t="shared" si="94"/>
        <v>3.5853836437057431</v>
      </c>
    </row>
    <row r="529" spans="1:29">
      <c r="A529" s="84">
        <f>'Q.1 &amp; 4'!K534</f>
        <v>4.5999999999999996</v>
      </c>
      <c r="B529" s="141">
        <f>'Q.1 &amp; 4'!L534</f>
        <v>31.9</v>
      </c>
      <c r="C529" s="221"/>
      <c r="D529" s="23"/>
      <c r="E529" s="24"/>
      <c r="F529" s="22">
        <f t="shared" si="89"/>
        <v>1.0925925925925881</v>
      </c>
      <c r="G529" s="22">
        <f t="shared" si="90"/>
        <v>-2.8064890695573652</v>
      </c>
      <c r="H529" s="22">
        <f t="shared" si="95"/>
        <v>-3.0663491685904418</v>
      </c>
      <c r="I529" s="22">
        <f t="shared" si="96"/>
        <v>1.1937585733881932</v>
      </c>
      <c r="J529" s="24"/>
      <c r="K529" s="24"/>
      <c r="L529" s="235">
        <f t="shared" si="91"/>
        <v>29.766955227496847</v>
      </c>
      <c r="M529" s="126"/>
      <c r="N529" s="126"/>
      <c r="O529" s="126"/>
      <c r="P529" s="10">
        <f t="shared" si="92"/>
        <v>2.1330447725031512</v>
      </c>
      <c r="Q529" s="10">
        <f t="shared" si="97"/>
        <v>4.5498800015030199</v>
      </c>
      <c r="W529" s="240">
        <f t="shared" si="98"/>
        <v>2.1330447725031512</v>
      </c>
      <c r="X529" s="240">
        <f t="shared" si="99"/>
        <v>6.6866607288500038E-2</v>
      </c>
      <c r="Y529"/>
      <c r="Z529" s="13">
        <f t="shared" si="93"/>
        <v>24.398994576861128</v>
      </c>
      <c r="AA529" s="2"/>
      <c r="AB529" s="68"/>
      <c r="AC529" s="15">
        <f t="shared" si="94"/>
        <v>7.8763808975449656</v>
      </c>
    </row>
    <row r="530" spans="1:29">
      <c r="A530" s="84">
        <f>'Q.1 &amp; 4'!K535</f>
        <v>4.5999999999999996</v>
      </c>
      <c r="B530" s="141">
        <f>'Q.1 &amp; 4'!L535</f>
        <v>31.9</v>
      </c>
      <c r="C530" s="221"/>
      <c r="D530" s="23"/>
      <c r="E530" s="24"/>
      <c r="F530" s="22">
        <f t="shared" si="89"/>
        <v>1.0925925925925881</v>
      </c>
      <c r="G530" s="22">
        <f t="shared" si="90"/>
        <v>-2.8064890695573652</v>
      </c>
      <c r="H530" s="22">
        <f t="shared" si="95"/>
        <v>-3.0663491685904418</v>
      </c>
      <c r="I530" s="22">
        <f t="shared" si="96"/>
        <v>1.1937585733881932</v>
      </c>
      <c r="J530" s="24"/>
      <c r="K530" s="24"/>
      <c r="L530" s="235">
        <f t="shared" si="91"/>
        <v>29.766955227496847</v>
      </c>
      <c r="M530" s="126"/>
      <c r="N530" s="126"/>
      <c r="O530" s="126"/>
      <c r="P530" s="10">
        <f t="shared" si="92"/>
        <v>2.1330447725031512</v>
      </c>
      <c r="Q530" s="10">
        <f t="shared" si="97"/>
        <v>4.5498800015030199</v>
      </c>
      <c r="W530" s="240">
        <f t="shared" si="98"/>
        <v>2.1330447725031512</v>
      </c>
      <c r="X530" s="240">
        <f t="shared" si="99"/>
        <v>6.6866607288500038E-2</v>
      </c>
      <c r="Y530"/>
      <c r="Z530" s="13">
        <f t="shared" si="93"/>
        <v>24.398994576861128</v>
      </c>
      <c r="AA530" s="2"/>
      <c r="AB530" s="68"/>
      <c r="AC530" s="15">
        <f t="shared" si="94"/>
        <v>7.8763808975449656</v>
      </c>
    </row>
    <row r="531" spans="1:29">
      <c r="A531" s="84">
        <f>'Q.1 &amp; 4'!K536</f>
        <v>4.5999999999999996</v>
      </c>
      <c r="B531" s="141">
        <f>'Q.1 &amp; 4'!L536</f>
        <v>31.9</v>
      </c>
      <c r="C531" s="221"/>
      <c r="D531" s="23"/>
      <c r="E531" s="24"/>
      <c r="F531" s="22">
        <f t="shared" si="89"/>
        <v>1.0925925925925881</v>
      </c>
      <c r="G531" s="22">
        <f t="shared" si="90"/>
        <v>-2.8064890695573652</v>
      </c>
      <c r="H531" s="22">
        <f t="shared" si="95"/>
        <v>-3.0663491685904418</v>
      </c>
      <c r="I531" s="22">
        <f t="shared" si="96"/>
        <v>1.1937585733881932</v>
      </c>
      <c r="J531" s="24"/>
      <c r="K531" s="24"/>
      <c r="L531" s="235">
        <f t="shared" si="91"/>
        <v>29.766955227496847</v>
      </c>
      <c r="M531" s="126"/>
      <c r="N531" s="126"/>
      <c r="O531" s="126"/>
      <c r="P531" s="10">
        <f t="shared" si="92"/>
        <v>2.1330447725031512</v>
      </c>
      <c r="Q531" s="10">
        <f t="shared" si="97"/>
        <v>4.5498800015030199</v>
      </c>
      <c r="W531" s="240">
        <f t="shared" si="98"/>
        <v>2.1330447725031512</v>
      </c>
      <c r="X531" s="240">
        <f t="shared" si="99"/>
        <v>6.6866607288500038E-2</v>
      </c>
      <c r="Y531"/>
      <c r="Z531" s="13">
        <f t="shared" si="93"/>
        <v>24.398994576861128</v>
      </c>
      <c r="AA531" s="2"/>
      <c r="AB531" s="68"/>
      <c r="AC531" s="15">
        <f t="shared" si="94"/>
        <v>7.8763808975449656</v>
      </c>
    </row>
    <row r="532" spans="1:29">
      <c r="A532" s="84">
        <f>'Q.1 &amp; 4'!K537</f>
        <v>4.5999999999999996</v>
      </c>
      <c r="B532" s="141">
        <f>'Q.1 &amp; 4'!L537</f>
        <v>22.7</v>
      </c>
      <c r="C532" s="221"/>
      <c r="D532" s="23"/>
      <c r="E532" s="24"/>
      <c r="F532" s="22">
        <f t="shared" si="89"/>
        <v>1.0925925925925881</v>
      </c>
      <c r="G532" s="22">
        <f t="shared" si="90"/>
        <v>-12.006489069557365</v>
      </c>
      <c r="H532" s="22">
        <f t="shared" si="95"/>
        <v>-13.118201020442251</v>
      </c>
      <c r="I532" s="22">
        <f t="shared" si="96"/>
        <v>1.1937585733881932</v>
      </c>
      <c r="J532" s="24"/>
      <c r="K532" s="24"/>
      <c r="L532" s="235">
        <f t="shared" si="91"/>
        <v>29.766955227496847</v>
      </c>
      <c r="M532" s="126"/>
      <c r="N532" s="126"/>
      <c r="O532" s="126"/>
      <c r="P532" s="10">
        <f t="shared" si="92"/>
        <v>-7.0669552274968481</v>
      </c>
      <c r="Q532" s="10">
        <f t="shared" si="97"/>
        <v>49.941856187445026</v>
      </c>
      <c r="W532" s="240">
        <f t="shared" si="98"/>
        <v>7.0669552274968481</v>
      </c>
      <c r="X532" s="240">
        <f t="shared" si="99"/>
        <v>0.31131961354611665</v>
      </c>
      <c r="Y532"/>
      <c r="Z532" s="13">
        <f t="shared" si="93"/>
        <v>24.398994576861128</v>
      </c>
      <c r="AA532" s="2"/>
      <c r="AB532" s="68"/>
      <c r="AC532" s="15">
        <f t="shared" si="94"/>
        <v>144.15577977740048</v>
      </c>
    </row>
    <row r="533" spans="1:29">
      <c r="A533" s="84">
        <f>'Q.1 &amp; 4'!K538</f>
        <v>4.5999999999999996</v>
      </c>
      <c r="B533" s="141">
        <f>'Q.1 &amp; 4'!L538</f>
        <v>24.5</v>
      </c>
      <c r="C533" s="221"/>
      <c r="D533" s="23"/>
      <c r="E533" s="24"/>
      <c r="F533" s="22">
        <f t="shared" si="89"/>
        <v>1.0925925925925881</v>
      </c>
      <c r="G533" s="22">
        <f t="shared" si="90"/>
        <v>-10.206489069557364</v>
      </c>
      <c r="H533" s="22">
        <f t="shared" si="95"/>
        <v>-11.151534353775592</v>
      </c>
      <c r="I533" s="22">
        <f t="shared" si="96"/>
        <v>1.1937585733881932</v>
      </c>
      <c r="J533" s="24"/>
      <c r="K533" s="24"/>
      <c r="L533" s="235">
        <f t="shared" si="91"/>
        <v>29.766955227496847</v>
      </c>
      <c r="M533" s="126"/>
      <c r="N533" s="126"/>
      <c r="O533" s="126"/>
      <c r="P533" s="10">
        <f t="shared" si="92"/>
        <v>-5.2669552274968474</v>
      </c>
      <c r="Q533" s="10">
        <f t="shared" si="97"/>
        <v>27.740817368456369</v>
      </c>
      <c r="W533" s="240">
        <f t="shared" si="98"/>
        <v>5.2669552274968474</v>
      </c>
      <c r="X533" s="240">
        <f t="shared" si="99"/>
        <v>0.21497776438762642</v>
      </c>
      <c r="Y533"/>
      <c r="Z533" s="13">
        <f t="shared" si="93"/>
        <v>24.398994576861128</v>
      </c>
      <c r="AA533" s="2"/>
      <c r="AB533" s="68"/>
      <c r="AC533" s="15">
        <f t="shared" si="94"/>
        <v>104.17241912699394</v>
      </c>
    </row>
    <row r="534" spans="1:29">
      <c r="A534" s="84">
        <f>'Q.1 &amp; 4'!K539</f>
        <v>3.5</v>
      </c>
      <c r="B534" s="141">
        <f>'Q.1 &amp; 4'!L539</f>
        <v>40.299999999999997</v>
      </c>
      <c r="C534" s="221"/>
      <c r="D534" s="23"/>
      <c r="E534" s="24"/>
      <c r="F534" s="22">
        <f t="shared" si="89"/>
        <v>-7.4074074074115259E-3</v>
      </c>
      <c r="G534" s="22">
        <f t="shared" si="90"/>
        <v>5.5935109304426334</v>
      </c>
      <c r="H534" s="22">
        <f t="shared" si="95"/>
        <v>-4.1433414299598098E-2</v>
      </c>
      <c r="I534" s="22">
        <f t="shared" si="96"/>
        <v>5.4869684499375142E-5</v>
      </c>
      <c r="J534" s="24"/>
      <c r="K534" s="24"/>
      <c r="L534" s="235">
        <f t="shared" si="91"/>
        <v>34.739977434588305</v>
      </c>
      <c r="M534" s="126"/>
      <c r="N534" s="126"/>
      <c r="O534" s="126"/>
      <c r="P534" s="10">
        <f t="shared" si="92"/>
        <v>5.5600225654116926</v>
      </c>
      <c r="Q534" s="10">
        <f t="shared" si="97"/>
        <v>30.913850927887218</v>
      </c>
      <c r="W534" s="240">
        <f t="shared" si="98"/>
        <v>5.5600225654116926</v>
      </c>
      <c r="X534" s="240">
        <f t="shared" si="99"/>
        <v>0.13796582048167971</v>
      </c>
      <c r="Y534"/>
      <c r="Z534" s="13">
        <f t="shared" si="93"/>
        <v>1.1214705924455365E-3</v>
      </c>
      <c r="AA534" s="2"/>
      <c r="AB534" s="68"/>
      <c r="AC534" s="15">
        <f t="shared" si="94"/>
        <v>31.287364528981215</v>
      </c>
    </row>
    <row r="535" spans="1:29">
      <c r="A535" s="84">
        <f>'Q.1 &amp; 4'!K540</f>
        <v>3.5</v>
      </c>
      <c r="B535" s="141">
        <f>'Q.1 &amp; 4'!L540</f>
        <v>41.2</v>
      </c>
      <c r="C535" s="221"/>
      <c r="D535" s="23"/>
      <c r="E535" s="24"/>
      <c r="F535" s="22">
        <f t="shared" si="89"/>
        <v>-7.4074074074115259E-3</v>
      </c>
      <c r="G535" s="22">
        <f t="shared" si="90"/>
        <v>6.4935109304426391</v>
      </c>
      <c r="H535" s="22">
        <f t="shared" si="95"/>
        <v>-4.8100080966268513E-2</v>
      </c>
      <c r="I535" s="22">
        <f t="shared" si="96"/>
        <v>5.4869684499375142E-5</v>
      </c>
      <c r="J535" s="24"/>
      <c r="K535" s="24"/>
      <c r="L535" s="235">
        <f t="shared" si="91"/>
        <v>34.739977434588305</v>
      </c>
      <c r="M535" s="126"/>
      <c r="N535" s="126"/>
      <c r="O535" s="126"/>
      <c r="P535" s="10">
        <f t="shared" si="92"/>
        <v>6.4600225654116983</v>
      </c>
      <c r="Q535" s="10">
        <f t="shared" si="97"/>
        <v>41.731891545628336</v>
      </c>
      <c r="W535" s="240">
        <f t="shared" si="98"/>
        <v>6.4600225654116983</v>
      </c>
      <c r="X535" s="240">
        <f t="shared" si="99"/>
        <v>0.1567966642090218</v>
      </c>
      <c r="Y535"/>
      <c r="Z535" s="13">
        <f t="shared" si="93"/>
        <v>1.1214705924455365E-3</v>
      </c>
      <c r="AA535" s="2"/>
      <c r="AB535" s="68"/>
      <c r="AC535" s="15">
        <f t="shared" si="94"/>
        <v>42.165684203778028</v>
      </c>
    </row>
    <row r="536" spans="1:29">
      <c r="A536" s="84">
        <f>'Q.1 &amp; 4'!K541</f>
        <v>3.9</v>
      </c>
      <c r="B536" s="141">
        <f>'Q.1 &amp; 4'!L541</f>
        <v>37.299999999999997</v>
      </c>
      <c r="C536" s="221"/>
      <c r="D536" s="23"/>
      <c r="E536" s="24"/>
      <c r="F536" s="22">
        <f t="shared" si="89"/>
        <v>0.39259259259258839</v>
      </c>
      <c r="G536" s="22">
        <f t="shared" si="90"/>
        <v>2.5935109304426334</v>
      </c>
      <c r="H536" s="22">
        <f t="shared" si="95"/>
        <v>1.0181931800996895</v>
      </c>
      <c r="I536" s="22">
        <f t="shared" si="96"/>
        <v>0.15412894375857009</v>
      </c>
      <c r="J536" s="24"/>
      <c r="K536" s="24"/>
      <c r="L536" s="235">
        <f t="shared" si="91"/>
        <v>32.931605722918682</v>
      </c>
      <c r="M536" s="126"/>
      <c r="N536" s="126"/>
      <c r="O536" s="126"/>
      <c r="P536" s="10">
        <f t="shared" si="92"/>
        <v>4.3683942770813147</v>
      </c>
      <c r="Q536" s="10">
        <f t="shared" si="97"/>
        <v>19.082868560036783</v>
      </c>
      <c r="W536" s="240">
        <f t="shared" si="98"/>
        <v>4.3683942770813147</v>
      </c>
      <c r="X536" s="240">
        <f t="shared" si="99"/>
        <v>0.11711512807188512</v>
      </c>
      <c r="Y536"/>
      <c r="Z536" s="13">
        <f t="shared" si="93"/>
        <v>3.1502108941753253</v>
      </c>
      <c r="AA536" s="2"/>
      <c r="AB536" s="68"/>
      <c r="AC536" s="15">
        <f t="shared" si="94"/>
        <v>6.7262989463254135</v>
      </c>
    </row>
    <row r="537" spans="1:29">
      <c r="A537" s="84">
        <f>'Q.1 &amp; 4'!K542</f>
        <v>3.5</v>
      </c>
      <c r="B537" s="141">
        <f>'Q.1 &amp; 4'!L542</f>
        <v>32.1</v>
      </c>
      <c r="C537" s="221"/>
      <c r="D537" s="23"/>
      <c r="E537" s="24"/>
      <c r="F537" s="22">
        <f t="shared" si="89"/>
        <v>-7.4074074074115259E-3</v>
      </c>
      <c r="G537" s="22">
        <f t="shared" si="90"/>
        <v>-2.6064890695573624</v>
      </c>
      <c r="H537" s="22">
        <f t="shared" si="95"/>
        <v>1.9307326441176383E-2</v>
      </c>
      <c r="I537" s="22">
        <f t="shared" si="96"/>
        <v>5.4869684499375142E-5</v>
      </c>
      <c r="J537" s="24"/>
      <c r="K537" s="24"/>
      <c r="L537" s="235">
        <f t="shared" si="91"/>
        <v>34.739977434588305</v>
      </c>
      <c r="M537" s="126"/>
      <c r="N537" s="126"/>
      <c r="O537" s="126"/>
      <c r="P537" s="10">
        <f t="shared" si="92"/>
        <v>-2.6399774345883031</v>
      </c>
      <c r="Q537" s="10">
        <f t="shared" si="97"/>
        <v>6.9694808551354388</v>
      </c>
      <c r="W537" s="240">
        <f t="shared" si="98"/>
        <v>2.6399774345883031</v>
      </c>
      <c r="X537" s="240">
        <f t="shared" si="99"/>
        <v>8.2242287681878593E-2</v>
      </c>
      <c r="Y537"/>
      <c r="Z537" s="13">
        <f t="shared" si="93"/>
        <v>1.1214705924455365E-3</v>
      </c>
      <c r="AA537" s="2"/>
      <c r="AB537" s="68"/>
      <c r="AC537" s="15">
        <f t="shared" si="94"/>
        <v>6.7937852697220045</v>
      </c>
    </row>
    <row r="538" spans="1:29">
      <c r="A538" s="84">
        <f>'Q.1 &amp; 4'!K543</f>
        <v>5.7</v>
      </c>
      <c r="B538" s="141">
        <f>'Q.1 &amp; 4'!L543</f>
        <v>31.9</v>
      </c>
      <c r="C538" s="221"/>
      <c r="D538" s="23"/>
      <c r="E538" s="24"/>
      <c r="F538" s="22">
        <f t="shared" si="89"/>
        <v>2.1925925925925887</v>
      </c>
      <c r="G538" s="22">
        <f t="shared" si="90"/>
        <v>-2.8064890695573652</v>
      </c>
      <c r="H538" s="22">
        <f t="shared" si="95"/>
        <v>-6.1534871451035453</v>
      </c>
      <c r="I538" s="22">
        <f t="shared" si="96"/>
        <v>4.8074622770918891</v>
      </c>
      <c r="J538" s="24"/>
      <c r="K538" s="24"/>
      <c r="L538" s="235">
        <f t="shared" si="91"/>
        <v>24.793933020405387</v>
      </c>
      <c r="M538" s="126"/>
      <c r="N538" s="126"/>
      <c r="O538" s="126"/>
      <c r="P538" s="10">
        <f t="shared" si="92"/>
        <v>7.1060669795946119</v>
      </c>
      <c r="Q538" s="10">
        <f t="shared" si="97"/>
        <v>50.496187918484893</v>
      </c>
      <c r="W538" s="240">
        <f t="shared" si="98"/>
        <v>7.1060669795946119</v>
      </c>
      <c r="X538" s="240">
        <f t="shared" si="99"/>
        <v>0.22276072036346747</v>
      </c>
      <c r="Y538"/>
      <c r="Z538" s="13">
        <f t="shared" si="93"/>
        <v>98.258767427579457</v>
      </c>
      <c r="AA538" s="2"/>
      <c r="AB538" s="68"/>
      <c r="AC538" s="15">
        <f t="shared" si="94"/>
        <v>7.8763808975449656</v>
      </c>
    </row>
    <row r="539" spans="1:29">
      <c r="A539" s="84">
        <f>'Q.1 &amp; 4'!K544</f>
        <v>2.7</v>
      </c>
      <c r="B539" s="141">
        <f>'Q.1 &amp; 4'!L544</f>
        <v>35.700000000000003</v>
      </c>
      <c r="C539" s="221"/>
      <c r="D539" s="23"/>
      <c r="E539" s="24"/>
      <c r="F539" s="22">
        <f t="shared" si="89"/>
        <v>-0.80740740740741135</v>
      </c>
      <c r="G539" s="22">
        <f t="shared" si="90"/>
        <v>0.99351093044263905</v>
      </c>
      <c r="H539" s="22">
        <f t="shared" si="95"/>
        <v>-0.80216808457961619</v>
      </c>
      <c r="I539" s="22">
        <f t="shared" si="96"/>
        <v>0.65190672153635754</v>
      </c>
      <c r="J539" s="24"/>
      <c r="K539" s="24"/>
      <c r="L539" s="235">
        <f t="shared" si="91"/>
        <v>38.356720857927542</v>
      </c>
      <c r="M539" s="126"/>
      <c r="N539" s="126"/>
      <c r="O539" s="126"/>
      <c r="P539" s="10">
        <f t="shared" si="92"/>
        <v>-2.6567208579275388</v>
      </c>
      <c r="Q539" s="10">
        <f t="shared" si="97"/>
        <v>7.0581657169472374</v>
      </c>
      <c r="W539" s="240">
        <f t="shared" si="98"/>
        <v>2.6567208579275388</v>
      </c>
      <c r="X539" s="240">
        <f t="shared" si="99"/>
        <v>7.4417951202452065E-2</v>
      </c>
      <c r="Y539"/>
      <c r="Z539" s="13">
        <f t="shared" si="93"/>
        <v>13.324192108828147</v>
      </c>
      <c r="AA539" s="2"/>
      <c r="AB539" s="68"/>
      <c r="AC539" s="15">
        <f t="shared" si="94"/>
        <v>0.98706396890899839</v>
      </c>
    </row>
    <row r="540" spans="1:29">
      <c r="A540" s="84">
        <f>'Q.1 &amp; 4'!K545</f>
        <v>3.5</v>
      </c>
      <c r="B540" s="141">
        <f>'Q.1 &amp; 4'!L545</f>
        <v>34.200000000000003</v>
      </c>
      <c r="C540" s="221"/>
      <c r="D540" s="23"/>
      <c r="E540" s="24"/>
      <c r="F540" s="22">
        <f t="shared" si="89"/>
        <v>-7.4074074074115259E-3</v>
      </c>
      <c r="G540" s="22">
        <f t="shared" si="90"/>
        <v>-0.50648906955736095</v>
      </c>
      <c r="H540" s="22">
        <f t="shared" si="95"/>
        <v>3.7517708856121671E-3</v>
      </c>
      <c r="I540" s="22">
        <f t="shared" si="96"/>
        <v>5.4869684499375142E-5</v>
      </c>
      <c r="J540" s="24"/>
      <c r="K540" s="24"/>
      <c r="L540" s="235">
        <f t="shared" si="91"/>
        <v>34.739977434588305</v>
      </c>
      <c r="M540" s="126"/>
      <c r="N540" s="126"/>
      <c r="O540" s="126"/>
      <c r="P540" s="10">
        <f t="shared" si="92"/>
        <v>-0.53997743458830172</v>
      </c>
      <c r="Q540" s="10">
        <f t="shared" si="97"/>
        <v>0.29157562986456365</v>
      </c>
      <c r="W540" s="240">
        <f t="shared" si="98"/>
        <v>0.53997743458830172</v>
      </c>
      <c r="X540" s="240">
        <f t="shared" si="99"/>
        <v>1.5788813876850927E-2</v>
      </c>
      <c r="Y540"/>
      <c r="Z540" s="13">
        <f t="shared" si="93"/>
        <v>1.1214705924455365E-3</v>
      </c>
      <c r="AA540" s="2"/>
      <c r="AB540" s="68"/>
      <c r="AC540" s="15">
        <f t="shared" si="94"/>
        <v>0.25653117758108124</v>
      </c>
    </row>
    <row r="541" spans="1:29">
      <c r="A541" s="84">
        <f>'Q.1 &amp; 4'!K546</f>
        <v>5.7</v>
      </c>
      <c r="B541" s="141">
        <f>'Q.1 &amp; 4'!L546</f>
        <v>34.5</v>
      </c>
      <c r="C541" s="221"/>
      <c r="D541" s="23"/>
      <c r="E541" s="24"/>
      <c r="F541" s="22">
        <f t="shared" si="89"/>
        <v>2.1925925925925887</v>
      </c>
      <c r="G541" s="22">
        <f t="shared" si="90"/>
        <v>-0.20648906955736379</v>
      </c>
      <c r="H541" s="22">
        <f t="shared" si="95"/>
        <v>-0.45274640436281166</v>
      </c>
      <c r="I541" s="22">
        <f t="shared" si="96"/>
        <v>4.8074622770918891</v>
      </c>
      <c r="J541" s="24"/>
      <c r="K541" s="24"/>
      <c r="L541" s="235">
        <f t="shared" si="91"/>
        <v>24.793933020405387</v>
      </c>
      <c r="M541" s="126"/>
      <c r="N541" s="126"/>
      <c r="O541" s="126"/>
      <c r="P541" s="10">
        <f t="shared" si="92"/>
        <v>9.7060669795946133</v>
      </c>
      <c r="Q541" s="10">
        <f t="shared" si="97"/>
        <v>94.207736212376901</v>
      </c>
      <c r="W541" s="240">
        <f t="shared" si="98"/>
        <v>9.7060669795946133</v>
      </c>
      <c r="X541" s="240">
        <f t="shared" si="99"/>
        <v>0.28133527477085835</v>
      </c>
      <c r="Y541"/>
      <c r="Z541" s="13">
        <f t="shared" si="93"/>
        <v>98.258767427579457</v>
      </c>
      <c r="AA541" s="2"/>
      <c r="AB541" s="68"/>
      <c r="AC541" s="15">
        <f t="shared" si="94"/>
        <v>4.2637735846665824E-2</v>
      </c>
    </row>
    <row r="542" spans="1:29">
      <c r="A542" s="84">
        <f>'Q.1 &amp; 4'!K547</f>
        <v>6.1</v>
      </c>
      <c r="B542" s="141">
        <f>'Q.1 &amp; 4'!L547</f>
        <v>26</v>
      </c>
      <c r="C542" s="221"/>
      <c r="D542" s="23"/>
      <c r="E542" s="24"/>
      <c r="F542" s="22">
        <f t="shared" si="89"/>
        <v>2.5925925925925881</v>
      </c>
      <c r="G542" s="22">
        <f t="shared" si="90"/>
        <v>-8.7064890695573638</v>
      </c>
      <c r="H542" s="22">
        <f t="shared" si="95"/>
        <v>-22.572379069222755</v>
      </c>
      <c r="I542" s="22">
        <f t="shared" si="96"/>
        <v>6.7215363511659572</v>
      </c>
      <c r="J542" s="24"/>
      <c r="K542" s="24"/>
      <c r="L542" s="235">
        <f t="shared" si="91"/>
        <v>22.985561308735772</v>
      </c>
      <c r="M542" s="126"/>
      <c r="N542" s="126"/>
      <c r="O542" s="126"/>
      <c r="P542" s="10">
        <f t="shared" si="92"/>
        <v>3.0144386912642283</v>
      </c>
      <c r="Q542" s="10">
        <f t="shared" si="97"/>
        <v>9.0868406233907937</v>
      </c>
      <c r="W542" s="240">
        <f t="shared" si="98"/>
        <v>3.0144386912642283</v>
      </c>
      <c r="X542" s="240">
        <f t="shared" si="99"/>
        <v>0.11593994966400878</v>
      </c>
      <c r="Y542"/>
      <c r="Z542" s="13">
        <f t="shared" si="93"/>
        <v>137.38014757439825</v>
      </c>
      <c r="AA542" s="2"/>
      <c r="AB542" s="68"/>
      <c r="AC542" s="15">
        <f t="shared" si="94"/>
        <v>75.802951918321853</v>
      </c>
    </row>
    <row r="543" spans="1:29">
      <c r="A543" s="84">
        <f>'Q.1 &amp; 4'!K548</f>
        <v>2.7</v>
      </c>
      <c r="B543" s="141">
        <f>'Q.1 &amp; 4'!L548</f>
        <v>35.700000000000003</v>
      </c>
      <c r="C543" s="221"/>
      <c r="D543" s="23"/>
      <c r="E543" s="24"/>
      <c r="F543" s="22">
        <f t="shared" si="89"/>
        <v>-0.80740740740741135</v>
      </c>
      <c r="G543" s="22">
        <f t="shared" si="90"/>
        <v>0.99351093044263905</v>
      </c>
      <c r="H543" s="22">
        <f t="shared" si="95"/>
        <v>-0.80216808457961619</v>
      </c>
      <c r="I543" s="22">
        <f t="shared" si="96"/>
        <v>0.65190672153635754</v>
      </c>
      <c r="J543" s="24"/>
      <c r="K543" s="24"/>
      <c r="L543" s="235">
        <f t="shared" si="91"/>
        <v>38.356720857927542</v>
      </c>
      <c r="M543" s="126"/>
      <c r="N543" s="126"/>
      <c r="O543" s="126"/>
      <c r="P543" s="10">
        <f t="shared" si="92"/>
        <v>-2.6567208579275388</v>
      </c>
      <c r="Q543" s="10">
        <f t="shared" si="97"/>
        <v>7.0581657169472374</v>
      </c>
      <c r="W543" s="240">
        <f t="shared" si="98"/>
        <v>2.6567208579275388</v>
      </c>
      <c r="X543" s="240">
        <f t="shared" si="99"/>
        <v>7.4417951202452065E-2</v>
      </c>
      <c r="Y543"/>
      <c r="Z543" s="13">
        <f t="shared" si="93"/>
        <v>13.324192108828147</v>
      </c>
      <c r="AA543" s="2"/>
      <c r="AB543" s="68"/>
      <c r="AC543" s="15">
        <f t="shared" si="94"/>
        <v>0.98706396890899839</v>
      </c>
    </row>
    <row r="544" spans="1:29">
      <c r="A544" s="84">
        <f>'Q.1 &amp; 4'!K549</f>
        <v>3.5</v>
      </c>
      <c r="B544" s="141">
        <f>'Q.1 &amp; 4'!L549</f>
        <v>34.200000000000003</v>
      </c>
      <c r="C544" s="221"/>
      <c r="D544" s="23"/>
      <c r="E544" s="24"/>
      <c r="F544" s="22">
        <f t="shared" si="89"/>
        <v>-7.4074074074115259E-3</v>
      </c>
      <c r="G544" s="22">
        <f t="shared" si="90"/>
        <v>-0.50648906955736095</v>
      </c>
      <c r="H544" s="22">
        <f t="shared" si="95"/>
        <v>3.7517708856121671E-3</v>
      </c>
      <c r="I544" s="22">
        <f t="shared" si="96"/>
        <v>5.4869684499375142E-5</v>
      </c>
      <c r="J544" s="24"/>
      <c r="K544" s="24"/>
      <c r="L544" s="235">
        <f t="shared" si="91"/>
        <v>34.739977434588305</v>
      </c>
      <c r="M544" s="126"/>
      <c r="N544" s="126"/>
      <c r="O544" s="126"/>
      <c r="P544" s="10">
        <f t="shared" si="92"/>
        <v>-0.53997743458830172</v>
      </c>
      <c r="Q544" s="10">
        <f t="shared" si="97"/>
        <v>0.29157562986456365</v>
      </c>
      <c r="W544" s="240">
        <f t="shared" si="98"/>
        <v>0.53997743458830172</v>
      </c>
      <c r="X544" s="240">
        <f t="shared" si="99"/>
        <v>1.5788813876850927E-2</v>
      </c>
      <c r="Y544"/>
      <c r="Z544" s="13">
        <f t="shared" si="93"/>
        <v>1.1214705924455365E-3</v>
      </c>
      <c r="AA544" s="2"/>
      <c r="AB544" s="68"/>
      <c r="AC544" s="15">
        <f t="shared" si="94"/>
        <v>0.25653117758108124</v>
      </c>
    </row>
    <row r="545" spans="1:29">
      <c r="A545" s="84">
        <f>'Q.1 &amp; 4'!K550</f>
        <v>5.7</v>
      </c>
      <c r="B545" s="141">
        <f>'Q.1 &amp; 4'!L550</f>
        <v>34.5</v>
      </c>
      <c r="C545" s="221"/>
      <c r="D545" s="23"/>
      <c r="E545" s="24"/>
      <c r="F545" s="22">
        <f t="shared" si="89"/>
        <v>2.1925925925925887</v>
      </c>
      <c r="G545" s="22">
        <f t="shared" si="90"/>
        <v>-0.20648906955736379</v>
      </c>
      <c r="H545" s="22">
        <f t="shared" si="95"/>
        <v>-0.45274640436281166</v>
      </c>
      <c r="I545" s="22">
        <f t="shared" si="96"/>
        <v>4.8074622770918891</v>
      </c>
      <c r="J545" s="24"/>
      <c r="K545" s="24"/>
      <c r="L545" s="235">
        <f t="shared" si="91"/>
        <v>24.793933020405387</v>
      </c>
      <c r="M545" s="126"/>
      <c r="N545" s="126"/>
      <c r="O545" s="126"/>
      <c r="P545" s="10">
        <f t="shared" si="92"/>
        <v>9.7060669795946133</v>
      </c>
      <c r="Q545" s="10">
        <f t="shared" si="97"/>
        <v>94.207736212376901</v>
      </c>
      <c r="W545" s="240">
        <f t="shared" si="98"/>
        <v>9.7060669795946133</v>
      </c>
      <c r="X545" s="240">
        <f t="shared" si="99"/>
        <v>0.28133527477085835</v>
      </c>
      <c r="Y545"/>
      <c r="Z545" s="13">
        <f t="shared" si="93"/>
        <v>98.258767427579457</v>
      </c>
      <c r="AA545" s="2"/>
      <c r="AB545" s="68"/>
      <c r="AC545" s="15">
        <f t="shared" si="94"/>
        <v>4.2637735846665824E-2</v>
      </c>
    </row>
    <row r="546" spans="1:29">
      <c r="A546" s="84">
        <f>'Q.1 &amp; 4'!K551</f>
        <v>6.1</v>
      </c>
      <c r="B546" s="141">
        <f>'Q.1 &amp; 4'!L551</f>
        <v>26</v>
      </c>
      <c r="C546" s="221"/>
      <c r="D546" s="23"/>
      <c r="E546" s="24"/>
      <c r="F546" s="22">
        <f t="shared" si="89"/>
        <v>2.5925925925925881</v>
      </c>
      <c r="G546" s="22">
        <f t="shared" si="90"/>
        <v>-8.7064890695573638</v>
      </c>
      <c r="H546" s="22">
        <f t="shared" si="95"/>
        <v>-22.572379069222755</v>
      </c>
      <c r="I546" s="22">
        <f t="shared" si="96"/>
        <v>6.7215363511659572</v>
      </c>
      <c r="J546" s="24"/>
      <c r="K546" s="24"/>
      <c r="L546" s="235">
        <f t="shared" si="91"/>
        <v>22.985561308735772</v>
      </c>
      <c r="M546" s="126"/>
      <c r="N546" s="126"/>
      <c r="O546" s="126"/>
      <c r="P546" s="10">
        <f t="shared" si="92"/>
        <v>3.0144386912642283</v>
      </c>
      <c r="Q546" s="10">
        <f t="shared" si="97"/>
        <v>9.0868406233907937</v>
      </c>
      <c r="W546" s="240">
        <f t="shared" si="98"/>
        <v>3.0144386912642283</v>
      </c>
      <c r="X546" s="240">
        <f t="shared" si="99"/>
        <v>0.11593994966400878</v>
      </c>
      <c r="Y546"/>
      <c r="Z546" s="13">
        <f t="shared" si="93"/>
        <v>137.38014757439825</v>
      </c>
      <c r="AA546" s="2"/>
      <c r="AB546" s="68"/>
      <c r="AC546" s="15">
        <f t="shared" si="94"/>
        <v>75.802951918321853</v>
      </c>
    </row>
    <row r="547" spans="1:29">
      <c r="A547" s="84">
        <f>'Q.1 &amp; 4'!K552</f>
        <v>3.5</v>
      </c>
      <c r="B547" s="141">
        <f>'Q.1 &amp; 4'!L552</f>
        <v>32.1</v>
      </c>
      <c r="C547" s="221"/>
      <c r="D547" s="23"/>
      <c r="E547" s="24"/>
      <c r="F547" s="22">
        <f t="shared" si="89"/>
        <v>-7.4074074074115259E-3</v>
      </c>
      <c r="G547" s="22">
        <f t="shared" si="90"/>
        <v>-2.6064890695573624</v>
      </c>
      <c r="H547" s="22">
        <f t="shared" si="95"/>
        <v>1.9307326441176383E-2</v>
      </c>
      <c r="I547" s="22">
        <f t="shared" si="96"/>
        <v>5.4869684499375142E-5</v>
      </c>
      <c r="J547" s="24"/>
      <c r="K547" s="24"/>
      <c r="L547" s="235">
        <f t="shared" si="91"/>
        <v>34.739977434588305</v>
      </c>
      <c r="M547" s="126"/>
      <c r="N547" s="126"/>
      <c r="O547" s="126"/>
      <c r="P547" s="10">
        <f t="shared" si="92"/>
        <v>-2.6399774345883031</v>
      </c>
      <c r="Q547" s="10">
        <f t="shared" si="97"/>
        <v>6.9694808551354388</v>
      </c>
      <c r="W547" s="240">
        <f t="shared" si="98"/>
        <v>2.6399774345883031</v>
      </c>
      <c r="X547" s="240">
        <f t="shared" si="99"/>
        <v>8.2242287681878593E-2</v>
      </c>
      <c r="Y547"/>
      <c r="Z547" s="13">
        <f t="shared" si="93"/>
        <v>1.1214705924455365E-3</v>
      </c>
      <c r="AA547" s="2"/>
      <c r="AB547" s="68"/>
      <c r="AC547" s="15">
        <f t="shared" si="94"/>
        <v>6.7937852697220045</v>
      </c>
    </row>
    <row r="548" spans="1:29">
      <c r="A548" s="84">
        <f>'Q.1 &amp; 4'!K553</f>
        <v>5.7</v>
      </c>
      <c r="B548" s="141">
        <f>'Q.1 &amp; 4'!L553</f>
        <v>31.9</v>
      </c>
      <c r="C548" s="221"/>
      <c r="D548" s="23"/>
      <c r="E548" s="24"/>
      <c r="F548" s="22">
        <f t="shared" si="89"/>
        <v>2.1925925925925887</v>
      </c>
      <c r="G548" s="22">
        <f t="shared" si="90"/>
        <v>-2.8064890695573652</v>
      </c>
      <c r="H548" s="22">
        <f t="shared" si="95"/>
        <v>-6.1534871451035453</v>
      </c>
      <c r="I548" s="22">
        <f t="shared" si="96"/>
        <v>4.8074622770918891</v>
      </c>
      <c r="J548" s="24"/>
      <c r="K548" s="24"/>
      <c r="L548" s="235">
        <f t="shared" si="91"/>
        <v>24.793933020405387</v>
      </c>
      <c r="M548" s="126"/>
      <c r="N548" s="126"/>
      <c r="O548" s="126"/>
      <c r="P548" s="10">
        <f t="shared" si="92"/>
        <v>7.1060669795946119</v>
      </c>
      <c r="Q548" s="10">
        <f t="shared" si="97"/>
        <v>50.496187918484893</v>
      </c>
      <c r="W548" s="240">
        <f t="shared" si="98"/>
        <v>7.1060669795946119</v>
      </c>
      <c r="X548" s="240">
        <f t="shared" si="99"/>
        <v>0.22276072036346747</v>
      </c>
      <c r="Y548"/>
      <c r="Z548" s="13">
        <f t="shared" si="93"/>
        <v>98.258767427579457</v>
      </c>
      <c r="AA548" s="2"/>
      <c r="AB548" s="68"/>
      <c r="AC548" s="15">
        <f t="shared" si="94"/>
        <v>7.8763808975449656</v>
      </c>
    </row>
    <row r="549" spans="1:29">
      <c r="A549" s="84">
        <f>'Q.1 &amp; 4'!K554</f>
        <v>4.5999999999999996</v>
      </c>
      <c r="B549" s="141">
        <f>'Q.1 &amp; 4'!L554</f>
        <v>33.305199999999999</v>
      </c>
      <c r="C549" s="221"/>
      <c r="D549" s="23"/>
      <c r="E549" s="24"/>
      <c r="F549" s="22">
        <f t="shared" si="89"/>
        <v>1.0925925925925881</v>
      </c>
      <c r="G549" s="22">
        <f t="shared" si="90"/>
        <v>-1.4012890695573645</v>
      </c>
      <c r="H549" s="22">
        <f t="shared" si="95"/>
        <v>-1.5310380574793365</v>
      </c>
      <c r="I549" s="22">
        <f t="shared" si="96"/>
        <v>1.1937585733881932</v>
      </c>
      <c r="J549" s="24"/>
      <c r="K549" s="24"/>
      <c r="L549" s="235">
        <f t="shared" si="91"/>
        <v>29.766955227496847</v>
      </c>
      <c r="M549" s="126"/>
      <c r="N549" s="126"/>
      <c r="O549" s="126"/>
      <c r="P549" s="10">
        <f t="shared" si="92"/>
        <v>3.5382447725031518</v>
      </c>
      <c r="Q549" s="10">
        <f t="shared" si="97"/>
        <v>12.51917607014588</v>
      </c>
      <c r="W549" s="240">
        <f t="shared" si="98"/>
        <v>3.5382447725031518</v>
      </c>
      <c r="X549" s="240">
        <f t="shared" si="99"/>
        <v>0.1062370072091791</v>
      </c>
      <c r="Y549"/>
      <c r="Z549" s="13">
        <f t="shared" si="93"/>
        <v>24.398994576861128</v>
      </c>
      <c r="AA549" s="2"/>
      <c r="AB549" s="68"/>
      <c r="AC549" s="15">
        <f t="shared" si="94"/>
        <v>1.9636110564609444</v>
      </c>
    </row>
    <row r="550" spans="1:29">
      <c r="A550" s="84">
        <f>'Q.1 &amp; 4'!K555</f>
        <v>3.5</v>
      </c>
      <c r="B550" s="141">
        <f>'Q.1 &amp; 4'!L555</f>
        <v>34.9</v>
      </c>
      <c r="C550" s="221"/>
      <c r="D550" s="23"/>
      <c r="E550" s="24"/>
      <c r="F550" s="22">
        <f t="shared" si="89"/>
        <v>-7.4074074074115259E-3</v>
      </c>
      <c r="G550" s="22">
        <f t="shared" si="90"/>
        <v>0.19351093044263479</v>
      </c>
      <c r="H550" s="22">
        <f t="shared" si="95"/>
        <v>-1.4334142995758696E-3</v>
      </c>
      <c r="I550" s="22">
        <f t="shared" si="96"/>
        <v>5.4869684499375142E-5</v>
      </c>
      <c r="J550" s="24"/>
      <c r="K550" s="24"/>
      <c r="L550" s="235">
        <f t="shared" si="91"/>
        <v>34.739977434588305</v>
      </c>
      <c r="M550" s="126"/>
      <c r="N550" s="126"/>
      <c r="O550" s="126"/>
      <c r="P550" s="10">
        <f t="shared" si="92"/>
        <v>0.16002256541169402</v>
      </c>
      <c r="Q550" s="10">
        <f t="shared" si="97"/>
        <v>2.5607221440939892E-2</v>
      </c>
      <c r="W550" s="240">
        <f t="shared" si="98"/>
        <v>0.16002256541169402</v>
      </c>
      <c r="X550" s="240">
        <f t="shared" si="99"/>
        <v>4.5851737940313473E-3</v>
      </c>
      <c r="Y550"/>
      <c r="Z550" s="13">
        <f t="shared" si="93"/>
        <v>1.1214705924455365E-3</v>
      </c>
      <c r="AA550" s="2"/>
      <c r="AB550" s="68"/>
      <c r="AC550" s="15">
        <f t="shared" si="94"/>
        <v>3.7446480200774242E-2</v>
      </c>
    </row>
    <row r="551" spans="1:29">
      <c r="A551" s="84">
        <f>'Q.1 &amp; 4'!K556</f>
        <v>3.5</v>
      </c>
      <c r="B551" s="141">
        <f>'Q.1 &amp; 4'!L556</f>
        <v>34.700000000000003</v>
      </c>
      <c r="C551" s="221"/>
      <c r="D551" s="23"/>
      <c r="E551" s="24"/>
      <c r="F551" s="22">
        <f t="shared" si="89"/>
        <v>-7.4074074074115259E-3</v>
      </c>
      <c r="G551" s="22">
        <f t="shared" si="90"/>
        <v>-6.4890695573609491E-3</v>
      </c>
      <c r="H551" s="22">
        <f t="shared" si="95"/>
        <v>4.8067181906404123E-5</v>
      </c>
      <c r="I551" s="22">
        <f t="shared" si="96"/>
        <v>5.4869684499375142E-5</v>
      </c>
      <c r="J551" s="24"/>
      <c r="K551" s="24"/>
      <c r="L551" s="235">
        <f t="shared" si="91"/>
        <v>34.739977434588305</v>
      </c>
      <c r="M551" s="126"/>
      <c r="N551" s="126"/>
      <c r="O551" s="126"/>
      <c r="P551" s="10">
        <f t="shared" si="92"/>
        <v>-3.9977434588301719E-2</v>
      </c>
      <c r="Q551" s="10">
        <f t="shared" si="97"/>
        <v>1.5981952762619425E-3</v>
      </c>
      <c r="W551" s="240">
        <f t="shared" si="98"/>
        <v>3.9977434588301719E-2</v>
      </c>
      <c r="X551" s="240">
        <f t="shared" si="99"/>
        <v>1.1520874521124414E-3</v>
      </c>
      <c r="Y551"/>
      <c r="Z551" s="13">
        <f t="shared" si="93"/>
        <v>1.1214705924455365E-3</v>
      </c>
      <c r="AA551" s="2"/>
      <c r="AB551" s="68"/>
      <c r="AC551" s="15">
        <f t="shared" si="94"/>
        <v>4.2108023720268626E-5</v>
      </c>
    </row>
    <row r="552" spans="1:29">
      <c r="A552" s="84">
        <f>'Q.1 &amp; 4'!K557</f>
        <v>3.5</v>
      </c>
      <c r="B552" s="141">
        <f>'Q.1 &amp; 4'!L557</f>
        <v>37.4</v>
      </c>
      <c r="C552" s="221"/>
      <c r="D552" s="23"/>
      <c r="E552" s="24"/>
      <c r="F552" s="22">
        <f t="shared" si="89"/>
        <v>-7.4074074074115259E-3</v>
      </c>
      <c r="G552" s="22">
        <f t="shared" si="90"/>
        <v>2.6935109304426348</v>
      </c>
      <c r="H552" s="22">
        <f t="shared" si="95"/>
        <v>-1.9951932818104683E-2</v>
      </c>
      <c r="I552" s="22">
        <f t="shared" si="96"/>
        <v>5.4869684499375142E-5</v>
      </c>
      <c r="J552" s="24"/>
      <c r="K552" s="24"/>
      <c r="L552" s="235">
        <f t="shared" si="91"/>
        <v>34.739977434588305</v>
      </c>
      <c r="M552" s="126"/>
      <c r="N552" s="126"/>
      <c r="O552" s="126"/>
      <c r="P552" s="10">
        <f t="shared" si="92"/>
        <v>2.660022565411694</v>
      </c>
      <c r="Q552" s="10">
        <f t="shared" si="97"/>
        <v>7.0757200484994103</v>
      </c>
      <c r="W552" s="240">
        <f t="shared" si="98"/>
        <v>2.660022565411694</v>
      </c>
      <c r="X552" s="240">
        <f t="shared" si="99"/>
        <v>7.1123598005660274E-2</v>
      </c>
      <c r="Y552"/>
      <c r="Z552" s="13">
        <f t="shared" si="93"/>
        <v>1.1214705924455365E-3</v>
      </c>
      <c r="AA552" s="2"/>
      <c r="AB552" s="68"/>
      <c r="AC552" s="15">
        <f t="shared" si="94"/>
        <v>7.2550011324139483</v>
      </c>
    </row>
    <row r="553" spans="1:29">
      <c r="A553" s="84">
        <f>'Q.1 &amp; 4'!K558</f>
        <v>3.5</v>
      </c>
      <c r="B553" s="141">
        <f>'Q.1 &amp; 4'!L558</f>
        <v>27.8</v>
      </c>
      <c r="C553" s="221"/>
      <c r="D553" s="23"/>
      <c r="E553" s="24"/>
      <c r="F553" s="22">
        <f t="shared" si="89"/>
        <v>-7.4074074074115259E-3</v>
      </c>
      <c r="G553" s="22">
        <f t="shared" si="90"/>
        <v>-6.9064890695573631</v>
      </c>
      <c r="H553" s="22">
        <f t="shared" si="95"/>
        <v>5.1159178293045948E-2</v>
      </c>
      <c r="I553" s="22">
        <f t="shared" si="96"/>
        <v>5.4869684499375142E-5</v>
      </c>
      <c r="J553" s="24"/>
      <c r="K553" s="24"/>
      <c r="L553" s="235">
        <f t="shared" si="91"/>
        <v>34.739977434588305</v>
      </c>
      <c r="M553" s="126"/>
      <c r="N553" s="126"/>
      <c r="O553" s="126"/>
      <c r="P553" s="10">
        <f t="shared" si="92"/>
        <v>-6.9399774345883039</v>
      </c>
      <c r="Q553" s="10">
        <f t="shared" si="97"/>
        <v>48.163286792594853</v>
      </c>
      <c r="W553" s="240">
        <f t="shared" si="98"/>
        <v>6.9399774345883039</v>
      </c>
      <c r="X553" s="240">
        <f t="shared" si="99"/>
        <v>0.24963947606432746</v>
      </c>
      <c r="Y553"/>
      <c r="Z553" s="13">
        <f t="shared" si="93"/>
        <v>1.1214705924455365E-3</v>
      </c>
      <c r="AA553" s="2"/>
      <c r="AB553" s="68"/>
      <c r="AC553" s="15">
        <f t="shared" si="94"/>
        <v>47.699591267915331</v>
      </c>
    </row>
    <row r="554" spans="1:29">
      <c r="A554" s="84">
        <f>'Q.1 &amp; 4'!K559</f>
        <v>2.4</v>
      </c>
      <c r="B554" s="141">
        <f>'Q.1 &amp; 4'!L559</f>
        <v>43.104300000000002</v>
      </c>
      <c r="C554" s="221"/>
      <c r="D554" s="23"/>
      <c r="E554" s="24"/>
      <c r="F554" s="22">
        <f t="shared" si="89"/>
        <v>-1.1074074074074116</v>
      </c>
      <c r="G554" s="22">
        <f t="shared" si="90"/>
        <v>8.3978109304426383</v>
      </c>
      <c r="H554" s="22">
        <f t="shared" si="95"/>
        <v>-9.2997980303791046</v>
      </c>
      <c r="I554" s="22">
        <f t="shared" si="96"/>
        <v>1.2263511659808048</v>
      </c>
      <c r="J554" s="24"/>
      <c r="K554" s="24"/>
      <c r="L554" s="235">
        <f t="shared" si="91"/>
        <v>39.712999641679758</v>
      </c>
      <c r="M554" s="126"/>
      <c r="N554" s="126"/>
      <c r="O554" s="126"/>
      <c r="P554" s="10">
        <f t="shared" si="92"/>
        <v>3.3913003583202439</v>
      </c>
      <c r="Q554" s="10">
        <f t="shared" si="97"/>
        <v>11.500918120343014</v>
      </c>
      <c r="W554" s="240">
        <f t="shared" si="98"/>
        <v>3.3913003583202439</v>
      </c>
      <c r="X554" s="240">
        <f t="shared" si="99"/>
        <v>7.8676613663143671E-2</v>
      </c>
      <c r="Y554"/>
      <c r="Z554" s="13">
        <f t="shared" si="93"/>
        <v>25.065148108773304</v>
      </c>
      <c r="AA554" s="2"/>
      <c r="AB554" s="68"/>
      <c r="AC554" s="15">
        <f t="shared" si="94"/>
        <v>70.523228423461845</v>
      </c>
    </row>
    <row r="555" spans="1:29">
      <c r="A555" s="84">
        <f>'Q.1 &amp; 4'!K560</f>
        <v>2.4</v>
      </c>
      <c r="B555" s="141">
        <f>'Q.1 &amp; 4'!L560</f>
        <v>43.291600000000003</v>
      </c>
      <c r="C555" s="221"/>
      <c r="D555" s="23"/>
      <c r="E555" s="24"/>
      <c r="F555" s="22">
        <f t="shared" si="89"/>
        <v>-1.1074074074074116</v>
      </c>
      <c r="G555" s="22">
        <f t="shared" si="90"/>
        <v>8.5851109304426387</v>
      </c>
      <c r="H555" s="22">
        <f t="shared" si="95"/>
        <v>-9.5072154377865132</v>
      </c>
      <c r="I555" s="22">
        <f t="shared" si="96"/>
        <v>1.2263511659808048</v>
      </c>
      <c r="J555" s="24"/>
      <c r="K555" s="24"/>
      <c r="L555" s="235">
        <f t="shared" si="91"/>
        <v>39.712999641679758</v>
      </c>
      <c r="M555" s="126"/>
      <c r="N555" s="126"/>
      <c r="O555" s="126"/>
      <c r="P555" s="10">
        <f t="shared" si="92"/>
        <v>3.5786003583202444</v>
      </c>
      <c r="Q555" s="10">
        <f t="shared" si="97"/>
        <v>12.806380524569782</v>
      </c>
      <c r="W555" s="240">
        <f t="shared" si="98"/>
        <v>3.5786003583202444</v>
      </c>
      <c r="X555" s="240">
        <f t="shared" si="99"/>
        <v>8.266269572665931E-2</v>
      </c>
      <c r="Y555"/>
      <c r="Z555" s="13">
        <f t="shared" si="93"/>
        <v>25.065148108773304</v>
      </c>
      <c r="AA555" s="2"/>
      <c r="AB555" s="68"/>
      <c r="AC555" s="15">
        <f t="shared" si="94"/>
        <v>73.704129688005665</v>
      </c>
    </row>
    <row r="556" spans="1:29">
      <c r="A556" s="84">
        <f>'Q.1 &amp; 4'!K561</f>
        <v>3.5</v>
      </c>
      <c r="B556" s="141">
        <f>'Q.1 &amp; 4'!L561</f>
        <v>41.2</v>
      </c>
      <c r="C556" s="221"/>
      <c r="D556" s="23"/>
      <c r="E556" s="24"/>
      <c r="F556" s="22">
        <f t="shared" si="89"/>
        <v>-7.4074074074115259E-3</v>
      </c>
      <c r="G556" s="22">
        <f t="shared" si="90"/>
        <v>6.4935109304426391</v>
      </c>
      <c r="H556" s="22">
        <f t="shared" si="95"/>
        <v>-4.8100080966268513E-2</v>
      </c>
      <c r="I556" s="22">
        <f t="shared" si="96"/>
        <v>5.4869684499375142E-5</v>
      </c>
      <c r="J556" s="24"/>
      <c r="K556" s="24"/>
      <c r="L556" s="235">
        <f t="shared" si="91"/>
        <v>34.739977434588305</v>
      </c>
      <c r="M556" s="126"/>
      <c r="N556" s="126"/>
      <c r="O556" s="126"/>
      <c r="P556" s="10">
        <f t="shared" si="92"/>
        <v>6.4600225654116983</v>
      </c>
      <c r="Q556" s="10">
        <f t="shared" si="97"/>
        <v>41.731891545628336</v>
      </c>
      <c r="W556" s="240">
        <f t="shared" si="98"/>
        <v>6.4600225654116983</v>
      </c>
      <c r="X556" s="240">
        <f t="shared" si="99"/>
        <v>0.1567966642090218</v>
      </c>
      <c r="Y556"/>
      <c r="Z556" s="13">
        <f t="shared" si="93"/>
        <v>1.1214705924455365E-3</v>
      </c>
      <c r="AA556" s="2"/>
      <c r="AB556" s="68"/>
      <c r="AC556" s="15">
        <f t="shared" si="94"/>
        <v>42.165684203778028</v>
      </c>
    </row>
    <row r="557" spans="1:29">
      <c r="A557" s="84">
        <f>'Q.1 &amp; 4'!K562</f>
        <v>3.3</v>
      </c>
      <c r="B557" s="141">
        <f>'Q.1 &amp; 4'!L562</f>
        <v>36.200000000000003</v>
      </c>
      <c r="C557" s="221"/>
      <c r="D557" s="23"/>
      <c r="E557" s="24"/>
      <c r="F557" s="22">
        <f t="shared" si="89"/>
        <v>-0.2074074074074117</v>
      </c>
      <c r="G557" s="22">
        <f t="shared" si="90"/>
        <v>1.4935109304426391</v>
      </c>
      <c r="H557" s="22">
        <f t="shared" si="95"/>
        <v>-0.30976523001773898</v>
      </c>
      <c r="I557" s="22">
        <f t="shared" si="96"/>
        <v>4.301783264746406E-2</v>
      </c>
      <c r="J557" s="24"/>
      <c r="K557" s="24"/>
      <c r="L557" s="235">
        <f t="shared" si="91"/>
        <v>35.644163290423116</v>
      </c>
      <c r="M557" s="126"/>
      <c r="N557" s="126"/>
      <c r="O557" s="126"/>
      <c r="P557" s="10">
        <f t="shared" si="92"/>
        <v>0.55583670957688724</v>
      </c>
      <c r="Q557" s="10">
        <f t="shared" si="97"/>
        <v>0.30895444771326092</v>
      </c>
      <c r="W557" s="240">
        <f t="shared" si="98"/>
        <v>0.55583670957688724</v>
      </c>
      <c r="X557" s="240">
        <f t="shared" si="99"/>
        <v>1.5354605236930585E-2</v>
      </c>
      <c r="Y557"/>
      <c r="Z557" s="13">
        <f t="shared" si="93"/>
        <v>0.87923294447619471</v>
      </c>
      <c r="AA557" s="2"/>
      <c r="AB557" s="68"/>
      <c r="AC557" s="15">
        <f t="shared" si="94"/>
        <v>2.2305748993516374</v>
      </c>
    </row>
    <row r="558" spans="1:29">
      <c r="A558" s="84">
        <f>'Q.1 &amp; 4'!K563</f>
        <v>3.8</v>
      </c>
      <c r="B558" s="141">
        <f>'Q.1 &amp; 4'!L563</f>
        <v>35.6</v>
      </c>
      <c r="C558" s="221"/>
      <c r="D558" s="23"/>
      <c r="E558" s="24"/>
      <c r="F558" s="22">
        <f t="shared" si="89"/>
        <v>0.2925925925925883</v>
      </c>
      <c r="G558" s="22">
        <f t="shared" si="90"/>
        <v>0.89351093044263763</v>
      </c>
      <c r="H558" s="22">
        <f t="shared" si="95"/>
        <v>0.26143467964802719</v>
      </c>
      <c r="I558" s="22">
        <f t="shared" si="96"/>
        <v>8.5610425240052357E-2</v>
      </c>
      <c r="J558" s="24"/>
      <c r="K558" s="24"/>
      <c r="L558" s="235">
        <f t="shared" si="91"/>
        <v>33.383698650836088</v>
      </c>
      <c r="M558" s="126"/>
      <c r="N558" s="126"/>
      <c r="O558" s="126"/>
      <c r="P558" s="10">
        <f t="shared" si="92"/>
        <v>2.2163013491639134</v>
      </c>
      <c r="Q558" s="10">
        <f t="shared" si="97"/>
        <v>4.9119916703057829</v>
      </c>
      <c r="W558" s="240">
        <f t="shared" si="98"/>
        <v>2.2163013491639134</v>
      </c>
      <c r="X558" s="240">
        <f t="shared" si="99"/>
        <v>6.2255655875390822E-2</v>
      </c>
      <c r="Y558"/>
      <c r="Z558" s="13">
        <f t="shared" si="93"/>
        <v>1.749774491860808</v>
      </c>
      <c r="AA558" s="2"/>
      <c r="AB558" s="68"/>
      <c r="AC558" s="15">
        <f t="shared" si="94"/>
        <v>0.79836178282046799</v>
      </c>
    </row>
    <row r="559" spans="1:29">
      <c r="A559" s="84">
        <f>'Q.1 &amp; 4'!K564</f>
        <v>3.8</v>
      </c>
      <c r="B559" s="141">
        <f>'Q.1 &amp; 4'!L564</f>
        <v>38.299999999999997</v>
      </c>
      <c r="C559" s="221"/>
      <c r="D559" s="23"/>
      <c r="E559" s="24"/>
      <c r="F559" s="22">
        <f t="shared" si="89"/>
        <v>0.2925925925925883</v>
      </c>
      <c r="G559" s="22">
        <f t="shared" si="90"/>
        <v>3.5935109304426334</v>
      </c>
      <c r="H559" s="22">
        <f t="shared" si="95"/>
        <v>1.0514346796480143</v>
      </c>
      <c r="I559" s="22">
        <f t="shared" si="96"/>
        <v>8.5610425240052357E-2</v>
      </c>
      <c r="J559" s="24"/>
      <c r="K559" s="24"/>
      <c r="L559" s="235">
        <f t="shared" si="91"/>
        <v>33.383698650836088</v>
      </c>
      <c r="M559" s="126"/>
      <c r="N559" s="126"/>
      <c r="O559" s="126"/>
      <c r="P559" s="10">
        <f t="shared" si="92"/>
        <v>4.9163013491639092</v>
      </c>
      <c r="Q559" s="10">
        <f t="shared" si="97"/>
        <v>24.170018955790873</v>
      </c>
      <c r="W559" s="240">
        <f t="shared" si="98"/>
        <v>4.9163013491639092</v>
      </c>
      <c r="X559" s="240">
        <f t="shared" si="99"/>
        <v>0.12836295950819607</v>
      </c>
      <c r="Y559"/>
      <c r="Z559" s="13">
        <f t="shared" si="93"/>
        <v>1.749774491860808</v>
      </c>
      <c r="AA559" s="2"/>
      <c r="AB559" s="68"/>
      <c r="AC559" s="15">
        <f t="shared" si="94"/>
        <v>12.913320807210681</v>
      </c>
    </row>
    <row r="560" spans="1:29">
      <c r="A560" s="84">
        <f>'Q.1 &amp; 4'!K565</f>
        <v>4.5999999999999996</v>
      </c>
      <c r="B560" s="141">
        <f>'Q.1 &amp; 4'!L565</f>
        <v>34.200000000000003</v>
      </c>
      <c r="C560" s="221"/>
      <c r="D560" s="23"/>
      <c r="E560" s="24"/>
      <c r="F560" s="22">
        <f t="shared" si="89"/>
        <v>1.0925925925925881</v>
      </c>
      <c r="G560" s="22">
        <f t="shared" si="90"/>
        <v>-0.50648906955736095</v>
      </c>
      <c r="H560" s="22">
        <f t="shared" si="95"/>
        <v>-0.55338620562748475</v>
      </c>
      <c r="I560" s="22">
        <f t="shared" si="96"/>
        <v>1.1937585733881932</v>
      </c>
      <c r="J560" s="24"/>
      <c r="K560" s="24"/>
      <c r="L560" s="235">
        <f t="shared" si="91"/>
        <v>29.766955227496847</v>
      </c>
      <c r="M560" s="126"/>
      <c r="N560" s="126"/>
      <c r="O560" s="126"/>
      <c r="P560" s="10">
        <f t="shared" si="92"/>
        <v>4.4330447725031554</v>
      </c>
      <c r="Q560" s="10">
        <f t="shared" si="97"/>
        <v>19.651885955017551</v>
      </c>
      <c r="W560" s="240">
        <f t="shared" si="98"/>
        <v>4.4330447725031554</v>
      </c>
      <c r="X560" s="240">
        <f t="shared" si="99"/>
        <v>0.12962119217845483</v>
      </c>
      <c r="Y560"/>
      <c r="Z560" s="13">
        <f t="shared" si="93"/>
        <v>24.398994576861128</v>
      </c>
      <c r="AA560" s="2"/>
      <c r="AB560" s="68"/>
      <c r="AC560" s="15">
        <f t="shared" si="94"/>
        <v>0.25653117758108124</v>
      </c>
    </row>
    <row r="561" spans="1:29">
      <c r="A561" s="84">
        <f>'Q.1 &amp; 4'!K566</f>
        <v>2.4</v>
      </c>
      <c r="B561" s="141">
        <f>'Q.1 &amp; 4'!L566</f>
        <v>44.4</v>
      </c>
      <c r="C561" s="221"/>
      <c r="D561" s="23"/>
      <c r="E561" s="24"/>
      <c r="F561" s="22">
        <f t="shared" si="89"/>
        <v>-1.1074074074074116</v>
      </c>
      <c r="G561" s="22">
        <f t="shared" si="90"/>
        <v>9.6935109304426348</v>
      </c>
      <c r="H561" s="22">
        <f t="shared" si="95"/>
        <v>-10.734665808156885</v>
      </c>
      <c r="I561" s="22">
        <f t="shared" si="96"/>
        <v>1.2263511659808048</v>
      </c>
      <c r="J561" s="24"/>
      <c r="K561" s="24"/>
      <c r="L561" s="235">
        <f t="shared" si="91"/>
        <v>39.712999641679758</v>
      </c>
      <c r="M561" s="126"/>
      <c r="N561" s="126"/>
      <c r="O561" s="126"/>
      <c r="P561" s="10">
        <f t="shared" si="92"/>
        <v>4.6870003583202404</v>
      </c>
      <c r="Q561" s="10">
        <f t="shared" si="97"/>
        <v>21.967972358894063</v>
      </c>
      <c r="W561" s="240">
        <f t="shared" si="98"/>
        <v>4.6870003583202404</v>
      </c>
      <c r="X561" s="240">
        <f t="shared" si="99"/>
        <v>0.10556307113333875</v>
      </c>
      <c r="Y561"/>
      <c r="Z561" s="13">
        <f t="shared" si="93"/>
        <v>25.065148108773304</v>
      </c>
      <c r="AA561" s="2"/>
      <c r="AB561" s="68"/>
      <c r="AC561" s="15">
        <f t="shared" si="94"/>
        <v>93.964154158610839</v>
      </c>
    </row>
    <row r="562" spans="1:29">
      <c r="A562" s="84">
        <f>'Q.1 &amp; 4'!K567</f>
        <v>2.4</v>
      </c>
      <c r="B562" s="141">
        <f>'Q.1 &amp; 4'!L567</f>
        <v>44.8</v>
      </c>
      <c r="C562" s="221"/>
      <c r="D562" s="23"/>
      <c r="E562" s="24"/>
      <c r="F562" s="22">
        <f t="shared" si="89"/>
        <v>-1.1074074074074116</v>
      </c>
      <c r="G562" s="22">
        <f t="shared" si="90"/>
        <v>10.093510930442633</v>
      </c>
      <c r="H562" s="22">
        <f t="shared" si="95"/>
        <v>-11.177628771119847</v>
      </c>
      <c r="I562" s="22">
        <f t="shared" si="96"/>
        <v>1.2263511659808048</v>
      </c>
      <c r="J562" s="24"/>
      <c r="K562" s="24"/>
      <c r="L562" s="235">
        <f t="shared" si="91"/>
        <v>39.712999641679758</v>
      </c>
      <c r="M562" s="126"/>
      <c r="N562" s="126"/>
      <c r="O562" s="126"/>
      <c r="P562" s="10">
        <f t="shared" si="92"/>
        <v>5.087000358320239</v>
      </c>
      <c r="Q562" s="10">
        <f t="shared" si="97"/>
        <v>25.877572645550242</v>
      </c>
      <c r="W562" s="240">
        <f t="shared" si="98"/>
        <v>5.087000358320239</v>
      </c>
      <c r="X562" s="240">
        <f t="shared" si="99"/>
        <v>0.11354911514107677</v>
      </c>
      <c r="Y562"/>
      <c r="Z562" s="13">
        <f t="shared" si="93"/>
        <v>25.065148108773304</v>
      </c>
      <c r="AA562" s="2"/>
      <c r="AB562" s="68"/>
      <c r="AC562" s="15">
        <f t="shared" si="94"/>
        <v>101.87896290296491</v>
      </c>
    </row>
    <row r="563" spans="1:29">
      <c r="A563" s="84">
        <f>'Q.1 &amp; 4'!K568</f>
        <v>3.3</v>
      </c>
      <c r="B563" s="141">
        <f>'Q.1 &amp; 4'!L568</f>
        <v>40.1</v>
      </c>
      <c r="C563" s="221"/>
      <c r="D563" s="23"/>
      <c r="E563" s="24"/>
      <c r="F563" s="22">
        <f t="shared" si="89"/>
        <v>-0.2074074074074117</v>
      </c>
      <c r="G563" s="22">
        <f t="shared" si="90"/>
        <v>5.3935109304426376</v>
      </c>
      <c r="H563" s="22">
        <f t="shared" si="95"/>
        <v>-1.1186541189066443</v>
      </c>
      <c r="I563" s="22">
        <f t="shared" si="96"/>
        <v>4.301783264746406E-2</v>
      </c>
      <c r="J563" s="24"/>
      <c r="K563" s="24"/>
      <c r="L563" s="235">
        <f t="shared" si="91"/>
        <v>35.644163290423116</v>
      </c>
      <c r="M563" s="126"/>
      <c r="N563" s="126"/>
      <c r="O563" s="126"/>
      <c r="P563" s="10">
        <f t="shared" si="92"/>
        <v>4.4558367095768858</v>
      </c>
      <c r="Q563" s="10">
        <f t="shared" si="97"/>
        <v>19.854480782412967</v>
      </c>
      <c r="W563" s="240">
        <f t="shared" si="98"/>
        <v>4.4558367095768858</v>
      </c>
      <c r="X563" s="240">
        <f t="shared" si="99"/>
        <v>0.1111181224333388</v>
      </c>
      <c r="Y563"/>
      <c r="Z563" s="13">
        <f t="shared" si="93"/>
        <v>0.87923294447619471</v>
      </c>
      <c r="AA563" s="2"/>
      <c r="AB563" s="68"/>
      <c r="AC563" s="15">
        <f t="shared" si="94"/>
        <v>29.089960156804207</v>
      </c>
    </row>
    <row r="564" spans="1:29">
      <c r="A564" s="84">
        <f>'Q.1 &amp; 4'!K569</f>
        <v>3.5</v>
      </c>
      <c r="B564" s="141">
        <f>'Q.1 &amp; 4'!L569</f>
        <v>34.1997</v>
      </c>
      <c r="C564" s="221"/>
      <c r="D564" s="23"/>
      <c r="E564" s="24"/>
      <c r="F564" s="22">
        <f t="shared" si="89"/>
        <v>-7.4074074074115259E-3</v>
      </c>
      <c r="G564" s="22">
        <f t="shared" si="90"/>
        <v>-0.5067890695573638</v>
      </c>
      <c r="H564" s="22">
        <f t="shared" si="95"/>
        <v>3.7539931078344117E-3</v>
      </c>
      <c r="I564" s="22">
        <f t="shared" si="96"/>
        <v>5.4869684499375142E-5</v>
      </c>
      <c r="J564" s="24"/>
      <c r="K564" s="24"/>
      <c r="L564" s="235">
        <f t="shared" si="91"/>
        <v>34.739977434588305</v>
      </c>
      <c r="M564" s="126"/>
      <c r="N564" s="126"/>
      <c r="O564" s="126"/>
      <c r="P564" s="10">
        <f t="shared" si="92"/>
        <v>-0.54027743458830457</v>
      </c>
      <c r="Q564" s="10">
        <f t="shared" si="97"/>
        <v>0.29189970632531975</v>
      </c>
      <c r="W564" s="240">
        <f t="shared" si="98"/>
        <v>0.54027743458830457</v>
      </c>
      <c r="X564" s="240">
        <f t="shared" si="99"/>
        <v>1.5797724383205248E-2</v>
      </c>
      <c r="Y564"/>
      <c r="Z564" s="13">
        <f t="shared" si="93"/>
        <v>1.1214705924455365E-3</v>
      </c>
      <c r="AA564" s="2"/>
      <c r="AB564" s="68"/>
      <c r="AC564" s="15">
        <f t="shared" si="94"/>
        <v>0.2568351610228185</v>
      </c>
    </row>
    <row r="565" spans="1:29">
      <c r="A565" s="84">
        <f>'Q.1 &amp; 4'!K570</f>
        <v>3.5</v>
      </c>
      <c r="B565" s="141">
        <f>'Q.1 &amp; 4'!L570</f>
        <v>30.549900000000001</v>
      </c>
      <c r="C565" s="221"/>
      <c r="D565" s="23"/>
      <c r="E565" s="24"/>
      <c r="F565" s="22">
        <f t="shared" si="89"/>
        <v>-7.4074074074115259E-3</v>
      </c>
      <c r="G565" s="22">
        <f t="shared" si="90"/>
        <v>-4.1565890695573628</v>
      </c>
      <c r="H565" s="22">
        <f t="shared" si="95"/>
        <v>3.0789548663404991E-2</v>
      </c>
      <c r="I565" s="22">
        <f t="shared" si="96"/>
        <v>5.4869684499375142E-5</v>
      </c>
      <c r="J565" s="24"/>
      <c r="K565" s="24"/>
      <c r="L565" s="235">
        <f t="shared" si="91"/>
        <v>34.739977434588305</v>
      </c>
      <c r="M565" s="126"/>
      <c r="N565" s="126"/>
      <c r="O565" s="126"/>
      <c r="P565" s="10">
        <f t="shared" si="92"/>
        <v>-4.1900774345883036</v>
      </c>
      <c r="Q565" s="10">
        <f t="shared" si="97"/>
        <v>17.556748907846099</v>
      </c>
      <c r="W565" s="240">
        <f t="shared" si="98"/>
        <v>4.1900774345883036</v>
      </c>
      <c r="X565" s="240">
        <f t="shared" si="99"/>
        <v>0.13715519312954555</v>
      </c>
      <c r="Y565"/>
      <c r="Z565" s="13">
        <f t="shared" si="93"/>
        <v>1.1214705924455365E-3</v>
      </c>
      <c r="AA565" s="2"/>
      <c r="AB565" s="68"/>
      <c r="AC565" s="15">
        <f t="shared" si="94"/>
        <v>17.277232693163743</v>
      </c>
    </row>
    <row r="566" spans="1:29">
      <c r="A566" s="84">
        <f>'Q.1 &amp; 4'!K571</f>
        <v>4.5</v>
      </c>
      <c r="B566" s="141">
        <f>'Q.1 &amp; 4'!L571</f>
        <v>29.6</v>
      </c>
      <c r="C566" s="221"/>
      <c r="D566" s="23"/>
      <c r="E566" s="24"/>
      <c r="F566" s="22">
        <f t="shared" si="89"/>
        <v>0.99259259259258847</v>
      </c>
      <c r="G566" s="22">
        <f t="shared" si="90"/>
        <v>-5.1064890695573624</v>
      </c>
      <c r="H566" s="22">
        <f t="shared" si="95"/>
        <v>-5.0686632245976568</v>
      </c>
      <c r="I566" s="22">
        <f t="shared" si="96"/>
        <v>0.98524005486967636</v>
      </c>
      <c r="J566" s="24"/>
      <c r="K566" s="24"/>
      <c r="L566" s="235">
        <f t="shared" si="91"/>
        <v>30.219048155414249</v>
      </c>
      <c r="M566" s="126"/>
      <c r="N566" s="126"/>
      <c r="O566" s="126"/>
      <c r="P566" s="10">
        <f t="shared" si="92"/>
        <v>-0.61904815541424796</v>
      </c>
      <c r="Q566" s="10">
        <f t="shared" si="97"/>
        <v>0.38322061872178287</v>
      </c>
      <c r="W566" s="240">
        <f t="shared" si="98"/>
        <v>0.61904815541424796</v>
      </c>
      <c r="X566" s="240">
        <f t="shared" si="99"/>
        <v>2.0913789034265131E-2</v>
      </c>
      <c r="Y566"/>
      <c r="Z566" s="13">
        <f t="shared" si="93"/>
        <v>20.137125957925591</v>
      </c>
      <c r="AA566" s="2"/>
      <c r="AB566" s="68"/>
      <c r="AC566" s="15">
        <f t="shared" si="94"/>
        <v>26.076230617508816</v>
      </c>
    </row>
    <row r="567" spans="1:29">
      <c r="A567" s="84">
        <f>'Q.1 &amp; 4'!K572</f>
        <v>4.5</v>
      </c>
      <c r="B567" s="141">
        <f>'Q.1 &amp; 4'!L572</f>
        <v>27.2</v>
      </c>
      <c r="C567" s="221"/>
      <c r="D567" s="23"/>
      <c r="E567" s="24"/>
      <c r="F567" s="22">
        <f t="shared" si="89"/>
        <v>0.99259259259258847</v>
      </c>
      <c r="G567" s="22">
        <f t="shared" si="90"/>
        <v>-7.5064890695573645</v>
      </c>
      <c r="H567" s="22">
        <f t="shared" si="95"/>
        <v>-7.4508854468198713</v>
      </c>
      <c r="I567" s="22">
        <f t="shared" si="96"/>
        <v>0.98524005486967636</v>
      </c>
      <c r="J567" s="24"/>
      <c r="K567" s="24"/>
      <c r="L567" s="235">
        <f t="shared" si="91"/>
        <v>30.219048155414249</v>
      </c>
      <c r="M567" s="126"/>
      <c r="N567" s="126"/>
      <c r="O567" s="126"/>
      <c r="P567" s="10">
        <f t="shared" si="92"/>
        <v>-3.0190481554142501</v>
      </c>
      <c r="Q567" s="10">
        <f t="shared" si="97"/>
        <v>9.1146517647101852</v>
      </c>
      <c r="W567" s="240">
        <f t="shared" si="98"/>
        <v>3.0190481554142501</v>
      </c>
      <c r="X567" s="240">
        <f t="shared" si="99"/>
        <v>0.11099441747846508</v>
      </c>
      <c r="Y567"/>
      <c r="Z567" s="13">
        <f t="shared" si="93"/>
        <v>20.137125957925591</v>
      </c>
      <c r="AA567" s="2"/>
      <c r="AB567" s="68"/>
      <c r="AC567" s="15">
        <f t="shared" si="94"/>
        <v>56.347378151384191</v>
      </c>
    </row>
    <row r="568" spans="1:29">
      <c r="A568" s="84">
        <f>'Q.1 &amp; 4'!K573</f>
        <v>5</v>
      </c>
      <c r="B568" s="141">
        <f>'Q.1 &amp; 4'!L573</f>
        <v>29.7559</v>
      </c>
      <c r="C568" s="221"/>
      <c r="D568" s="23"/>
      <c r="E568" s="24"/>
      <c r="F568" s="22">
        <f t="shared" si="89"/>
        <v>1.4925925925925885</v>
      </c>
      <c r="G568" s="22">
        <f t="shared" si="90"/>
        <v>-4.9505890695573633</v>
      </c>
      <c r="H568" s="22">
        <f t="shared" si="95"/>
        <v>-7.3892125741911556</v>
      </c>
      <c r="I568" s="22">
        <f t="shared" si="96"/>
        <v>2.2278326474622649</v>
      </c>
      <c r="J568" s="24"/>
      <c r="K568" s="24"/>
      <c r="L568" s="235">
        <f t="shared" si="91"/>
        <v>27.958583515827225</v>
      </c>
      <c r="M568" s="126"/>
      <c r="N568" s="126"/>
      <c r="O568" s="126"/>
      <c r="P568" s="10">
        <f t="shared" si="92"/>
        <v>1.7973164841727751</v>
      </c>
      <c r="Q568" s="10">
        <f t="shared" si="97"/>
        <v>3.2303465442791852</v>
      </c>
      <c r="W568" s="240">
        <f t="shared" si="98"/>
        <v>1.7973164841727751</v>
      </c>
      <c r="X568" s="240">
        <f t="shared" si="99"/>
        <v>6.0402020579877438E-2</v>
      </c>
      <c r="Y568"/>
      <c r="Z568" s="13">
        <f t="shared" si="93"/>
        <v>45.53422936206205</v>
      </c>
      <c r="AA568" s="2"/>
      <c r="AB568" s="68"/>
      <c r="AC568" s="15">
        <f t="shared" si="94"/>
        <v>24.50833213562084</v>
      </c>
    </row>
    <row r="569" spans="1:29">
      <c r="A569" s="84">
        <f>'Q.1 &amp; 4'!K574</f>
        <v>5</v>
      </c>
      <c r="B569" s="141">
        <f>'Q.1 &amp; 4'!L574</f>
        <v>32.670099999999998</v>
      </c>
      <c r="C569" s="221"/>
      <c r="D569" s="23"/>
      <c r="E569" s="24"/>
      <c r="F569" s="22">
        <f t="shared" si="89"/>
        <v>1.4925925925925885</v>
      </c>
      <c r="G569" s="22">
        <f t="shared" si="90"/>
        <v>-2.0363890695573659</v>
      </c>
      <c r="H569" s="22">
        <f t="shared" si="95"/>
        <v>-3.0394992408578378</v>
      </c>
      <c r="I569" s="22">
        <f t="shared" si="96"/>
        <v>2.2278326474622649</v>
      </c>
      <c r="J569" s="24"/>
      <c r="K569" s="24"/>
      <c r="L569" s="235">
        <f t="shared" si="91"/>
        <v>27.958583515827225</v>
      </c>
      <c r="M569" s="126"/>
      <c r="N569" s="126"/>
      <c r="O569" s="126"/>
      <c r="P569" s="10">
        <f t="shared" si="92"/>
        <v>4.7115164841727726</v>
      </c>
      <c r="Q569" s="10">
        <f t="shared" si="97"/>
        <v>22.198387580631763</v>
      </c>
      <c r="W569" s="240">
        <f t="shared" si="98"/>
        <v>4.7115164841727726</v>
      </c>
      <c r="X569" s="240">
        <f t="shared" si="99"/>
        <v>0.1442149391698456</v>
      </c>
      <c r="Y569"/>
      <c r="Z569" s="13">
        <f t="shared" si="93"/>
        <v>45.53422936206205</v>
      </c>
      <c r="AA569" s="2"/>
      <c r="AB569" s="68"/>
      <c r="AC569" s="15">
        <f t="shared" si="94"/>
        <v>4.1468804426127139</v>
      </c>
    </row>
    <row r="570" spans="1:29">
      <c r="A570" s="84">
        <f>'Q.1 &amp; 4'!K575</f>
        <v>5</v>
      </c>
      <c r="B570" s="141">
        <f>'Q.1 &amp; 4'!L575</f>
        <v>31.073599999999999</v>
      </c>
      <c r="C570" s="221"/>
      <c r="D570" s="23"/>
      <c r="E570" s="24"/>
      <c r="F570" s="22">
        <f t="shared" si="89"/>
        <v>1.4925925925925885</v>
      </c>
      <c r="G570" s="22">
        <f t="shared" si="90"/>
        <v>-3.6328890695573648</v>
      </c>
      <c r="H570" s="22">
        <f t="shared" si="95"/>
        <v>-5.4224233149319039</v>
      </c>
      <c r="I570" s="22">
        <f t="shared" si="96"/>
        <v>2.2278326474622649</v>
      </c>
      <c r="J570" s="24"/>
      <c r="K570" s="24"/>
      <c r="L570" s="235">
        <f t="shared" si="91"/>
        <v>27.958583515827225</v>
      </c>
      <c r="M570" s="126"/>
      <c r="N570" s="126"/>
      <c r="O570" s="126"/>
      <c r="P570" s="10">
        <f t="shared" si="92"/>
        <v>3.1150164841727737</v>
      </c>
      <c r="Q570" s="10">
        <f t="shared" si="97"/>
        <v>9.7033276966681079</v>
      </c>
      <c r="W570" s="240">
        <f t="shared" si="98"/>
        <v>3.1150164841727737</v>
      </c>
      <c r="X570" s="240">
        <f t="shared" si="99"/>
        <v>0.10024639836300826</v>
      </c>
      <c r="Y570"/>
      <c r="Z570" s="13">
        <f t="shared" si="93"/>
        <v>45.53422936206205</v>
      </c>
      <c r="AA570" s="2"/>
      <c r="AB570" s="68"/>
      <c r="AC570" s="15">
        <f t="shared" si="94"/>
        <v>13.197882991709376</v>
      </c>
    </row>
    <row r="571" spans="1:29">
      <c r="A571" s="84">
        <f>'Q.1 &amp; 4'!K576</f>
        <v>4.5999999999999996</v>
      </c>
      <c r="B571" s="141">
        <f>'Q.1 &amp; 4'!L576</f>
        <v>33.305199999999999</v>
      </c>
      <c r="C571" s="221"/>
      <c r="D571" s="23"/>
      <c r="E571" s="24"/>
      <c r="F571" s="22">
        <f t="shared" si="89"/>
        <v>1.0925925925925881</v>
      </c>
      <c r="G571" s="22">
        <f t="shared" si="90"/>
        <v>-1.4012890695573645</v>
      </c>
      <c r="H571" s="22">
        <f t="shared" si="95"/>
        <v>-1.5310380574793365</v>
      </c>
      <c r="I571" s="22">
        <f t="shared" si="96"/>
        <v>1.1937585733881932</v>
      </c>
      <c r="J571" s="24"/>
      <c r="K571" s="24"/>
      <c r="L571" s="235">
        <f t="shared" si="91"/>
        <v>29.766955227496847</v>
      </c>
      <c r="M571" s="126"/>
      <c r="N571" s="126"/>
      <c r="O571" s="126"/>
      <c r="P571" s="10">
        <f t="shared" si="92"/>
        <v>3.5382447725031518</v>
      </c>
      <c r="Q571" s="10">
        <f t="shared" si="97"/>
        <v>12.51917607014588</v>
      </c>
      <c r="W571" s="240">
        <f t="shared" si="98"/>
        <v>3.5382447725031518</v>
      </c>
      <c r="X571" s="240">
        <f t="shared" si="99"/>
        <v>0.1062370072091791</v>
      </c>
      <c r="Y571"/>
      <c r="Z571" s="13">
        <f t="shared" si="93"/>
        <v>24.398994576861128</v>
      </c>
      <c r="AA571" s="2"/>
      <c r="AB571" s="68"/>
      <c r="AC571" s="15">
        <f t="shared" si="94"/>
        <v>1.9636110564609444</v>
      </c>
    </row>
    <row r="572" spans="1:29">
      <c r="A572" s="84">
        <f>'Q.1 &amp; 4'!K577</f>
        <v>3.5</v>
      </c>
      <c r="B572" s="141">
        <f>'Q.1 &amp; 4'!L577</f>
        <v>31.5</v>
      </c>
      <c r="C572" s="221"/>
      <c r="D572" s="23"/>
      <c r="E572" s="24"/>
      <c r="F572" s="22">
        <f t="shared" si="89"/>
        <v>-7.4074074074115259E-3</v>
      </c>
      <c r="G572" s="22">
        <f t="shared" si="90"/>
        <v>-3.2064890695573638</v>
      </c>
      <c r="H572" s="22">
        <f t="shared" si="95"/>
        <v>2.3751770885623309E-2</v>
      </c>
      <c r="I572" s="22">
        <f t="shared" si="96"/>
        <v>5.4869684499375142E-5</v>
      </c>
      <c r="J572" s="24"/>
      <c r="K572" s="24"/>
      <c r="L572" s="235">
        <f t="shared" si="91"/>
        <v>34.739977434588305</v>
      </c>
      <c r="M572" s="126"/>
      <c r="N572" s="126"/>
      <c r="O572" s="126"/>
      <c r="P572" s="10">
        <f t="shared" si="92"/>
        <v>-3.2399774345883046</v>
      </c>
      <c r="Q572" s="10">
        <f t="shared" si="97"/>
        <v>10.497453776641411</v>
      </c>
      <c r="W572" s="240">
        <f t="shared" si="98"/>
        <v>3.2399774345883046</v>
      </c>
      <c r="X572" s="240">
        <f t="shared" si="99"/>
        <v>0.10285642649486681</v>
      </c>
      <c r="Y572"/>
      <c r="Z572" s="13">
        <f t="shared" si="93"/>
        <v>1.1214705924455365E-3</v>
      </c>
      <c r="AA572" s="2"/>
      <c r="AB572" s="68"/>
      <c r="AC572" s="15">
        <f t="shared" si="94"/>
        <v>10.281572153190849</v>
      </c>
    </row>
    <row r="573" spans="1:29">
      <c r="A573" s="84">
        <f>'Q.1 &amp; 4'!K578</f>
        <v>3.5</v>
      </c>
      <c r="B573" s="141">
        <f>'Q.1 &amp; 4'!L578</f>
        <v>34.700000000000003</v>
      </c>
      <c r="C573" s="221"/>
      <c r="D573" s="23"/>
      <c r="E573" s="24"/>
      <c r="F573" s="22">
        <f t="shared" si="89"/>
        <v>-7.4074074074115259E-3</v>
      </c>
      <c r="G573" s="22">
        <f t="shared" si="90"/>
        <v>-6.4890695573609491E-3</v>
      </c>
      <c r="H573" s="22">
        <f t="shared" si="95"/>
        <v>4.8067181906404123E-5</v>
      </c>
      <c r="I573" s="22">
        <f t="shared" si="96"/>
        <v>5.4869684499375142E-5</v>
      </c>
      <c r="J573" s="24"/>
      <c r="K573" s="24"/>
      <c r="L573" s="235">
        <f t="shared" si="91"/>
        <v>34.739977434588305</v>
      </c>
      <c r="M573" s="126"/>
      <c r="N573" s="126"/>
      <c r="O573" s="126"/>
      <c r="P573" s="10">
        <f t="shared" si="92"/>
        <v>-3.9977434588301719E-2</v>
      </c>
      <c r="Q573" s="10">
        <f t="shared" si="97"/>
        <v>1.5981952762619425E-3</v>
      </c>
      <c r="W573" s="240">
        <f t="shared" si="98"/>
        <v>3.9977434588301719E-2</v>
      </c>
      <c r="X573" s="240">
        <f t="shared" si="99"/>
        <v>1.1520874521124414E-3</v>
      </c>
      <c r="Y573"/>
      <c r="Z573" s="13">
        <f t="shared" si="93"/>
        <v>1.1214705924455365E-3</v>
      </c>
      <c r="AA573" s="2"/>
      <c r="AB573" s="68"/>
      <c r="AC573" s="15">
        <f t="shared" si="94"/>
        <v>4.2108023720268626E-5</v>
      </c>
    </row>
    <row r="574" spans="1:29">
      <c r="A574" s="84">
        <f>'Q.1 &amp; 4'!K579</f>
        <v>3.5</v>
      </c>
      <c r="B574" s="141">
        <f>'Q.1 &amp; 4'!L579</f>
        <v>33</v>
      </c>
      <c r="C574" s="221"/>
      <c r="D574" s="23"/>
      <c r="E574" s="24"/>
      <c r="F574" s="22">
        <f t="shared" si="89"/>
        <v>-7.4074074074115259E-3</v>
      </c>
      <c r="G574" s="22">
        <f t="shared" si="90"/>
        <v>-1.7064890695573638</v>
      </c>
      <c r="H574" s="22">
        <f t="shared" si="95"/>
        <v>1.2640659774506019E-2</v>
      </c>
      <c r="I574" s="22">
        <f t="shared" si="96"/>
        <v>5.4869684499375142E-5</v>
      </c>
      <c r="J574" s="24"/>
      <c r="K574" s="24"/>
      <c r="L574" s="235">
        <f t="shared" si="91"/>
        <v>34.739977434588305</v>
      </c>
      <c r="M574" s="126"/>
      <c r="N574" s="126"/>
      <c r="O574" s="126"/>
      <c r="P574" s="10">
        <f t="shared" si="92"/>
        <v>-1.7399774345883046</v>
      </c>
      <c r="Q574" s="10">
        <f t="shared" si="97"/>
        <v>3.0275214728764976</v>
      </c>
      <c r="W574" s="240">
        <f t="shared" si="98"/>
        <v>1.7399774345883046</v>
      </c>
      <c r="X574" s="240">
        <f t="shared" si="99"/>
        <v>5.2726588926918318E-2</v>
      </c>
      <c r="Y574"/>
      <c r="Z574" s="13">
        <f t="shared" si="93"/>
        <v>1.1214705924455365E-3</v>
      </c>
      <c r="AA574" s="2"/>
      <c r="AB574" s="68"/>
      <c r="AC574" s="15">
        <f t="shared" si="94"/>
        <v>2.9121049445187572</v>
      </c>
    </row>
    <row r="575" spans="1:29">
      <c r="A575" s="84">
        <f>'Q.1 &amp; 4'!K580</f>
        <v>4.5999999999999996</v>
      </c>
      <c r="B575" s="141">
        <f>'Q.1 &amp; 4'!L580</f>
        <v>33.305199999999999</v>
      </c>
      <c r="C575" s="221"/>
      <c r="D575" s="23"/>
      <c r="E575" s="24"/>
      <c r="F575" s="22">
        <f t="shared" si="89"/>
        <v>1.0925925925925881</v>
      </c>
      <c r="G575" s="22">
        <f t="shared" si="90"/>
        <v>-1.4012890695573645</v>
      </c>
      <c r="H575" s="22">
        <f t="shared" si="95"/>
        <v>-1.5310380574793365</v>
      </c>
      <c r="I575" s="22">
        <f t="shared" si="96"/>
        <v>1.1937585733881932</v>
      </c>
      <c r="J575" s="24"/>
      <c r="K575" s="24"/>
      <c r="L575" s="235">
        <f t="shared" si="91"/>
        <v>29.766955227496847</v>
      </c>
      <c r="M575" s="126"/>
      <c r="N575" s="126"/>
      <c r="O575" s="126"/>
      <c r="P575" s="10">
        <f t="shared" si="92"/>
        <v>3.5382447725031518</v>
      </c>
      <c r="Q575" s="10">
        <f t="shared" si="97"/>
        <v>12.51917607014588</v>
      </c>
      <c r="W575" s="240">
        <f t="shared" si="98"/>
        <v>3.5382447725031518</v>
      </c>
      <c r="X575" s="240">
        <f t="shared" si="99"/>
        <v>0.1062370072091791</v>
      </c>
      <c r="Y575"/>
      <c r="Z575" s="13">
        <f t="shared" si="93"/>
        <v>24.398994576861128</v>
      </c>
      <c r="AA575" s="2"/>
      <c r="AB575" s="68"/>
      <c r="AC575" s="15">
        <f t="shared" si="94"/>
        <v>1.9636110564609444</v>
      </c>
    </row>
    <row r="576" spans="1:29">
      <c r="A576" s="84">
        <f>'Q.1 &amp; 4'!K581</f>
        <v>4.2</v>
      </c>
      <c r="B576" s="141">
        <f>'Q.1 &amp; 4'!L581</f>
        <v>24.183700000000002</v>
      </c>
      <c r="C576" s="221"/>
      <c r="D576" s="23"/>
      <c r="E576" s="24"/>
      <c r="F576" s="22">
        <f t="shared" si="89"/>
        <v>0.69259259259258865</v>
      </c>
      <c r="G576" s="22">
        <f t="shared" si="90"/>
        <v>-10.522789069557362</v>
      </c>
      <c r="H576" s="22">
        <f t="shared" si="95"/>
        <v>-7.2880057629896875</v>
      </c>
      <c r="I576" s="22">
        <f t="shared" si="96"/>
        <v>0.47968449931412349</v>
      </c>
      <c r="J576" s="24"/>
      <c r="K576" s="24"/>
      <c r="L576" s="235">
        <f t="shared" si="91"/>
        <v>31.575326939166466</v>
      </c>
      <c r="M576" s="126"/>
      <c r="N576" s="126"/>
      <c r="O576" s="126"/>
      <c r="P576" s="10">
        <f t="shared" si="92"/>
        <v>-7.3916269391664642</v>
      </c>
      <c r="Q576" s="10">
        <f t="shared" si="97"/>
        <v>54.636148807811395</v>
      </c>
      <c r="W576" s="240">
        <f t="shared" si="98"/>
        <v>7.3916269391664642</v>
      </c>
      <c r="X576" s="240">
        <f t="shared" si="99"/>
        <v>0.30564499804275042</v>
      </c>
      <c r="Y576"/>
      <c r="Z576" s="13">
        <f t="shared" si="93"/>
        <v>9.8041762867940658</v>
      </c>
      <c r="AA576" s="2"/>
      <c r="AB576" s="68"/>
      <c r="AC576" s="15">
        <f t="shared" si="94"/>
        <v>110.72908980239589</v>
      </c>
    </row>
    <row r="577" spans="1:29">
      <c r="A577" s="84">
        <f>'Q.1 &amp; 4'!K582</f>
        <v>4.7</v>
      </c>
      <c r="B577" s="141">
        <f>'Q.1 &amp; 4'!L582</f>
        <v>25.510200000000001</v>
      </c>
      <c r="C577" s="221"/>
      <c r="D577" s="23"/>
      <c r="E577" s="24"/>
      <c r="F577" s="22">
        <f t="shared" si="89"/>
        <v>1.1925925925925887</v>
      </c>
      <c r="G577" s="22">
        <f t="shared" si="90"/>
        <v>-9.1962890695573627</v>
      </c>
      <c r="H577" s="22">
        <f t="shared" si="95"/>
        <v>-10.9674262236943</v>
      </c>
      <c r="I577" s="22">
        <f t="shared" si="96"/>
        <v>1.422277091906712</v>
      </c>
      <c r="J577" s="24"/>
      <c r="K577" s="24"/>
      <c r="L577" s="235">
        <f t="shared" si="91"/>
        <v>29.314862299579438</v>
      </c>
      <c r="M577" s="126"/>
      <c r="N577" s="126"/>
      <c r="O577" s="126"/>
      <c r="P577" s="10">
        <f t="shared" si="92"/>
        <v>-3.8046622995794372</v>
      </c>
      <c r="Q577" s="10">
        <f t="shared" si="97"/>
        <v>14.475455213841091</v>
      </c>
      <c r="W577" s="240">
        <f t="shared" si="98"/>
        <v>3.8046622995794372</v>
      </c>
      <c r="X577" s="240">
        <f t="shared" si="99"/>
        <v>0.14914278600635969</v>
      </c>
      <c r="Y577"/>
      <c r="Z577" s="13">
        <f t="shared" si="93"/>
        <v>29.069639226742598</v>
      </c>
      <c r="AA577" s="2"/>
      <c r="AB577" s="68"/>
      <c r="AC577" s="15">
        <f t="shared" si="94"/>
        <v>84.571732650860227</v>
      </c>
    </row>
    <row r="578" spans="1:29">
      <c r="A578" s="84">
        <f>'Q.1 &amp; 4'!K583</f>
        <v>5.5</v>
      </c>
      <c r="B578" s="141">
        <f>'Q.1 &amp; 4'!L583</f>
        <v>21.4</v>
      </c>
      <c r="C578" s="221"/>
      <c r="D578" s="23"/>
      <c r="E578" s="24"/>
      <c r="F578" s="22">
        <f t="shared" si="89"/>
        <v>1.9925925925925885</v>
      </c>
      <c r="G578" s="22">
        <f t="shared" si="90"/>
        <v>-13.306489069557365</v>
      </c>
      <c r="H578" s="22">
        <f t="shared" si="95"/>
        <v>-26.514411553414252</v>
      </c>
      <c r="I578" s="22">
        <f t="shared" si="96"/>
        <v>3.9704252400548534</v>
      </c>
      <c r="J578" s="24"/>
      <c r="K578" s="24"/>
      <c r="L578" s="235">
        <f t="shared" si="91"/>
        <v>25.698118876240201</v>
      </c>
      <c r="M578" s="126"/>
      <c r="N578" s="126"/>
      <c r="O578" s="126"/>
      <c r="P578" s="10">
        <f t="shared" si="92"/>
        <v>-4.2981188762402027</v>
      </c>
      <c r="Q578" s="10">
        <f t="shared" si="97"/>
        <v>18.473825874292341</v>
      </c>
      <c r="W578" s="240">
        <f t="shared" si="98"/>
        <v>4.2981188762402027</v>
      </c>
      <c r="X578" s="240">
        <f t="shared" si="99"/>
        <v>0.20084667645982257</v>
      </c>
      <c r="Y578"/>
      <c r="Z578" s="13">
        <f t="shared" si="93"/>
        <v>81.150733539845092</v>
      </c>
      <c r="AA578" s="2"/>
      <c r="AB578" s="68"/>
      <c r="AC578" s="15">
        <f t="shared" si="94"/>
        <v>177.06265135824964</v>
      </c>
    </row>
    <row r="579" spans="1:29">
      <c r="A579" s="84">
        <f>'Q.1 &amp; 4'!K584</f>
        <v>6</v>
      </c>
      <c r="B579" s="141">
        <f>'Q.1 &amp; 4'!L584</f>
        <v>21.4</v>
      </c>
      <c r="C579" s="221"/>
      <c r="D579" s="23"/>
      <c r="E579" s="24"/>
      <c r="F579" s="22">
        <f t="shared" si="89"/>
        <v>2.4925925925925885</v>
      </c>
      <c r="G579" s="22">
        <f t="shared" si="90"/>
        <v>-13.306489069557365</v>
      </c>
      <c r="H579" s="22">
        <f t="shared" si="95"/>
        <v>-33.167656088192935</v>
      </c>
      <c r="I579" s="22">
        <f t="shared" si="96"/>
        <v>6.2130178326474415</v>
      </c>
      <c r="J579" s="24"/>
      <c r="K579" s="24"/>
      <c r="L579" s="235">
        <f t="shared" si="91"/>
        <v>23.437654236653174</v>
      </c>
      <c r="M579" s="126"/>
      <c r="N579" s="126"/>
      <c r="O579" s="126"/>
      <c r="P579" s="10">
        <f t="shared" si="92"/>
        <v>-2.0376542366531751</v>
      </c>
      <c r="Q579" s="10">
        <f t="shared" si="97"/>
        <v>4.1520347881506341</v>
      </c>
      <c r="W579" s="240">
        <f t="shared" si="98"/>
        <v>2.0376542366531751</v>
      </c>
      <c r="X579" s="240">
        <f t="shared" si="99"/>
        <v>9.5217487694073608E-2</v>
      </c>
      <c r="Y579"/>
      <c r="Z579" s="13">
        <f t="shared" si="93"/>
        <v>126.9866384912748</v>
      </c>
      <c r="AA579" s="2"/>
      <c r="AB579" s="68"/>
      <c r="AC579" s="15">
        <f t="shared" si="94"/>
        <v>177.06265135824964</v>
      </c>
    </row>
    <row r="580" spans="1:29">
      <c r="A580" s="84">
        <f>'Q.1 &amp; 4'!K585</f>
        <v>6</v>
      </c>
      <c r="B580" s="141">
        <f>'Q.1 &amp; 4'!L585</f>
        <v>21.7</v>
      </c>
      <c r="C580" s="221"/>
      <c r="D580" s="23"/>
      <c r="E580" s="24"/>
      <c r="F580" s="22">
        <f t="shared" si="89"/>
        <v>2.4925925925925885</v>
      </c>
      <c r="G580" s="22">
        <f t="shared" si="90"/>
        <v>-13.006489069557365</v>
      </c>
      <c r="H580" s="22">
        <f t="shared" si="95"/>
        <v>-32.419878310415157</v>
      </c>
      <c r="I580" s="22">
        <f t="shared" si="96"/>
        <v>6.2130178326474415</v>
      </c>
      <c r="J580" s="24"/>
      <c r="K580" s="24"/>
      <c r="L580" s="235">
        <f t="shared" si="91"/>
        <v>23.437654236653174</v>
      </c>
      <c r="M580" s="126"/>
      <c r="N580" s="126"/>
      <c r="O580" s="126"/>
      <c r="P580" s="10">
        <f t="shared" si="92"/>
        <v>-1.7376542366531744</v>
      </c>
      <c r="Q580" s="10">
        <f t="shared" si="97"/>
        <v>3.0194422461587265</v>
      </c>
      <c r="W580" s="240">
        <f t="shared" si="98"/>
        <v>1.7376542366531744</v>
      </c>
      <c r="X580" s="240">
        <f t="shared" si="99"/>
        <v>8.0076232103832926E-2</v>
      </c>
      <c r="Y580"/>
      <c r="Z580" s="13">
        <f t="shared" si="93"/>
        <v>126.9866384912748</v>
      </c>
      <c r="AA580" s="2"/>
      <c r="AB580" s="68"/>
      <c r="AC580" s="15">
        <f t="shared" si="94"/>
        <v>169.1687579165152</v>
      </c>
    </row>
    <row r="581" spans="1:29">
      <c r="A581" s="84">
        <f>'Q.1 &amp; 4'!K586</f>
        <v>5.5</v>
      </c>
      <c r="B581" s="141">
        <f>'Q.1 &amp; 4'!L586</f>
        <v>32</v>
      </c>
      <c r="C581" s="221"/>
      <c r="D581" s="23"/>
      <c r="E581" s="24"/>
      <c r="F581" s="22">
        <f t="shared" si="89"/>
        <v>1.9925925925925885</v>
      </c>
      <c r="G581" s="22">
        <f t="shared" si="90"/>
        <v>-2.7064890695573638</v>
      </c>
      <c r="H581" s="22">
        <f t="shared" si="95"/>
        <v>-5.3929300719328097</v>
      </c>
      <c r="I581" s="22">
        <f t="shared" si="96"/>
        <v>3.9704252400548534</v>
      </c>
      <c r="J581" s="24"/>
      <c r="K581" s="24"/>
      <c r="L581" s="235">
        <f t="shared" si="91"/>
        <v>25.698118876240201</v>
      </c>
      <c r="M581" s="126"/>
      <c r="N581" s="126"/>
      <c r="O581" s="126"/>
      <c r="P581" s="10">
        <f t="shared" si="92"/>
        <v>6.3018811237597987</v>
      </c>
      <c r="Q581" s="10">
        <f t="shared" si="97"/>
        <v>39.713705698000062</v>
      </c>
      <c r="W581" s="240">
        <f t="shared" si="98"/>
        <v>6.3018811237597987</v>
      </c>
      <c r="X581" s="240">
        <f t="shared" si="99"/>
        <v>0.19693378511749371</v>
      </c>
      <c r="Y581"/>
      <c r="Z581" s="13">
        <f t="shared" si="93"/>
        <v>81.150733539845092</v>
      </c>
      <c r="AA581" s="2"/>
      <c r="AB581" s="68"/>
      <c r="AC581" s="15">
        <f t="shared" si="94"/>
        <v>7.3250830836334844</v>
      </c>
    </row>
    <row r="582" spans="1:29">
      <c r="A582" s="84">
        <f>'Q.1 &amp; 4'!K587</f>
        <v>5.5</v>
      </c>
      <c r="B582" s="141">
        <f>'Q.1 &amp; 4'!L587</f>
        <v>29.8</v>
      </c>
      <c r="C582" s="221"/>
      <c r="D582" s="23"/>
      <c r="E582" s="24"/>
      <c r="F582" s="22">
        <f t="shared" ref="F582:F645" si="100">A582-$D$6</f>
        <v>1.9925925925925885</v>
      </c>
      <c r="G582" s="22">
        <f t="shared" ref="G582:G645" si="101">B582-$E$6</f>
        <v>-4.9064890695573631</v>
      </c>
      <c r="H582" s="22">
        <f t="shared" si="95"/>
        <v>-9.7766337756365029</v>
      </c>
      <c r="I582" s="22">
        <f t="shared" si="96"/>
        <v>3.9704252400548534</v>
      </c>
      <c r="J582" s="24"/>
      <c r="K582" s="24"/>
      <c r="L582" s="235">
        <f t="shared" ref="L582:L645" si="102">$K$6+$J$6*A582</f>
        <v>25.698118876240201</v>
      </c>
      <c r="M582" s="126"/>
      <c r="N582" s="126"/>
      <c r="O582" s="126"/>
      <c r="P582" s="10">
        <f t="shared" ref="P582:P645" si="103">B582-L582</f>
        <v>4.1018811237597994</v>
      </c>
      <c r="Q582" s="10">
        <f t="shared" si="97"/>
        <v>16.825428753456954</v>
      </c>
      <c r="W582" s="240">
        <f t="shared" si="98"/>
        <v>4.1018811237597994</v>
      </c>
      <c r="X582" s="240">
        <f t="shared" si="99"/>
        <v>0.1376470175758322</v>
      </c>
      <c r="Y582"/>
      <c r="Z582" s="13">
        <f t="shared" ref="Z582:Z645" si="104">(L582-$E$6)^2</f>
        <v>81.150733539845092</v>
      </c>
      <c r="AA582" s="2"/>
      <c r="AB582" s="68"/>
      <c r="AC582" s="15">
        <f t="shared" ref="AC582:AC645" si="105">(B582-$E$6)^2</f>
        <v>24.073634989685878</v>
      </c>
    </row>
    <row r="583" spans="1:29">
      <c r="A583" s="84">
        <f>'Q.1 &amp; 4'!K588</f>
        <v>5.5</v>
      </c>
      <c r="B583" s="141">
        <f>'Q.1 &amp; 4'!L588</f>
        <v>23.9</v>
      </c>
      <c r="C583" s="221"/>
      <c r="D583" s="23"/>
      <c r="E583" s="24"/>
      <c r="F583" s="22">
        <f t="shared" si="100"/>
        <v>1.9925925925925885</v>
      </c>
      <c r="G583" s="22">
        <f t="shared" si="101"/>
        <v>-10.806489069557365</v>
      </c>
      <c r="H583" s="22">
        <f t="shared" ref="H583:H646" si="106">F583*G583</f>
        <v>-21.532930071932778</v>
      </c>
      <c r="I583" s="22">
        <f t="shared" ref="I583:I646" si="107">F583^2</f>
        <v>3.9704252400548534</v>
      </c>
      <c r="J583" s="24"/>
      <c r="K583" s="24"/>
      <c r="L583" s="235">
        <f t="shared" si="102"/>
        <v>25.698118876240201</v>
      </c>
      <c r="M583" s="126"/>
      <c r="N583" s="126"/>
      <c r="O583" s="126"/>
      <c r="P583" s="10">
        <f t="shared" si="103"/>
        <v>-1.7981188762402027</v>
      </c>
      <c r="Q583" s="10">
        <f t="shared" ref="Q583:Q646" si="108">P583^2</f>
        <v>3.2332314930913295</v>
      </c>
      <c r="W583" s="240">
        <f t="shared" ref="W583:W646" si="109">ABS(P583)</f>
        <v>1.7981188762402027</v>
      </c>
      <c r="X583" s="240">
        <f t="shared" ref="X583:X646" si="110">W583/B583</f>
        <v>7.5235099424276267E-2</v>
      </c>
      <c r="Y583"/>
      <c r="Z583" s="13">
        <f t="shared" si="104"/>
        <v>81.150733539845092</v>
      </c>
      <c r="AA583" s="2"/>
      <c r="AB583" s="68"/>
      <c r="AC583" s="15">
        <f t="shared" si="105"/>
        <v>116.78020601046281</v>
      </c>
    </row>
    <row r="584" spans="1:29">
      <c r="A584" s="84">
        <f>'Q.1 &amp; 4'!K589</f>
        <v>6.3</v>
      </c>
      <c r="B584" s="141">
        <f>'Q.1 &amp; 4'!L589</f>
        <v>24.6</v>
      </c>
      <c r="C584" s="221"/>
      <c r="D584" s="23"/>
      <c r="E584" s="24"/>
      <c r="F584" s="22">
        <f t="shared" si="100"/>
        <v>2.7925925925925883</v>
      </c>
      <c r="G584" s="22">
        <f t="shared" si="101"/>
        <v>-10.106489069557362</v>
      </c>
      <c r="H584" s="22">
        <f t="shared" si="106"/>
        <v>-28.223306512763848</v>
      </c>
      <c r="I584" s="22">
        <f t="shared" si="107"/>
        <v>7.7985733882029935</v>
      </c>
      <c r="J584" s="24"/>
      <c r="K584" s="24"/>
      <c r="L584" s="235">
        <f t="shared" si="102"/>
        <v>22.081375452900961</v>
      </c>
      <c r="M584" s="126"/>
      <c r="N584" s="126"/>
      <c r="O584" s="126"/>
      <c r="P584" s="10">
        <f t="shared" si="103"/>
        <v>2.5186245470990407</v>
      </c>
      <c r="Q584" s="10">
        <f t="shared" si="108"/>
        <v>6.3434696092498477</v>
      </c>
      <c r="W584" s="240">
        <f t="shared" si="109"/>
        <v>2.5186245470990407</v>
      </c>
      <c r="X584" s="240">
        <f t="shared" si="110"/>
        <v>0.10238311167069271</v>
      </c>
      <c r="Y584"/>
      <c r="Z584" s="13">
        <f t="shared" si="104"/>
        <v>159.39349383348292</v>
      </c>
      <c r="AA584" s="2"/>
      <c r="AB584" s="68"/>
      <c r="AC584" s="15">
        <f t="shared" si="105"/>
        <v>102.14112131308244</v>
      </c>
    </row>
    <row r="585" spans="1:29">
      <c r="A585" s="84">
        <f>'Q.1 &amp; 4'!K590</f>
        <v>6</v>
      </c>
      <c r="B585" s="141">
        <f>'Q.1 &amp; 4'!L590</f>
        <v>23.1</v>
      </c>
      <c r="C585" s="221"/>
      <c r="D585" s="23"/>
      <c r="E585" s="24"/>
      <c r="F585" s="22">
        <f t="shared" si="100"/>
        <v>2.4925925925925885</v>
      </c>
      <c r="G585" s="22">
        <f t="shared" si="101"/>
        <v>-11.606489069557362</v>
      </c>
      <c r="H585" s="22">
        <f t="shared" si="106"/>
        <v>-28.930248680785525</v>
      </c>
      <c r="I585" s="22">
        <f t="shared" si="107"/>
        <v>6.2130178326474415</v>
      </c>
      <c r="J585" s="24"/>
      <c r="K585" s="24"/>
      <c r="L585" s="235">
        <f t="shared" si="102"/>
        <v>23.437654236653174</v>
      </c>
      <c r="M585" s="126"/>
      <c r="N585" s="126"/>
      <c r="O585" s="126"/>
      <c r="P585" s="10">
        <f t="shared" si="103"/>
        <v>-0.33765423665317229</v>
      </c>
      <c r="Q585" s="10">
        <f t="shared" si="108"/>
        <v>0.11401038352983647</v>
      </c>
      <c r="W585" s="240">
        <f t="shared" si="109"/>
        <v>0.33765423665317229</v>
      </c>
      <c r="X585" s="240">
        <f t="shared" si="110"/>
        <v>1.461706652178235E-2</v>
      </c>
      <c r="Y585"/>
      <c r="Z585" s="13">
        <f t="shared" si="104"/>
        <v>126.9866384912748</v>
      </c>
      <c r="AA585" s="2"/>
      <c r="AB585" s="68"/>
      <c r="AC585" s="15">
        <f t="shared" si="105"/>
        <v>134.71058852175452</v>
      </c>
    </row>
    <row r="586" spans="1:29">
      <c r="A586" s="84">
        <f>'Q.1 &amp; 4'!K591</f>
        <v>3.5</v>
      </c>
      <c r="B586" s="141">
        <f>'Q.1 &amp; 4'!L591</f>
        <v>35</v>
      </c>
      <c r="C586" s="221"/>
      <c r="D586" s="23"/>
      <c r="E586" s="24"/>
      <c r="F586" s="22">
        <f t="shared" si="100"/>
        <v>-7.4074074074115259E-3</v>
      </c>
      <c r="G586" s="22">
        <f t="shared" si="101"/>
        <v>0.29351093044263621</v>
      </c>
      <c r="H586" s="22">
        <f t="shared" si="106"/>
        <v>-2.1741550403170328E-3</v>
      </c>
      <c r="I586" s="22">
        <f t="shared" si="107"/>
        <v>5.4869684499375142E-5</v>
      </c>
      <c r="J586" s="24"/>
      <c r="K586" s="24"/>
      <c r="L586" s="235">
        <f t="shared" si="102"/>
        <v>34.739977434588305</v>
      </c>
      <c r="M586" s="126"/>
      <c r="N586" s="126"/>
      <c r="O586" s="126"/>
      <c r="P586" s="10">
        <f t="shared" si="103"/>
        <v>0.26002256541169544</v>
      </c>
      <c r="Q586" s="10">
        <f t="shared" si="108"/>
        <v>6.7611734523279426E-2</v>
      </c>
      <c r="W586" s="240">
        <f t="shared" si="109"/>
        <v>0.26002256541169544</v>
      </c>
      <c r="X586" s="240">
        <f t="shared" si="110"/>
        <v>7.4292161546198696E-3</v>
      </c>
      <c r="Y586"/>
      <c r="Z586" s="13">
        <f t="shared" si="104"/>
        <v>1.1214705924455365E-3</v>
      </c>
      <c r="AA586" s="2"/>
      <c r="AB586" s="68"/>
      <c r="AC586" s="15">
        <f t="shared" si="105"/>
        <v>8.6148666289302026E-2</v>
      </c>
    </row>
    <row r="587" spans="1:29">
      <c r="A587" s="84">
        <f>'Q.1 &amp; 4'!K592</f>
        <v>4.8</v>
      </c>
      <c r="B587" s="141">
        <f>'Q.1 &amp; 4'!L592</f>
        <v>33.260300000000001</v>
      </c>
      <c r="C587" s="221"/>
      <c r="D587" s="23"/>
      <c r="E587" s="24"/>
      <c r="F587" s="22">
        <f t="shared" si="100"/>
        <v>1.2925925925925883</v>
      </c>
      <c r="G587" s="22">
        <f t="shared" si="101"/>
        <v>-1.4461890695573629</v>
      </c>
      <c r="H587" s="22">
        <f t="shared" si="106"/>
        <v>-1.8693332787982146</v>
      </c>
      <c r="I587" s="22">
        <f t="shared" si="107"/>
        <v>1.6707956104252288</v>
      </c>
      <c r="J587" s="24"/>
      <c r="K587" s="24"/>
      <c r="L587" s="235">
        <f t="shared" si="102"/>
        <v>28.862769371662036</v>
      </c>
      <c r="M587" s="126"/>
      <c r="N587" s="126"/>
      <c r="O587" s="126"/>
      <c r="P587" s="10">
        <f t="shared" si="103"/>
        <v>4.3975306283379645</v>
      </c>
      <c r="Q587" s="10">
        <f t="shared" si="108"/>
        <v>19.338275627170493</v>
      </c>
      <c r="W587" s="240">
        <f t="shared" si="109"/>
        <v>4.3975306283379645</v>
      </c>
      <c r="X587" s="240">
        <f t="shared" si="110"/>
        <v>0.13221560323683082</v>
      </c>
      <c r="Y587"/>
      <c r="Z587" s="13">
        <f t="shared" si="104"/>
        <v>34.149059907569857</v>
      </c>
      <c r="AA587" s="2"/>
      <c r="AB587" s="68"/>
      <c r="AC587" s="15">
        <f t="shared" si="105"/>
        <v>2.0914628249071909</v>
      </c>
    </row>
    <row r="588" spans="1:29">
      <c r="A588" s="84">
        <f>'Q.1 &amp; 4'!K593</f>
        <v>4.8</v>
      </c>
      <c r="B588" s="141">
        <f>'Q.1 &amp; 4'!L593</f>
        <v>33.260300000000001</v>
      </c>
      <c r="C588" s="221"/>
      <c r="D588" s="23"/>
      <c r="E588" s="24"/>
      <c r="F588" s="22">
        <f t="shared" si="100"/>
        <v>1.2925925925925883</v>
      </c>
      <c r="G588" s="22">
        <f t="shared" si="101"/>
        <v>-1.4461890695573629</v>
      </c>
      <c r="H588" s="22">
        <f t="shared" si="106"/>
        <v>-1.8693332787982146</v>
      </c>
      <c r="I588" s="22">
        <f t="shared" si="107"/>
        <v>1.6707956104252288</v>
      </c>
      <c r="J588" s="24"/>
      <c r="K588" s="24"/>
      <c r="L588" s="235">
        <f t="shared" si="102"/>
        <v>28.862769371662036</v>
      </c>
      <c r="M588" s="126"/>
      <c r="N588" s="126"/>
      <c r="O588" s="126"/>
      <c r="P588" s="10">
        <f t="shared" si="103"/>
        <v>4.3975306283379645</v>
      </c>
      <c r="Q588" s="10">
        <f t="shared" si="108"/>
        <v>19.338275627170493</v>
      </c>
      <c r="W588" s="240">
        <f t="shared" si="109"/>
        <v>4.3975306283379645</v>
      </c>
      <c r="X588" s="240">
        <f t="shared" si="110"/>
        <v>0.13221560323683082</v>
      </c>
      <c r="Y588"/>
      <c r="Z588" s="13">
        <f t="shared" si="104"/>
        <v>34.149059907569857</v>
      </c>
      <c r="AA588" s="2"/>
      <c r="AB588" s="68"/>
      <c r="AC588" s="15">
        <f t="shared" si="105"/>
        <v>2.0914628249071909</v>
      </c>
    </row>
    <row r="589" spans="1:29">
      <c r="A589" s="84">
        <f>'Q.1 &amp; 4'!K594</f>
        <v>4.8</v>
      </c>
      <c r="B589" s="141">
        <f>'Q.1 &amp; 4'!L594</f>
        <v>32.026299999999999</v>
      </c>
      <c r="C589" s="221"/>
      <c r="D589" s="23"/>
      <c r="E589" s="24"/>
      <c r="F589" s="22">
        <f t="shared" si="100"/>
        <v>1.2925925925925883</v>
      </c>
      <c r="G589" s="22">
        <f t="shared" si="101"/>
        <v>-2.6801890695573647</v>
      </c>
      <c r="H589" s="22">
        <f t="shared" si="106"/>
        <v>-3.4643925380574712</v>
      </c>
      <c r="I589" s="22">
        <f t="shared" si="107"/>
        <v>1.6707956104252288</v>
      </c>
      <c r="J589" s="24"/>
      <c r="K589" s="24"/>
      <c r="L589" s="235">
        <f t="shared" si="102"/>
        <v>28.862769371662036</v>
      </c>
      <c r="M589" s="126"/>
      <c r="N589" s="126"/>
      <c r="O589" s="126"/>
      <c r="P589" s="10">
        <f t="shared" si="103"/>
        <v>3.1635306283379627</v>
      </c>
      <c r="Q589" s="10">
        <f t="shared" si="108"/>
        <v>10.007926036432385</v>
      </c>
      <c r="W589" s="240">
        <f t="shared" si="109"/>
        <v>3.1635306283379627</v>
      </c>
      <c r="X589" s="240">
        <f t="shared" si="110"/>
        <v>9.8779148023279709E-2</v>
      </c>
      <c r="Y589"/>
      <c r="Z589" s="13">
        <f t="shared" si="104"/>
        <v>34.149059907569857</v>
      </c>
      <c r="AA589" s="2"/>
      <c r="AB589" s="68"/>
      <c r="AC589" s="15">
        <f t="shared" si="105"/>
        <v>7.1834134485747718</v>
      </c>
    </row>
    <row r="590" spans="1:29">
      <c r="A590" s="84">
        <f>'Q.1 &amp; 4'!K595</f>
        <v>6.6</v>
      </c>
      <c r="B590" s="141">
        <f>'Q.1 &amp; 4'!L595</f>
        <v>27.3</v>
      </c>
      <c r="C590" s="221"/>
      <c r="D590" s="23"/>
      <c r="E590" s="24"/>
      <c r="F590" s="22">
        <f t="shared" si="100"/>
        <v>3.0925925925925881</v>
      </c>
      <c r="G590" s="22">
        <f t="shared" si="101"/>
        <v>-7.4064890695573631</v>
      </c>
      <c r="H590" s="22">
        <f t="shared" si="106"/>
        <v>-22.905253233631072</v>
      </c>
      <c r="I590" s="22">
        <f t="shared" si="107"/>
        <v>9.5641289437585453</v>
      </c>
      <c r="J590" s="24"/>
      <c r="K590" s="24"/>
      <c r="L590" s="235">
        <f t="shared" si="102"/>
        <v>20.725096669148744</v>
      </c>
      <c r="M590" s="126"/>
      <c r="N590" s="126"/>
      <c r="O590" s="126"/>
      <c r="P590" s="10">
        <f t="shared" si="103"/>
        <v>6.5749033308512566</v>
      </c>
      <c r="Q590" s="10">
        <f t="shared" si="108"/>
        <v>43.229353810038951</v>
      </c>
      <c r="W590" s="240">
        <f t="shared" si="109"/>
        <v>6.5749033308512566</v>
      </c>
      <c r="X590" s="240">
        <f t="shared" si="110"/>
        <v>0.24083894984803136</v>
      </c>
      <c r="Y590"/>
      <c r="Z590" s="13">
        <f t="shared" si="104"/>
        <v>195.4793334542039</v>
      </c>
      <c r="AA590" s="2"/>
      <c r="AB590" s="68"/>
      <c r="AC590" s="15">
        <f t="shared" si="105"/>
        <v>54.856080337472697</v>
      </c>
    </row>
    <row r="591" spans="1:29">
      <c r="A591" s="84">
        <f>'Q.1 &amp; 4'!K596</f>
        <v>6.7</v>
      </c>
      <c r="B591" s="141">
        <f>'Q.1 &amp; 4'!L596</f>
        <v>24.2</v>
      </c>
      <c r="C591" s="221"/>
      <c r="D591" s="23"/>
      <c r="E591" s="24"/>
      <c r="F591" s="22">
        <f t="shared" si="100"/>
        <v>3.1925925925925887</v>
      </c>
      <c r="G591" s="22">
        <f t="shared" si="101"/>
        <v>-10.506489069557365</v>
      </c>
      <c r="H591" s="22">
        <f t="shared" si="106"/>
        <v>-33.542939177623843</v>
      </c>
      <c r="I591" s="22">
        <f t="shared" si="107"/>
        <v>10.192647462277067</v>
      </c>
      <c r="J591" s="24"/>
      <c r="K591" s="24"/>
      <c r="L591" s="235">
        <f t="shared" si="102"/>
        <v>20.273003741231335</v>
      </c>
      <c r="M591" s="126"/>
      <c r="N591" s="126"/>
      <c r="O591" s="126"/>
      <c r="P591" s="10">
        <f t="shared" si="103"/>
        <v>3.9269962587686642</v>
      </c>
      <c r="Q591" s="10">
        <f t="shared" si="108"/>
        <v>15.421299616383086</v>
      </c>
      <c r="W591" s="240">
        <f t="shared" si="109"/>
        <v>3.9269962587686642</v>
      </c>
      <c r="X591" s="240">
        <f t="shared" si="110"/>
        <v>0.16227257267639109</v>
      </c>
      <c r="Y591"/>
      <c r="Z591" s="13">
        <f t="shared" si="104"/>
        <v>208.32549872300274</v>
      </c>
      <c r="AA591" s="2"/>
      <c r="AB591" s="68"/>
      <c r="AC591" s="15">
        <f t="shared" si="105"/>
        <v>110.38631256872837</v>
      </c>
    </row>
    <row r="592" spans="1:29">
      <c r="A592" s="84">
        <f>'Q.1 &amp; 4'!K597</f>
        <v>3.5</v>
      </c>
      <c r="B592" s="141">
        <f>'Q.1 &amp; 4'!L597</f>
        <v>39.799999999999997</v>
      </c>
      <c r="C592" s="221"/>
      <c r="D592" s="23"/>
      <c r="E592" s="24"/>
      <c r="F592" s="22">
        <f t="shared" si="100"/>
        <v>-7.4074074074115259E-3</v>
      </c>
      <c r="G592" s="22">
        <f t="shared" si="101"/>
        <v>5.0935109304426334</v>
      </c>
      <c r="H592" s="22">
        <f t="shared" si="106"/>
        <v>-3.7729710595892335E-2</v>
      </c>
      <c r="I592" s="22">
        <f t="shared" si="107"/>
        <v>5.4869684499375142E-5</v>
      </c>
      <c r="J592" s="24"/>
      <c r="K592" s="24"/>
      <c r="L592" s="235">
        <f t="shared" si="102"/>
        <v>34.739977434588305</v>
      </c>
      <c r="M592" s="126"/>
      <c r="N592" s="126"/>
      <c r="O592" s="126"/>
      <c r="P592" s="10">
        <f t="shared" si="103"/>
        <v>5.0600225654116926</v>
      </c>
      <c r="Q592" s="10">
        <f t="shared" si="108"/>
        <v>25.603828362475525</v>
      </c>
      <c r="W592" s="240">
        <f t="shared" si="109"/>
        <v>5.0600225654116926</v>
      </c>
      <c r="X592" s="240">
        <f t="shared" si="110"/>
        <v>0.12713624536210283</v>
      </c>
      <c r="Y592"/>
      <c r="Z592" s="13">
        <f t="shared" si="104"/>
        <v>1.1214705924455365E-3</v>
      </c>
      <c r="AA592" s="2"/>
      <c r="AB592" s="68"/>
      <c r="AC592" s="15">
        <f t="shared" si="105"/>
        <v>25.943853598538581</v>
      </c>
    </row>
    <row r="593" spans="1:29">
      <c r="A593" s="84">
        <f>'Q.1 &amp; 4'!K598</f>
        <v>2</v>
      </c>
      <c r="B593" s="141">
        <f>'Q.1 &amp; 4'!L598</f>
        <v>40.400300000000001</v>
      </c>
      <c r="C593" s="221"/>
      <c r="D593" s="23"/>
      <c r="E593" s="24"/>
      <c r="F593" s="22">
        <f t="shared" si="100"/>
        <v>-1.5074074074074115</v>
      </c>
      <c r="G593" s="22">
        <f t="shared" si="101"/>
        <v>5.6938109304426376</v>
      </c>
      <c r="H593" s="22">
        <f t="shared" si="106"/>
        <v>-8.5828927729265185</v>
      </c>
      <c r="I593" s="22">
        <f t="shared" si="107"/>
        <v>2.2722770919067341</v>
      </c>
      <c r="J593" s="24"/>
      <c r="K593" s="24"/>
      <c r="L593" s="235">
        <f t="shared" si="102"/>
        <v>41.52137135334938</v>
      </c>
      <c r="M593" s="126"/>
      <c r="N593" s="126"/>
      <c r="O593" s="126"/>
      <c r="P593" s="10">
        <f t="shared" si="103"/>
        <v>-1.1210713533493788</v>
      </c>
      <c r="Q593" s="10">
        <f t="shared" si="108"/>
        <v>1.2568009793006076</v>
      </c>
      <c r="W593" s="240">
        <f t="shared" si="109"/>
        <v>1.1210713533493788</v>
      </c>
      <c r="X593" s="240">
        <f t="shared" si="110"/>
        <v>2.7749084866928682E-2</v>
      </c>
      <c r="Y593"/>
      <c r="Z593" s="13">
        <f t="shared" si="104"/>
        <v>46.44262054194229</v>
      </c>
      <c r="AA593" s="2"/>
      <c r="AB593" s="68"/>
      <c r="AC593" s="15">
        <f t="shared" si="105"/>
        <v>32.419482911628052</v>
      </c>
    </row>
    <row r="594" spans="1:29">
      <c r="A594" s="84">
        <f>'Q.1 &amp; 4'!K599</f>
        <v>2</v>
      </c>
      <c r="B594" s="141">
        <f>'Q.1 &amp; 4'!L599</f>
        <v>38.870199999999997</v>
      </c>
      <c r="C594" s="221"/>
      <c r="D594" s="23"/>
      <c r="E594" s="24"/>
      <c r="F594" s="22">
        <f t="shared" si="100"/>
        <v>-1.5074074074074115</v>
      </c>
      <c r="G594" s="22">
        <f t="shared" si="101"/>
        <v>4.1637109304426332</v>
      </c>
      <c r="H594" s="22">
        <f t="shared" si="106"/>
        <v>-6.276408698852431</v>
      </c>
      <c r="I594" s="22">
        <f t="shared" si="107"/>
        <v>2.2722770919067341</v>
      </c>
      <c r="J594" s="24"/>
      <c r="K594" s="24"/>
      <c r="L594" s="235">
        <f t="shared" si="102"/>
        <v>41.52137135334938</v>
      </c>
      <c r="M594" s="126"/>
      <c r="N594" s="126"/>
      <c r="O594" s="126"/>
      <c r="P594" s="10">
        <f t="shared" si="103"/>
        <v>-2.6511713533493833</v>
      </c>
      <c r="Q594" s="10">
        <f t="shared" si="108"/>
        <v>7.0287095448204004</v>
      </c>
      <c r="W594" s="240">
        <f t="shared" si="109"/>
        <v>2.6511713533493833</v>
      </c>
      <c r="X594" s="240">
        <f t="shared" si="110"/>
        <v>6.8205755394862483E-2</v>
      </c>
      <c r="Y594"/>
      <c r="Z594" s="13">
        <f t="shared" si="104"/>
        <v>46.44262054194229</v>
      </c>
      <c r="AA594" s="2"/>
      <c r="AB594" s="68"/>
      <c r="AC594" s="15">
        <f t="shared" si="105"/>
        <v>17.336488712287458</v>
      </c>
    </row>
    <row r="595" spans="1:29">
      <c r="A595" s="84">
        <f>'Q.1 &amp; 4'!K600</f>
        <v>2</v>
      </c>
      <c r="B595" s="141">
        <f>'Q.1 &amp; 4'!L600</f>
        <v>60.1</v>
      </c>
      <c r="C595" s="221"/>
      <c r="D595" s="23"/>
      <c r="E595" s="24"/>
      <c r="F595" s="22">
        <f t="shared" si="100"/>
        <v>-1.5074074074074115</v>
      </c>
      <c r="G595" s="22">
        <f t="shared" si="101"/>
        <v>25.393510930442638</v>
      </c>
      <c r="H595" s="22">
        <f t="shared" si="106"/>
        <v>-38.278366476630303</v>
      </c>
      <c r="I595" s="22">
        <f t="shared" si="107"/>
        <v>2.2722770919067341</v>
      </c>
      <c r="J595" s="24"/>
      <c r="K595" s="24"/>
      <c r="L595" s="235">
        <f t="shared" si="102"/>
        <v>41.52137135334938</v>
      </c>
      <c r="M595" s="126"/>
      <c r="N595" s="126"/>
      <c r="O595" s="126"/>
      <c r="P595" s="10">
        <f t="shared" si="103"/>
        <v>18.578628646650621</v>
      </c>
      <c r="Q595" s="10">
        <f t="shared" si="108"/>
        <v>345.16544239014712</v>
      </c>
      <c r="W595" s="240">
        <f t="shared" si="109"/>
        <v>18.578628646650621</v>
      </c>
      <c r="X595" s="240">
        <f t="shared" si="110"/>
        <v>0.3091285964500935</v>
      </c>
      <c r="Y595"/>
      <c r="Z595" s="13">
        <f t="shared" si="104"/>
        <v>46.44262054194229</v>
      </c>
      <c r="AA595" s="2"/>
      <c r="AB595" s="68"/>
      <c r="AC595" s="15">
        <f t="shared" si="105"/>
        <v>644.83039737450974</v>
      </c>
    </row>
    <row r="596" spans="1:29">
      <c r="A596" s="84">
        <f>'Q.1 &amp; 4'!K601</f>
        <v>2</v>
      </c>
      <c r="B596" s="141">
        <f>'Q.1 &amp; 4'!L601</f>
        <v>37.1</v>
      </c>
      <c r="C596" s="221"/>
      <c r="D596" s="23"/>
      <c r="E596" s="24"/>
      <c r="F596" s="22">
        <f t="shared" si="100"/>
        <v>-1.5074074074074115</v>
      </c>
      <c r="G596" s="22">
        <f t="shared" si="101"/>
        <v>2.3935109304426376</v>
      </c>
      <c r="H596" s="22">
        <f t="shared" si="106"/>
        <v>-3.6079961062598378</v>
      </c>
      <c r="I596" s="22">
        <f t="shared" si="107"/>
        <v>2.2722770919067341</v>
      </c>
      <c r="J596" s="24"/>
      <c r="K596" s="24"/>
      <c r="L596" s="235">
        <f t="shared" si="102"/>
        <v>41.52137135334938</v>
      </c>
      <c r="M596" s="126"/>
      <c r="N596" s="126"/>
      <c r="O596" s="126"/>
      <c r="P596" s="10">
        <f t="shared" si="103"/>
        <v>-4.4213713533493788</v>
      </c>
      <c r="Q596" s="10">
        <f t="shared" si="108"/>
        <v>19.548524644218517</v>
      </c>
      <c r="W596" s="240">
        <f t="shared" si="109"/>
        <v>4.4213713533493788</v>
      </c>
      <c r="X596" s="240">
        <f t="shared" si="110"/>
        <v>0.11917443000941721</v>
      </c>
      <c r="Y596"/>
      <c r="Z596" s="13">
        <f t="shared" si="104"/>
        <v>46.44262054194229</v>
      </c>
      <c r="AA596" s="2"/>
      <c r="AB596" s="68"/>
      <c r="AC596" s="15">
        <f t="shared" si="105"/>
        <v>5.7288945741483808</v>
      </c>
    </row>
    <row r="597" spans="1:29">
      <c r="A597" s="84">
        <f>'Q.1 &amp; 4'!K602</f>
        <v>2</v>
      </c>
      <c r="B597" s="141">
        <f>'Q.1 &amp; 4'!L602</f>
        <v>37.798900000000003</v>
      </c>
      <c r="C597" s="221"/>
      <c r="D597" s="23"/>
      <c r="E597" s="24"/>
      <c r="F597" s="22">
        <f t="shared" si="100"/>
        <v>-1.5074074074074115</v>
      </c>
      <c r="G597" s="22">
        <f t="shared" si="101"/>
        <v>3.0924109304426395</v>
      </c>
      <c r="H597" s="22">
        <f t="shared" si="106"/>
        <v>-4.66152314329688</v>
      </c>
      <c r="I597" s="22">
        <f t="shared" si="107"/>
        <v>2.2722770919067341</v>
      </c>
      <c r="J597" s="24"/>
      <c r="K597" s="24"/>
      <c r="L597" s="235">
        <f t="shared" si="102"/>
        <v>41.52137135334938</v>
      </c>
      <c r="M597" s="126"/>
      <c r="N597" s="126"/>
      <c r="O597" s="126"/>
      <c r="P597" s="10">
        <f t="shared" si="103"/>
        <v>-3.722471353349377</v>
      </c>
      <c r="Q597" s="10">
        <f t="shared" si="108"/>
        <v>13.856792976506743</v>
      </c>
      <c r="W597" s="240">
        <f t="shared" si="109"/>
        <v>3.722471353349377</v>
      </c>
      <c r="X597" s="240">
        <f t="shared" si="110"/>
        <v>9.8480943978511981E-2</v>
      </c>
      <c r="Y597"/>
      <c r="Z597" s="13">
        <f t="shared" si="104"/>
        <v>46.44262054194229</v>
      </c>
      <c r="AA597" s="2"/>
      <c r="AB597" s="68"/>
      <c r="AC597" s="15">
        <f t="shared" si="105"/>
        <v>9.5630053627211105</v>
      </c>
    </row>
    <row r="598" spans="1:29">
      <c r="A598" s="84">
        <f>'Q.1 &amp; 4'!K603</f>
        <v>3</v>
      </c>
      <c r="B598" s="141">
        <f>'Q.1 &amp; 4'!L603</f>
        <v>38.169600000000003</v>
      </c>
      <c r="C598" s="221"/>
      <c r="D598" s="23"/>
      <c r="E598" s="24"/>
      <c r="F598" s="22">
        <f t="shared" si="100"/>
        <v>-0.50740740740741153</v>
      </c>
      <c r="G598" s="22">
        <f t="shared" si="101"/>
        <v>3.4631109304426388</v>
      </c>
      <c r="H598" s="22">
        <f t="shared" si="106"/>
        <v>-1.7572081387801681</v>
      </c>
      <c r="I598" s="22">
        <f t="shared" si="107"/>
        <v>0.25746227709191088</v>
      </c>
      <c r="J598" s="24"/>
      <c r="K598" s="24"/>
      <c r="L598" s="235">
        <f t="shared" si="102"/>
        <v>37.000442074175325</v>
      </c>
      <c r="M598" s="126"/>
      <c r="N598" s="126"/>
      <c r="O598" s="126"/>
      <c r="P598" s="10">
        <f t="shared" si="103"/>
        <v>1.1691579258246776</v>
      </c>
      <c r="Q598" s="10">
        <f t="shared" si="108"/>
        <v>1.3669302555186622</v>
      </c>
      <c r="W598" s="240">
        <f t="shared" si="109"/>
        <v>1.1691579258246776</v>
      </c>
      <c r="X598" s="240">
        <f t="shared" si="110"/>
        <v>3.0630604612693808E-2</v>
      </c>
      <c r="Y598"/>
      <c r="Z598" s="13">
        <f t="shared" si="104"/>
        <v>5.2622203873957725</v>
      </c>
      <c r="AA598" s="2"/>
      <c r="AB598" s="68"/>
      <c r="AC598" s="15">
        <f t="shared" si="105"/>
        <v>11.99313731655128</v>
      </c>
    </row>
    <row r="599" spans="1:29">
      <c r="A599" s="84">
        <f>'Q.1 &amp; 4'!K604</f>
        <v>3</v>
      </c>
      <c r="B599" s="141">
        <f>'Q.1 &amp; 4'!L604</f>
        <v>36.798000000000002</v>
      </c>
      <c r="C599" s="221"/>
      <c r="D599" s="23"/>
      <c r="E599" s="24"/>
      <c r="F599" s="22">
        <f t="shared" si="100"/>
        <v>-0.50740740740741153</v>
      </c>
      <c r="G599" s="22">
        <f t="shared" si="101"/>
        <v>2.091510930442638</v>
      </c>
      <c r="H599" s="22">
        <f t="shared" si="106"/>
        <v>-1.061248138780162</v>
      </c>
      <c r="I599" s="22">
        <f t="shared" si="107"/>
        <v>0.25746227709191088</v>
      </c>
      <c r="J599" s="24"/>
      <c r="K599" s="24"/>
      <c r="L599" s="235">
        <f t="shared" si="102"/>
        <v>37.000442074175325</v>
      </c>
      <c r="M599" s="126"/>
      <c r="N599" s="126"/>
      <c r="O599" s="126"/>
      <c r="P599" s="10">
        <f t="shared" si="103"/>
        <v>-0.20244207417532323</v>
      </c>
      <c r="Q599" s="10">
        <f t="shared" si="108"/>
        <v>4.098279339640707E-2</v>
      </c>
      <c r="W599" s="240">
        <f t="shared" si="109"/>
        <v>0.20244207417532323</v>
      </c>
      <c r="X599" s="240">
        <f t="shared" si="110"/>
        <v>5.5014423114115776E-3</v>
      </c>
      <c r="Y599"/>
      <c r="Z599" s="13">
        <f t="shared" si="104"/>
        <v>5.2622203873957725</v>
      </c>
      <c r="AA599" s="2"/>
      <c r="AB599" s="68"/>
      <c r="AC599" s="15">
        <f t="shared" si="105"/>
        <v>4.3744179721610292</v>
      </c>
    </row>
    <row r="600" spans="1:29">
      <c r="A600" s="84">
        <f>'Q.1 &amp; 4'!K605</f>
        <v>3</v>
      </c>
      <c r="B600" s="141">
        <f>'Q.1 &amp; 4'!L605</f>
        <v>35.540399999999998</v>
      </c>
      <c r="C600" s="221"/>
      <c r="D600" s="23"/>
      <c r="E600" s="24"/>
      <c r="F600" s="22">
        <f t="shared" si="100"/>
        <v>-0.50740740740741153</v>
      </c>
      <c r="G600" s="22">
        <f t="shared" si="101"/>
        <v>0.83391093044263442</v>
      </c>
      <c r="H600" s="22">
        <f t="shared" si="106"/>
        <v>-0.4231325832245994</v>
      </c>
      <c r="I600" s="22">
        <f t="shared" si="107"/>
        <v>0.25746227709191088</v>
      </c>
      <c r="J600" s="24"/>
      <c r="K600" s="24"/>
      <c r="L600" s="235">
        <f t="shared" si="102"/>
        <v>37.000442074175325</v>
      </c>
      <c r="M600" s="126"/>
      <c r="N600" s="126"/>
      <c r="O600" s="126"/>
      <c r="P600" s="10">
        <f t="shared" si="103"/>
        <v>-1.4600420741753268</v>
      </c>
      <c r="Q600" s="10">
        <f t="shared" si="108"/>
        <v>2.1317228583621906</v>
      </c>
      <c r="W600" s="240">
        <f t="shared" si="109"/>
        <v>1.4600420741753268</v>
      </c>
      <c r="X600" s="240">
        <f t="shared" si="110"/>
        <v>4.1081194195206776E-2</v>
      </c>
      <c r="Y600"/>
      <c r="Z600" s="13">
        <f t="shared" si="104"/>
        <v>5.2622203873957725</v>
      </c>
      <c r="AA600" s="2"/>
      <c r="AB600" s="68"/>
      <c r="AC600" s="15">
        <f t="shared" si="105"/>
        <v>0.69540743991170029</v>
      </c>
    </row>
    <row r="601" spans="1:29">
      <c r="A601" s="84">
        <f>'Q.1 &amp; 4'!K606</f>
        <v>3</v>
      </c>
      <c r="B601" s="141">
        <f>'Q.1 &amp; 4'!L606</f>
        <v>35.460599999999999</v>
      </c>
      <c r="C601" s="221"/>
      <c r="D601" s="23"/>
      <c r="E601" s="24"/>
      <c r="F601" s="22">
        <f t="shared" si="100"/>
        <v>-0.50740740740741153</v>
      </c>
      <c r="G601" s="22">
        <f t="shared" si="101"/>
        <v>0.75411093044263566</v>
      </c>
      <c r="H601" s="22">
        <f t="shared" si="106"/>
        <v>-0.38264147211348859</v>
      </c>
      <c r="I601" s="22">
        <f t="shared" si="107"/>
        <v>0.25746227709191088</v>
      </c>
      <c r="J601" s="24"/>
      <c r="K601" s="24"/>
      <c r="L601" s="235">
        <f t="shared" si="102"/>
        <v>37.000442074175325</v>
      </c>
      <c r="M601" s="126"/>
      <c r="N601" s="126"/>
      <c r="O601" s="126"/>
      <c r="P601" s="10">
        <f t="shared" si="103"/>
        <v>-1.5398420741753256</v>
      </c>
      <c r="Q601" s="10">
        <f t="shared" si="108"/>
        <v>2.3711136134005688</v>
      </c>
      <c r="W601" s="240">
        <f t="shared" si="109"/>
        <v>1.5398420741753256</v>
      </c>
      <c r="X601" s="240">
        <f t="shared" si="110"/>
        <v>4.3424027629970323E-2</v>
      </c>
      <c r="Y601"/>
      <c r="Z601" s="13">
        <f t="shared" si="104"/>
        <v>5.2622203873957725</v>
      </c>
      <c r="AA601" s="2"/>
      <c r="AB601" s="68"/>
      <c r="AC601" s="15">
        <f t="shared" si="105"/>
        <v>0.56868329541305773</v>
      </c>
    </row>
    <row r="602" spans="1:29">
      <c r="A602" s="84">
        <f>'Q.1 &amp; 4'!K607</f>
        <v>3</v>
      </c>
      <c r="B602" s="141">
        <f>'Q.1 &amp; 4'!L607</f>
        <v>38.299999999999997</v>
      </c>
      <c r="C602" s="221"/>
      <c r="D602" s="23"/>
      <c r="E602" s="24"/>
      <c r="F602" s="22">
        <f t="shared" si="100"/>
        <v>-0.50740740740741153</v>
      </c>
      <c r="G602" s="22">
        <f t="shared" si="101"/>
        <v>3.5935109304426334</v>
      </c>
      <c r="H602" s="22">
        <f t="shared" si="106"/>
        <v>-1.8233740647060916</v>
      </c>
      <c r="I602" s="22">
        <f t="shared" si="107"/>
        <v>0.25746227709191088</v>
      </c>
      <c r="J602" s="24"/>
      <c r="K602" s="24"/>
      <c r="L602" s="235">
        <f t="shared" si="102"/>
        <v>37.000442074175325</v>
      </c>
      <c r="M602" s="126"/>
      <c r="N602" s="126"/>
      <c r="O602" s="126"/>
      <c r="P602" s="10">
        <f t="shared" si="103"/>
        <v>1.2995579258246721</v>
      </c>
      <c r="Q602" s="10">
        <f t="shared" si="108"/>
        <v>1.6888508025737239</v>
      </c>
      <c r="W602" s="240">
        <f t="shared" si="109"/>
        <v>1.2995579258246721</v>
      </c>
      <c r="X602" s="240">
        <f t="shared" si="110"/>
        <v>3.3931016340069772E-2</v>
      </c>
      <c r="Y602"/>
      <c r="Z602" s="13">
        <f t="shared" si="104"/>
        <v>5.2622203873957725</v>
      </c>
      <c r="AA602" s="2"/>
      <c r="AB602" s="68"/>
      <c r="AC602" s="15">
        <f t="shared" si="105"/>
        <v>12.913320807210681</v>
      </c>
    </row>
    <row r="603" spans="1:29">
      <c r="A603" s="84">
        <f>'Q.1 &amp; 4'!K608</f>
        <v>3.6</v>
      </c>
      <c r="B603" s="141">
        <f>'Q.1 &amp; 4'!L608</f>
        <v>37</v>
      </c>
      <c r="C603" s="221"/>
      <c r="D603" s="23"/>
      <c r="E603" s="24"/>
      <c r="F603" s="22">
        <f t="shared" si="100"/>
        <v>9.2592592592588563E-2</v>
      </c>
      <c r="G603" s="22">
        <f t="shared" si="101"/>
        <v>2.2935109304426362</v>
      </c>
      <c r="H603" s="22">
        <f t="shared" si="106"/>
        <v>0.21236212318912373</v>
      </c>
      <c r="I603" s="22">
        <f t="shared" si="107"/>
        <v>8.573388203017087E-3</v>
      </c>
      <c r="J603" s="24"/>
      <c r="K603" s="24"/>
      <c r="L603" s="235">
        <f t="shared" si="102"/>
        <v>34.287884506670892</v>
      </c>
      <c r="M603" s="126"/>
      <c r="N603" s="126"/>
      <c r="O603" s="126"/>
      <c r="P603" s="10">
        <f t="shared" si="103"/>
        <v>2.7121154933291081</v>
      </c>
      <c r="Q603" s="10">
        <f t="shared" si="108"/>
        <v>7.3555704491557909</v>
      </c>
      <c r="W603" s="240">
        <f t="shared" si="109"/>
        <v>2.7121154933291081</v>
      </c>
      <c r="X603" s="240">
        <f t="shared" si="110"/>
        <v>7.3300418738624543E-2</v>
      </c>
      <c r="Y603"/>
      <c r="Z603" s="13">
        <f t="shared" si="104"/>
        <v>0.17522978006937417</v>
      </c>
      <c r="AA603" s="2"/>
      <c r="AB603" s="68"/>
      <c r="AC603" s="15">
        <f t="shared" si="105"/>
        <v>5.2601923880598465</v>
      </c>
    </row>
    <row r="604" spans="1:29">
      <c r="A604" s="84">
        <f>'Q.1 &amp; 4'!K609</f>
        <v>3</v>
      </c>
      <c r="B604" s="141">
        <f>'Q.1 &amp; 4'!L609</f>
        <v>36.1</v>
      </c>
      <c r="C604" s="221"/>
      <c r="D604" s="23"/>
      <c r="E604" s="24"/>
      <c r="F604" s="22">
        <f t="shared" si="100"/>
        <v>-0.50740740740741153</v>
      </c>
      <c r="G604" s="22">
        <f t="shared" si="101"/>
        <v>1.3935109304426376</v>
      </c>
      <c r="H604" s="22">
        <f t="shared" si="106"/>
        <v>-0.70707776840978853</v>
      </c>
      <c r="I604" s="22">
        <f t="shared" si="107"/>
        <v>0.25746227709191088</v>
      </c>
      <c r="J604" s="24"/>
      <c r="K604" s="24"/>
      <c r="L604" s="235">
        <f t="shared" si="102"/>
        <v>37.000442074175325</v>
      </c>
      <c r="M604" s="126"/>
      <c r="N604" s="126"/>
      <c r="O604" s="126"/>
      <c r="P604" s="10">
        <f t="shared" si="103"/>
        <v>-0.90044207417532363</v>
      </c>
      <c r="Q604" s="10">
        <f t="shared" si="108"/>
        <v>0.81079592894515906</v>
      </c>
      <c r="W604" s="240">
        <f t="shared" si="109"/>
        <v>0.90044207417532363</v>
      </c>
      <c r="X604" s="240">
        <f t="shared" si="110"/>
        <v>2.4942993744468799E-2</v>
      </c>
      <c r="Y604"/>
      <c r="Z604" s="13">
        <f t="shared" si="104"/>
        <v>5.2622203873957725</v>
      </c>
      <c r="AA604" s="2"/>
      <c r="AB604" s="68"/>
      <c r="AC604" s="15">
        <f t="shared" si="105"/>
        <v>1.9418727132631057</v>
      </c>
    </row>
    <row r="605" spans="1:29">
      <c r="A605" s="84">
        <f>'Q.1 &amp; 4'!K610</f>
        <v>3.6</v>
      </c>
      <c r="B605" s="141">
        <f>'Q.1 &amp; 4'!L610</f>
        <v>37.200000000000003</v>
      </c>
      <c r="C605" s="221"/>
      <c r="D605" s="23"/>
      <c r="E605" s="24"/>
      <c r="F605" s="22">
        <f t="shared" si="100"/>
        <v>9.2592592592588563E-2</v>
      </c>
      <c r="G605" s="22">
        <f t="shared" si="101"/>
        <v>2.4935109304426391</v>
      </c>
      <c r="H605" s="22">
        <f t="shared" si="106"/>
        <v>0.23088064170764172</v>
      </c>
      <c r="I605" s="22">
        <f t="shared" si="107"/>
        <v>8.573388203017087E-3</v>
      </c>
      <c r="J605" s="24"/>
      <c r="K605" s="24"/>
      <c r="L605" s="235">
        <f t="shared" si="102"/>
        <v>34.287884506670892</v>
      </c>
      <c r="M605" s="126"/>
      <c r="N605" s="126"/>
      <c r="O605" s="126"/>
      <c r="P605" s="10">
        <f t="shared" si="103"/>
        <v>2.9121154933291109</v>
      </c>
      <c r="Q605" s="10">
        <f t="shared" si="108"/>
        <v>8.4804166464874502</v>
      </c>
      <c r="W605" s="240">
        <f t="shared" si="109"/>
        <v>2.9121154933291109</v>
      </c>
      <c r="X605" s="240">
        <f t="shared" si="110"/>
        <v>7.828267455185782E-2</v>
      </c>
      <c r="Y605"/>
      <c r="Z605" s="13">
        <f t="shared" si="104"/>
        <v>0.17522978006937417</v>
      </c>
      <c r="AA605" s="2"/>
      <c r="AB605" s="68"/>
      <c r="AC605" s="15">
        <f t="shared" si="105"/>
        <v>6.2175967602369155</v>
      </c>
    </row>
    <row r="606" spans="1:29">
      <c r="A606" s="84">
        <f>'Q.1 &amp; 4'!K611</f>
        <v>2</v>
      </c>
      <c r="B606" s="141">
        <f>'Q.1 &amp; 4'!L611</f>
        <v>43.9</v>
      </c>
      <c r="C606" s="221"/>
      <c r="D606" s="23"/>
      <c r="E606" s="24"/>
      <c r="F606" s="22">
        <f t="shared" si="100"/>
        <v>-1.5074074074074115</v>
      </c>
      <c r="G606" s="22">
        <f t="shared" si="101"/>
        <v>9.1935109304426348</v>
      </c>
      <c r="H606" s="22">
        <f t="shared" si="106"/>
        <v>-13.858366476630232</v>
      </c>
      <c r="I606" s="22">
        <f t="shared" si="107"/>
        <v>2.2722770919067341</v>
      </c>
      <c r="J606" s="24"/>
      <c r="K606" s="24"/>
      <c r="L606" s="235">
        <f t="shared" si="102"/>
        <v>41.52137135334938</v>
      </c>
      <c r="M606" s="126"/>
      <c r="N606" s="126"/>
      <c r="O606" s="126"/>
      <c r="P606" s="10">
        <f t="shared" si="103"/>
        <v>2.3786286466506184</v>
      </c>
      <c r="Q606" s="10">
        <f t="shared" si="108"/>
        <v>5.6578742386669525</v>
      </c>
      <c r="W606" s="240">
        <f t="shared" si="109"/>
        <v>2.3786286466506184</v>
      </c>
      <c r="X606" s="240">
        <f t="shared" si="110"/>
        <v>5.418288488953573E-2</v>
      </c>
      <c r="Y606"/>
      <c r="Z606" s="13">
        <f t="shared" si="104"/>
        <v>46.44262054194229</v>
      </c>
      <c r="AA606" s="2"/>
      <c r="AB606" s="68"/>
      <c r="AC606" s="15">
        <f t="shared" si="105"/>
        <v>84.520643228168197</v>
      </c>
    </row>
    <row r="607" spans="1:29">
      <c r="A607" s="84">
        <f>'Q.1 &amp; 4'!K612</f>
        <v>2</v>
      </c>
      <c r="B607" s="141">
        <f>'Q.1 &amp; 4'!L612</f>
        <v>38</v>
      </c>
      <c r="C607" s="221"/>
      <c r="D607" s="23"/>
      <c r="E607" s="24"/>
      <c r="F607" s="22">
        <f t="shared" si="100"/>
        <v>-1.5074074074074115</v>
      </c>
      <c r="G607" s="22">
        <f t="shared" si="101"/>
        <v>3.2935109304426362</v>
      </c>
      <c r="H607" s="22">
        <f t="shared" si="106"/>
        <v>-4.9646627729265056</v>
      </c>
      <c r="I607" s="22">
        <f t="shared" si="107"/>
        <v>2.2722770919067341</v>
      </c>
      <c r="J607" s="24"/>
      <c r="K607" s="24"/>
      <c r="L607" s="235">
        <f t="shared" si="102"/>
        <v>41.52137135334938</v>
      </c>
      <c r="M607" s="126"/>
      <c r="N607" s="126"/>
      <c r="O607" s="126"/>
      <c r="P607" s="10">
        <f t="shared" si="103"/>
        <v>-3.5213713533493802</v>
      </c>
      <c r="Q607" s="10">
        <f t="shared" si="108"/>
        <v>12.400056208189646</v>
      </c>
      <c r="W607" s="240">
        <f t="shared" si="109"/>
        <v>3.5213713533493802</v>
      </c>
      <c r="X607" s="240">
        <f t="shared" si="110"/>
        <v>9.2667667193404746E-2</v>
      </c>
      <c r="Y607"/>
      <c r="Z607" s="13">
        <f t="shared" si="104"/>
        <v>46.44262054194229</v>
      </c>
      <c r="AA607" s="2"/>
      <c r="AB607" s="68"/>
      <c r="AC607" s="15">
        <f t="shared" si="105"/>
        <v>10.84721424894512</v>
      </c>
    </row>
    <row r="608" spans="1:29">
      <c r="A608" s="84">
        <f>'Q.1 &amp; 4'!K613</f>
        <v>2.4</v>
      </c>
      <c r="B608" s="141">
        <f>'Q.1 &amp; 4'!L613</f>
        <v>35.299999999999997</v>
      </c>
      <c r="C608" s="221"/>
      <c r="D608" s="23"/>
      <c r="E608" s="24"/>
      <c r="F608" s="22">
        <f t="shared" si="100"/>
        <v>-1.1074074074074116</v>
      </c>
      <c r="G608" s="22">
        <f t="shared" si="101"/>
        <v>0.59351093044263337</v>
      </c>
      <c r="H608" s="22">
        <f t="shared" si="106"/>
        <v>-0.6572584007494372</v>
      </c>
      <c r="I608" s="22">
        <f t="shared" si="107"/>
        <v>1.2263511659808048</v>
      </c>
      <c r="J608" s="24"/>
      <c r="K608" s="24"/>
      <c r="L608" s="235">
        <f t="shared" si="102"/>
        <v>39.712999641679758</v>
      </c>
      <c r="M608" s="126"/>
      <c r="N608" s="126"/>
      <c r="O608" s="126"/>
      <c r="P608" s="10">
        <f t="shared" si="103"/>
        <v>-4.412999641679761</v>
      </c>
      <c r="Q608" s="10">
        <f t="shared" si="108"/>
        <v>19.4745658374657</v>
      </c>
      <c r="W608" s="240">
        <f t="shared" si="109"/>
        <v>4.412999641679761</v>
      </c>
      <c r="X608" s="240">
        <f t="shared" si="110"/>
        <v>0.12501415415523404</v>
      </c>
      <c r="Y608"/>
      <c r="Z608" s="13">
        <f t="shared" si="104"/>
        <v>25.065148108773304</v>
      </c>
      <c r="AA608" s="2"/>
      <c r="AB608" s="68"/>
      <c r="AC608" s="15">
        <f t="shared" si="105"/>
        <v>0.3522552245548804</v>
      </c>
    </row>
    <row r="609" spans="1:29">
      <c r="A609" s="84">
        <f>'Q.1 &amp; 4'!K614</f>
        <v>2.4</v>
      </c>
      <c r="B609" s="141">
        <f>'Q.1 &amp; 4'!L614</f>
        <v>40.1</v>
      </c>
      <c r="C609" s="221"/>
      <c r="D609" s="23"/>
      <c r="E609" s="24"/>
      <c r="F609" s="22">
        <f t="shared" si="100"/>
        <v>-1.1074074074074116</v>
      </c>
      <c r="G609" s="22">
        <f t="shared" si="101"/>
        <v>5.3935109304426376</v>
      </c>
      <c r="H609" s="22">
        <f t="shared" si="106"/>
        <v>-5.9728139563050178</v>
      </c>
      <c r="I609" s="22">
        <f t="shared" si="107"/>
        <v>1.2263511659808048</v>
      </c>
      <c r="J609" s="24"/>
      <c r="K609" s="24"/>
      <c r="L609" s="235">
        <f t="shared" si="102"/>
        <v>39.712999641679758</v>
      </c>
      <c r="M609" s="126"/>
      <c r="N609" s="126"/>
      <c r="O609" s="126"/>
      <c r="P609" s="10">
        <f t="shared" si="103"/>
        <v>0.38700035832024327</v>
      </c>
      <c r="Q609" s="10">
        <f t="shared" si="108"/>
        <v>0.14976927733999668</v>
      </c>
      <c r="W609" s="240">
        <f t="shared" si="109"/>
        <v>0.38700035832024327</v>
      </c>
      <c r="X609" s="240">
        <f t="shared" si="110"/>
        <v>9.6508817536220259E-3</v>
      </c>
      <c r="Y609"/>
      <c r="Z609" s="13">
        <f t="shared" si="104"/>
        <v>25.065148108773304</v>
      </c>
      <c r="AA609" s="2"/>
      <c r="AB609" s="68"/>
      <c r="AC609" s="15">
        <f t="shared" si="105"/>
        <v>29.089960156804207</v>
      </c>
    </row>
    <row r="610" spans="1:29">
      <c r="A610" s="84">
        <f>'Q.1 &amp; 4'!K615</f>
        <v>1.5</v>
      </c>
      <c r="B610" s="141">
        <f>'Q.1 &amp; 4'!L615</f>
        <v>46.2622</v>
      </c>
      <c r="C610" s="221"/>
      <c r="D610" s="23"/>
      <c r="E610" s="24"/>
      <c r="F610" s="22">
        <f t="shared" si="100"/>
        <v>-2.0074074074074115</v>
      </c>
      <c r="G610" s="22">
        <f t="shared" si="101"/>
        <v>11.555710930442636</v>
      </c>
      <c r="H610" s="22">
        <f t="shared" si="106"/>
        <v>-23.197019719629338</v>
      </c>
      <c r="I610" s="22">
        <f t="shared" si="107"/>
        <v>4.0296844993141452</v>
      </c>
      <c r="J610" s="24"/>
      <c r="K610" s="24"/>
      <c r="L610" s="235">
        <f t="shared" si="102"/>
        <v>43.781835992936408</v>
      </c>
      <c r="M610" s="126"/>
      <c r="N610" s="126"/>
      <c r="O610" s="126"/>
      <c r="P610" s="10">
        <f t="shared" si="103"/>
        <v>2.4803640070635922</v>
      </c>
      <c r="Q610" s="10">
        <f t="shared" si="108"/>
        <v>6.1522056075365592</v>
      </c>
      <c r="W610" s="240">
        <f t="shared" si="109"/>
        <v>2.4803640070635922</v>
      </c>
      <c r="X610" s="240">
        <f t="shared" si="110"/>
        <v>5.3615349184941319E-2</v>
      </c>
      <c r="Y610"/>
      <c r="Z610" s="13">
        <f t="shared" si="104"/>
        <v>82.361921779685474</v>
      </c>
      <c r="AA610" s="2"/>
      <c r="AB610" s="68"/>
      <c r="AC610" s="15">
        <f t="shared" si="105"/>
        <v>133.53445510795143</v>
      </c>
    </row>
    <row r="611" spans="1:29">
      <c r="A611" s="84">
        <f>'Q.1 &amp; 4'!K616</f>
        <v>1.5</v>
      </c>
      <c r="B611" s="141">
        <f>'Q.1 &amp; 4'!L616</f>
        <v>49.3</v>
      </c>
      <c r="C611" s="221"/>
      <c r="D611" s="23"/>
      <c r="E611" s="24"/>
      <c r="F611" s="22">
        <f t="shared" si="100"/>
        <v>-2.0074074074074115</v>
      </c>
      <c r="G611" s="22">
        <f t="shared" si="101"/>
        <v>14.593510930442633</v>
      </c>
      <c r="H611" s="22">
        <f t="shared" si="106"/>
        <v>-29.295121941851569</v>
      </c>
      <c r="I611" s="22">
        <f t="shared" si="107"/>
        <v>4.0296844993141452</v>
      </c>
      <c r="J611" s="24"/>
      <c r="K611" s="24"/>
      <c r="L611" s="235">
        <f t="shared" si="102"/>
        <v>43.781835992936408</v>
      </c>
      <c r="M611" s="126"/>
      <c r="N611" s="126"/>
      <c r="O611" s="126"/>
      <c r="P611" s="10">
        <f t="shared" si="103"/>
        <v>5.5181640070635893</v>
      </c>
      <c r="Q611" s="10">
        <f t="shared" si="108"/>
        <v>30.450134008852089</v>
      </c>
      <c r="W611" s="240">
        <f t="shared" si="109"/>
        <v>5.5181640070635893</v>
      </c>
      <c r="X611" s="240">
        <f t="shared" si="110"/>
        <v>0.11193030440291257</v>
      </c>
      <c r="Y611"/>
      <c r="Z611" s="13">
        <f t="shared" si="104"/>
        <v>82.361921779685474</v>
      </c>
      <c r="AA611" s="2"/>
      <c r="AB611" s="68"/>
      <c r="AC611" s="15">
        <f t="shared" si="105"/>
        <v>212.97056127694862</v>
      </c>
    </row>
    <row r="612" spans="1:29">
      <c r="A612" s="84">
        <f>'Q.1 &amp; 4'!K617</f>
        <v>1.5</v>
      </c>
      <c r="B612" s="141">
        <f>'Q.1 &amp; 4'!L617</f>
        <v>47.4</v>
      </c>
      <c r="C612" s="221"/>
      <c r="D612" s="23"/>
      <c r="E612" s="24"/>
      <c r="F612" s="22">
        <f t="shared" si="100"/>
        <v>-2.0074074074074115</v>
      </c>
      <c r="G612" s="22">
        <f t="shared" si="101"/>
        <v>12.693510930442635</v>
      </c>
      <c r="H612" s="22">
        <f t="shared" si="106"/>
        <v>-25.481047867777491</v>
      </c>
      <c r="I612" s="22">
        <f t="shared" si="107"/>
        <v>4.0296844993141452</v>
      </c>
      <c r="J612" s="24"/>
      <c r="K612" s="24"/>
      <c r="L612" s="235">
        <f t="shared" si="102"/>
        <v>43.781835992936408</v>
      </c>
      <c r="M612" s="126"/>
      <c r="N612" s="126"/>
      <c r="O612" s="126"/>
      <c r="P612" s="10">
        <f t="shared" si="103"/>
        <v>3.6181640070635908</v>
      </c>
      <c r="Q612" s="10">
        <f t="shared" si="108"/>
        <v>13.09111078201046</v>
      </c>
      <c r="W612" s="240">
        <f t="shared" si="109"/>
        <v>3.6181640070635908</v>
      </c>
      <c r="X612" s="240">
        <f t="shared" si="110"/>
        <v>7.6332573988683358E-2</v>
      </c>
      <c r="Y612"/>
      <c r="Z612" s="13">
        <f t="shared" si="104"/>
        <v>82.361921779685474</v>
      </c>
      <c r="AA612" s="2"/>
      <c r="AB612" s="68"/>
      <c r="AC612" s="15">
        <f t="shared" si="105"/>
        <v>161.12521974126665</v>
      </c>
    </row>
    <row r="613" spans="1:29">
      <c r="A613" s="84">
        <f>'Q.1 &amp; 4'!K618</f>
        <v>2</v>
      </c>
      <c r="B613" s="141">
        <f>'Q.1 &amp; 4'!L618</f>
        <v>42.6</v>
      </c>
      <c r="C613" s="221"/>
      <c r="D613" s="23"/>
      <c r="E613" s="24"/>
      <c r="F613" s="22">
        <f t="shared" si="100"/>
        <v>-1.5074074074074115</v>
      </c>
      <c r="G613" s="22">
        <f t="shared" si="101"/>
        <v>7.8935109304426376</v>
      </c>
      <c r="H613" s="22">
        <f t="shared" si="106"/>
        <v>-11.898736847000601</v>
      </c>
      <c r="I613" s="22">
        <f t="shared" si="107"/>
        <v>2.2722770919067341</v>
      </c>
      <c r="J613" s="24"/>
      <c r="K613" s="24"/>
      <c r="L613" s="235">
        <f t="shared" si="102"/>
        <v>41.52137135334938</v>
      </c>
      <c r="M613" s="126"/>
      <c r="N613" s="126"/>
      <c r="O613" s="126"/>
      <c r="P613" s="10">
        <f t="shared" si="103"/>
        <v>1.0786286466506212</v>
      </c>
      <c r="Q613" s="10">
        <f t="shared" si="108"/>
        <v>1.1634397573753505</v>
      </c>
      <c r="W613" s="240">
        <f t="shared" si="109"/>
        <v>1.0786286466506212</v>
      </c>
      <c r="X613" s="240">
        <f t="shared" si="110"/>
        <v>2.5319921282878431E-2</v>
      </c>
      <c r="Y613"/>
      <c r="Z613" s="13">
        <f t="shared" si="104"/>
        <v>46.44262054194229</v>
      </c>
      <c r="AA613" s="2"/>
      <c r="AB613" s="68"/>
      <c r="AC613" s="15">
        <f t="shared" si="105"/>
        <v>62.307514809017398</v>
      </c>
    </row>
    <row r="614" spans="1:29">
      <c r="A614" s="84">
        <f>'Q.1 &amp; 4'!K619</f>
        <v>2</v>
      </c>
      <c r="B614" s="141">
        <f>'Q.1 &amp; 4'!L619</f>
        <v>43.5</v>
      </c>
      <c r="C614" s="221"/>
      <c r="D614" s="23"/>
      <c r="E614" s="24"/>
      <c r="F614" s="22">
        <f t="shared" si="100"/>
        <v>-1.5074074074074115</v>
      </c>
      <c r="G614" s="22">
        <f t="shared" si="101"/>
        <v>8.7935109304426362</v>
      </c>
      <c r="H614" s="22">
        <f t="shared" si="106"/>
        <v>-13.25540351366727</v>
      </c>
      <c r="I614" s="22">
        <f t="shared" si="107"/>
        <v>2.2722770919067341</v>
      </c>
      <c r="J614" s="24"/>
      <c r="K614" s="24"/>
      <c r="L614" s="235">
        <f t="shared" si="102"/>
        <v>41.52137135334938</v>
      </c>
      <c r="M614" s="126"/>
      <c r="N614" s="126"/>
      <c r="O614" s="126"/>
      <c r="P614" s="10">
        <f t="shared" si="103"/>
        <v>1.9786286466506198</v>
      </c>
      <c r="Q614" s="10">
        <f t="shared" si="108"/>
        <v>3.9149713213464632</v>
      </c>
      <c r="W614" s="240">
        <f t="shared" si="109"/>
        <v>1.9786286466506198</v>
      </c>
      <c r="X614" s="240">
        <f t="shared" si="110"/>
        <v>4.5485716014956774E-2</v>
      </c>
      <c r="Y614"/>
      <c r="Z614" s="13">
        <f t="shared" si="104"/>
        <v>46.44262054194229</v>
      </c>
      <c r="AA614" s="2"/>
      <c r="AB614" s="68"/>
      <c r="AC614" s="15">
        <f t="shared" si="105"/>
        <v>77.32583448381412</v>
      </c>
    </row>
    <row r="615" spans="1:29">
      <c r="A615" s="84">
        <f>'Q.1 &amp; 4'!K620</f>
        <v>3.5</v>
      </c>
      <c r="B615" s="141">
        <f>'Q.1 &amp; 4'!L620</f>
        <v>33.299999999999997</v>
      </c>
      <c r="C615" s="221"/>
      <c r="D615" s="23"/>
      <c r="E615" s="24"/>
      <c r="F615" s="22">
        <f t="shared" si="100"/>
        <v>-7.4074074074115259E-3</v>
      </c>
      <c r="G615" s="22">
        <f t="shared" si="101"/>
        <v>-1.4064890695573666</v>
      </c>
      <c r="H615" s="22">
        <f t="shared" si="106"/>
        <v>1.0418437552282583E-2</v>
      </c>
      <c r="I615" s="22">
        <f t="shared" si="107"/>
        <v>5.4869684499375142E-5</v>
      </c>
      <c r="J615" s="24"/>
      <c r="K615" s="24"/>
      <c r="L615" s="235">
        <f t="shared" si="102"/>
        <v>34.739977434588305</v>
      </c>
      <c r="M615" s="126"/>
      <c r="N615" s="126"/>
      <c r="O615" s="126"/>
      <c r="P615" s="10">
        <f t="shared" si="103"/>
        <v>-1.4399774345883074</v>
      </c>
      <c r="Q615" s="10">
        <f t="shared" si="108"/>
        <v>2.0735350121235232</v>
      </c>
      <c r="W615" s="240">
        <f t="shared" si="109"/>
        <v>1.4399774345883074</v>
      </c>
      <c r="X615" s="240">
        <f t="shared" si="110"/>
        <v>4.3242565603252479E-2</v>
      </c>
      <c r="Y615"/>
      <c r="Z615" s="13">
        <f t="shared" si="104"/>
        <v>1.1214705924455365E-3</v>
      </c>
      <c r="AA615" s="2"/>
      <c r="AB615" s="68"/>
      <c r="AC615" s="15">
        <f t="shared" si="105"/>
        <v>1.978211502784347</v>
      </c>
    </row>
    <row r="616" spans="1:29">
      <c r="A616" s="84">
        <f>'Q.1 &amp; 4'!K621</f>
        <v>3.5</v>
      </c>
      <c r="B616" s="141">
        <f>'Q.1 &amp; 4'!L621</f>
        <v>32.348999999999997</v>
      </c>
      <c r="C616" s="221"/>
      <c r="D616" s="23"/>
      <c r="E616" s="24"/>
      <c r="F616" s="22">
        <f t="shared" si="100"/>
        <v>-7.4074074074115259E-3</v>
      </c>
      <c r="G616" s="22">
        <f t="shared" si="101"/>
        <v>-2.3574890695573671</v>
      </c>
      <c r="H616" s="22">
        <f t="shared" si="106"/>
        <v>1.7462881996730947E-2</v>
      </c>
      <c r="I616" s="22">
        <f t="shared" si="107"/>
        <v>5.4869684499375142E-5</v>
      </c>
      <c r="J616" s="24"/>
      <c r="K616" s="24"/>
      <c r="L616" s="235">
        <f t="shared" si="102"/>
        <v>34.739977434588305</v>
      </c>
      <c r="M616" s="126"/>
      <c r="N616" s="126"/>
      <c r="O616" s="126"/>
      <c r="P616" s="10">
        <f t="shared" si="103"/>
        <v>-2.3909774345883079</v>
      </c>
      <c r="Q616" s="10">
        <f t="shared" si="108"/>
        <v>5.7167730927104863</v>
      </c>
      <c r="W616" s="240">
        <f t="shared" si="109"/>
        <v>2.3909774345883079</v>
      </c>
      <c r="X616" s="240">
        <f t="shared" si="110"/>
        <v>7.391194270575005E-2</v>
      </c>
      <c r="Y616"/>
      <c r="Z616" s="13">
        <f t="shared" si="104"/>
        <v>1.1214705924455365E-3</v>
      </c>
      <c r="AA616" s="2"/>
      <c r="AB616" s="68"/>
      <c r="AC616" s="15">
        <f t="shared" si="105"/>
        <v>5.5577547130824607</v>
      </c>
    </row>
    <row r="617" spans="1:29">
      <c r="A617" s="84">
        <f>'Q.1 &amp; 4'!K622</f>
        <v>1.6</v>
      </c>
      <c r="B617" s="141">
        <f>'Q.1 &amp; 4'!L622</f>
        <v>43.5</v>
      </c>
      <c r="C617" s="221"/>
      <c r="D617" s="23"/>
      <c r="E617" s="24"/>
      <c r="F617" s="22">
        <f t="shared" si="100"/>
        <v>-1.9074074074074114</v>
      </c>
      <c r="G617" s="22">
        <f t="shared" si="101"/>
        <v>8.7935109304426362</v>
      </c>
      <c r="H617" s="22">
        <f t="shared" si="106"/>
        <v>-16.772807885844323</v>
      </c>
      <c r="I617" s="22">
        <f t="shared" si="107"/>
        <v>3.6382030178326628</v>
      </c>
      <c r="J617" s="24"/>
      <c r="K617" s="24"/>
      <c r="L617" s="235">
        <f t="shared" si="102"/>
        <v>43.329743065019002</v>
      </c>
      <c r="M617" s="126"/>
      <c r="N617" s="126"/>
      <c r="O617" s="126"/>
      <c r="P617" s="10">
        <f t="shared" si="103"/>
        <v>0.1702569349809977</v>
      </c>
      <c r="Q617" s="10">
        <f t="shared" si="108"/>
        <v>2.8987423909123677E-2</v>
      </c>
      <c r="W617" s="240">
        <f t="shared" si="109"/>
        <v>0.1702569349809977</v>
      </c>
      <c r="X617" s="240">
        <f t="shared" si="110"/>
        <v>3.913952528298798E-3</v>
      </c>
      <c r="Y617"/>
      <c r="Z617" s="13">
        <f t="shared" si="104"/>
        <v>74.360509470245105</v>
      </c>
      <c r="AA617" s="2"/>
      <c r="AB617" s="68"/>
      <c r="AC617" s="15">
        <f t="shared" si="105"/>
        <v>77.32583448381412</v>
      </c>
    </row>
    <row r="618" spans="1:29">
      <c r="A618" s="84">
        <f>'Q.1 &amp; 4'!K623</f>
        <v>1.6</v>
      </c>
      <c r="B618" s="141">
        <f>'Q.1 &amp; 4'!L623</f>
        <v>44.2</v>
      </c>
      <c r="C618" s="221"/>
      <c r="D618" s="23"/>
      <c r="E618" s="24"/>
      <c r="F618" s="22">
        <f t="shared" si="100"/>
        <v>-1.9074074074074114</v>
      </c>
      <c r="G618" s="22">
        <f t="shared" si="101"/>
        <v>9.4935109304426391</v>
      </c>
      <c r="H618" s="22">
        <f t="shared" si="106"/>
        <v>-18.107993071029515</v>
      </c>
      <c r="I618" s="22">
        <f t="shared" si="107"/>
        <v>3.6382030178326628</v>
      </c>
      <c r="J618" s="24"/>
      <c r="K618" s="24"/>
      <c r="L618" s="235">
        <f t="shared" si="102"/>
        <v>43.329743065019002</v>
      </c>
      <c r="M618" s="126"/>
      <c r="N618" s="126"/>
      <c r="O618" s="126"/>
      <c r="P618" s="10">
        <f t="shared" si="103"/>
        <v>0.87025693498100054</v>
      </c>
      <c r="Q618" s="10">
        <f t="shared" si="108"/>
        <v>0.75734713288252542</v>
      </c>
      <c r="W618" s="240">
        <f t="shared" si="109"/>
        <v>0.87025693498100054</v>
      </c>
      <c r="X618" s="240">
        <f t="shared" si="110"/>
        <v>1.9689070927171957E-2</v>
      </c>
      <c r="Y618"/>
      <c r="Z618" s="13">
        <f t="shared" si="104"/>
        <v>74.360509470245105</v>
      </c>
      <c r="AA618" s="2"/>
      <c r="AB618" s="68"/>
      <c r="AC618" s="15">
        <f t="shared" si="105"/>
        <v>90.126749786433862</v>
      </c>
    </row>
    <row r="619" spans="1:29">
      <c r="A619" s="84">
        <f>'Q.1 &amp; 4'!K624</f>
        <v>2</v>
      </c>
      <c r="B619" s="141">
        <f>'Q.1 &amp; 4'!L624</f>
        <v>41.8</v>
      </c>
      <c r="C619" s="221"/>
      <c r="D619" s="23"/>
      <c r="E619" s="24"/>
      <c r="F619" s="22">
        <f t="shared" si="100"/>
        <v>-1.5074074074074115</v>
      </c>
      <c r="G619" s="22">
        <f t="shared" si="101"/>
        <v>7.0935109304426334</v>
      </c>
      <c r="H619" s="22">
        <f t="shared" si="106"/>
        <v>-10.692810921074665</v>
      </c>
      <c r="I619" s="22">
        <f t="shared" si="107"/>
        <v>2.2722770919067341</v>
      </c>
      <c r="J619" s="24"/>
      <c r="K619" s="24"/>
      <c r="L619" s="235">
        <f t="shared" si="102"/>
        <v>41.52137135334938</v>
      </c>
      <c r="M619" s="126"/>
      <c r="N619" s="126"/>
      <c r="O619" s="126"/>
      <c r="P619" s="10">
        <f t="shared" si="103"/>
        <v>0.27862864665061693</v>
      </c>
      <c r="Q619" s="10">
        <f t="shared" si="108"/>
        <v>7.7633922734354349E-2</v>
      </c>
      <c r="W619" s="240">
        <f t="shared" si="109"/>
        <v>0.27862864665061693</v>
      </c>
      <c r="X619" s="240">
        <f t="shared" si="110"/>
        <v>6.6657570969047113E-3</v>
      </c>
      <c r="Y619"/>
      <c r="Z619" s="13">
        <f t="shared" si="104"/>
        <v>46.44262054194229</v>
      </c>
      <c r="AA619" s="2"/>
      <c r="AB619" s="68"/>
      <c r="AC619" s="15">
        <f t="shared" si="105"/>
        <v>50.317897320309115</v>
      </c>
    </row>
    <row r="620" spans="1:29">
      <c r="A620" s="84">
        <f>'Q.1 &amp; 4'!K625</f>
        <v>2</v>
      </c>
      <c r="B620" s="141">
        <f>'Q.1 &amp; 4'!L625</f>
        <v>42.8</v>
      </c>
      <c r="C620" s="221"/>
      <c r="D620" s="23"/>
      <c r="E620" s="24"/>
      <c r="F620" s="22">
        <f t="shared" si="100"/>
        <v>-1.5074074074074115</v>
      </c>
      <c r="G620" s="22">
        <f t="shared" si="101"/>
        <v>8.0935109304426334</v>
      </c>
      <c r="H620" s="22">
        <f t="shared" si="106"/>
        <v>-12.200218328482077</v>
      </c>
      <c r="I620" s="22">
        <f t="shared" si="107"/>
        <v>2.2722770919067341</v>
      </c>
      <c r="J620" s="24"/>
      <c r="K620" s="24"/>
      <c r="L620" s="235">
        <f t="shared" si="102"/>
        <v>41.52137135334938</v>
      </c>
      <c r="M620" s="126"/>
      <c r="N620" s="126"/>
      <c r="O620" s="126"/>
      <c r="P620" s="10">
        <f t="shared" si="103"/>
        <v>1.2786286466506169</v>
      </c>
      <c r="Q620" s="10">
        <f t="shared" si="108"/>
        <v>1.6348912160355882</v>
      </c>
      <c r="W620" s="240">
        <f t="shared" si="109"/>
        <v>1.2786286466506169</v>
      </c>
      <c r="X620" s="240">
        <f t="shared" si="110"/>
        <v>2.9874501089967687E-2</v>
      </c>
      <c r="Y620"/>
      <c r="Z620" s="13">
        <f t="shared" si="104"/>
        <v>46.44262054194229</v>
      </c>
      <c r="AA620" s="2"/>
      <c r="AB620" s="68"/>
      <c r="AC620" s="15">
        <f t="shared" si="105"/>
        <v>65.504919181194381</v>
      </c>
    </row>
    <row r="621" spans="1:29">
      <c r="A621" s="84">
        <f>'Q.1 &amp; 4'!K626</f>
        <v>2</v>
      </c>
      <c r="B621" s="141">
        <f>'Q.1 &amp; 4'!L626</f>
        <v>34.700000000000003</v>
      </c>
      <c r="C621" s="221"/>
      <c r="D621" s="23"/>
      <c r="E621" s="24"/>
      <c r="F621" s="22">
        <f t="shared" si="100"/>
        <v>-1.5074074074074115</v>
      </c>
      <c r="G621" s="22">
        <f t="shared" si="101"/>
        <v>-6.4890695573609491E-3</v>
      </c>
      <c r="H621" s="22">
        <f t="shared" si="106"/>
        <v>9.7816715179478275E-3</v>
      </c>
      <c r="I621" s="22">
        <f t="shared" si="107"/>
        <v>2.2722770919067341</v>
      </c>
      <c r="J621" s="24"/>
      <c r="K621" s="24"/>
      <c r="L621" s="235">
        <f t="shared" si="102"/>
        <v>41.52137135334938</v>
      </c>
      <c r="M621" s="126"/>
      <c r="N621" s="126"/>
      <c r="O621" s="126"/>
      <c r="P621" s="10">
        <f t="shared" si="103"/>
        <v>-6.8213713533493774</v>
      </c>
      <c r="Q621" s="10">
        <f t="shared" si="108"/>
        <v>46.531107140295518</v>
      </c>
      <c r="W621" s="240">
        <f t="shared" si="109"/>
        <v>6.8213713533493774</v>
      </c>
      <c r="X621" s="240">
        <f t="shared" si="110"/>
        <v>0.19658130701295035</v>
      </c>
      <c r="Y621"/>
      <c r="Z621" s="13">
        <f t="shared" si="104"/>
        <v>46.44262054194229</v>
      </c>
      <c r="AA621" s="2"/>
      <c r="AB621" s="68"/>
      <c r="AC621" s="15">
        <f t="shared" si="105"/>
        <v>4.2108023720268626E-5</v>
      </c>
    </row>
    <row r="622" spans="1:29">
      <c r="A622" s="84">
        <f>'Q.1 &amp; 4'!K627</f>
        <v>2.4</v>
      </c>
      <c r="B622" s="141">
        <f>'Q.1 &amp; 4'!L627</f>
        <v>37.221800000000002</v>
      </c>
      <c r="C622" s="221"/>
      <c r="D622" s="23"/>
      <c r="E622" s="24"/>
      <c r="F622" s="22">
        <f t="shared" si="100"/>
        <v>-1.1074074074074116</v>
      </c>
      <c r="G622" s="22">
        <f t="shared" si="101"/>
        <v>2.515310930442638</v>
      </c>
      <c r="H622" s="22">
        <f t="shared" si="106"/>
        <v>-2.7854739563050059</v>
      </c>
      <c r="I622" s="22">
        <f t="shared" si="107"/>
        <v>1.2263511659808048</v>
      </c>
      <c r="J622" s="24"/>
      <c r="K622" s="24"/>
      <c r="L622" s="235">
        <f t="shared" si="102"/>
        <v>39.712999641679758</v>
      </c>
      <c r="M622" s="126"/>
      <c r="N622" s="126"/>
      <c r="O622" s="126"/>
      <c r="P622" s="10">
        <f t="shared" si="103"/>
        <v>-2.4911996416797564</v>
      </c>
      <c r="Q622" s="10">
        <f t="shared" si="108"/>
        <v>6.2060756547053462</v>
      </c>
      <c r="W622" s="240">
        <f t="shared" si="109"/>
        <v>2.4911996416797564</v>
      </c>
      <c r="X622" s="240">
        <f t="shared" si="110"/>
        <v>6.6928510756593076E-2</v>
      </c>
      <c r="Y622"/>
      <c r="Z622" s="13">
        <f t="shared" si="104"/>
        <v>25.065148108773304</v>
      </c>
      <c r="AA622" s="2"/>
      <c r="AB622" s="68"/>
      <c r="AC622" s="15">
        <f t="shared" si="105"/>
        <v>6.326789076804209</v>
      </c>
    </row>
    <row r="623" spans="1:29">
      <c r="A623" s="84">
        <f>'Q.1 &amp; 4'!K628</f>
        <v>2.4</v>
      </c>
      <c r="B623" s="141">
        <f>'Q.1 &amp; 4'!L628</f>
        <v>37.491100000000003</v>
      </c>
      <c r="C623" s="221"/>
      <c r="D623" s="23"/>
      <c r="E623" s="24"/>
      <c r="F623" s="22">
        <f t="shared" si="100"/>
        <v>-1.1074074074074116</v>
      </c>
      <c r="G623" s="22">
        <f t="shared" si="101"/>
        <v>2.7846109304426392</v>
      </c>
      <c r="H623" s="22">
        <f t="shared" si="106"/>
        <v>-3.0836987711198232</v>
      </c>
      <c r="I623" s="22">
        <f t="shared" si="107"/>
        <v>1.2263511659808048</v>
      </c>
      <c r="J623" s="24"/>
      <c r="K623" s="24"/>
      <c r="L623" s="235">
        <f t="shared" si="102"/>
        <v>39.712999641679758</v>
      </c>
      <c r="M623" s="126"/>
      <c r="N623" s="126"/>
      <c r="O623" s="126"/>
      <c r="P623" s="10">
        <f t="shared" si="103"/>
        <v>-2.2218996416797552</v>
      </c>
      <c r="Q623" s="10">
        <f t="shared" si="108"/>
        <v>4.9368380176966244</v>
      </c>
      <c r="W623" s="240">
        <f t="shared" si="109"/>
        <v>2.2218996416797552</v>
      </c>
      <c r="X623" s="240">
        <f t="shared" si="110"/>
        <v>5.9264722605625202E-2</v>
      </c>
      <c r="Y623"/>
      <c r="Z623" s="13">
        <f t="shared" si="104"/>
        <v>25.065148108773304</v>
      </c>
      <c r="AA623" s="2"/>
      <c r="AB623" s="68"/>
      <c r="AC623" s="15">
        <f t="shared" si="105"/>
        <v>7.7540580339406207</v>
      </c>
    </row>
    <row r="624" spans="1:29">
      <c r="A624" s="84">
        <f>'Q.1 &amp; 4'!K629</f>
        <v>1.8</v>
      </c>
      <c r="B624" s="141">
        <f>'Q.1 &amp; 4'!L629</f>
        <v>41.798999999999999</v>
      </c>
      <c r="C624" s="221"/>
      <c r="D624" s="23"/>
      <c r="E624" s="24"/>
      <c r="F624" s="22">
        <f t="shared" si="100"/>
        <v>-1.7074074074074115</v>
      </c>
      <c r="G624" s="22">
        <f t="shared" si="101"/>
        <v>7.0925109304426357</v>
      </c>
      <c r="H624" s="22">
        <f t="shared" si="106"/>
        <v>-12.109805699755789</v>
      </c>
      <c r="I624" s="22">
        <f t="shared" si="107"/>
        <v>2.9152400548696984</v>
      </c>
      <c r="J624" s="24"/>
      <c r="K624" s="24"/>
      <c r="L624" s="235">
        <f t="shared" si="102"/>
        <v>42.425557209184191</v>
      </c>
      <c r="M624" s="126"/>
      <c r="N624" s="126"/>
      <c r="O624" s="126"/>
      <c r="P624" s="10">
        <f t="shared" si="103"/>
        <v>-0.62655720918419178</v>
      </c>
      <c r="Q624" s="10">
        <f t="shared" si="108"/>
        <v>0.39257393638068305</v>
      </c>
      <c r="W624" s="240">
        <f t="shared" si="109"/>
        <v>0.62655720918419178</v>
      </c>
      <c r="X624" s="240">
        <f t="shared" si="110"/>
        <v>1.4989765525112844E-2</v>
      </c>
      <c r="Y624"/>
      <c r="Z624" s="13">
        <f t="shared" si="104"/>
        <v>59.584012944201973</v>
      </c>
      <c r="AA624" s="2"/>
      <c r="AB624" s="68"/>
      <c r="AC624" s="15">
        <f t="shared" si="105"/>
        <v>50.303711298448263</v>
      </c>
    </row>
    <row r="625" spans="1:29">
      <c r="A625" s="84">
        <f>'Q.1 &amp; 4'!K630</f>
        <v>1.8</v>
      </c>
      <c r="B625" s="141">
        <f>'Q.1 &amp; 4'!L630</f>
        <v>43.260899999999999</v>
      </c>
      <c r="C625" s="221"/>
      <c r="D625" s="23"/>
      <c r="E625" s="24"/>
      <c r="F625" s="22">
        <f t="shared" si="100"/>
        <v>-1.7074074074074115</v>
      </c>
      <c r="G625" s="22">
        <f t="shared" si="101"/>
        <v>8.5544109304426357</v>
      </c>
      <c r="H625" s="22">
        <f t="shared" si="106"/>
        <v>-14.605864588644684</v>
      </c>
      <c r="I625" s="22">
        <f t="shared" si="107"/>
        <v>2.9152400548696984</v>
      </c>
      <c r="J625" s="24"/>
      <c r="K625" s="24"/>
      <c r="L625" s="235">
        <f t="shared" si="102"/>
        <v>42.425557209184191</v>
      </c>
      <c r="M625" s="126"/>
      <c r="N625" s="126"/>
      <c r="O625" s="126"/>
      <c r="P625" s="10">
        <f t="shared" si="103"/>
        <v>0.8353427908158082</v>
      </c>
      <c r="Q625" s="10">
        <f t="shared" si="108"/>
        <v>0.69779757816794308</v>
      </c>
      <c r="W625" s="240">
        <f t="shared" si="109"/>
        <v>0.8353427908158082</v>
      </c>
      <c r="X625" s="240">
        <f t="shared" si="110"/>
        <v>1.9309417760976038E-2</v>
      </c>
      <c r="Y625"/>
      <c r="Z625" s="13">
        <f t="shared" si="104"/>
        <v>59.584012944201973</v>
      </c>
      <c r="AA625" s="2"/>
      <c r="AB625" s="68"/>
      <c r="AC625" s="15">
        <f t="shared" si="105"/>
        <v>73.177946366876441</v>
      </c>
    </row>
    <row r="626" spans="1:29">
      <c r="A626" s="84">
        <f>'Q.1 &amp; 4'!K631</f>
        <v>1.8</v>
      </c>
      <c r="B626" s="141">
        <f>'Q.1 &amp; 4'!L631</f>
        <v>43.7</v>
      </c>
      <c r="C626" s="221"/>
      <c r="D626" s="23"/>
      <c r="E626" s="24"/>
      <c r="F626" s="22">
        <f t="shared" si="100"/>
        <v>-1.7074074074074115</v>
      </c>
      <c r="G626" s="22">
        <f t="shared" si="101"/>
        <v>8.9935109304426391</v>
      </c>
      <c r="H626" s="22">
        <f t="shared" si="106"/>
        <v>-15.355587181237283</v>
      </c>
      <c r="I626" s="22">
        <f t="shared" si="107"/>
        <v>2.9152400548696984</v>
      </c>
      <c r="J626" s="24"/>
      <c r="K626" s="24"/>
      <c r="L626" s="235">
        <f t="shared" si="102"/>
        <v>42.425557209184191</v>
      </c>
      <c r="M626" s="126"/>
      <c r="N626" s="126"/>
      <c r="O626" s="126"/>
      <c r="P626" s="10">
        <f t="shared" si="103"/>
        <v>1.2744427908158116</v>
      </c>
      <c r="Q626" s="10">
        <f t="shared" si="108"/>
        <v>1.6242044270623945</v>
      </c>
      <c r="W626" s="240">
        <f t="shared" si="109"/>
        <v>1.2744427908158116</v>
      </c>
      <c r="X626" s="240">
        <f t="shared" si="110"/>
        <v>2.9163450590750834E-2</v>
      </c>
      <c r="Y626"/>
      <c r="Z626" s="13">
        <f t="shared" si="104"/>
        <v>59.584012944201973</v>
      </c>
      <c r="AA626" s="2"/>
      <c r="AB626" s="68"/>
      <c r="AC626" s="15">
        <f t="shared" si="105"/>
        <v>80.883238855991223</v>
      </c>
    </row>
    <row r="627" spans="1:29">
      <c r="A627" s="84">
        <f>'Q.1 &amp; 4'!K632</f>
        <v>1.8</v>
      </c>
      <c r="B627" s="141">
        <f>'Q.1 &amp; 4'!L632</f>
        <v>44.8</v>
      </c>
      <c r="C627" s="221"/>
      <c r="D627" s="23"/>
      <c r="E627" s="24"/>
      <c r="F627" s="22">
        <f t="shared" si="100"/>
        <v>-1.7074074074074115</v>
      </c>
      <c r="G627" s="22">
        <f t="shared" si="101"/>
        <v>10.093510930442633</v>
      </c>
      <c r="H627" s="22">
        <f t="shared" si="106"/>
        <v>-17.233735329385425</v>
      </c>
      <c r="I627" s="22">
        <f t="shared" si="107"/>
        <v>2.9152400548696984</v>
      </c>
      <c r="J627" s="24"/>
      <c r="K627" s="24"/>
      <c r="L627" s="235">
        <f t="shared" si="102"/>
        <v>42.425557209184191</v>
      </c>
      <c r="M627" s="126"/>
      <c r="N627" s="126"/>
      <c r="O627" s="126"/>
      <c r="P627" s="10">
        <f t="shared" si="103"/>
        <v>2.3744427908158059</v>
      </c>
      <c r="Q627" s="10">
        <f t="shared" si="108"/>
        <v>5.6379785668571527</v>
      </c>
      <c r="W627" s="240">
        <f t="shared" si="109"/>
        <v>2.3744427908158059</v>
      </c>
      <c r="X627" s="240">
        <f t="shared" si="110"/>
        <v>5.3000955152138526E-2</v>
      </c>
      <c r="Y627"/>
      <c r="Z627" s="13">
        <f t="shared" si="104"/>
        <v>59.584012944201973</v>
      </c>
      <c r="AA627" s="2"/>
      <c r="AB627" s="68"/>
      <c r="AC627" s="15">
        <f t="shared" si="105"/>
        <v>101.87896290296491</v>
      </c>
    </row>
    <row r="628" spans="1:29">
      <c r="A628" s="84">
        <f>'Q.1 &amp; 4'!K633</f>
        <v>2.4</v>
      </c>
      <c r="B628" s="141">
        <f>'Q.1 &amp; 4'!L633</f>
        <v>40</v>
      </c>
      <c r="C628" s="221"/>
      <c r="D628" s="23"/>
      <c r="E628" s="24"/>
      <c r="F628" s="22">
        <f t="shared" si="100"/>
        <v>-1.1074074074074116</v>
      </c>
      <c r="G628" s="22">
        <f t="shared" si="101"/>
        <v>5.2935109304426362</v>
      </c>
      <c r="H628" s="22">
        <f t="shared" si="106"/>
        <v>-5.8620732155642745</v>
      </c>
      <c r="I628" s="22">
        <f t="shared" si="107"/>
        <v>1.2263511659808048</v>
      </c>
      <c r="J628" s="24"/>
      <c r="K628" s="24"/>
      <c r="L628" s="235">
        <f t="shared" si="102"/>
        <v>39.712999641679758</v>
      </c>
      <c r="M628" s="126"/>
      <c r="N628" s="126"/>
      <c r="O628" s="126"/>
      <c r="P628" s="10">
        <f t="shared" si="103"/>
        <v>0.28700035832024184</v>
      </c>
      <c r="Q628" s="10">
        <f t="shared" si="108"/>
        <v>8.2369205675947216E-2</v>
      </c>
      <c r="W628" s="240">
        <f t="shared" si="109"/>
        <v>0.28700035832024184</v>
      </c>
      <c r="X628" s="240">
        <f t="shared" si="110"/>
        <v>7.1750089580060461E-3</v>
      </c>
      <c r="Y628"/>
      <c r="Z628" s="13">
        <f t="shared" si="104"/>
        <v>25.065148108773304</v>
      </c>
      <c r="AA628" s="2"/>
      <c r="AB628" s="68"/>
      <c r="AC628" s="15">
        <f t="shared" si="105"/>
        <v>28.021257970715663</v>
      </c>
    </row>
    <row r="629" spans="1:29">
      <c r="A629" s="84">
        <f>'Q.1 &amp; 4'!K634</f>
        <v>2.4</v>
      </c>
      <c r="B629" s="141">
        <f>'Q.1 &amp; 4'!L634</f>
        <v>38.6</v>
      </c>
      <c r="C629" s="221"/>
      <c r="D629" s="23"/>
      <c r="E629" s="24"/>
      <c r="F629" s="22">
        <f t="shared" si="100"/>
        <v>-1.1074074074074116</v>
      </c>
      <c r="G629" s="22">
        <f t="shared" si="101"/>
        <v>3.8935109304426376</v>
      </c>
      <c r="H629" s="22">
        <f t="shared" si="106"/>
        <v>-4.3117028451939001</v>
      </c>
      <c r="I629" s="22">
        <f t="shared" si="107"/>
        <v>1.2263511659808048</v>
      </c>
      <c r="J629" s="24"/>
      <c r="K629" s="24"/>
      <c r="L629" s="235">
        <f t="shared" si="102"/>
        <v>39.712999641679758</v>
      </c>
      <c r="M629" s="126"/>
      <c r="N629" s="126"/>
      <c r="O629" s="126"/>
      <c r="P629" s="10">
        <f t="shared" si="103"/>
        <v>-1.1129996416797567</v>
      </c>
      <c r="Q629" s="10">
        <f t="shared" si="108"/>
        <v>1.238768202379267</v>
      </c>
      <c r="W629" s="240">
        <f t="shared" si="109"/>
        <v>1.1129996416797567</v>
      </c>
      <c r="X629" s="240">
        <f t="shared" si="110"/>
        <v>2.8834187608283851E-2</v>
      </c>
      <c r="Y629"/>
      <c r="Z629" s="13">
        <f t="shared" si="104"/>
        <v>25.065148108773304</v>
      </c>
      <c r="AA629" s="2"/>
      <c r="AB629" s="68"/>
      <c r="AC629" s="15">
        <f t="shared" si="105"/>
        <v>15.159427365476294</v>
      </c>
    </row>
    <row r="630" spans="1:29">
      <c r="A630" s="84">
        <f>'Q.1 &amp; 4'!K635</f>
        <v>2.4</v>
      </c>
      <c r="B630" s="141">
        <f>'Q.1 &amp; 4'!L635</f>
        <v>35.587699999999998</v>
      </c>
      <c r="C630" s="221"/>
      <c r="D630" s="23"/>
      <c r="E630" s="24"/>
      <c r="F630" s="22">
        <f t="shared" si="100"/>
        <v>-1.1074074074074116</v>
      </c>
      <c r="G630" s="22">
        <f t="shared" si="101"/>
        <v>0.88121093044263432</v>
      </c>
      <c r="H630" s="22">
        <f t="shared" si="106"/>
        <v>-0.97585951186055064</v>
      </c>
      <c r="I630" s="22">
        <f t="shared" si="107"/>
        <v>1.2263511659808048</v>
      </c>
      <c r="J630" s="24"/>
      <c r="K630" s="24"/>
      <c r="L630" s="235">
        <f t="shared" si="102"/>
        <v>39.712999641679758</v>
      </c>
      <c r="M630" s="126"/>
      <c r="N630" s="126"/>
      <c r="O630" s="126"/>
      <c r="P630" s="10">
        <f t="shared" si="103"/>
        <v>-4.12529964167976</v>
      </c>
      <c r="Q630" s="10">
        <f t="shared" si="108"/>
        <v>17.018097133643156</v>
      </c>
      <c r="W630" s="240">
        <f t="shared" si="109"/>
        <v>4.12529964167976</v>
      </c>
      <c r="X630" s="240">
        <f t="shared" si="110"/>
        <v>0.11591925417151881</v>
      </c>
      <c r="Y630"/>
      <c r="Z630" s="13">
        <f t="shared" si="104"/>
        <v>25.065148108773304</v>
      </c>
      <c r="AA630" s="2"/>
      <c r="AB630" s="68"/>
      <c r="AC630" s="15">
        <f t="shared" si="105"/>
        <v>0.77653270393157325</v>
      </c>
    </row>
    <row r="631" spans="1:29">
      <c r="A631" s="84">
        <f>'Q.1 &amp; 4'!K636</f>
        <v>2</v>
      </c>
      <c r="B631" s="141">
        <f>'Q.1 &amp; 4'!L636</f>
        <v>37.5</v>
      </c>
      <c r="C631" s="221"/>
      <c r="D631" s="23"/>
      <c r="E631" s="24"/>
      <c r="F631" s="22">
        <f t="shared" si="100"/>
        <v>-1.5074074074074115</v>
      </c>
      <c r="G631" s="22">
        <f t="shared" si="101"/>
        <v>2.7935109304426362</v>
      </c>
      <c r="H631" s="22">
        <f t="shared" si="106"/>
        <v>-4.2109590692227998</v>
      </c>
      <c r="I631" s="22">
        <f t="shared" si="107"/>
        <v>2.2722770919067341</v>
      </c>
      <c r="J631" s="24"/>
      <c r="K631" s="24"/>
      <c r="L631" s="235">
        <f t="shared" si="102"/>
        <v>41.52137135334938</v>
      </c>
      <c r="M631" s="126"/>
      <c r="N631" s="126"/>
      <c r="O631" s="126"/>
      <c r="P631" s="10">
        <f t="shared" si="103"/>
        <v>-4.0213713533493802</v>
      </c>
      <c r="Q631" s="10">
        <f t="shared" si="108"/>
        <v>16.171427561539026</v>
      </c>
      <c r="W631" s="240">
        <f t="shared" si="109"/>
        <v>4.0213713533493802</v>
      </c>
      <c r="X631" s="240">
        <f t="shared" si="110"/>
        <v>0.10723656942265014</v>
      </c>
      <c r="Y631"/>
      <c r="Z631" s="13">
        <f t="shared" si="104"/>
        <v>46.44262054194229</v>
      </c>
      <c r="AA631" s="2"/>
      <c r="AB631" s="68"/>
      <c r="AC631" s="15">
        <f t="shared" si="105"/>
        <v>7.8037033185024827</v>
      </c>
    </row>
    <row r="632" spans="1:29">
      <c r="A632" s="84">
        <f>'Q.1 &amp; 4'!K637</f>
        <v>2</v>
      </c>
      <c r="B632" s="141">
        <f>'Q.1 &amp; 4'!L637</f>
        <v>43.1</v>
      </c>
      <c r="C632" s="221"/>
      <c r="D632" s="23"/>
      <c r="E632" s="24"/>
      <c r="F632" s="22">
        <f t="shared" si="100"/>
        <v>-1.5074074074074115</v>
      </c>
      <c r="G632" s="22">
        <f t="shared" si="101"/>
        <v>8.3935109304426376</v>
      </c>
      <c r="H632" s="22">
        <f t="shared" si="106"/>
        <v>-12.652440550704307</v>
      </c>
      <c r="I632" s="22">
        <f t="shared" si="107"/>
        <v>2.2722770919067341</v>
      </c>
      <c r="J632" s="24"/>
      <c r="K632" s="24"/>
      <c r="L632" s="235">
        <f t="shared" si="102"/>
        <v>41.52137135334938</v>
      </c>
      <c r="M632" s="126"/>
      <c r="N632" s="126"/>
      <c r="O632" s="126"/>
      <c r="P632" s="10">
        <f t="shared" si="103"/>
        <v>1.5786286466506212</v>
      </c>
      <c r="Q632" s="10">
        <f t="shared" si="108"/>
        <v>2.492068404025972</v>
      </c>
      <c r="W632" s="240">
        <f t="shared" si="109"/>
        <v>1.5786286466506212</v>
      </c>
      <c r="X632" s="240">
        <f t="shared" si="110"/>
        <v>3.6627114771476128E-2</v>
      </c>
      <c r="Y632"/>
      <c r="Z632" s="13">
        <f t="shared" si="104"/>
        <v>46.44262054194229</v>
      </c>
      <c r="AA632" s="2"/>
      <c r="AB632" s="68"/>
      <c r="AC632" s="15">
        <f t="shared" si="105"/>
        <v>70.451025739460036</v>
      </c>
    </row>
    <row r="633" spans="1:29">
      <c r="A633" s="84">
        <f>'Q.1 &amp; 4'!K638</f>
        <v>2</v>
      </c>
      <c r="B633" s="141">
        <f>'Q.1 &amp; 4'!L638</f>
        <v>41.0456</v>
      </c>
      <c r="C633" s="221"/>
      <c r="D633" s="23"/>
      <c r="E633" s="24"/>
      <c r="F633" s="22">
        <f t="shared" si="100"/>
        <v>-1.5074074074074115</v>
      </c>
      <c r="G633" s="22">
        <f t="shared" si="101"/>
        <v>6.3391109304426365</v>
      </c>
      <c r="H633" s="22">
        <f t="shared" si="106"/>
        <v>-9.5556227729265188</v>
      </c>
      <c r="I633" s="22">
        <f t="shared" si="107"/>
        <v>2.2722770919067341</v>
      </c>
      <c r="J633" s="24"/>
      <c r="K633" s="24"/>
      <c r="L633" s="235">
        <f t="shared" si="102"/>
        <v>41.52137135334938</v>
      </c>
      <c r="M633" s="126"/>
      <c r="N633" s="126"/>
      <c r="O633" s="126"/>
      <c r="P633" s="10">
        <f t="shared" si="103"/>
        <v>-0.47577135334937992</v>
      </c>
      <c r="Q633" s="10">
        <f t="shared" si="108"/>
        <v>0.22635838066790054</v>
      </c>
      <c r="W633" s="240">
        <f t="shared" si="109"/>
        <v>0.47577135334937992</v>
      </c>
      <c r="X633" s="240">
        <f t="shared" si="110"/>
        <v>1.1591287576485176E-2</v>
      </c>
      <c r="Y633"/>
      <c r="Z633" s="13">
        <f t="shared" si="104"/>
        <v>46.44262054194229</v>
      </c>
      <c r="AA633" s="2"/>
      <c r="AB633" s="68"/>
      <c r="AC633" s="15">
        <f t="shared" si="105"/>
        <v>40.184327388457312</v>
      </c>
    </row>
    <row r="634" spans="1:29">
      <c r="A634" s="84">
        <f>'Q.1 &amp; 4'!K639</f>
        <v>2</v>
      </c>
      <c r="B634" s="141">
        <f>'Q.1 &amp; 4'!L639</f>
        <v>38.462699999999998</v>
      </c>
      <c r="C634" s="221"/>
      <c r="D634" s="23"/>
      <c r="E634" s="24"/>
      <c r="F634" s="22">
        <f t="shared" si="100"/>
        <v>-1.5074074074074115</v>
      </c>
      <c r="G634" s="22">
        <f t="shared" si="101"/>
        <v>3.7562109304426343</v>
      </c>
      <c r="H634" s="22">
        <f t="shared" si="106"/>
        <v>-5.6621401803339122</v>
      </c>
      <c r="I634" s="22">
        <f t="shared" si="107"/>
        <v>2.2722770919067341</v>
      </c>
      <c r="J634" s="24"/>
      <c r="K634" s="24"/>
      <c r="L634" s="235">
        <f t="shared" si="102"/>
        <v>41.52137135334938</v>
      </c>
      <c r="M634" s="126"/>
      <c r="N634" s="126"/>
      <c r="O634" s="126"/>
      <c r="P634" s="10">
        <f t="shared" si="103"/>
        <v>-3.0586713533493821</v>
      </c>
      <c r="Q634" s="10">
        <f t="shared" si="108"/>
        <v>9.3554704478001405</v>
      </c>
      <c r="W634" s="240">
        <f t="shared" si="109"/>
        <v>3.0586713533493821</v>
      </c>
      <c r="X634" s="240">
        <f t="shared" si="110"/>
        <v>7.9523053590865492E-2</v>
      </c>
      <c r="Y634"/>
      <c r="Z634" s="13">
        <f t="shared" si="104"/>
        <v>46.44262054194229</v>
      </c>
      <c r="AA634" s="2"/>
      <c r="AB634" s="68"/>
      <c r="AC634" s="15">
        <f t="shared" si="105"/>
        <v>14.109120553976721</v>
      </c>
    </row>
    <row r="635" spans="1:29">
      <c r="A635" s="84">
        <f>'Q.1 &amp; 4'!K640</f>
        <v>2</v>
      </c>
      <c r="B635" s="141">
        <f>'Q.1 &amp; 4'!L640</f>
        <v>38.200000000000003</v>
      </c>
      <c r="C635" s="221"/>
      <c r="D635" s="23"/>
      <c r="E635" s="24"/>
      <c r="F635" s="22">
        <f t="shared" si="100"/>
        <v>-1.5074074074074115</v>
      </c>
      <c r="G635" s="22">
        <f t="shared" si="101"/>
        <v>3.4935109304426391</v>
      </c>
      <c r="H635" s="22">
        <f t="shared" si="106"/>
        <v>-5.2661442544079922</v>
      </c>
      <c r="I635" s="22">
        <f t="shared" si="107"/>
        <v>2.2722770919067341</v>
      </c>
      <c r="J635" s="24"/>
      <c r="K635" s="24"/>
      <c r="L635" s="235">
        <f t="shared" si="102"/>
        <v>41.52137135334938</v>
      </c>
      <c r="M635" s="126"/>
      <c r="N635" s="126"/>
      <c r="O635" s="126"/>
      <c r="P635" s="10">
        <f t="shared" si="103"/>
        <v>-3.3213713533493774</v>
      </c>
      <c r="Q635" s="10">
        <f t="shared" si="108"/>
        <v>11.031507666849874</v>
      </c>
      <c r="W635" s="240">
        <f t="shared" si="109"/>
        <v>3.3213713533493774</v>
      </c>
      <c r="X635" s="240">
        <f t="shared" si="110"/>
        <v>8.6946894066737626E-2</v>
      </c>
      <c r="Y635"/>
      <c r="Z635" s="13">
        <f t="shared" si="104"/>
        <v>46.44262054194229</v>
      </c>
      <c r="AA635" s="2"/>
      <c r="AB635" s="68"/>
      <c r="AC635" s="15">
        <f t="shared" si="105"/>
        <v>12.204618621122194</v>
      </c>
    </row>
    <row r="636" spans="1:29">
      <c r="A636" s="84">
        <f>'Q.1 &amp; 4'!K641</f>
        <v>2.5</v>
      </c>
      <c r="B636" s="141">
        <f>'Q.1 &amp; 4'!L641</f>
        <v>37.070999999999998</v>
      </c>
      <c r="C636" s="221"/>
      <c r="D636" s="23"/>
      <c r="E636" s="24"/>
      <c r="F636" s="22">
        <f t="shared" si="100"/>
        <v>-1.0074074074074115</v>
      </c>
      <c r="G636" s="22">
        <f t="shared" si="101"/>
        <v>2.3645109304426342</v>
      </c>
      <c r="H636" s="22">
        <f t="shared" si="106"/>
        <v>-2.3820258262237006</v>
      </c>
      <c r="I636" s="22">
        <f t="shared" si="107"/>
        <v>1.0148696844993224</v>
      </c>
      <c r="J636" s="24"/>
      <c r="K636" s="24"/>
      <c r="L636" s="235">
        <f t="shared" si="102"/>
        <v>39.260906713762353</v>
      </c>
      <c r="M636" s="126"/>
      <c r="N636" s="126"/>
      <c r="O636" s="126"/>
      <c r="P636" s="10">
        <f t="shared" si="103"/>
        <v>-2.1899067137623547</v>
      </c>
      <c r="Q636" s="10">
        <f t="shared" si="108"/>
        <v>4.7956914149814356</v>
      </c>
      <c r="W636" s="240">
        <f t="shared" si="109"/>
        <v>2.1899067137623547</v>
      </c>
      <c r="X636" s="240">
        <f t="shared" si="110"/>
        <v>5.9073311045354987E-2</v>
      </c>
      <c r="Y636"/>
      <c r="Z636" s="13">
        <f t="shared" si="104"/>
        <v>20.742720077845721</v>
      </c>
      <c r="AA636" s="2"/>
      <c r="AB636" s="68"/>
      <c r="AC636" s="15">
        <f t="shared" si="105"/>
        <v>5.5909119401826919</v>
      </c>
    </row>
    <row r="637" spans="1:29">
      <c r="A637" s="84">
        <f>'Q.1 &amp; 4'!K642</f>
        <v>2.5</v>
      </c>
      <c r="B637" s="141">
        <f>'Q.1 &amp; 4'!L642</f>
        <v>35.922600000000003</v>
      </c>
      <c r="C637" s="221"/>
      <c r="D637" s="23"/>
      <c r="E637" s="24"/>
      <c r="F637" s="22">
        <f t="shared" si="100"/>
        <v>-1.0074074074074115</v>
      </c>
      <c r="G637" s="22">
        <f t="shared" si="101"/>
        <v>1.216110930442639</v>
      </c>
      <c r="H637" s="22">
        <f t="shared" si="106"/>
        <v>-1.2251191595570339</v>
      </c>
      <c r="I637" s="22">
        <f t="shared" si="107"/>
        <v>1.0148696844993224</v>
      </c>
      <c r="J637" s="24"/>
      <c r="K637" s="24"/>
      <c r="L637" s="235">
        <f t="shared" si="102"/>
        <v>39.260906713762353</v>
      </c>
      <c r="M637" s="126"/>
      <c r="N637" s="126"/>
      <c r="O637" s="126"/>
      <c r="P637" s="10">
        <f t="shared" si="103"/>
        <v>-3.3383067137623499</v>
      </c>
      <c r="Q637" s="10">
        <f t="shared" si="108"/>
        <v>11.14429171515078</v>
      </c>
      <c r="W637" s="240">
        <f t="shared" si="109"/>
        <v>3.3383067137623499</v>
      </c>
      <c r="X637" s="240">
        <f t="shared" si="110"/>
        <v>9.293054271579311E-2</v>
      </c>
      <c r="Y637"/>
      <c r="Z637" s="13">
        <f t="shared" si="104"/>
        <v>20.742720077845721</v>
      </c>
      <c r="AA637" s="2"/>
      <c r="AB637" s="68"/>
      <c r="AC637" s="15">
        <f t="shared" si="105"/>
        <v>1.4789257951420611</v>
      </c>
    </row>
    <row r="638" spans="1:29">
      <c r="A638" s="84">
        <f>'Q.1 &amp; 4'!K643</f>
        <v>2.5</v>
      </c>
      <c r="B638" s="141">
        <f>'Q.1 &amp; 4'!L643</f>
        <v>34.143500000000003</v>
      </c>
      <c r="C638" s="221"/>
      <c r="D638" s="23"/>
      <c r="E638" s="24"/>
      <c r="F638" s="22">
        <f t="shared" si="100"/>
        <v>-1.0074074074074115</v>
      </c>
      <c r="G638" s="22">
        <f t="shared" si="101"/>
        <v>-0.56298906955736072</v>
      </c>
      <c r="H638" s="22">
        <f t="shared" si="106"/>
        <v>0.56715935896149161</v>
      </c>
      <c r="I638" s="22">
        <f t="shared" si="107"/>
        <v>1.0148696844993224</v>
      </c>
      <c r="J638" s="24"/>
      <c r="K638" s="24"/>
      <c r="L638" s="235">
        <f t="shared" si="102"/>
        <v>39.260906713762353</v>
      </c>
      <c r="M638" s="126"/>
      <c r="N638" s="126"/>
      <c r="O638" s="126"/>
      <c r="P638" s="10">
        <f t="shared" si="103"/>
        <v>-5.1174067137623496</v>
      </c>
      <c r="Q638" s="10">
        <f t="shared" si="108"/>
        <v>26.187851474059968</v>
      </c>
      <c r="W638" s="240">
        <f t="shared" si="109"/>
        <v>5.1174067137623496</v>
      </c>
      <c r="X638" s="240">
        <f t="shared" si="110"/>
        <v>0.1498793830088406</v>
      </c>
      <c r="Y638"/>
      <c r="Z638" s="13">
        <f t="shared" si="104"/>
        <v>20.742720077845721</v>
      </c>
      <c r="AA638" s="2"/>
      <c r="AB638" s="68"/>
      <c r="AC638" s="15">
        <f t="shared" si="105"/>
        <v>0.31695669244106273</v>
      </c>
    </row>
    <row r="639" spans="1:29">
      <c r="A639" s="84">
        <f>'Q.1 &amp; 4'!K644</f>
        <v>2.5</v>
      </c>
      <c r="B639" s="141">
        <f>'Q.1 &amp; 4'!L644</f>
        <v>32.910299999999999</v>
      </c>
      <c r="C639" s="221"/>
      <c r="D639" s="23"/>
      <c r="E639" s="24"/>
      <c r="F639" s="22">
        <f t="shared" si="100"/>
        <v>-1.0074074074074115</v>
      </c>
      <c r="G639" s="22">
        <f t="shared" si="101"/>
        <v>-1.7961890695573643</v>
      </c>
      <c r="H639" s="22">
        <f t="shared" si="106"/>
        <v>1.8094941737763153</v>
      </c>
      <c r="I639" s="22">
        <f t="shared" si="107"/>
        <v>1.0148696844993224</v>
      </c>
      <c r="J639" s="24"/>
      <c r="K639" s="24"/>
      <c r="L639" s="235">
        <f t="shared" si="102"/>
        <v>39.260906713762353</v>
      </c>
      <c r="M639" s="126"/>
      <c r="N639" s="126"/>
      <c r="O639" s="126"/>
      <c r="P639" s="10">
        <f t="shared" si="103"/>
        <v>-6.3506067137623532</v>
      </c>
      <c r="Q639" s="10">
        <f t="shared" si="108"/>
        <v>40.330205632883477</v>
      </c>
      <c r="W639" s="240">
        <f t="shared" si="109"/>
        <v>6.3506067137623532</v>
      </c>
      <c r="X639" s="240">
        <f t="shared" si="110"/>
        <v>0.19296714748155908</v>
      </c>
      <c r="Y639"/>
      <c r="Z639" s="13">
        <f t="shared" si="104"/>
        <v>20.742720077845721</v>
      </c>
      <c r="AA639" s="2"/>
      <c r="AB639" s="68"/>
      <c r="AC639" s="15">
        <f t="shared" si="105"/>
        <v>3.2262951735973502</v>
      </c>
    </row>
    <row r="640" spans="1:29">
      <c r="A640" s="84">
        <f>'Q.1 &amp; 4'!K645</f>
        <v>2.5</v>
      </c>
      <c r="B640" s="141">
        <f>'Q.1 &amp; 4'!L645</f>
        <v>31.8</v>
      </c>
      <c r="C640" s="221"/>
      <c r="D640" s="23"/>
      <c r="E640" s="24"/>
      <c r="F640" s="22">
        <f t="shared" si="100"/>
        <v>-1.0074074074074115</v>
      </c>
      <c r="G640" s="22">
        <f t="shared" si="101"/>
        <v>-2.9064890695573631</v>
      </c>
      <c r="H640" s="22">
        <f t="shared" si="106"/>
        <v>2.9280186182207628</v>
      </c>
      <c r="I640" s="22">
        <f t="shared" si="107"/>
        <v>1.0148696844993224</v>
      </c>
      <c r="J640" s="24"/>
      <c r="K640" s="24"/>
      <c r="L640" s="235">
        <f t="shared" si="102"/>
        <v>39.260906713762353</v>
      </c>
      <c r="M640" s="126"/>
      <c r="N640" s="126"/>
      <c r="O640" s="126"/>
      <c r="P640" s="10">
        <f t="shared" si="103"/>
        <v>-7.4609067137623519</v>
      </c>
      <c r="Q640" s="10">
        <f t="shared" si="108"/>
        <v>55.665128991464137</v>
      </c>
      <c r="W640" s="240">
        <f t="shared" si="109"/>
        <v>7.4609067137623519</v>
      </c>
      <c r="X640" s="240">
        <f t="shared" si="110"/>
        <v>0.23461970797994816</v>
      </c>
      <c r="Y640"/>
      <c r="Z640" s="13">
        <f t="shared" si="104"/>
        <v>20.742720077845721</v>
      </c>
      <c r="AA640" s="2"/>
      <c r="AB640" s="68"/>
      <c r="AC640" s="15">
        <f t="shared" si="105"/>
        <v>8.447678711456426</v>
      </c>
    </row>
    <row r="641" spans="1:29">
      <c r="A641" s="84">
        <f>'Q.1 &amp; 4'!K646</f>
        <v>2</v>
      </c>
      <c r="B641" s="141">
        <f>'Q.1 &amp; 4'!L646</f>
        <v>42.3461</v>
      </c>
      <c r="C641" s="221"/>
      <c r="D641" s="23"/>
      <c r="E641" s="24"/>
      <c r="F641" s="22">
        <f t="shared" si="100"/>
        <v>-1.5074074074074115</v>
      </c>
      <c r="G641" s="22">
        <f t="shared" si="101"/>
        <v>7.6396109304426361</v>
      </c>
      <c r="H641" s="22">
        <f t="shared" si="106"/>
        <v>-11.516006106259857</v>
      </c>
      <c r="I641" s="22">
        <f t="shared" si="107"/>
        <v>2.2722770919067341</v>
      </c>
      <c r="J641" s="24"/>
      <c r="K641" s="24"/>
      <c r="L641" s="235">
        <f t="shared" si="102"/>
        <v>41.52137135334938</v>
      </c>
      <c r="M641" s="126"/>
      <c r="N641" s="126"/>
      <c r="O641" s="126"/>
      <c r="P641" s="10">
        <f t="shared" si="103"/>
        <v>0.82472864665061962</v>
      </c>
      <c r="Q641" s="10">
        <f t="shared" si="108"/>
        <v>0.68017734060616264</v>
      </c>
      <c r="W641" s="240">
        <f t="shared" si="109"/>
        <v>0.82472864665061962</v>
      </c>
      <c r="X641" s="240">
        <f t="shared" si="110"/>
        <v>1.9475905612337845E-2</v>
      </c>
      <c r="Y641"/>
      <c r="Z641" s="13">
        <f t="shared" si="104"/>
        <v>46.44262054194229</v>
      </c>
      <c r="AA641" s="2"/>
      <c r="AB641" s="68"/>
      <c r="AC641" s="15">
        <f t="shared" si="105"/>
        <v>58.3636551685386</v>
      </c>
    </row>
    <row r="642" spans="1:29">
      <c r="A642" s="84">
        <f>'Q.1 &amp; 4'!K647</f>
        <v>2</v>
      </c>
      <c r="B642" s="141">
        <f>'Q.1 &amp; 4'!L647</f>
        <v>41.566099999999999</v>
      </c>
      <c r="C642" s="221"/>
      <c r="D642" s="23"/>
      <c r="E642" s="24"/>
      <c r="F642" s="22">
        <f t="shared" si="100"/>
        <v>-1.5074074074074115</v>
      </c>
      <c r="G642" s="22">
        <f t="shared" si="101"/>
        <v>6.8596109304426349</v>
      </c>
      <c r="H642" s="22">
        <f t="shared" si="106"/>
        <v>-10.340228328482075</v>
      </c>
      <c r="I642" s="22">
        <f t="shared" si="107"/>
        <v>2.2722770919067341</v>
      </c>
      <c r="J642" s="24"/>
      <c r="K642" s="24"/>
      <c r="L642" s="235">
        <f t="shared" si="102"/>
        <v>41.52137135334938</v>
      </c>
      <c r="M642" s="126"/>
      <c r="N642" s="126"/>
      <c r="O642" s="126"/>
      <c r="P642" s="10">
        <f t="shared" si="103"/>
        <v>4.4728646650618487E-2</v>
      </c>
      <c r="Q642" s="10">
        <f t="shared" si="108"/>
        <v>2.0006518311958842E-3</v>
      </c>
      <c r="W642" s="240">
        <f t="shared" si="109"/>
        <v>4.4728646650618487E-2</v>
      </c>
      <c r="X642" s="240">
        <f t="shared" si="110"/>
        <v>1.0760847577862365E-3</v>
      </c>
      <c r="Y642"/>
      <c r="Z642" s="13">
        <f t="shared" si="104"/>
        <v>46.44262054194229</v>
      </c>
      <c r="AA642" s="2"/>
      <c r="AB642" s="68"/>
      <c r="AC642" s="15">
        <f t="shared" si="105"/>
        <v>47.054262117048069</v>
      </c>
    </row>
    <row r="643" spans="1:29">
      <c r="A643" s="84">
        <f>'Q.1 &amp; 4'!K648</f>
        <v>2</v>
      </c>
      <c r="B643" s="141">
        <f>'Q.1 &amp; 4'!L648</f>
        <v>41.707799999999999</v>
      </c>
      <c r="C643" s="221"/>
      <c r="D643" s="23"/>
      <c r="E643" s="24"/>
      <c r="F643" s="22">
        <f t="shared" si="100"/>
        <v>-1.5074074074074115</v>
      </c>
      <c r="G643" s="22">
        <f t="shared" si="101"/>
        <v>7.0013109304426351</v>
      </c>
      <c r="H643" s="22">
        <f t="shared" si="106"/>
        <v>-10.553827958111704</v>
      </c>
      <c r="I643" s="22">
        <f t="shared" si="107"/>
        <v>2.2722770919067341</v>
      </c>
      <c r="J643" s="24"/>
      <c r="K643" s="24"/>
      <c r="L643" s="235">
        <f t="shared" si="102"/>
        <v>41.52137135334938</v>
      </c>
      <c r="M643" s="126"/>
      <c r="N643" s="126"/>
      <c r="O643" s="126"/>
      <c r="P643" s="10">
        <f t="shared" si="103"/>
        <v>0.18642864665061865</v>
      </c>
      <c r="Q643" s="10">
        <f t="shared" si="108"/>
        <v>3.4755640291981221E-2</v>
      </c>
      <c r="W643" s="240">
        <f t="shared" si="109"/>
        <v>0.18642864665061865</v>
      </c>
      <c r="X643" s="240">
        <f t="shared" si="110"/>
        <v>4.4698748591538908E-3</v>
      </c>
      <c r="Y643"/>
      <c r="Z643" s="13">
        <f t="shared" si="104"/>
        <v>46.44262054194229</v>
      </c>
      <c r="AA643" s="2"/>
      <c r="AB643" s="68"/>
      <c r="AC643" s="15">
        <f t="shared" si="105"/>
        <v>49.018354744735518</v>
      </c>
    </row>
    <row r="644" spans="1:29">
      <c r="A644" s="84">
        <f>'Q.1 &amp; 4'!K649</f>
        <v>2</v>
      </c>
      <c r="B644" s="141">
        <f>'Q.1 &amp; 4'!L649</f>
        <v>40.234499999999997</v>
      </c>
      <c r="C644" s="221"/>
      <c r="D644" s="23"/>
      <c r="E644" s="24"/>
      <c r="F644" s="22">
        <f t="shared" si="100"/>
        <v>-1.5074074074074115</v>
      </c>
      <c r="G644" s="22">
        <f t="shared" si="101"/>
        <v>5.5280109304426333</v>
      </c>
      <c r="H644" s="22">
        <f t="shared" si="106"/>
        <v>-8.3329646247783629</v>
      </c>
      <c r="I644" s="22">
        <f t="shared" si="107"/>
        <v>2.2722770919067341</v>
      </c>
      <c r="J644" s="24"/>
      <c r="K644" s="24"/>
      <c r="L644" s="235">
        <f t="shared" si="102"/>
        <v>41.52137135334938</v>
      </c>
      <c r="M644" s="126"/>
      <c r="N644" s="126"/>
      <c r="O644" s="126"/>
      <c r="P644" s="10">
        <f t="shared" si="103"/>
        <v>-1.2868713533493832</v>
      </c>
      <c r="Q644" s="10">
        <f t="shared" si="108"/>
        <v>1.6560378800712729</v>
      </c>
      <c r="W644" s="240">
        <f t="shared" si="109"/>
        <v>1.2868713533493832</v>
      </c>
      <c r="X644" s="240">
        <f t="shared" si="110"/>
        <v>3.1984276015593165E-2</v>
      </c>
      <c r="Y644"/>
      <c r="Z644" s="13">
        <f t="shared" si="104"/>
        <v>46.44262054194229</v>
      </c>
      <c r="AA644" s="2"/>
      <c r="AB644" s="68"/>
      <c r="AC644" s="15">
        <f t="shared" si="105"/>
        <v>30.558904847093228</v>
      </c>
    </row>
    <row r="645" spans="1:29">
      <c r="A645" s="84">
        <f>'Q.1 &amp; 4'!K650</f>
        <v>1.8</v>
      </c>
      <c r="B645" s="141">
        <f>'Q.1 &amp; 4'!L650</f>
        <v>43.628999999999998</v>
      </c>
      <c r="C645" s="221"/>
      <c r="D645" s="23"/>
      <c r="E645" s="24"/>
      <c r="F645" s="22">
        <f t="shared" si="100"/>
        <v>-1.7074074074074115</v>
      </c>
      <c r="G645" s="22">
        <f t="shared" si="101"/>
        <v>8.922510930442634</v>
      </c>
      <c r="H645" s="22">
        <f t="shared" si="106"/>
        <v>-15.234361255311349</v>
      </c>
      <c r="I645" s="22">
        <f t="shared" si="107"/>
        <v>2.9152400548696984</v>
      </c>
      <c r="J645" s="24"/>
      <c r="K645" s="24"/>
      <c r="L645" s="235">
        <f t="shared" si="102"/>
        <v>42.425557209184191</v>
      </c>
      <c r="M645" s="126"/>
      <c r="N645" s="126"/>
      <c r="O645" s="126"/>
      <c r="P645" s="10">
        <f t="shared" si="103"/>
        <v>1.2034427908158065</v>
      </c>
      <c r="Q645" s="10">
        <f t="shared" si="108"/>
        <v>1.4482745507665371</v>
      </c>
      <c r="W645" s="240">
        <f t="shared" si="109"/>
        <v>1.2034427908158065</v>
      </c>
      <c r="X645" s="240">
        <f t="shared" si="110"/>
        <v>2.7583552013931253E-2</v>
      </c>
      <c r="Y645"/>
      <c r="Z645" s="13">
        <f t="shared" si="104"/>
        <v>59.584012944201973</v>
      </c>
      <c r="AA645" s="2"/>
      <c r="AB645" s="68"/>
      <c r="AC645" s="15">
        <f t="shared" si="105"/>
        <v>79.611201303868285</v>
      </c>
    </row>
    <row r="646" spans="1:29">
      <c r="A646" s="84">
        <f>'Q.1 &amp; 4'!K651</f>
        <v>1.8</v>
      </c>
      <c r="B646" s="141">
        <f>'Q.1 &amp; 4'!L651</f>
        <v>44.7393</v>
      </c>
      <c r="C646" s="221"/>
      <c r="D646" s="23"/>
      <c r="E646" s="24"/>
      <c r="F646" s="22">
        <f t="shared" ref="F646:F709" si="111">A646-$D$6</f>
        <v>-1.7074074074074115</v>
      </c>
      <c r="G646" s="22">
        <f t="shared" ref="G646:G709" si="112">B646-$E$6</f>
        <v>10.032810930442636</v>
      </c>
      <c r="H646" s="22">
        <f t="shared" si="106"/>
        <v>-17.130095699755802</v>
      </c>
      <c r="I646" s="22">
        <f t="shared" si="107"/>
        <v>2.9152400548696984</v>
      </c>
      <c r="J646" s="24"/>
      <c r="K646" s="24"/>
      <c r="L646" s="235">
        <f t="shared" ref="L646:L709" si="113">$K$6+$J$6*A646</f>
        <v>42.425557209184191</v>
      </c>
      <c r="M646" s="126"/>
      <c r="N646" s="126"/>
      <c r="O646" s="126"/>
      <c r="P646" s="10">
        <f t="shared" ref="P646:P709" si="114">B646-L646</f>
        <v>2.3137427908158088</v>
      </c>
      <c r="Q646" s="10">
        <f t="shared" si="108"/>
        <v>5.353405702052128</v>
      </c>
      <c r="W646" s="240">
        <f t="shared" si="109"/>
        <v>2.3137427908158088</v>
      </c>
      <c r="X646" s="240">
        <f t="shared" si="110"/>
        <v>5.1716115156379486E-2</v>
      </c>
      <c r="Y646"/>
      <c r="Z646" s="13">
        <f t="shared" ref="Z646:Z709" si="115">(L646-$E$6)^2</f>
        <v>59.584012944201973</v>
      </c>
      <c r="AA646" s="2"/>
      <c r="AB646" s="68"/>
      <c r="AC646" s="15">
        <f t="shared" ref="AC646:AC709" si="116">(B646-$E$6)^2</f>
        <v>100.65729516600923</v>
      </c>
    </row>
    <row r="647" spans="1:29">
      <c r="A647" s="84">
        <f>'Q.1 &amp; 4'!K652</f>
        <v>2.4</v>
      </c>
      <c r="B647" s="141">
        <f>'Q.1 &amp; 4'!L652</f>
        <v>36.159599999999998</v>
      </c>
      <c r="C647" s="221"/>
      <c r="D647" s="23"/>
      <c r="E647" s="24"/>
      <c r="F647" s="22">
        <f t="shared" si="111"/>
        <v>-1.1074074074074116</v>
      </c>
      <c r="G647" s="22">
        <f t="shared" si="112"/>
        <v>1.4531109304426337</v>
      </c>
      <c r="H647" s="22">
        <f t="shared" ref="H647:H710" si="117">F647*G647</f>
        <v>-1.6091858081568486</v>
      </c>
      <c r="I647" s="22">
        <f t="shared" ref="I647:I710" si="118">F647^2</f>
        <v>1.2263511659808048</v>
      </c>
      <c r="J647" s="24"/>
      <c r="K647" s="24"/>
      <c r="L647" s="235">
        <f t="shared" si="113"/>
        <v>39.712999641679758</v>
      </c>
      <c r="M647" s="126"/>
      <c r="N647" s="126"/>
      <c r="O647" s="126"/>
      <c r="P647" s="10">
        <f t="shared" si="114"/>
        <v>-3.5533996416797606</v>
      </c>
      <c r="Q647" s="10">
        <f t="shared" ref="Q647:Q710" si="119">P647^2</f>
        <v>12.626649013489851</v>
      </c>
      <c r="W647" s="240">
        <f t="shared" ref="W647:W710" si="120">ABS(P647)</f>
        <v>3.5533996416797606</v>
      </c>
      <c r="X647" s="240">
        <f t="shared" ref="X647:X710" si="121">W647/B647</f>
        <v>9.8269882456657728E-2</v>
      </c>
      <c r="Y647"/>
      <c r="Z647" s="13">
        <f t="shared" si="115"/>
        <v>25.065148108773304</v>
      </c>
      <c r="AA647" s="2"/>
      <c r="AB647" s="68"/>
      <c r="AC647" s="15">
        <f t="shared" si="116"/>
        <v>2.1115313761718566</v>
      </c>
    </row>
    <row r="648" spans="1:29">
      <c r="A648" s="84">
        <f>'Q.1 &amp; 4'!K653</f>
        <v>2.4</v>
      </c>
      <c r="B648" s="141">
        <f>'Q.1 &amp; 4'!L653</f>
        <v>38.957500000000003</v>
      </c>
      <c r="C648" s="221"/>
      <c r="D648" s="23"/>
      <c r="E648" s="24"/>
      <c r="F648" s="22">
        <f t="shared" si="111"/>
        <v>-1.1074074074074116</v>
      </c>
      <c r="G648" s="22">
        <f t="shared" si="112"/>
        <v>4.2510109304426393</v>
      </c>
      <c r="H648" s="22">
        <f t="shared" si="117"/>
        <v>-4.7076009933420515</v>
      </c>
      <c r="I648" s="22">
        <f t="shared" si="118"/>
        <v>1.2263511659808048</v>
      </c>
      <c r="J648" s="24"/>
      <c r="K648" s="24"/>
      <c r="L648" s="235">
        <f t="shared" si="113"/>
        <v>39.712999641679758</v>
      </c>
      <c r="M648" s="126"/>
      <c r="N648" s="126"/>
      <c r="O648" s="126"/>
      <c r="P648" s="10">
        <f t="shared" si="114"/>
        <v>-0.75549964167975503</v>
      </c>
      <c r="Q648" s="10">
        <f t="shared" si="119"/>
        <v>0.57077970857823823</v>
      </c>
      <c r="W648" s="240">
        <f t="shared" si="120"/>
        <v>0.75549964167975503</v>
      </c>
      <c r="X648" s="240">
        <f t="shared" si="121"/>
        <v>1.9392918993255598E-2</v>
      </c>
      <c r="Y648"/>
      <c r="Z648" s="13">
        <f t="shared" si="115"/>
        <v>25.065148108773304</v>
      </c>
      <c r="AA648" s="2"/>
      <c r="AB648" s="68"/>
      <c r="AC648" s="15">
        <f t="shared" si="116"/>
        <v>18.071093930742794</v>
      </c>
    </row>
    <row r="649" spans="1:29">
      <c r="A649" s="84">
        <f>'Q.1 &amp; 4'!K654</f>
        <v>2.4</v>
      </c>
      <c r="B649" s="141">
        <f>'Q.1 &amp; 4'!L654</f>
        <v>40.279600000000002</v>
      </c>
      <c r="C649" s="221"/>
      <c r="D649" s="23"/>
      <c r="E649" s="24"/>
      <c r="F649" s="22">
        <f t="shared" si="111"/>
        <v>-1.1074074074074116</v>
      </c>
      <c r="G649" s="22">
        <f t="shared" si="112"/>
        <v>5.5731109304426383</v>
      </c>
      <c r="H649" s="22">
        <f t="shared" si="117"/>
        <v>-6.1717043266753899</v>
      </c>
      <c r="I649" s="22">
        <f t="shared" si="118"/>
        <v>1.2263511659808048</v>
      </c>
      <c r="J649" s="24"/>
      <c r="K649" s="24"/>
      <c r="L649" s="235">
        <f t="shared" si="113"/>
        <v>39.712999641679758</v>
      </c>
      <c r="M649" s="126"/>
      <c r="N649" s="126"/>
      <c r="O649" s="126"/>
      <c r="P649" s="10">
        <f t="shared" si="114"/>
        <v>0.56660035832024391</v>
      </c>
      <c r="Q649" s="10">
        <f t="shared" si="119"/>
        <v>0.32103596604862877</v>
      </c>
      <c r="W649" s="240">
        <f t="shared" si="120"/>
        <v>0.56660035832024391</v>
      </c>
      <c r="X649" s="240">
        <f t="shared" si="121"/>
        <v>1.4066682844920105E-2</v>
      </c>
      <c r="Y649"/>
      <c r="Z649" s="13">
        <f t="shared" si="115"/>
        <v>25.065148108773304</v>
      </c>
      <c r="AA649" s="2"/>
      <c r="AB649" s="68"/>
      <c r="AC649" s="15">
        <f t="shared" si="116"/>
        <v>31.05956544301921</v>
      </c>
    </row>
    <row r="650" spans="1:29">
      <c r="A650" s="84">
        <f>'Q.1 &amp; 4'!K655</f>
        <v>2.4</v>
      </c>
      <c r="B650" s="141">
        <f>'Q.1 &amp; 4'!L655</f>
        <v>38.700000000000003</v>
      </c>
      <c r="C650" s="221"/>
      <c r="D650" s="23"/>
      <c r="E650" s="24"/>
      <c r="F650" s="22">
        <f t="shared" si="111"/>
        <v>-1.1074074074074116</v>
      </c>
      <c r="G650" s="22">
        <f t="shared" si="112"/>
        <v>3.9935109304426391</v>
      </c>
      <c r="H650" s="22">
        <f t="shared" si="117"/>
        <v>-4.4224435859346434</v>
      </c>
      <c r="I650" s="22">
        <f t="shared" si="118"/>
        <v>1.2263511659808048</v>
      </c>
      <c r="J650" s="24"/>
      <c r="K650" s="24"/>
      <c r="L650" s="235">
        <f t="shared" si="113"/>
        <v>39.712999641679758</v>
      </c>
      <c r="M650" s="126"/>
      <c r="N650" s="126"/>
      <c r="O650" s="126"/>
      <c r="P650" s="10">
        <f t="shared" si="114"/>
        <v>-1.0129996416797553</v>
      </c>
      <c r="Q650" s="10">
        <f t="shared" si="119"/>
        <v>1.0261682740433127</v>
      </c>
      <c r="W650" s="240">
        <f t="shared" si="120"/>
        <v>1.0129996416797553</v>
      </c>
      <c r="X650" s="240">
        <f t="shared" si="121"/>
        <v>2.6175701335394191E-2</v>
      </c>
      <c r="Y650"/>
      <c r="Z650" s="13">
        <f t="shared" si="115"/>
        <v>25.065148108773304</v>
      </c>
      <c r="AA650" s="2"/>
      <c r="AB650" s="68"/>
      <c r="AC650" s="15">
        <f t="shared" si="116"/>
        <v>15.948129551564833</v>
      </c>
    </row>
    <row r="651" spans="1:29">
      <c r="A651" s="84">
        <f>'Q.1 &amp; 4'!K656</f>
        <v>2.4</v>
      </c>
      <c r="B651" s="141">
        <f>'Q.1 &amp; 4'!L656</f>
        <v>38.700000000000003</v>
      </c>
      <c r="C651" s="221"/>
      <c r="D651" s="23"/>
      <c r="E651" s="24"/>
      <c r="F651" s="22">
        <f t="shared" si="111"/>
        <v>-1.1074074074074116</v>
      </c>
      <c r="G651" s="22">
        <f t="shared" si="112"/>
        <v>3.9935109304426391</v>
      </c>
      <c r="H651" s="22">
        <f t="shared" si="117"/>
        <v>-4.4224435859346434</v>
      </c>
      <c r="I651" s="22">
        <f t="shared" si="118"/>
        <v>1.2263511659808048</v>
      </c>
      <c r="J651" s="24"/>
      <c r="K651" s="24"/>
      <c r="L651" s="235">
        <f t="shared" si="113"/>
        <v>39.712999641679758</v>
      </c>
      <c r="M651" s="126"/>
      <c r="N651" s="126"/>
      <c r="O651" s="126"/>
      <c r="P651" s="10">
        <f t="shared" si="114"/>
        <v>-1.0129996416797553</v>
      </c>
      <c r="Q651" s="10">
        <f t="shared" si="119"/>
        <v>1.0261682740433127</v>
      </c>
      <c r="W651" s="240">
        <f t="shared" si="120"/>
        <v>1.0129996416797553</v>
      </c>
      <c r="X651" s="240">
        <f t="shared" si="121"/>
        <v>2.6175701335394191E-2</v>
      </c>
      <c r="Y651"/>
      <c r="Z651" s="13">
        <f t="shared" si="115"/>
        <v>25.065148108773304</v>
      </c>
      <c r="AA651" s="2"/>
      <c r="AB651" s="68"/>
      <c r="AC651" s="15">
        <f t="shared" si="116"/>
        <v>15.948129551564833</v>
      </c>
    </row>
    <row r="652" spans="1:29">
      <c r="A652" s="84">
        <f>'Q.1 &amp; 4'!K657</f>
        <v>2</v>
      </c>
      <c r="B652" s="141">
        <f>'Q.1 &amp; 4'!L657</f>
        <v>60.1</v>
      </c>
      <c r="C652" s="221"/>
      <c r="D652" s="23"/>
      <c r="E652" s="24"/>
      <c r="F652" s="22">
        <f t="shared" si="111"/>
        <v>-1.5074074074074115</v>
      </c>
      <c r="G652" s="22">
        <f t="shared" si="112"/>
        <v>25.393510930442638</v>
      </c>
      <c r="H652" s="22">
        <f t="shared" si="117"/>
        <v>-38.278366476630303</v>
      </c>
      <c r="I652" s="22">
        <f t="shared" si="118"/>
        <v>2.2722770919067341</v>
      </c>
      <c r="J652" s="24"/>
      <c r="K652" s="24"/>
      <c r="L652" s="235">
        <f t="shared" si="113"/>
        <v>41.52137135334938</v>
      </c>
      <c r="M652" s="126"/>
      <c r="N652" s="126"/>
      <c r="O652" s="126"/>
      <c r="P652" s="10">
        <f t="shared" si="114"/>
        <v>18.578628646650621</v>
      </c>
      <c r="Q652" s="10">
        <f t="shared" si="119"/>
        <v>345.16544239014712</v>
      </c>
      <c r="W652" s="240">
        <f t="shared" si="120"/>
        <v>18.578628646650621</v>
      </c>
      <c r="X652" s="240">
        <f t="shared" si="121"/>
        <v>0.3091285964500935</v>
      </c>
      <c r="Y652"/>
      <c r="Z652" s="13">
        <f t="shared" si="115"/>
        <v>46.44262054194229</v>
      </c>
      <c r="AA652" s="2"/>
      <c r="AB652" s="68"/>
      <c r="AC652" s="15">
        <f t="shared" si="116"/>
        <v>644.83039737450974</v>
      </c>
    </row>
    <row r="653" spans="1:29">
      <c r="A653" s="84">
        <f>'Q.1 &amp; 4'!K658</f>
        <v>2</v>
      </c>
      <c r="B653" s="141">
        <f>'Q.1 &amp; 4'!L658</f>
        <v>58.534999999999997</v>
      </c>
      <c r="C653" s="221"/>
      <c r="D653" s="23"/>
      <c r="E653" s="24"/>
      <c r="F653" s="22">
        <f t="shared" si="111"/>
        <v>-1.5074074074074115</v>
      </c>
      <c r="G653" s="22">
        <f t="shared" si="112"/>
        <v>23.828510930442633</v>
      </c>
      <c r="H653" s="22">
        <f t="shared" si="117"/>
        <v>-35.919273884037693</v>
      </c>
      <c r="I653" s="22">
        <f t="shared" si="118"/>
        <v>2.2722770919067341</v>
      </c>
      <c r="J653" s="24"/>
      <c r="K653" s="24"/>
      <c r="L653" s="235">
        <f t="shared" si="113"/>
        <v>41.52137135334938</v>
      </c>
      <c r="M653" s="126"/>
      <c r="N653" s="126"/>
      <c r="O653" s="126"/>
      <c r="P653" s="10">
        <f t="shared" si="114"/>
        <v>17.013628646650616</v>
      </c>
      <c r="Q653" s="10">
        <f t="shared" si="119"/>
        <v>289.46355972613048</v>
      </c>
      <c r="W653" s="240">
        <f t="shared" si="120"/>
        <v>17.013628646650616</v>
      </c>
      <c r="X653" s="240">
        <f t="shared" si="121"/>
        <v>0.29065736135048464</v>
      </c>
      <c r="Y653"/>
      <c r="Z653" s="13">
        <f t="shared" si="115"/>
        <v>46.44262054194229</v>
      </c>
      <c r="AA653" s="2"/>
      <c r="AB653" s="68"/>
      <c r="AC653" s="15">
        <f t="shared" si="116"/>
        <v>567.79793316222401</v>
      </c>
    </row>
    <row r="654" spans="1:29">
      <c r="A654" s="84">
        <f>'Q.1 &amp; 4'!K659</f>
        <v>2.5</v>
      </c>
      <c r="B654" s="141">
        <f>'Q.1 &amp; 4'!L659</f>
        <v>39.571399999999997</v>
      </c>
      <c r="C654" s="221"/>
      <c r="D654" s="23"/>
      <c r="E654" s="24"/>
      <c r="F654" s="22">
        <f t="shared" si="111"/>
        <v>-1.0074074074074115</v>
      </c>
      <c r="G654" s="22">
        <f t="shared" si="112"/>
        <v>4.8649109304426332</v>
      </c>
      <c r="H654" s="22">
        <f t="shared" si="117"/>
        <v>-4.9009473077051915</v>
      </c>
      <c r="I654" s="22">
        <f t="shared" si="118"/>
        <v>1.0148696844993224</v>
      </c>
      <c r="J654" s="24"/>
      <c r="K654" s="24"/>
      <c r="L654" s="235">
        <f t="shared" si="113"/>
        <v>39.260906713762353</v>
      </c>
      <c r="M654" s="126"/>
      <c r="N654" s="126"/>
      <c r="O654" s="126"/>
      <c r="P654" s="10">
        <f t="shared" si="114"/>
        <v>0.31049328623764438</v>
      </c>
      <c r="Q654" s="10">
        <f t="shared" si="119"/>
        <v>9.6406080798651761E-2</v>
      </c>
      <c r="W654" s="240">
        <f t="shared" si="120"/>
        <v>0.31049328623764438</v>
      </c>
      <c r="X654" s="240">
        <f t="shared" si="121"/>
        <v>7.8464064005227107E-3</v>
      </c>
      <c r="Y654"/>
      <c r="Z654" s="13">
        <f t="shared" si="115"/>
        <v>20.742720077845721</v>
      </c>
      <c r="AA654" s="2"/>
      <c r="AB654" s="68"/>
      <c r="AC654" s="15">
        <f t="shared" si="116"/>
        <v>23.667358361140206</v>
      </c>
    </row>
    <row r="655" spans="1:29">
      <c r="A655" s="84">
        <f>'Q.1 &amp; 4'!K660</f>
        <v>2.5</v>
      </c>
      <c r="B655" s="141">
        <f>'Q.1 &amp; 4'!L660</f>
        <v>40.0169</v>
      </c>
      <c r="C655" s="221"/>
      <c r="D655" s="23"/>
      <c r="E655" s="24"/>
      <c r="F655" s="22">
        <f t="shared" si="111"/>
        <v>-1.0074074074074115</v>
      </c>
      <c r="G655" s="22">
        <f t="shared" si="112"/>
        <v>5.3104109304426359</v>
      </c>
      <c r="H655" s="22">
        <f t="shared" si="117"/>
        <v>-5.3497473077051962</v>
      </c>
      <c r="I655" s="22">
        <f t="shared" si="118"/>
        <v>1.0148696844993224</v>
      </c>
      <c r="J655" s="24"/>
      <c r="K655" s="24"/>
      <c r="L655" s="235">
        <f t="shared" si="113"/>
        <v>39.260906713762353</v>
      </c>
      <c r="M655" s="126"/>
      <c r="N655" s="126"/>
      <c r="O655" s="126"/>
      <c r="P655" s="10">
        <f t="shared" si="114"/>
        <v>0.75599328623764706</v>
      </c>
      <c r="Q655" s="10">
        <f t="shared" si="119"/>
        <v>0.5715258488363969</v>
      </c>
      <c r="W655" s="240">
        <f t="shared" si="120"/>
        <v>0.75599328623764706</v>
      </c>
      <c r="X655" s="240">
        <f t="shared" si="121"/>
        <v>1.8891850349168654E-2</v>
      </c>
      <c r="Y655"/>
      <c r="Z655" s="13">
        <f t="shared" si="115"/>
        <v>20.742720077845721</v>
      </c>
      <c r="AA655" s="2"/>
      <c r="AB655" s="68"/>
      <c r="AC655" s="15">
        <f t="shared" si="116"/>
        <v>28.200464250164622</v>
      </c>
    </row>
    <row r="656" spans="1:29">
      <c r="A656" s="84">
        <f>'Q.1 &amp; 4'!K661</f>
        <v>2.5</v>
      </c>
      <c r="B656" s="141">
        <f>'Q.1 &amp; 4'!L661</f>
        <v>37.6</v>
      </c>
      <c r="C656" s="221"/>
      <c r="D656" s="23"/>
      <c r="E656" s="24"/>
      <c r="F656" s="22">
        <f t="shared" si="111"/>
        <v>-1.0074074074074115</v>
      </c>
      <c r="G656" s="22">
        <f t="shared" si="112"/>
        <v>2.8935109304426376</v>
      </c>
      <c r="H656" s="22">
        <f t="shared" si="117"/>
        <v>-2.9149443447422247</v>
      </c>
      <c r="I656" s="22">
        <f t="shared" si="118"/>
        <v>1.0148696844993224</v>
      </c>
      <c r="J656" s="24"/>
      <c r="K656" s="24"/>
      <c r="L656" s="235">
        <f t="shared" si="113"/>
        <v>39.260906713762353</v>
      </c>
      <c r="M656" s="126"/>
      <c r="N656" s="126"/>
      <c r="O656" s="126"/>
      <c r="P656" s="10">
        <f t="shared" si="114"/>
        <v>-1.6609067137623512</v>
      </c>
      <c r="Q656" s="10">
        <f t="shared" si="119"/>
        <v>2.7586111118208527</v>
      </c>
      <c r="W656" s="240">
        <f t="shared" si="120"/>
        <v>1.6609067137623512</v>
      </c>
      <c r="X656" s="240">
        <f t="shared" si="121"/>
        <v>4.4173050897934871E-2</v>
      </c>
      <c r="Y656"/>
      <c r="Z656" s="13">
        <f t="shared" si="115"/>
        <v>20.742720077845721</v>
      </c>
      <c r="AA656" s="2"/>
      <c r="AB656" s="68"/>
      <c r="AC656" s="15">
        <f t="shared" si="116"/>
        <v>8.3724055045910184</v>
      </c>
    </row>
    <row r="657" spans="1:29">
      <c r="A657" s="84">
        <f>'Q.1 &amp; 4'!K662</f>
        <v>2.5</v>
      </c>
      <c r="B657" s="141">
        <f>'Q.1 &amp; 4'!L662</f>
        <v>37.5</v>
      </c>
      <c r="C657" s="221"/>
      <c r="D657" s="23"/>
      <c r="E657" s="24"/>
      <c r="F657" s="22">
        <f t="shared" si="111"/>
        <v>-1.0074074074074115</v>
      </c>
      <c r="G657" s="22">
        <f t="shared" si="112"/>
        <v>2.7935109304426362</v>
      </c>
      <c r="H657" s="22">
        <f t="shared" si="117"/>
        <v>-2.8142036040014822</v>
      </c>
      <c r="I657" s="22">
        <f t="shared" si="118"/>
        <v>1.0148696844993224</v>
      </c>
      <c r="J657" s="24"/>
      <c r="K657" s="24"/>
      <c r="L657" s="235">
        <f t="shared" si="113"/>
        <v>39.260906713762353</v>
      </c>
      <c r="M657" s="126"/>
      <c r="N657" s="126"/>
      <c r="O657" s="126"/>
      <c r="P657" s="10">
        <f t="shared" si="114"/>
        <v>-1.7609067137623526</v>
      </c>
      <c r="Q657" s="10">
        <f t="shared" si="119"/>
        <v>3.1007924545733281</v>
      </c>
      <c r="W657" s="240">
        <f t="shared" si="120"/>
        <v>1.7609067137623526</v>
      </c>
      <c r="X657" s="240">
        <f t="shared" si="121"/>
        <v>4.6957512366996072E-2</v>
      </c>
      <c r="Y657"/>
      <c r="Z657" s="13">
        <f t="shared" si="115"/>
        <v>20.742720077845721</v>
      </c>
      <c r="AA657" s="2"/>
      <c r="AB657" s="68"/>
      <c r="AC657" s="15">
        <f t="shared" si="116"/>
        <v>7.8037033185024827</v>
      </c>
    </row>
    <row r="658" spans="1:29">
      <c r="A658" s="84">
        <f>'Q.1 &amp; 4'!K663</f>
        <v>2.4</v>
      </c>
      <c r="B658" s="141">
        <f>'Q.1 &amp; 4'!L663</f>
        <v>39.347999999999999</v>
      </c>
      <c r="C658" s="221"/>
      <c r="D658" s="23"/>
      <c r="E658" s="24"/>
      <c r="F658" s="22">
        <f t="shared" si="111"/>
        <v>-1.1074074074074116</v>
      </c>
      <c r="G658" s="22">
        <f t="shared" si="112"/>
        <v>4.6415109304426352</v>
      </c>
      <c r="H658" s="22">
        <f t="shared" si="117"/>
        <v>-5.1400435859346416</v>
      </c>
      <c r="I658" s="22">
        <f t="shared" si="118"/>
        <v>1.2263511659808048</v>
      </c>
      <c r="J658" s="24"/>
      <c r="K658" s="24"/>
      <c r="L658" s="235">
        <f t="shared" si="113"/>
        <v>39.712999641679758</v>
      </c>
      <c r="M658" s="126"/>
      <c r="N658" s="126"/>
      <c r="O658" s="126"/>
      <c r="P658" s="10">
        <f t="shared" si="114"/>
        <v>-0.36499964167975918</v>
      </c>
      <c r="Q658" s="10">
        <f t="shared" si="119"/>
        <v>0.1332247384263526</v>
      </c>
      <c r="W658" s="240">
        <f t="shared" si="120"/>
        <v>0.36499964167975918</v>
      </c>
      <c r="X658" s="240">
        <f t="shared" si="121"/>
        <v>9.276192987693381E-3</v>
      </c>
      <c r="Y658"/>
      <c r="Z658" s="13">
        <f t="shared" si="115"/>
        <v>25.065148108773304</v>
      </c>
      <c r="AA658" s="2"/>
      <c r="AB658" s="68"/>
      <c r="AC658" s="15">
        <f t="shared" si="116"/>
        <v>21.543623717418455</v>
      </c>
    </row>
    <row r="659" spans="1:29">
      <c r="A659" s="84">
        <f>'Q.1 &amp; 4'!K664</f>
        <v>2.5</v>
      </c>
      <c r="B659" s="141">
        <f>'Q.1 &amp; 4'!L664</f>
        <v>40.4</v>
      </c>
      <c r="C659" s="221"/>
      <c r="D659" s="23"/>
      <c r="E659" s="24"/>
      <c r="F659" s="22">
        <f t="shared" si="111"/>
        <v>-1.0074074074074115</v>
      </c>
      <c r="G659" s="22">
        <f t="shared" si="112"/>
        <v>5.6935109304426348</v>
      </c>
      <c r="H659" s="22">
        <f t="shared" si="117"/>
        <v>-5.7356850854829737</v>
      </c>
      <c r="I659" s="22">
        <f t="shared" si="118"/>
        <v>1.0148696844993224</v>
      </c>
      <c r="J659" s="24"/>
      <c r="K659" s="24"/>
      <c r="L659" s="235">
        <f t="shared" si="113"/>
        <v>39.260906713762353</v>
      </c>
      <c r="M659" s="126"/>
      <c r="N659" s="126"/>
      <c r="O659" s="126"/>
      <c r="P659" s="10">
        <f t="shared" si="114"/>
        <v>1.1390932862376459</v>
      </c>
      <c r="Q659" s="10">
        <f t="shared" si="119"/>
        <v>1.2975335147516796</v>
      </c>
      <c r="W659" s="240">
        <f t="shared" si="120"/>
        <v>1.1390932862376459</v>
      </c>
      <c r="X659" s="240">
        <f t="shared" si="121"/>
        <v>2.8195378372218961E-2</v>
      </c>
      <c r="Y659"/>
      <c r="Z659" s="13">
        <f t="shared" si="115"/>
        <v>20.742720077845721</v>
      </c>
      <c r="AA659" s="2"/>
      <c r="AB659" s="68"/>
      <c r="AC659" s="15">
        <f t="shared" si="116"/>
        <v>32.416066715069753</v>
      </c>
    </row>
    <row r="660" spans="1:29">
      <c r="A660" s="84">
        <f>'Q.1 &amp; 4'!K665</f>
        <v>2.5</v>
      </c>
      <c r="B660" s="141">
        <f>'Q.1 &amp; 4'!L665</f>
        <v>40.6</v>
      </c>
      <c r="C660" s="221"/>
      <c r="D660" s="23"/>
      <c r="E660" s="24"/>
      <c r="F660" s="22">
        <f t="shared" si="111"/>
        <v>-1.0074074074074115</v>
      </c>
      <c r="G660" s="22">
        <f t="shared" si="112"/>
        <v>5.8935109304426376</v>
      </c>
      <c r="H660" s="22">
        <f t="shared" si="117"/>
        <v>-5.9371665669644589</v>
      </c>
      <c r="I660" s="22">
        <f t="shared" si="118"/>
        <v>1.0148696844993224</v>
      </c>
      <c r="J660" s="24"/>
      <c r="K660" s="24"/>
      <c r="L660" s="235">
        <f t="shared" si="113"/>
        <v>39.260906713762353</v>
      </c>
      <c r="M660" s="126"/>
      <c r="N660" s="126"/>
      <c r="O660" s="126"/>
      <c r="P660" s="10">
        <f t="shared" si="114"/>
        <v>1.3390932862376488</v>
      </c>
      <c r="Q660" s="10">
        <f t="shared" si="119"/>
        <v>1.7931708292467456</v>
      </c>
      <c r="W660" s="240">
        <f t="shared" si="120"/>
        <v>1.3390932862376488</v>
      </c>
      <c r="X660" s="240">
        <f t="shared" si="121"/>
        <v>3.2982593257084941E-2</v>
      </c>
      <c r="Y660"/>
      <c r="Z660" s="13">
        <f t="shared" si="115"/>
        <v>20.742720077845721</v>
      </c>
      <c r="AA660" s="2"/>
      <c r="AB660" s="68"/>
      <c r="AC660" s="15">
        <f t="shared" si="116"/>
        <v>34.733471087246848</v>
      </c>
    </row>
    <row r="661" spans="1:29">
      <c r="A661" s="84">
        <f>'Q.1 &amp; 4'!K666</f>
        <v>3</v>
      </c>
      <c r="B661" s="141">
        <f>'Q.1 &amp; 4'!L666</f>
        <v>34.7286</v>
      </c>
      <c r="C661" s="221"/>
      <c r="D661" s="23"/>
      <c r="E661" s="24"/>
      <c r="F661" s="22">
        <f t="shared" si="111"/>
        <v>-0.50740740740741153</v>
      </c>
      <c r="G661" s="22">
        <f t="shared" si="112"/>
        <v>2.2110930442636345E-2</v>
      </c>
      <c r="H661" s="22">
        <f t="shared" si="117"/>
        <v>-1.1219249891263718E-2</v>
      </c>
      <c r="I661" s="22">
        <f t="shared" si="118"/>
        <v>0.25746227709191088</v>
      </c>
      <c r="J661" s="24"/>
      <c r="K661" s="24"/>
      <c r="L661" s="235">
        <f t="shared" si="113"/>
        <v>37.000442074175325</v>
      </c>
      <c r="M661" s="126"/>
      <c r="N661" s="126"/>
      <c r="O661" s="126"/>
      <c r="P661" s="10">
        <f t="shared" si="114"/>
        <v>-2.2718420741753249</v>
      </c>
      <c r="Q661" s="10">
        <f t="shared" si="119"/>
        <v>5.1612664099932424</v>
      </c>
      <c r="W661" s="240">
        <f t="shared" si="120"/>
        <v>2.2718420741753249</v>
      </c>
      <c r="X661" s="240">
        <f t="shared" si="121"/>
        <v>6.5417035935088796E-2</v>
      </c>
      <c r="Y661"/>
      <c r="Z661" s="13">
        <f t="shared" si="115"/>
        <v>5.2622203873957725</v>
      </c>
      <c r="AA661" s="2"/>
      <c r="AB661" s="68"/>
      <c r="AC661" s="15">
        <f t="shared" si="116"/>
        <v>4.8889324503910273E-4</v>
      </c>
    </row>
    <row r="662" spans="1:29">
      <c r="A662" s="84">
        <f>'Q.1 &amp; 4'!K667</f>
        <v>3</v>
      </c>
      <c r="B662" s="141">
        <f>'Q.1 &amp; 4'!L667</f>
        <v>32.5289</v>
      </c>
      <c r="C662" s="221"/>
      <c r="D662" s="23"/>
      <c r="E662" s="24"/>
      <c r="F662" s="22">
        <f t="shared" si="111"/>
        <v>-0.50740740740741153</v>
      </c>
      <c r="G662" s="22">
        <f t="shared" si="112"/>
        <v>-2.1775890695573636</v>
      </c>
      <c r="H662" s="22">
        <f t="shared" si="117"/>
        <v>1.1049248241828193</v>
      </c>
      <c r="I662" s="22">
        <f t="shared" si="118"/>
        <v>0.25746227709191088</v>
      </c>
      <c r="J662" s="24"/>
      <c r="K662" s="24"/>
      <c r="L662" s="235">
        <f t="shared" si="113"/>
        <v>37.000442074175325</v>
      </c>
      <c r="M662" s="126"/>
      <c r="N662" s="126"/>
      <c r="O662" s="126"/>
      <c r="P662" s="10">
        <f t="shared" si="114"/>
        <v>-4.4715420741753249</v>
      </c>
      <c r="Q662" s="10">
        <f t="shared" si="119"/>
        <v>19.994688521120167</v>
      </c>
      <c r="W662" s="240">
        <f t="shared" si="120"/>
        <v>4.4715420741753249</v>
      </c>
      <c r="X662" s="240">
        <f t="shared" si="121"/>
        <v>0.1374636730469006</v>
      </c>
      <c r="Y662"/>
      <c r="Z662" s="13">
        <f t="shared" si="115"/>
        <v>5.2622203873957725</v>
      </c>
      <c r="AA662" s="2"/>
      <c r="AB662" s="68"/>
      <c r="AC662" s="15">
        <f t="shared" si="116"/>
        <v>4.7418941558557046</v>
      </c>
    </row>
    <row r="663" spans="1:29">
      <c r="A663" s="84">
        <f>'Q.1 &amp; 4'!K668</f>
        <v>3</v>
      </c>
      <c r="B663" s="141">
        <f>'Q.1 &amp; 4'!L668</f>
        <v>33.722900000000003</v>
      </c>
      <c r="C663" s="221"/>
      <c r="D663" s="23"/>
      <c r="E663" s="24"/>
      <c r="F663" s="22">
        <f t="shared" si="111"/>
        <v>-0.50740740740741153</v>
      </c>
      <c r="G663" s="22">
        <f t="shared" si="112"/>
        <v>-0.98358906955736103</v>
      </c>
      <c r="H663" s="22">
        <f t="shared" si="117"/>
        <v>0.49908037973836872</v>
      </c>
      <c r="I663" s="22">
        <f t="shared" si="118"/>
        <v>0.25746227709191088</v>
      </c>
      <c r="J663" s="24"/>
      <c r="K663" s="24"/>
      <c r="L663" s="235">
        <f t="shared" si="113"/>
        <v>37.000442074175325</v>
      </c>
      <c r="M663" s="126"/>
      <c r="N663" s="126"/>
      <c r="O663" s="126"/>
      <c r="P663" s="10">
        <f t="shared" si="114"/>
        <v>-3.2775420741753223</v>
      </c>
      <c r="Q663" s="10">
        <f t="shared" si="119"/>
        <v>10.742282047989473</v>
      </c>
      <c r="W663" s="240">
        <f t="shared" si="120"/>
        <v>3.2775420741753223</v>
      </c>
      <c r="X663" s="240">
        <f t="shared" si="121"/>
        <v>9.7190398043327297E-2</v>
      </c>
      <c r="Y663"/>
      <c r="Z663" s="13">
        <f t="shared" si="115"/>
        <v>5.2622203873957725</v>
      </c>
      <c r="AA663" s="2"/>
      <c r="AB663" s="68"/>
      <c r="AC663" s="15">
        <f t="shared" si="116"/>
        <v>0.96744745775271523</v>
      </c>
    </row>
    <row r="664" spans="1:29">
      <c r="A664" s="84">
        <f>'Q.1 &amp; 4'!K669</f>
        <v>2.4</v>
      </c>
      <c r="B664" s="141">
        <f>'Q.1 &amp; 4'!L669</f>
        <v>37.071100000000001</v>
      </c>
      <c r="C664" s="221"/>
      <c r="D664" s="23"/>
      <c r="E664" s="24"/>
      <c r="F664" s="22">
        <f t="shared" si="111"/>
        <v>-1.1074074074074116</v>
      </c>
      <c r="G664" s="22">
        <f t="shared" si="112"/>
        <v>2.3646109304426375</v>
      </c>
      <c r="H664" s="22">
        <f t="shared" si="117"/>
        <v>-2.6185876600087084</v>
      </c>
      <c r="I664" s="22">
        <f t="shared" si="118"/>
        <v>1.2263511659808048</v>
      </c>
      <c r="J664" s="24"/>
      <c r="K664" s="24"/>
      <c r="L664" s="235">
        <f t="shared" si="113"/>
        <v>39.712999641679758</v>
      </c>
      <c r="M664" s="126"/>
      <c r="N664" s="126"/>
      <c r="O664" s="126"/>
      <c r="P664" s="10">
        <f t="shared" si="114"/>
        <v>-2.6418996416797569</v>
      </c>
      <c r="Q664" s="10">
        <f t="shared" si="119"/>
        <v>6.9796337167076281</v>
      </c>
      <c r="W664" s="240">
        <f t="shared" si="120"/>
        <v>2.6418996416797569</v>
      </c>
      <c r="X664" s="240">
        <f t="shared" si="121"/>
        <v>7.1265747217637371E-2</v>
      </c>
      <c r="Y664"/>
      <c r="Z664" s="13">
        <f t="shared" si="115"/>
        <v>25.065148108773304</v>
      </c>
      <c r="AA664" s="2"/>
      <c r="AB664" s="68"/>
      <c r="AC664" s="15">
        <f t="shared" si="116"/>
        <v>5.5913848523687957</v>
      </c>
    </row>
    <row r="665" spans="1:29">
      <c r="A665" s="84">
        <f>'Q.1 &amp; 4'!K670</f>
        <v>2.7</v>
      </c>
      <c r="B665" s="141">
        <f>'Q.1 &amp; 4'!L670</f>
        <v>35.9</v>
      </c>
      <c r="C665" s="221"/>
      <c r="D665" s="23"/>
      <c r="E665" s="24"/>
      <c r="F665" s="22">
        <f t="shared" si="111"/>
        <v>-0.80740740740741135</v>
      </c>
      <c r="G665" s="22">
        <f t="shared" si="112"/>
        <v>1.1935109304426348</v>
      </c>
      <c r="H665" s="22">
        <f t="shared" si="117"/>
        <v>-0.96364956606109498</v>
      </c>
      <c r="I665" s="22">
        <f t="shared" si="118"/>
        <v>0.65190672153635754</v>
      </c>
      <c r="J665" s="24"/>
      <c r="K665" s="24"/>
      <c r="L665" s="235">
        <f t="shared" si="113"/>
        <v>38.356720857927542</v>
      </c>
      <c r="M665" s="126"/>
      <c r="N665" s="126"/>
      <c r="O665" s="126"/>
      <c r="P665" s="10">
        <f t="shared" si="114"/>
        <v>-2.456720857927543</v>
      </c>
      <c r="Q665" s="10">
        <f t="shared" si="119"/>
        <v>6.035477373776243</v>
      </c>
      <c r="W665" s="240">
        <f t="shared" si="120"/>
        <v>2.456720857927543</v>
      </c>
      <c r="X665" s="240">
        <f t="shared" si="121"/>
        <v>6.8432335875419026E-2</v>
      </c>
      <c r="Y665"/>
      <c r="Z665" s="13">
        <f t="shared" si="115"/>
        <v>13.324192108828147</v>
      </c>
      <c r="AA665" s="2"/>
      <c r="AB665" s="68"/>
      <c r="AC665" s="15">
        <f t="shared" si="116"/>
        <v>1.4244683410860439</v>
      </c>
    </row>
    <row r="666" spans="1:29">
      <c r="A666" s="84">
        <f>'Q.1 &amp; 4'!K671</f>
        <v>2</v>
      </c>
      <c r="B666" s="141">
        <f>'Q.1 &amp; 4'!L671</f>
        <v>42</v>
      </c>
      <c r="C666" s="221"/>
      <c r="D666" s="23"/>
      <c r="E666" s="24"/>
      <c r="F666" s="22">
        <f t="shared" si="111"/>
        <v>-1.5074074074074115</v>
      </c>
      <c r="G666" s="22">
        <f t="shared" si="112"/>
        <v>7.2935109304426362</v>
      </c>
      <c r="H666" s="22">
        <f t="shared" si="117"/>
        <v>-10.994292402556152</v>
      </c>
      <c r="I666" s="22">
        <f t="shared" si="118"/>
        <v>2.2722770919067341</v>
      </c>
      <c r="J666" s="24"/>
      <c r="K666" s="24"/>
      <c r="L666" s="235">
        <f t="shared" si="113"/>
        <v>41.52137135334938</v>
      </c>
      <c r="M666" s="126"/>
      <c r="N666" s="126"/>
      <c r="O666" s="126"/>
      <c r="P666" s="10">
        <f t="shared" si="114"/>
        <v>0.47862864665061977</v>
      </c>
      <c r="Q666" s="10">
        <f t="shared" si="119"/>
        <v>0.22908538139460383</v>
      </c>
      <c r="W666" s="240">
        <f t="shared" si="120"/>
        <v>0.47862864665061977</v>
      </c>
      <c r="X666" s="240">
        <f t="shared" si="121"/>
        <v>1.139592015834809E-2</v>
      </c>
      <c r="Y666"/>
      <c r="Z666" s="13">
        <f t="shared" si="115"/>
        <v>46.44262054194229</v>
      </c>
      <c r="AA666" s="2"/>
      <c r="AB666" s="68"/>
      <c r="AC666" s="15">
        <f t="shared" si="116"/>
        <v>53.195301692486211</v>
      </c>
    </row>
    <row r="667" spans="1:29">
      <c r="A667" s="84">
        <f>'Q.1 &amp; 4'!K672</f>
        <v>3.2</v>
      </c>
      <c r="B667" s="141">
        <f>'Q.1 &amp; 4'!L672</f>
        <v>36.4</v>
      </c>
      <c r="C667" s="221"/>
      <c r="D667" s="23"/>
      <c r="E667" s="24"/>
      <c r="F667" s="22">
        <f t="shared" si="111"/>
        <v>-0.30740740740741135</v>
      </c>
      <c r="G667" s="22">
        <f t="shared" si="112"/>
        <v>1.6935109304426348</v>
      </c>
      <c r="H667" s="22">
        <f t="shared" si="117"/>
        <v>-0.52059780454348326</v>
      </c>
      <c r="I667" s="22">
        <f t="shared" si="118"/>
        <v>9.4499314128946188E-2</v>
      </c>
      <c r="J667" s="24"/>
      <c r="K667" s="24"/>
      <c r="L667" s="235">
        <f t="shared" si="113"/>
        <v>36.096256218340514</v>
      </c>
      <c r="M667" s="126"/>
      <c r="N667" s="126"/>
      <c r="O667" s="126"/>
      <c r="P667" s="10">
        <f t="shared" si="114"/>
        <v>0.30374378165948457</v>
      </c>
      <c r="Q667" s="10">
        <f t="shared" si="119"/>
        <v>9.2260284896804629E-2</v>
      </c>
      <c r="W667" s="240">
        <f t="shared" si="120"/>
        <v>0.30374378165948457</v>
      </c>
      <c r="X667" s="240">
        <f t="shared" si="121"/>
        <v>8.3446093862495768E-3</v>
      </c>
      <c r="Y667"/>
      <c r="Z667" s="13">
        <f t="shared" si="115"/>
        <v>1.9314527278368467</v>
      </c>
      <c r="AA667" s="2"/>
      <c r="AB667" s="68"/>
      <c r="AC667" s="15">
        <f t="shared" si="116"/>
        <v>2.8679792715286787</v>
      </c>
    </row>
    <row r="668" spans="1:29">
      <c r="A668" s="84">
        <f>'Q.1 &amp; 4'!K673</f>
        <v>2.9</v>
      </c>
      <c r="B668" s="141">
        <f>'Q.1 &amp; 4'!L673</f>
        <v>34.151400000000002</v>
      </c>
      <c r="C668" s="221"/>
      <c r="D668" s="23"/>
      <c r="E668" s="24"/>
      <c r="F668" s="22">
        <f t="shared" si="111"/>
        <v>-0.60740740740741161</v>
      </c>
      <c r="G668" s="22">
        <f t="shared" si="112"/>
        <v>-0.55508906955736137</v>
      </c>
      <c r="H668" s="22">
        <f t="shared" si="117"/>
        <v>0.33716521262002924</v>
      </c>
      <c r="I668" s="22">
        <f t="shared" si="118"/>
        <v>0.36894375857339329</v>
      </c>
      <c r="J668" s="24"/>
      <c r="K668" s="24"/>
      <c r="L668" s="235">
        <f t="shared" si="113"/>
        <v>37.452535002092731</v>
      </c>
      <c r="M668" s="126"/>
      <c r="N668" s="126"/>
      <c r="O668" s="126"/>
      <c r="P668" s="10">
        <f t="shared" si="114"/>
        <v>-3.3011350020927281</v>
      </c>
      <c r="Q668" s="10">
        <f t="shared" si="119"/>
        <v>10.897492302041757</v>
      </c>
      <c r="W668" s="240">
        <f t="shared" si="120"/>
        <v>3.3011350020927281</v>
      </c>
      <c r="X668" s="240">
        <f t="shared" si="121"/>
        <v>9.666177673807598E-2</v>
      </c>
      <c r="Y668"/>
      <c r="Z668" s="13">
        <f t="shared" si="115"/>
        <v>7.5407682635940319</v>
      </c>
      <c r="AA668" s="2"/>
      <c r="AB668" s="68"/>
      <c r="AC668" s="15">
        <f t="shared" si="116"/>
        <v>0.30812387514205719</v>
      </c>
    </row>
    <row r="669" spans="1:29">
      <c r="A669" s="84">
        <f>'Q.1 &amp; 4'!K674</f>
        <v>2.9</v>
      </c>
      <c r="B669" s="141">
        <f>'Q.1 &amp; 4'!L674</f>
        <v>35.323700000000002</v>
      </c>
      <c r="C669" s="221"/>
      <c r="D669" s="23"/>
      <c r="E669" s="24"/>
      <c r="F669" s="22">
        <f t="shared" si="111"/>
        <v>-0.60740740740741161</v>
      </c>
      <c r="G669" s="22">
        <f t="shared" si="112"/>
        <v>0.61721093044263853</v>
      </c>
      <c r="H669" s="22">
        <f t="shared" si="117"/>
        <v>-0.37489849108367934</v>
      </c>
      <c r="I669" s="22">
        <f t="shared" si="118"/>
        <v>0.36894375857339329</v>
      </c>
      <c r="J669" s="24"/>
      <c r="K669" s="24"/>
      <c r="L669" s="235">
        <f t="shared" si="113"/>
        <v>37.452535002092731</v>
      </c>
      <c r="M669" s="126"/>
      <c r="N669" s="126"/>
      <c r="O669" s="126"/>
      <c r="P669" s="10">
        <f t="shared" si="114"/>
        <v>-2.1288350020927282</v>
      </c>
      <c r="Q669" s="10">
        <f t="shared" si="119"/>
        <v>4.5319384661351458</v>
      </c>
      <c r="W669" s="240">
        <f t="shared" si="120"/>
        <v>2.1288350020927282</v>
      </c>
      <c r="X669" s="240">
        <f t="shared" si="121"/>
        <v>6.0266478372671267E-2</v>
      </c>
      <c r="Y669"/>
      <c r="Z669" s="13">
        <f t="shared" si="115"/>
        <v>7.5407682635940319</v>
      </c>
      <c r="AA669" s="2"/>
      <c r="AB669" s="68"/>
      <c r="AC669" s="15">
        <f t="shared" si="116"/>
        <v>0.38094933265786757</v>
      </c>
    </row>
    <row r="670" spans="1:29">
      <c r="A670" s="84">
        <f>'Q.1 &amp; 4'!K675</f>
        <v>3.7</v>
      </c>
      <c r="B670" s="141">
        <f>'Q.1 &amp; 4'!L675</f>
        <v>31.8217</v>
      </c>
      <c r="C670" s="221"/>
      <c r="D670" s="23"/>
      <c r="E670" s="24"/>
      <c r="F670" s="22">
        <f t="shared" si="111"/>
        <v>0.19259259259258865</v>
      </c>
      <c r="G670" s="22">
        <f t="shared" si="112"/>
        <v>-2.8847890695573639</v>
      </c>
      <c r="H670" s="22">
        <f t="shared" si="117"/>
        <v>-0.55558900598881422</v>
      </c>
      <c r="I670" s="22">
        <f t="shared" si="118"/>
        <v>3.7091906721534833E-2</v>
      </c>
      <c r="J670" s="24"/>
      <c r="K670" s="24"/>
      <c r="L670" s="235">
        <f t="shared" si="113"/>
        <v>33.835791578753486</v>
      </c>
      <c r="M670" s="126"/>
      <c r="N670" s="126"/>
      <c r="O670" s="126"/>
      <c r="P670" s="10">
        <f t="shared" si="114"/>
        <v>-2.0140915787534865</v>
      </c>
      <c r="Q670" s="10">
        <f t="shared" si="119"/>
        <v>4.0565648876057123</v>
      </c>
      <c r="W670" s="240">
        <f t="shared" si="120"/>
        <v>2.0140915787534865</v>
      </c>
      <c r="X670" s="240">
        <f t="shared" si="121"/>
        <v>6.329302264660551E-2</v>
      </c>
      <c r="Y670"/>
      <c r="Z670" s="13">
        <f t="shared" si="115"/>
        <v>0.75811412049216809</v>
      </c>
      <c r="AA670" s="2"/>
      <c r="AB670" s="68"/>
      <c r="AC670" s="15">
        <f t="shared" si="116"/>
        <v>8.3220079758376411</v>
      </c>
    </row>
    <row r="671" spans="1:29">
      <c r="A671" s="84">
        <f>'Q.1 &amp; 4'!K676</f>
        <v>5.3</v>
      </c>
      <c r="B671" s="141">
        <f>'Q.1 &amp; 4'!L676</f>
        <v>27.9</v>
      </c>
      <c r="C671" s="221"/>
      <c r="D671" s="23"/>
      <c r="E671" s="24"/>
      <c r="F671" s="22">
        <f t="shared" si="111"/>
        <v>1.7925925925925883</v>
      </c>
      <c r="G671" s="22">
        <f t="shared" si="112"/>
        <v>-6.8064890695573652</v>
      </c>
      <c r="H671" s="22">
        <f t="shared" si="117"/>
        <v>-12.201261887650951</v>
      </c>
      <c r="I671" s="22">
        <f t="shared" si="118"/>
        <v>3.2133882030178174</v>
      </c>
      <c r="J671" s="24"/>
      <c r="K671" s="24"/>
      <c r="L671" s="235">
        <f t="shared" si="113"/>
        <v>26.602304732075012</v>
      </c>
      <c r="M671" s="126"/>
      <c r="N671" s="126"/>
      <c r="O671" s="126"/>
      <c r="P671" s="10">
        <f t="shared" si="114"/>
        <v>1.2976952679249862</v>
      </c>
      <c r="Q671" s="10">
        <f t="shared" si="119"/>
        <v>1.6840130083949019</v>
      </c>
      <c r="W671" s="240">
        <f t="shared" si="120"/>
        <v>1.2976952679249862</v>
      </c>
      <c r="X671" s="240">
        <f t="shared" si="121"/>
        <v>4.6512375194443956E-2</v>
      </c>
      <c r="Y671"/>
      <c r="Z671" s="13">
        <f t="shared" si="115"/>
        <v>65.677803775894262</v>
      </c>
      <c r="AA671" s="2"/>
      <c r="AB671" s="68"/>
      <c r="AC671" s="15">
        <f t="shared" si="116"/>
        <v>46.328293454003884</v>
      </c>
    </row>
    <row r="672" spans="1:29">
      <c r="A672" s="84">
        <f>'Q.1 &amp; 4'!K677</f>
        <v>3.7</v>
      </c>
      <c r="B672" s="141">
        <f>'Q.1 &amp; 4'!L677</f>
        <v>27</v>
      </c>
      <c r="C672" s="221"/>
      <c r="D672" s="23"/>
      <c r="E672" s="24"/>
      <c r="F672" s="22">
        <f t="shared" si="111"/>
        <v>0.19259259259258865</v>
      </c>
      <c r="G672" s="22">
        <f t="shared" si="112"/>
        <v>-7.7064890695573638</v>
      </c>
      <c r="H672" s="22">
        <f t="shared" si="117"/>
        <v>-1.4842127096924989</v>
      </c>
      <c r="I672" s="22">
        <f t="shared" si="118"/>
        <v>3.7091906721534833E-2</v>
      </c>
      <c r="J672" s="24"/>
      <c r="K672" s="24"/>
      <c r="L672" s="235">
        <f t="shared" si="113"/>
        <v>33.835791578753486</v>
      </c>
      <c r="M672" s="126"/>
      <c r="N672" s="126"/>
      <c r="O672" s="126"/>
      <c r="P672" s="10">
        <f t="shared" si="114"/>
        <v>-6.8357915787534864</v>
      </c>
      <c r="Q672" s="10">
        <f t="shared" si="119"/>
        <v>46.728046508157085</v>
      </c>
      <c r="W672" s="240">
        <f t="shared" si="120"/>
        <v>6.8357915787534864</v>
      </c>
      <c r="X672" s="240">
        <f t="shared" si="121"/>
        <v>0.25317746587975876</v>
      </c>
      <c r="Y672"/>
      <c r="Z672" s="13">
        <f t="shared" si="115"/>
        <v>0.75811412049216809</v>
      </c>
      <c r="AA672" s="2"/>
      <c r="AB672" s="68"/>
      <c r="AC672" s="15">
        <f t="shared" si="116"/>
        <v>59.389973779207125</v>
      </c>
    </row>
    <row r="673" spans="1:29">
      <c r="A673" s="84">
        <f>'Q.1 &amp; 4'!K678</f>
        <v>2.9</v>
      </c>
      <c r="B673" s="141">
        <f>'Q.1 &amp; 4'!L678</f>
        <v>34.299999999999997</v>
      </c>
      <c r="C673" s="221"/>
      <c r="D673" s="23"/>
      <c r="E673" s="24"/>
      <c r="F673" s="22">
        <f t="shared" si="111"/>
        <v>-0.60740740740741161</v>
      </c>
      <c r="G673" s="22">
        <f t="shared" si="112"/>
        <v>-0.40648906955736663</v>
      </c>
      <c r="H673" s="22">
        <f t="shared" si="117"/>
        <v>0.24690447187929107</v>
      </c>
      <c r="I673" s="22">
        <f t="shared" si="118"/>
        <v>0.36894375857339329</v>
      </c>
      <c r="J673" s="24"/>
      <c r="K673" s="24"/>
      <c r="L673" s="235">
        <f t="shared" si="113"/>
        <v>37.452535002092731</v>
      </c>
      <c r="M673" s="126"/>
      <c r="N673" s="126"/>
      <c r="O673" s="126"/>
      <c r="P673" s="10">
        <f t="shared" si="114"/>
        <v>-3.1525350020927334</v>
      </c>
      <c r="Q673" s="10">
        <f t="shared" si="119"/>
        <v>9.9384769394198305</v>
      </c>
      <c r="W673" s="240">
        <f t="shared" si="120"/>
        <v>3.1525350020927334</v>
      </c>
      <c r="X673" s="240">
        <f t="shared" si="121"/>
        <v>9.1910641460429557E-2</v>
      </c>
      <c r="Y673"/>
      <c r="Z673" s="13">
        <f t="shared" si="115"/>
        <v>7.5407682635940319</v>
      </c>
      <c r="AA673" s="2"/>
      <c r="AB673" s="68"/>
      <c r="AC673" s="15">
        <f t="shared" si="116"/>
        <v>0.16523336366961364</v>
      </c>
    </row>
    <row r="674" spans="1:29">
      <c r="A674" s="84">
        <f>'Q.1 &amp; 4'!K679</f>
        <v>2.9</v>
      </c>
      <c r="B674" s="141">
        <f>'Q.1 &amp; 4'!L679</f>
        <v>35.5</v>
      </c>
      <c r="C674" s="221"/>
      <c r="D674" s="23"/>
      <c r="E674" s="24"/>
      <c r="F674" s="22">
        <f t="shared" si="111"/>
        <v>-0.60740740740741161</v>
      </c>
      <c r="G674" s="22">
        <f t="shared" si="112"/>
        <v>0.79351093044263621</v>
      </c>
      <c r="H674" s="22">
        <f t="shared" si="117"/>
        <v>-0.48198441700960459</v>
      </c>
      <c r="I674" s="22">
        <f t="shared" si="118"/>
        <v>0.36894375857339329</v>
      </c>
      <c r="J674" s="24"/>
      <c r="K674" s="24"/>
      <c r="L674" s="235">
        <f t="shared" si="113"/>
        <v>37.452535002092731</v>
      </c>
      <c r="M674" s="126"/>
      <c r="N674" s="126"/>
      <c r="O674" s="126"/>
      <c r="P674" s="10">
        <f t="shared" si="114"/>
        <v>-1.9525350020927306</v>
      </c>
      <c r="Q674" s="10">
        <f t="shared" si="119"/>
        <v>3.8123929343972596</v>
      </c>
      <c r="W674" s="240">
        <f t="shared" si="120"/>
        <v>1.9525350020927306</v>
      </c>
      <c r="X674" s="240">
        <f t="shared" si="121"/>
        <v>5.5000985974443112E-2</v>
      </c>
      <c r="Y674"/>
      <c r="Z674" s="13">
        <f t="shared" si="115"/>
        <v>7.5407682635940319</v>
      </c>
      <c r="AA674" s="2"/>
      <c r="AB674" s="68"/>
      <c r="AC674" s="15">
        <f t="shared" si="116"/>
        <v>0.62965959673193828</v>
      </c>
    </row>
    <row r="675" spans="1:29">
      <c r="A675" s="84">
        <f>'Q.1 &amp; 4'!K680</f>
        <v>3.7</v>
      </c>
      <c r="B675" s="141">
        <f>'Q.1 &amp; 4'!L680</f>
        <v>31.6</v>
      </c>
      <c r="C675" s="221"/>
      <c r="D675" s="23"/>
      <c r="E675" s="24"/>
      <c r="F675" s="22">
        <f t="shared" si="111"/>
        <v>0.19259259259258865</v>
      </c>
      <c r="G675" s="22">
        <f t="shared" si="112"/>
        <v>-3.1064890695573624</v>
      </c>
      <c r="H675" s="22">
        <f t="shared" si="117"/>
        <v>-0.59828678376659084</v>
      </c>
      <c r="I675" s="22">
        <f t="shared" si="118"/>
        <v>3.7091906721534833E-2</v>
      </c>
      <c r="J675" s="24"/>
      <c r="K675" s="24"/>
      <c r="L675" s="235">
        <f t="shared" si="113"/>
        <v>33.835791578753486</v>
      </c>
      <c r="M675" s="126"/>
      <c r="N675" s="126"/>
      <c r="O675" s="126"/>
      <c r="P675" s="10">
        <f t="shared" si="114"/>
        <v>-2.235791578753485</v>
      </c>
      <c r="Q675" s="10">
        <f t="shared" si="119"/>
        <v>4.9987639836250013</v>
      </c>
      <c r="W675" s="240">
        <f t="shared" si="120"/>
        <v>2.235791578753485</v>
      </c>
      <c r="X675" s="240">
        <f t="shared" si="121"/>
        <v>7.0752898061819142E-2</v>
      </c>
      <c r="Y675"/>
      <c r="Z675" s="13">
        <f t="shared" si="115"/>
        <v>0.75811412049216809</v>
      </c>
      <c r="AA675" s="2"/>
      <c r="AB675" s="68"/>
      <c r="AC675" s="15">
        <f t="shared" si="116"/>
        <v>9.6502743392793668</v>
      </c>
    </row>
    <row r="676" spans="1:29">
      <c r="A676" s="84">
        <f>'Q.1 &amp; 4'!K681</f>
        <v>5.3</v>
      </c>
      <c r="B676" s="141">
        <f>'Q.1 &amp; 4'!L681</f>
        <v>27.9</v>
      </c>
      <c r="C676" s="221"/>
      <c r="D676" s="23"/>
      <c r="E676" s="24"/>
      <c r="F676" s="22">
        <f t="shared" si="111"/>
        <v>1.7925925925925883</v>
      </c>
      <c r="G676" s="22">
        <f t="shared" si="112"/>
        <v>-6.8064890695573652</v>
      </c>
      <c r="H676" s="22">
        <f t="shared" si="117"/>
        <v>-12.201261887650951</v>
      </c>
      <c r="I676" s="22">
        <f t="shared" si="118"/>
        <v>3.2133882030178174</v>
      </c>
      <c r="J676" s="24"/>
      <c r="K676" s="24"/>
      <c r="L676" s="235">
        <f t="shared" si="113"/>
        <v>26.602304732075012</v>
      </c>
      <c r="M676" s="126"/>
      <c r="N676" s="126"/>
      <c r="O676" s="126"/>
      <c r="P676" s="10">
        <f t="shared" si="114"/>
        <v>1.2976952679249862</v>
      </c>
      <c r="Q676" s="10">
        <f t="shared" si="119"/>
        <v>1.6840130083949019</v>
      </c>
      <c r="W676" s="240">
        <f t="shared" si="120"/>
        <v>1.2976952679249862</v>
      </c>
      <c r="X676" s="240">
        <f t="shared" si="121"/>
        <v>4.6512375194443956E-2</v>
      </c>
      <c r="Y676"/>
      <c r="Z676" s="13">
        <f t="shared" si="115"/>
        <v>65.677803775894262</v>
      </c>
      <c r="AA676" s="2"/>
      <c r="AB676" s="68"/>
      <c r="AC676" s="15">
        <f t="shared" si="116"/>
        <v>46.328293454003884</v>
      </c>
    </row>
    <row r="677" spans="1:29">
      <c r="A677" s="84">
        <f>'Q.1 &amp; 4'!K682</f>
        <v>2.2999999999999998</v>
      </c>
      <c r="B677" s="141">
        <f>'Q.1 &amp; 4'!L682</f>
        <v>32.8232</v>
      </c>
      <c r="C677" s="221"/>
      <c r="D677" s="23"/>
      <c r="E677" s="24"/>
      <c r="F677" s="22">
        <f t="shared" si="111"/>
        <v>-1.2074074074074117</v>
      </c>
      <c r="G677" s="22">
        <f t="shared" si="112"/>
        <v>-1.8832890695573639</v>
      </c>
      <c r="H677" s="22">
        <f t="shared" si="117"/>
        <v>2.2738971728729735</v>
      </c>
      <c r="I677" s="22">
        <f t="shared" si="118"/>
        <v>1.4578326474622874</v>
      </c>
      <c r="J677" s="24"/>
      <c r="K677" s="24"/>
      <c r="L677" s="235">
        <f t="shared" si="113"/>
        <v>40.165092569597164</v>
      </c>
      <c r="M677" s="126"/>
      <c r="N677" s="126"/>
      <c r="O677" s="126"/>
      <c r="P677" s="10">
        <f t="shared" si="114"/>
        <v>-7.3418925695971637</v>
      </c>
      <c r="Q677" s="10">
        <f t="shared" si="119"/>
        <v>53.903386503506042</v>
      </c>
      <c r="W677" s="240">
        <f t="shared" si="120"/>
        <v>7.3418925695971637</v>
      </c>
      <c r="X677" s="240">
        <f t="shared" si="121"/>
        <v>0.22367997543192508</v>
      </c>
      <c r="Y677"/>
      <c r="Z677" s="13">
        <f t="shared" si="115"/>
        <v>29.796352170646752</v>
      </c>
      <c r="AA677" s="2"/>
      <c r="AB677" s="68"/>
      <c r="AC677" s="15">
        <f t="shared" si="116"/>
        <v>3.5467777195142411</v>
      </c>
    </row>
    <row r="678" spans="1:29">
      <c r="A678" s="84">
        <f>'Q.1 &amp; 4'!K683</f>
        <v>2.2999999999999998</v>
      </c>
      <c r="B678" s="141">
        <f>'Q.1 &amp; 4'!L683</f>
        <v>37.700000000000003</v>
      </c>
      <c r="C678" s="221"/>
      <c r="D678" s="23"/>
      <c r="E678" s="24"/>
      <c r="F678" s="22">
        <f t="shared" si="111"/>
        <v>-1.2074074074074117</v>
      </c>
      <c r="G678" s="22">
        <f t="shared" si="112"/>
        <v>2.9935109304426391</v>
      </c>
      <c r="H678" s="22">
        <f t="shared" si="117"/>
        <v>-3.6143872715714958</v>
      </c>
      <c r="I678" s="22">
        <f t="shared" si="118"/>
        <v>1.4578326474622874</v>
      </c>
      <c r="J678" s="24"/>
      <c r="K678" s="24"/>
      <c r="L678" s="235">
        <f t="shared" si="113"/>
        <v>40.165092569597164</v>
      </c>
      <c r="M678" s="126"/>
      <c r="N678" s="126"/>
      <c r="O678" s="126"/>
      <c r="P678" s="10">
        <f t="shared" si="114"/>
        <v>-2.4650925695971608</v>
      </c>
      <c r="Q678" s="10">
        <f t="shared" si="119"/>
        <v>6.0766813766831334</v>
      </c>
      <c r="W678" s="240">
        <f t="shared" si="120"/>
        <v>2.4650925695971608</v>
      </c>
      <c r="X678" s="240">
        <f t="shared" si="121"/>
        <v>6.5387070811595768E-2</v>
      </c>
      <c r="Y678"/>
      <c r="Z678" s="13">
        <f t="shared" si="115"/>
        <v>29.796352170646752</v>
      </c>
      <c r="AA678" s="2"/>
      <c r="AB678" s="68"/>
      <c r="AC678" s="15">
        <f t="shared" si="116"/>
        <v>8.9611076906795546</v>
      </c>
    </row>
    <row r="679" spans="1:29">
      <c r="A679" s="84">
        <f>'Q.1 &amp; 4'!K684</f>
        <v>4</v>
      </c>
      <c r="B679" s="141">
        <f>'Q.1 &amp; 4'!L684</f>
        <v>28.6</v>
      </c>
      <c r="C679" s="221"/>
      <c r="D679" s="23"/>
      <c r="E679" s="24"/>
      <c r="F679" s="22">
        <f t="shared" si="111"/>
        <v>0.49259259259258847</v>
      </c>
      <c r="G679" s="22">
        <f t="shared" si="112"/>
        <v>-6.1064890695573624</v>
      </c>
      <c r="H679" s="22">
        <f t="shared" si="117"/>
        <v>-3.0080112824115646</v>
      </c>
      <c r="I679" s="22">
        <f t="shared" si="118"/>
        <v>0.24264746227708786</v>
      </c>
      <c r="J679" s="24"/>
      <c r="K679" s="24"/>
      <c r="L679" s="235">
        <f t="shared" si="113"/>
        <v>32.479512795001277</v>
      </c>
      <c r="M679" s="126"/>
      <c r="N679" s="126"/>
      <c r="O679" s="126"/>
      <c r="P679" s="10">
        <f t="shared" si="114"/>
        <v>-3.8795127950012755</v>
      </c>
      <c r="Q679" s="10">
        <f t="shared" si="119"/>
        <v>15.050619526578609</v>
      </c>
      <c r="W679" s="240">
        <f t="shared" si="120"/>
        <v>3.8795127950012755</v>
      </c>
      <c r="X679" s="240">
        <f t="shared" si="121"/>
        <v>0.13564730052452012</v>
      </c>
      <c r="Y679"/>
      <c r="Z679" s="13">
        <f t="shared" si="115"/>
        <v>4.9594233274357071</v>
      </c>
      <c r="AA679" s="2"/>
      <c r="AB679" s="68"/>
      <c r="AC679" s="15">
        <f t="shared" si="116"/>
        <v>37.289208756623545</v>
      </c>
    </row>
    <row r="680" spans="1:29">
      <c r="A680" s="84">
        <f>'Q.1 &amp; 4'!K685</f>
        <v>4</v>
      </c>
      <c r="B680" s="141">
        <f>'Q.1 &amp; 4'!L685</f>
        <v>28.5</v>
      </c>
      <c r="C680" s="221"/>
      <c r="D680" s="23"/>
      <c r="E680" s="24"/>
      <c r="F680" s="22">
        <f t="shared" si="111"/>
        <v>0.49259259259258847</v>
      </c>
      <c r="G680" s="22">
        <f t="shared" si="112"/>
        <v>-6.2064890695573638</v>
      </c>
      <c r="H680" s="22">
        <f t="shared" si="117"/>
        <v>-3.0572705416708241</v>
      </c>
      <c r="I680" s="22">
        <f t="shared" si="118"/>
        <v>0.24264746227708786</v>
      </c>
      <c r="J680" s="24"/>
      <c r="K680" s="24"/>
      <c r="L680" s="235">
        <f t="shared" si="113"/>
        <v>32.479512795001277</v>
      </c>
      <c r="M680" s="126"/>
      <c r="N680" s="126"/>
      <c r="O680" s="126"/>
      <c r="P680" s="10">
        <f t="shared" si="114"/>
        <v>-3.979512795001277</v>
      </c>
      <c r="Q680" s="10">
        <f t="shared" si="119"/>
        <v>15.836522085578876</v>
      </c>
      <c r="W680" s="240">
        <f t="shared" si="120"/>
        <v>3.979512795001277</v>
      </c>
      <c r="X680" s="240">
        <f t="shared" si="121"/>
        <v>0.13963202789478166</v>
      </c>
      <c r="Y680"/>
      <c r="Z680" s="13">
        <f t="shared" si="115"/>
        <v>4.9594233274357071</v>
      </c>
      <c r="AA680" s="2"/>
      <c r="AB680" s="68"/>
      <c r="AC680" s="15">
        <f t="shared" si="116"/>
        <v>38.520506570535034</v>
      </c>
    </row>
    <row r="681" spans="1:29">
      <c r="A681" s="84">
        <f>'Q.1 &amp; 4'!K686</f>
        <v>2.9</v>
      </c>
      <c r="B681" s="141">
        <f>'Q.1 &amp; 4'!L686</f>
        <v>34.179600000000001</v>
      </c>
      <c r="C681" s="221"/>
      <c r="D681" s="23"/>
      <c r="E681" s="24"/>
      <c r="F681" s="22">
        <f t="shared" si="111"/>
        <v>-0.60740740740741161</v>
      </c>
      <c r="G681" s="22">
        <f t="shared" si="112"/>
        <v>-0.52688906955736314</v>
      </c>
      <c r="H681" s="22">
        <f t="shared" si="117"/>
        <v>0.32003632373114133</v>
      </c>
      <c r="I681" s="22">
        <f t="shared" si="118"/>
        <v>0.36894375857339329</v>
      </c>
      <c r="J681" s="24"/>
      <c r="K681" s="24"/>
      <c r="L681" s="235">
        <f t="shared" si="113"/>
        <v>37.452535002092731</v>
      </c>
      <c r="M681" s="126"/>
      <c r="N681" s="126"/>
      <c r="O681" s="126"/>
      <c r="P681" s="10">
        <f t="shared" si="114"/>
        <v>-3.2729350020927299</v>
      </c>
      <c r="Q681" s="10">
        <f t="shared" si="119"/>
        <v>10.712103527923738</v>
      </c>
      <c r="W681" s="240">
        <f t="shared" si="120"/>
        <v>3.2729350020927299</v>
      </c>
      <c r="X681" s="240">
        <f t="shared" si="121"/>
        <v>9.5756972056218623E-2</v>
      </c>
      <c r="Y681"/>
      <c r="Z681" s="13">
        <f t="shared" si="115"/>
        <v>7.5407682635940319</v>
      </c>
      <c r="AA681" s="2"/>
      <c r="AB681" s="68"/>
      <c r="AC681" s="15">
        <f t="shared" si="116"/>
        <v>0.27761209161902384</v>
      </c>
    </row>
    <row r="682" spans="1:29">
      <c r="A682" s="84">
        <f>'Q.1 &amp; 4'!K687</f>
        <v>2.9</v>
      </c>
      <c r="B682" s="141">
        <f>'Q.1 &amp; 4'!L687</f>
        <v>35.258200000000002</v>
      </c>
      <c r="C682" s="221"/>
      <c r="D682" s="23"/>
      <c r="E682" s="24"/>
      <c r="F682" s="22">
        <f t="shared" si="111"/>
        <v>-0.60740740740741161</v>
      </c>
      <c r="G682" s="22">
        <f t="shared" si="112"/>
        <v>0.55171093044263841</v>
      </c>
      <c r="H682" s="22">
        <f t="shared" si="117"/>
        <v>-0.33511330589849381</v>
      </c>
      <c r="I682" s="22">
        <f t="shared" si="118"/>
        <v>0.36894375857339329</v>
      </c>
      <c r="J682" s="24"/>
      <c r="K682" s="24"/>
      <c r="L682" s="235">
        <f t="shared" si="113"/>
        <v>37.452535002092731</v>
      </c>
      <c r="M682" s="126"/>
      <c r="N682" s="126"/>
      <c r="O682" s="126"/>
      <c r="P682" s="10">
        <f t="shared" si="114"/>
        <v>-2.1943350020927284</v>
      </c>
      <c r="Q682" s="10">
        <f t="shared" si="119"/>
        <v>4.8151061014092944</v>
      </c>
      <c r="W682" s="240">
        <f t="shared" si="120"/>
        <v>2.1943350020927284</v>
      </c>
      <c r="X682" s="240">
        <f t="shared" si="121"/>
        <v>6.2236160725525645E-2</v>
      </c>
      <c r="Y682"/>
      <c r="Z682" s="13">
        <f t="shared" si="115"/>
        <v>7.5407682635940319</v>
      </c>
      <c r="AA682" s="2"/>
      <c r="AB682" s="68"/>
      <c r="AC682" s="15">
        <f t="shared" si="116"/>
        <v>0.30438495076988181</v>
      </c>
    </row>
    <row r="683" spans="1:29">
      <c r="A683" s="84">
        <f>'Q.1 &amp; 4'!K688</f>
        <v>3.7</v>
      </c>
      <c r="B683" s="141">
        <f>'Q.1 &amp; 4'!L688</f>
        <v>31.846699999999998</v>
      </c>
      <c r="C683" s="221"/>
      <c r="D683" s="23"/>
      <c r="E683" s="24"/>
      <c r="F683" s="22">
        <f t="shared" si="111"/>
        <v>0.19259259259258865</v>
      </c>
      <c r="G683" s="22">
        <f t="shared" si="112"/>
        <v>-2.8597890695573653</v>
      </c>
      <c r="H683" s="22">
        <f t="shared" si="117"/>
        <v>-0.55077419117399984</v>
      </c>
      <c r="I683" s="22">
        <f t="shared" si="118"/>
        <v>3.7091906721534833E-2</v>
      </c>
      <c r="J683" s="24"/>
      <c r="K683" s="24"/>
      <c r="L683" s="235">
        <f t="shared" si="113"/>
        <v>33.835791578753486</v>
      </c>
      <c r="M683" s="126"/>
      <c r="N683" s="126"/>
      <c r="O683" s="126"/>
      <c r="P683" s="10">
        <f t="shared" si="114"/>
        <v>-1.989091578753488</v>
      </c>
      <c r="Q683" s="10">
        <f t="shared" si="119"/>
        <v>3.9564853086680434</v>
      </c>
      <c r="W683" s="240">
        <f t="shared" si="120"/>
        <v>1.989091578753488</v>
      </c>
      <c r="X683" s="240">
        <f t="shared" si="121"/>
        <v>6.2458326255263125E-2</v>
      </c>
      <c r="Y683"/>
      <c r="Z683" s="13">
        <f t="shared" si="115"/>
        <v>0.75811412049216809</v>
      </c>
      <c r="AA683" s="2"/>
      <c r="AB683" s="68"/>
      <c r="AC683" s="15">
        <f t="shared" si="116"/>
        <v>8.1783935223597819</v>
      </c>
    </row>
    <row r="684" spans="1:29">
      <c r="A684" s="84">
        <f>'Q.1 &amp; 4'!K689</f>
        <v>5.3</v>
      </c>
      <c r="B684" s="141">
        <f>'Q.1 &amp; 4'!L689</f>
        <v>27.9</v>
      </c>
      <c r="C684" s="221"/>
      <c r="D684" s="23"/>
      <c r="E684" s="24"/>
      <c r="F684" s="22">
        <f t="shared" si="111"/>
        <v>1.7925925925925883</v>
      </c>
      <c r="G684" s="22">
        <f t="shared" si="112"/>
        <v>-6.8064890695573652</v>
      </c>
      <c r="H684" s="22">
        <f t="shared" si="117"/>
        <v>-12.201261887650951</v>
      </c>
      <c r="I684" s="22">
        <f t="shared" si="118"/>
        <v>3.2133882030178174</v>
      </c>
      <c r="J684" s="24"/>
      <c r="K684" s="24"/>
      <c r="L684" s="235">
        <f t="shared" si="113"/>
        <v>26.602304732075012</v>
      </c>
      <c r="M684" s="126"/>
      <c r="N684" s="126"/>
      <c r="O684" s="126"/>
      <c r="P684" s="10">
        <f t="shared" si="114"/>
        <v>1.2976952679249862</v>
      </c>
      <c r="Q684" s="10">
        <f t="shared" si="119"/>
        <v>1.6840130083949019</v>
      </c>
      <c r="W684" s="240">
        <f t="shared" si="120"/>
        <v>1.2976952679249862</v>
      </c>
      <c r="X684" s="240">
        <f t="shared" si="121"/>
        <v>4.6512375194443956E-2</v>
      </c>
      <c r="Y684"/>
      <c r="Z684" s="13">
        <f t="shared" si="115"/>
        <v>65.677803775894262</v>
      </c>
      <c r="AA684" s="2"/>
      <c r="AB684" s="68"/>
      <c r="AC684" s="15">
        <f t="shared" si="116"/>
        <v>46.328293454003884</v>
      </c>
    </row>
    <row r="685" spans="1:29">
      <c r="A685" s="84">
        <f>'Q.1 &amp; 4'!K690</f>
        <v>3.7</v>
      </c>
      <c r="B685" s="141">
        <f>'Q.1 &amp; 4'!L690</f>
        <v>27</v>
      </c>
      <c r="C685" s="221"/>
      <c r="D685" s="23"/>
      <c r="E685" s="24"/>
      <c r="F685" s="22">
        <f t="shared" si="111"/>
        <v>0.19259259259258865</v>
      </c>
      <c r="G685" s="22">
        <f t="shared" si="112"/>
        <v>-7.7064890695573638</v>
      </c>
      <c r="H685" s="22">
        <f t="shared" si="117"/>
        <v>-1.4842127096924989</v>
      </c>
      <c r="I685" s="22">
        <f t="shared" si="118"/>
        <v>3.7091906721534833E-2</v>
      </c>
      <c r="J685" s="24"/>
      <c r="K685" s="24"/>
      <c r="L685" s="235">
        <f t="shared" si="113"/>
        <v>33.835791578753486</v>
      </c>
      <c r="M685" s="126"/>
      <c r="N685" s="126"/>
      <c r="O685" s="126"/>
      <c r="P685" s="10">
        <f t="shared" si="114"/>
        <v>-6.8357915787534864</v>
      </c>
      <c r="Q685" s="10">
        <f t="shared" si="119"/>
        <v>46.728046508157085</v>
      </c>
      <c r="W685" s="240">
        <f t="shared" si="120"/>
        <v>6.8357915787534864</v>
      </c>
      <c r="X685" s="240">
        <f t="shared" si="121"/>
        <v>0.25317746587975876</v>
      </c>
      <c r="Y685"/>
      <c r="Z685" s="13">
        <f t="shared" si="115"/>
        <v>0.75811412049216809</v>
      </c>
      <c r="AA685" s="2"/>
      <c r="AB685" s="68"/>
      <c r="AC685" s="15">
        <f t="shared" si="116"/>
        <v>59.389973779207125</v>
      </c>
    </row>
    <row r="686" spans="1:29">
      <c r="A686" s="84">
        <f>'Q.1 &amp; 4'!K691</f>
        <v>2.9</v>
      </c>
      <c r="B686" s="141">
        <f>'Q.1 &amp; 4'!L691</f>
        <v>34.299999999999997</v>
      </c>
      <c r="C686" s="221"/>
      <c r="D686" s="23"/>
      <c r="E686" s="24"/>
      <c r="F686" s="22">
        <f t="shared" si="111"/>
        <v>-0.60740740740741161</v>
      </c>
      <c r="G686" s="22">
        <f t="shared" si="112"/>
        <v>-0.40648906955736663</v>
      </c>
      <c r="H686" s="22">
        <f t="shared" si="117"/>
        <v>0.24690447187929107</v>
      </c>
      <c r="I686" s="22">
        <f t="shared" si="118"/>
        <v>0.36894375857339329</v>
      </c>
      <c r="J686" s="24"/>
      <c r="K686" s="24"/>
      <c r="L686" s="235">
        <f t="shared" si="113"/>
        <v>37.452535002092731</v>
      </c>
      <c r="M686" s="126"/>
      <c r="N686" s="126"/>
      <c r="O686" s="126"/>
      <c r="P686" s="10">
        <f t="shared" si="114"/>
        <v>-3.1525350020927334</v>
      </c>
      <c r="Q686" s="10">
        <f t="shared" si="119"/>
        <v>9.9384769394198305</v>
      </c>
      <c r="W686" s="240">
        <f t="shared" si="120"/>
        <v>3.1525350020927334</v>
      </c>
      <c r="X686" s="240">
        <f t="shared" si="121"/>
        <v>9.1910641460429557E-2</v>
      </c>
      <c r="Y686"/>
      <c r="Z686" s="13">
        <f t="shared" si="115"/>
        <v>7.5407682635940319</v>
      </c>
      <c r="AA686" s="2"/>
      <c r="AB686" s="68"/>
      <c r="AC686" s="15">
        <f t="shared" si="116"/>
        <v>0.16523336366961364</v>
      </c>
    </row>
    <row r="687" spans="1:29">
      <c r="A687" s="84">
        <f>'Q.1 &amp; 4'!K692</f>
        <v>2.9</v>
      </c>
      <c r="B687" s="141">
        <f>'Q.1 &amp; 4'!L692</f>
        <v>35.5</v>
      </c>
      <c r="C687" s="221"/>
      <c r="D687" s="23"/>
      <c r="E687" s="24"/>
      <c r="F687" s="22">
        <f t="shared" si="111"/>
        <v>-0.60740740740741161</v>
      </c>
      <c r="G687" s="22">
        <f t="shared" si="112"/>
        <v>0.79351093044263621</v>
      </c>
      <c r="H687" s="22">
        <f t="shared" si="117"/>
        <v>-0.48198441700960459</v>
      </c>
      <c r="I687" s="22">
        <f t="shared" si="118"/>
        <v>0.36894375857339329</v>
      </c>
      <c r="J687" s="24"/>
      <c r="K687" s="24"/>
      <c r="L687" s="235">
        <f t="shared" si="113"/>
        <v>37.452535002092731</v>
      </c>
      <c r="M687" s="126"/>
      <c r="N687" s="126"/>
      <c r="O687" s="126"/>
      <c r="P687" s="10">
        <f t="shared" si="114"/>
        <v>-1.9525350020927306</v>
      </c>
      <c r="Q687" s="10">
        <f t="shared" si="119"/>
        <v>3.8123929343972596</v>
      </c>
      <c r="W687" s="240">
        <f t="shared" si="120"/>
        <v>1.9525350020927306</v>
      </c>
      <c r="X687" s="240">
        <f t="shared" si="121"/>
        <v>5.5000985974443112E-2</v>
      </c>
      <c r="Y687"/>
      <c r="Z687" s="13">
        <f t="shared" si="115"/>
        <v>7.5407682635940319</v>
      </c>
      <c r="AA687" s="2"/>
      <c r="AB687" s="68"/>
      <c r="AC687" s="15">
        <f t="shared" si="116"/>
        <v>0.62965959673193828</v>
      </c>
    </row>
    <row r="688" spans="1:29">
      <c r="A688" s="84">
        <f>'Q.1 &amp; 4'!K693</f>
        <v>3.7</v>
      </c>
      <c r="B688" s="141">
        <f>'Q.1 &amp; 4'!L693</f>
        <v>31.6</v>
      </c>
      <c r="C688" s="221"/>
      <c r="D688" s="23"/>
      <c r="E688" s="24"/>
      <c r="F688" s="22">
        <f t="shared" si="111"/>
        <v>0.19259259259258865</v>
      </c>
      <c r="G688" s="22">
        <f t="shared" si="112"/>
        <v>-3.1064890695573624</v>
      </c>
      <c r="H688" s="22">
        <f t="shared" si="117"/>
        <v>-0.59828678376659084</v>
      </c>
      <c r="I688" s="22">
        <f t="shared" si="118"/>
        <v>3.7091906721534833E-2</v>
      </c>
      <c r="J688" s="24"/>
      <c r="K688" s="24"/>
      <c r="L688" s="235">
        <f t="shared" si="113"/>
        <v>33.835791578753486</v>
      </c>
      <c r="M688" s="126"/>
      <c r="N688" s="126"/>
      <c r="O688" s="126"/>
      <c r="P688" s="10">
        <f t="shared" si="114"/>
        <v>-2.235791578753485</v>
      </c>
      <c r="Q688" s="10">
        <f t="shared" si="119"/>
        <v>4.9987639836250013</v>
      </c>
      <c r="W688" s="240">
        <f t="shared" si="120"/>
        <v>2.235791578753485</v>
      </c>
      <c r="X688" s="240">
        <f t="shared" si="121"/>
        <v>7.0752898061819142E-2</v>
      </c>
      <c r="Y688"/>
      <c r="Z688" s="13">
        <f t="shared" si="115"/>
        <v>0.75811412049216809</v>
      </c>
      <c r="AA688" s="2"/>
      <c r="AB688" s="68"/>
      <c r="AC688" s="15">
        <f t="shared" si="116"/>
        <v>9.6502743392793668</v>
      </c>
    </row>
    <row r="689" spans="1:29">
      <c r="A689" s="84">
        <f>'Q.1 &amp; 4'!K694</f>
        <v>5.3</v>
      </c>
      <c r="B689" s="141">
        <f>'Q.1 &amp; 4'!L694</f>
        <v>27.9</v>
      </c>
      <c r="C689" s="221"/>
      <c r="D689" s="23"/>
      <c r="E689" s="24"/>
      <c r="F689" s="22">
        <f t="shared" si="111"/>
        <v>1.7925925925925883</v>
      </c>
      <c r="G689" s="22">
        <f t="shared" si="112"/>
        <v>-6.8064890695573652</v>
      </c>
      <c r="H689" s="22">
        <f t="shared" si="117"/>
        <v>-12.201261887650951</v>
      </c>
      <c r="I689" s="22">
        <f t="shared" si="118"/>
        <v>3.2133882030178174</v>
      </c>
      <c r="J689" s="24"/>
      <c r="K689" s="24"/>
      <c r="L689" s="235">
        <f t="shared" si="113"/>
        <v>26.602304732075012</v>
      </c>
      <c r="M689" s="126"/>
      <c r="N689" s="126"/>
      <c r="O689" s="126"/>
      <c r="P689" s="10">
        <f t="shared" si="114"/>
        <v>1.2976952679249862</v>
      </c>
      <c r="Q689" s="10">
        <f t="shared" si="119"/>
        <v>1.6840130083949019</v>
      </c>
      <c r="W689" s="240">
        <f t="shared" si="120"/>
        <v>1.2976952679249862</v>
      </c>
      <c r="X689" s="240">
        <f t="shared" si="121"/>
        <v>4.6512375194443956E-2</v>
      </c>
      <c r="Y689"/>
      <c r="Z689" s="13">
        <f t="shared" si="115"/>
        <v>65.677803775894262</v>
      </c>
      <c r="AA689" s="2"/>
      <c r="AB689" s="68"/>
      <c r="AC689" s="15">
        <f t="shared" si="116"/>
        <v>46.328293454003884</v>
      </c>
    </row>
    <row r="690" spans="1:29">
      <c r="A690" s="84">
        <f>'Q.1 &amp; 4'!K695</f>
        <v>2.5</v>
      </c>
      <c r="B690" s="141">
        <f>'Q.1 &amp; 4'!L695</f>
        <v>30.168800000000001</v>
      </c>
      <c r="C690" s="221"/>
      <c r="D690" s="23"/>
      <c r="E690" s="24"/>
      <c r="F690" s="22">
        <f t="shared" si="111"/>
        <v>-1.0074074074074115</v>
      </c>
      <c r="G690" s="22">
        <f t="shared" si="112"/>
        <v>-4.5376890695573628</v>
      </c>
      <c r="H690" s="22">
        <f t="shared" si="117"/>
        <v>4.5713015811837323</v>
      </c>
      <c r="I690" s="22">
        <f t="shared" si="118"/>
        <v>1.0148696844993224</v>
      </c>
      <c r="J690" s="24"/>
      <c r="K690" s="24"/>
      <c r="L690" s="235">
        <f t="shared" si="113"/>
        <v>39.260906713762353</v>
      </c>
      <c r="M690" s="126"/>
      <c r="N690" s="126"/>
      <c r="O690" s="126"/>
      <c r="P690" s="10">
        <f t="shared" si="114"/>
        <v>-9.0921067137623517</v>
      </c>
      <c r="Q690" s="10">
        <f t="shared" si="119"/>
        <v>82.666404494442432</v>
      </c>
      <c r="W690" s="240">
        <f t="shared" si="120"/>
        <v>9.0921067137623517</v>
      </c>
      <c r="X690" s="240">
        <f t="shared" si="121"/>
        <v>0.30137448999503963</v>
      </c>
      <c r="Y690"/>
      <c r="Z690" s="13">
        <f t="shared" si="115"/>
        <v>20.742720077845721</v>
      </c>
      <c r="AA690" s="2"/>
      <c r="AB690" s="68"/>
      <c r="AC690" s="15">
        <f t="shared" si="116"/>
        <v>20.590622091980364</v>
      </c>
    </row>
    <row r="691" spans="1:29">
      <c r="A691" s="84">
        <f>'Q.1 &amp; 4'!K696</f>
        <v>2.5</v>
      </c>
      <c r="B691" s="141">
        <f>'Q.1 &amp; 4'!L696</f>
        <v>31.7</v>
      </c>
      <c r="C691" s="221"/>
      <c r="D691" s="23"/>
      <c r="E691" s="24"/>
      <c r="F691" s="22">
        <f t="shared" si="111"/>
        <v>-1.0074074074074115</v>
      </c>
      <c r="G691" s="22">
        <f t="shared" si="112"/>
        <v>-3.0064890695573645</v>
      </c>
      <c r="H691" s="22">
        <f t="shared" si="117"/>
        <v>3.0287593589615054</v>
      </c>
      <c r="I691" s="22">
        <f t="shared" si="118"/>
        <v>1.0148696844993224</v>
      </c>
      <c r="J691" s="24"/>
      <c r="K691" s="24"/>
      <c r="L691" s="235">
        <f t="shared" si="113"/>
        <v>39.260906713762353</v>
      </c>
      <c r="M691" s="126"/>
      <c r="N691" s="126"/>
      <c r="O691" s="126"/>
      <c r="P691" s="10">
        <f t="shared" si="114"/>
        <v>-7.5609067137623533</v>
      </c>
      <c r="Q691" s="10">
        <f t="shared" si="119"/>
        <v>57.16731033421663</v>
      </c>
      <c r="W691" s="240">
        <f t="shared" si="120"/>
        <v>7.5609067137623533</v>
      </c>
      <c r="X691" s="240">
        <f t="shared" si="121"/>
        <v>0.23851440737420673</v>
      </c>
      <c r="Y691"/>
      <c r="Z691" s="13">
        <f t="shared" si="115"/>
        <v>20.742720077845721</v>
      </c>
      <c r="AA691" s="2"/>
      <c r="AB691" s="68"/>
      <c r="AC691" s="15">
        <f t="shared" si="116"/>
        <v>9.0389765253679073</v>
      </c>
    </row>
    <row r="692" spans="1:29">
      <c r="A692" s="84">
        <f>'Q.1 &amp; 4'!K697</f>
        <v>4</v>
      </c>
      <c r="B692" s="141">
        <f>'Q.1 &amp; 4'!L697</f>
        <v>27.736599999999999</v>
      </c>
      <c r="C692" s="221"/>
      <c r="D692" s="23"/>
      <c r="E692" s="24"/>
      <c r="F692" s="22">
        <f t="shared" si="111"/>
        <v>0.49259259259258847</v>
      </c>
      <c r="G692" s="22">
        <f t="shared" si="112"/>
        <v>-6.9698890695573645</v>
      </c>
      <c r="H692" s="22">
        <f t="shared" si="117"/>
        <v>-3.4333157268560064</v>
      </c>
      <c r="I692" s="22">
        <f t="shared" si="118"/>
        <v>0.24264746227708786</v>
      </c>
      <c r="J692" s="24"/>
      <c r="K692" s="24"/>
      <c r="L692" s="235">
        <f t="shared" si="113"/>
        <v>32.479512795001277</v>
      </c>
      <c r="M692" s="126"/>
      <c r="N692" s="126"/>
      <c r="O692" s="126"/>
      <c r="P692" s="10">
        <f t="shared" si="114"/>
        <v>-4.7429127950012777</v>
      </c>
      <c r="Q692" s="10">
        <f t="shared" si="119"/>
        <v>22.495221780986832</v>
      </c>
      <c r="W692" s="240">
        <f t="shared" si="120"/>
        <v>4.7429127950012777</v>
      </c>
      <c r="X692" s="240">
        <f t="shared" si="121"/>
        <v>0.17099834857196908</v>
      </c>
      <c r="Y692"/>
      <c r="Z692" s="13">
        <f t="shared" si="115"/>
        <v>4.9594233274357071</v>
      </c>
      <c r="AA692" s="2"/>
      <c r="AB692" s="68"/>
      <c r="AC692" s="15">
        <f t="shared" si="116"/>
        <v>48.579353641935228</v>
      </c>
    </row>
    <row r="693" spans="1:29">
      <c r="A693" s="84">
        <f>'Q.1 &amp; 4'!K698</f>
        <v>4</v>
      </c>
      <c r="B693" s="141">
        <f>'Q.1 &amp; 4'!L698</f>
        <v>27.589400000000001</v>
      </c>
      <c r="C693" s="221"/>
      <c r="D693" s="23"/>
      <c r="E693" s="24"/>
      <c r="F693" s="22">
        <f t="shared" si="111"/>
        <v>0.49259259259258847</v>
      </c>
      <c r="G693" s="22">
        <f t="shared" si="112"/>
        <v>-7.1170890695573625</v>
      </c>
      <c r="H693" s="22">
        <f t="shared" si="117"/>
        <v>-3.5058253564856345</v>
      </c>
      <c r="I693" s="22">
        <f t="shared" si="118"/>
        <v>0.24264746227708786</v>
      </c>
      <c r="J693" s="24"/>
      <c r="K693" s="24"/>
      <c r="L693" s="235">
        <f t="shared" si="113"/>
        <v>32.479512795001277</v>
      </c>
      <c r="M693" s="126"/>
      <c r="N693" s="126"/>
      <c r="O693" s="126"/>
      <c r="P693" s="10">
        <f t="shared" si="114"/>
        <v>-4.8901127950012757</v>
      </c>
      <c r="Q693" s="10">
        <f t="shared" si="119"/>
        <v>23.913203147835191</v>
      </c>
      <c r="W693" s="240">
        <f t="shared" si="120"/>
        <v>4.8901127950012757</v>
      </c>
      <c r="X693" s="240">
        <f t="shared" si="121"/>
        <v>0.17724607258589442</v>
      </c>
      <c r="Y693"/>
      <c r="Z693" s="13">
        <f t="shared" si="115"/>
        <v>4.9594233274357071</v>
      </c>
      <c r="AA693" s="2"/>
      <c r="AB693" s="68"/>
      <c r="AC693" s="15">
        <f t="shared" si="116"/>
        <v>50.652956824012882</v>
      </c>
    </row>
    <row r="694" spans="1:29">
      <c r="A694" s="84">
        <f>'Q.1 &amp; 4'!K699</f>
        <v>2.5</v>
      </c>
      <c r="B694" s="141">
        <f>'Q.1 &amp; 4'!L699</f>
        <v>30.2</v>
      </c>
      <c r="C694" s="221"/>
      <c r="D694" s="23"/>
      <c r="E694" s="24"/>
      <c r="F694" s="22">
        <f t="shared" si="111"/>
        <v>-1.0074074074074115</v>
      </c>
      <c r="G694" s="22">
        <f t="shared" si="112"/>
        <v>-4.5064890695573645</v>
      </c>
      <c r="H694" s="22">
        <f t="shared" si="117"/>
        <v>4.5398704700726231</v>
      </c>
      <c r="I694" s="22">
        <f t="shared" si="118"/>
        <v>1.0148696844993224</v>
      </c>
      <c r="J694" s="24"/>
      <c r="K694" s="24"/>
      <c r="L694" s="235">
        <f t="shared" si="113"/>
        <v>39.260906713762353</v>
      </c>
      <c r="M694" s="126"/>
      <c r="N694" s="126"/>
      <c r="O694" s="126"/>
      <c r="P694" s="10">
        <f t="shared" si="114"/>
        <v>-9.0609067137623533</v>
      </c>
      <c r="Q694" s="10">
        <f t="shared" si="119"/>
        <v>82.100030475503686</v>
      </c>
      <c r="W694" s="240">
        <f t="shared" si="120"/>
        <v>9.0609067137623533</v>
      </c>
      <c r="X694" s="240">
        <f t="shared" si="121"/>
        <v>0.30003002363451503</v>
      </c>
      <c r="Y694"/>
      <c r="Z694" s="13">
        <f t="shared" si="115"/>
        <v>20.742720077845721</v>
      </c>
      <c r="AA694" s="2"/>
      <c r="AB694" s="68"/>
      <c r="AC694" s="15">
        <f t="shared" si="116"/>
        <v>20.308443734040001</v>
      </c>
    </row>
    <row r="695" spans="1:29">
      <c r="A695" s="84">
        <f>'Q.1 &amp; 4'!K700</f>
        <v>2.5</v>
      </c>
      <c r="B695" s="141">
        <f>'Q.1 &amp; 4'!L700</f>
        <v>31.8</v>
      </c>
      <c r="C695" s="221"/>
      <c r="D695" s="23"/>
      <c r="E695" s="24"/>
      <c r="F695" s="22">
        <f t="shared" si="111"/>
        <v>-1.0074074074074115</v>
      </c>
      <c r="G695" s="22">
        <f t="shared" si="112"/>
        <v>-2.9064890695573631</v>
      </c>
      <c r="H695" s="22">
        <f t="shared" si="117"/>
        <v>2.9280186182207628</v>
      </c>
      <c r="I695" s="22">
        <f t="shared" si="118"/>
        <v>1.0148696844993224</v>
      </c>
      <c r="J695" s="24"/>
      <c r="K695" s="24"/>
      <c r="L695" s="235">
        <f t="shared" si="113"/>
        <v>39.260906713762353</v>
      </c>
      <c r="M695" s="126"/>
      <c r="N695" s="126"/>
      <c r="O695" s="126"/>
      <c r="P695" s="10">
        <f t="shared" si="114"/>
        <v>-7.4609067137623519</v>
      </c>
      <c r="Q695" s="10">
        <f t="shared" si="119"/>
        <v>55.665128991464137</v>
      </c>
      <c r="W695" s="240">
        <f t="shared" si="120"/>
        <v>7.4609067137623519</v>
      </c>
      <c r="X695" s="240">
        <f t="shared" si="121"/>
        <v>0.23461970797994816</v>
      </c>
      <c r="Y695"/>
      <c r="Z695" s="13">
        <f t="shared" si="115"/>
        <v>20.742720077845721</v>
      </c>
      <c r="AA695" s="2"/>
      <c r="AB695" s="68"/>
      <c r="AC695" s="15">
        <f t="shared" si="116"/>
        <v>8.447678711456426</v>
      </c>
    </row>
    <row r="696" spans="1:29">
      <c r="A696" s="84">
        <f>'Q.1 &amp; 4'!K701</f>
        <v>4</v>
      </c>
      <c r="B696" s="141">
        <f>'Q.1 &amp; 4'!L701</f>
        <v>27.785699999999999</v>
      </c>
      <c r="C696" s="221"/>
      <c r="D696" s="23"/>
      <c r="E696" s="24"/>
      <c r="F696" s="22">
        <f t="shared" si="111"/>
        <v>0.49259259259258847</v>
      </c>
      <c r="G696" s="22">
        <f t="shared" si="112"/>
        <v>-6.9207890695573653</v>
      </c>
      <c r="H696" s="22">
        <f t="shared" si="117"/>
        <v>-3.4091294305597106</v>
      </c>
      <c r="I696" s="22">
        <f t="shared" si="118"/>
        <v>0.24264746227708786</v>
      </c>
      <c r="J696" s="24"/>
      <c r="K696" s="24"/>
      <c r="L696" s="235">
        <f t="shared" si="113"/>
        <v>32.479512795001277</v>
      </c>
      <c r="M696" s="126"/>
      <c r="N696" s="126"/>
      <c r="O696" s="126"/>
      <c r="P696" s="10">
        <f t="shared" si="114"/>
        <v>-4.6938127950012785</v>
      </c>
      <c r="Q696" s="10">
        <f t="shared" si="119"/>
        <v>22.031878554517714</v>
      </c>
      <c r="W696" s="240">
        <f t="shared" si="120"/>
        <v>4.6938127950012785</v>
      </c>
      <c r="X696" s="240">
        <f t="shared" si="121"/>
        <v>0.16892908204584656</v>
      </c>
      <c r="Y696"/>
      <c r="Z696" s="13">
        <f t="shared" si="115"/>
        <v>4.9594233274357071</v>
      </c>
      <c r="AA696" s="2"/>
      <c r="AB696" s="68"/>
      <c r="AC696" s="15">
        <f t="shared" si="116"/>
        <v>47.897321345304704</v>
      </c>
    </row>
    <row r="697" spans="1:29">
      <c r="A697" s="84">
        <f>'Q.1 &amp; 4'!K702</f>
        <v>2.7</v>
      </c>
      <c r="B697" s="141">
        <f>'Q.1 &amp; 4'!L702</f>
        <v>35.429099999999998</v>
      </c>
      <c r="C697" s="221"/>
      <c r="D697" s="23"/>
      <c r="E697" s="24"/>
      <c r="F697" s="22">
        <f t="shared" si="111"/>
        <v>-0.80740740740741135</v>
      </c>
      <c r="G697" s="22">
        <f t="shared" si="112"/>
        <v>0.72261093044263447</v>
      </c>
      <c r="H697" s="22">
        <f t="shared" si="117"/>
        <v>-0.58344141791294479</v>
      </c>
      <c r="I697" s="22">
        <f t="shared" si="118"/>
        <v>0.65190672153635754</v>
      </c>
      <c r="J697" s="24"/>
      <c r="K697" s="24"/>
      <c r="L697" s="235">
        <f t="shared" si="113"/>
        <v>38.356720857927542</v>
      </c>
      <c r="M697" s="126"/>
      <c r="N697" s="126"/>
      <c r="O697" s="126"/>
      <c r="P697" s="10">
        <f t="shared" si="114"/>
        <v>-2.9276208579275433</v>
      </c>
      <c r="Q697" s="10">
        <f t="shared" si="119"/>
        <v>8.5709638877724057</v>
      </c>
      <c r="W697" s="240">
        <f t="shared" si="120"/>
        <v>2.9276208579275433</v>
      </c>
      <c r="X697" s="240">
        <f t="shared" si="121"/>
        <v>8.263322686513469E-2</v>
      </c>
      <c r="Y697"/>
      <c r="Z697" s="13">
        <f t="shared" si="115"/>
        <v>13.324192108828147</v>
      </c>
      <c r="AA697" s="2"/>
      <c r="AB697" s="68"/>
      <c r="AC697" s="15">
        <f t="shared" si="116"/>
        <v>0.52216655679516988</v>
      </c>
    </row>
    <row r="698" spans="1:29">
      <c r="A698" s="84">
        <f>'Q.1 &amp; 4'!K703</f>
        <v>2.7</v>
      </c>
      <c r="B698" s="141">
        <f>'Q.1 &amp; 4'!L703</f>
        <v>36.146299999999997</v>
      </c>
      <c r="C698" s="221"/>
      <c r="D698" s="23"/>
      <c r="E698" s="24"/>
      <c r="F698" s="22">
        <f t="shared" si="111"/>
        <v>-0.80740740740741135</v>
      </c>
      <c r="G698" s="22">
        <f t="shared" si="112"/>
        <v>1.4398109304426328</v>
      </c>
      <c r="H698" s="22">
        <f t="shared" si="117"/>
        <v>-1.1625140105055387</v>
      </c>
      <c r="I698" s="22">
        <f t="shared" si="118"/>
        <v>0.65190672153635754</v>
      </c>
      <c r="J698" s="24"/>
      <c r="K698" s="24"/>
      <c r="L698" s="235">
        <f t="shared" si="113"/>
        <v>38.356720857927542</v>
      </c>
      <c r="M698" s="126"/>
      <c r="N698" s="126"/>
      <c r="O698" s="126"/>
      <c r="P698" s="10">
        <f t="shared" si="114"/>
        <v>-2.2104208579275451</v>
      </c>
      <c r="Q698" s="10">
        <f t="shared" si="119"/>
        <v>4.8859603691611442</v>
      </c>
      <c r="W698" s="240">
        <f t="shared" si="120"/>
        <v>2.2104208579275451</v>
      </c>
      <c r="X698" s="240">
        <f t="shared" si="121"/>
        <v>6.1152064192671045E-2</v>
      </c>
      <c r="Y698"/>
      <c r="Z698" s="13">
        <f t="shared" si="115"/>
        <v>13.324192108828147</v>
      </c>
      <c r="AA698" s="2"/>
      <c r="AB698" s="68"/>
      <c r="AC698" s="15">
        <f t="shared" si="116"/>
        <v>2.0730555154220798</v>
      </c>
    </row>
    <row r="699" spans="1:29">
      <c r="A699" s="84">
        <f>'Q.1 &amp; 4'!K704</f>
        <v>4</v>
      </c>
      <c r="B699" s="141">
        <f>'Q.1 &amp; 4'!L704</f>
        <v>29.2</v>
      </c>
      <c r="C699" s="221"/>
      <c r="D699" s="23"/>
      <c r="E699" s="24"/>
      <c r="F699" s="22">
        <f t="shared" si="111"/>
        <v>0.49259259259258847</v>
      </c>
      <c r="G699" s="22">
        <f t="shared" si="112"/>
        <v>-5.5064890695573645</v>
      </c>
      <c r="H699" s="22">
        <f t="shared" si="117"/>
        <v>-2.7124557268560126</v>
      </c>
      <c r="I699" s="22">
        <f t="shared" si="118"/>
        <v>0.24264746227708786</v>
      </c>
      <c r="J699" s="24"/>
      <c r="K699" s="24"/>
      <c r="L699" s="235">
        <f t="shared" si="113"/>
        <v>32.479512795001277</v>
      </c>
      <c r="M699" s="126"/>
      <c r="N699" s="126"/>
      <c r="O699" s="126"/>
      <c r="P699" s="10">
        <f t="shared" si="114"/>
        <v>-3.2795127950012777</v>
      </c>
      <c r="Q699" s="10">
        <f t="shared" si="119"/>
        <v>10.755204172577093</v>
      </c>
      <c r="W699" s="240">
        <f t="shared" si="120"/>
        <v>3.2795127950012777</v>
      </c>
      <c r="X699" s="240">
        <f t="shared" si="121"/>
        <v>0.1123120820205917</v>
      </c>
      <c r="Y699"/>
      <c r="Z699" s="13">
        <f t="shared" si="115"/>
        <v>4.9594233274357071</v>
      </c>
      <c r="AA699" s="2"/>
      <c r="AB699" s="68"/>
      <c r="AC699" s="15">
        <f t="shared" si="116"/>
        <v>30.32142187315473</v>
      </c>
    </row>
    <row r="700" spans="1:29">
      <c r="A700" s="84">
        <f>'Q.1 &amp; 4'!K705</f>
        <v>4</v>
      </c>
      <c r="B700" s="141">
        <f>'Q.1 &amp; 4'!L705</f>
        <v>25.3</v>
      </c>
      <c r="C700" s="221"/>
      <c r="D700" s="23"/>
      <c r="E700" s="24"/>
      <c r="F700" s="22">
        <f t="shared" si="111"/>
        <v>0.49259259259258847</v>
      </c>
      <c r="G700" s="22">
        <f t="shared" si="112"/>
        <v>-9.4064890695573631</v>
      </c>
      <c r="H700" s="22">
        <f t="shared" si="117"/>
        <v>-4.6335668379671064</v>
      </c>
      <c r="I700" s="22">
        <f t="shared" si="118"/>
        <v>0.24264746227708786</v>
      </c>
      <c r="J700" s="24"/>
      <c r="K700" s="24"/>
      <c r="L700" s="235">
        <f t="shared" si="113"/>
        <v>32.479512795001277</v>
      </c>
      <c r="M700" s="126"/>
      <c r="N700" s="126"/>
      <c r="O700" s="126"/>
      <c r="P700" s="10">
        <f t="shared" si="114"/>
        <v>-7.1795127950012763</v>
      </c>
      <c r="Q700" s="10">
        <f t="shared" si="119"/>
        <v>51.545403973587035</v>
      </c>
      <c r="W700" s="240">
        <f t="shared" si="120"/>
        <v>7.1795127950012763</v>
      </c>
      <c r="X700" s="240">
        <f t="shared" si="121"/>
        <v>0.28377520928858796</v>
      </c>
      <c r="Y700"/>
      <c r="Z700" s="13">
        <f t="shared" si="115"/>
        <v>4.9594233274357071</v>
      </c>
      <c r="AA700" s="2"/>
      <c r="AB700" s="68"/>
      <c r="AC700" s="15">
        <f t="shared" si="116"/>
        <v>88.482036615702143</v>
      </c>
    </row>
    <row r="701" spans="1:29">
      <c r="A701" s="84">
        <f>'Q.1 &amp; 4'!K706</f>
        <v>2.9</v>
      </c>
      <c r="B701" s="141">
        <f>'Q.1 &amp; 4'!L706</f>
        <v>32.4</v>
      </c>
      <c r="C701" s="221"/>
      <c r="D701" s="23"/>
      <c r="E701" s="24"/>
      <c r="F701" s="22">
        <f t="shared" si="111"/>
        <v>-0.60740740740741161</v>
      </c>
      <c r="G701" s="22">
        <f t="shared" si="112"/>
        <v>-2.3064890695573652</v>
      </c>
      <c r="H701" s="22">
        <f t="shared" si="117"/>
        <v>1.4009785459533723</v>
      </c>
      <c r="I701" s="22">
        <f t="shared" si="118"/>
        <v>0.36894375857339329</v>
      </c>
      <c r="J701" s="24"/>
      <c r="K701" s="24"/>
      <c r="L701" s="235">
        <f t="shared" si="113"/>
        <v>37.452535002092731</v>
      </c>
      <c r="M701" s="126"/>
      <c r="N701" s="126"/>
      <c r="O701" s="126"/>
      <c r="P701" s="10">
        <f t="shared" si="114"/>
        <v>-5.052535002092732</v>
      </c>
      <c r="Q701" s="10">
        <f t="shared" si="119"/>
        <v>25.528109947372204</v>
      </c>
      <c r="W701" s="240">
        <f t="shared" si="120"/>
        <v>5.052535002092732</v>
      </c>
      <c r="X701" s="240">
        <f t="shared" si="121"/>
        <v>0.15594243833619545</v>
      </c>
      <c r="Y701"/>
      <c r="Z701" s="13">
        <f t="shared" si="115"/>
        <v>7.5407682635940319</v>
      </c>
      <c r="AA701" s="2"/>
      <c r="AB701" s="68"/>
      <c r="AC701" s="15">
        <f t="shared" si="116"/>
        <v>5.3198918279876004</v>
      </c>
    </row>
    <row r="702" spans="1:29">
      <c r="A702" s="84">
        <f>'Q.1 &amp; 4'!K707</f>
        <v>2.9</v>
      </c>
      <c r="B702" s="141">
        <f>'Q.1 &amp; 4'!L707</f>
        <v>34.1</v>
      </c>
      <c r="C702" s="221"/>
      <c r="D702" s="23"/>
      <c r="E702" s="24"/>
      <c r="F702" s="22">
        <f t="shared" si="111"/>
        <v>-0.60740740740741161</v>
      </c>
      <c r="G702" s="22">
        <f t="shared" si="112"/>
        <v>-0.60648906955736237</v>
      </c>
      <c r="H702" s="22">
        <f t="shared" si="117"/>
        <v>0.36838595336077079</v>
      </c>
      <c r="I702" s="22">
        <f t="shared" si="118"/>
        <v>0.36894375857339329</v>
      </c>
      <c r="J702" s="24"/>
      <c r="K702" s="24"/>
      <c r="L702" s="235">
        <f t="shared" si="113"/>
        <v>37.452535002092731</v>
      </c>
      <c r="M702" s="126"/>
      <c r="N702" s="126"/>
      <c r="O702" s="126"/>
      <c r="P702" s="10">
        <f t="shared" si="114"/>
        <v>-3.3525350020927291</v>
      </c>
      <c r="Q702" s="10">
        <f t="shared" si="119"/>
        <v>11.239490940256895</v>
      </c>
      <c r="W702" s="240">
        <f t="shared" si="120"/>
        <v>3.3525350020927291</v>
      </c>
      <c r="X702" s="240">
        <f t="shared" si="121"/>
        <v>9.8314809445534571E-2</v>
      </c>
      <c r="Y702"/>
      <c r="Z702" s="13">
        <f t="shared" si="115"/>
        <v>7.5407682635940319</v>
      </c>
      <c r="AA702" s="2"/>
      <c r="AB702" s="68"/>
      <c r="AC702" s="15">
        <f t="shared" si="116"/>
        <v>0.36782899149255516</v>
      </c>
    </row>
    <row r="703" spans="1:29">
      <c r="A703" s="84">
        <f>'Q.1 &amp; 4'!K708</f>
        <v>3.7</v>
      </c>
      <c r="B703" s="141">
        <f>'Q.1 &amp; 4'!L708</f>
        <v>31.411200000000001</v>
      </c>
      <c r="C703" s="221"/>
      <c r="D703" s="23"/>
      <c r="E703" s="24"/>
      <c r="F703" s="22">
        <f t="shared" si="111"/>
        <v>0.19259259259258865</v>
      </c>
      <c r="G703" s="22">
        <f t="shared" si="112"/>
        <v>-3.2952890695573629</v>
      </c>
      <c r="H703" s="22">
        <f t="shared" si="117"/>
        <v>-0.63464826524807172</v>
      </c>
      <c r="I703" s="22">
        <f t="shared" si="118"/>
        <v>3.7091906721534833E-2</v>
      </c>
      <c r="J703" s="24"/>
      <c r="K703" s="24"/>
      <c r="L703" s="235">
        <f t="shared" si="113"/>
        <v>33.835791578753486</v>
      </c>
      <c r="M703" s="126"/>
      <c r="N703" s="126"/>
      <c r="O703" s="126"/>
      <c r="P703" s="10">
        <f t="shared" si="114"/>
        <v>-2.4245915787534855</v>
      </c>
      <c r="Q703" s="10">
        <f t="shared" si="119"/>
        <v>5.8786443237623196</v>
      </c>
      <c r="W703" s="240">
        <f t="shared" si="120"/>
        <v>2.4245915787534855</v>
      </c>
      <c r="X703" s="240">
        <f t="shared" si="121"/>
        <v>7.7188760020422187E-2</v>
      </c>
      <c r="Y703"/>
      <c r="Z703" s="13">
        <f t="shared" si="115"/>
        <v>0.75811412049216809</v>
      </c>
      <c r="AA703" s="2"/>
      <c r="AB703" s="68"/>
      <c r="AC703" s="15">
        <f t="shared" si="116"/>
        <v>10.858930051944231</v>
      </c>
    </row>
    <row r="704" spans="1:29">
      <c r="A704" s="84">
        <f>'Q.1 &amp; 4'!K709</f>
        <v>5.3</v>
      </c>
      <c r="B704" s="141">
        <f>'Q.1 &amp; 4'!L709</f>
        <v>26.6</v>
      </c>
      <c r="C704" s="221"/>
      <c r="D704" s="23"/>
      <c r="E704" s="24"/>
      <c r="F704" s="22">
        <f t="shared" si="111"/>
        <v>1.7925925925925883</v>
      </c>
      <c r="G704" s="22">
        <f t="shared" si="112"/>
        <v>-8.1064890695573624</v>
      </c>
      <c r="H704" s="22">
        <f t="shared" si="117"/>
        <v>-14.531632258021311</v>
      </c>
      <c r="I704" s="22">
        <f t="shared" si="118"/>
        <v>3.2133882030178174</v>
      </c>
      <c r="J704" s="24"/>
      <c r="K704" s="24"/>
      <c r="L704" s="235">
        <f t="shared" si="113"/>
        <v>26.602304732075012</v>
      </c>
      <c r="M704" s="126"/>
      <c r="N704" s="126"/>
      <c r="O704" s="126"/>
      <c r="P704" s="10">
        <f t="shared" si="114"/>
        <v>-2.3047320750109179E-3</v>
      </c>
      <c r="Q704" s="10">
        <f t="shared" si="119"/>
        <v>5.3117899375841316E-6</v>
      </c>
      <c r="W704" s="240">
        <f t="shared" si="120"/>
        <v>2.3047320750109179E-3</v>
      </c>
      <c r="X704" s="240">
        <f t="shared" si="121"/>
        <v>8.6644062970335251E-5</v>
      </c>
      <c r="Y704"/>
      <c r="Z704" s="13">
        <f t="shared" si="115"/>
        <v>65.677803775894262</v>
      </c>
      <c r="AA704" s="2"/>
      <c r="AB704" s="68"/>
      <c r="AC704" s="15">
        <f t="shared" si="116"/>
        <v>65.715165034852987</v>
      </c>
    </row>
    <row r="705" spans="1:29">
      <c r="A705" s="84">
        <f>'Q.1 &amp; 4'!K710</f>
        <v>3.7</v>
      </c>
      <c r="B705" s="141">
        <f>'Q.1 &amp; 4'!L710</f>
        <v>29.799900000000001</v>
      </c>
      <c r="C705" s="221"/>
      <c r="D705" s="23"/>
      <c r="E705" s="24"/>
      <c r="F705" s="22">
        <f t="shared" si="111"/>
        <v>0.19259259259258865</v>
      </c>
      <c r="G705" s="22">
        <f t="shared" si="112"/>
        <v>-4.9065890695573628</v>
      </c>
      <c r="H705" s="22">
        <f t="shared" si="117"/>
        <v>-0.94497270969250979</v>
      </c>
      <c r="I705" s="22">
        <f t="shared" si="118"/>
        <v>3.7091906721534833E-2</v>
      </c>
      <c r="J705" s="24"/>
      <c r="K705" s="24"/>
      <c r="L705" s="235">
        <f t="shared" si="113"/>
        <v>33.835791578753486</v>
      </c>
      <c r="M705" s="126"/>
      <c r="N705" s="126"/>
      <c r="O705" s="126"/>
      <c r="P705" s="10">
        <f t="shared" si="114"/>
        <v>-4.0358915787534855</v>
      </c>
      <c r="Q705" s="10">
        <f t="shared" si="119"/>
        <v>16.288420835453302</v>
      </c>
      <c r="W705" s="240">
        <f t="shared" si="120"/>
        <v>4.0358915787534855</v>
      </c>
      <c r="X705" s="240">
        <f t="shared" si="121"/>
        <v>0.13543305778722362</v>
      </c>
      <c r="Y705"/>
      <c r="Z705" s="13">
        <f t="shared" si="115"/>
        <v>0.75811412049216809</v>
      </c>
      <c r="AA705" s="2"/>
      <c r="AB705" s="68"/>
      <c r="AC705" s="15">
        <f t="shared" si="116"/>
        <v>24.074616297499787</v>
      </c>
    </row>
    <row r="706" spans="1:29">
      <c r="A706" s="84">
        <f>'Q.1 &amp; 4'!K711</f>
        <v>3.7</v>
      </c>
      <c r="B706" s="141">
        <f>'Q.1 &amp; 4'!L711</f>
        <v>29.799900000000001</v>
      </c>
      <c r="C706" s="221"/>
      <c r="D706" s="23"/>
      <c r="E706" s="24"/>
      <c r="F706" s="22">
        <f t="shared" si="111"/>
        <v>0.19259259259258865</v>
      </c>
      <c r="G706" s="22">
        <f t="shared" si="112"/>
        <v>-4.9065890695573628</v>
      </c>
      <c r="H706" s="22">
        <f t="shared" si="117"/>
        <v>-0.94497270969250979</v>
      </c>
      <c r="I706" s="22">
        <f t="shared" si="118"/>
        <v>3.7091906721534833E-2</v>
      </c>
      <c r="J706" s="24"/>
      <c r="K706" s="24"/>
      <c r="L706" s="235">
        <f t="shared" si="113"/>
        <v>33.835791578753486</v>
      </c>
      <c r="M706" s="126"/>
      <c r="N706" s="126"/>
      <c r="O706" s="126"/>
      <c r="P706" s="10">
        <f t="shared" si="114"/>
        <v>-4.0358915787534855</v>
      </c>
      <c r="Q706" s="10">
        <f t="shared" si="119"/>
        <v>16.288420835453302</v>
      </c>
      <c r="W706" s="240">
        <f t="shared" si="120"/>
        <v>4.0358915787534855</v>
      </c>
      <c r="X706" s="240">
        <f t="shared" si="121"/>
        <v>0.13543305778722362</v>
      </c>
      <c r="Y706"/>
      <c r="Z706" s="13">
        <f t="shared" si="115"/>
        <v>0.75811412049216809</v>
      </c>
      <c r="AA706" s="2"/>
      <c r="AB706" s="68"/>
      <c r="AC706" s="15">
        <f t="shared" si="116"/>
        <v>24.074616297499787</v>
      </c>
    </row>
    <row r="707" spans="1:29">
      <c r="A707" s="84">
        <f>'Q.1 &amp; 4'!K712</f>
        <v>5.3</v>
      </c>
      <c r="B707" s="141">
        <f>'Q.1 &amp; 4'!L712</f>
        <v>26.6</v>
      </c>
      <c r="C707" s="221"/>
      <c r="D707" s="23"/>
      <c r="E707" s="24"/>
      <c r="F707" s="22">
        <f t="shared" si="111"/>
        <v>1.7925925925925883</v>
      </c>
      <c r="G707" s="22">
        <f t="shared" si="112"/>
        <v>-8.1064890695573624</v>
      </c>
      <c r="H707" s="22">
        <f t="shared" si="117"/>
        <v>-14.531632258021311</v>
      </c>
      <c r="I707" s="22">
        <f t="shared" si="118"/>
        <v>3.2133882030178174</v>
      </c>
      <c r="J707" s="24"/>
      <c r="K707" s="24"/>
      <c r="L707" s="235">
        <f t="shared" si="113"/>
        <v>26.602304732075012</v>
      </c>
      <c r="M707" s="126"/>
      <c r="N707" s="126"/>
      <c r="O707" s="126"/>
      <c r="P707" s="10">
        <f t="shared" si="114"/>
        <v>-2.3047320750109179E-3</v>
      </c>
      <c r="Q707" s="10">
        <f t="shared" si="119"/>
        <v>5.3117899375841316E-6</v>
      </c>
      <c r="W707" s="240">
        <f t="shared" si="120"/>
        <v>2.3047320750109179E-3</v>
      </c>
      <c r="X707" s="240">
        <f t="shared" si="121"/>
        <v>8.6644062970335251E-5</v>
      </c>
      <c r="Y707"/>
      <c r="Z707" s="13">
        <f t="shared" si="115"/>
        <v>65.677803775894262</v>
      </c>
      <c r="AA707" s="2"/>
      <c r="AB707" s="68"/>
      <c r="AC707" s="15">
        <f t="shared" si="116"/>
        <v>65.715165034852987</v>
      </c>
    </row>
    <row r="708" spans="1:29">
      <c r="A708" s="84">
        <f>'Q.1 &amp; 4'!K713</f>
        <v>4</v>
      </c>
      <c r="B708" s="141">
        <f>'Q.1 &amp; 4'!L713</f>
        <v>26.2</v>
      </c>
      <c r="C708" s="221"/>
      <c r="D708" s="23"/>
      <c r="E708" s="24"/>
      <c r="F708" s="22">
        <f t="shared" si="111"/>
        <v>0.49259259259258847</v>
      </c>
      <c r="G708" s="22">
        <f t="shared" si="112"/>
        <v>-8.5064890695573645</v>
      </c>
      <c r="H708" s="22">
        <f t="shared" si="117"/>
        <v>-4.1902335046337775</v>
      </c>
      <c r="I708" s="22">
        <f t="shared" si="118"/>
        <v>0.24264746227708786</v>
      </c>
      <c r="J708" s="24"/>
      <c r="K708" s="24"/>
      <c r="L708" s="235">
        <f t="shared" si="113"/>
        <v>32.479512795001277</v>
      </c>
      <c r="M708" s="126"/>
      <c r="N708" s="126"/>
      <c r="O708" s="126"/>
      <c r="P708" s="10">
        <f t="shared" si="114"/>
        <v>-6.2795127950012777</v>
      </c>
      <c r="Q708" s="10">
        <f t="shared" si="119"/>
        <v>39.432280942584761</v>
      </c>
      <c r="W708" s="240">
        <f t="shared" si="120"/>
        <v>6.2795127950012777</v>
      </c>
      <c r="X708" s="240">
        <f t="shared" si="121"/>
        <v>0.23967606087791138</v>
      </c>
      <c r="Y708"/>
      <c r="Z708" s="13">
        <f t="shared" si="115"/>
        <v>4.9594233274357071</v>
      </c>
      <c r="AA708" s="2"/>
      <c r="AB708" s="68"/>
      <c r="AC708" s="15">
        <f t="shared" si="116"/>
        <v>72.360356290498913</v>
      </c>
    </row>
    <row r="709" spans="1:29">
      <c r="A709" s="84">
        <f>'Q.1 &amp; 4'!K714</f>
        <v>4</v>
      </c>
      <c r="B709" s="141">
        <f>'Q.1 &amp; 4'!L714</f>
        <v>24.6648</v>
      </c>
      <c r="C709" s="221"/>
      <c r="D709" s="23"/>
      <c r="E709" s="24"/>
      <c r="F709" s="22">
        <f t="shared" si="111"/>
        <v>0.49259259259258847</v>
      </c>
      <c r="G709" s="22">
        <f t="shared" si="112"/>
        <v>-10.041689069557364</v>
      </c>
      <c r="H709" s="22">
        <f t="shared" si="117"/>
        <v>-4.9464616527819194</v>
      </c>
      <c r="I709" s="22">
        <f t="shared" si="118"/>
        <v>0.24264746227708786</v>
      </c>
      <c r="J709" s="24"/>
      <c r="K709" s="24"/>
      <c r="L709" s="235">
        <f t="shared" si="113"/>
        <v>32.479512795001277</v>
      </c>
      <c r="M709" s="126"/>
      <c r="N709" s="126"/>
      <c r="O709" s="126"/>
      <c r="P709" s="10">
        <f t="shared" si="114"/>
        <v>-7.8147127950012774</v>
      </c>
      <c r="Q709" s="10">
        <f t="shared" si="119"/>
        <v>61.069736068356676</v>
      </c>
      <c r="W709" s="240">
        <f t="shared" si="120"/>
        <v>7.8147127950012774</v>
      </c>
      <c r="X709" s="240">
        <f t="shared" si="121"/>
        <v>0.31683665770658093</v>
      </c>
      <c r="Y709"/>
      <c r="Z709" s="13">
        <f t="shared" si="115"/>
        <v>4.9594233274357071</v>
      </c>
      <c r="AA709" s="2"/>
      <c r="AB709" s="68"/>
      <c r="AC709" s="15">
        <f t="shared" si="116"/>
        <v>100.83551936966784</v>
      </c>
    </row>
    <row r="710" spans="1:29">
      <c r="A710" s="84">
        <f>'Q.1 &amp; 4'!K715</f>
        <v>2.9</v>
      </c>
      <c r="B710" s="141">
        <f>'Q.1 &amp; 4'!L715</f>
        <v>32.4</v>
      </c>
      <c r="C710" s="221"/>
      <c r="D710" s="23"/>
      <c r="E710" s="24"/>
      <c r="F710" s="22">
        <f t="shared" ref="F710:F773" si="122">A710-$D$6</f>
        <v>-0.60740740740741161</v>
      </c>
      <c r="G710" s="22">
        <f t="shared" ref="G710:G773" si="123">B710-$E$6</f>
        <v>-2.3064890695573652</v>
      </c>
      <c r="H710" s="22">
        <f t="shared" si="117"/>
        <v>1.4009785459533723</v>
      </c>
      <c r="I710" s="22">
        <f t="shared" si="118"/>
        <v>0.36894375857339329</v>
      </c>
      <c r="J710" s="24"/>
      <c r="K710" s="24"/>
      <c r="L710" s="235">
        <f t="shared" ref="L710:L773" si="124">$K$6+$J$6*A710</f>
        <v>37.452535002092731</v>
      </c>
      <c r="M710" s="126"/>
      <c r="N710" s="126"/>
      <c r="O710" s="126"/>
      <c r="P710" s="10">
        <f t="shared" ref="P710:P773" si="125">B710-L710</f>
        <v>-5.052535002092732</v>
      </c>
      <c r="Q710" s="10">
        <f t="shared" si="119"/>
        <v>25.528109947372204</v>
      </c>
      <c r="W710" s="240">
        <f t="shared" si="120"/>
        <v>5.052535002092732</v>
      </c>
      <c r="X710" s="240">
        <f t="shared" si="121"/>
        <v>0.15594243833619545</v>
      </c>
      <c r="Y710"/>
      <c r="Z710" s="13">
        <f t="shared" ref="Z710:Z773" si="126">(L710-$E$6)^2</f>
        <v>7.5407682635940319</v>
      </c>
      <c r="AA710" s="2"/>
      <c r="AB710" s="68"/>
      <c r="AC710" s="15">
        <f t="shared" ref="AC710:AC773" si="127">(B710-$E$6)^2</f>
        <v>5.3198918279876004</v>
      </c>
    </row>
    <row r="711" spans="1:29">
      <c r="A711" s="84">
        <f>'Q.1 &amp; 4'!K716</f>
        <v>2.9</v>
      </c>
      <c r="B711" s="141">
        <f>'Q.1 &amp; 4'!L716</f>
        <v>34.1</v>
      </c>
      <c r="C711" s="221"/>
      <c r="D711" s="23"/>
      <c r="E711" s="24"/>
      <c r="F711" s="22">
        <f t="shared" si="122"/>
        <v>-0.60740740740741161</v>
      </c>
      <c r="G711" s="22">
        <f t="shared" si="123"/>
        <v>-0.60648906955736237</v>
      </c>
      <c r="H711" s="22">
        <f t="shared" ref="H711:H774" si="128">F711*G711</f>
        <v>0.36838595336077079</v>
      </c>
      <c r="I711" s="22">
        <f t="shared" ref="I711:I774" si="129">F711^2</f>
        <v>0.36894375857339329</v>
      </c>
      <c r="J711" s="24"/>
      <c r="K711" s="24"/>
      <c r="L711" s="235">
        <f t="shared" si="124"/>
        <v>37.452535002092731</v>
      </c>
      <c r="M711" s="126"/>
      <c r="N711" s="126"/>
      <c r="O711" s="126"/>
      <c r="P711" s="10">
        <f t="shared" si="125"/>
        <v>-3.3525350020927291</v>
      </c>
      <c r="Q711" s="10">
        <f t="shared" ref="Q711:Q774" si="130">P711^2</f>
        <v>11.239490940256895</v>
      </c>
      <c r="W711" s="240">
        <f t="shared" ref="W711:W774" si="131">ABS(P711)</f>
        <v>3.3525350020927291</v>
      </c>
      <c r="X711" s="240">
        <f t="shared" ref="X711:X774" si="132">W711/B711</f>
        <v>9.8314809445534571E-2</v>
      </c>
      <c r="Y711"/>
      <c r="Z711" s="13">
        <f t="shared" si="126"/>
        <v>7.5407682635940319</v>
      </c>
      <c r="AA711" s="2"/>
      <c r="AB711" s="68"/>
      <c r="AC711" s="15">
        <f t="shared" si="127"/>
        <v>0.36782899149255516</v>
      </c>
    </row>
    <row r="712" spans="1:29">
      <c r="A712" s="84">
        <f>'Q.1 &amp; 4'!K717</f>
        <v>3.7</v>
      </c>
      <c r="B712" s="141">
        <f>'Q.1 &amp; 4'!L717</f>
        <v>31.3858</v>
      </c>
      <c r="C712" s="221"/>
      <c r="D712" s="23"/>
      <c r="E712" s="24"/>
      <c r="F712" s="22">
        <f t="shared" si="122"/>
        <v>0.19259259259258865</v>
      </c>
      <c r="G712" s="22">
        <f t="shared" si="123"/>
        <v>-3.3206890695573641</v>
      </c>
      <c r="H712" s="22">
        <f t="shared" si="128"/>
        <v>-0.63954011709992376</v>
      </c>
      <c r="I712" s="22">
        <f t="shared" si="129"/>
        <v>3.7091906721534833E-2</v>
      </c>
      <c r="J712" s="24"/>
      <c r="K712" s="24"/>
      <c r="L712" s="235">
        <f t="shared" si="124"/>
        <v>33.835791578753486</v>
      </c>
      <c r="M712" s="126"/>
      <c r="N712" s="126"/>
      <c r="O712" s="126"/>
      <c r="P712" s="10">
        <f t="shared" si="125"/>
        <v>-2.4499915787534867</v>
      </c>
      <c r="Q712" s="10">
        <f t="shared" si="130"/>
        <v>6.0024587359630024</v>
      </c>
      <c r="W712" s="240">
        <f t="shared" si="131"/>
        <v>2.4499915787534867</v>
      </c>
      <c r="X712" s="240">
        <f t="shared" si="132"/>
        <v>7.8060510764533214E-2</v>
      </c>
      <c r="Y712"/>
      <c r="Z712" s="13">
        <f t="shared" si="126"/>
        <v>0.75811412049216809</v>
      </c>
      <c r="AA712" s="2"/>
      <c r="AB712" s="68"/>
      <c r="AC712" s="15">
        <f t="shared" si="127"/>
        <v>11.026975896677753</v>
      </c>
    </row>
    <row r="713" spans="1:29">
      <c r="A713" s="84">
        <f>'Q.1 &amp; 4'!K718</f>
        <v>5.3</v>
      </c>
      <c r="B713" s="141">
        <f>'Q.1 &amp; 4'!L718</f>
        <v>26.6</v>
      </c>
      <c r="C713" s="221"/>
      <c r="D713" s="23"/>
      <c r="E713" s="24"/>
      <c r="F713" s="22">
        <f t="shared" si="122"/>
        <v>1.7925925925925883</v>
      </c>
      <c r="G713" s="22">
        <f t="shared" si="123"/>
        <v>-8.1064890695573624</v>
      </c>
      <c r="H713" s="22">
        <f t="shared" si="128"/>
        <v>-14.531632258021311</v>
      </c>
      <c r="I713" s="22">
        <f t="shared" si="129"/>
        <v>3.2133882030178174</v>
      </c>
      <c r="J713" s="24"/>
      <c r="K713" s="24"/>
      <c r="L713" s="235">
        <f t="shared" si="124"/>
        <v>26.602304732075012</v>
      </c>
      <c r="M713" s="126"/>
      <c r="N713" s="126"/>
      <c r="O713" s="126"/>
      <c r="P713" s="10">
        <f t="shared" si="125"/>
        <v>-2.3047320750109179E-3</v>
      </c>
      <c r="Q713" s="10">
        <f t="shared" si="130"/>
        <v>5.3117899375841316E-6</v>
      </c>
      <c r="W713" s="240">
        <f t="shared" si="131"/>
        <v>2.3047320750109179E-3</v>
      </c>
      <c r="X713" s="240">
        <f t="shared" si="132"/>
        <v>8.6644062970335251E-5</v>
      </c>
      <c r="Y713"/>
      <c r="Z713" s="13">
        <f t="shared" si="126"/>
        <v>65.677803775894262</v>
      </c>
      <c r="AA713" s="2"/>
      <c r="AB713" s="68"/>
      <c r="AC713" s="15">
        <f t="shared" si="127"/>
        <v>65.715165034852987</v>
      </c>
    </row>
    <row r="714" spans="1:29">
      <c r="A714" s="84">
        <f>'Q.1 &amp; 4'!K719</f>
        <v>3.7</v>
      </c>
      <c r="B714" s="141">
        <f>'Q.1 &amp; 4'!L719</f>
        <v>29.799900000000001</v>
      </c>
      <c r="C714" s="221"/>
      <c r="D714" s="23"/>
      <c r="E714" s="24"/>
      <c r="F714" s="22">
        <f t="shared" si="122"/>
        <v>0.19259259259258865</v>
      </c>
      <c r="G714" s="22">
        <f t="shared" si="123"/>
        <v>-4.9065890695573628</v>
      </c>
      <c r="H714" s="22">
        <f t="shared" si="128"/>
        <v>-0.94497270969250979</v>
      </c>
      <c r="I714" s="22">
        <f t="shared" si="129"/>
        <v>3.7091906721534833E-2</v>
      </c>
      <c r="J714" s="24"/>
      <c r="K714" s="24"/>
      <c r="L714" s="235">
        <f t="shared" si="124"/>
        <v>33.835791578753486</v>
      </c>
      <c r="M714" s="126"/>
      <c r="N714" s="126"/>
      <c r="O714" s="126"/>
      <c r="P714" s="10">
        <f t="shared" si="125"/>
        <v>-4.0358915787534855</v>
      </c>
      <c r="Q714" s="10">
        <f t="shared" si="130"/>
        <v>16.288420835453302</v>
      </c>
      <c r="W714" s="240">
        <f t="shared" si="131"/>
        <v>4.0358915787534855</v>
      </c>
      <c r="X714" s="240">
        <f t="shared" si="132"/>
        <v>0.13543305778722362</v>
      </c>
      <c r="Y714"/>
      <c r="Z714" s="13">
        <f t="shared" si="126"/>
        <v>0.75811412049216809</v>
      </c>
      <c r="AA714" s="2"/>
      <c r="AB714" s="68"/>
      <c r="AC714" s="15">
        <f t="shared" si="127"/>
        <v>24.074616297499787</v>
      </c>
    </row>
    <row r="715" spans="1:29">
      <c r="A715" s="84">
        <f>'Q.1 &amp; 4'!K720</f>
        <v>3.7</v>
      </c>
      <c r="B715" s="141">
        <f>'Q.1 &amp; 4'!L720</f>
        <v>29.799900000000001</v>
      </c>
      <c r="C715" s="221"/>
      <c r="D715" s="23"/>
      <c r="E715" s="24"/>
      <c r="F715" s="22">
        <f t="shared" si="122"/>
        <v>0.19259259259258865</v>
      </c>
      <c r="G715" s="22">
        <f t="shared" si="123"/>
        <v>-4.9065890695573628</v>
      </c>
      <c r="H715" s="22">
        <f t="shared" si="128"/>
        <v>-0.94497270969250979</v>
      </c>
      <c r="I715" s="22">
        <f t="shared" si="129"/>
        <v>3.7091906721534833E-2</v>
      </c>
      <c r="J715" s="24"/>
      <c r="K715" s="24"/>
      <c r="L715" s="235">
        <f t="shared" si="124"/>
        <v>33.835791578753486</v>
      </c>
      <c r="M715" s="126"/>
      <c r="N715" s="126"/>
      <c r="O715" s="126"/>
      <c r="P715" s="10">
        <f t="shared" si="125"/>
        <v>-4.0358915787534855</v>
      </c>
      <c r="Q715" s="10">
        <f t="shared" si="130"/>
        <v>16.288420835453302</v>
      </c>
      <c r="W715" s="240">
        <f t="shared" si="131"/>
        <v>4.0358915787534855</v>
      </c>
      <c r="X715" s="240">
        <f t="shared" si="132"/>
        <v>0.13543305778722362</v>
      </c>
      <c r="Y715"/>
      <c r="Z715" s="13">
        <f t="shared" si="126"/>
        <v>0.75811412049216809</v>
      </c>
      <c r="AA715" s="2"/>
      <c r="AB715" s="68"/>
      <c r="AC715" s="15">
        <f t="shared" si="127"/>
        <v>24.074616297499787</v>
      </c>
    </row>
    <row r="716" spans="1:29">
      <c r="A716" s="84">
        <f>'Q.1 &amp; 4'!K721</f>
        <v>5.3</v>
      </c>
      <c r="B716" s="141">
        <f>'Q.1 &amp; 4'!L721</f>
        <v>26.6</v>
      </c>
      <c r="C716" s="221"/>
      <c r="D716" s="23"/>
      <c r="E716" s="24"/>
      <c r="F716" s="22">
        <f t="shared" si="122"/>
        <v>1.7925925925925883</v>
      </c>
      <c r="G716" s="22">
        <f t="shared" si="123"/>
        <v>-8.1064890695573624</v>
      </c>
      <c r="H716" s="22">
        <f t="shared" si="128"/>
        <v>-14.531632258021311</v>
      </c>
      <c r="I716" s="22">
        <f t="shared" si="129"/>
        <v>3.2133882030178174</v>
      </c>
      <c r="J716" s="24"/>
      <c r="K716" s="24"/>
      <c r="L716" s="235">
        <f t="shared" si="124"/>
        <v>26.602304732075012</v>
      </c>
      <c r="M716" s="126"/>
      <c r="N716" s="126"/>
      <c r="O716" s="126"/>
      <c r="P716" s="10">
        <f t="shared" si="125"/>
        <v>-2.3047320750109179E-3</v>
      </c>
      <c r="Q716" s="10">
        <f t="shared" si="130"/>
        <v>5.3117899375841316E-6</v>
      </c>
      <c r="W716" s="240">
        <f t="shared" si="131"/>
        <v>2.3047320750109179E-3</v>
      </c>
      <c r="X716" s="240">
        <f t="shared" si="132"/>
        <v>8.6644062970335251E-5</v>
      </c>
      <c r="Y716"/>
      <c r="Z716" s="13">
        <f t="shared" si="126"/>
        <v>65.677803775894262</v>
      </c>
      <c r="AA716" s="2"/>
      <c r="AB716" s="68"/>
      <c r="AC716" s="15">
        <f t="shared" si="127"/>
        <v>65.715165034852987</v>
      </c>
    </row>
    <row r="717" spans="1:29">
      <c r="A717" s="84">
        <f>'Q.1 &amp; 4'!K722</f>
        <v>4</v>
      </c>
      <c r="B717" s="141">
        <f>'Q.1 &amp; 4'!L722</f>
        <v>26.82</v>
      </c>
      <c r="C717" s="221"/>
      <c r="D717" s="23"/>
      <c r="E717" s="24"/>
      <c r="F717" s="22">
        <f t="shared" si="122"/>
        <v>0.49259259259258847</v>
      </c>
      <c r="G717" s="22">
        <f t="shared" si="123"/>
        <v>-7.8864890695573635</v>
      </c>
      <c r="H717" s="22">
        <f t="shared" si="128"/>
        <v>-3.8848260972263726</v>
      </c>
      <c r="I717" s="22">
        <f t="shared" si="129"/>
        <v>0.24264746227708786</v>
      </c>
      <c r="J717" s="24"/>
      <c r="K717" s="24"/>
      <c r="L717" s="235">
        <f t="shared" si="124"/>
        <v>32.479512795001277</v>
      </c>
      <c r="M717" s="126"/>
      <c r="N717" s="126"/>
      <c r="O717" s="126"/>
      <c r="P717" s="10">
        <f t="shared" si="125"/>
        <v>-5.6595127950012767</v>
      </c>
      <c r="Q717" s="10">
        <f t="shared" si="130"/>
        <v>32.030085076783166</v>
      </c>
      <c r="W717" s="240">
        <f t="shared" si="131"/>
        <v>5.6595127950012767</v>
      </c>
      <c r="X717" s="240">
        <f t="shared" si="132"/>
        <v>0.21101837416112143</v>
      </c>
      <c r="Y717"/>
      <c r="Z717" s="13">
        <f t="shared" si="126"/>
        <v>4.9594233274357071</v>
      </c>
      <c r="AA717" s="2"/>
      <c r="AB717" s="68"/>
      <c r="AC717" s="15">
        <f t="shared" si="127"/>
        <v>62.196709844247771</v>
      </c>
    </row>
    <row r="718" spans="1:29">
      <c r="A718" s="84">
        <f>'Q.1 &amp; 4'!K723</f>
        <v>4</v>
      </c>
      <c r="B718" s="141">
        <f>'Q.1 &amp; 4'!L723</f>
        <v>26.6538</v>
      </c>
      <c r="C718" s="221"/>
      <c r="D718" s="23"/>
      <c r="E718" s="24"/>
      <c r="F718" s="22">
        <f t="shared" si="122"/>
        <v>0.49259259259258847</v>
      </c>
      <c r="G718" s="22">
        <f t="shared" si="123"/>
        <v>-8.0526890695573634</v>
      </c>
      <c r="H718" s="22">
        <f t="shared" si="128"/>
        <v>-3.9666949861152605</v>
      </c>
      <c r="I718" s="22">
        <f t="shared" si="129"/>
        <v>0.24264746227708786</v>
      </c>
      <c r="J718" s="24"/>
      <c r="K718" s="24"/>
      <c r="L718" s="235">
        <f t="shared" si="124"/>
        <v>32.479512795001277</v>
      </c>
      <c r="M718" s="126"/>
      <c r="N718" s="126"/>
      <c r="O718" s="126"/>
      <c r="P718" s="10">
        <f t="shared" si="125"/>
        <v>-5.8257127950012766</v>
      </c>
      <c r="Q718" s="10">
        <f t="shared" si="130"/>
        <v>33.938929569841584</v>
      </c>
      <c r="W718" s="240">
        <f t="shared" si="131"/>
        <v>5.8257127950012766</v>
      </c>
      <c r="X718" s="240">
        <f t="shared" si="132"/>
        <v>0.21856968968782226</v>
      </c>
      <c r="Y718"/>
      <c r="Z718" s="13">
        <f t="shared" si="126"/>
        <v>4.9594233274357071</v>
      </c>
      <c r="AA718" s="2"/>
      <c r="AB718" s="68"/>
      <c r="AC718" s="15">
        <f t="shared" si="127"/>
        <v>64.845801250968634</v>
      </c>
    </row>
    <row r="719" spans="1:29">
      <c r="A719" s="84">
        <f>'Q.1 &amp; 4'!K724</f>
        <v>4</v>
      </c>
      <c r="B719" s="141">
        <f>'Q.1 &amp; 4'!L724</f>
        <v>26.384599999999999</v>
      </c>
      <c r="C719" s="221"/>
      <c r="D719" s="23"/>
      <c r="E719" s="24"/>
      <c r="F719" s="22">
        <f t="shared" si="122"/>
        <v>0.49259259259258847</v>
      </c>
      <c r="G719" s="22">
        <f t="shared" si="123"/>
        <v>-8.3218890695573648</v>
      </c>
      <c r="H719" s="22">
        <f t="shared" si="128"/>
        <v>-4.0993009120411861</v>
      </c>
      <c r="I719" s="22">
        <f t="shared" si="129"/>
        <v>0.24264746227708786</v>
      </c>
      <c r="J719" s="24"/>
      <c r="K719" s="24"/>
      <c r="L719" s="235">
        <f t="shared" si="124"/>
        <v>32.479512795001277</v>
      </c>
      <c r="M719" s="126"/>
      <c r="N719" s="126"/>
      <c r="O719" s="126"/>
      <c r="P719" s="10">
        <f t="shared" si="125"/>
        <v>-6.094912795001278</v>
      </c>
      <c r="Q719" s="10">
        <f t="shared" si="130"/>
        <v>37.147961978670288</v>
      </c>
      <c r="W719" s="240">
        <f t="shared" si="131"/>
        <v>6.094912795001278</v>
      </c>
      <c r="X719" s="240">
        <f t="shared" si="132"/>
        <v>0.23100266045349477</v>
      </c>
      <c r="Y719"/>
      <c r="Z719" s="13">
        <f t="shared" si="126"/>
        <v>4.9594233274357071</v>
      </c>
      <c r="AA719" s="2"/>
      <c r="AB719" s="68"/>
      <c r="AC719" s="15">
        <f t="shared" si="127"/>
        <v>69.253837686018343</v>
      </c>
    </row>
    <row r="720" spans="1:29">
      <c r="A720" s="84">
        <f>'Q.1 &amp; 4'!K725</f>
        <v>2.7</v>
      </c>
      <c r="B720" s="141">
        <f>'Q.1 &amp; 4'!L725</f>
        <v>30.3</v>
      </c>
      <c r="C720" s="221"/>
      <c r="D720" s="23"/>
      <c r="E720" s="24"/>
      <c r="F720" s="22">
        <f t="shared" si="122"/>
        <v>-0.80740740740741135</v>
      </c>
      <c r="G720" s="22">
        <f t="shared" si="123"/>
        <v>-4.4064890695573631</v>
      </c>
      <c r="H720" s="22">
        <f t="shared" si="128"/>
        <v>3.5578319154204068</v>
      </c>
      <c r="I720" s="22">
        <f t="shared" si="129"/>
        <v>0.65190672153635754</v>
      </c>
      <c r="J720" s="24"/>
      <c r="K720" s="24"/>
      <c r="L720" s="235">
        <f t="shared" si="124"/>
        <v>38.356720857927542</v>
      </c>
      <c r="M720" s="126"/>
      <c r="N720" s="126"/>
      <c r="O720" s="126"/>
      <c r="P720" s="10">
        <f t="shared" si="125"/>
        <v>-8.0567208579275409</v>
      </c>
      <c r="Q720" s="10">
        <f t="shared" si="130"/>
        <v>64.910750982564693</v>
      </c>
      <c r="W720" s="240">
        <f t="shared" si="131"/>
        <v>8.0567208579275409</v>
      </c>
      <c r="X720" s="240">
        <f t="shared" si="132"/>
        <v>0.2658983781494238</v>
      </c>
      <c r="Y720"/>
      <c r="Z720" s="13">
        <f t="shared" si="126"/>
        <v>13.324192108828147</v>
      </c>
      <c r="AA720" s="2"/>
      <c r="AB720" s="68"/>
      <c r="AC720" s="15">
        <f t="shared" si="127"/>
        <v>19.417145920128515</v>
      </c>
    </row>
    <row r="721" spans="1:29">
      <c r="A721" s="84">
        <f>'Q.1 &amp; 4'!K726</f>
        <v>4</v>
      </c>
      <c r="B721" s="141">
        <f>'Q.1 &amp; 4'!L726</f>
        <v>28.3</v>
      </c>
      <c r="C721" s="221"/>
      <c r="D721" s="23"/>
      <c r="E721" s="24"/>
      <c r="F721" s="22">
        <f t="shared" si="122"/>
        <v>0.49259259259258847</v>
      </c>
      <c r="G721" s="22">
        <f t="shared" si="123"/>
        <v>-6.4064890695573631</v>
      </c>
      <c r="H721" s="22">
        <f t="shared" si="128"/>
        <v>-3.1557890601893415</v>
      </c>
      <c r="I721" s="22">
        <f t="shared" si="129"/>
        <v>0.24264746227708786</v>
      </c>
      <c r="J721" s="24"/>
      <c r="K721" s="24"/>
      <c r="L721" s="235">
        <f t="shared" si="124"/>
        <v>32.479512795001277</v>
      </c>
      <c r="M721" s="126"/>
      <c r="N721" s="126"/>
      <c r="O721" s="126"/>
      <c r="P721" s="10">
        <f t="shared" si="125"/>
        <v>-4.1795127950012763</v>
      </c>
      <c r="Q721" s="10">
        <f t="shared" si="130"/>
        <v>17.468327203579381</v>
      </c>
      <c r="W721" s="240">
        <f t="shared" si="131"/>
        <v>4.1795127950012763</v>
      </c>
      <c r="X721" s="240">
        <f t="shared" si="132"/>
        <v>0.1476859644876776</v>
      </c>
      <c r="Y721"/>
      <c r="Z721" s="13">
        <f t="shared" si="126"/>
        <v>4.9594233274357071</v>
      </c>
      <c r="AA721" s="2"/>
      <c r="AB721" s="68"/>
      <c r="AC721" s="15">
        <f t="shared" si="127"/>
        <v>41.043102198357971</v>
      </c>
    </row>
    <row r="722" spans="1:29">
      <c r="A722" s="84">
        <f>'Q.1 &amp; 4'!K727</f>
        <v>4</v>
      </c>
      <c r="B722" s="141">
        <f>'Q.1 &amp; 4'!L727</f>
        <v>24.4</v>
      </c>
      <c r="C722" s="221"/>
      <c r="D722" s="23"/>
      <c r="E722" s="24"/>
      <c r="F722" s="22">
        <f t="shared" si="122"/>
        <v>0.49259259259258847</v>
      </c>
      <c r="G722" s="22">
        <f t="shared" si="123"/>
        <v>-10.306489069557365</v>
      </c>
      <c r="H722" s="22">
        <f t="shared" si="128"/>
        <v>-5.0769001713004371</v>
      </c>
      <c r="I722" s="22">
        <f t="shared" si="129"/>
        <v>0.24264746227708786</v>
      </c>
      <c r="J722" s="24"/>
      <c r="K722" s="24"/>
      <c r="L722" s="235">
        <f t="shared" si="124"/>
        <v>32.479512795001277</v>
      </c>
      <c r="M722" s="126"/>
      <c r="N722" s="126"/>
      <c r="O722" s="126"/>
      <c r="P722" s="10">
        <f t="shared" si="125"/>
        <v>-8.0795127950012784</v>
      </c>
      <c r="Q722" s="10">
        <f t="shared" si="130"/>
        <v>65.278527004589364</v>
      </c>
      <c r="W722" s="240">
        <f t="shared" si="131"/>
        <v>8.0795127950012784</v>
      </c>
      <c r="X722" s="240">
        <f t="shared" si="132"/>
        <v>0.33112757356562617</v>
      </c>
      <c r="Y722"/>
      <c r="Z722" s="13">
        <f t="shared" si="126"/>
        <v>4.9594233274357071</v>
      </c>
      <c r="AA722" s="2"/>
      <c r="AB722" s="68"/>
      <c r="AC722" s="15">
        <f t="shared" si="127"/>
        <v>106.22371694090545</v>
      </c>
    </row>
    <row r="723" spans="1:29">
      <c r="A723" s="84">
        <f>'Q.1 &amp; 4'!K728</f>
        <v>4.3</v>
      </c>
      <c r="B723" s="141">
        <f>'Q.1 &amp; 4'!L728</f>
        <v>27.805499999999999</v>
      </c>
      <c r="C723" s="221"/>
      <c r="D723" s="23"/>
      <c r="E723" s="24"/>
      <c r="F723" s="22">
        <f t="shared" si="122"/>
        <v>0.7925925925925883</v>
      </c>
      <c r="G723" s="22">
        <f t="shared" si="123"/>
        <v>-6.9009890695573652</v>
      </c>
      <c r="H723" s="22">
        <f t="shared" si="128"/>
        <v>-5.4696728180935859</v>
      </c>
      <c r="I723" s="22">
        <f t="shared" si="129"/>
        <v>0.62820301783264065</v>
      </c>
      <c r="J723" s="24"/>
      <c r="K723" s="24"/>
      <c r="L723" s="235">
        <f t="shared" si="124"/>
        <v>31.123234011249064</v>
      </c>
      <c r="M723" s="126"/>
      <c r="N723" s="126"/>
      <c r="O723" s="126"/>
      <c r="P723" s="10">
        <f t="shared" si="125"/>
        <v>-3.3177340112490654</v>
      </c>
      <c r="Q723" s="10">
        <f t="shared" si="130"/>
        <v>11.007358969398814</v>
      </c>
      <c r="W723" s="240">
        <f t="shared" si="131"/>
        <v>3.3177340112490654</v>
      </c>
      <c r="X723" s="240">
        <f t="shared" si="132"/>
        <v>0.11931934369995381</v>
      </c>
      <c r="Y723"/>
      <c r="Z723" s="13">
        <f t="shared" si="126"/>
        <v>12.839716812892018</v>
      </c>
      <c r="AA723" s="2"/>
      <c r="AB723" s="68"/>
      <c r="AC723" s="15">
        <f t="shared" si="127"/>
        <v>47.623650138150232</v>
      </c>
    </row>
    <row r="724" spans="1:29">
      <c r="A724" s="84">
        <f>'Q.1 &amp; 4'!K729</f>
        <v>4.8</v>
      </c>
      <c r="B724" s="141">
        <f>'Q.1 &amp; 4'!L729</f>
        <v>26.228300000000001</v>
      </c>
      <c r="C724" s="221"/>
      <c r="D724" s="23"/>
      <c r="E724" s="24"/>
      <c r="F724" s="22">
        <f t="shared" si="122"/>
        <v>1.2925925925925883</v>
      </c>
      <c r="G724" s="22">
        <f t="shared" si="123"/>
        <v>-8.478189069557363</v>
      </c>
      <c r="H724" s="22">
        <f t="shared" si="128"/>
        <v>-10.958844389909295</v>
      </c>
      <c r="I724" s="22">
        <f t="shared" si="129"/>
        <v>1.6707956104252288</v>
      </c>
      <c r="J724" s="24"/>
      <c r="K724" s="24"/>
      <c r="L724" s="235">
        <f t="shared" si="124"/>
        <v>28.862769371662036</v>
      </c>
      <c r="M724" s="126"/>
      <c r="N724" s="126"/>
      <c r="O724" s="126"/>
      <c r="P724" s="10">
        <f t="shared" si="125"/>
        <v>-2.6344693716620355</v>
      </c>
      <c r="Q724" s="10">
        <f t="shared" si="130"/>
        <v>6.94042887022536</v>
      </c>
      <c r="W724" s="240">
        <f t="shared" si="131"/>
        <v>2.6344693716620355</v>
      </c>
      <c r="X724" s="240">
        <f t="shared" si="132"/>
        <v>0.10044377148583916</v>
      </c>
      <c r="Y724"/>
      <c r="Z724" s="13">
        <f t="shared" si="126"/>
        <v>34.149059907569857</v>
      </c>
      <c r="AA724" s="2"/>
      <c r="AB724" s="68"/>
      <c r="AC724" s="15">
        <f t="shared" si="127"/>
        <v>71.879689899161946</v>
      </c>
    </row>
    <row r="725" spans="1:29">
      <c r="A725" s="84">
        <f>'Q.1 &amp; 4'!K730</f>
        <v>5.3</v>
      </c>
      <c r="B725" s="141">
        <f>'Q.1 &amp; 4'!L730</f>
        <v>29.370799999999999</v>
      </c>
      <c r="C725" s="221"/>
      <c r="D725" s="23"/>
      <c r="E725" s="24"/>
      <c r="F725" s="22">
        <f t="shared" si="122"/>
        <v>1.7925925925925883</v>
      </c>
      <c r="G725" s="22">
        <f t="shared" si="123"/>
        <v>-5.3356890695573647</v>
      </c>
      <c r="H725" s="22">
        <f t="shared" si="128"/>
        <v>-9.5647167024657715</v>
      </c>
      <c r="I725" s="22">
        <f t="shared" si="129"/>
        <v>3.2133882030178174</v>
      </c>
      <c r="J725" s="24"/>
      <c r="K725" s="24"/>
      <c r="L725" s="235">
        <f t="shared" si="124"/>
        <v>26.602304732075012</v>
      </c>
      <c r="M725" s="126"/>
      <c r="N725" s="126"/>
      <c r="O725" s="126"/>
      <c r="P725" s="10">
        <f t="shared" si="125"/>
        <v>2.7684952679249868</v>
      </c>
      <c r="Q725" s="10">
        <f t="shared" si="130"/>
        <v>7.664566048523044</v>
      </c>
      <c r="W725" s="240">
        <f t="shared" si="131"/>
        <v>2.7684952679249868</v>
      </c>
      <c r="X725" s="240">
        <f t="shared" si="132"/>
        <v>9.4260124611007759E-2</v>
      </c>
      <c r="Y725"/>
      <c r="Z725" s="13">
        <f t="shared" si="126"/>
        <v>65.677803775894262</v>
      </c>
      <c r="AA725" s="2"/>
      <c r="AB725" s="68"/>
      <c r="AC725" s="15">
        <f t="shared" si="127"/>
        <v>28.469577846993936</v>
      </c>
    </row>
    <row r="726" spans="1:29">
      <c r="A726" s="84">
        <f>'Q.1 &amp; 4'!K731</f>
        <v>6.2</v>
      </c>
      <c r="B726" s="141">
        <f>'Q.1 &amp; 4'!L731</f>
        <v>26.1</v>
      </c>
      <c r="C726" s="221"/>
      <c r="D726" s="23"/>
      <c r="E726" s="24"/>
      <c r="F726" s="22">
        <f t="shared" si="122"/>
        <v>2.6925925925925887</v>
      </c>
      <c r="G726" s="22">
        <f t="shared" si="123"/>
        <v>-8.6064890695573624</v>
      </c>
      <c r="H726" s="22">
        <f t="shared" si="128"/>
        <v>-23.173768716919234</v>
      </c>
      <c r="I726" s="22">
        <f t="shared" si="129"/>
        <v>7.2500548696844778</v>
      </c>
      <c r="J726" s="24"/>
      <c r="K726" s="24"/>
      <c r="L726" s="235">
        <f t="shared" si="124"/>
        <v>22.533468380818363</v>
      </c>
      <c r="M726" s="126"/>
      <c r="N726" s="126"/>
      <c r="O726" s="126"/>
      <c r="P726" s="10">
        <f t="shared" si="125"/>
        <v>3.5665316191816387</v>
      </c>
      <c r="Q726" s="10">
        <f t="shared" si="130"/>
        <v>12.720147790622402</v>
      </c>
      <c r="W726" s="240">
        <f t="shared" si="131"/>
        <v>3.5665316191816387</v>
      </c>
      <c r="X726" s="240">
        <f t="shared" si="132"/>
        <v>0.1366487210414421</v>
      </c>
      <c r="Y726"/>
      <c r="Z726" s="13">
        <f t="shared" si="126"/>
        <v>148.18243268846774</v>
      </c>
      <c r="AA726" s="2"/>
      <c r="AB726" s="68"/>
      <c r="AC726" s="15">
        <f t="shared" si="127"/>
        <v>74.071654104410356</v>
      </c>
    </row>
    <row r="727" spans="1:29">
      <c r="A727" s="84">
        <f>'Q.1 &amp; 4'!K732</f>
        <v>6</v>
      </c>
      <c r="B727" s="141">
        <f>'Q.1 &amp; 4'!L732</f>
        <v>30.5</v>
      </c>
      <c r="C727" s="221"/>
      <c r="D727" s="23"/>
      <c r="E727" s="24"/>
      <c r="F727" s="22">
        <f t="shared" si="122"/>
        <v>2.4925925925925885</v>
      </c>
      <c r="G727" s="22">
        <f t="shared" si="123"/>
        <v>-4.2064890695573638</v>
      </c>
      <c r="H727" s="22">
        <f t="shared" si="128"/>
        <v>-10.485063495600375</v>
      </c>
      <c r="I727" s="22">
        <f t="shared" si="129"/>
        <v>6.2130178326474415</v>
      </c>
      <c r="J727" s="24"/>
      <c r="K727" s="24"/>
      <c r="L727" s="235">
        <f t="shared" si="124"/>
        <v>23.437654236653174</v>
      </c>
      <c r="M727" s="126"/>
      <c r="N727" s="126"/>
      <c r="O727" s="126"/>
      <c r="P727" s="10">
        <f t="shared" si="125"/>
        <v>7.0623457633468263</v>
      </c>
      <c r="Q727" s="10">
        <f t="shared" si="130"/>
        <v>49.876727681062867</v>
      </c>
      <c r="W727" s="240">
        <f t="shared" si="131"/>
        <v>7.0623457633468263</v>
      </c>
      <c r="X727" s="240">
        <f t="shared" si="132"/>
        <v>0.23155232010973201</v>
      </c>
      <c r="Y727"/>
      <c r="Z727" s="13">
        <f t="shared" si="126"/>
        <v>126.9866384912748</v>
      </c>
      <c r="AA727" s="2"/>
      <c r="AB727" s="68"/>
      <c r="AC727" s="15">
        <f t="shared" si="127"/>
        <v>17.694550292305575</v>
      </c>
    </row>
    <row r="728" spans="1:29">
      <c r="A728" s="84">
        <f>'Q.1 &amp; 4'!K733</f>
        <v>5.3</v>
      </c>
      <c r="B728" s="141">
        <f>'Q.1 &amp; 4'!L733</f>
        <v>30.4</v>
      </c>
      <c r="C728" s="221"/>
      <c r="D728" s="23"/>
      <c r="E728" s="24"/>
      <c r="F728" s="22">
        <f t="shared" si="122"/>
        <v>1.7925925925925883</v>
      </c>
      <c r="G728" s="22">
        <f t="shared" si="123"/>
        <v>-4.3064890695573652</v>
      </c>
      <c r="H728" s="22">
        <f t="shared" si="128"/>
        <v>-7.7197804061694804</v>
      </c>
      <c r="I728" s="22">
        <f t="shared" si="129"/>
        <v>3.2133882030178174</v>
      </c>
      <c r="J728" s="24"/>
      <c r="K728" s="24"/>
      <c r="L728" s="235">
        <f t="shared" si="124"/>
        <v>26.602304732075012</v>
      </c>
      <c r="M728" s="126"/>
      <c r="N728" s="126"/>
      <c r="O728" s="126"/>
      <c r="P728" s="10">
        <f t="shared" si="125"/>
        <v>3.7976952679249862</v>
      </c>
      <c r="Q728" s="10">
        <f t="shared" si="130"/>
        <v>14.422489348019832</v>
      </c>
      <c r="W728" s="240">
        <f t="shared" si="131"/>
        <v>3.7976952679249862</v>
      </c>
      <c r="X728" s="240">
        <f t="shared" si="132"/>
        <v>0.12492418644490087</v>
      </c>
      <c r="Y728"/>
      <c r="Z728" s="13">
        <f t="shared" si="126"/>
        <v>65.677803775894262</v>
      </c>
      <c r="AA728" s="2"/>
      <c r="AB728" s="68"/>
      <c r="AC728" s="15">
        <f t="shared" si="127"/>
        <v>18.545848106217061</v>
      </c>
    </row>
    <row r="729" spans="1:29">
      <c r="A729" s="84">
        <f>'Q.1 &amp; 4'!K734</f>
        <v>3.7</v>
      </c>
      <c r="B729" s="141">
        <f>'Q.1 &amp; 4'!L734</f>
        <v>28.1</v>
      </c>
      <c r="C729" s="221"/>
      <c r="D729" s="23"/>
      <c r="E729" s="24"/>
      <c r="F729" s="22">
        <f t="shared" si="122"/>
        <v>0.19259259259258865</v>
      </c>
      <c r="G729" s="22">
        <f t="shared" si="123"/>
        <v>-6.6064890695573624</v>
      </c>
      <c r="H729" s="22">
        <f t="shared" si="128"/>
        <v>-1.2723608578406511</v>
      </c>
      <c r="I729" s="22">
        <f t="shared" si="129"/>
        <v>3.7091906721534833E-2</v>
      </c>
      <c r="J729" s="24"/>
      <c r="K729" s="24"/>
      <c r="L729" s="235">
        <f t="shared" si="124"/>
        <v>33.835791578753486</v>
      </c>
      <c r="M729" s="126"/>
      <c r="N729" s="126"/>
      <c r="O729" s="126"/>
      <c r="P729" s="10">
        <f t="shared" si="125"/>
        <v>-5.735791578753485</v>
      </c>
      <c r="Q729" s="10">
        <f t="shared" si="130"/>
        <v>32.899305034899399</v>
      </c>
      <c r="W729" s="240">
        <f t="shared" si="131"/>
        <v>5.735791578753485</v>
      </c>
      <c r="X729" s="240">
        <f t="shared" si="132"/>
        <v>0.20412069675279304</v>
      </c>
      <c r="Y729"/>
      <c r="Z729" s="13">
        <f t="shared" si="126"/>
        <v>0.75811412049216809</v>
      </c>
      <c r="AA729" s="2"/>
      <c r="AB729" s="68"/>
      <c r="AC729" s="15">
        <f t="shared" si="127"/>
        <v>43.645697826180907</v>
      </c>
    </row>
    <row r="730" spans="1:29">
      <c r="A730" s="84">
        <f>'Q.1 &amp; 4'!K735</f>
        <v>4.7</v>
      </c>
      <c r="B730" s="141">
        <f>'Q.1 &amp; 4'!L735</f>
        <v>25.6</v>
      </c>
      <c r="C730" s="221"/>
      <c r="D730" s="23"/>
      <c r="E730" s="24"/>
      <c r="F730" s="22">
        <f t="shared" si="122"/>
        <v>1.1925925925925887</v>
      </c>
      <c r="G730" s="22">
        <f t="shared" si="123"/>
        <v>-9.1064890695573624</v>
      </c>
      <c r="H730" s="22">
        <f t="shared" si="128"/>
        <v>-10.860331408879485</v>
      </c>
      <c r="I730" s="22">
        <f t="shared" si="129"/>
        <v>1.422277091906712</v>
      </c>
      <c r="J730" s="24"/>
      <c r="K730" s="24"/>
      <c r="L730" s="235">
        <f t="shared" si="124"/>
        <v>29.314862299579438</v>
      </c>
      <c r="M730" s="126"/>
      <c r="N730" s="126"/>
      <c r="O730" s="126"/>
      <c r="P730" s="10">
        <f t="shared" si="125"/>
        <v>-3.7148622995794369</v>
      </c>
      <c r="Q730" s="10">
        <f t="shared" si="130"/>
        <v>13.800201904836623</v>
      </c>
      <c r="W730" s="240">
        <f t="shared" si="131"/>
        <v>3.7148622995794369</v>
      </c>
      <c r="X730" s="240">
        <f t="shared" si="132"/>
        <v>0.14511180857732175</v>
      </c>
      <c r="Y730"/>
      <c r="Z730" s="13">
        <f t="shared" si="126"/>
        <v>29.069639226742598</v>
      </c>
      <c r="AA730" s="2"/>
      <c r="AB730" s="68"/>
      <c r="AC730" s="15">
        <f t="shared" si="127"/>
        <v>82.928143173967712</v>
      </c>
    </row>
    <row r="731" spans="1:29">
      <c r="A731" s="84">
        <f>'Q.1 &amp; 4'!K736</f>
        <v>3.7</v>
      </c>
      <c r="B731" s="141">
        <f>'Q.1 &amp; 4'!L736</f>
        <v>27.8</v>
      </c>
      <c r="C731" s="221"/>
      <c r="D731" s="23"/>
      <c r="E731" s="24"/>
      <c r="F731" s="22">
        <f t="shared" si="122"/>
        <v>0.19259259259258865</v>
      </c>
      <c r="G731" s="22">
        <f t="shared" si="123"/>
        <v>-6.9064890695573631</v>
      </c>
      <c r="H731" s="22">
        <f t="shared" si="128"/>
        <v>-1.3301386356184279</v>
      </c>
      <c r="I731" s="22">
        <f t="shared" si="129"/>
        <v>3.7091906721534833E-2</v>
      </c>
      <c r="J731" s="24"/>
      <c r="K731" s="24"/>
      <c r="L731" s="235">
        <f t="shared" si="124"/>
        <v>33.835791578753486</v>
      </c>
      <c r="M731" s="126"/>
      <c r="N731" s="126"/>
      <c r="O731" s="126"/>
      <c r="P731" s="10">
        <f t="shared" si="125"/>
        <v>-6.0357915787534857</v>
      </c>
      <c r="Q731" s="10">
        <f t="shared" si="130"/>
        <v>36.430779982151492</v>
      </c>
      <c r="W731" s="240">
        <f t="shared" si="131"/>
        <v>6.0357915787534857</v>
      </c>
      <c r="X731" s="240">
        <f t="shared" si="132"/>
        <v>0.21711480499113259</v>
      </c>
      <c r="Y731"/>
      <c r="Z731" s="13">
        <f t="shared" si="126"/>
        <v>0.75811412049216809</v>
      </c>
      <c r="AA731" s="2"/>
      <c r="AB731" s="68"/>
      <c r="AC731" s="15">
        <f t="shared" si="127"/>
        <v>47.699591267915331</v>
      </c>
    </row>
    <row r="732" spans="1:29">
      <c r="A732" s="84">
        <f>'Q.1 &amp; 4'!K737</f>
        <v>4.7</v>
      </c>
      <c r="B732" s="141">
        <f>'Q.1 &amp; 4'!L737</f>
        <v>25.6</v>
      </c>
      <c r="C732" s="221"/>
      <c r="D732" s="23"/>
      <c r="E732" s="24"/>
      <c r="F732" s="22">
        <f t="shared" si="122"/>
        <v>1.1925925925925887</v>
      </c>
      <c r="G732" s="22">
        <f t="shared" si="123"/>
        <v>-9.1064890695573624</v>
      </c>
      <c r="H732" s="22">
        <f t="shared" si="128"/>
        <v>-10.860331408879485</v>
      </c>
      <c r="I732" s="22">
        <f t="shared" si="129"/>
        <v>1.422277091906712</v>
      </c>
      <c r="J732" s="24"/>
      <c r="K732" s="24"/>
      <c r="L732" s="235">
        <f t="shared" si="124"/>
        <v>29.314862299579438</v>
      </c>
      <c r="M732" s="126"/>
      <c r="N732" s="126"/>
      <c r="O732" s="126"/>
      <c r="P732" s="10">
        <f t="shared" si="125"/>
        <v>-3.7148622995794369</v>
      </c>
      <c r="Q732" s="10">
        <f t="shared" si="130"/>
        <v>13.800201904836623</v>
      </c>
      <c r="W732" s="240">
        <f t="shared" si="131"/>
        <v>3.7148622995794369</v>
      </c>
      <c r="X732" s="240">
        <f t="shared" si="132"/>
        <v>0.14511180857732175</v>
      </c>
      <c r="Y732"/>
      <c r="Z732" s="13">
        <f t="shared" si="126"/>
        <v>29.069639226742598</v>
      </c>
      <c r="AA732" s="2"/>
      <c r="AB732" s="68"/>
      <c r="AC732" s="15">
        <f t="shared" si="127"/>
        <v>82.928143173967712</v>
      </c>
    </row>
    <row r="733" spans="1:29">
      <c r="A733" s="84">
        <f>'Q.1 &amp; 4'!K738</f>
        <v>5.7</v>
      </c>
      <c r="B733" s="141">
        <f>'Q.1 &amp; 4'!L738</f>
        <v>27.1</v>
      </c>
      <c r="C733" s="221"/>
      <c r="D733" s="23"/>
      <c r="E733" s="24"/>
      <c r="F733" s="22">
        <f t="shared" si="122"/>
        <v>2.1925925925925887</v>
      </c>
      <c r="G733" s="22">
        <f t="shared" si="123"/>
        <v>-7.6064890695573624</v>
      </c>
      <c r="H733" s="22">
        <f t="shared" si="128"/>
        <v>-16.677931589547963</v>
      </c>
      <c r="I733" s="22">
        <f t="shared" si="129"/>
        <v>4.8074622770918891</v>
      </c>
      <c r="J733" s="24"/>
      <c r="K733" s="24"/>
      <c r="L733" s="235">
        <f t="shared" si="124"/>
        <v>24.793933020405387</v>
      </c>
      <c r="M733" s="126"/>
      <c r="N733" s="126"/>
      <c r="O733" s="126"/>
      <c r="P733" s="10">
        <f t="shared" si="125"/>
        <v>2.3060669795946147</v>
      </c>
      <c r="Q733" s="10">
        <f t="shared" si="130"/>
        <v>5.3179449143766293</v>
      </c>
      <c r="W733" s="240">
        <f t="shared" si="131"/>
        <v>2.3060669795946147</v>
      </c>
      <c r="X733" s="240">
        <f t="shared" si="132"/>
        <v>8.5094722494266223E-2</v>
      </c>
      <c r="Y733"/>
      <c r="Z733" s="13">
        <f t="shared" si="126"/>
        <v>98.258767427579457</v>
      </c>
      <c r="AA733" s="2"/>
      <c r="AB733" s="68"/>
      <c r="AC733" s="15">
        <f t="shared" si="127"/>
        <v>57.858675965295632</v>
      </c>
    </row>
    <row r="734" spans="1:29">
      <c r="A734" s="84">
        <f>'Q.1 &amp; 4'!K739</f>
        <v>4</v>
      </c>
      <c r="B734" s="141">
        <f>'Q.1 &amp; 4'!L739</f>
        <v>27.8</v>
      </c>
      <c r="C734" s="221"/>
      <c r="D734" s="23"/>
      <c r="E734" s="24"/>
      <c r="F734" s="22">
        <f t="shared" si="122"/>
        <v>0.49259259259258847</v>
      </c>
      <c r="G734" s="22">
        <f t="shared" si="123"/>
        <v>-6.9064890695573631</v>
      </c>
      <c r="H734" s="22">
        <f t="shared" si="128"/>
        <v>-3.4020853564856357</v>
      </c>
      <c r="I734" s="22">
        <f t="shared" si="129"/>
        <v>0.24264746227708786</v>
      </c>
      <c r="J734" s="24"/>
      <c r="K734" s="24"/>
      <c r="L734" s="235">
        <f t="shared" si="124"/>
        <v>32.479512795001277</v>
      </c>
      <c r="M734" s="126"/>
      <c r="N734" s="126"/>
      <c r="O734" s="126"/>
      <c r="P734" s="10">
        <f t="shared" si="125"/>
        <v>-4.6795127950012763</v>
      </c>
      <c r="Q734" s="10">
        <f t="shared" si="130"/>
        <v>21.897839998580658</v>
      </c>
      <c r="W734" s="240">
        <f t="shared" si="131"/>
        <v>4.6795127950012763</v>
      </c>
      <c r="X734" s="240">
        <f t="shared" si="132"/>
        <v>0.16832779838134088</v>
      </c>
      <c r="Y734"/>
      <c r="Z734" s="13">
        <f t="shared" si="126"/>
        <v>4.9594233274357071</v>
      </c>
      <c r="AA734" s="2"/>
      <c r="AB734" s="68"/>
      <c r="AC734" s="15">
        <f t="shared" si="127"/>
        <v>47.699591267915331</v>
      </c>
    </row>
    <row r="735" spans="1:29">
      <c r="A735" s="84">
        <f>'Q.1 &amp; 4'!K740</f>
        <v>4.5999999999999996</v>
      </c>
      <c r="B735" s="141">
        <f>'Q.1 &amp; 4'!L740</f>
        <v>29</v>
      </c>
      <c r="C735" s="221"/>
      <c r="D735" s="23"/>
      <c r="E735" s="24"/>
      <c r="F735" s="22">
        <f t="shared" si="122"/>
        <v>1.0925925925925881</v>
      </c>
      <c r="G735" s="22">
        <f t="shared" si="123"/>
        <v>-5.7064890695573638</v>
      </c>
      <c r="H735" s="22">
        <f t="shared" si="128"/>
        <v>-6.2348676871089461</v>
      </c>
      <c r="I735" s="22">
        <f t="shared" si="129"/>
        <v>1.1937585733881932</v>
      </c>
      <c r="J735" s="24"/>
      <c r="K735" s="24"/>
      <c r="L735" s="235">
        <f t="shared" si="124"/>
        <v>29.766955227496847</v>
      </c>
      <c r="M735" s="126"/>
      <c r="N735" s="126"/>
      <c r="O735" s="126"/>
      <c r="P735" s="10">
        <f t="shared" si="125"/>
        <v>-0.76695522749684741</v>
      </c>
      <c r="Q735" s="10">
        <f t="shared" si="130"/>
        <v>0.58822032098474097</v>
      </c>
      <c r="W735" s="240">
        <f t="shared" si="131"/>
        <v>0.76695522749684741</v>
      </c>
      <c r="X735" s="240">
        <f t="shared" si="132"/>
        <v>2.644673198264991E-2</v>
      </c>
      <c r="Y735"/>
      <c r="Z735" s="13">
        <f t="shared" si="126"/>
        <v>24.398994576861128</v>
      </c>
      <c r="AA735" s="2"/>
      <c r="AB735" s="68"/>
      <c r="AC735" s="15">
        <f t="shared" si="127"/>
        <v>32.56401750097767</v>
      </c>
    </row>
    <row r="736" spans="1:29">
      <c r="A736" s="84">
        <f>'Q.1 &amp; 4'!K741</f>
        <v>5.4</v>
      </c>
      <c r="B736" s="141">
        <f>'Q.1 &amp; 4'!L741</f>
        <v>27.0426</v>
      </c>
      <c r="C736" s="221"/>
      <c r="D736" s="23"/>
      <c r="E736" s="24"/>
      <c r="F736" s="22">
        <f t="shared" si="122"/>
        <v>1.8925925925925888</v>
      </c>
      <c r="G736" s="22">
        <f t="shared" si="123"/>
        <v>-7.6638890695573636</v>
      </c>
      <c r="H736" s="22">
        <f t="shared" si="128"/>
        <v>-14.504619683495575</v>
      </c>
      <c r="I736" s="22">
        <f t="shared" si="129"/>
        <v>3.5819067215363369</v>
      </c>
      <c r="J736" s="24"/>
      <c r="K736" s="24"/>
      <c r="L736" s="235">
        <f t="shared" si="124"/>
        <v>26.150211804157603</v>
      </c>
      <c r="M736" s="126"/>
      <c r="N736" s="126"/>
      <c r="O736" s="126"/>
      <c r="P736" s="10">
        <f t="shared" si="125"/>
        <v>0.89238819584239693</v>
      </c>
      <c r="Q736" s="10">
        <f t="shared" si="130"/>
        <v>0.79635669207884818</v>
      </c>
      <c r="W736" s="240">
        <f t="shared" si="131"/>
        <v>0.89238819584239693</v>
      </c>
      <c r="X736" s="240">
        <f t="shared" si="132"/>
        <v>3.2999349021262635E-2</v>
      </c>
      <c r="Y736"/>
      <c r="Z736" s="13">
        <f t="shared" si="126"/>
        <v>73.209880642396797</v>
      </c>
      <c r="AA736" s="2"/>
      <c r="AB736" s="68"/>
      <c r="AC736" s="15">
        <f t="shared" si="127"/>
        <v>58.735195670480834</v>
      </c>
    </row>
    <row r="737" spans="1:29">
      <c r="A737" s="84">
        <f>'Q.1 &amp; 4'!K742</f>
        <v>4.5999999999999996</v>
      </c>
      <c r="B737" s="141">
        <f>'Q.1 &amp; 4'!L742</f>
        <v>26.782900000000001</v>
      </c>
      <c r="C737" s="221"/>
      <c r="D737" s="23"/>
      <c r="E737" s="24"/>
      <c r="F737" s="22">
        <f t="shared" si="122"/>
        <v>1.0925925925925881</v>
      </c>
      <c r="G737" s="22">
        <f t="shared" si="123"/>
        <v>-7.9235890695573623</v>
      </c>
      <c r="H737" s="22">
        <f t="shared" si="128"/>
        <v>-8.6572547241459716</v>
      </c>
      <c r="I737" s="22">
        <f t="shared" si="129"/>
        <v>1.1937585733881932</v>
      </c>
      <c r="J737" s="24"/>
      <c r="K737" s="24"/>
      <c r="L737" s="235">
        <f t="shared" si="124"/>
        <v>29.766955227496847</v>
      </c>
      <c r="M737" s="126"/>
      <c r="N737" s="126"/>
      <c r="O737" s="126"/>
      <c r="P737" s="10">
        <f t="shared" si="125"/>
        <v>-2.9840552274968459</v>
      </c>
      <c r="Q737" s="10">
        <f t="shared" si="130"/>
        <v>8.9045856007512523</v>
      </c>
      <c r="W737" s="240">
        <f t="shared" si="131"/>
        <v>2.9840552274968459</v>
      </c>
      <c r="X737" s="240">
        <f t="shared" si="132"/>
        <v>0.11141643464661578</v>
      </c>
      <c r="Y737"/>
      <c r="Z737" s="13">
        <f t="shared" si="126"/>
        <v>24.398994576861128</v>
      </c>
      <c r="AA737" s="2"/>
      <c r="AB737" s="68"/>
      <c r="AC737" s="15">
        <f t="shared" si="127"/>
        <v>62.783263743208906</v>
      </c>
    </row>
    <row r="738" spans="1:29">
      <c r="A738" s="84">
        <f>'Q.1 &amp; 4'!K743</f>
        <v>4.5999999999999996</v>
      </c>
      <c r="B738" s="141">
        <f>'Q.1 &amp; 4'!L743</f>
        <v>28.4633</v>
      </c>
      <c r="C738" s="221"/>
      <c r="D738" s="23"/>
      <c r="E738" s="24"/>
      <c r="F738" s="22">
        <f t="shared" si="122"/>
        <v>1.0925925925925881</v>
      </c>
      <c r="G738" s="22">
        <f t="shared" si="123"/>
        <v>-6.2431890695573635</v>
      </c>
      <c r="H738" s="22">
        <f t="shared" si="128"/>
        <v>-6.8212621315533877</v>
      </c>
      <c r="I738" s="22">
        <f t="shared" si="129"/>
        <v>1.1937585733881932</v>
      </c>
      <c r="J738" s="24"/>
      <c r="K738" s="24"/>
      <c r="L738" s="235">
        <f t="shared" si="124"/>
        <v>29.766955227496847</v>
      </c>
      <c r="M738" s="126"/>
      <c r="N738" s="126"/>
      <c r="O738" s="126"/>
      <c r="P738" s="10">
        <f t="shared" si="125"/>
        <v>-1.3036552274968471</v>
      </c>
      <c r="Q738" s="10">
        <f t="shared" si="130"/>
        <v>1.6995169521798563</v>
      </c>
      <c r="W738" s="240">
        <f t="shared" si="131"/>
        <v>1.3036552274968471</v>
      </c>
      <c r="X738" s="240">
        <f t="shared" si="132"/>
        <v>4.5801267860608119E-2</v>
      </c>
      <c r="Y738"/>
      <c r="Z738" s="13">
        <f t="shared" si="126"/>
        <v>24.398994576861128</v>
      </c>
      <c r="AA738" s="2"/>
      <c r="AB738" s="68"/>
      <c r="AC738" s="15">
        <f t="shared" si="127"/>
        <v>38.97740975824054</v>
      </c>
    </row>
    <row r="739" spans="1:29">
      <c r="A739" s="84">
        <f>'Q.1 &amp; 4'!K744</f>
        <v>4.3</v>
      </c>
      <c r="B739" s="141">
        <f>'Q.1 &amp; 4'!L744</f>
        <v>27.8522</v>
      </c>
      <c r="C739" s="221"/>
      <c r="D739" s="23"/>
      <c r="E739" s="24"/>
      <c r="F739" s="22">
        <f t="shared" si="122"/>
        <v>0.7925925925925883</v>
      </c>
      <c r="G739" s="22">
        <f t="shared" si="123"/>
        <v>-6.8542890695573639</v>
      </c>
      <c r="H739" s="22">
        <f t="shared" si="128"/>
        <v>-5.4326587440195109</v>
      </c>
      <c r="I739" s="22">
        <f t="shared" si="129"/>
        <v>0.62820301783264065</v>
      </c>
      <c r="J739" s="24"/>
      <c r="K739" s="24"/>
      <c r="L739" s="235">
        <f t="shared" si="124"/>
        <v>31.123234011249064</v>
      </c>
      <c r="M739" s="126"/>
      <c r="N739" s="126"/>
      <c r="O739" s="126"/>
      <c r="P739" s="10">
        <f t="shared" si="125"/>
        <v>-3.2710340112490641</v>
      </c>
      <c r="Q739" s="10">
        <f t="shared" si="130"/>
        <v>10.699663502748143</v>
      </c>
      <c r="W739" s="240">
        <f t="shared" si="131"/>
        <v>3.2710340112490641</v>
      </c>
      <c r="X739" s="240">
        <f t="shared" si="132"/>
        <v>0.11744257226535297</v>
      </c>
      <c r="Y739"/>
      <c r="Z739" s="13">
        <f t="shared" si="126"/>
        <v>12.839716812892018</v>
      </c>
      <c r="AA739" s="2"/>
      <c r="AB739" s="68"/>
      <c r="AC739" s="15">
        <f t="shared" si="127"/>
        <v>46.981278649053557</v>
      </c>
    </row>
    <row r="740" spans="1:29">
      <c r="A740" s="84">
        <f>'Q.1 &amp; 4'!K745</f>
        <v>4.8</v>
      </c>
      <c r="B740" s="141">
        <f>'Q.1 &amp; 4'!L745</f>
        <v>26.212499999999999</v>
      </c>
      <c r="C740" s="221"/>
      <c r="D740" s="23"/>
      <c r="E740" s="24"/>
      <c r="F740" s="22">
        <f t="shared" si="122"/>
        <v>1.2925925925925883</v>
      </c>
      <c r="G740" s="22">
        <f t="shared" si="123"/>
        <v>-8.4939890695573652</v>
      </c>
      <c r="H740" s="22">
        <f t="shared" si="128"/>
        <v>-10.979267352872261</v>
      </c>
      <c r="I740" s="22">
        <f t="shared" si="129"/>
        <v>1.6707956104252288</v>
      </c>
      <c r="J740" s="24"/>
      <c r="K740" s="24"/>
      <c r="L740" s="235">
        <f t="shared" si="124"/>
        <v>28.862769371662036</v>
      </c>
      <c r="M740" s="126"/>
      <c r="N740" s="126"/>
      <c r="O740" s="126"/>
      <c r="P740" s="10">
        <f t="shared" si="125"/>
        <v>-2.6502693716620378</v>
      </c>
      <c r="Q740" s="10">
        <f t="shared" si="130"/>
        <v>7.0239277423698923</v>
      </c>
      <c r="W740" s="240">
        <f t="shared" si="131"/>
        <v>2.6502693716620378</v>
      </c>
      <c r="X740" s="240">
        <f t="shared" si="132"/>
        <v>0.101107081417722</v>
      </c>
      <c r="Y740"/>
      <c r="Z740" s="13">
        <f t="shared" si="126"/>
        <v>34.149059907569857</v>
      </c>
      <c r="AA740" s="2"/>
      <c r="AB740" s="68"/>
      <c r="AC740" s="15">
        <f t="shared" si="127"/>
        <v>72.147850313759989</v>
      </c>
    </row>
    <row r="741" spans="1:29">
      <c r="A741" s="84">
        <f>'Q.1 &amp; 4'!K746</f>
        <v>5.3</v>
      </c>
      <c r="B741" s="141">
        <f>'Q.1 &amp; 4'!L746</f>
        <v>29.3645</v>
      </c>
      <c r="C741" s="221"/>
      <c r="D741" s="23"/>
      <c r="E741" s="24"/>
      <c r="F741" s="22">
        <f t="shared" si="122"/>
        <v>1.7925925925925883</v>
      </c>
      <c r="G741" s="22">
        <f t="shared" si="123"/>
        <v>-5.3419890695573642</v>
      </c>
      <c r="H741" s="22">
        <f t="shared" si="128"/>
        <v>-9.5760100357991043</v>
      </c>
      <c r="I741" s="22">
        <f t="shared" si="129"/>
        <v>3.2133882030178174</v>
      </c>
      <c r="J741" s="24"/>
      <c r="K741" s="24"/>
      <c r="L741" s="235">
        <f t="shared" si="124"/>
        <v>26.602304732075012</v>
      </c>
      <c r="M741" s="126"/>
      <c r="N741" s="126"/>
      <c r="O741" s="126"/>
      <c r="P741" s="10">
        <f t="shared" si="125"/>
        <v>2.7621952679249873</v>
      </c>
      <c r="Q741" s="10">
        <f t="shared" si="130"/>
        <v>7.6297226981471917</v>
      </c>
      <c r="W741" s="240">
        <f t="shared" si="131"/>
        <v>2.7621952679249873</v>
      </c>
      <c r="X741" s="240">
        <f t="shared" si="132"/>
        <v>9.4065802854636976E-2</v>
      </c>
      <c r="Y741"/>
      <c r="Z741" s="13">
        <f t="shared" si="126"/>
        <v>65.677803775894262</v>
      </c>
      <c r="AA741" s="2"/>
      <c r="AB741" s="68"/>
      <c r="AC741" s="15">
        <f t="shared" si="127"/>
        <v>28.536847219270353</v>
      </c>
    </row>
    <row r="742" spans="1:29">
      <c r="A742" s="84">
        <f>'Q.1 &amp; 4'!K747</f>
        <v>6.2</v>
      </c>
      <c r="B742" s="141">
        <f>'Q.1 &amp; 4'!L747</f>
        <v>26.1</v>
      </c>
      <c r="C742" s="221"/>
      <c r="D742" s="23"/>
      <c r="E742" s="24"/>
      <c r="F742" s="22">
        <f t="shared" si="122"/>
        <v>2.6925925925925887</v>
      </c>
      <c r="G742" s="22">
        <f t="shared" si="123"/>
        <v>-8.6064890695573624</v>
      </c>
      <c r="H742" s="22">
        <f t="shared" si="128"/>
        <v>-23.173768716919234</v>
      </c>
      <c r="I742" s="22">
        <f t="shared" si="129"/>
        <v>7.2500548696844778</v>
      </c>
      <c r="J742" s="24"/>
      <c r="K742" s="24"/>
      <c r="L742" s="235">
        <f t="shared" si="124"/>
        <v>22.533468380818363</v>
      </c>
      <c r="M742" s="126"/>
      <c r="N742" s="126"/>
      <c r="O742" s="126"/>
      <c r="P742" s="10">
        <f t="shared" si="125"/>
        <v>3.5665316191816387</v>
      </c>
      <c r="Q742" s="10">
        <f t="shared" si="130"/>
        <v>12.720147790622402</v>
      </c>
      <c r="W742" s="240">
        <f t="shared" si="131"/>
        <v>3.5665316191816387</v>
      </c>
      <c r="X742" s="240">
        <f t="shared" si="132"/>
        <v>0.1366487210414421</v>
      </c>
      <c r="Y742"/>
      <c r="Z742" s="13">
        <f t="shared" si="126"/>
        <v>148.18243268846774</v>
      </c>
      <c r="AA742" s="2"/>
      <c r="AB742" s="68"/>
      <c r="AC742" s="15">
        <f t="shared" si="127"/>
        <v>74.071654104410356</v>
      </c>
    </row>
    <row r="743" spans="1:29">
      <c r="A743" s="84">
        <f>'Q.1 &amp; 4'!K748</f>
        <v>6</v>
      </c>
      <c r="B743" s="141">
        <f>'Q.1 &amp; 4'!L748</f>
        <v>30.5</v>
      </c>
      <c r="C743" s="221"/>
      <c r="D743" s="23"/>
      <c r="E743" s="24"/>
      <c r="F743" s="22">
        <f t="shared" si="122"/>
        <v>2.4925925925925885</v>
      </c>
      <c r="G743" s="22">
        <f t="shared" si="123"/>
        <v>-4.2064890695573638</v>
      </c>
      <c r="H743" s="22">
        <f t="shared" si="128"/>
        <v>-10.485063495600375</v>
      </c>
      <c r="I743" s="22">
        <f t="shared" si="129"/>
        <v>6.2130178326474415</v>
      </c>
      <c r="J743" s="24"/>
      <c r="K743" s="24"/>
      <c r="L743" s="235">
        <f t="shared" si="124"/>
        <v>23.437654236653174</v>
      </c>
      <c r="M743" s="126"/>
      <c r="N743" s="126"/>
      <c r="O743" s="126"/>
      <c r="P743" s="10">
        <f t="shared" si="125"/>
        <v>7.0623457633468263</v>
      </c>
      <c r="Q743" s="10">
        <f t="shared" si="130"/>
        <v>49.876727681062867</v>
      </c>
      <c r="W743" s="240">
        <f t="shared" si="131"/>
        <v>7.0623457633468263</v>
      </c>
      <c r="X743" s="240">
        <f t="shared" si="132"/>
        <v>0.23155232010973201</v>
      </c>
      <c r="Y743"/>
      <c r="Z743" s="13">
        <f t="shared" si="126"/>
        <v>126.9866384912748</v>
      </c>
      <c r="AA743" s="2"/>
      <c r="AB743" s="68"/>
      <c r="AC743" s="15">
        <f t="shared" si="127"/>
        <v>17.694550292305575</v>
      </c>
    </row>
    <row r="744" spans="1:29">
      <c r="A744" s="84">
        <f>'Q.1 &amp; 4'!K749</f>
        <v>5.3</v>
      </c>
      <c r="B744" s="141">
        <f>'Q.1 &amp; 4'!L749</f>
        <v>30.4</v>
      </c>
      <c r="C744" s="221"/>
      <c r="D744" s="23"/>
      <c r="E744" s="24"/>
      <c r="F744" s="22">
        <f t="shared" si="122"/>
        <v>1.7925925925925883</v>
      </c>
      <c r="G744" s="22">
        <f t="shared" si="123"/>
        <v>-4.3064890695573652</v>
      </c>
      <c r="H744" s="22">
        <f t="shared" si="128"/>
        <v>-7.7197804061694804</v>
      </c>
      <c r="I744" s="22">
        <f t="shared" si="129"/>
        <v>3.2133882030178174</v>
      </c>
      <c r="J744" s="24"/>
      <c r="K744" s="24"/>
      <c r="L744" s="235">
        <f t="shared" si="124"/>
        <v>26.602304732075012</v>
      </c>
      <c r="M744" s="126"/>
      <c r="N744" s="126"/>
      <c r="O744" s="126"/>
      <c r="P744" s="10">
        <f t="shared" si="125"/>
        <v>3.7976952679249862</v>
      </c>
      <c r="Q744" s="10">
        <f t="shared" si="130"/>
        <v>14.422489348019832</v>
      </c>
      <c r="W744" s="240">
        <f t="shared" si="131"/>
        <v>3.7976952679249862</v>
      </c>
      <c r="X744" s="240">
        <f t="shared" si="132"/>
        <v>0.12492418644490087</v>
      </c>
      <c r="Y744"/>
      <c r="Z744" s="13">
        <f t="shared" si="126"/>
        <v>65.677803775894262</v>
      </c>
      <c r="AA744" s="2"/>
      <c r="AB744" s="68"/>
      <c r="AC744" s="15">
        <f t="shared" si="127"/>
        <v>18.545848106217061</v>
      </c>
    </row>
    <row r="745" spans="1:29">
      <c r="A745" s="84">
        <f>'Q.1 &amp; 4'!K750</f>
        <v>5.6</v>
      </c>
      <c r="B745" s="141">
        <f>'Q.1 &amp; 4'!L750</f>
        <v>24.9815</v>
      </c>
      <c r="C745" s="221"/>
      <c r="D745" s="23"/>
      <c r="E745" s="24"/>
      <c r="F745" s="22">
        <f t="shared" si="122"/>
        <v>2.0925925925925881</v>
      </c>
      <c r="G745" s="22">
        <f t="shared" si="123"/>
        <v>-9.7249890695573633</v>
      </c>
      <c r="H745" s="22">
        <f t="shared" si="128"/>
        <v>-20.350440089999623</v>
      </c>
      <c r="I745" s="22">
        <f t="shared" si="129"/>
        <v>4.378943758573369</v>
      </c>
      <c r="J745" s="24"/>
      <c r="K745" s="24"/>
      <c r="L745" s="235">
        <f t="shared" si="124"/>
        <v>25.246025948322796</v>
      </c>
      <c r="M745" s="126"/>
      <c r="N745" s="126"/>
      <c r="O745" s="126"/>
      <c r="P745" s="10">
        <f t="shared" si="125"/>
        <v>-0.2645259483227953</v>
      </c>
      <c r="Q745" s="10">
        <f t="shared" si="130"/>
        <v>6.9973977336074175E-2</v>
      </c>
      <c r="W745" s="240">
        <f t="shared" si="131"/>
        <v>0.2645259483227953</v>
      </c>
      <c r="X745" s="240">
        <f t="shared" si="132"/>
        <v>1.0588873699449405E-2</v>
      </c>
      <c r="Y745"/>
      <c r="Z745" s="13">
        <f t="shared" si="126"/>
        <v>89.500362468239302</v>
      </c>
      <c r="AA745" s="2"/>
      <c r="AB745" s="68"/>
      <c r="AC745" s="15">
        <f t="shared" si="127"/>
        <v>94.575412403010191</v>
      </c>
    </row>
    <row r="746" spans="1:29">
      <c r="A746" s="84">
        <f>'Q.1 &amp; 4'!K751</f>
        <v>5.6</v>
      </c>
      <c r="B746" s="141">
        <f>'Q.1 &amp; 4'!L751</f>
        <v>25.008900000000001</v>
      </c>
      <c r="C746" s="221"/>
      <c r="D746" s="23"/>
      <c r="E746" s="24"/>
      <c r="F746" s="22">
        <f t="shared" si="122"/>
        <v>2.0925925925925881</v>
      </c>
      <c r="G746" s="22">
        <f t="shared" si="123"/>
        <v>-9.6975890695573632</v>
      </c>
      <c r="H746" s="22">
        <f t="shared" si="128"/>
        <v>-20.293103052962586</v>
      </c>
      <c r="I746" s="22">
        <f t="shared" si="129"/>
        <v>4.378943758573369</v>
      </c>
      <c r="J746" s="24"/>
      <c r="K746" s="24"/>
      <c r="L746" s="235">
        <f t="shared" si="124"/>
        <v>25.246025948322796</v>
      </c>
      <c r="M746" s="126"/>
      <c r="N746" s="126"/>
      <c r="O746" s="126"/>
      <c r="P746" s="10">
        <f t="shared" si="125"/>
        <v>-0.23712594832279521</v>
      </c>
      <c r="Q746" s="10">
        <f t="shared" si="130"/>
        <v>5.6228715367984947E-2</v>
      </c>
      <c r="W746" s="240">
        <f t="shared" si="131"/>
        <v>0.23712594832279521</v>
      </c>
      <c r="X746" s="240">
        <f t="shared" si="132"/>
        <v>9.4816624610756656E-3</v>
      </c>
      <c r="Y746"/>
      <c r="Z746" s="13">
        <f t="shared" si="126"/>
        <v>89.500362468239302</v>
      </c>
      <c r="AA746" s="2"/>
      <c r="AB746" s="68"/>
      <c r="AC746" s="15">
        <f t="shared" si="127"/>
        <v>94.043233761998451</v>
      </c>
    </row>
    <row r="747" spans="1:29">
      <c r="A747" s="84">
        <f>'Q.1 &amp; 4'!K752</f>
        <v>4</v>
      </c>
      <c r="B747" s="141">
        <f>'Q.1 &amp; 4'!L752</f>
        <v>25.7499</v>
      </c>
      <c r="C747" s="221"/>
      <c r="D747" s="23"/>
      <c r="E747" s="24"/>
      <c r="F747" s="22">
        <f t="shared" si="122"/>
        <v>0.49259259259258847</v>
      </c>
      <c r="G747" s="22">
        <f t="shared" si="123"/>
        <v>-8.9565890695573636</v>
      </c>
      <c r="H747" s="22">
        <f t="shared" si="128"/>
        <v>-4.4119494305597016</v>
      </c>
      <c r="I747" s="22">
        <f t="shared" si="129"/>
        <v>0.24264746227708786</v>
      </c>
      <c r="J747" s="24"/>
      <c r="K747" s="24"/>
      <c r="L747" s="235">
        <f t="shared" si="124"/>
        <v>32.479512795001277</v>
      </c>
      <c r="M747" s="126"/>
      <c r="N747" s="126"/>
      <c r="O747" s="126"/>
      <c r="P747" s="10">
        <f t="shared" si="125"/>
        <v>-6.7296127950012767</v>
      </c>
      <c r="Q747" s="10">
        <f t="shared" si="130"/>
        <v>45.287688370644894</v>
      </c>
      <c r="W747" s="240">
        <f t="shared" si="131"/>
        <v>6.7296127950012767</v>
      </c>
      <c r="X747" s="240">
        <f t="shared" si="132"/>
        <v>0.26134520114646181</v>
      </c>
      <c r="Y747"/>
      <c r="Z747" s="13">
        <f t="shared" si="126"/>
        <v>4.9594233274357071</v>
      </c>
      <c r="AA747" s="2"/>
      <c r="AB747" s="68"/>
      <c r="AC747" s="15">
        <f t="shared" si="127"/>
        <v>80.220487760914438</v>
      </c>
    </row>
    <row r="748" spans="1:29">
      <c r="A748" s="84">
        <f>'Q.1 &amp; 4'!K753</f>
        <v>4.5999999999999996</v>
      </c>
      <c r="B748" s="141">
        <f>'Q.1 &amp; 4'!L753</f>
        <v>28.0212</v>
      </c>
      <c r="C748" s="221"/>
      <c r="D748" s="23"/>
      <c r="E748" s="24"/>
      <c r="F748" s="22">
        <f t="shared" si="122"/>
        <v>1.0925925925925881</v>
      </c>
      <c r="G748" s="22">
        <f t="shared" si="123"/>
        <v>-6.6852890695573635</v>
      </c>
      <c r="H748" s="22">
        <f t="shared" si="128"/>
        <v>-7.3042973167385705</v>
      </c>
      <c r="I748" s="22">
        <f t="shared" si="129"/>
        <v>1.1937585733881932</v>
      </c>
      <c r="J748" s="24"/>
      <c r="K748" s="24"/>
      <c r="L748" s="235">
        <f t="shared" si="124"/>
        <v>29.766955227496847</v>
      </c>
      <c r="M748" s="126"/>
      <c r="N748" s="126"/>
      <c r="O748" s="126"/>
      <c r="P748" s="10">
        <f t="shared" si="125"/>
        <v>-1.7457552274968471</v>
      </c>
      <c r="Q748" s="10">
        <f t="shared" si="130"/>
        <v>3.0476613143325681</v>
      </c>
      <c r="W748" s="240">
        <f t="shared" si="131"/>
        <v>1.7457552274968471</v>
      </c>
      <c r="X748" s="240">
        <f t="shared" si="132"/>
        <v>6.2301230050706147E-2</v>
      </c>
      <c r="Y748"/>
      <c r="Z748" s="13">
        <f t="shared" si="126"/>
        <v>24.398994576861128</v>
      </c>
      <c r="AA748" s="2"/>
      <c r="AB748" s="68"/>
      <c r="AC748" s="15">
        <f t="shared" si="127"/>
        <v>44.693089943543157</v>
      </c>
    </row>
    <row r="749" spans="1:29">
      <c r="A749" s="84">
        <f>'Q.1 &amp; 4'!K754</f>
        <v>5.7</v>
      </c>
      <c r="B749" s="141">
        <f>'Q.1 &amp; 4'!L754</f>
        <v>25.555099999999999</v>
      </c>
      <c r="C749" s="221"/>
      <c r="D749" s="23"/>
      <c r="E749" s="24"/>
      <c r="F749" s="22">
        <f t="shared" si="122"/>
        <v>2.1925925925925887</v>
      </c>
      <c r="G749" s="22">
        <f t="shared" si="123"/>
        <v>-9.1513890695573643</v>
      </c>
      <c r="H749" s="22">
        <f t="shared" si="128"/>
        <v>-20.065267885844261</v>
      </c>
      <c r="I749" s="22">
        <f t="shared" si="129"/>
        <v>4.8074622770918891</v>
      </c>
      <c r="J749" s="24"/>
      <c r="K749" s="24"/>
      <c r="L749" s="235">
        <f t="shared" si="124"/>
        <v>24.793933020405387</v>
      </c>
      <c r="M749" s="126"/>
      <c r="N749" s="126"/>
      <c r="O749" s="126"/>
      <c r="P749" s="10">
        <f t="shared" si="125"/>
        <v>0.76116697959461277</v>
      </c>
      <c r="Q749" s="10">
        <f t="shared" si="130"/>
        <v>0.57937517082518564</v>
      </c>
      <c r="W749" s="240">
        <f t="shared" si="131"/>
        <v>0.76116697959461277</v>
      </c>
      <c r="X749" s="240">
        <f t="shared" si="132"/>
        <v>2.9785325809510148E-2</v>
      </c>
      <c r="Y749"/>
      <c r="Z749" s="13">
        <f t="shared" si="126"/>
        <v>98.258767427579457</v>
      </c>
      <c r="AA749" s="2"/>
      <c r="AB749" s="68"/>
      <c r="AC749" s="15">
        <f t="shared" si="127"/>
        <v>83.747921902414006</v>
      </c>
    </row>
    <row r="750" spans="1:29">
      <c r="A750" s="84">
        <f>'Q.1 &amp; 4'!K755</f>
        <v>4.3</v>
      </c>
      <c r="B750" s="141">
        <f>'Q.1 &amp; 4'!L755</f>
        <v>24.1937</v>
      </c>
      <c r="C750" s="221"/>
      <c r="D750" s="23"/>
      <c r="E750" s="24"/>
      <c r="F750" s="22">
        <f t="shared" si="122"/>
        <v>0.7925925925925883</v>
      </c>
      <c r="G750" s="22">
        <f t="shared" si="123"/>
        <v>-10.512789069557364</v>
      </c>
      <c r="H750" s="22">
        <f t="shared" si="128"/>
        <v>-8.3323587440194959</v>
      </c>
      <c r="I750" s="22">
        <f t="shared" si="129"/>
        <v>0.62820301783264065</v>
      </c>
      <c r="J750" s="24"/>
      <c r="K750" s="24"/>
      <c r="L750" s="235">
        <f t="shared" si="124"/>
        <v>31.123234011249064</v>
      </c>
      <c r="M750" s="126"/>
      <c r="N750" s="126"/>
      <c r="O750" s="126"/>
      <c r="P750" s="10">
        <f t="shared" si="125"/>
        <v>-6.9295340112490642</v>
      </c>
      <c r="Q750" s="10">
        <f t="shared" si="130"/>
        <v>48.018441613057547</v>
      </c>
      <c r="W750" s="240">
        <f t="shared" si="131"/>
        <v>6.9295340112490642</v>
      </c>
      <c r="X750" s="240">
        <f t="shared" si="132"/>
        <v>0.28641894423957742</v>
      </c>
      <c r="Y750"/>
      <c r="Z750" s="13">
        <f t="shared" si="126"/>
        <v>12.839716812892018</v>
      </c>
      <c r="AA750" s="2"/>
      <c r="AB750" s="68"/>
      <c r="AC750" s="15">
        <f t="shared" si="127"/>
        <v>110.51873402100479</v>
      </c>
    </row>
    <row r="751" spans="1:29">
      <c r="A751" s="84">
        <f>'Q.1 &amp; 4'!K756</f>
        <v>4.8</v>
      </c>
      <c r="B751" s="141">
        <f>'Q.1 &amp; 4'!L756</f>
        <v>24.1496</v>
      </c>
      <c r="C751" s="221"/>
      <c r="D751" s="23"/>
      <c r="E751" s="24"/>
      <c r="F751" s="22">
        <f t="shared" si="122"/>
        <v>1.2925925925925883</v>
      </c>
      <c r="G751" s="22">
        <f t="shared" si="123"/>
        <v>-10.556889069557364</v>
      </c>
      <c r="H751" s="22">
        <f t="shared" si="128"/>
        <v>-13.64575661213151</v>
      </c>
      <c r="I751" s="22">
        <f t="shared" si="129"/>
        <v>1.6707956104252288</v>
      </c>
      <c r="J751" s="24"/>
      <c r="K751" s="24"/>
      <c r="L751" s="235">
        <f t="shared" si="124"/>
        <v>28.862769371662036</v>
      </c>
      <c r="M751" s="126"/>
      <c r="N751" s="126"/>
      <c r="O751" s="126"/>
      <c r="P751" s="10">
        <f t="shared" si="125"/>
        <v>-4.7131693716620369</v>
      </c>
      <c r="Q751" s="10">
        <f t="shared" si="130"/>
        <v>22.213965525973119</v>
      </c>
      <c r="W751" s="240">
        <f t="shared" si="131"/>
        <v>4.7131693716620369</v>
      </c>
      <c r="X751" s="240">
        <f t="shared" si="132"/>
        <v>0.19516552537773035</v>
      </c>
      <c r="Y751"/>
      <c r="Z751" s="13">
        <f t="shared" si="126"/>
        <v>34.149059907569857</v>
      </c>
      <c r="AA751" s="2"/>
      <c r="AB751" s="68"/>
      <c r="AC751" s="15">
        <f t="shared" si="127"/>
        <v>111.44790682693976</v>
      </c>
    </row>
    <row r="752" spans="1:29">
      <c r="A752" s="84">
        <f>'Q.1 &amp; 4'!K757</f>
        <v>5.3</v>
      </c>
      <c r="B752" s="141">
        <f>'Q.1 &amp; 4'!L757</f>
        <v>29.020499999999998</v>
      </c>
      <c r="C752" s="221"/>
      <c r="D752" s="23"/>
      <c r="E752" s="24"/>
      <c r="F752" s="22">
        <f t="shared" si="122"/>
        <v>1.7925925925925883</v>
      </c>
      <c r="G752" s="22">
        <f t="shared" si="123"/>
        <v>-5.6859890695573654</v>
      </c>
      <c r="H752" s="22">
        <f t="shared" si="128"/>
        <v>-10.192661887650956</v>
      </c>
      <c r="I752" s="22">
        <f t="shared" si="129"/>
        <v>3.2133882030178174</v>
      </c>
      <c r="J752" s="24"/>
      <c r="K752" s="24"/>
      <c r="L752" s="235">
        <f t="shared" si="124"/>
        <v>26.602304732075012</v>
      </c>
      <c r="M752" s="126"/>
      <c r="N752" s="126"/>
      <c r="O752" s="126"/>
      <c r="P752" s="10">
        <f t="shared" si="125"/>
        <v>2.4181952679249861</v>
      </c>
      <c r="Q752" s="10">
        <f t="shared" si="130"/>
        <v>5.8476683538147949</v>
      </c>
      <c r="W752" s="240">
        <f t="shared" si="131"/>
        <v>2.4181952679249861</v>
      </c>
      <c r="X752" s="240">
        <f t="shared" si="132"/>
        <v>8.3327140053582341E-2</v>
      </c>
      <c r="Y752"/>
      <c r="Z752" s="13">
        <f t="shared" si="126"/>
        <v>65.677803775894262</v>
      </c>
      <c r="AA752" s="2"/>
      <c r="AB752" s="68"/>
      <c r="AC752" s="15">
        <f t="shared" si="127"/>
        <v>32.33047169912583</v>
      </c>
    </row>
    <row r="753" spans="1:29">
      <c r="A753" s="84">
        <f>'Q.1 &amp; 4'!K758</f>
        <v>6.2</v>
      </c>
      <c r="B753" s="141">
        <f>'Q.1 &amp; 4'!L758</f>
        <v>25.799900000000001</v>
      </c>
      <c r="C753" s="221"/>
      <c r="D753" s="23"/>
      <c r="E753" s="24"/>
      <c r="F753" s="22">
        <f t="shared" si="122"/>
        <v>2.6925925925925887</v>
      </c>
      <c r="G753" s="22">
        <f t="shared" si="123"/>
        <v>-8.9065890695573628</v>
      </c>
      <c r="H753" s="22">
        <f t="shared" si="128"/>
        <v>-23.981815753956273</v>
      </c>
      <c r="I753" s="22">
        <f t="shared" si="129"/>
        <v>7.2500548696844778</v>
      </c>
      <c r="J753" s="24"/>
      <c r="K753" s="24"/>
      <c r="L753" s="235">
        <f t="shared" si="124"/>
        <v>22.533468380818363</v>
      </c>
      <c r="M753" s="126"/>
      <c r="N753" s="126"/>
      <c r="O753" s="126"/>
      <c r="P753" s="10">
        <f t="shared" si="125"/>
        <v>3.2664316191816383</v>
      </c>
      <c r="Q753" s="10">
        <f t="shared" si="130"/>
        <v>10.669575522789579</v>
      </c>
      <c r="W753" s="240">
        <f t="shared" si="131"/>
        <v>3.2664316191816383</v>
      </c>
      <c r="X753" s="240">
        <f t="shared" si="132"/>
        <v>0.12660636743482098</v>
      </c>
      <c r="Y753"/>
      <c r="Z753" s="13">
        <f t="shared" si="126"/>
        <v>148.18243268846774</v>
      </c>
      <c r="AA753" s="2"/>
      <c r="AB753" s="68"/>
      <c r="AC753" s="15">
        <f t="shared" si="127"/>
        <v>79.32732885395869</v>
      </c>
    </row>
    <row r="754" spans="1:29">
      <c r="A754" s="84">
        <f>'Q.1 &amp; 4'!K759</f>
        <v>6</v>
      </c>
      <c r="B754" s="141">
        <f>'Q.1 &amp; 4'!L759</f>
        <v>30.299900000000001</v>
      </c>
      <c r="C754" s="221"/>
      <c r="D754" s="23"/>
      <c r="E754" s="24"/>
      <c r="F754" s="22">
        <f t="shared" si="122"/>
        <v>2.4925925925925885</v>
      </c>
      <c r="G754" s="22">
        <f t="shared" si="123"/>
        <v>-4.4065890695573628</v>
      </c>
      <c r="H754" s="22">
        <f t="shared" si="128"/>
        <v>-10.983831273378149</v>
      </c>
      <c r="I754" s="22">
        <f t="shared" si="129"/>
        <v>6.2130178326474415</v>
      </c>
      <c r="J754" s="24"/>
      <c r="K754" s="24"/>
      <c r="L754" s="235">
        <f t="shared" si="124"/>
        <v>23.437654236653174</v>
      </c>
      <c r="M754" s="126"/>
      <c r="N754" s="126"/>
      <c r="O754" s="126"/>
      <c r="P754" s="10">
        <f t="shared" si="125"/>
        <v>6.8622457633468272</v>
      </c>
      <c r="Q754" s="10">
        <f t="shared" si="130"/>
        <v>47.090416916571478</v>
      </c>
      <c r="W754" s="240">
        <f t="shared" si="131"/>
        <v>6.8622457633468272</v>
      </c>
      <c r="X754" s="240">
        <f t="shared" si="132"/>
        <v>0.22647750531674452</v>
      </c>
      <c r="Y754"/>
      <c r="Z754" s="13">
        <f t="shared" si="126"/>
        <v>126.9866384912748</v>
      </c>
      <c r="AA754" s="2"/>
      <c r="AB754" s="68"/>
      <c r="AC754" s="15">
        <f t="shared" si="127"/>
        <v>19.418027227942424</v>
      </c>
    </row>
    <row r="755" spans="1:29">
      <c r="A755" s="84">
        <f>'Q.1 &amp; 4'!K760</f>
        <v>3.7</v>
      </c>
      <c r="B755" s="141">
        <f>'Q.1 &amp; 4'!L760</f>
        <v>24.4</v>
      </c>
      <c r="C755" s="221"/>
      <c r="D755" s="23"/>
      <c r="E755" s="24"/>
      <c r="F755" s="22">
        <f t="shared" si="122"/>
        <v>0.19259259259258865</v>
      </c>
      <c r="G755" s="22">
        <f t="shared" si="123"/>
        <v>-10.306489069557365</v>
      </c>
      <c r="H755" s="22">
        <f t="shared" si="128"/>
        <v>-1.9849534504332298</v>
      </c>
      <c r="I755" s="22">
        <f t="shared" si="129"/>
        <v>3.7091906721534833E-2</v>
      </c>
      <c r="J755" s="24"/>
      <c r="K755" s="24"/>
      <c r="L755" s="235">
        <f t="shared" si="124"/>
        <v>33.835791578753486</v>
      </c>
      <c r="M755" s="126"/>
      <c r="N755" s="126"/>
      <c r="O755" s="126"/>
      <c r="P755" s="10">
        <f t="shared" si="125"/>
        <v>-9.4357915787534878</v>
      </c>
      <c r="Q755" s="10">
        <f t="shared" si="130"/>
        <v>89.034162717675244</v>
      </c>
      <c r="W755" s="240">
        <f t="shared" si="131"/>
        <v>9.4357915787534878</v>
      </c>
      <c r="X755" s="240">
        <f t="shared" si="132"/>
        <v>0.38671276962104462</v>
      </c>
      <c r="Y755"/>
      <c r="Z755" s="13">
        <f t="shared" si="126"/>
        <v>0.75811412049216809</v>
      </c>
      <c r="AA755" s="2"/>
      <c r="AB755" s="68"/>
      <c r="AC755" s="15">
        <f t="shared" si="127"/>
        <v>106.22371694090545</v>
      </c>
    </row>
    <row r="756" spans="1:29">
      <c r="A756" s="84">
        <f>'Q.1 &amp; 4'!K761</f>
        <v>4.7</v>
      </c>
      <c r="B756" s="141">
        <f>'Q.1 &amp; 4'!L761</f>
        <v>25.6</v>
      </c>
      <c r="C756" s="221"/>
      <c r="D756" s="23"/>
      <c r="E756" s="24"/>
      <c r="F756" s="22">
        <f t="shared" si="122"/>
        <v>1.1925925925925887</v>
      </c>
      <c r="G756" s="22">
        <f t="shared" si="123"/>
        <v>-9.1064890695573624</v>
      </c>
      <c r="H756" s="22">
        <f t="shared" si="128"/>
        <v>-10.860331408879485</v>
      </c>
      <c r="I756" s="22">
        <f t="shared" si="129"/>
        <v>1.422277091906712</v>
      </c>
      <c r="J756" s="24"/>
      <c r="K756" s="24"/>
      <c r="L756" s="235">
        <f t="shared" si="124"/>
        <v>29.314862299579438</v>
      </c>
      <c r="M756" s="126"/>
      <c r="N756" s="126"/>
      <c r="O756" s="126"/>
      <c r="P756" s="10">
        <f t="shared" si="125"/>
        <v>-3.7148622995794369</v>
      </c>
      <c r="Q756" s="10">
        <f t="shared" si="130"/>
        <v>13.800201904836623</v>
      </c>
      <c r="W756" s="240">
        <f t="shared" si="131"/>
        <v>3.7148622995794369</v>
      </c>
      <c r="X756" s="240">
        <f t="shared" si="132"/>
        <v>0.14511180857732175</v>
      </c>
      <c r="Y756"/>
      <c r="Z756" s="13">
        <f t="shared" si="126"/>
        <v>29.069639226742598</v>
      </c>
      <c r="AA756" s="2"/>
      <c r="AB756" s="68"/>
      <c r="AC756" s="15">
        <f t="shared" si="127"/>
        <v>82.928143173967712</v>
      </c>
    </row>
    <row r="757" spans="1:29">
      <c r="A757" s="84">
        <f>'Q.1 &amp; 4'!K762</f>
        <v>4.7</v>
      </c>
      <c r="B757" s="141">
        <f>'Q.1 &amp; 4'!L762</f>
        <v>24.5</v>
      </c>
      <c r="C757" s="221"/>
      <c r="D757" s="23"/>
      <c r="E757" s="24"/>
      <c r="F757" s="22">
        <f t="shared" si="122"/>
        <v>1.1925925925925887</v>
      </c>
      <c r="G757" s="22">
        <f t="shared" si="123"/>
        <v>-10.206489069557364</v>
      </c>
      <c r="H757" s="22">
        <f t="shared" si="128"/>
        <v>-12.172183260731334</v>
      </c>
      <c r="I757" s="22">
        <f t="shared" si="129"/>
        <v>1.422277091906712</v>
      </c>
      <c r="J757" s="24"/>
      <c r="K757" s="24"/>
      <c r="L757" s="235">
        <f t="shared" si="124"/>
        <v>29.314862299579438</v>
      </c>
      <c r="M757" s="126"/>
      <c r="N757" s="126"/>
      <c r="O757" s="126"/>
      <c r="P757" s="10">
        <f t="shared" si="125"/>
        <v>-4.8148622995794383</v>
      </c>
      <c r="Q757" s="10">
        <f t="shared" si="130"/>
        <v>23.182898963911398</v>
      </c>
      <c r="W757" s="240">
        <f t="shared" si="131"/>
        <v>4.8148622995794383</v>
      </c>
      <c r="X757" s="240">
        <f t="shared" si="132"/>
        <v>0.19652499181956892</v>
      </c>
      <c r="Y757"/>
      <c r="Z757" s="13">
        <f t="shared" si="126"/>
        <v>29.069639226742598</v>
      </c>
      <c r="AA757" s="2"/>
      <c r="AB757" s="68"/>
      <c r="AC757" s="15">
        <f t="shared" si="127"/>
        <v>104.17241912699394</v>
      </c>
    </row>
    <row r="758" spans="1:29">
      <c r="A758" s="84">
        <f>'Q.1 &amp; 4'!K763</f>
        <v>5.7</v>
      </c>
      <c r="B758" s="141">
        <f>'Q.1 &amp; 4'!L763</f>
        <v>25.4</v>
      </c>
      <c r="C758" s="221"/>
      <c r="D758" s="23"/>
      <c r="E758" s="24"/>
      <c r="F758" s="22">
        <f t="shared" si="122"/>
        <v>2.1925925925925887</v>
      </c>
      <c r="G758" s="22">
        <f t="shared" si="123"/>
        <v>-9.3064890695573652</v>
      </c>
      <c r="H758" s="22">
        <f t="shared" si="128"/>
        <v>-20.405338996955372</v>
      </c>
      <c r="I758" s="22">
        <f t="shared" si="129"/>
        <v>4.8074622770918891</v>
      </c>
      <c r="J758" s="24"/>
      <c r="K758" s="24"/>
      <c r="L758" s="235">
        <f t="shared" si="124"/>
        <v>24.793933020405387</v>
      </c>
      <c r="M758" s="126"/>
      <c r="N758" s="126"/>
      <c r="O758" s="126"/>
      <c r="P758" s="10">
        <f t="shared" si="125"/>
        <v>0.60606697959461187</v>
      </c>
      <c r="Q758" s="10">
        <f t="shared" si="130"/>
        <v>0.36731718375493566</v>
      </c>
      <c r="W758" s="240">
        <f t="shared" si="131"/>
        <v>0.60606697959461187</v>
      </c>
      <c r="X758" s="240">
        <f t="shared" si="132"/>
        <v>2.3860904708449288E-2</v>
      </c>
      <c r="Y758"/>
      <c r="Z758" s="13">
        <f t="shared" si="126"/>
        <v>98.258767427579457</v>
      </c>
      <c r="AA758" s="2"/>
      <c r="AB758" s="68"/>
      <c r="AC758" s="15">
        <f t="shared" si="127"/>
        <v>86.610738801790717</v>
      </c>
    </row>
    <row r="759" spans="1:29">
      <c r="A759" s="84">
        <f>'Q.1 &amp; 4'!K764</f>
        <v>4</v>
      </c>
      <c r="B759" s="141">
        <f>'Q.1 &amp; 4'!L764</f>
        <v>25.753499999999999</v>
      </c>
      <c r="C759" s="221"/>
      <c r="D759" s="23"/>
      <c r="E759" s="24"/>
      <c r="F759" s="22">
        <f t="shared" si="122"/>
        <v>0.49259259259258847</v>
      </c>
      <c r="G759" s="22">
        <f t="shared" si="123"/>
        <v>-8.9529890695573648</v>
      </c>
      <c r="H759" s="22">
        <f t="shared" si="128"/>
        <v>-4.4101760972263691</v>
      </c>
      <c r="I759" s="22">
        <f t="shared" si="129"/>
        <v>0.24264746227708786</v>
      </c>
      <c r="J759" s="24"/>
      <c r="K759" s="24"/>
      <c r="L759" s="235">
        <f t="shared" si="124"/>
        <v>32.479512795001277</v>
      </c>
      <c r="M759" s="126"/>
      <c r="N759" s="126"/>
      <c r="O759" s="126"/>
      <c r="P759" s="10">
        <f t="shared" si="125"/>
        <v>-6.726012795001278</v>
      </c>
      <c r="Q759" s="10">
        <f t="shared" si="130"/>
        <v>45.239248118520905</v>
      </c>
      <c r="W759" s="240">
        <f t="shared" si="131"/>
        <v>6.726012795001278</v>
      </c>
      <c r="X759" s="240">
        <f t="shared" si="132"/>
        <v>0.26116888170544889</v>
      </c>
      <c r="Y759"/>
      <c r="Z759" s="13">
        <f t="shared" si="126"/>
        <v>4.9594233274357071</v>
      </c>
      <c r="AA759" s="2"/>
      <c r="AB759" s="68"/>
      <c r="AC759" s="15">
        <f t="shared" si="127"/>
        <v>80.156013279613646</v>
      </c>
    </row>
    <row r="760" spans="1:29">
      <c r="A760" s="84">
        <f>'Q.1 &amp; 4'!K765</f>
        <v>4.5999999999999996</v>
      </c>
      <c r="B760" s="141">
        <f>'Q.1 &amp; 4'!L765</f>
        <v>26.662199999999999</v>
      </c>
      <c r="C760" s="221"/>
      <c r="D760" s="23"/>
      <c r="E760" s="24"/>
      <c r="F760" s="22">
        <f t="shared" si="122"/>
        <v>1.0925925925925881</v>
      </c>
      <c r="G760" s="22">
        <f t="shared" si="123"/>
        <v>-8.0442890695573652</v>
      </c>
      <c r="H760" s="22">
        <f t="shared" si="128"/>
        <v>-8.7891306500719004</v>
      </c>
      <c r="I760" s="22">
        <f t="shared" si="129"/>
        <v>1.1937585733881932</v>
      </c>
      <c r="J760" s="24"/>
      <c r="K760" s="24"/>
      <c r="L760" s="235">
        <f t="shared" si="124"/>
        <v>29.766955227496847</v>
      </c>
      <c r="M760" s="126"/>
      <c r="N760" s="126"/>
      <c r="O760" s="126"/>
      <c r="P760" s="10">
        <f t="shared" si="125"/>
        <v>-3.1047552274968488</v>
      </c>
      <c r="Q760" s="10">
        <f t="shared" si="130"/>
        <v>9.6395050226690095</v>
      </c>
      <c r="W760" s="240">
        <f t="shared" si="131"/>
        <v>3.1047552274968488</v>
      </c>
      <c r="X760" s="240">
        <f t="shared" si="132"/>
        <v>0.11644782604199387</v>
      </c>
      <c r="Y760"/>
      <c r="Z760" s="13">
        <f t="shared" si="126"/>
        <v>24.398994576861128</v>
      </c>
      <c r="AA760" s="2"/>
      <c r="AB760" s="68"/>
      <c r="AC760" s="15">
        <f t="shared" si="127"/>
        <v>64.710586634600105</v>
      </c>
    </row>
    <row r="761" spans="1:29">
      <c r="A761" s="84">
        <f>'Q.1 &amp; 4'!K766</f>
        <v>5.4</v>
      </c>
      <c r="B761" s="141">
        <f>'Q.1 &amp; 4'!L766</f>
        <v>24.793900000000001</v>
      </c>
      <c r="C761" s="221"/>
      <c r="D761" s="23"/>
      <c r="E761" s="24"/>
      <c r="F761" s="22">
        <f t="shared" si="122"/>
        <v>1.8925925925925888</v>
      </c>
      <c r="G761" s="22">
        <f t="shared" si="123"/>
        <v>-9.9125890695573631</v>
      </c>
      <c r="H761" s="22">
        <f t="shared" si="128"/>
        <v>-18.760492646458527</v>
      </c>
      <c r="I761" s="22">
        <f t="shared" si="129"/>
        <v>3.5819067215363369</v>
      </c>
      <c r="J761" s="24"/>
      <c r="K761" s="24"/>
      <c r="L761" s="235">
        <f t="shared" si="124"/>
        <v>26.150211804157603</v>
      </c>
      <c r="M761" s="126"/>
      <c r="N761" s="126"/>
      <c r="O761" s="126"/>
      <c r="P761" s="10">
        <f t="shared" si="125"/>
        <v>-1.3563118041576026</v>
      </c>
      <c r="Q761" s="10">
        <f t="shared" si="130"/>
        <v>1.8395817100972509</v>
      </c>
      <c r="W761" s="240">
        <f t="shared" si="131"/>
        <v>1.3563118041576026</v>
      </c>
      <c r="X761" s="240">
        <f t="shared" si="132"/>
        <v>5.4703447386558891E-2</v>
      </c>
      <c r="Y761"/>
      <c r="Z761" s="13">
        <f t="shared" si="126"/>
        <v>73.209880642396797</v>
      </c>
      <c r="AA761" s="2"/>
      <c r="AB761" s="68"/>
      <c r="AC761" s="15">
        <f t="shared" si="127"/>
        <v>98.259422061908111</v>
      </c>
    </row>
    <row r="762" spans="1:29">
      <c r="A762" s="84">
        <f>'Q.1 &amp; 4'!K767</f>
        <v>4.5999999999999996</v>
      </c>
      <c r="B762" s="141">
        <f>'Q.1 &amp; 4'!L767</f>
        <v>27.106100000000001</v>
      </c>
      <c r="C762" s="221"/>
      <c r="D762" s="23"/>
      <c r="E762" s="24"/>
      <c r="F762" s="22">
        <f t="shared" si="122"/>
        <v>1.0925925925925881</v>
      </c>
      <c r="G762" s="22">
        <f t="shared" si="123"/>
        <v>-7.6003890695573624</v>
      </c>
      <c r="H762" s="22">
        <f t="shared" si="128"/>
        <v>-8.3041287982200469</v>
      </c>
      <c r="I762" s="22">
        <f t="shared" si="129"/>
        <v>1.1937585733881932</v>
      </c>
      <c r="J762" s="24"/>
      <c r="K762" s="24"/>
      <c r="L762" s="235">
        <f t="shared" si="124"/>
        <v>29.766955227496847</v>
      </c>
      <c r="M762" s="126"/>
      <c r="N762" s="126"/>
      <c r="O762" s="126"/>
      <c r="P762" s="10">
        <f t="shared" si="125"/>
        <v>-2.660855227496846</v>
      </c>
      <c r="Q762" s="10">
        <f t="shared" si="130"/>
        <v>7.0801505416972921</v>
      </c>
      <c r="W762" s="240">
        <f t="shared" si="131"/>
        <v>2.660855227496846</v>
      </c>
      <c r="X762" s="240">
        <f t="shared" si="132"/>
        <v>9.8164443704437221E-2</v>
      </c>
      <c r="Y762"/>
      <c r="Z762" s="13">
        <f t="shared" si="126"/>
        <v>24.398994576861128</v>
      </c>
      <c r="AA762" s="2"/>
      <c r="AB762" s="68"/>
      <c r="AC762" s="15">
        <f t="shared" si="127"/>
        <v>57.76591400864703</v>
      </c>
    </row>
    <row r="763" spans="1:29">
      <c r="A763" s="84">
        <f>'Q.1 &amp; 4'!K768</f>
        <v>4.5999999999999996</v>
      </c>
      <c r="B763" s="141">
        <f>'Q.1 &amp; 4'!L768</f>
        <v>25.229800000000001</v>
      </c>
      <c r="C763" s="221"/>
      <c r="D763" s="23"/>
      <c r="E763" s="24"/>
      <c r="F763" s="22">
        <f t="shared" si="122"/>
        <v>1.0925925925925881</v>
      </c>
      <c r="G763" s="22">
        <f t="shared" si="123"/>
        <v>-9.4766890695573629</v>
      </c>
      <c r="H763" s="22">
        <f t="shared" si="128"/>
        <v>-10.354160279701521</v>
      </c>
      <c r="I763" s="22">
        <f t="shared" si="129"/>
        <v>1.1937585733881932</v>
      </c>
      <c r="J763" s="24"/>
      <c r="K763" s="24"/>
      <c r="L763" s="235">
        <f t="shared" si="124"/>
        <v>29.766955227496847</v>
      </c>
      <c r="M763" s="126"/>
      <c r="N763" s="126"/>
      <c r="O763" s="126"/>
      <c r="P763" s="10">
        <f t="shared" si="125"/>
        <v>-4.5371552274968465</v>
      </c>
      <c r="Q763" s="10">
        <f t="shared" si="130"/>
        <v>20.585777558401961</v>
      </c>
      <c r="W763" s="240">
        <f t="shared" si="131"/>
        <v>4.5371552274968465</v>
      </c>
      <c r="X763" s="240">
        <f t="shared" si="132"/>
        <v>0.17983318248645833</v>
      </c>
      <c r="Y763"/>
      <c r="Z763" s="13">
        <f t="shared" si="126"/>
        <v>24.398994576861128</v>
      </c>
      <c r="AA763" s="2"/>
      <c r="AB763" s="68"/>
      <c r="AC763" s="15">
        <f t="shared" si="127"/>
        <v>89.807635721067996</v>
      </c>
    </row>
    <row r="764" spans="1:29">
      <c r="A764" s="84">
        <f>'Q.1 &amp; 4'!K769</f>
        <v>4.3</v>
      </c>
      <c r="B764" s="141">
        <f>'Q.1 &amp; 4'!L769</f>
        <v>24.1937</v>
      </c>
      <c r="C764" s="221"/>
      <c r="D764" s="23"/>
      <c r="E764" s="24"/>
      <c r="F764" s="22">
        <f t="shared" si="122"/>
        <v>0.7925925925925883</v>
      </c>
      <c r="G764" s="22">
        <f t="shared" si="123"/>
        <v>-10.512789069557364</v>
      </c>
      <c r="H764" s="22">
        <f t="shared" si="128"/>
        <v>-8.3323587440194959</v>
      </c>
      <c r="I764" s="22">
        <f t="shared" si="129"/>
        <v>0.62820301783264065</v>
      </c>
      <c r="J764" s="24"/>
      <c r="K764" s="24"/>
      <c r="L764" s="235">
        <f t="shared" si="124"/>
        <v>31.123234011249064</v>
      </c>
      <c r="M764" s="126"/>
      <c r="N764" s="126"/>
      <c r="O764" s="126"/>
      <c r="P764" s="10">
        <f t="shared" si="125"/>
        <v>-6.9295340112490642</v>
      </c>
      <c r="Q764" s="10">
        <f t="shared" si="130"/>
        <v>48.018441613057547</v>
      </c>
      <c r="W764" s="240">
        <f t="shared" si="131"/>
        <v>6.9295340112490642</v>
      </c>
      <c r="X764" s="240">
        <f t="shared" si="132"/>
        <v>0.28641894423957742</v>
      </c>
      <c r="Y764"/>
      <c r="Z764" s="13">
        <f t="shared" si="126"/>
        <v>12.839716812892018</v>
      </c>
      <c r="AA764" s="2"/>
      <c r="AB764" s="68"/>
      <c r="AC764" s="15">
        <f t="shared" si="127"/>
        <v>110.51873402100479</v>
      </c>
    </row>
    <row r="765" spans="1:29">
      <c r="A765" s="84">
        <f>'Q.1 &amp; 4'!K770</f>
        <v>4.8</v>
      </c>
      <c r="B765" s="141">
        <f>'Q.1 &amp; 4'!L770</f>
        <v>24.153400000000001</v>
      </c>
      <c r="C765" s="221"/>
      <c r="D765" s="23"/>
      <c r="E765" s="24"/>
      <c r="F765" s="22">
        <f t="shared" si="122"/>
        <v>1.2925925925925883</v>
      </c>
      <c r="G765" s="22">
        <f t="shared" si="123"/>
        <v>-10.553089069557362</v>
      </c>
      <c r="H765" s="22">
        <f t="shared" si="128"/>
        <v>-13.640844760279656</v>
      </c>
      <c r="I765" s="22">
        <f t="shared" si="129"/>
        <v>1.6707956104252288</v>
      </c>
      <c r="J765" s="24"/>
      <c r="K765" s="24"/>
      <c r="L765" s="235">
        <f t="shared" si="124"/>
        <v>28.862769371662036</v>
      </c>
      <c r="M765" s="126"/>
      <c r="N765" s="126"/>
      <c r="O765" s="126"/>
      <c r="P765" s="10">
        <f t="shared" si="125"/>
        <v>-4.7093693716620351</v>
      </c>
      <c r="Q765" s="10">
        <f t="shared" si="130"/>
        <v>22.17815987874847</v>
      </c>
      <c r="W765" s="240">
        <f t="shared" si="131"/>
        <v>4.7093693716620351</v>
      </c>
      <c r="X765" s="240">
        <f t="shared" si="132"/>
        <v>0.19497749267854772</v>
      </c>
      <c r="Y765"/>
      <c r="Z765" s="13">
        <f t="shared" si="126"/>
        <v>34.149059907569857</v>
      </c>
      <c r="AA765" s="2"/>
      <c r="AB765" s="68"/>
      <c r="AC765" s="15">
        <f t="shared" si="127"/>
        <v>111.36768891001108</v>
      </c>
    </row>
    <row r="766" spans="1:29">
      <c r="A766" s="84">
        <f>'Q.1 &amp; 4'!K771</f>
        <v>5.3</v>
      </c>
      <c r="B766" s="141">
        <f>'Q.1 &amp; 4'!L771</f>
        <v>29.0185</v>
      </c>
      <c r="C766" s="221"/>
      <c r="D766" s="23"/>
      <c r="E766" s="24"/>
      <c r="F766" s="22">
        <f t="shared" si="122"/>
        <v>1.7925925925925883</v>
      </c>
      <c r="G766" s="22">
        <f t="shared" si="123"/>
        <v>-5.6879890695573643</v>
      </c>
      <c r="H766" s="22">
        <f t="shared" si="128"/>
        <v>-10.19624707283614</v>
      </c>
      <c r="I766" s="22">
        <f t="shared" si="129"/>
        <v>3.2133882030178174</v>
      </c>
      <c r="J766" s="24"/>
      <c r="K766" s="24"/>
      <c r="L766" s="235">
        <f t="shared" si="124"/>
        <v>26.602304732075012</v>
      </c>
      <c r="M766" s="126"/>
      <c r="N766" s="126"/>
      <c r="O766" s="126"/>
      <c r="P766" s="10">
        <f t="shared" si="125"/>
        <v>2.4161952679249872</v>
      </c>
      <c r="Q766" s="10">
        <f t="shared" si="130"/>
        <v>5.8379995727431009</v>
      </c>
      <c r="W766" s="240">
        <f t="shared" si="131"/>
        <v>2.4161952679249872</v>
      </c>
      <c r="X766" s="240">
        <f t="shared" si="132"/>
        <v>8.3263961539190079E-2</v>
      </c>
      <c r="Y766"/>
      <c r="Z766" s="13">
        <f t="shared" si="126"/>
        <v>65.677803775894262</v>
      </c>
      <c r="AA766" s="2"/>
      <c r="AB766" s="68"/>
      <c r="AC766" s="15">
        <f t="shared" si="127"/>
        <v>32.353219655404054</v>
      </c>
    </row>
    <row r="767" spans="1:29">
      <c r="A767" s="84">
        <f>'Q.1 &amp; 4'!K772</f>
        <v>6.2</v>
      </c>
      <c r="B767" s="141">
        <f>'Q.1 &amp; 4'!L772</f>
        <v>25.802600000000002</v>
      </c>
      <c r="C767" s="221"/>
      <c r="D767" s="23"/>
      <c r="E767" s="24"/>
      <c r="F767" s="22">
        <f t="shared" si="122"/>
        <v>2.6925925925925887</v>
      </c>
      <c r="G767" s="22">
        <f t="shared" si="123"/>
        <v>-8.903889069557362</v>
      </c>
      <c r="H767" s="22">
        <f t="shared" si="128"/>
        <v>-23.974545753956271</v>
      </c>
      <c r="I767" s="22">
        <f t="shared" si="129"/>
        <v>7.2500548696844778</v>
      </c>
      <c r="J767" s="24"/>
      <c r="K767" s="24"/>
      <c r="L767" s="235">
        <f t="shared" si="124"/>
        <v>22.533468380818363</v>
      </c>
      <c r="M767" s="126"/>
      <c r="N767" s="126"/>
      <c r="O767" s="126"/>
      <c r="P767" s="10">
        <f t="shared" si="125"/>
        <v>3.2691316191816391</v>
      </c>
      <c r="Q767" s="10">
        <f t="shared" si="130"/>
        <v>10.687221543533166</v>
      </c>
      <c r="W767" s="240">
        <f t="shared" si="131"/>
        <v>3.2691316191816391</v>
      </c>
      <c r="X767" s="240">
        <f t="shared" si="132"/>
        <v>0.12669775988395118</v>
      </c>
      <c r="Y767"/>
      <c r="Z767" s="13">
        <f t="shared" si="126"/>
        <v>148.18243268846774</v>
      </c>
      <c r="AA767" s="2"/>
      <c r="AB767" s="68"/>
      <c r="AC767" s="15">
        <f t="shared" si="127"/>
        <v>79.279240562983063</v>
      </c>
    </row>
    <row r="768" spans="1:29">
      <c r="A768" s="84">
        <f>'Q.1 &amp; 4'!K773</f>
        <v>6</v>
      </c>
      <c r="B768" s="141">
        <f>'Q.1 &amp; 4'!L773</f>
        <v>30.299900000000001</v>
      </c>
      <c r="C768" s="221"/>
      <c r="D768" s="23"/>
      <c r="E768" s="24"/>
      <c r="F768" s="22">
        <f t="shared" si="122"/>
        <v>2.4925925925925885</v>
      </c>
      <c r="G768" s="22">
        <f t="shared" si="123"/>
        <v>-4.4065890695573628</v>
      </c>
      <c r="H768" s="22">
        <f t="shared" si="128"/>
        <v>-10.983831273378149</v>
      </c>
      <c r="I768" s="22">
        <f t="shared" si="129"/>
        <v>6.2130178326474415</v>
      </c>
      <c r="J768" s="24"/>
      <c r="K768" s="24"/>
      <c r="L768" s="235">
        <f t="shared" si="124"/>
        <v>23.437654236653174</v>
      </c>
      <c r="M768" s="126"/>
      <c r="N768" s="126"/>
      <c r="O768" s="126"/>
      <c r="P768" s="10">
        <f t="shared" si="125"/>
        <v>6.8622457633468272</v>
      </c>
      <c r="Q768" s="10">
        <f t="shared" si="130"/>
        <v>47.090416916571478</v>
      </c>
      <c r="W768" s="240">
        <f t="shared" si="131"/>
        <v>6.8622457633468272</v>
      </c>
      <c r="X768" s="240">
        <f t="shared" si="132"/>
        <v>0.22647750531674452</v>
      </c>
      <c r="Y768"/>
      <c r="Z768" s="13">
        <f t="shared" si="126"/>
        <v>126.9866384912748</v>
      </c>
      <c r="AA768" s="2"/>
      <c r="AB768" s="68"/>
      <c r="AC768" s="15">
        <f t="shared" si="127"/>
        <v>19.418027227942424</v>
      </c>
    </row>
    <row r="769" spans="1:29">
      <c r="A769" s="84">
        <f>'Q.1 &amp; 4'!K774</f>
        <v>6.2</v>
      </c>
      <c r="B769" s="141">
        <f>'Q.1 &amp; 4'!L774</f>
        <v>25.799900000000001</v>
      </c>
      <c r="C769" s="221"/>
      <c r="D769" s="23"/>
      <c r="E769" s="24"/>
      <c r="F769" s="22">
        <f t="shared" si="122"/>
        <v>2.6925925925925887</v>
      </c>
      <c r="G769" s="22">
        <f t="shared" si="123"/>
        <v>-8.9065890695573628</v>
      </c>
      <c r="H769" s="22">
        <f t="shared" si="128"/>
        <v>-23.981815753956273</v>
      </c>
      <c r="I769" s="22">
        <f t="shared" si="129"/>
        <v>7.2500548696844778</v>
      </c>
      <c r="J769" s="24"/>
      <c r="K769" s="24"/>
      <c r="L769" s="235">
        <f t="shared" si="124"/>
        <v>22.533468380818363</v>
      </c>
      <c r="M769" s="126"/>
      <c r="N769" s="126"/>
      <c r="O769" s="126"/>
      <c r="P769" s="10">
        <f t="shared" si="125"/>
        <v>3.2664316191816383</v>
      </c>
      <c r="Q769" s="10">
        <f t="shared" si="130"/>
        <v>10.669575522789579</v>
      </c>
      <c r="W769" s="240">
        <f t="shared" si="131"/>
        <v>3.2664316191816383</v>
      </c>
      <c r="X769" s="240">
        <f t="shared" si="132"/>
        <v>0.12660636743482098</v>
      </c>
      <c r="Y769"/>
      <c r="Z769" s="13">
        <f t="shared" si="126"/>
        <v>148.18243268846774</v>
      </c>
      <c r="AA769" s="2"/>
      <c r="AB769" s="68"/>
      <c r="AC769" s="15">
        <f t="shared" si="127"/>
        <v>79.32732885395869</v>
      </c>
    </row>
    <row r="770" spans="1:29">
      <c r="A770" s="84">
        <f>'Q.1 &amp; 4'!K775</f>
        <v>3.5</v>
      </c>
      <c r="B770" s="141">
        <f>'Q.1 &amp; 4'!L775</f>
        <v>28.2</v>
      </c>
      <c r="C770" s="221"/>
      <c r="D770" s="23"/>
      <c r="E770" s="24"/>
      <c r="F770" s="22">
        <f t="shared" si="122"/>
        <v>-7.4074074074115259E-3</v>
      </c>
      <c r="G770" s="22">
        <f t="shared" si="123"/>
        <v>-6.5064890695573645</v>
      </c>
      <c r="H770" s="22">
        <f t="shared" si="128"/>
        <v>4.8196215330081352E-2</v>
      </c>
      <c r="I770" s="22">
        <f t="shared" si="129"/>
        <v>5.4869684499375142E-5</v>
      </c>
      <c r="J770" s="24"/>
      <c r="K770" s="24"/>
      <c r="L770" s="235">
        <f t="shared" si="124"/>
        <v>34.739977434588305</v>
      </c>
      <c r="M770" s="126"/>
      <c r="N770" s="126"/>
      <c r="O770" s="126"/>
      <c r="P770" s="10">
        <f t="shared" si="125"/>
        <v>-6.5399774345883053</v>
      </c>
      <c r="Q770" s="10">
        <f t="shared" si="130"/>
        <v>42.771304844924231</v>
      </c>
      <c r="W770" s="240">
        <f t="shared" si="131"/>
        <v>6.5399774345883053</v>
      </c>
      <c r="X770" s="240">
        <f t="shared" si="132"/>
        <v>0.23191409342511721</v>
      </c>
      <c r="Y770"/>
      <c r="Z770" s="13">
        <f t="shared" si="126"/>
        <v>1.1214705924455365E-3</v>
      </c>
      <c r="AA770" s="2"/>
      <c r="AB770" s="68"/>
      <c r="AC770" s="15">
        <f t="shared" si="127"/>
        <v>42.334400012269462</v>
      </c>
    </row>
    <row r="771" spans="1:29">
      <c r="A771" s="84">
        <f>'Q.1 &amp; 4'!K776</f>
        <v>3.7</v>
      </c>
      <c r="B771" s="141">
        <f>'Q.1 &amp; 4'!L776</f>
        <v>25.2</v>
      </c>
      <c r="C771" s="221"/>
      <c r="D771" s="23"/>
      <c r="E771" s="24"/>
      <c r="F771" s="22">
        <f t="shared" si="122"/>
        <v>0.19259259259258865</v>
      </c>
      <c r="G771" s="22">
        <f t="shared" si="123"/>
        <v>-9.5064890695573645</v>
      </c>
      <c r="H771" s="22">
        <f t="shared" si="128"/>
        <v>-1.8308793763591587</v>
      </c>
      <c r="I771" s="22">
        <f t="shared" si="129"/>
        <v>3.7091906721534833E-2</v>
      </c>
      <c r="J771" s="24"/>
      <c r="K771" s="24"/>
      <c r="L771" s="235">
        <f t="shared" si="124"/>
        <v>33.835791578753486</v>
      </c>
      <c r="M771" s="126"/>
      <c r="N771" s="126"/>
      <c r="O771" s="126"/>
      <c r="P771" s="10">
        <f t="shared" si="125"/>
        <v>-8.6357915787534871</v>
      </c>
      <c r="Q771" s="10">
        <f t="shared" si="130"/>
        <v>74.576896191669647</v>
      </c>
      <c r="W771" s="240">
        <f t="shared" si="131"/>
        <v>8.6357915787534871</v>
      </c>
      <c r="X771" s="240">
        <f t="shared" si="132"/>
        <v>0.34269014201402725</v>
      </c>
      <c r="Y771"/>
      <c r="Z771" s="13">
        <f t="shared" si="126"/>
        <v>0.75811412049216809</v>
      </c>
      <c r="AA771" s="2"/>
      <c r="AB771" s="68"/>
      <c r="AC771" s="15">
        <f t="shared" si="127"/>
        <v>90.373334429613649</v>
      </c>
    </row>
    <row r="772" spans="1:29">
      <c r="A772" s="84">
        <f>'Q.1 &amp; 4'!K777</f>
        <v>3.7</v>
      </c>
      <c r="B772" s="141">
        <f>'Q.1 &amp; 4'!L777</f>
        <v>25.1</v>
      </c>
      <c r="C772" s="221"/>
      <c r="D772" s="23"/>
      <c r="E772" s="24"/>
      <c r="F772" s="22">
        <f t="shared" si="122"/>
        <v>0.19259259259258865</v>
      </c>
      <c r="G772" s="22">
        <f t="shared" si="123"/>
        <v>-9.6064890695573624</v>
      </c>
      <c r="H772" s="22">
        <f t="shared" si="128"/>
        <v>-1.8501386356184171</v>
      </c>
      <c r="I772" s="22">
        <f t="shared" si="129"/>
        <v>3.7091906721534833E-2</v>
      </c>
      <c r="J772" s="24"/>
      <c r="K772" s="24"/>
      <c r="L772" s="235">
        <f t="shared" si="124"/>
        <v>33.835791578753486</v>
      </c>
      <c r="M772" s="126"/>
      <c r="N772" s="126"/>
      <c r="O772" s="126"/>
      <c r="P772" s="10">
        <f t="shared" si="125"/>
        <v>-8.735791578753485</v>
      </c>
      <c r="Q772" s="10">
        <f t="shared" si="130"/>
        <v>76.314054507420309</v>
      </c>
      <c r="W772" s="240">
        <f t="shared" si="131"/>
        <v>8.735791578753485</v>
      </c>
      <c r="X772" s="240">
        <f t="shared" si="132"/>
        <v>0.3480395051296209</v>
      </c>
      <c r="Y772"/>
      <c r="Z772" s="13">
        <f t="shared" si="126"/>
        <v>0.75811412049216809</v>
      </c>
      <c r="AA772" s="2"/>
      <c r="AB772" s="68"/>
      <c r="AC772" s="15">
        <f t="shared" si="127"/>
        <v>92.284632243525081</v>
      </c>
    </row>
    <row r="773" spans="1:29">
      <c r="A773" s="84">
        <f>'Q.1 &amp; 4'!K778</f>
        <v>5.3</v>
      </c>
      <c r="B773" s="141">
        <f>'Q.1 &amp; 4'!L778</f>
        <v>22.299900000000001</v>
      </c>
      <c r="C773" s="221"/>
      <c r="D773" s="23"/>
      <c r="E773" s="24"/>
      <c r="F773" s="22">
        <f t="shared" si="122"/>
        <v>1.7925925925925883</v>
      </c>
      <c r="G773" s="22">
        <f t="shared" si="123"/>
        <v>-12.406589069557363</v>
      </c>
      <c r="H773" s="22">
        <f t="shared" si="128"/>
        <v>-22.2399596654287</v>
      </c>
      <c r="I773" s="22">
        <f t="shared" si="129"/>
        <v>3.2133882030178174</v>
      </c>
      <c r="J773" s="24"/>
      <c r="K773" s="24"/>
      <c r="L773" s="235">
        <f t="shared" si="124"/>
        <v>26.602304732075012</v>
      </c>
      <c r="M773" s="126"/>
      <c r="N773" s="126"/>
      <c r="O773" s="126"/>
      <c r="P773" s="10">
        <f t="shared" si="125"/>
        <v>-4.3024047320750114</v>
      </c>
      <c r="Q773" s="10">
        <f t="shared" si="130"/>
        <v>18.510686478581452</v>
      </c>
      <c r="W773" s="240">
        <f t="shared" si="131"/>
        <v>4.3024047320750114</v>
      </c>
      <c r="X773" s="240">
        <f t="shared" si="132"/>
        <v>0.19293381280073055</v>
      </c>
      <c r="Y773"/>
      <c r="Z773" s="13">
        <f t="shared" si="126"/>
        <v>65.677803775894262</v>
      </c>
      <c r="AA773" s="2"/>
      <c r="AB773" s="68"/>
      <c r="AC773" s="15">
        <f t="shared" si="127"/>
        <v>153.92345234086022</v>
      </c>
    </row>
    <row r="774" spans="1:29">
      <c r="A774" s="84">
        <f>'Q.1 &amp; 4'!K779</f>
        <v>5.6</v>
      </c>
      <c r="B774" s="141">
        <f>'Q.1 &amp; 4'!L779</f>
        <v>23.061</v>
      </c>
      <c r="C774" s="221"/>
      <c r="D774" s="23"/>
      <c r="E774" s="24"/>
      <c r="F774" s="22">
        <f t="shared" ref="F774:F837" si="133">A774-$D$6</f>
        <v>2.0925925925925881</v>
      </c>
      <c r="G774" s="22">
        <f t="shared" ref="G774:G837" si="134">B774-$E$6</f>
        <v>-11.645489069557364</v>
      </c>
      <c r="H774" s="22">
        <f t="shared" si="128"/>
        <v>-24.369264164073691</v>
      </c>
      <c r="I774" s="22">
        <f t="shared" si="129"/>
        <v>4.378943758573369</v>
      </c>
      <c r="J774" s="24"/>
      <c r="K774" s="24"/>
      <c r="L774" s="235">
        <f t="shared" ref="L774:L837" si="135">$K$6+$J$6*A774</f>
        <v>25.246025948322796</v>
      </c>
      <c r="M774" s="126"/>
      <c r="N774" s="126"/>
      <c r="O774" s="126"/>
      <c r="P774" s="10">
        <f t="shared" ref="P774:P837" si="136">B774-L774</f>
        <v>-2.1850259483227958</v>
      </c>
      <c r="Q774" s="10">
        <f t="shared" si="130"/>
        <v>4.7743383948439329</v>
      </c>
      <c r="W774" s="240">
        <f t="shared" si="131"/>
        <v>2.1850259483227958</v>
      </c>
      <c r="X774" s="240">
        <f t="shared" si="132"/>
        <v>9.4749835146905853E-2</v>
      </c>
      <c r="Y774"/>
      <c r="Z774" s="13">
        <f t="shared" ref="Z774:Z837" si="137">(L774-$E$6)^2</f>
        <v>89.500362468239302</v>
      </c>
      <c r="AA774" s="2"/>
      <c r="AB774" s="68"/>
      <c r="AC774" s="15">
        <f t="shared" ref="AC774:AC837" si="138">(B774-$E$6)^2</f>
        <v>135.61741566918005</v>
      </c>
    </row>
    <row r="775" spans="1:29">
      <c r="A775" s="84">
        <f>'Q.1 &amp; 4'!K780</f>
        <v>5.6</v>
      </c>
      <c r="B775" s="141">
        <f>'Q.1 &amp; 4'!L780</f>
        <v>23.110900000000001</v>
      </c>
      <c r="C775" s="221"/>
      <c r="D775" s="23"/>
      <c r="E775" s="24"/>
      <c r="F775" s="22">
        <f t="shared" si="133"/>
        <v>2.0925925925925881</v>
      </c>
      <c r="G775" s="22">
        <f t="shared" si="134"/>
        <v>-11.595589069557363</v>
      </c>
      <c r="H775" s="22">
        <f t="shared" ref="H775:H838" si="139">F775*G775</f>
        <v>-24.264843793703317</v>
      </c>
      <c r="I775" s="22">
        <f t="shared" ref="I775:I838" si="140">F775^2</f>
        <v>4.378943758573369</v>
      </c>
      <c r="J775" s="24"/>
      <c r="K775" s="24"/>
      <c r="L775" s="235">
        <f t="shared" si="135"/>
        <v>25.246025948322796</v>
      </c>
      <c r="M775" s="126"/>
      <c r="N775" s="126"/>
      <c r="O775" s="126"/>
      <c r="P775" s="10">
        <f t="shared" si="136"/>
        <v>-2.1351259483227949</v>
      </c>
      <c r="Q775" s="10">
        <f t="shared" ref="Q775:Q838" si="141">P775^2</f>
        <v>4.5587628152013142</v>
      </c>
      <c r="W775" s="240">
        <f t="shared" ref="W775:W838" si="142">ABS(P775)</f>
        <v>2.1351259483227949</v>
      </c>
      <c r="X775" s="240">
        <f t="shared" ref="X775:X838" si="143">W775/B775</f>
        <v>9.2386101290853881E-2</v>
      </c>
      <c r="Y775"/>
      <c r="Z775" s="13">
        <f t="shared" si="137"/>
        <v>89.500362468239302</v>
      </c>
      <c r="AA775" s="2"/>
      <c r="AB775" s="68"/>
      <c r="AC775" s="15">
        <f t="shared" si="138"/>
        <v>134.45768587003818</v>
      </c>
    </row>
    <row r="776" spans="1:29">
      <c r="A776" s="84">
        <f>'Q.1 &amp; 4'!K781</f>
        <v>4.5999999999999996</v>
      </c>
      <c r="B776" s="141">
        <f>'Q.1 &amp; 4'!L781</f>
        <v>26.229500000000002</v>
      </c>
      <c r="C776" s="221"/>
      <c r="D776" s="23"/>
      <c r="E776" s="24"/>
      <c r="F776" s="22">
        <f t="shared" si="133"/>
        <v>1.0925925925925881</v>
      </c>
      <c r="G776" s="22">
        <f t="shared" si="134"/>
        <v>-8.4769890695573622</v>
      </c>
      <c r="H776" s="22">
        <f t="shared" si="139"/>
        <v>-9.2618954648867096</v>
      </c>
      <c r="I776" s="22">
        <f t="shared" si="140"/>
        <v>1.1937585733881932</v>
      </c>
      <c r="J776" s="24"/>
      <c r="K776" s="24"/>
      <c r="L776" s="235">
        <f t="shared" si="135"/>
        <v>29.766955227496847</v>
      </c>
      <c r="M776" s="126"/>
      <c r="N776" s="126"/>
      <c r="O776" s="126"/>
      <c r="P776" s="10">
        <f t="shared" si="136"/>
        <v>-3.5374552274968458</v>
      </c>
      <c r="Q776" s="10">
        <f t="shared" si="141"/>
        <v>12.513589486544761</v>
      </c>
      <c r="W776" s="240">
        <f t="shared" si="142"/>
        <v>3.5374552274968458</v>
      </c>
      <c r="X776" s="240">
        <f t="shared" si="143"/>
        <v>0.13486552269379309</v>
      </c>
      <c r="Y776"/>
      <c r="Z776" s="13">
        <f t="shared" si="137"/>
        <v>24.398994576861128</v>
      </c>
      <c r="AA776" s="2"/>
      <c r="AB776" s="68"/>
      <c r="AC776" s="15">
        <f t="shared" si="138"/>
        <v>71.85934368539499</v>
      </c>
    </row>
    <row r="777" spans="1:29">
      <c r="A777" s="84">
        <f>'Q.1 &amp; 4'!K782</f>
        <v>5.7</v>
      </c>
      <c r="B777" s="141">
        <f>'Q.1 &amp; 4'!L782</f>
        <v>23.431799999999999</v>
      </c>
      <c r="C777" s="221"/>
      <c r="D777" s="23"/>
      <c r="E777" s="24"/>
      <c r="F777" s="22">
        <f t="shared" si="133"/>
        <v>2.1925925925925887</v>
      </c>
      <c r="G777" s="22">
        <f t="shared" si="134"/>
        <v>-11.274689069557365</v>
      </c>
      <c r="H777" s="22">
        <f t="shared" si="139"/>
        <v>-24.720799737696105</v>
      </c>
      <c r="I777" s="22">
        <f t="shared" si="140"/>
        <v>4.8074622770918891</v>
      </c>
      <c r="J777" s="24"/>
      <c r="K777" s="24"/>
      <c r="L777" s="235">
        <f t="shared" si="135"/>
        <v>24.793933020405387</v>
      </c>
      <c r="M777" s="126"/>
      <c r="N777" s="126"/>
      <c r="O777" s="126"/>
      <c r="P777" s="10">
        <f t="shared" si="136"/>
        <v>-1.3621330204053876</v>
      </c>
      <c r="Q777" s="10">
        <f t="shared" si="141"/>
        <v>1.8554063652787043</v>
      </c>
      <c r="W777" s="240">
        <f t="shared" si="142"/>
        <v>1.3621330204053876</v>
      </c>
      <c r="X777" s="240">
        <f t="shared" si="143"/>
        <v>5.8131813194265386E-2</v>
      </c>
      <c r="Y777"/>
      <c r="Z777" s="13">
        <f t="shared" si="137"/>
        <v>98.258767427579457</v>
      </c>
      <c r="AA777" s="2"/>
      <c r="AB777" s="68"/>
      <c r="AC777" s="15">
        <f t="shared" si="138"/>
        <v>127.11861361519631</v>
      </c>
    </row>
    <row r="778" spans="1:29">
      <c r="A778" s="84">
        <f>'Q.1 &amp; 4'!K783</f>
        <v>5.7</v>
      </c>
      <c r="B778" s="141">
        <f>'Q.1 &amp; 4'!L783</f>
        <v>23.999300000000002</v>
      </c>
      <c r="C778" s="221"/>
      <c r="D778" s="23"/>
      <c r="E778" s="24"/>
      <c r="F778" s="22">
        <f t="shared" si="133"/>
        <v>2.1925925925925887</v>
      </c>
      <c r="G778" s="22">
        <f t="shared" si="134"/>
        <v>-10.707189069557362</v>
      </c>
      <c r="H778" s="22">
        <f t="shared" si="139"/>
        <v>-23.476503441399803</v>
      </c>
      <c r="I778" s="22">
        <f t="shared" si="140"/>
        <v>4.8074622770918891</v>
      </c>
      <c r="J778" s="24"/>
      <c r="K778" s="24"/>
      <c r="L778" s="235">
        <f t="shared" si="135"/>
        <v>24.793933020405387</v>
      </c>
      <c r="M778" s="126"/>
      <c r="N778" s="126"/>
      <c r="O778" s="126"/>
      <c r="P778" s="10">
        <f t="shared" si="136"/>
        <v>-0.79463302040538508</v>
      </c>
      <c r="Q778" s="10">
        <f t="shared" si="141"/>
        <v>0.63144163711858514</v>
      </c>
      <c r="W778" s="240">
        <f t="shared" si="142"/>
        <v>0.79463302040538508</v>
      </c>
      <c r="X778" s="240">
        <f t="shared" si="143"/>
        <v>3.3110674911575967E-2</v>
      </c>
      <c r="Y778"/>
      <c r="Z778" s="13">
        <f t="shared" si="137"/>
        <v>98.258767427579457</v>
      </c>
      <c r="AA778" s="2"/>
      <c r="AB778" s="68"/>
      <c r="AC778" s="15">
        <f t="shared" si="138"/>
        <v>114.64389777124865</v>
      </c>
    </row>
    <row r="779" spans="1:29">
      <c r="A779" s="84">
        <f>'Q.1 &amp; 4'!K784</f>
        <v>4.3</v>
      </c>
      <c r="B779" s="141">
        <f>'Q.1 &amp; 4'!L784</f>
        <v>27.6</v>
      </c>
      <c r="C779" s="221"/>
      <c r="D779" s="23"/>
      <c r="E779" s="24"/>
      <c r="F779" s="22">
        <f t="shared" si="133"/>
        <v>0.7925925925925883</v>
      </c>
      <c r="G779" s="22">
        <f t="shared" si="134"/>
        <v>-7.1064890695573624</v>
      </c>
      <c r="H779" s="22">
        <f t="shared" si="139"/>
        <v>-5.6325505958713604</v>
      </c>
      <c r="I779" s="22">
        <f t="shared" si="140"/>
        <v>0.62820301783264065</v>
      </c>
      <c r="J779" s="24"/>
      <c r="K779" s="24"/>
      <c r="L779" s="235">
        <f t="shared" si="135"/>
        <v>31.123234011249064</v>
      </c>
      <c r="M779" s="126"/>
      <c r="N779" s="126"/>
      <c r="O779" s="126"/>
      <c r="P779" s="10">
        <f t="shared" si="136"/>
        <v>-3.5232340112490625</v>
      </c>
      <c r="Q779" s="10">
        <f t="shared" si="141"/>
        <v>12.413177898022159</v>
      </c>
      <c r="W779" s="240">
        <f t="shared" si="142"/>
        <v>3.5232340112490625</v>
      </c>
      <c r="X779" s="240">
        <f t="shared" si="143"/>
        <v>0.12765340620467616</v>
      </c>
      <c r="Y779"/>
      <c r="Z779" s="13">
        <f t="shared" si="137"/>
        <v>12.839716812892018</v>
      </c>
      <c r="AA779" s="2"/>
      <c r="AB779" s="68"/>
      <c r="AC779" s="15">
        <f t="shared" si="138"/>
        <v>50.502186895738269</v>
      </c>
    </row>
    <row r="780" spans="1:29">
      <c r="A780" s="84">
        <f>'Q.1 &amp; 4'!K785</f>
        <v>5.3</v>
      </c>
      <c r="B780" s="141">
        <f>'Q.1 &amp; 4'!L785</f>
        <v>24.299900000000001</v>
      </c>
      <c r="C780" s="221"/>
      <c r="D780" s="23"/>
      <c r="E780" s="24"/>
      <c r="F780" s="22">
        <f t="shared" si="133"/>
        <v>1.7925925925925883</v>
      </c>
      <c r="G780" s="22">
        <f t="shared" si="134"/>
        <v>-10.406589069557363</v>
      </c>
      <c r="H780" s="22">
        <f t="shared" si="139"/>
        <v>-18.654774480243525</v>
      </c>
      <c r="I780" s="22">
        <f t="shared" si="140"/>
        <v>3.2133882030178174</v>
      </c>
      <c r="J780" s="24"/>
      <c r="K780" s="24"/>
      <c r="L780" s="235">
        <f t="shared" si="135"/>
        <v>26.602304732075012</v>
      </c>
      <c r="M780" s="126"/>
      <c r="N780" s="126"/>
      <c r="O780" s="126"/>
      <c r="P780" s="10">
        <f t="shared" si="136"/>
        <v>-2.3024047320750114</v>
      </c>
      <c r="Q780" s="10">
        <f t="shared" si="141"/>
        <v>5.3010675502814051</v>
      </c>
      <c r="W780" s="240">
        <f t="shared" si="142"/>
        <v>2.3024047320750114</v>
      </c>
      <c r="X780" s="240">
        <f t="shared" si="143"/>
        <v>9.4749555844880484E-2</v>
      </c>
      <c r="Y780"/>
      <c r="Z780" s="13">
        <f t="shared" si="137"/>
        <v>65.677803775894262</v>
      </c>
      <c r="AA780" s="2"/>
      <c r="AB780" s="68"/>
      <c r="AC780" s="15">
        <f t="shared" si="138"/>
        <v>108.29709606263079</v>
      </c>
    </row>
    <row r="781" spans="1:29">
      <c r="A781" s="84">
        <f>'Q.1 &amp; 4'!K786</f>
        <v>5.3</v>
      </c>
      <c r="B781" s="141">
        <f>'Q.1 &amp; 4'!L786</f>
        <v>23.299900000000001</v>
      </c>
      <c r="C781" s="221"/>
      <c r="D781" s="23"/>
      <c r="E781" s="24"/>
      <c r="F781" s="22">
        <f t="shared" si="133"/>
        <v>1.7925925925925883</v>
      </c>
      <c r="G781" s="22">
        <f t="shared" si="134"/>
        <v>-11.406589069557363</v>
      </c>
      <c r="H781" s="22">
        <f t="shared" si="139"/>
        <v>-20.447367072836112</v>
      </c>
      <c r="I781" s="22">
        <f t="shared" si="140"/>
        <v>3.2133882030178174</v>
      </c>
      <c r="J781" s="24"/>
      <c r="K781" s="24"/>
      <c r="L781" s="235">
        <f t="shared" si="135"/>
        <v>26.602304732075012</v>
      </c>
      <c r="M781" s="126"/>
      <c r="N781" s="126"/>
      <c r="O781" s="126"/>
      <c r="P781" s="10">
        <f t="shared" si="136"/>
        <v>-3.3024047320750114</v>
      </c>
      <c r="Q781" s="10">
        <f t="shared" si="141"/>
        <v>10.905877014431427</v>
      </c>
      <c r="W781" s="240">
        <f t="shared" si="142"/>
        <v>3.3024047320750114</v>
      </c>
      <c r="X781" s="240">
        <f t="shared" si="143"/>
        <v>0.14173471697625359</v>
      </c>
      <c r="Y781"/>
      <c r="Z781" s="13">
        <f t="shared" si="137"/>
        <v>65.677803775894262</v>
      </c>
      <c r="AA781" s="2"/>
      <c r="AB781" s="68"/>
      <c r="AC781" s="15">
        <f t="shared" si="138"/>
        <v>130.11027420174551</v>
      </c>
    </row>
    <row r="782" spans="1:29">
      <c r="A782" s="84">
        <f>'Q.1 &amp; 4'!K787</f>
        <v>5.3</v>
      </c>
      <c r="B782" s="141">
        <f>'Q.1 &amp; 4'!L787</f>
        <v>22.761900000000001</v>
      </c>
      <c r="C782" s="221"/>
      <c r="D782" s="23"/>
      <c r="E782" s="24"/>
      <c r="F782" s="22">
        <f t="shared" si="133"/>
        <v>1.7925925925925883</v>
      </c>
      <c r="G782" s="22">
        <f t="shared" si="134"/>
        <v>-11.944589069557363</v>
      </c>
      <c r="H782" s="22">
        <f t="shared" si="139"/>
        <v>-21.411781887650925</v>
      </c>
      <c r="I782" s="22">
        <f t="shared" si="140"/>
        <v>3.2133882030178174</v>
      </c>
      <c r="J782" s="24"/>
      <c r="K782" s="24"/>
      <c r="L782" s="235">
        <f t="shared" si="135"/>
        <v>26.602304732075012</v>
      </c>
      <c r="M782" s="126"/>
      <c r="N782" s="126"/>
      <c r="O782" s="126"/>
      <c r="P782" s="10">
        <f t="shared" si="136"/>
        <v>-3.8404047320750117</v>
      </c>
      <c r="Q782" s="10">
        <f t="shared" si="141"/>
        <v>14.748708506144142</v>
      </c>
      <c r="W782" s="240">
        <f t="shared" si="142"/>
        <v>3.8404047320750117</v>
      </c>
      <c r="X782" s="240">
        <f t="shared" si="143"/>
        <v>0.16872074528378614</v>
      </c>
      <c r="Y782"/>
      <c r="Z782" s="13">
        <f t="shared" si="137"/>
        <v>65.677803775894262</v>
      </c>
      <c r="AA782" s="2"/>
      <c r="AB782" s="68"/>
      <c r="AC782" s="15">
        <f t="shared" si="138"/>
        <v>142.67320804058923</v>
      </c>
    </row>
    <row r="783" spans="1:29">
      <c r="A783" s="84">
        <f>'Q.1 &amp; 4'!K788</f>
        <v>5.3</v>
      </c>
      <c r="B783" s="141">
        <f>'Q.1 &amp; 4'!L788</f>
        <v>22.9</v>
      </c>
      <c r="C783" s="221"/>
      <c r="D783" s="23"/>
      <c r="E783" s="24"/>
      <c r="F783" s="22">
        <f t="shared" si="133"/>
        <v>1.7925925925925883</v>
      </c>
      <c r="G783" s="22">
        <f t="shared" si="134"/>
        <v>-11.806489069557365</v>
      </c>
      <c r="H783" s="22">
        <f t="shared" si="139"/>
        <v>-21.164224850613891</v>
      </c>
      <c r="I783" s="22">
        <f t="shared" si="140"/>
        <v>3.2133882030178174</v>
      </c>
      <c r="J783" s="24"/>
      <c r="K783" s="24"/>
      <c r="L783" s="235">
        <f t="shared" si="135"/>
        <v>26.602304732075012</v>
      </c>
      <c r="M783" s="126"/>
      <c r="N783" s="126"/>
      <c r="O783" s="126"/>
      <c r="P783" s="10">
        <f t="shared" si="136"/>
        <v>-3.7023047320750138</v>
      </c>
      <c r="Q783" s="10">
        <f t="shared" si="141"/>
        <v>13.707060329145039</v>
      </c>
      <c r="W783" s="240">
        <f t="shared" si="142"/>
        <v>3.7023047320750138</v>
      </c>
      <c r="X783" s="240">
        <f t="shared" si="143"/>
        <v>0.16167269572379975</v>
      </c>
      <c r="Y783"/>
      <c r="Z783" s="13">
        <f t="shared" si="137"/>
        <v>65.677803775894262</v>
      </c>
      <c r="AA783" s="2"/>
      <c r="AB783" s="68"/>
      <c r="AC783" s="15">
        <f t="shared" si="138"/>
        <v>139.39318414957754</v>
      </c>
    </row>
    <row r="784" spans="1:29">
      <c r="A784" s="84">
        <f>'Q.1 &amp; 4'!K789</f>
        <v>4.3</v>
      </c>
      <c r="B784" s="141">
        <f>'Q.1 &amp; 4'!L789</f>
        <v>27.6</v>
      </c>
      <c r="C784" s="221"/>
      <c r="D784" s="23"/>
      <c r="E784" s="24"/>
      <c r="F784" s="22">
        <f t="shared" si="133"/>
        <v>0.7925925925925883</v>
      </c>
      <c r="G784" s="22">
        <f t="shared" si="134"/>
        <v>-7.1064890695573624</v>
      </c>
      <c r="H784" s="22">
        <f t="shared" si="139"/>
        <v>-5.6325505958713604</v>
      </c>
      <c r="I784" s="22">
        <f t="shared" si="140"/>
        <v>0.62820301783264065</v>
      </c>
      <c r="J784" s="24"/>
      <c r="K784" s="24"/>
      <c r="L784" s="235">
        <f t="shared" si="135"/>
        <v>31.123234011249064</v>
      </c>
      <c r="M784" s="126"/>
      <c r="N784" s="126"/>
      <c r="O784" s="126"/>
      <c r="P784" s="10">
        <f t="shared" si="136"/>
        <v>-3.5232340112490625</v>
      </c>
      <c r="Q784" s="10">
        <f t="shared" si="141"/>
        <v>12.413177898022159</v>
      </c>
      <c r="W784" s="240">
        <f t="shared" si="142"/>
        <v>3.5232340112490625</v>
      </c>
      <c r="X784" s="240">
        <f t="shared" si="143"/>
        <v>0.12765340620467616</v>
      </c>
      <c r="Y784"/>
      <c r="Z784" s="13">
        <f t="shared" si="137"/>
        <v>12.839716812892018</v>
      </c>
      <c r="AA784" s="2"/>
      <c r="AB784" s="68"/>
      <c r="AC784" s="15">
        <f t="shared" si="138"/>
        <v>50.502186895738269</v>
      </c>
    </row>
    <row r="785" spans="1:29">
      <c r="A785" s="84">
        <f>'Q.1 &amp; 4'!K790</f>
        <v>5.3</v>
      </c>
      <c r="B785" s="141">
        <f>'Q.1 &amp; 4'!L790</f>
        <v>24.299900000000001</v>
      </c>
      <c r="C785" s="221"/>
      <c r="D785" s="23"/>
      <c r="E785" s="24"/>
      <c r="F785" s="22">
        <f t="shared" si="133"/>
        <v>1.7925925925925883</v>
      </c>
      <c r="G785" s="22">
        <f t="shared" si="134"/>
        <v>-10.406589069557363</v>
      </c>
      <c r="H785" s="22">
        <f t="shared" si="139"/>
        <v>-18.654774480243525</v>
      </c>
      <c r="I785" s="22">
        <f t="shared" si="140"/>
        <v>3.2133882030178174</v>
      </c>
      <c r="J785" s="24"/>
      <c r="K785" s="24"/>
      <c r="L785" s="235">
        <f t="shared" si="135"/>
        <v>26.602304732075012</v>
      </c>
      <c r="M785" s="126"/>
      <c r="N785" s="126"/>
      <c r="O785" s="126"/>
      <c r="P785" s="10">
        <f t="shared" si="136"/>
        <v>-2.3024047320750114</v>
      </c>
      <c r="Q785" s="10">
        <f t="shared" si="141"/>
        <v>5.3010675502814051</v>
      </c>
      <c r="W785" s="240">
        <f t="shared" si="142"/>
        <v>2.3024047320750114</v>
      </c>
      <c r="X785" s="240">
        <f t="shared" si="143"/>
        <v>9.4749555844880484E-2</v>
      </c>
      <c r="Y785"/>
      <c r="Z785" s="13">
        <f t="shared" si="137"/>
        <v>65.677803775894262</v>
      </c>
      <c r="AA785" s="2"/>
      <c r="AB785" s="68"/>
      <c r="AC785" s="15">
        <f t="shared" si="138"/>
        <v>108.29709606263079</v>
      </c>
    </row>
    <row r="786" spans="1:29">
      <c r="A786" s="84">
        <f>'Q.1 &amp; 4'!K791</f>
        <v>5.3</v>
      </c>
      <c r="B786" s="141">
        <f>'Q.1 &amp; 4'!L791</f>
        <v>23.299900000000001</v>
      </c>
      <c r="C786" s="221"/>
      <c r="D786" s="23"/>
      <c r="E786" s="24"/>
      <c r="F786" s="22">
        <f t="shared" si="133"/>
        <v>1.7925925925925883</v>
      </c>
      <c r="G786" s="22">
        <f t="shared" si="134"/>
        <v>-11.406589069557363</v>
      </c>
      <c r="H786" s="22">
        <f t="shared" si="139"/>
        <v>-20.447367072836112</v>
      </c>
      <c r="I786" s="22">
        <f t="shared" si="140"/>
        <v>3.2133882030178174</v>
      </c>
      <c r="J786" s="24"/>
      <c r="K786" s="24"/>
      <c r="L786" s="235">
        <f t="shared" si="135"/>
        <v>26.602304732075012</v>
      </c>
      <c r="M786" s="126"/>
      <c r="N786" s="126"/>
      <c r="O786" s="126"/>
      <c r="P786" s="10">
        <f t="shared" si="136"/>
        <v>-3.3024047320750114</v>
      </c>
      <c r="Q786" s="10">
        <f t="shared" si="141"/>
        <v>10.905877014431427</v>
      </c>
      <c r="W786" s="240">
        <f t="shared" si="142"/>
        <v>3.3024047320750114</v>
      </c>
      <c r="X786" s="240">
        <f t="shared" si="143"/>
        <v>0.14173471697625359</v>
      </c>
      <c r="Y786"/>
      <c r="Z786" s="13">
        <f t="shared" si="137"/>
        <v>65.677803775894262</v>
      </c>
      <c r="AA786" s="2"/>
      <c r="AB786" s="68"/>
      <c r="AC786" s="15">
        <f t="shared" si="138"/>
        <v>130.11027420174551</v>
      </c>
    </row>
    <row r="787" spans="1:29">
      <c r="A787" s="84">
        <f>'Q.1 &amp; 4'!K792</f>
        <v>5.3</v>
      </c>
      <c r="B787" s="141">
        <f>'Q.1 &amp; 4'!L792</f>
        <v>22.761900000000001</v>
      </c>
      <c r="C787" s="221"/>
      <c r="D787" s="23"/>
      <c r="E787" s="24"/>
      <c r="F787" s="22">
        <f t="shared" si="133"/>
        <v>1.7925925925925883</v>
      </c>
      <c r="G787" s="22">
        <f t="shared" si="134"/>
        <v>-11.944589069557363</v>
      </c>
      <c r="H787" s="22">
        <f t="shared" si="139"/>
        <v>-21.411781887650925</v>
      </c>
      <c r="I787" s="22">
        <f t="shared" si="140"/>
        <v>3.2133882030178174</v>
      </c>
      <c r="J787" s="24"/>
      <c r="K787" s="24"/>
      <c r="L787" s="235">
        <f t="shared" si="135"/>
        <v>26.602304732075012</v>
      </c>
      <c r="M787" s="126"/>
      <c r="N787" s="126"/>
      <c r="O787" s="126"/>
      <c r="P787" s="10">
        <f t="shared" si="136"/>
        <v>-3.8404047320750117</v>
      </c>
      <c r="Q787" s="10">
        <f t="shared" si="141"/>
        <v>14.748708506144142</v>
      </c>
      <c r="W787" s="240">
        <f t="shared" si="142"/>
        <v>3.8404047320750117</v>
      </c>
      <c r="X787" s="240">
        <f t="shared" si="143"/>
        <v>0.16872074528378614</v>
      </c>
      <c r="Y787"/>
      <c r="Z787" s="13">
        <f t="shared" si="137"/>
        <v>65.677803775894262</v>
      </c>
      <c r="AA787" s="2"/>
      <c r="AB787" s="68"/>
      <c r="AC787" s="15">
        <f t="shared" si="138"/>
        <v>142.67320804058923</v>
      </c>
    </row>
    <row r="788" spans="1:29">
      <c r="A788" s="84">
        <f>'Q.1 &amp; 4'!K793</f>
        <v>5.3</v>
      </c>
      <c r="B788" s="141">
        <f>'Q.1 &amp; 4'!L793</f>
        <v>22.9</v>
      </c>
      <c r="C788" s="221"/>
      <c r="D788" s="23"/>
      <c r="E788" s="24"/>
      <c r="F788" s="22">
        <f t="shared" si="133"/>
        <v>1.7925925925925883</v>
      </c>
      <c r="G788" s="22">
        <f t="shared" si="134"/>
        <v>-11.806489069557365</v>
      </c>
      <c r="H788" s="22">
        <f t="shared" si="139"/>
        <v>-21.164224850613891</v>
      </c>
      <c r="I788" s="22">
        <f t="shared" si="140"/>
        <v>3.2133882030178174</v>
      </c>
      <c r="J788" s="24"/>
      <c r="K788" s="24"/>
      <c r="L788" s="235">
        <f t="shared" si="135"/>
        <v>26.602304732075012</v>
      </c>
      <c r="M788" s="126"/>
      <c r="N788" s="126"/>
      <c r="O788" s="126"/>
      <c r="P788" s="10">
        <f t="shared" si="136"/>
        <v>-3.7023047320750138</v>
      </c>
      <c r="Q788" s="10">
        <f t="shared" si="141"/>
        <v>13.707060329145039</v>
      </c>
      <c r="W788" s="240">
        <f t="shared" si="142"/>
        <v>3.7023047320750138</v>
      </c>
      <c r="X788" s="240">
        <f t="shared" si="143"/>
        <v>0.16167269572379975</v>
      </c>
      <c r="Y788"/>
      <c r="Z788" s="13">
        <f t="shared" si="137"/>
        <v>65.677803775894262</v>
      </c>
      <c r="AA788" s="2"/>
      <c r="AB788" s="68"/>
      <c r="AC788" s="15">
        <f t="shared" si="138"/>
        <v>139.39318414957754</v>
      </c>
    </row>
    <row r="789" spans="1:29">
      <c r="A789" s="84">
        <f>'Q.1 &amp; 4'!K794</f>
        <v>5.3</v>
      </c>
      <c r="B789" s="141">
        <f>'Q.1 &amp; 4'!L794</f>
        <v>23.299900000000001</v>
      </c>
      <c r="C789" s="221"/>
      <c r="D789" s="23"/>
      <c r="E789" s="24"/>
      <c r="F789" s="22">
        <f t="shared" si="133"/>
        <v>1.7925925925925883</v>
      </c>
      <c r="G789" s="22">
        <f t="shared" si="134"/>
        <v>-11.406589069557363</v>
      </c>
      <c r="H789" s="22">
        <f t="shared" si="139"/>
        <v>-20.447367072836112</v>
      </c>
      <c r="I789" s="22">
        <f t="shared" si="140"/>
        <v>3.2133882030178174</v>
      </c>
      <c r="J789" s="24"/>
      <c r="K789" s="24"/>
      <c r="L789" s="235">
        <f t="shared" si="135"/>
        <v>26.602304732075012</v>
      </c>
      <c r="M789" s="126"/>
      <c r="N789" s="126"/>
      <c r="O789" s="126"/>
      <c r="P789" s="10">
        <f t="shared" si="136"/>
        <v>-3.3024047320750114</v>
      </c>
      <c r="Q789" s="10">
        <f t="shared" si="141"/>
        <v>10.905877014431427</v>
      </c>
      <c r="W789" s="240">
        <f t="shared" si="142"/>
        <v>3.3024047320750114</v>
      </c>
      <c r="X789" s="240">
        <f t="shared" si="143"/>
        <v>0.14173471697625359</v>
      </c>
      <c r="Y789"/>
      <c r="Z789" s="13">
        <f t="shared" si="137"/>
        <v>65.677803775894262</v>
      </c>
      <c r="AA789" s="2"/>
      <c r="AB789" s="68"/>
      <c r="AC789" s="15">
        <f t="shared" si="138"/>
        <v>130.11027420174551</v>
      </c>
    </row>
    <row r="790" spans="1:29">
      <c r="A790" s="84">
        <f>'Q.1 &amp; 4'!K795</f>
        <v>5.3</v>
      </c>
      <c r="B790" s="141">
        <f>'Q.1 &amp; 4'!L795</f>
        <v>22.9</v>
      </c>
      <c r="C790" s="221"/>
      <c r="D790" s="23"/>
      <c r="E790" s="24"/>
      <c r="F790" s="22">
        <f t="shared" si="133"/>
        <v>1.7925925925925883</v>
      </c>
      <c r="G790" s="22">
        <f t="shared" si="134"/>
        <v>-11.806489069557365</v>
      </c>
      <c r="H790" s="22">
        <f t="shared" si="139"/>
        <v>-21.164224850613891</v>
      </c>
      <c r="I790" s="22">
        <f t="shared" si="140"/>
        <v>3.2133882030178174</v>
      </c>
      <c r="J790" s="24"/>
      <c r="K790" s="24"/>
      <c r="L790" s="235">
        <f t="shared" si="135"/>
        <v>26.602304732075012</v>
      </c>
      <c r="M790" s="126"/>
      <c r="N790" s="126"/>
      <c r="O790" s="126"/>
      <c r="P790" s="10">
        <f t="shared" si="136"/>
        <v>-3.7023047320750138</v>
      </c>
      <c r="Q790" s="10">
        <f t="shared" si="141"/>
        <v>13.707060329145039</v>
      </c>
      <c r="W790" s="240">
        <f t="shared" si="142"/>
        <v>3.7023047320750138</v>
      </c>
      <c r="X790" s="240">
        <f t="shared" si="143"/>
        <v>0.16167269572379975</v>
      </c>
      <c r="Y790"/>
      <c r="Z790" s="13">
        <f t="shared" si="137"/>
        <v>65.677803775894262</v>
      </c>
      <c r="AA790" s="2"/>
      <c r="AB790" s="68"/>
      <c r="AC790" s="15">
        <f t="shared" si="138"/>
        <v>139.39318414957754</v>
      </c>
    </row>
    <row r="791" spans="1:29">
      <c r="A791" s="84">
        <f>'Q.1 &amp; 4'!K796</f>
        <v>5.3</v>
      </c>
      <c r="B791" s="141">
        <f>'Q.1 &amp; 4'!L796</f>
        <v>23.299900000000001</v>
      </c>
      <c r="C791" s="221"/>
      <c r="D791" s="23"/>
      <c r="E791" s="24"/>
      <c r="F791" s="22">
        <f t="shared" si="133"/>
        <v>1.7925925925925883</v>
      </c>
      <c r="G791" s="22">
        <f t="shared" si="134"/>
        <v>-11.406589069557363</v>
      </c>
      <c r="H791" s="22">
        <f t="shared" si="139"/>
        <v>-20.447367072836112</v>
      </c>
      <c r="I791" s="22">
        <f t="shared" si="140"/>
        <v>3.2133882030178174</v>
      </c>
      <c r="J791" s="24"/>
      <c r="K791" s="24"/>
      <c r="L791" s="235">
        <f t="shared" si="135"/>
        <v>26.602304732075012</v>
      </c>
      <c r="M791" s="126"/>
      <c r="N791" s="126"/>
      <c r="O791" s="126"/>
      <c r="P791" s="10">
        <f t="shared" si="136"/>
        <v>-3.3024047320750114</v>
      </c>
      <c r="Q791" s="10">
        <f t="shared" si="141"/>
        <v>10.905877014431427</v>
      </c>
      <c r="W791" s="240">
        <f t="shared" si="142"/>
        <v>3.3024047320750114</v>
      </c>
      <c r="X791" s="240">
        <f t="shared" si="143"/>
        <v>0.14173471697625359</v>
      </c>
      <c r="Y791"/>
      <c r="Z791" s="13">
        <f t="shared" si="137"/>
        <v>65.677803775894262</v>
      </c>
      <c r="AA791" s="2"/>
      <c r="AB791" s="68"/>
      <c r="AC791" s="15">
        <f t="shared" si="138"/>
        <v>130.11027420174551</v>
      </c>
    </row>
    <row r="792" spans="1:29">
      <c r="A792" s="84">
        <f>'Q.1 &amp; 4'!K797</f>
        <v>5.3</v>
      </c>
      <c r="B792" s="141">
        <f>'Q.1 &amp; 4'!L797</f>
        <v>22.9</v>
      </c>
      <c r="C792" s="221"/>
      <c r="D792" s="23"/>
      <c r="E792" s="24"/>
      <c r="F792" s="22">
        <f t="shared" si="133"/>
        <v>1.7925925925925883</v>
      </c>
      <c r="G792" s="22">
        <f t="shared" si="134"/>
        <v>-11.806489069557365</v>
      </c>
      <c r="H792" s="22">
        <f t="shared" si="139"/>
        <v>-21.164224850613891</v>
      </c>
      <c r="I792" s="22">
        <f t="shared" si="140"/>
        <v>3.2133882030178174</v>
      </c>
      <c r="J792" s="24"/>
      <c r="K792" s="24"/>
      <c r="L792" s="235">
        <f t="shared" si="135"/>
        <v>26.602304732075012</v>
      </c>
      <c r="M792" s="126"/>
      <c r="N792" s="126"/>
      <c r="O792" s="126"/>
      <c r="P792" s="10">
        <f t="shared" si="136"/>
        <v>-3.7023047320750138</v>
      </c>
      <c r="Q792" s="10">
        <f t="shared" si="141"/>
        <v>13.707060329145039</v>
      </c>
      <c r="W792" s="240">
        <f t="shared" si="142"/>
        <v>3.7023047320750138</v>
      </c>
      <c r="X792" s="240">
        <f t="shared" si="143"/>
        <v>0.16167269572379975</v>
      </c>
      <c r="Y792"/>
      <c r="Z792" s="13">
        <f t="shared" si="137"/>
        <v>65.677803775894262</v>
      </c>
      <c r="AA792" s="2"/>
      <c r="AB792" s="68"/>
      <c r="AC792" s="15">
        <f t="shared" si="138"/>
        <v>139.39318414957754</v>
      </c>
    </row>
    <row r="793" spans="1:29">
      <c r="A793" s="84">
        <f>'Q.1 &amp; 4'!K798</f>
        <v>2</v>
      </c>
      <c r="B793" s="141">
        <f>'Q.1 &amp; 4'!L798</f>
        <v>35</v>
      </c>
      <c r="C793" s="221"/>
      <c r="D793" s="23"/>
      <c r="E793" s="24"/>
      <c r="F793" s="22">
        <f t="shared" si="133"/>
        <v>-1.5074074074074115</v>
      </c>
      <c r="G793" s="22">
        <f t="shared" si="134"/>
        <v>0.29351093044263621</v>
      </c>
      <c r="H793" s="22">
        <f t="shared" si="139"/>
        <v>-0.44244055070427135</v>
      </c>
      <c r="I793" s="22">
        <f t="shared" si="140"/>
        <v>2.2722770919067341</v>
      </c>
      <c r="J793" s="24"/>
      <c r="K793" s="24"/>
      <c r="L793" s="235">
        <f t="shared" si="135"/>
        <v>41.52137135334938</v>
      </c>
      <c r="M793" s="126"/>
      <c r="N793" s="126"/>
      <c r="O793" s="126"/>
      <c r="P793" s="10">
        <f t="shared" si="136"/>
        <v>-6.5213713533493802</v>
      </c>
      <c r="Q793" s="10">
        <f t="shared" si="141"/>
        <v>42.528284328285928</v>
      </c>
      <c r="W793" s="240">
        <f t="shared" si="142"/>
        <v>6.5213713533493802</v>
      </c>
      <c r="X793" s="240">
        <f t="shared" si="143"/>
        <v>0.18632489580998229</v>
      </c>
      <c r="Y793"/>
      <c r="Z793" s="13">
        <f t="shared" si="137"/>
        <v>46.44262054194229</v>
      </c>
      <c r="AA793" s="2"/>
      <c r="AB793" s="68"/>
      <c r="AC793" s="15">
        <f t="shared" si="138"/>
        <v>8.6148666289302026E-2</v>
      </c>
    </row>
    <row r="794" spans="1:29">
      <c r="A794" s="84">
        <f>'Q.1 &amp; 4'!K799</f>
        <v>3.3</v>
      </c>
      <c r="B794" s="141">
        <f>'Q.1 &amp; 4'!L799</f>
        <v>33.098799999999997</v>
      </c>
      <c r="C794" s="221"/>
      <c r="D794" s="23"/>
      <c r="E794" s="24"/>
      <c r="F794" s="22">
        <f t="shared" si="133"/>
        <v>-0.2074074074074117</v>
      </c>
      <c r="G794" s="22">
        <f t="shared" si="134"/>
        <v>-1.6076890695573667</v>
      </c>
      <c r="H794" s="22">
        <f t="shared" si="139"/>
        <v>0.33344662183412738</v>
      </c>
      <c r="I794" s="22">
        <f t="shared" si="140"/>
        <v>4.301783264746406E-2</v>
      </c>
      <c r="J794" s="24"/>
      <c r="K794" s="24"/>
      <c r="L794" s="235">
        <f t="shared" si="135"/>
        <v>35.644163290423116</v>
      </c>
      <c r="M794" s="126"/>
      <c r="N794" s="126"/>
      <c r="O794" s="126"/>
      <c r="P794" s="10">
        <f t="shared" si="136"/>
        <v>-2.5453632904231185</v>
      </c>
      <c r="Q794" s="10">
        <f t="shared" si="141"/>
        <v>6.4788742802336046</v>
      </c>
      <c r="W794" s="240">
        <f t="shared" si="142"/>
        <v>2.5453632904231185</v>
      </c>
      <c r="X794" s="240">
        <f t="shared" si="143"/>
        <v>7.6901981051371013E-2</v>
      </c>
      <c r="Y794"/>
      <c r="Z794" s="13">
        <f t="shared" si="137"/>
        <v>0.87923294447619471</v>
      </c>
      <c r="AA794" s="2"/>
      <c r="AB794" s="68"/>
      <c r="AC794" s="15">
        <f t="shared" si="138"/>
        <v>2.5846641443742313</v>
      </c>
    </row>
    <row r="795" spans="1:29">
      <c r="A795" s="84">
        <f>'Q.1 &amp; 4'!K800</f>
        <v>3.8</v>
      </c>
      <c r="B795" s="141">
        <f>'Q.1 &amp; 4'!L800</f>
        <v>31.9</v>
      </c>
      <c r="C795" s="221"/>
      <c r="D795" s="23"/>
      <c r="E795" s="24"/>
      <c r="F795" s="22">
        <f t="shared" si="133"/>
        <v>0.2925925925925883</v>
      </c>
      <c r="G795" s="22">
        <f t="shared" si="134"/>
        <v>-2.8064890695573652</v>
      </c>
      <c r="H795" s="22">
        <f t="shared" si="139"/>
        <v>-0.82115791294455032</v>
      </c>
      <c r="I795" s="22">
        <f t="shared" si="140"/>
        <v>8.5610425240052357E-2</v>
      </c>
      <c r="J795" s="24"/>
      <c r="K795" s="24"/>
      <c r="L795" s="235">
        <f t="shared" si="135"/>
        <v>33.383698650836088</v>
      </c>
      <c r="M795" s="126"/>
      <c r="N795" s="126"/>
      <c r="O795" s="126"/>
      <c r="P795" s="10">
        <f t="shared" si="136"/>
        <v>-1.4836986508360894</v>
      </c>
      <c r="Q795" s="10">
        <f t="shared" si="141"/>
        <v>2.2013616864928318</v>
      </c>
      <c r="W795" s="240">
        <f t="shared" si="142"/>
        <v>1.4836986508360894</v>
      </c>
      <c r="X795" s="240">
        <f t="shared" si="143"/>
        <v>4.6510929493294342E-2</v>
      </c>
      <c r="Y795"/>
      <c r="Z795" s="13">
        <f t="shared" si="137"/>
        <v>1.749774491860808</v>
      </c>
      <c r="AA795" s="2"/>
      <c r="AB795" s="68"/>
      <c r="AC795" s="15">
        <f t="shared" si="138"/>
        <v>7.8763808975449656</v>
      </c>
    </row>
    <row r="796" spans="1:29">
      <c r="A796" s="84">
        <f>'Q.1 &amp; 4'!K801</f>
        <v>4</v>
      </c>
      <c r="B796" s="141">
        <f>'Q.1 &amp; 4'!L801</f>
        <v>35.200000000000003</v>
      </c>
      <c r="C796" s="221"/>
      <c r="D796" s="23"/>
      <c r="E796" s="24"/>
      <c r="F796" s="22">
        <f t="shared" si="133"/>
        <v>0.49259259259258847</v>
      </c>
      <c r="G796" s="22">
        <f t="shared" si="134"/>
        <v>0.49351093044263905</v>
      </c>
      <c r="H796" s="22">
        <f t="shared" si="139"/>
        <v>0.24309982869952015</v>
      </c>
      <c r="I796" s="22">
        <f t="shared" si="140"/>
        <v>0.24264746227708786</v>
      </c>
      <c r="J796" s="24"/>
      <c r="K796" s="24"/>
      <c r="L796" s="235">
        <f t="shared" si="135"/>
        <v>32.479512795001277</v>
      </c>
      <c r="M796" s="126"/>
      <c r="N796" s="126"/>
      <c r="O796" s="126"/>
      <c r="P796" s="10">
        <f t="shared" si="136"/>
        <v>2.7204872049987259</v>
      </c>
      <c r="Q796" s="10">
        <f t="shared" si="141"/>
        <v>7.4010506325617795</v>
      </c>
      <c r="W796" s="240">
        <f t="shared" si="142"/>
        <v>2.7204872049987259</v>
      </c>
      <c r="X796" s="240">
        <f t="shared" si="143"/>
        <v>7.7286568323827437E-2</v>
      </c>
      <c r="Y796"/>
      <c r="Z796" s="13">
        <f t="shared" si="137"/>
        <v>4.9594233274357071</v>
      </c>
      <c r="AA796" s="2"/>
      <c r="AB796" s="68"/>
      <c r="AC796" s="15">
        <f t="shared" si="138"/>
        <v>0.24355303846635931</v>
      </c>
    </row>
    <row r="797" spans="1:29">
      <c r="A797" s="84">
        <f>'Q.1 &amp; 4'!K802</f>
        <v>3.3</v>
      </c>
      <c r="B797" s="141">
        <f>'Q.1 &amp; 4'!L802</f>
        <v>33.098799999999997</v>
      </c>
      <c r="C797" s="221"/>
      <c r="D797" s="23"/>
      <c r="E797" s="24"/>
      <c r="F797" s="22">
        <f t="shared" si="133"/>
        <v>-0.2074074074074117</v>
      </c>
      <c r="G797" s="22">
        <f t="shared" si="134"/>
        <v>-1.6076890695573667</v>
      </c>
      <c r="H797" s="22">
        <f t="shared" si="139"/>
        <v>0.33344662183412738</v>
      </c>
      <c r="I797" s="22">
        <f t="shared" si="140"/>
        <v>4.301783264746406E-2</v>
      </c>
      <c r="J797" s="24"/>
      <c r="K797" s="24"/>
      <c r="L797" s="235">
        <f t="shared" si="135"/>
        <v>35.644163290423116</v>
      </c>
      <c r="M797" s="126"/>
      <c r="N797" s="126"/>
      <c r="O797" s="126"/>
      <c r="P797" s="10">
        <f t="shared" si="136"/>
        <v>-2.5453632904231185</v>
      </c>
      <c r="Q797" s="10">
        <f t="shared" si="141"/>
        <v>6.4788742802336046</v>
      </c>
      <c r="W797" s="240">
        <f t="shared" si="142"/>
        <v>2.5453632904231185</v>
      </c>
      <c r="X797" s="240">
        <f t="shared" si="143"/>
        <v>7.6901981051371013E-2</v>
      </c>
      <c r="Y797"/>
      <c r="Z797" s="13">
        <f t="shared" si="137"/>
        <v>0.87923294447619471</v>
      </c>
      <c r="AA797" s="2"/>
      <c r="AB797" s="68"/>
      <c r="AC797" s="15">
        <f t="shared" si="138"/>
        <v>2.5846641443742313</v>
      </c>
    </row>
    <row r="798" spans="1:29">
      <c r="A798" s="84">
        <f>'Q.1 &amp; 4'!K803</f>
        <v>3.8</v>
      </c>
      <c r="B798" s="141">
        <f>'Q.1 &amp; 4'!L803</f>
        <v>31.9</v>
      </c>
      <c r="C798" s="221"/>
      <c r="D798" s="23"/>
      <c r="E798" s="24"/>
      <c r="F798" s="22">
        <f t="shared" si="133"/>
        <v>0.2925925925925883</v>
      </c>
      <c r="G798" s="22">
        <f t="shared" si="134"/>
        <v>-2.8064890695573652</v>
      </c>
      <c r="H798" s="22">
        <f t="shared" si="139"/>
        <v>-0.82115791294455032</v>
      </c>
      <c r="I798" s="22">
        <f t="shared" si="140"/>
        <v>8.5610425240052357E-2</v>
      </c>
      <c r="J798" s="24"/>
      <c r="K798" s="24"/>
      <c r="L798" s="235">
        <f t="shared" si="135"/>
        <v>33.383698650836088</v>
      </c>
      <c r="M798" s="126"/>
      <c r="N798" s="126"/>
      <c r="O798" s="126"/>
      <c r="P798" s="10">
        <f t="shared" si="136"/>
        <v>-1.4836986508360894</v>
      </c>
      <c r="Q798" s="10">
        <f t="shared" si="141"/>
        <v>2.2013616864928318</v>
      </c>
      <c r="W798" s="240">
        <f t="shared" si="142"/>
        <v>1.4836986508360894</v>
      </c>
      <c r="X798" s="240">
        <f t="shared" si="143"/>
        <v>4.6510929493294342E-2</v>
      </c>
      <c r="Y798"/>
      <c r="Z798" s="13">
        <f t="shared" si="137"/>
        <v>1.749774491860808</v>
      </c>
      <c r="AA798" s="2"/>
      <c r="AB798" s="68"/>
      <c r="AC798" s="15">
        <f t="shared" si="138"/>
        <v>7.8763808975449656</v>
      </c>
    </row>
    <row r="799" spans="1:29">
      <c r="A799" s="84">
        <f>'Q.1 &amp; 4'!K804</f>
        <v>4</v>
      </c>
      <c r="B799" s="141">
        <f>'Q.1 &amp; 4'!L804</f>
        <v>35.200000000000003</v>
      </c>
      <c r="C799" s="221"/>
      <c r="D799" s="23"/>
      <c r="E799" s="24"/>
      <c r="F799" s="22">
        <f t="shared" si="133"/>
        <v>0.49259259259258847</v>
      </c>
      <c r="G799" s="22">
        <f t="shared" si="134"/>
        <v>0.49351093044263905</v>
      </c>
      <c r="H799" s="22">
        <f t="shared" si="139"/>
        <v>0.24309982869952015</v>
      </c>
      <c r="I799" s="22">
        <f t="shared" si="140"/>
        <v>0.24264746227708786</v>
      </c>
      <c r="J799" s="24"/>
      <c r="K799" s="24"/>
      <c r="L799" s="235">
        <f t="shared" si="135"/>
        <v>32.479512795001277</v>
      </c>
      <c r="M799" s="126"/>
      <c r="N799" s="126"/>
      <c r="O799" s="126"/>
      <c r="P799" s="10">
        <f t="shared" si="136"/>
        <v>2.7204872049987259</v>
      </c>
      <c r="Q799" s="10">
        <f t="shared" si="141"/>
        <v>7.4010506325617795</v>
      </c>
      <c r="W799" s="240">
        <f t="shared" si="142"/>
        <v>2.7204872049987259</v>
      </c>
      <c r="X799" s="240">
        <f t="shared" si="143"/>
        <v>7.7286568323827437E-2</v>
      </c>
      <c r="Y799"/>
      <c r="Z799" s="13">
        <f t="shared" si="137"/>
        <v>4.9594233274357071</v>
      </c>
      <c r="AA799" s="2"/>
      <c r="AB799" s="68"/>
      <c r="AC799" s="15">
        <f t="shared" si="138"/>
        <v>0.24355303846635931</v>
      </c>
    </row>
    <row r="800" spans="1:29">
      <c r="A800" s="84">
        <f>'Q.1 &amp; 4'!K805</f>
        <v>3.5</v>
      </c>
      <c r="B800" s="141">
        <f>'Q.1 &amp; 4'!L805</f>
        <v>35.5</v>
      </c>
      <c r="C800" s="221"/>
      <c r="D800" s="23"/>
      <c r="E800" s="24"/>
      <c r="F800" s="22">
        <f t="shared" si="133"/>
        <v>-7.4074074074115259E-3</v>
      </c>
      <c r="G800" s="22">
        <f t="shared" si="134"/>
        <v>0.79351093044263621</v>
      </c>
      <c r="H800" s="22">
        <f t="shared" si="139"/>
        <v>-5.8778587440227953E-3</v>
      </c>
      <c r="I800" s="22">
        <f t="shared" si="140"/>
        <v>5.4869684499375142E-5</v>
      </c>
      <c r="J800" s="24"/>
      <c r="K800" s="24"/>
      <c r="L800" s="235">
        <f t="shared" si="135"/>
        <v>34.739977434588305</v>
      </c>
      <c r="M800" s="126"/>
      <c r="N800" s="126"/>
      <c r="O800" s="126"/>
      <c r="P800" s="10">
        <f t="shared" si="136"/>
        <v>0.76002256541169544</v>
      </c>
      <c r="Q800" s="10">
        <f t="shared" si="141"/>
        <v>0.57763429993497484</v>
      </c>
      <c r="W800" s="240">
        <f t="shared" si="142"/>
        <v>0.76002256541169544</v>
      </c>
      <c r="X800" s="240">
        <f t="shared" si="143"/>
        <v>2.1409086349625222E-2</v>
      </c>
      <c r="Y800"/>
      <c r="Z800" s="13">
        <f t="shared" si="137"/>
        <v>1.1214705924455365E-3</v>
      </c>
      <c r="AA800" s="2"/>
      <c r="AB800" s="68"/>
      <c r="AC800" s="15">
        <f t="shared" si="138"/>
        <v>0.62965959673193828</v>
      </c>
    </row>
    <row r="801" spans="1:29">
      <c r="A801" s="84">
        <f>'Q.1 &amp; 4'!K806</f>
        <v>3.5</v>
      </c>
      <c r="B801" s="141">
        <f>'Q.1 &amp; 4'!L806</f>
        <v>32.4</v>
      </c>
      <c r="C801" s="221"/>
      <c r="D801" s="23"/>
      <c r="E801" s="24"/>
      <c r="F801" s="22">
        <f t="shared" si="133"/>
        <v>-7.4074074074115259E-3</v>
      </c>
      <c r="G801" s="22">
        <f t="shared" si="134"/>
        <v>-2.3064890695573652</v>
      </c>
      <c r="H801" s="22">
        <f t="shared" si="139"/>
        <v>1.7085104218952946E-2</v>
      </c>
      <c r="I801" s="22">
        <f t="shared" si="140"/>
        <v>5.4869684499375142E-5</v>
      </c>
      <c r="J801" s="24"/>
      <c r="K801" s="24"/>
      <c r="L801" s="235">
        <f t="shared" si="135"/>
        <v>34.739977434588305</v>
      </c>
      <c r="M801" s="126"/>
      <c r="N801" s="126"/>
      <c r="O801" s="126"/>
      <c r="P801" s="10">
        <f t="shared" si="136"/>
        <v>-2.339977434588306</v>
      </c>
      <c r="Q801" s="10">
        <f t="shared" si="141"/>
        <v>5.4754943943824701</v>
      </c>
      <c r="W801" s="240">
        <f t="shared" si="142"/>
        <v>2.339977434588306</v>
      </c>
      <c r="X801" s="240">
        <f t="shared" si="143"/>
        <v>7.2221525758898342E-2</v>
      </c>
      <c r="Y801"/>
      <c r="Z801" s="13">
        <f t="shared" si="137"/>
        <v>1.1214705924455365E-3</v>
      </c>
      <c r="AA801" s="2"/>
      <c r="AB801" s="68"/>
      <c r="AC801" s="15">
        <f t="shared" si="138"/>
        <v>5.3198918279876004</v>
      </c>
    </row>
    <row r="802" spans="1:29">
      <c r="A802" s="84">
        <f>'Q.1 &amp; 4'!K807</f>
        <v>3.8</v>
      </c>
      <c r="B802" s="141">
        <f>'Q.1 &amp; 4'!L807</f>
        <v>32.4</v>
      </c>
      <c r="C802" s="221"/>
      <c r="D802" s="23"/>
      <c r="E802" s="24"/>
      <c r="F802" s="22">
        <f t="shared" si="133"/>
        <v>0.2925925925925883</v>
      </c>
      <c r="G802" s="22">
        <f t="shared" si="134"/>
        <v>-2.3064890695573652</v>
      </c>
      <c r="H802" s="22">
        <f t="shared" si="139"/>
        <v>-0.67486161664825617</v>
      </c>
      <c r="I802" s="22">
        <f t="shared" si="140"/>
        <v>8.5610425240052357E-2</v>
      </c>
      <c r="J802" s="24"/>
      <c r="K802" s="24"/>
      <c r="L802" s="235">
        <f t="shared" si="135"/>
        <v>33.383698650836088</v>
      </c>
      <c r="M802" s="126"/>
      <c r="N802" s="126"/>
      <c r="O802" s="126"/>
      <c r="P802" s="10">
        <f t="shared" si="136"/>
        <v>-0.98369865083608943</v>
      </c>
      <c r="Q802" s="10">
        <f t="shared" si="141"/>
        <v>0.96766303565674261</v>
      </c>
      <c r="W802" s="240">
        <f t="shared" si="142"/>
        <v>0.98369865083608943</v>
      </c>
      <c r="X802" s="240">
        <f t="shared" si="143"/>
        <v>3.0361069470249673E-2</v>
      </c>
      <c r="Y802"/>
      <c r="Z802" s="13">
        <f t="shared" si="137"/>
        <v>1.749774491860808</v>
      </c>
      <c r="AA802" s="2"/>
      <c r="AB802" s="68"/>
      <c r="AC802" s="15">
        <f t="shared" si="138"/>
        <v>5.3198918279876004</v>
      </c>
    </row>
    <row r="803" spans="1:29">
      <c r="A803" s="84">
        <f>'Q.1 &amp; 4'!K808</f>
        <v>3.8</v>
      </c>
      <c r="B803" s="141">
        <f>'Q.1 &amp; 4'!L808</f>
        <v>32.4</v>
      </c>
      <c r="C803" s="221"/>
      <c r="D803" s="23"/>
      <c r="E803" s="24"/>
      <c r="F803" s="22">
        <f t="shared" si="133"/>
        <v>0.2925925925925883</v>
      </c>
      <c r="G803" s="22">
        <f t="shared" si="134"/>
        <v>-2.3064890695573652</v>
      </c>
      <c r="H803" s="22">
        <f t="shared" si="139"/>
        <v>-0.67486161664825617</v>
      </c>
      <c r="I803" s="22">
        <f t="shared" si="140"/>
        <v>8.5610425240052357E-2</v>
      </c>
      <c r="J803" s="24"/>
      <c r="K803" s="24"/>
      <c r="L803" s="235">
        <f t="shared" si="135"/>
        <v>33.383698650836088</v>
      </c>
      <c r="M803" s="126"/>
      <c r="N803" s="126"/>
      <c r="O803" s="126"/>
      <c r="P803" s="10">
        <f t="shared" si="136"/>
        <v>-0.98369865083608943</v>
      </c>
      <c r="Q803" s="10">
        <f t="shared" si="141"/>
        <v>0.96766303565674261</v>
      </c>
      <c r="W803" s="240">
        <f t="shared" si="142"/>
        <v>0.98369865083608943</v>
      </c>
      <c r="X803" s="240">
        <f t="shared" si="143"/>
        <v>3.0361069470249673E-2</v>
      </c>
      <c r="Y803"/>
      <c r="Z803" s="13">
        <f t="shared" si="137"/>
        <v>1.749774491860808</v>
      </c>
      <c r="AA803" s="2"/>
      <c r="AB803" s="68"/>
      <c r="AC803" s="15">
        <f t="shared" si="138"/>
        <v>5.3198918279876004</v>
      </c>
    </row>
    <row r="804" spans="1:29">
      <c r="A804" s="84">
        <f>'Q.1 &amp; 4'!K809</f>
        <v>2.2999999999999998</v>
      </c>
      <c r="B804" s="141">
        <f>'Q.1 &amp; 4'!L809</f>
        <v>39.200000000000003</v>
      </c>
      <c r="C804" s="221"/>
      <c r="D804" s="23"/>
      <c r="E804" s="24"/>
      <c r="F804" s="22">
        <f t="shared" si="133"/>
        <v>-1.2074074074074117</v>
      </c>
      <c r="G804" s="22">
        <f t="shared" si="134"/>
        <v>4.4935109304426391</v>
      </c>
      <c r="H804" s="22">
        <f t="shared" si="139"/>
        <v>-5.4254983826826129</v>
      </c>
      <c r="I804" s="22">
        <f t="shared" si="140"/>
        <v>1.4578326474622874</v>
      </c>
      <c r="J804" s="24"/>
      <c r="K804" s="24"/>
      <c r="L804" s="235">
        <f t="shared" si="135"/>
        <v>40.165092569597164</v>
      </c>
      <c r="M804" s="126"/>
      <c r="N804" s="126"/>
      <c r="O804" s="126"/>
      <c r="P804" s="10">
        <f t="shared" si="136"/>
        <v>-0.96509256959716083</v>
      </c>
      <c r="Q804" s="10">
        <f t="shared" si="141"/>
        <v>0.93140366789165074</v>
      </c>
      <c r="W804" s="240">
        <f t="shared" si="142"/>
        <v>0.96509256959716083</v>
      </c>
      <c r="X804" s="240">
        <f t="shared" si="143"/>
        <v>2.4619708408090836E-2</v>
      </c>
      <c r="Y804"/>
      <c r="Z804" s="13">
        <f t="shared" si="137"/>
        <v>29.796352170646752</v>
      </c>
      <c r="AA804" s="2"/>
      <c r="AB804" s="68"/>
      <c r="AC804" s="15">
        <f t="shared" si="138"/>
        <v>20.191640482007472</v>
      </c>
    </row>
    <row r="805" spans="1:29">
      <c r="A805" s="84">
        <f>'Q.1 &amp; 4'!K810</f>
        <v>2.2999999999999998</v>
      </c>
      <c r="B805" s="141">
        <f>'Q.1 &amp; 4'!L810</f>
        <v>38.1</v>
      </c>
      <c r="C805" s="221"/>
      <c r="D805" s="23"/>
      <c r="E805" s="24"/>
      <c r="F805" s="22">
        <f t="shared" si="133"/>
        <v>-1.2074074074074117</v>
      </c>
      <c r="G805" s="22">
        <f t="shared" si="134"/>
        <v>3.3935109304426376</v>
      </c>
      <c r="H805" s="22">
        <f t="shared" si="139"/>
        <v>-4.0973502345344581</v>
      </c>
      <c r="I805" s="22">
        <f t="shared" si="140"/>
        <v>1.4578326474622874</v>
      </c>
      <c r="J805" s="24"/>
      <c r="K805" s="24"/>
      <c r="L805" s="235">
        <f t="shared" si="135"/>
        <v>40.165092569597164</v>
      </c>
      <c r="M805" s="126"/>
      <c r="N805" s="126"/>
      <c r="O805" s="126"/>
      <c r="P805" s="10">
        <f t="shared" si="136"/>
        <v>-2.0650925695971623</v>
      </c>
      <c r="Q805" s="10">
        <f t="shared" si="141"/>
        <v>4.2646073210054105</v>
      </c>
      <c r="W805" s="240">
        <f t="shared" si="142"/>
        <v>2.0650925695971623</v>
      </c>
      <c r="X805" s="240">
        <f t="shared" si="143"/>
        <v>5.4201904713836277E-2</v>
      </c>
      <c r="Y805"/>
      <c r="Z805" s="13">
        <f t="shared" si="137"/>
        <v>29.796352170646752</v>
      </c>
      <c r="AA805" s="2"/>
      <c r="AB805" s="68"/>
      <c r="AC805" s="15">
        <f t="shared" si="138"/>
        <v>11.515916435033656</v>
      </c>
    </row>
    <row r="806" spans="1:29">
      <c r="A806" s="84">
        <f>'Q.1 &amp; 4'!K811</f>
        <v>3.5</v>
      </c>
      <c r="B806" s="141">
        <f>'Q.1 &amp; 4'!L811</f>
        <v>34</v>
      </c>
      <c r="C806" s="221"/>
      <c r="D806" s="23"/>
      <c r="E806" s="24"/>
      <c r="F806" s="22">
        <f t="shared" si="133"/>
        <v>-7.4074074074115259E-3</v>
      </c>
      <c r="G806" s="22">
        <f t="shared" si="134"/>
        <v>-0.70648906955736379</v>
      </c>
      <c r="H806" s="22">
        <f t="shared" si="139"/>
        <v>5.2332523670944936E-3</v>
      </c>
      <c r="I806" s="22">
        <f t="shared" si="140"/>
        <v>5.4869684499375142E-5</v>
      </c>
      <c r="J806" s="24"/>
      <c r="K806" s="24"/>
      <c r="L806" s="235">
        <f t="shared" si="135"/>
        <v>34.739977434588305</v>
      </c>
      <c r="M806" s="126"/>
      <c r="N806" s="126"/>
      <c r="O806" s="126"/>
      <c r="P806" s="10">
        <f t="shared" si="136"/>
        <v>-0.73997743458830456</v>
      </c>
      <c r="Q806" s="10">
        <f t="shared" si="141"/>
        <v>0.54756660369988852</v>
      </c>
      <c r="W806" s="240">
        <f t="shared" si="142"/>
        <v>0.73997743458830456</v>
      </c>
      <c r="X806" s="240">
        <f t="shared" si="143"/>
        <v>2.1764042193773665E-2</v>
      </c>
      <c r="Y806"/>
      <c r="Z806" s="13">
        <f t="shared" si="137"/>
        <v>1.1214705924455365E-3</v>
      </c>
      <c r="AA806" s="2"/>
      <c r="AB806" s="68"/>
      <c r="AC806" s="15">
        <f t="shared" si="138"/>
        <v>0.49912680540402959</v>
      </c>
    </row>
    <row r="807" spans="1:29">
      <c r="A807" s="84">
        <f>'Q.1 &amp; 4'!K812</f>
        <v>3.8</v>
      </c>
      <c r="B807" s="141">
        <f>'Q.1 &amp; 4'!L812</f>
        <v>31.9</v>
      </c>
      <c r="C807" s="221"/>
      <c r="D807" s="23"/>
      <c r="E807" s="24"/>
      <c r="F807" s="22">
        <f t="shared" si="133"/>
        <v>0.2925925925925883</v>
      </c>
      <c r="G807" s="22">
        <f t="shared" si="134"/>
        <v>-2.8064890695573652</v>
      </c>
      <c r="H807" s="22">
        <f t="shared" si="139"/>
        <v>-0.82115791294455032</v>
      </c>
      <c r="I807" s="22">
        <f t="shared" si="140"/>
        <v>8.5610425240052357E-2</v>
      </c>
      <c r="J807" s="24"/>
      <c r="K807" s="24"/>
      <c r="L807" s="235">
        <f t="shared" si="135"/>
        <v>33.383698650836088</v>
      </c>
      <c r="M807" s="126"/>
      <c r="N807" s="126"/>
      <c r="O807" s="126"/>
      <c r="P807" s="10">
        <f t="shared" si="136"/>
        <v>-1.4836986508360894</v>
      </c>
      <c r="Q807" s="10">
        <f t="shared" si="141"/>
        <v>2.2013616864928318</v>
      </c>
      <c r="W807" s="240">
        <f t="shared" si="142"/>
        <v>1.4836986508360894</v>
      </c>
      <c r="X807" s="240">
        <f t="shared" si="143"/>
        <v>4.6510929493294342E-2</v>
      </c>
      <c r="Y807"/>
      <c r="Z807" s="13">
        <f t="shared" si="137"/>
        <v>1.749774491860808</v>
      </c>
      <c r="AA807" s="2"/>
      <c r="AB807" s="68"/>
      <c r="AC807" s="15">
        <f t="shared" si="138"/>
        <v>7.8763808975449656</v>
      </c>
    </row>
    <row r="808" spans="1:29">
      <c r="A808" s="84">
        <f>'Q.1 &amp; 4'!K813</f>
        <v>4</v>
      </c>
      <c r="B808" s="141">
        <f>'Q.1 &amp; 4'!L813</f>
        <v>35.200000000000003</v>
      </c>
      <c r="C808" s="221"/>
      <c r="D808" s="23"/>
      <c r="E808" s="24"/>
      <c r="F808" s="22">
        <f t="shared" si="133"/>
        <v>0.49259259259258847</v>
      </c>
      <c r="G808" s="22">
        <f t="shared" si="134"/>
        <v>0.49351093044263905</v>
      </c>
      <c r="H808" s="22">
        <f t="shared" si="139"/>
        <v>0.24309982869952015</v>
      </c>
      <c r="I808" s="22">
        <f t="shared" si="140"/>
        <v>0.24264746227708786</v>
      </c>
      <c r="J808" s="24"/>
      <c r="K808" s="24"/>
      <c r="L808" s="235">
        <f t="shared" si="135"/>
        <v>32.479512795001277</v>
      </c>
      <c r="M808" s="126"/>
      <c r="N808" s="126"/>
      <c r="O808" s="126"/>
      <c r="P808" s="10">
        <f t="shared" si="136"/>
        <v>2.7204872049987259</v>
      </c>
      <c r="Q808" s="10">
        <f t="shared" si="141"/>
        <v>7.4010506325617795</v>
      </c>
      <c r="W808" s="240">
        <f t="shared" si="142"/>
        <v>2.7204872049987259</v>
      </c>
      <c r="X808" s="240">
        <f t="shared" si="143"/>
        <v>7.7286568323827437E-2</v>
      </c>
      <c r="Y808"/>
      <c r="Z808" s="13">
        <f t="shared" si="137"/>
        <v>4.9594233274357071</v>
      </c>
      <c r="AA808" s="2"/>
      <c r="AB808" s="68"/>
      <c r="AC808" s="15">
        <f t="shared" si="138"/>
        <v>0.24355303846635931</v>
      </c>
    </row>
    <row r="809" spans="1:29">
      <c r="A809" s="84">
        <f>'Q.1 &amp; 4'!K814</f>
        <v>3.5</v>
      </c>
      <c r="B809" s="141">
        <f>'Q.1 &amp; 4'!L814</f>
        <v>29.2</v>
      </c>
      <c r="C809" s="221"/>
      <c r="D809" s="23"/>
      <c r="E809" s="24"/>
      <c r="F809" s="22">
        <f t="shared" si="133"/>
        <v>-7.4074074074115259E-3</v>
      </c>
      <c r="G809" s="22">
        <f t="shared" si="134"/>
        <v>-5.5064890695573645</v>
      </c>
      <c r="H809" s="22">
        <f t="shared" si="139"/>
        <v>4.0788807922669826E-2</v>
      </c>
      <c r="I809" s="22">
        <f t="shared" si="140"/>
        <v>5.4869684499375142E-5</v>
      </c>
      <c r="J809" s="24"/>
      <c r="K809" s="24"/>
      <c r="L809" s="235">
        <f t="shared" si="135"/>
        <v>34.739977434588305</v>
      </c>
      <c r="M809" s="126"/>
      <c r="N809" s="126"/>
      <c r="O809" s="126"/>
      <c r="P809" s="10">
        <f t="shared" si="136"/>
        <v>-5.5399774345883053</v>
      </c>
      <c r="Q809" s="10">
        <f t="shared" si="141"/>
        <v>30.69134997574762</v>
      </c>
      <c r="W809" s="240">
        <f t="shared" si="142"/>
        <v>5.5399774345883053</v>
      </c>
      <c r="X809" s="240">
        <f t="shared" si="143"/>
        <v>0.18972525460918854</v>
      </c>
      <c r="Y809"/>
      <c r="Z809" s="13">
        <f t="shared" si="137"/>
        <v>1.1214705924455365E-3</v>
      </c>
      <c r="AA809" s="2"/>
      <c r="AB809" s="68"/>
      <c r="AC809" s="15">
        <f t="shared" si="138"/>
        <v>30.32142187315473</v>
      </c>
    </row>
    <row r="810" spans="1:29">
      <c r="A810" s="84">
        <f>'Q.1 &amp; 4'!K815</f>
        <v>2.2999999999999998</v>
      </c>
      <c r="B810" s="141">
        <f>'Q.1 &amp; 4'!L815</f>
        <v>34.4</v>
      </c>
      <c r="C810" s="221"/>
      <c r="D810" s="23"/>
      <c r="E810" s="24"/>
      <c r="F810" s="22">
        <f t="shared" si="133"/>
        <v>-1.2074074074074117</v>
      </c>
      <c r="G810" s="22">
        <f t="shared" si="134"/>
        <v>-0.30648906955736521</v>
      </c>
      <c r="H810" s="22">
        <f t="shared" si="139"/>
        <v>0.37005717287296819</v>
      </c>
      <c r="I810" s="22">
        <f t="shared" si="140"/>
        <v>1.4578326474622874</v>
      </c>
      <c r="J810" s="24"/>
      <c r="K810" s="24"/>
      <c r="L810" s="235">
        <f t="shared" si="135"/>
        <v>40.165092569597164</v>
      </c>
      <c r="M810" s="126"/>
      <c r="N810" s="126"/>
      <c r="O810" s="126"/>
      <c r="P810" s="10">
        <f t="shared" si="136"/>
        <v>-5.7650925695971651</v>
      </c>
      <c r="Q810" s="10">
        <f t="shared" si="141"/>
        <v>33.236292336024441</v>
      </c>
      <c r="W810" s="240">
        <f t="shared" si="142"/>
        <v>5.7650925695971651</v>
      </c>
      <c r="X810" s="240">
        <f t="shared" si="143"/>
        <v>0.16758990027898737</v>
      </c>
      <c r="Y810"/>
      <c r="Z810" s="13">
        <f t="shared" si="137"/>
        <v>29.796352170646752</v>
      </c>
      <c r="AA810" s="2"/>
      <c r="AB810" s="68"/>
      <c r="AC810" s="15">
        <f t="shared" si="138"/>
        <v>9.3935549758139447E-2</v>
      </c>
    </row>
    <row r="811" spans="1:29">
      <c r="A811" s="84">
        <f>'Q.1 &amp; 4'!K816</f>
        <v>3.6</v>
      </c>
      <c r="B811" s="141">
        <f>'Q.1 &amp; 4'!L816</f>
        <v>33</v>
      </c>
      <c r="C811" s="221"/>
      <c r="D811" s="23"/>
      <c r="E811" s="24"/>
      <c r="F811" s="22">
        <f t="shared" si="133"/>
        <v>9.2592592592588563E-2</v>
      </c>
      <c r="G811" s="22">
        <f t="shared" si="134"/>
        <v>-1.7064890695573638</v>
      </c>
      <c r="H811" s="22">
        <f t="shared" si="139"/>
        <v>-0.15800824718123052</v>
      </c>
      <c r="I811" s="22">
        <f t="shared" si="140"/>
        <v>8.573388203017087E-3</v>
      </c>
      <c r="J811" s="24"/>
      <c r="K811" s="24"/>
      <c r="L811" s="235">
        <f t="shared" si="135"/>
        <v>34.287884506670892</v>
      </c>
      <c r="M811" s="126"/>
      <c r="N811" s="126"/>
      <c r="O811" s="126"/>
      <c r="P811" s="10">
        <f t="shared" si="136"/>
        <v>-1.2878845066708919</v>
      </c>
      <c r="Q811" s="10">
        <f t="shared" si="141"/>
        <v>1.6586465025229267</v>
      </c>
      <c r="W811" s="240">
        <f t="shared" si="142"/>
        <v>1.2878845066708919</v>
      </c>
      <c r="X811" s="240">
        <f t="shared" si="143"/>
        <v>3.9026803232451272E-2</v>
      </c>
      <c r="Y811"/>
      <c r="Z811" s="13">
        <f t="shared" si="137"/>
        <v>0.17522978006937417</v>
      </c>
      <c r="AA811" s="2"/>
      <c r="AB811" s="68"/>
      <c r="AC811" s="15">
        <f t="shared" si="138"/>
        <v>2.9121049445187572</v>
      </c>
    </row>
    <row r="812" spans="1:29">
      <c r="A812" s="84">
        <f>'Q.1 &amp; 4'!K817</f>
        <v>6.2</v>
      </c>
      <c r="B812" s="141">
        <f>'Q.1 &amp; 4'!L817</f>
        <v>28.4</v>
      </c>
      <c r="C812" s="221"/>
      <c r="D812" s="23"/>
      <c r="E812" s="24"/>
      <c r="F812" s="22">
        <f t="shared" si="133"/>
        <v>2.6925925925925887</v>
      </c>
      <c r="G812" s="22">
        <f t="shared" si="134"/>
        <v>-6.3064890695573652</v>
      </c>
      <c r="H812" s="22">
        <f t="shared" si="139"/>
        <v>-16.98080575395629</v>
      </c>
      <c r="I812" s="22">
        <f t="shared" si="140"/>
        <v>7.2500548696844778</v>
      </c>
      <c r="J812" s="24"/>
      <c r="K812" s="24"/>
      <c r="L812" s="235">
        <f t="shared" si="135"/>
        <v>22.533468380818363</v>
      </c>
      <c r="M812" s="126"/>
      <c r="N812" s="126"/>
      <c r="O812" s="126"/>
      <c r="P812" s="10">
        <f t="shared" si="136"/>
        <v>5.8665316191816359</v>
      </c>
      <c r="Q812" s="10">
        <f t="shared" si="141"/>
        <v>34.416193238857907</v>
      </c>
      <c r="W812" s="240">
        <f t="shared" si="142"/>
        <v>5.8665316191816359</v>
      </c>
      <c r="X812" s="240">
        <f t="shared" si="143"/>
        <v>0.20656801475991676</v>
      </c>
      <c r="Y812"/>
      <c r="Z812" s="13">
        <f t="shared" si="137"/>
        <v>148.18243268846774</v>
      </c>
      <c r="AA812" s="2"/>
      <c r="AB812" s="68"/>
      <c r="AC812" s="15">
        <f t="shared" si="138"/>
        <v>39.771804384446519</v>
      </c>
    </row>
    <row r="813" spans="1:29">
      <c r="A813" s="84">
        <f>'Q.1 &amp; 4'!K818</f>
        <v>6</v>
      </c>
      <c r="B813" s="141">
        <f>'Q.1 &amp; 4'!L818</f>
        <v>30.5</v>
      </c>
      <c r="C813" s="221"/>
      <c r="D813" s="23"/>
      <c r="E813" s="24"/>
      <c r="F813" s="22">
        <f t="shared" si="133"/>
        <v>2.4925925925925885</v>
      </c>
      <c r="G813" s="22">
        <f t="shared" si="134"/>
        <v>-4.2064890695573638</v>
      </c>
      <c r="H813" s="22">
        <f t="shared" si="139"/>
        <v>-10.485063495600375</v>
      </c>
      <c r="I813" s="22">
        <f t="shared" si="140"/>
        <v>6.2130178326474415</v>
      </c>
      <c r="J813" s="24"/>
      <c r="K813" s="24"/>
      <c r="L813" s="235">
        <f t="shared" si="135"/>
        <v>23.437654236653174</v>
      </c>
      <c r="M813" s="126"/>
      <c r="N813" s="126"/>
      <c r="O813" s="126"/>
      <c r="P813" s="10">
        <f t="shared" si="136"/>
        <v>7.0623457633468263</v>
      </c>
      <c r="Q813" s="10">
        <f t="shared" si="141"/>
        <v>49.876727681062867</v>
      </c>
      <c r="W813" s="240">
        <f t="shared" si="142"/>
        <v>7.0623457633468263</v>
      </c>
      <c r="X813" s="240">
        <f t="shared" si="143"/>
        <v>0.23155232010973201</v>
      </c>
      <c r="Y813"/>
      <c r="Z813" s="13">
        <f t="shared" si="137"/>
        <v>126.9866384912748</v>
      </c>
      <c r="AA813" s="2"/>
      <c r="AB813" s="68"/>
      <c r="AC813" s="15">
        <f t="shared" si="138"/>
        <v>17.694550292305575</v>
      </c>
    </row>
    <row r="814" spans="1:29">
      <c r="A814" s="84">
        <f>'Q.1 &amp; 4'!K819</f>
        <v>6.2</v>
      </c>
      <c r="B814" s="141">
        <f>'Q.1 &amp; 4'!L819</f>
        <v>28.4</v>
      </c>
      <c r="C814" s="221"/>
      <c r="D814" s="23"/>
      <c r="E814" s="24"/>
      <c r="F814" s="22">
        <f t="shared" si="133"/>
        <v>2.6925925925925887</v>
      </c>
      <c r="G814" s="22">
        <f t="shared" si="134"/>
        <v>-6.3064890695573652</v>
      </c>
      <c r="H814" s="22">
        <f t="shared" si="139"/>
        <v>-16.98080575395629</v>
      </c>
      <c r="I814" s="22">
        <f t="shared" si="140"/>
        <v>7.2500548696844778</v>
      </c>
      <c r="J814" s="24"/>
      <c r="K814" s="24"/>
      <c r="L814" s="235">
        <f t="shared" si="135"/>
        <v>22.533468380818363</v>
      </c>
      <c r="M814" s="126"/>
      <c r="N814" s="126"/>
      <c r="O814" s="126"/>
      <c r="P814" s="10">
        <f t="shared" si="136"/>
        <v>5.8665316191816359</v>
      </c>
      <c r="Q814" s="10">
        <f t="shared" si="141"/>
        <v>34.416193238857907</v>
      </c>
      <c r="W814" s="240">
        <f t="shared" si="142"/>
        <v>5.8665316191816359</v>
      </c>
      <c r="X814" s="240">
        <f t="shared" si="143"/>
        <v>0.20656801475991676</v>
      </c>
      <c r="Y814"/>
      <c r="Z814" s="13">
        <f t="shared" si="137"/>
        <v>148.18243268846774</v>
      </c>
      <c r="AA814" s="2"/>
      <c r="AB814" s="68"/>
      <c r="AC814" s="15">
        <f t="shared" si="138"/>
        <v>39.771804384446519</v>
      </c>
    </row>
    <row r="815" spans="1:29">
      <c r="A815" s="84">
        <f>'Q.1 &amp; 4'!K820</f>
        <v>3</v>
      </c>
      <c r="B815" s="141">
        <f>'Q.1 &amp; 4'!L820</f>
        <v>34.5</v>
      </c>
      <c r="C815" s="221"/>
      <c r="D815" s="23"/>
      <c r="E815" s="24"/>
      <c r="F815" s="22">
        <f t="shared" si="133"/>
        <v>-0.50740740740741153</v>
      </c>
      <c r="G815" s="22">
        <f t="shared" si="134"/>
        <v>-0.20648906955736379</v>
      </c>
      <c r="H815" s="22">
        <f t="shared" si="139"/>
        <v>0.10477408344207062</v>
      </c>
      <c r="I815" s="22">
        <f t="shared" si="140"/>
        <v>0.25746227709191088</v>
      </c>
      <c r="J815" s="24"/>
      <c r="K815" s="24"/>
      <c r="L815" s="235">
        <f t="shared" si="135"/>
        <v>37.000442074175325</v>
      </c>
      <c r="M815" s="126"/>
      <c r="N815" s="126"/>
      <c r="O815" s="126"/>
      <c r="P815" s="10">
        <f t="shared" si="136"/>
        <v>-2.500442074175325</v>
      </c>
      <c r="Q815" s="10">
        <f t="shared" si="141"/>
        <v>6.2522105663062018</v>
      </c>
      <c r="W815" s="240">
        <f t="shared" si="142"/>
        <v>2.500442074175325</v>
      </c>
      <c r="X815" s="240">
        <f t="shared" si="143"/>
        <v>7.2476581860154349E-2</v>
      </c>
      <c r="Y815"/>
      <c r="Z815" s="13">
        <f t="shared" si="137"/>
        <v>5.2622203873957725</v>
      </c>
      <c r="AA815" s="2"/>
      <c r="AB815" s="68"/>
      <c r="AC815" s="15">
        <f t="shared" si="138"/>
        <v>4.2637735846665824E-2</v>
      </c>
    </row>
    <row r="816" spans="1:29">
      <c r="A816" s="84">
        <f>'Q.1 &amp; 4'!K821</f>
        <v>5.3</v>
      </c>
      <c r="B816" s="141">
        <f>'Q.1 &amp; 4'!L821</f>
        <v>28.993500000000001</v>
      </c>
      <c r="C816" s="221"/>
      <c r="D816" s="23"/>
      <c r="E816" s="24"/>
      <c r="F816" s="22">
        <f t="shared" si="133"/>
        <v>1.7925925925925883</v>
      </c>
      <c r="G816" s="22">
        <f t="shared" si="134"/>
        <v>-5.7129890695573629</v>
      </c>
      <c r="H816" s="22">
        <f t="shared" si="139"/>
        <v>-10.241061887650952</v>
      </c>
      <c r="I816" s="22">
        <f t="shared" si="140"/>
        <v>3.2133882030178174</v>
      </c>
      <c r="J816" s="24"/>
      <c r="K816" s="24"/>
      <c r="L816" s="235">
        <f t="shared" si="135"/>
        <v>26.602304732075012</v>
      </c>
      <c r="M816" s="126"/>
      <c r="N816" s="126"/>
      <c r="O816" s="126"/>
      <c r="P816" s="10">
        <f t="shared" si="136"/>
        <v>2.3911952679249886</v>
      </c>
      <c r="Q816" s="10">
        <f t="shared" si="141"/>
        <v>5.7178148093468577</v>
      </c>
      <c r="W816" s="240">
        <f t="shared" si="142"/>
        <v>2.3911952679249886</v>
      </c>
      <c r="X816" s="240">
        <f t="shared" si="143"/>
        <v>8.2473494677254858E-2</v>
      </c>
      <c r="Y816"/>
      <c r="Z816" s="13">
        <f t="shared" si="137"/>
        <v>65.677803775894262</v>
      </c>
      <c r="AA816" s="2"/>
      <c r="AB816" s="68"/>
      <c r="AC816" s="15">
        <f t="shared" si="138"/>
        <v>32.638244108881899</v>
      </c>
    </row>
    <row r="817" spans="1:29">
      <c r="A817" s="84">
        <f>'Q.1 &amp; 4'!K822</f>
        <v>6.2</v>
      </c>
      <c r="B817" s="141">
        <f>'Q.1 &amp; 4'!L822</f>
        <v>26</v>
      </c>
      <c r="C817" s="221"/>
      <c r="D817" s="23"/>
      <c r="E817" s="24"/>
      <c r="F817" s="22">
        <f t="shared" si="133"/>
        <v>2.6925925925925887</v>
      </c>
      <c r="G817" s="22">
        <f t="shared" si="134"/>
        <v>-8.7064890695573638</v>
      </c>
      <c r="H817" s="22">
        <f t="shared" si="139"/>
        <v>-23.443027976178499</v>
      </c>
      <c r="I817" s="22">
        <f t="shared" si="140"/>
        <v>7.2500548696844778</v>
      </c>
      <c r="J817" s="24"/>
      <c r="K817" s="24"/>
      <c r="L817" s="235">
        <f t="shared" si="135"/>
        <v>22.533468380818363</v>
      </c>
      <c r="M817" s="126"/>
      <c r="N817" s="126"/>
      <c r="O817" s="126"/>
      <c r="P817" s="10">
        <f t="shared" si="136"/>
        <v>3.4665316191816373</v>
      </c>
      <c r="Q817" s="10">
        <f t="shared" si="141"/>
        <v>12.016841466786063</v>
      </c>
      <c r="W817" s="240">
        <f t="shared" si="142"/>
        <v>3.4665316191816373</v>
      </c>
      <c r="X817" s="240">
        <f t="shared" si="143"/>
        <v>0.13332813919929373</v>
      </c>
      <c r="Y817"/>
      <c r="Z817" s="13">
        <f t="shared" si="137"/>
        <v>148.18243268846774</v>
      </c>
      <c r="AA817" s="2"/>
      <c r="AB817" s="68"/>
      <c r="AC817" s="15">
        <f t="shared" si="138"/>
        <v>75.802951918321853</v>
      </c>
    </row>
    <row r="818" spans="1:29">
      <c r="A818" s="84">
        <f>'Q.1 &amp; 4'!K823</f>
        <v>5.3</v>
      </c>
      <c r="B818" s="141">
        <f>'Q.1 &amp; 4'!L823</f>
        <v>28.993500000000001</v>
      </c>
      <c r="C818" s="221"/>
      <c r="D818" s="23"/>
      <c r="E818" s="24"/>
      <c r="F818" s="22">
        <f t="shared" si="133"/>
        <v>1.7925925925925883</v>
      </c>
      <c r="G818" s="22">
        <f t="shared" si="134"/>
        <v>-5.7129890695573629</v>
      </c>
      <c r="H818" s="22">
        <f t="shared" si="139"/>
        <v>-10.241061887650952</v>
      </c>
      <c r="I818" s="22">
        <f t="shared" si="140"/>
        <v>3.2133882030178174</v>
      </c>
      <c r="J818" s="24"/>
      <c r="K818" s="24"/>
      <c r="L818" s="235">
        <f t="shared" si="135"/>
        <v>26.602304732075012</v>
      </c>
      <c r="M818" s="126"/>
      <c r="N818" s="126"/>
      <c r="O818" s="126"/>
      <c r="P818" s="10">
        <f t="shared" si="136"/>
        <v>2.3911952679249886</v>
      </c>
      <c r="Q818" s="10">
        <f t="shared" si="141"/>
        <v>5.7178148093468577</v>
      </c>
      <c r="W818" s="240">
        <f t="shared" si="142"/>
        <v>2.3911952679249886</v>
      </c>
      <c r="X818" s="240">
        <f t="shared" si="143"/>
        <v>8.2473494677254858E-2</v>
      </c>
      <c r="Y818"/>
      <c r="Z818" s="13">
        <f t="shared" si="137"/>
        <v>65.677803775894262</v>
      </c>
      <c r="AA818" s="2"/>
      <c r="AB818" s="68"/>
      <c r="AC818" s="15">
        <f t="shared" si="138"/>
        <v>32.638244108881899</v>
      </c>
    </row>
    <row r="819" spans="1:29">
      <c r="A819" s="84">
        <f>'Q.1 &amp; 4'!K824</f>
        <v>6.2</v>
      </c>
      <c r="B819" s="141">
        <f>'Q.1 &amp; 4'!L824</f>
        <v>26</v>
      </c>
      <c r="C819" s="221"/>
      <c r="D819" s="23"/>
      <c r="E819" s="24"/>
      <c r="F819" s="22">
        <f t="shared" si="133"/>
        <v>2.6925925925925887</v>
      </c>
      <c r="G819" s="22">
        <f t="shared" si="134"/>
        <v>-8.7064890695573638</v>
      </c>
      <c r="H819" s="22">
        <f t="shared" si="139"/>
        <v>-23.443027976178499</v>
      </c>
      <c r="I819" s="22">
        <f t="shared" si="140"/>
        <v>7.2500548696844778</v>
      </c>
      <c r="J819" s="24"/>
      <c r="K819" s="24"/>
      <c r="L819" s="235">
        <f t="shared" si="135"/>
        <v>22.533468380818363</v>
      </c>
      <c r="M819" s="126"/>
      <c r="N819" s="126"/>
      <c r="O819" s="126"/>
      <c r="P819" s="10">
        <f t="shared" si="136"/>
        <v>3.4665316191816373</v>
      </c>
      <c r="Q819" s="10">
        <f t="shared" si="141"/>
        <v>12.016841466786063</v>
      </c>
      <c r="W819" s="240">
        <f t="shared" si="142"/>
        <v>3.4665316191816373</v>
      </c>
      <c r="X819" s="240">
        <f t="shared" si="143"/>
        <v>0.13332813919929373</v>
      </c>
      <c r="Y819"/>
      <c r="Z819" s="13">
        <f t="shared" si="137"/>
        <v>148.18243268846774</v>
      </c>
      <c r="AA819" s="2"/>
      <c r="AB819" s="68"/>
      <c r="AC819" s="15">
        <f t="shared" si="138"/>
        <v>75.802951918321853</v>
      </c>
    </row>
    <row r="820" spans="1:29">
      <c r="A820" s="84">
        <f>'Q.1 &amp; 4'!K825</f>
        <v>5.3</v>
      </c>
      <c r="B820" s="141">
        <f>'Q.1 &amp; 4'!L825</f>
        <v>28.993500000000001</v>
      </c>
      <c r="C820" s="221"/>
      <c r="D820" s="23"/>
      <c r="E820" s="24"/>
      <c r="F820" s="22">
        <f t="shared" si="133"/>
        <v>1.7925925925925883</v>
      </c>
      <c r="G820" s="22">
        <f t="shared" si="134"/>
        <v>-5.7129890695573629</v>
      </c>
      <c r="H820" s="22">
        <f t="shared" si="139"/>
        <v>-10.241061887650952</v>
      </c>
      <c r="I820" s="22">
        <f t="shared" si="140"/>
        <v>3.2133882030178174</v>
      </c>
      <c r="J820" s="24"/>
      <c r="K820" s="24"/>
      <c r="L820" s="235">
        <f t="shared" si="135"/>
        <v>26.602304732075012</v>
      </c>
      <c r="M820" s="126"/>
      <c r="N820" s="126"/>
      <c r="O820" s="126"/>
      <c r="P820" s="10">
        <f t="shared" si="136"/>
        <v>2.3911952679249886</v>
      </c>
      <c r="Q820" s="10">
        <f t="shared" si="141"/>
        <v>5.7178148093468577</v>
      </c>
      <c r="W820" s="240">
        <f t="shared" si="142"/>
        <v>2.3911952679249886</v>
      </c>
      <c r="X820" s="240">
        <f t="shared" si="143"/>
        <v>8.2473494677254858E-2</v>
      </c>
      <c r="Y820"/>
      <c r="Z820" s="13">
        <f t="shared" si="137"/>
        <v>65.677803775894262</v>
      </c>
      <c r="AA820" s="2"/>
      <c r="AB820" s="68"/>
      <c r="AC820" s="15">
        <f t="shared" si="138"/>
        <v>32.638244108881899</v>
      </c>
    </row>
    <row r="821" spans="1:29">
      <c r="A821" s="84">
        <f>'Q.1 &amp; 4'!K826</f>
        <v>6</v>
      </c>
      <c r="B821" s="141">
        <f>'Q.1 &amp; 4'!L826</f>
        <v>30.5</v>
      </c>
      <c r="C821" s="221"/>
      <c r="D821" s="23"/>
      <c r="E821" s="24"/>
      <c r="F821" s="22">
        <f t="shared" si="133"/>
        <v>2.4925925925925885</v>
      </c>
      <c r="G821" s="22">
        <f t="shared" si="134"/>
        <v>-4.2064890695573638</v>
      </c>
      <c r="H821" s="22">
        <f t="shared" si="139"/>
        <v>-10.485063495600375</v>
      </c>
      <c r="I821" s="22">
        <f t="shared" si="140"/>
        <v>6.2130178326474415</v>
      </c>
      <c r="J821" s="24"/>
      <c r="K821" s="24"/>
      <c r="L821" s="235">
        <f t="shared" si="135"/>
        <v>23.437654236653174</v>
      </c>
      <c r="M821" s="126"/>
      <c r="N821" s="126"/>
      <c r="O821" s="126"/>
      <c r="P821" s="10">
        <f t="shared" si="136"/>
        <v>7.0623457633468263</v>
      </c>
      <c r="Q821" s="10">
        <f t="shared" si="141"/>
        <v>49.876727681062867</v>
      </c>
      <c r="W821" s="240">
        <f t="shared" si="142"/>
        <v>7.0623457633468263</v>
      </c>
      <c r="X821" s="240">
        <f t="shared" si="143"/>
        <v>0.23155232010973201</v>
      </c>
      <c r="Y821"/>
      <c r="Z821" s="13">
        <f t="shared" si="137"/>
        <v>126.9866384912748</v>
      </c>
      <c r="AA821" s="2"/>
      <c r="AB821" s="68"/>
      <c r="AC821" s="15">
        <f t="shared" si="138"/>
        <v>17.694550292305575</v>
      </c>
    </row>
    <row r="822" spans="1:29">
      <c r="A822" s="84">
        <f>'Q.1 &amp; 4'!K827</f>
        <v>2.4</v>
      </c>
      <c r="B822" s="141">
        <f>'Q.1 &amp; 4'!L827</f>
        <v>45.1</v>
      </c>
      <c r="C822" s="221"/>
      <c r="D822" s="23"/>
      <c r="E822" s="24"/>
      <c r="F822" s="22">
        <f t="shared" si="133"/>
        <v>-1.1074074074074116</v>
      </c>
      <c r="G822" s="22">
        <f t="shared" si="134"/>
        <v>10.393510930442638</v>
      </c>
      <c r="H822" s="22">
        <f t="shared" si="139"/>
        <v>-11.509850993342075</v>
      </c>
      <c r="I822" s="22">
        <f t="shared" si="140"/>
        <v>1.2263511659808048</v>
      </c>
      <c r="J822" s="24"/>
      <c r="K822" s="24"/>
      <c r="L822" s="235">
        <f t="shared" si="135"/>
        <v>39.712999641679758</v>
      </c>
      <c r="M822" s="126"/>
      <c r="N822" s="126"/>
      <c r="O822" s="126"/>
      <c r="P822" s="10">
        <f t="shared" si="136"/>
        <v>5.3870003583202433</v>
      </c>
      <c r="Q822" s="10">
        <f t="shared" si="141"/>
        <v>29.019772860542428</v>
      </c>
      <c r="W822" s="240">
        <f t="shared" si="142"/>
        <v>5.3870003583202433</v>
      </c>
      <c r="X822" s="240">
        <f t="shared" si="143"/>
        <v>0.11944568421996105</v>
      </c>
      <c r="Y822"/>
      <c r="Z822" s="13">
        <f t="shared" si="137"/>
        <v>25.065148108773304</v>
      </c>
      <c r="AA822" s="2"/>
      <c r="AB822" s="68"/>
      <c r="AC822" s="15">
        <f t="shared" si="138"/>
        <v>108.02506946123059</v>
      </c>
    </row>
    <row r="823" spans="1:29">
      <c r="A823" s="84">
        <f>'Q.1 &amp; 4'!K828</f>
        <v>3</v>
      </c>
      <c r="B823" s="141">
        <f>'Q.1 &amp; 4'!L828</f>
        <v>34.548200000000001</v>
      </c>
      <c r="C823" s="221"/>
      <c r="D823" s="23"/>
      <c r="E823" s="24"/>
      <c r="F823" s="22">
        <f t="shared" si="133"/>
        <v>-0.50740740740741153</v>
      </c>
      <c r="G823" s="22">
        <f t="shared" si="134"/>
        <v>-0.15828906955736244</v>
      </c>
      <c r="H823" s="22">
        <f t="shared" si="139"/>
        <v>8.0317046405032705E-2</v>
      </c>
      <c r="I823" s="22">
        <f t="shared" si="140"/>
        <v>0.25746227709191088</v>
      </c>
      <c r="J823" s="24"/>
      <c r="K823" s="24"/>
      <c r="L823" s="235">
        <f t="shared" si="135"/>
        <v>37.000442074175325</v>
      </c>
      <c r="M823" s="126"/>
      <c r="N823" s="126"/>
      <c r="O823" s="126"/>
      <c r="P823" s="10">
        <f t="shared" si="136"/>
        <v>-2.4522420741753237</v>
      </c>
      <c r="Q823" s="10">
        <f t="shared" si="141"/>
        <v>6.013491190355694</v>
      </c>
      <c r="W823" s="240">
        <f t="shared" si="142"/>
        <v>2.4522420741753237</v>
      </c>
      <c r="X823" s="240">
        <f t="shared" si="143"/>
        <v>7.0980313711722282E-2</v>
      </c>
      <c r="Y823"/>
      <c r="Z823" s="13">
        <f t="shared" si="137"/>
        <v>5.2622203873957725</v>
      </c>
      <c r="AA823" s="2"/>
      <c r="AB823" s="68"/>
      <c r="AC823" s="15">
        <f t="shared" si="138"/>
        <v>2.5055429541335526E-2</v>
      </c>
    </row>
    <row r="824" spans="1:29">
      <c r="A824" s="84">
        <f>'Q.1 &amp; 4'!K829</f>
        <v>2</v>
      </c>
      <c r="B824" s="141">
        <f>'Q.1 &amp; 4'!L829</f>
        <v>40.299999999999997</v>
      </c>
      <c r="C824" s="221"/>
      <c r="D824" s="23"/>
      <c r="E824" s="24"/>
      <c r="F824" s="22">
        <f t="shared" si="133"/>
        <v>-1.5074074074074115</v>
      </c>
      <c r="G824" s="22">
        <f t="shared" si="134"/>
        <v>5.5935109304426334</v>
      </c>
      <c r="H824" s="22">
        <f t="shared" si="139"/>
        <v>-8.4316998099635487</v>
      </c>
      <c r="I824" s="22">
        <f t="shared" si="140"/>
        <v>2.2722770919067341</v>
      </c>
      <c r="J824" s="24"/>
      <c r="K824" s="24"/>
      <c r="L824" s="235">
        <f t="shared" si="135"/>
        <v>41.52137135334938</v>
      </c>
      <c r="M824" s="126"/>
      <c r="N824" s="126"/>
      <c r="O824" s="126"/>
      <c r="P824" s="10">
        <f t="shared" si="136"/>
        <v>-1.2213713533493831</v>
      </c>
      <c r="Q824" s="10">
        <f t="shared" si="141"/>
        <v>1.4917479827825035</v>
      </c>
      <c r="W824" s="240">
        <f t="shared" si="142"/>
        <v>1.2213713533493831</v>
      </c>
      <c r="X824" s="240">
        <f t="shared" si="143"/>
        <v>3.0306981472689409E-2</v>
      </c>
      <c r="Y824"/>
      <c r="Z824" s="13">
        <f t="shared" si="137"/>
        <v>46.44262054194229</v>
      </c>
      <c r="AA824" s="2"/>
      <c r="AB824" s="68"/>
      <c r="AC824" s="15">
        <f t="shared" si="138"/>
        <v>31.287364528981215</v>
      </c>
    </row>
    <row r="825" spans="1:29">
      <c r="A825" s="84">
        <f>'Q.1 &amp; 4'!K830</f>
        <v>2</v>
      </c>
      <c r="B825" s="141">
        <f>'Q.1 &amp; 4'!L830</f>
        <v>40.6</v>
      </c>
      <c r="C825" s="221"/>
      <c r="D825" s="23"/>
      <c r="E825" s="24"/>
      <c r="F825" s="22">
        <f t="shared" si="133"/>
        <v>-1.5074074074074115</v>
      </c>
      <c r="G825" s="22">
        <f t="shared" si="134"/>
        <v>5.8935109304426376</v>
      </c>
      <c r="H825" s="22">
        <f t="shared" si="139"/>
        <v>-8.8839220321857777</v>
      </c>
      <c r="I825" s="22">
        <f t="shared" si="140"/>
        <v>2.2722770919067341</v>
      </c>
      <c r="J825" s="24"/>
      <c r="K825" s="24"/>
      <c r="L825" s="235">
        <f t="shared" si="135"/>
        <v>41.52137135334938</v>
      </c>
      <c r="M825" s="126"/>
      <c r="N825" s="126"/>
      <c r="O825" s="126"/>
      <c r="P825" s="10">
        <f t="shared" si="136"/>
        <v>-0.92137135334937881</v>
      </c>
      <c r="Q825" s="10">
        <f t="shared" si="141"/>
        <v>0.84892517077286589</v>
      </c>
      <c r="W825" s="240">
        <f t="shared" si="142"/>
        <v>0.92137135334937881</v>
      </c>
      <c r="X825" s="240">
        <f t="shared" si="143"/>
        <v>2.2693875698260559E-2</v>
      </c>
      <c r="Y825"/>
      <c r="Z825" s="13">
        <f t="shared" si="137"/>
        <v>46.44262054194229</v>
      </c>
      <c r="AA825" s="2"/>
      <c r="AB825" s="68"/>
      <c r="AC825" s="15">
        <f t="shared" si="138"/>
        <v>34.733471087246848</v>
      </c>
    </row>
    <row r="826" spans="1:29">
      <c r="A826" s="84">
        <f>'Q.1 &amp; 4'!K831</f>
        <v>2.2000000000000002</v>
      </c>
      <c r="B826" s="141">
        <f>'Q.1 &amp; 4'!L831</f>
        <v>42.399099999999997</v>
      </c>
      <c r="C826" s="221"/>
      <c r="D826" s="23"/>
      <c r="E826" s="24"/>
      <c r="F826" s="22">
        <f t="shared" si="133"/>
        <v>-1.3074074074074113</v>
      </c>
      <c r="G826" s="22">
        <f t="shared" si="134"/>
        <v>7.6926109304426333</v>
      </c>
      <c r="H826" s="22">
        <f t="shared" si="139"/>
        <v>-10.057376512763918</v>
      </c>
      <c r="I826" s="22">
        <f t="shared" si="140"/>
        <v>1.7093141289437688</v>
      </c>
      <c r="J826" s="24"/>
      <c r="K826" s="24"/>
      <c r="L826" s="235">
        <f t="shared" si="135"/>
        <v>40.617185497514569</v>
      </c>
      <c r="M826" s="126"/>
      <c r="N826" s="126"/>
      <c r="O826" s="126"/>
      <c r="P826" s="10">
        <f t="shared" si="136"/>
        <v>1.7819145024854279</v>
      </c>
      <c r="Q826" s="10">
        <f t="shared" si="141"/>
        <v>3.1752192941678903</v>
      </c>
      <c r="W826" s="240">
        <f t="shared" si="142"/>
        <v>1.7819145024854279</v>
      </c>
      <c r="X826" s="240">
        <f t="shared" si="143"/>
        <v>4.202717752229241E-2</v>
      </c>
      <c r="Y826"/>
      <c r="Z826" s="13">
        <f t="shared" si="137"/>
        <v>34.93633226346607</v>
      </c>
      <c r="AA826" s="2"/>
      <c r="AB826" s="68"/>
      <c r="AC826" s="15">
        <f t="shared" si="138"/>
        <v>59.176262927165475</v>
      </c>
    </row>
    <row r="827" spans="1:29">
      <c r="A827" s="84">
        <f>'Q.1 &amp; 4'!K832</f>
        <v>2.2000000000000002</v>
      </c>
      <c r="B827" s="141">
        <f>'Q.1 &amp; 4'!L832</f>
        <v>44.999099999999999</v>
      </c>
      <c r="C827" s="221"/>
      <c r="D827" s="23"/>
      <c r="E827" s="24"/>
      <c r="F827" s="22">
        <f t="shared" si="133"/>
        <v>-1.3074074074074113</v>
      </c>
      <c r="G827" s="22">
        <f t="shared" si="134"/>
        <v>10.292610930442635</v>
      </c>
      <c r="H827" s="22">
        <f t="shared" si="139"/>
        <v>-13.456635772023189</v>
      </c>
      <c r="I827" s="22">
        <f t="shared" si="140"/>
        <v>1.7093141289437688</v>
      </c>
      <c r="J827" s="24"/>
      <c r="K827" s="24"/>
      <c r="L827" s="235">
        <f t="shared" si="135"/>
        <v>40.617185497514569</v>
      </c>
      <c r="M827" s="126"/>
      <c r="N827" s="126"/>
      <c r="O827" s="126"/>
      <c r="P827" s="10">
        <f t="shared" si="136"/>
        <v>4.3819145024854294</v>
      </c>
      <c r="Q827" s="10">
        <f t="shared" si="141"/>
        <v>19.201174707092129</v>
      </c>
      <c r="W827" s="240">
        <f t="shared" si="142"/>
        <v>4.3819145024854294</v>
      </c>
      <c r="X827" s="240">
        <f t="shared" si="143"/>
        <v>9.7377825389517336E-2</v>
      </c>
      <c r="Y827"/>
      <c r="Z827" s="13">
        <f t="shared" si="137"/>
        <v>34.93633226346607</v>
      </c>
      <c r="AA827" s="2"/>
      <c r="AB827" s="68"/>
      <c r="AC827" s="15">
        <f t="shared" si="138"/>
        <v>105.9378397654672</v>
      </c>
    </row>
    <row r="828" spans="1:29">
      <c r="A828" s="84">
        <f>'Q.1 &amp; 4'!K833</f>
        <v>2.4</v>
      </c>
      <c r="B828" s="141">
        <f>'Q.1 &amp; 4'!L833</f>
        <v>41.9</v>
      </c>
      <c r="C828" s="221"/>
      <c r="D828" s="23"/>
      <c r="E828" s="24"/>
      <c r="F828" s="22">
        <f t="shared" si="133"/>
        <v>-1.1074074074074116</v>
      </c>
      <c r="G828" s="22">
        <f t="shared" si="134"/>
        <v>7.1935109304426348</v>
      </c>
      <c r="H828" s="22">
        <f t="shared" si="139"/>
        <v>-7.9661472896383554</v>
      </c>
      <c r="I828" s="22">
        <f t="shared" si="140"/>
        <v>1.2263511659808048</v>
      </c>
      <c r="J828" s="24"/>
      <c r="K828" s="24"/>
      <c r="L828" s="235">
        <f t="shared" si="135"/>
        <v>39.712999641679758</v>
      </c>
      <c r="M828" s="126"/>
      <c r="N828" s="126"/>
      <c r="O828" s="126"/>
      <c r="P828" s="10">
        <f t="shared" si="136"/>
        <v>2.1870003583202404</v>
      </c>
      <c r="Q828" s="10">
        <f t="shared" si="141"/>
        <v>4.7829705672928604</v>
      </c>
      <c r="W828" s="240">
        <f t="shared" si="142"/>
        <v>2.1870003583202404</v>
      </c>
      <c r="X828" s="240">
        <f t="shared" si="143"/>
        <v>5.2195712609074955E-2</v>
      </c>
      <c r="Y828"/>
      <c r="Z828" s="13">
        <f t="shared" si="137"/>
        <v>25.065148108773304</v>
      </c>
      <c r="AA828" s="2"/>
      <c r="AB828" s="68"/>
      <c r="AC828" s="15">
        <f t="shared" si="138"/>
        <v>51.746599506397658</v>
      </c>
    </row>
    <row r="829" spans="1:29">
      <c r="A829" s="84">
        <f>'Q.1 &amp; 4'!K834</f>
        <v>2.4</v>
      </c>
      <c r="B829" s="141">
        <f>'Q.1 &amp; 4'!L834</f>
        <v>41.5</v>
      </c>
      <c r="C829" s="221"/>
      <c r="D829" s="23"/>
      <c r="E829" s="24"/>
      <c r="F829" s="22">
        <f t="shared" si="133"/>
        <v>-1.1074074074074116</v>
      </c>
      <c r="G829" s="22">
        <f t="shared" si="134"/>
        <v>6.7935109304426362</v>
      </c>
      <c r="H829" s="22">
        <f t="shared" si="139"/>
        <v>-7.5231843266753922</v>
      </c>
      <c r="I829" s="22">
        <f t="shared" si="140"/>
        <v>1.2263511659808048</v>
      </c>
      <c r="J829" s="24"/>
      <c r="K829" s="24"/>
      <c r="L829" s="235">
        <f t="shared" si="135"/>
        <v>39.712999641679758</v>
      </c>
      <c r="M829" s="126"/>
      <c r="N829" s="126"/>
      <c r="O829" s="126"/>
      <c r="P829" s="10">
        <f t="shared" si="136"/>
        <v>1.7870003583202418</v>
      </c>
      <c r="Q829" s="10">
        <f t="shared" si="141"/>
        <v>3.1933702806366728</v>
      </c>
      <c r="W829" s="240">
        <f t="shared" si="142"/>
        <v>1.7870003583202418</v>
      </c>
      <c r="X829" s="240">
        <f t="shared" si="143"/>
        <v>4.3060249598078117E-2</v>
      </c>
      <c r="Y829"/>
      <c r="Z829" s="13">
        <f t="shared" si="137"/>
        <v>25.065148108773304</v>
      </c>
      <c r="AA829" s="2"/>
      <c r="AB829" s="68"/>
      <c r="AC829" s="15">
        <f t="shared" si="138"/>
        <v>46.151790762043575</v>
      </c>
    </row>
    <row r="830" spans="1:29">
      <c r="A830" s="84">
        <f>'Q.1 &amp; 4'!K835</f>
        <v>2.2000000000000002</v>
      </c>
      <c r="B830" s="141">
        <f>'Q.1 &amp; 4'!L835</f>
        <v>42.399099999999997</v>
      </c>
      <c r="C830" s="221"/>
      <c r="D830" s="23"/>
      <c r="E830" s="24"/>
      <c r="F830" s="22">
        <f t="shared" si="133"/>
        <v>-1.3074074074074113</v>
      </c>
      <c r="G830" s="22">
        <f t="shared" si="134"/>
        <v>7.6926109304426333</v>
      </c>
      <c r="H830" s="22">
        <f t="shared" si="139"/>
        <v>-10.057376512763918</v>
      </c>
      <c r="I830" s="22">
        <f t="shared" si="140"/>
        <v>1.7093141289437688</v>
      </c>
      <c r="J830" s="24"/>
      <c r="K830" s="24"/>
      <c r="L830" s="235">
        <f t="shared" si="135"/>
        <v>40.617185497514569</v>
      </c>
      <c r="M830" s="126"/>
      <c r="N830" s="126"/>
      <c r="O830" s="126"/>
      <c r="P830" s="10">
        <f t="shared" si="136"/>
        <v>1.7819145024854279</v>
      </c>
      <c r="Q830" s="10">
        <f t="shared" si="141"/>
        <v>3.1752192941678903</v>
      </c>
      <c r="W830" s="240">
        <f t="shared" si="142"/>
        <v>1.7819145024854279</v>
      </c>
      <c r="X830" s="240">
        <f t="shared" si="143"/>
        <v>4.202717752229241E-2</v>
      </c>
      <c r="Y830"/>
      <c r="Z830" s="13">
        <f t="shared" si="137"/>
        <v>34.93633226346607</v>
      </c>
      <c r="AA830" s="2"/>
      <c r="AB830" s="68"/>
      <c r="AC830" s="15">
        <f t="shared" si="138"/>
        <v>59.176262927165475</v>
      </c>
    </row>
    <row r="831" spans="1:29">
      <c r="A831" s="84">
        <f>'Q.1 &amp; 4'!K836</f>
        <v>2.2000000000000002</v>
      </c>
      <c r="B831" s="141">
        <f>'Q.1 &amp; 4'!L836</f>
        <v>44.999099999999999</v>
      </c>
      <c r="C831" s="221"/>
      <c r="D831" s="23"/>
      <c r="E831" s="24"/>
      <c r="F831" s="22">
        <f t="shared" si="133"/>
        <v>-1.3074074074074113</v>
      </c>
      <c r="G831" s="22">
        <f t="shared" si="134"/>
        <v>10.292610930442635</v>
      </c>
      <c r="H831" s="22">
        <f t="shared" si="139"/>
        <v>-13.456635772023189</v>
      </c>
      <c r="I831" s="22">
        <f t="shared" si="140"/>
        <v>1.7093141289437688</v>
      </c>
      <c r="J831" s="24"/>
      <c r="K831" s="24"/>
      <c r="L831" s="235">
        <f t="shared" si="135"/>
        <v>40.617185497514569</v>
      </c>
      <c r="M831" s="126"/>
      <c r="N831" s="126"/>
      <c r="O831" s="126"/>
      <c r="P831" s="10">
        <f t="shared" si="136"/>
        <v>4.3819145024854294</v>
      </c>
      <c r="Q831" s="10">
        <f t="shared" si="141"/>
        <v>19.201174707092129</v>
      </c>
      <c r="W831" s="240">
        <f t="shared" si="142"/>
        <v>4.3819145024854294</v>
      </c>
      <c r="X831" s="240">
        <f t="shared" si="143"/>
        <v>9.7377825389517336E-2</v>
      </c>
      <c r="Y831"/>
      <c r="Z831" s="13">
        <f t="shared" si="137"/>
        <v>34.93633226346607</v>
      </c>
      <c r="AA831" s="2"/>
      <c r="AB831" s="68"/>
      <c r="AC831" s="15">
        <f t="shared" si="138"/>
        <v>105.9378397654672</v>
      </c>
    </row>
    <row r="832" spans="1:29">
      <c r="A832" s="84">
        <f>'Q.1 &amp; 4'!K837</f>
        <v>2.4</v>
      </c>
      <c r="B832" s="141">
        <f>'Q.1 &amp; 4'!L837</f>
        <v>41.9</v>
      </c>
      <c r="C832" s="221"/>
      <c r="D832" s="23"/>
      <c r="E832" s="24"/>
      <c r="F832" s="22">
        <f t="shared" si="133"/>
        <v>-1.1074074074074116</v>
      </c>
      <c r="G832" s="22">
        <f t="shared" si="134"/>
        <v>7.1935109304426348</v>
      </c>
      <c r="H832" s="22">
        <f t="shared" si="139"/>
        <v>-7.9661472896383554</v>
      </c>
      <c r="I832" s="22">
        <f t="shared" si="140"/>
        <v>1.2263511659808048</v>
      </c>
      <c r="J832" s="24"/>
      <c r="K832" s="24"/>
      <c r="L832" s="235">
        <f t="shared" si="135"/>
        <v>39.712999641679758</v>
      </c>
      <c r="M832" s="126"/>
      <c r="N832" s="126"/>
      <c r="O832" s="126"/>
      <c r="P832" s="10">
        <f t="shared" si="136"/>
        <v>2.1870003583202404</v>
      </c>
      <c r="Q832" s="10">
        <f t="shared" si="141"/>
        <v>4.7829705672928604</v>
      </c>
      <c r="W832" s="240">
        <f t="shared" si="142"/>
        <v>2.1870003583202404</v>
      </c>
      <c r="X832" s="240">
        <f t="shared" si="143"/>
        <v>5.2195712609074955E-2</v>
      </c>
      <c r="Y832"/>
      <c r="Z832" s="13">
        <f t="shared" si="137"/>
        <v>25.065148108773304</v>
      </c>
      <c r="AA832" s="2"/>
      <c r="AB832" s="68"/>
      <c r="AC832" s="15">
        <f t="shared" si="138"/>
        <v>51.746599506397658</v>
      </c>
    </row>
    <row r="833" spans="1:29">
      <c r="A833" s="84">
        <f>'Q.1 &amp; 4'!K838</f>
        <v>2.4</v>
      </c>
      <c r="B833" s="141">
        <f>'Q.1 &amp; 4'!L838</f>
        <v>41.5</v>
      </c>
      <c r="C833" s="221"/>
      <c r="D833" s="23"/>
      <c r="E833" s="24"/>
      <c r="F833" s="22">
        <f t="shared" si="133"/>
        <v>-1.1074074074074116</v>
      </c>
      <c r="G833" s="22">
        <f t="shared" si="134"/>
        <v>6.7935109304426362</v>
      </c>
      <c r="H833" s="22">
        <f t="shared" si="139"/>
        <v>-7.5231843266753922</v>
      </c>
      <c r="I833" s="22">
        <f t="shared" si="140"/>
        <v>1.2263511659808048</v>
      </c>
      <c r="J833" s="24"/>
      <c r="K833" s="24"/>
      <c r="L833" s="235">
        <f t="shared" si="135"/>
        <v>39.712999641679758</v>
      </c>
      <c r="M833" s="126"/>
      <c r="N833" s="126"/>
      <c r="O833" s="126"/>
      <c r="P833" s="10">
        <f t="shared" si="136"/>
        <v>1.7870003583202418</v>
      </c>
      <c r="Q833" s="10">
        <f t="shared" si="141"/>
        <v>3.1933702806366728</v>
      </c>
      <c r="W833" s="240">
        <f t="shared" si="142"/>
        <v>1.7870003583202418</v>
      </c>
      <c r="X833" s="240">
        <f t="shared" si="143"/>
        <v>4.3060249598078117E-2</v>
      </c>
      <c r="Y833"/>
      <c r="Z833" s="13">
        <f t="shared" si="137"/>
        <v>25.065148108773304</v>
      </c>
      <c r="AA833" s="2"/>
      <c r="AB833" s="68"/>
      <c r="AC833" s="15">
        <f t="shared" si="138"/>
        <v>46.151790762043575</v>
      </c>
    </row>
    <row r="834" spans="1:29">
      <c r="A834" s="84">
        <f>'Q.1 &amp; 4'!K839</f>
        <v>3.6</v>
      </c>
      <c r="B834" s="141">
        <f>'Q.1 &amp; 4'!L839</f>
        <v>33</v>
      </c>
      <c r="C834" s="221"/>
      <c r="D834" s="23"/>
      <c r="E834" s="24"/>
      <c r="F834" s="22">
        <f t="shared" si="133"/>
        <v>9.2592592592588563E-2</v>
      </c>
      <c r="G834" s="22">
        <f t="shared" si="134"/>
        <v>-1.7064890695573638</v>
      </c>
      <c r="H834" s="22">
        <f t="shared" si="139"/>
        <v>-0.15800824718123052</v>
      </c>
      <c r="I834" s="22">
        <f t="shared" si="140"/>
        <v>8.573388203017087E-3</v>
      </c>
      <c r="J834" s="24"/>
      <c r="K834" s="24"/>
      <c r="L834" s="235">
        <f t="shared" si="135"/>
        <v>34.287884506670892</v>
      </c>
      <c r="M834" s="126"/>
      <c r="N834" s="126"/>
      <c r="O834" s="126"/>
      <c r="P834" s="10">
        <f t="shared" si="136"/>
        <v>-1.2878845066708919</v>
      </c>
      <c r="Q834" s="10">
        <f t="shared" si="141"/>
        <v>1.6586465025229267</v>
      </c>
      <c r="W834" s="240">
        <f t="shared" si="142"/>
        <v>1.2878845066708919</v>
      </c>
      <c r="X834" s="240">
        <f t="shared" si="143"/>
        <v>3.9026803232451272E-2</v>
      </c>
      <c r="Y834"/>
      <c r="Z834" s="13">
        <f t="shared" si="137"/>
        <v>0.17522978006937417</v>
      </c>
      <c r="AA834" s="2"/>
      <c r="AB834" s="68"/>
      <c r="AC834" s="15">
        <f t="shared" si="138"/>
        <v>2.9121049445187572</v>
      </c>
    </row>
    <row r="835" spans="1:29">
      <c r="A835" s="84">
        <f>'Q.1 &amp; 4'!K840</f>
        <v>2.4</v>
      </c>
      <c r="B835" s="141">
        <f>'Q.1 &amp; 4'!L840</f>
        <v>34.1</v>
      </c>
      <c r="C835" s="221"/>
      <c r="D835" s="23"/>
      <c r="E835" s="24"/>
      <c r="F835" s="22">
        <f t="shared" si="133"/>
        <v>-1.1074074074074116</v>
      </c>
      <c r="G835" s="22">
        <f t="shared" si="134"/>
        <v>-0.60648906955736237</v>
      </c>
      <c r="H835" s="22">
        <f t="shared" si="139"/>
        <v>0.67163048813945203</v>
      </c>
      <c r="I835" s="22">
        <f t="shared" si="140"/>
        <v>1.2263511659808048</v>
      </c>
      <c r="J835" s="24"/>
      <c r="K835" s="24"/>
      <c r="L835" s="235">
        <f t="shared" si="135"/>
        <v>39.712999641679758</v>
      </c>
      <c r="M835" s="126"/>
      <c r="N835" s="126"/>
      <c r="O835" s="126"/>
      <c r="P835" s="10">
        <f t="shared" si="136"/>
        <v>-5.6129996416797567</v>
      </c>
      <c r="Q835" s="10">
        <f t="shared" si="141"/>
        <v>31.505764977497076</v>
      </c>
      <c r="W835" s="240">
        <f t="shared" si="142"/>
        <v>5.6129996416797567</v>
      </c>
      <c r="X835" s="240">
        <f t="shared" si="143"/>
        <v>0.16460409506392248</v>
      </c>
      <c r="Y835"/>
      <c r="Z835" s="13">
        <f t="shared" si="137"/>
        <v>25.065148108773304</v>
      </c>
      <c r="AA835" s="2"/>
      <c r="AB835" s="68"/>
      <c r="AC835" s="15">
        <f t="shared" si="138"/>
        <v>0.36782899149255516</v>
      </c>
    </row>
    <row r="836" spans="1:29">
      <c r="A836" s="84">
        <f>'Q.1 &amp; 4'!K841</f>
        <v>2.4</v>
      </c>
      <c r="B836" s="141">
        <f>'Q.1 &amp; 4'!L841</f>
        <v>35</v>
      </c>
      <c r="C836" s="221"/>
      <c r="D836" s="23"/>
      <c r="E836" s="24"/>
      <c r="F836" s="22">
        <f t="shared" si="133"/>
        <v>-1.1074074074074116</v>
      </c>
      <c r="G836" s="22">
        <f t="shared" si="134"/>
        <v>0.29351093044263621</v>
      </c>
      <c r="H836" s="22">
        <f t="shared" si="139"/>
        <v>-0.32503617852721689</v>
      </c>
      <c r="I836" s="22">
        <f t="shared" si="140"/>
        <v>1.2263511659808048</v>
      </c>
      <c r="J836" s="24"/>
      <c r="K836" s="24"/>
      <c r="L836" s="235">
        <f t="shared" si="135"/>
        <v>39.712999641679758</v>
      </c>
      <c r="M836" s="126"/>
      <c r="N836" s="126"/>
      <c r="O836" s="126"/>
      <c r="P836" s="10">
        <f t="shared" si="136"/>
        <v>-4.7129996416797582</v>
      </c>
      <c r="Q836" s="10">
        <f t="shared" si="141"/>
        <v>22.212365622473527</v>
      </c>
      <c r="W836" s="240">
        <f t="shared" si="142"/>
        <v>4.7129996416797582</v>
      </c>
      <c r="X836" s="240">
        <f t="shared" si="143"/>
        <v>0.13465713261942167</v>
      </c>
      <c r="Y836"/>
      <c r="Z836" s="13">
        <f t="shared" si="137"/>
        <v>25.065148108773304</v>
      </c>
      <c r="AA836" s="2"/>
      <c r="AB836" s="68"/>
      <c r="AC836" s="15">
        <f t="shared" si="138"/>
        <v>8.6148666289302026E-2</v>
      </c>
    </row>
    <row r="837" spans="1:29">
      <c r="A837" s="84">
        <f>'Q.1 &amp; 4'!K842</f>
        <v>3.5</v>
      </c>
      <c r="B837" s="141">
        <f>'Q.1 &amp; 4'!L842</f>
        <v>33.200000000000003</v>
      </c>
      <c r="C837" s="221"/>
      <c r="D837" s="23"/>
      <c r="E837" s="24"/>
      <c r="F837" s="22">
        <f t="shared" si="133"/>
        <v>-7.4074074074115259E-3</v>
      </c>
      <c r="G837" s="22">
        <f t="shared" si="134"/>
        <v>-1.5064890695573609</v>
      </c>
      <c r="H837" s="22">
        <f t="shared" si="139"/>
        <v>1.1159178293023693E-2</v>
      </c>
      <c r="I837" s="22">
        <f t="shared" si="140"/>
        <v>5.4869684499375142E-5</v>
      </c>
      <c r="J837" s="24"/>
      <c r="K837" s="24"/>
      <c r="L837" s="235">
        <f t="shared" si="135"/>
        <v>34.739977434588305</v>
      </c>
      <c r="M837" s="126"/>
      <c r="N837" s="126"/>
      <c r="O837" s="126"/>
      <c r="P837" s="10">
        <f t="shared" si="136"/>
        <v>-1.5399774345883017</v>
      </c>
      <c r="Q837" s="10">
        <f t="shared" si="141"/>
        <v>2.371530499041167</v>
      </c>
      <c r="W837" s="240">
        <f t="shared" si="142"/>
        <v>1.5399774345883017</v>
      </c>
      <c r="X837" s="240">
        <f t="shared" si="143"/>
        <v>4.6384862487599446E-2</v>
      </c>
      <c r="Y837"/>
      <c r="Z837" s="13">
        <f t="shared" si="137"/>
        <v>1.1214705924455365E-3</v>
      </c>
      <c r="AA837" s="2"/>
      <c r="AB837" s="68"/>
      <c r="AC837" s="15">
        <f t="shared" si="138"/>
        <v>2.2695093166958031</v>
      </c>
    </row>
    <row r="838" spans="1:29">
      <c r="A838" s="84">
        <f>'Q.1 &amp; 4'!K843</f>
        <v>3.7</v>
      </c>
      <c r="B838" s="141">
        <f>'Q.1 &amp; 4'!L843</f>
        <v>30.5</v>
      </c>
      <c r="C838" s="221"/>
      <c r="D838" s="23"/>
      <c r="E838" s="24"/>
      <c r="F838" s="22">
        <f t="shared" ref="F838:F901" si="144">A838-$D$6</f>
        <v>0.19259259259258865</v>
      </c>
      <c r="G838" s="22">
        <f t="shared" ref="G838:G901" si="145">B838-$E$6</f>
        <v>-4.2064890695573638</v>
      </c>
      <c r="H838" s="22">
        <f t="shared" si="139"/>
        <v>-0.81013863561843868</v>
      </c>
      <c r="I838" s="22">
        <f t="shared" si="140"/>
        <v>3.7091906721534833E-2</v>
      </c>
      <c r="J838" s="24"/>
      <c r="K838" s="24"/>
      <c r="L838" s="235">
        <f t="shared" ref="L838:L901" si="146">$K$6+$J$6*A838</f>
        <v>33.835791578753486</v>
      </c>
      <c r="M838" s="126"/>
      <c r="N838" s="126"/>
      <c r="O838" s="126"/>
      <c r="P838" s="10">
        <f t="shared" ref="P838:P901" si="147">B838-L838</f>
        <v>-3.3357915787534864</v>
      </c>
      <c r="Q838" s="10">
        <f t="shared" si="141"/>
        <v>11.127505456882677</v>
      </c>
      <c r="W838" s="240">
        <f t="shared" si="142"/>
        <v>3.3357915787534864</v>
      </c>
      <c r="X838" s="240">
        <f t="shared" si="143"/>
        <v>0.10937021569683562</v>
      </c>
      <c r="Y838"/>
      <c r="Z838" s="13">
        <f t="shared" ref="Z838:Z901" si="148">(L838-$E$6)^2</f>
        <v>0.75811412049216809</v>
      </c>
      <c r="AA838" s="2"/>
      <c r="AB838" s="68"/>
      <c r="AC838" s="15">
        <f t="shared" ref="AC838:AC901" si="149">(B838-$E$6)^2</f>
        <v>17.694550292305575</v>
      </c>
    </row>
    <row r="839" spans="1:29">
      <c r="A839" s="84">
        <f>'Q.1 &amp; 4'!K844</f>
        <v>4</v>
      </c>
      <c r="B839" s="141">
        <f>'Q.1 &amp; 4'!L844</f>
        <v>29.4</v>
      </c>
      <c r="C839" s="221"/>
      <c r="D839" s="23"/>
      <c r="E839" s="24"/>
      <c r="F839" s="22">
        <f t="shared" si="144"/>
        <v>0.49259259259258847</v>
      </c>
      <c r="G839" s="22">
        <f t="shared" si="145"/>
        <v>-5.3064890695573652</v>
      </c>
      <c r="H839" s="22">
        <f t="shared" ref="H839:H902" si="150">F839*G839</f>
        <v>-2.6139372083374952</v>
      </c>
      <c r="I839" s="22">
        <f t="shared" ref="I839:I902" si="151">F839^2</f>
        <v>0.24264746227708786</v>
      </c>
      <c r="J839" s="24"/>
      <c r="K839" s="24"/>
      <c r="L839" s="235">
        <f t="shared" si="146"/>
        <v>32.479512795001277</v>
      </c>
      <c r="M839" s="126"/>
      <c r="N839" s="126"/>
      <c r="O839" s="126"/>
      <c r="P839" s="10">
        <f t="shared" si="147"/>
        <v>-3.0795127950012784</v>
      </c>
      <c r="Q839" s="10">
        <f t="shared" ref="Q839:Q902" si="152">P839^2</f>
        <v>9.4833990545765854</v>
      </c>
      <c r="W839" s="240">
        <f t="shared" ref="W839:W902" si="153">ABS(P839)</f>
        <v>3.0795127950012784</v>
      </c>
      <c r="X839" s="240">
        <f t="shared" ref="X839:X902" si="154">W839/B839</f>
        <v>0.10474533316330879</v>
      </c>
      <c r="Y839"/>
      <c r="Z839" s="13">
        <f t="shared" si="148"/>
        <v>4.9594233274357071</v>
      </c>
      <c r="AA839" s="2"/>
      <c r="AB839" s="68"/>
      <c r="AC839" s="15">
        <f t="shared" si="149"/>
        <v>28.158826245331792</v>
      </c>
    </row>
    <row r="840" spans="1:29">
      <c r="A840" s="84">
        <f>'Q.1 &amp; 4'!K845</f>
        <v>3.5</v>
      </c>
      <c r="B840" s="141">
        <f>'Q.1 &amp; 4'!L845</f>
        <v>34.200000000000003</v>
      </c>
      <c r="C840" s="221"/>
      <c r="D840" s="23"/>
      <c r="E840" s="24"/>
      <c r="F840" s="22">
        <f t="shared" si="144"/>
        <v>-7.4074074074115259E-3</v>
      </c>
      <c r="G840" s="22">
        <f t="shared" si="145"/>
        <v>-0.50648906955736095</v>
      </c>
      <c r="H840" s="22">
        <f t="shared" si="150"/>
        <v>3.7517708856121671E-3</v>
      </c>
      <c r="I840" s="22">
        <f t="shared" si="151"/>
        <v>5.4869684499375142E-5</v>
      </c>
      <c r="J840" s="24"/>
      <c r="K840" s="24"/>
      <c r="L840" s="235">
        <f t="shared" si="146"/>
        <v>34.739977434588305</v>
      </c>
      <c r="M840" s="126"/>
      <c r="N840" s="126"/>
      <c r="O840" s="126"/>
      <c r="P840" s="10">
        <f t="shared" si="147"/>
        <v>-0.53997743458830172</v>
      </c>
      <c r="Q840" s="10">
        <f t="shared" si="152"/>
        <v>0.29157562986456365</v>
      </c>
      <c r="W840" s="240">
        <f t="shared" si="153"/>
        <v>0.53997743458830172</v>
      </c>
      <c r="X840" s="240">
        <f t="shared" si="154"/>
        <v>1.5788813876850927E-2</v>
      </c>
      <c r="Y840"/>
      <c r="Z840" s="13">
        <f t="shared" si="148"/>
        <v>1.1214705924455365E-3</v>
      </c>
      <c r="AA840" s="2"/>
      <c r="AB840" s="68"/>
      <c r="AC840" s="15">
        <f t="shared" si="149"/>
        <v>0.25653117758108124</v>
      </c>
    </row>
    <row r="841" spans="1:29">
      <c r="A841" s="84">
        <f>'Q.1 &amp; 4'!K846</f>
        <v>2.5</v>
      </c>
      <c r="B841" s="141">
        <f>'Q.1 &amp; 4'!L846</f>
        <v>39.200000000000003</v>
      </c>
      <c r="C841" s="221"/>
      <c r="D841" s="23"/>
      <c r="E841" s="24"/>
      <c r="F841" s="22">
        <f t="shared" si="144"/>
        <v>-1.0074074074074115</v>
      </c>
      <c r="G841" s="22">
        <f t="shared" si="145"/>
        <v>4.4935109304426391</v>
      </c>
      <c r="H841" s="22">
        <f t="shared" si="150"/>
        <v>-4.5267961965940842</v>
      </c>
      <c r="I841" s="22">
        <f t="shared" si="151"/>
        <v>1.0148696844993224</v>
      </c>
      <c r="J841" s="24"/>
      <c r="K841" s="24"/>
      <c r="L841" s="235">
        <f t="shared" si="146"/>
        <v>39.260906713762353</v>
      </c>
      <c r="M841" s="126"/>
      <c r="N841" s="126"/>
      <c r="O841" s="126"/>
      <c r="P841" s="10">
        <f t="shared" si="147"/>
        <v>-6.0906713762349796E-2</v>
      </c>
      <c r="Q841" s="10">
        <f t="shared" si="152"/>
        <v>3.7096277813288099E-3</v>
      </c>
      <c r="W841" s="240">
        <f t="shared" si="153"/>
        <v>6.0906713762349796E-2</v>
      </c>
      <c r="X841" s="240">
        <f t="shared" si="154"/>
        <v>1.5537426980191274E-3</v>
      </c>
      <c r="Y841"/>
      <c r="Z841" s="13">
        <f t="shared" si="148"/>
        <v>20.742720077845721</v>
      </c>
      <c r="AA841" s="2"/>
      <c r="AB841" s="68"/>
      <c r="AC841" s="15">
        <f t="shared" si="149"/>
        <v>20.191640482007472</v>
      </c>
    </row>
    <row r="842" spans="1:29">
      <c r="A842" s="84">
        <f>'Q.1 &amp; 4'!K847</f>
        <v>2.5</v>
      </c>
      <c r="B842" s="141">
        <f>'Q.1 &amp; 4'!L847</f>
        <v>38.6</v>
      </c>
      <c r="C842" s="221"/>
      <c r="D842" s="23"/>
      <c r="E842" s="24"/>
      <c r="F842" s="22">
        <f t="shared" si="144"/>
        <v>-1.0074074074074115</v>
      </c>
      <c r="G842" s="22">
        <f t="shared" si="145"/>
        <v>3.8935109304426376</v>
      </c>
      <c r="H842" s="22">
        <f t="shared" si="150"/>
        <v>-3.9223517521496363</v>
      </c>
      <c r="I842" s="22">
        <f t="shared" si="151"/>
        <v>1.0148696844993224</v>
      </c>
      <c r="J842" s="24"/>
      <c r="K842" s="24"/>
      <c r="L842" s="235">
        <f t="shared" si="146"/>
        <v>39.260906713762353</v>
      </c>
      <c r="M842" s="126"/>
      <c r="N842" s="126"/>
      <c r="O842" s="126"/>
      <c r="P842" s="10">
        <f t="shared" si="147"/>
        <v>-0.66090671376235122</v>
      </c>
      <c r="Q842" s="10">
        <f t="shared" si="152"/>
        <v>0.43679768429615046</v>
      </c>
      <c r="W842" s="240">
        <f t="shared" si="153"/>
        <v>0.66090671376235122</v>
      </c>
      <c r="X842" s="240">
        <f t="shared" si="154"/>
        <v>1.7121935589698219E-2</v>
      </c>
      <c r="Y842"/>
      <c r="Z842" s="13">
        <f t="shared" si="148"/>
        <v>20.742720077845721</v>
      </c>
      <c r="AA842" s="2"/>
      <c r="AB842" s="68"/>
      <c r="AC842" s="15">
        <f t="shared" si="149"/>
        <v>15.159427365476294</v>
      </c>
    </row>
    <row r="843" spans="1:29">
      <c r="A843" s="84">
        <f>'Q.1 &amp; 4'!K848</f>
        <v>3</v>
      </c>
      <c r="B843" s="141">
        <f>'Q.1 &amp; 4'!L848</f>
        <v>34.799999999999997</v>
      </c>
      <c r="C843" s="221"/>
      <c r="D843" s="23"/>
      <c r="E843" s="24"/>
      <c r="F843" s="22">
        <f t="shared" si="144"/>
        <v>-0.50740740740741153</v>
      </c>
      <c r="G843" s="22">
        <f t="shared" si="145"/>
        <v>9.3510930442633367E-2</v>
      </c>
      <c r="H843" s="22">
        <f t="shared" si="150"/>
        <v>-4.7448138780151389E-2</v>
      </c>
      <c r="I843" s="22">
        <f t="shared" si="151"/>
        <v>0.25746227709191088</v>
      </c>
      <c r="J843" s="24"/>
      <c r="K843" s="24"/>
      <c r="L843" s="235">
        <f t="shared" si="146"/>
        <v>37.000442074175325</v>
      </c>
      <c r="M843" s="126"/>
      <c r="N843" s="126"/>
      <c r="O843" s="126"/>
      <c r="P843" s="10">
        <f t="shared" si="147"/>
        <v>-2.2004420741753279</v>
      </c>
      <c r="Q843" s="10">
        <f t="shared" si="152"/>
        <v>4.8419453218010196</v>
      </c>
      <c r="W843" s="240">
        <f t="shared" si="153"/>
        <v>2.2004420741753279</v>
      </c>
      <c r="X843" s="240">
        <f t="shared" si="154"/>
        <v>6.323109408549793E-2</v>
      </c>
      <c r="Y843"/>
      <c r="Z843" s="13">
        <f t="shared" si="148"/>
        <v>5.2622203873957725</v>
      </c>
      <c r="AA843" s="2"/>
      <c r="AB843" s="68"/>
      <c r="AC843" s="15">
        <f t="shared" si="149"/>
        <v>8.7442941122470152E-3</v>
      </c>
    </row>
    <row r="844" spans="1:29">
      <c r="A844" s="84">
        <f>'Q.1 &amp; 4'!K849</f>
        <v>2.5</v>
      </c>
      <c r="B844" s="141">
        <f>'Q.1 &amp; 4'!L849</f>
        <v>42.9</v>
      </c>
      <c r="C844" s="221"/>
      <c r="D844" s="23"/>
      <c r="E844" s="24"/>
      <c r="F844" s="22">
        <f t="shared" si="144"/>
        <v>-1.0074074074074115</v>
      </c>
      <c r="G844" s="22">
        <f t="shared" si="145"/>
        <v>8.1935109304426348</v>
      </c>
      <c r="H844" s="22">
        <f t="shared" si="150"/>
        <v>-8.2542036040015034</v>
      </c>
      <c r="I844" s="22">
        <f t="shared" si="151"/>
        <v>1.0148696844993224</v>
      </c>
      <c r="J844" s="24"/>
      <c r="K844" s="24"/>
      <c r="L844" s="235">
        <f t="shared" si="146"/>
        <v>39.260906713762353</v>
      </c>
      <c r="M844" s="126"/>
      <c r="N844" s="126"/>
      <c r="O844" s="126"/>
      <c r="P844" s="10">
        <f t="shared" si="147"/>
        <v>3.6390932862376459</v>
      </c>
      <c r="Q844" s="10">
        <f t="shared" si="152"/>
        <v>13.242999945939909</v>
      </c>
      <c r="W844" s="240">
        <f t="shared" si="153"/>
        <v>3.6390932862376459</v>
      </c>
      <c r="X844" s="240">
        <f t="shared" si="154"/>
        <v>8.4827349329548857E-2</v>
      </c>
      <c r="Y844"/>
      <c r="Z844" s="13">
        <f t="shared" si="148"/>
        <v>20.742720077845721</v>
      </c>
      <c r="AA844" s="2"/>
      <c r="AB844" s="68"/>
      <c r="AC844" s="15">
        <f t="shared" si="149"/>
        <v>67.133621367282927</v>
      </c>
    </row>
    <row r="845" spans="1:29">
      <c r="A845" s="84">
        <f>'Q.1 &amp; 4'!K850</f>
        <v>5.4</v>
      </c>
      <c r="B845" s="141">
        <f>'Q.1 &amp; 4'!L850</f>
        <v>27</v>
      </c>
      <c r="C845" s="221"/>
      <c r="D845" s="23"/>
      <c r="E845" s="24"/>
      <c r="F845" s="22">
        <f t="shared" si="144"/>
        <v>1.8925925925925888</v>
      </c>
      <c r="G845" s="22">
        <f t="shared" si="145"/>
        <v>-7.7064890695573638</v>
      </c>
      <c r="H845" s="22">
        <f t="shared" si="150"/>
        <v>-14.585244127940019</v>
      </c>
      <c r="I845" s="22">
        <f t="shared" si="151"/>
        <v>3.5819067215363369</v>
      </c>
      <c r="J845" s="24"/>
      <c r="K845" s="24"/>
      <c r="L845" s="235">
        <f t="shared" si="146"/>
        <v>26.150211804157603</v>
      </c>
      <c r="M845" s="126"/>
      <c r="N845" s="126"/>
      <c r="O845" s="126"/>
      <c r="P845" s="10">
        <f t="shared" si="147"/>
        <v>0.84978819584239673</v>
      </c>
      <c r="Q845" s="10">
        <f t="shared" si="152"/>
        <v>0.72213997779307559</v>
      </c>
      <c r="W845" s="240">
        <f t="shared" si="153"/>
        <v>0.84978819584239673</v>
      </c>
      <c r="X845" s="240">
        <f t="shared" si="154"/>
        <v>3.1473636883051728E-2</v>
      </c>
      <c r="Y845"/>
      <c r="Z845" s="13">
        <f t="shared" si="148"/>
        <v>73.209880642396797</v>
      </c>
      <c r="AA845" s="2"/>
      <c r="AB845" s="68"/>
      <c r="AC845" s="15">
        <f t="shared" si="149"/>
        <v>59.389973779207125</v>
      </c>
    </row>
    <row r="846" spans="1:29">
      <c r="A846" s="84">
        <f>'Q.1 &amp; 4'!K851</f>
        <v>4</v>
      </c>
      <c r="B846" s="141">
        <f>'Q.1 &amp; 4'!L851</f>
        <v>27.8</v>
      </c>
      <c r="C846" s="221"/>
      <c r="D846" s="23"/>
      <c r="E846" s="24"/>
      <c r="F846" s="22">
        <f t="shared" si="144"/>
        <v>0.49259259259258847</v>
      </c>
      <c r="G846" s="22">
        <f t="shared" si="145"/>
        <v>-6.9064890695573631</v>
      </c>
      <c r="H846" s="22">
        <f t="shared" si="150"/>
        <v>-3.4020853564856357</v>
      </c>
      <c r="I846" s="22">
        <f t="shared" si="151"/>
        <v>0.24264746227708786</v>
      </c>
      <c r="J846" s="24"/>
      <c r="K846" s="24"/>
      <c r="L846" s="235">
        <f t="shared" si="146"/>
        <v>32.479512795001277</v>
      </c>
      <c r="M846" s="126"/>
      <c r="N846" s="126"/>
      <c r="O846" s="126"/>
      <c r="P846" s="10">
        <f t="shared" si="147"/>
        <v>-4.6795127950012763</v>
      </c>
      <c r="Q846" s="10">
        <f t="shared" si="152"/>
        <v>21.897839998580658</v>
      </c>
      <c r="W846" s="240">
        <f t="shared" si="153"/>
        <v>4.6795127950012763</v>
      </c>
      <c r="X846" s="240">
        <f t="shared" si="154"/>
        <v>0.16832779838134088</v>
      </c>
      <c r="Y846"/>
      <c r="Z846" s="13">
        <f t="shared" si="148"/>
        <v>4.9594233274357071</v>
      </c>
      <c r="AA846" s="2"/>
      <c r="AB846" s="68"/>
      <c r="AC846" s="15">
        <f t="shared" si="149"/>
        <v>47.699591267915331</v>
      </c>
    </row>
    <row r="847" spans="1:29">
      <c r="A847" s="84">
        <f>'Q.1 &amp; 4'!K852</f>
        <v>4.5999999999999996</v>
      </c>
      <c r="B847" s="141">
        <f>'Q.1 &amp; 4'!L852</f>
        <v>29</v>
      </c>
      <c r="C847" s="221"/>
      <c r="D847" s="23"/>
      <c r="E847" s="24"/>
      <c r="F847" s="22">
        <f t="shared" si="144"/>
        <v>1.0925925925925881</v>
      </c>
      <c r="G847" s="22">
        <f t="shared" si="145"/>
        <v>-5.7064890695573638</v>
      </c>
      <c r="H847" s="22">
        <f t="shared" si="150"/>
        <v>-6.2348676871089461</v>
      </c>
      <c r="I847" s="22">
        <f t="shared" si="151"/>
        <v>1.1937585733881932</v>
      </c>
      <c r="J847" s="24"/>
      <c r="K847" s="24"/>
      <c r="L847" s="235">
        <f t="shared" si="146"/>
        <v>29.766955227496847</v>
      </c>
      <c r="M847" s="126"/>
      <c r="N847" s="126"/>
      <c r="O847" s="126"/>
      <c r="P847" s="10">
        <f t="shared" si="147"/>
        <v>-0.76695522749684741</v>
      </c>
      <c r="Q847" s="10">
        <f t="shared" si="152"/>
        <v>0.58822032098474097</v>
      </c>
      <c r="W847" s="240">
        <f t="shared" si="153"/>
        <v>0.76695522749684741</v>
      </c>
      <c r="X847" s="240">
        <f t="shared" si="154"/>
        <v>2.644673198264991E-2</v>
      </c>
      <c r="Y847"/>
      <c r="Z847" s="13">
        <f t="shared" si="148"/>
        <v>24.398994576861128</v>
      </c>
      <c r="AA847" s="2"/>
      <c r="AB847" s="68"/>
      <c r="AC847" s="15">
        <f t="shared" si="149"/>
        <v>32.56401750097767</v>
      </c>
    </row>
    <row r="848" spans="1:29">
      <c r="A848" s="84">
        <f>'Q.1 &amp; 4'!K853</f>
        <v>3.5</v>
      </c>
      <c r="B848" s="141">
        <f>'Q.1 &amp; 4'!L853</f>
        <v>34.200000000000003</v>
      </c>
      <c r="C848" s="221"/>
      <c r="D848" s="23"/>
      <c r="E848" s="24"/>
      <c r="F848" s="22">
        <f t="shared" si="144"/>
        <v>-7.4074074074115259E-3</v>
      </c>
      <c r="G848" s="22">
        <f t="shared" si="145"/>
        <v>-0.50648906955736095</v>
      </c>
      <c r="H848" s="22">
        <f t="shared" si="150"/>
        <v>3.7517708856121671E-3</v>
      </c>
      <c r="I848" s="22">
        <f t="shared" si="151"/>
        <v>5.4869684499375142E-5</v>
      </c>
      <c r="J848" s="24"/>
      <c r="K848" s="24"/>
      <c r="L848" s="235">
        <f t="shared" si="146"/>
        <v>34.739977434588305</v>
      </c>
      <c r="M848" s="126"/>
      <c r="N848" s="126"/>
      <c r="O848" s="126"/>
      <c r="P848" s="10">
        <f t="shared" si="147"/>
        <v>-0.53997743458830172</v>
      </c>
      <c r="Q848" s="10">
        <f t="shared" si="152"/>
        <v>0.29157562986456365</v>
      </c>
      <c r="W848" s="240">
        <f t="shared" si="153"/>
        <v>0.53997743458830172</v>
      </c>
      <c r="X848" s="240">
        <f t="shared" si="154"/>
        <v>1.5788813876850927E-2</v>
      </c>
      <c r="Y848"/>
      <c r="Z848" s="13">
        <f t="shared" si="148"/>
        <v>1.1214705924455365E-3</v>
      </c>
      <c r="AA848" s="2"/>
      <c r="AB848" s="68"/>
      <c r="AC848" s="15">
        <f t="shared" si="149"/>
        <v>0.25653117758108124</v>
      </c>
    </row>
    <row r="849" spans="1:29">
      <c r="A849" s="84">
        <f>'Q.1 &amp; 4'!K854</f>
        <v>3.6</v>
      </c>
      <c r="B849" s="141">
        <f>'Q.1 &amp; 4'!L854</f>
        <v>33</v>
      </c>
      <c r="C849" s="221"/>
      <c r="D849" s="23"/>
      <c r="E849" s="24"/>
      <c r="F849" s="22">
        <f t="shared" si="144"/>
        <v>9.2592592592588563E-2</v>
      </c>
      <c r="G849" s="22">
        <f t="shared" si="145"/>
        <v>-1.7064890695573638</v>
      </c>
      <c r="H849" s="22">
        <f t="shared" si="150"/>
        <v>-0.15800824718123052</v>
      </c>
      <c r="I849" s="22">
        <f t="shared" si="151"/>
        <v>8.573388203017087E-3</v>
      </c>
      <c r="J849" s="24"/>
      <c r="K849" s="24"/>
      <c r="L849" s="235">
        <f t="shared" si="146"/>
        <v>34.287884506670892</v>
      </c>
      <c r="M849" s="126"/>
      <c r="N849" s="126"/>
      <c r="O849" s="126"/>
      <c r="P849" s="10">
        <f t="shared" si="147"/>
        <v>-1.2878845066708919</v>
      </c>
      <c r="Q849" s="10">
        <f t="shared" si="152"/>
        <v>1.6586465025229267</v>
      </c>
      <c r="W849" s="240">
        <f t="shared" si="153"/>
        <v>1.2878845066708919</v>
      </c>
      <c r="X849" s="240">
        <f t="shared" si="154"/>
        <v>3.9026803232451272E-2</v>
      </c>
      <c r="Y849"/>
      <c r="Z849" s="13">
        <f t="shared" si="148"/>
        <v>0.17522978006937417</v>
      </c>
      <c r="AA849" s="2"/>
      <c r="AB849" s="68"/>
      <c r="AC849" s="15">
        <f t="shared" si="149"/>
        <v>2.9121049445187572</v>
      </c>
    </row>
    <row r="850" spans="1:29">
      <c r="A850" s="84">
        <f>'Q.1 &amp; 4'!K855</f>
        <v>5.3</v>
      </c>
      <c r="B850" s="141">
        <f>'Q.1 &amp; 4'!L855</f>
        <v>28.993500000000001</v>
      </c>
      <c r="C850" s="221"/>
      <c r="D850" s="23"/>
      <c r="E850" s="24"/>
      <c r="F850" s="22">
        <f t="shared" si="144"/>
        <v>1.7925925925925883</v>
      </c>
      <c r="G850" s="22">
        <f t="shared" si="145"/>
        <v>-5.7129890695573629</v>
      </c>
      <c r="H850" s="22">
        <f t="shared" si="150"/>
        <v>-10.241061887650952</v>
      </c>
      <c r="I850" s="22">
        <f t="shared" si="151"/>
        <v>3.2133882030178174</v>
      </c>
      <c r="J850" s="24"/>
      <c r="K850" s="24"/>
      <c r="L850" s="235">
        <f t="shared" si="146"/>
        <v>26.602304732075012</v>
      </c>
      <c r="M850" s="126"/>
      <c r="N850" s="126"/>
      <c r="O850" s="126"/>
      <c r="P850" s="10">
        <f t="shared" si="147"/>
        <v>2.3911952679249886</v>
      </c>
      <c r="Q850" s="10">
        <f t="shared" si="152"/>
        <v>5.7178148093468577</v>
      </c>
      <c r="W850" s="240">
        <f t="shared" si="153"/>
        <v>2.3911952679249886</v>
      </c>
      <c r="X850" s="240">
        <f t="shared" si="154"/>
        <v>8.2473494677254858E-2</v>
      </c>
      <c r="Y850"/>
      <c r="Z850" s="13">
        <f t="shared" si="148"/>
        <v>65.677803775894262</v>
      </c>
      <c r="AA850" s="2"/>
      <c r="AB850" s="68"/>
      <c r="AC850" s="15">
        <f t="shared" si="149"/>
        <v>32.638244108881899</v>
      </c>
    </row>
    <row r="851" spans="1:29">
      <c r="A851" s="84">
        <f>'Q.1 &amp; 4'!K856</f>
        <v>6.2</v>
      </c>
      <c r="B851" s="141">
        <f>'Q.1 &amp; 4'!L856</f>
        <v>28.4</v>
      </c>
      <c r="C851" s="221"/>
      <c r="D851" s="23"/>
      <c r="E851" s="24"/>
      <c r="F851" s="22">
        <f t="shared" si="144"/>
        <v>2.6925925925925887</v>
      </c>
      <c r="G851" s="22">
        <f t="shared" si="145"/>
        <v>-6.3064890695573652</v>
      </c>
      <c r="H851" s="22">
        <f t="shared" si="150"/>
        <v>-16.98080575395629</v>
      </c>
      <c r="I851" s="22">
        <f t="shared" si="151"/>
        <v>7.2500548696844778</v>
      </c>
      <c r="J851" s="24"/>
      <c r="K851" s="24"/>
      <c r="L851" s="235">
        <f t="shared" si="146"/>
        <v>22.533468380818363</v>
      </c>
      <c r="M851" s="126"/>
      <c r="N851" s="126"/>
      <c r="O851" s="126"/>
      <c r="P851" s="10">
        <f t="shared" si="147"/>
        <v>5.8665316191816359</v>
      </c>
      <c r="Q851" s="10">
        <f t="shared" si="152"/>
        <v>34.416193238857907</v>
      </c>
      <c r="W851" s="240">
        <f t="shared" si="153"/>
        <v>5.8665316191816359</v>
      </c>
      <c r="X851" s="240">
        <f t="shared" si="154"/>
        <v>0.20656801475991676</v>
      </c>
      <c r="Y851"/>
      <c r="Z851" s="13">
        <f t="shared" si="148"/>
        <v>148.18243268846774</v>
      </c>
      <c r="AA851" s="2"/>
      <c r="AB851" s="68"/>
      <c r="AC851" s="15">
        <f t="shared" si="149"/>
        <v>39.771804384446519</v>
      </c>
    </row>
    <row r="852" spans="1:29">
      <c r="A852" s="84">
        <f>'Q.1 &amp; 4'!K857</f>
        <v>6</v>
      </c>
      <c r="B852" s="141">
        <f>'Q.1 &amp; 4'!L857</f>
        <v>30.5</v>
      </c>
      <c r="C852" s="221"/>
      <c r="D852" s="23"/>
      <c r="E852" s="24"/>
      <c r="F852" s="22">
        <f t="shared" si="144"/>
        <v>2.4925925925925885</v>
      </c>
      <c r="G852" s="22">
        <f t="shared" si="145"/>
        <v>-4.2064890695573638</v>
      </c>
      <c r="H852" s="22">
        <f t="shared" si="150"/>
        <v>-10.485063495600375</v>
      </c>
      <c r="I852" s="22">
        <f t="shared" si="151"/>
        <v>6.2130178326474415</v>
      </c>
      <c r="J852" s="24"/>
      <c r="K852" s="24"/>
      <c r="L852" s="235">
        <f t="shared" si="146"/>
        <v>23.437654236653174</v>
      </c>
      <c r="M852" s="126"/>
      <c r="N852" s="126"/>
      <c r="O852" s="126"/>
      <c r="P852" s="10">
        <f t="shared" si="147"/>
        <v>7.0623457633468263</v>
      </c>
      <c r="Q852" s="10">
        <f t="shared" si="152"/>
        <v>49.876727681062867</v>
      </c>
      <c r="W852" s="240">
        <f t="shared" si="153"/>
        <v>7.0623457633468263</v>
      </c>
      <c r="X852" s="240">
        <f t="shared" si="154"/>
        <v>0.23155232010973201</v>
      </c>
      <c r="Y852"/>
      <c r="Z852" s="13">
        <f t="shared" si="148"/>
        <v>126.9866384912748</v>
      </c>
      <c r="AA852" s="2"/>
      <c r="AB852" s="68"/>
      <c r="AC852" s="15">
        <f t="shared" si="149"/>
        <v>17.694550292305575</v>
      </c>
    </row>
    <row r="853" spans="1:29">
      <c r="A853" s="84">
        <f>'Q.1 &amp; 4'!K858</f>
        <v>5.3</v>
      </c>
      <c r="B853" s="141">
        <f>'Q.1 &amp; 4'!L858</f>
        <v>28.993500000000001</v>
      </c>
      <c r="C853" s="221"/>
      <c r="D853" s="23"/>
      <c r="E853" s="24"/>
      <c r="F853" s="22">
        <f t="shared" si="144"/>
        <v>1.7925925925925883</v>
      </c>
      <c r="G853" s="22">
        <f t="shared" si="145"/>
        <v>-5.7129890695573629</v>
      </c>
      <c r="H853" s="22">
        <f t="shared" si="150"/>
        <v>-10.241061887650952</v>
      </c>
      <c r="I853" s="22">
        <f t="shared" si="151"/>
        <v>3.2133882030178174</v>
      </c>
      <c r="J853" s="24"/>
      <c r="K853" s="24"/>
      <c r="L853" s="235">
        <f t="shared" si="146"/>
        <v>26.602304732075012</v>
      </c>
      <c r="M853" s="126"/>
      <c r="N853" s="126"/>
      <c r="O853" s="126"/>
      <c r="P853" s="10">
        <f t="shared" si="147"/>
        <v>2.3911952679249886</v>
      </c>
      <c r="Q853" s="10">
        <f t="shared" si="152"/>
        <v>5.7178148093468577</v>
      </c>
      <c r="W853" s="240">
        <f t="shared" si="153"/>
        <v>2.3911952679249886</v>
      </c>
      <c r="X853" s="240">
        <f t="shared" si="154"/>
        <v>8.2473494677254858E-2</v>
      </c>
      <c r="Y853"/>
      <c r="Z853" s="13">
        <f t="shared" si="148"/>
        <v>65.677803775894262</v>
      </c>
      <c r="AA853" s="2"/>
      <c r="AB853" s="68"/>
      <c r="AC853" s="15">
        <f t="shared" si="149"/>
        <v>32.638244108881899</v>
      </c>
    </row>
    <row r="854" spans="1:29">
      <c r="A854" s="84">
        <f>'Q.1 &amp; 4'!K859</f>
        <v>6.2</v>
      </c>
      <c r="B854" s="141">
        <f>'Q.1 &amp; 4'!L859</f>
        <v>28.4</v>
      </c>
      <c r="C854" s="221"/>
      <c r="D854" s="23"/>
      <c r="E854" s="24"/>
      <c r="F854" s="22">
        <f t="shared" si="144"/>
        <v>2.6925925925925887</v>
      </c>
      <c r="G854" s="22">
        <f t="shared" si="145"/>
        <v>-6.3064890695573652</v>
      </c>
      <c r="H854" s="22">
        <f t="shared" si="150"/>
        <v>-16.98080575395629</v>
      </c>
      <c r="I854" s="22">
        <f t="shared" si="151"/>
        <v>7.2500548696844778</v>
      </c>
      <c r="J854" s="24"/>
      <c r="K854" s="24"/>
      <c r="L854" s="235">
        <f t="shared" si="146"/>
        <v>22.533468380818363</v>
      </c>
      <c r="M854" s="126"/>
      <c r="N854" s="126"/>
      <c r="O854" s="126"/>
      <c r="P854" s="10">
        <f t="shared" si="147"/>
        <v>5.8665316191816359</v>
      </c>
      <c r="Q854" s="10">
        <f t="shared" si="152"/>
        <v>34.416193238857907</v>
      </c>
      <c r="W854" s="240">
        <f t="shared" si="153"/>
        <v>5.8665316191816359</v>
      </c>
      <c r="X854" s="240">
        <f t="shared" si="154"/>
        <v>0.20656801475991676</v>
      </c>
      <c r="Y854"/>
      <c r="Z854" s="13">
        <f t="shared" si="148"/>
        <v>148.18243268846774</v>
      </c>
      <c r="AA854" s="2"/>
      <c r="AB854" s="68"/>
      <c r="AC854" s="15">
        <f t="shared" si="149"/>
        <v>39.771804384446519</v>
      </c>
    </row>
    <row r="855" spans="1:29">
      <c r="A855" s="84">
        <f>'Q.1 &amp; 4'!K860</f>
        <v>6.2</v>
      </c>
      <c r="B855" s="141">
        <f>'Q.1 &amp; 4'!L860</f>
        <v>26</v>
      </c>
      <c r="C855" s="221"/>
      <c r="D855" s="23"/>
      <c r="E855" s="24"/>
      <c r="F855" s="22">
        <f t="shared" si="144"/>
        <v>2.6925925925925887</v>
      </c>
      <c r="G855" s="22">
        <f t="shared" si="145"/>
        <v>-8.7064890695573638</v>
      </c>
      <c r="H855" s="22">
        <f t="shared" si="150"/>
        <v>-23.443027976178499</v>
      </c>
      <c r="I855" s="22">
        <f t="shared" si="151"/>
        <v>7.2500548696844778</v>
      </c>
      <c r="J855" s="24"/>
      <c r="K855" s="24"/>
      <c r="L855" s="235">
        <f t="shared" si="146"/>
        <v>22.533468380818363</v>
      </c>
      <c r="M855" s="126"/>
      <c r="N855" s="126"/>
      <c r="O855" s="126"/>
      <c r="P855" s="10">
        <f t="shared" si="147"/>
        <v>3.4665316191816373</v>
      </c>
      <c r="Q855" s="10">
        <f t="shared" si="152"/>
        <v>12.016841466786063</v>
      </c>
      <c r="W855" s="240">
        <f t="shared" si="153"/>
        <v>3.4665316191816373</v>
      </c>
      <c r="X855" s="240">
        <f t="shared" si="154"/>
        <v>0.13332813919929373</v>
      </c>
      <c r="Y855"/>
      <c r="Z855" s="13">
        <f t="shared" si="148"/>
        <v>148.18243268846774</v>
      </c>
      <c r="AA855" s="2"/>
      <c r="AB855" s="68"/>
      <c r="AC855" s="15">
        <f t="shared" si="149"/>
        <v>75.802951918321853</v>
      </c>
    </row>
    <row r="856" spans="1:29">
      <c r="A856" s="84">
        <f>'Q.1 &amp; 4'!K861</f>
        <v>2.4</v>
      </c>
      <c r="B856" s="141">
        <f>'Q.1 &amp; 4'!L861</f>
        <v>45.1</v>
      </c>
      <c r="C856" s="221"/>
      <c r="D856" s="23"/>
      <c r="E856" s="24"/>
      <c r="F856" s="22">
        <f t="shared" si="144"/>
        <v>-1.1074074074074116</v>
      </c>
      <c r="G856" s="22">
        <f t="shared" si="145"/>
        <v>10.393510930442638</v>
      </c>
      <c r="H856" s="22">
        <f t="shared" si="150"/>
        <v>-11.509850993342075</v>
      </c>
      <c r="I856" s="22">
        <f t="shared" si="151"/>
        <v>1.2263511659808048</v>
      </c>
      <c r="J856" s="24"/>
      <c r="K856" s="24"/>
      <c r="L856" s="235">
        <f t="shared" si="146"/>
        <v>39.712999641679758</v>
      </c>
      <c r="M856" s="126"/>
      <c r="N856" s="126"/>
      <c r="O856" s="126"/>
      <c r="P856" s="10">
        <f t="shared" si="147"/>
        <v>5.3870003583202433</v>
      </c>
      <c r="Q856" s="10">
        <f t="shared" si="152"/>
        <v>29.019772860542428</v>
      </c>
      <c r="W856" s="240">
        <f t="shared" si="153"/>
        <v>5.3870003583202433</v>
      </c>
      <c r="X856" s="240">
        <f t="shared" si="154"/>
        <v>0.11944568421996105</v>
      </c>
      <c r="Y856"/>
      <c r="Z856" s="13">
        <f t="shared" si="148"/>
        <v>25.065148108773304</v>
      </c>
      <c r="AA856" s="2"/>
      <c r="AB856" s="68"/>
      <c r="AC856" s="15">
        <f t="shared" si="149"/>
        <v>108.02506946123059</v>
      </c>
    </row>
    <row r="857" spans="1:29">
      <c r="A857" s="84">
        <f>'Q.1 &amp; 4'!K862</f>
        <v>3</v>
      </c>
      <c r="B857" s="141">
        <f>'Q.1 &amp; 4'!L862</f>
        <v>34.548200000000001</v>
      </c>
      <c r="C857" s="221"/>
      <c r="D857" s="23"/>
      <c r="E857" s="24"/>
      <c r="F857" s="22">
        <f t="shared" si="144"/>
        <v>-0.50740740740741153</v>
      </c>
      <c r="G857" s="22">
        <f t="shared" si="145"/>
        <v>-0.15828906955736244</v>
      </c>
      <c r="H857" s="22">
        <f t="shared" si="150"/>
        <v>8.0317046405032705E-2</v>
      </c>
      <c r="I857" s="22">
        <f t="shared" si="151"/>
        <v>0.25746227709191088</v>
      </c>
      <c r="J857" s="24"/>
      <c r="K857" s="24"/>
      <c r="L857" s="235">
        <f t="shared" si="146"/>
        <v>37.000442074175325</v>
      </c>
      <c r="M857" s="126"/>
      <c r="N857" s="126"/>
      <c r="O857" s="126"/>
      <c r="P857" s="10">
        <f t="shared" si="147"/>
        <v>-2.4522420741753237</v>
      </c>
      <c r="Q857" s="10">
        <f t="shared" si="152"/>
        <v>6.013491190355694</v>
      </c>
      <c r="W857" s="240">
        <f t="shared" si="153"/>
        <v>2.4522420741753237</v>
      </c>
      <c r="X857" s="240">
        <f t="shared" si="154"/>
        <v>7.0980313711722282E-2</v>
      </c>
      <c r="Y857"/>
      <c r="Z857" s="13">
        <f t="shared" si="148"/>
        <v>5.2622203873957725</v>
      </c>
      <c r="AA857" s="2"/>
      <c r="AB857" s="68"/>
      <c r="AC857" s="15">
        <f t="shared" si="149"/>
        <v>2.5055429541335526E-2</v>
      </c>
    </row>
    <row r="858" spans="1:29">
      <c r="A858" s="84">
        <f>'Q.1 &amp; 4'!K863</f>
        <v>3.5</v>
      </c>
      <c r="B858" s="141">
        <f>'Q.1 &amp; 4'!L863</f>
        <v>38.299999999999997</v>
      </c>
      <c r="C858" s="221"/>
      <c r="D858" s="23"/>
      <c r="E858" s="24"/>
      <c r="F858" s="22">
        <f t="shared" si="144"/>
        <v>-7.4074074074115259E-3</v>
      </c>
      <c r="G858" s="22">
        <f t="shared" si="145"/>
        <v>3.5935109304426334</v>
      </c>
      <c r="H858" s="22">
        <f t="shared" si="150"/>
        <v>-2.6618599484775046E-2</v>
      </c>
      <c r="I858" s="22">
        <f t="shared" si="151"/>
        <v>5.4869684499375142E-5</v>
      </c>
      <c r="J858" s="24"/>
      <c r="K858" s="24"/>
      <c r="L858" s="235">
        <f t="shared" si="146"/>
        <v>34.739977434588305</v>
      </c>
      <c r="M858" s="126"/>
      <c r="N858" s="126"/>
      <c r="O858" s="126"/>
      <c r="P858" s="10">
        <f t="shared" si="147"/>
        <v>3.5600225654116926</v>
      </c>
      <c r="Q858" s="10">
        <f t="shared" si="152"/>
        <v>12.673760666240449</v>
      </c>
      <c r="W858" s="240">
        <f t="shared" si="153"/>
        <v>3.5600225654116926</v>
      </c>
      <c r="X858" s="240">
        <f t="shared" si="154"/>
        <v>9.2950980820148632E-2</v>
      </c>
      <c r="Y858"/>
      <c r="Z858" s="13">
        <f t="shared" si="148"/>
        <v>1.1214705924455365E-3</v>
      </c>
      <c r="AA858" s="2"/>
      <c r="AB858" s="68"/>
      <c r="AC858" s="15">
        <f t="shared" si="149"/>
        <v>12.913320807210681</v>
      </c>
    </row>
    <row r="859" spans="1:29">
      <c r="A859" s="84">
        <f>'Q.1 &amp; 4'!K864</f>
        <v>2.4</v>
      </c>
      <c r="B859" s="141">
        <f>'Q.1 &amp; 4'!L864</f>
        <v>39.200000000000003</v>
      </c>
      <c r="C859" s="221"/>
      <c r="D859" s="23"/>
      <c r="E859" s="24"/>
      <c r="F859" s="22">
        <f t="shared" si="144"/>
        <v>-1.1074074074074116</v>
      </c>
      <c r="G859" s="22">
        <f t="shared" si="145"/>
        <v>4.4935109304426391</v>
      </c>
      <c r="H859" s="22">
        <f t="shared" si="150"/>
        <v>-4.976147289638349</v>
      </c>
      <c r="I859" s="22">
        <f t="shared" si="151"/>
        <v>1.2263511659808048</v>
      </c>
      <c r="J859" s="24"/>
      <c r="K859" s="24"/>
      <c r="L859" s="235">
        <f t="shared" si="146"/>
        <v>39.712999641679758</v>
      </c>
      <c r="M859" s="126"/>
      <c r="N859" s="126"/>
      <c r="O859" s="126"/>
      <c r="P859" s="10">
        <f t="shared" si="147"/>
        <v>-0.51299964167975531</v>
      </c>
      <c r="Q859" s="10">
        <f t="shared" si="152"/>
        <v>0.26316863236355736</v>
      </c>
      <c r="W859" s="240">
        <f t="shared" si="153"/>
        <v>0.51299964167975531</v>
      </c>
      <c r="X859" s="240">
        <f t="shared" si="154"/>
        <v>1.3086725553054981E-2</v>
      </c>
      <c r="Y859"/>
      <c r="Z859" s="13">
        <f t="shared" si="148"/>
        <v>25.065148108773304</v>
      </c>
      <c r="AA859" s="2"/>
      <c r="AB859" s="68"/>
      <c r="AC859" s="15">
        <f t="shared" si="149"/>
        <v>20.191640482007472</v>
      </c>
    </row>
    <row r="860" spans="1:29">
      <c r="A860" s="84">
        <f>'Q.1 &amp; 4'!K865</f>
        <v>2.4</v>
      </c>
      <c r="B860" s="141">
        <f>'Q.1 &amp; 4'!L865</f>
        <v>34.299999999999997</v>
      </c>
      <c r="C860" s="221"/>
      <c r="D860" s="23"/>
      <c r="E860" s="24"/>
      <c r="F860" s="22">
        <f t="shared" si="144"/>
        <v>-1.1074074074074116</v>
      </c>
      <c r="G860" s="22">
        <f t="shared" si="145"/>
        <v>-0.40648906955736663</v>
      </c>
      <c r="H860" s="22">
        <f t="shared" si="150"/>
        <v>0.45014900665797442</v>
      </c>
      <c r="I860" s="22">
        <f t="shared" si="151"/>
        <v>1.2263511659808048</v>
      </c>
      <c r="J860" s="24"/>
      <c r="K860" s="24"/>
      <c r="L860" s="235">
        <f t="shared" si="146"/>
        <v>39.712999641679758</v>
      </c>
      <c r="M860" s="126"/>
      <c r="N860" s="126"/>
      <c r="O860" s="126"/>
      <c r="P860" s="10">
        <f t="shared" si="147"/>
        <v>-5.412999641679761</v>
      </c>
      <c r="Q860" s="10">
        <f t="shared" si="152"/>
        <v>29.300565120825222</v>
      </c>
      <c r="W860" s="240">
        <f t="shared" si="153"/>
        <v>5.412999641679761</v>
      </c>
      <c r="X860" s="240">
        <f t="shared" si="154"/>
        <v>0.15781340063206301</v>
      </c>
      <c r="Y860"/>
      <c r="Z860" s="13">
        <f t="shared" si="148"/>
        <v>25.065148108773304</v>
      </c>
      <c r="AA860" s="2"/>
      <c r="AB860" s="68"/>
      <c r="AC860" s="15">
        <f t="shared" si="149"/>
        <v>0.16523336366961364</v>
      </c>
    </row>
    <row r="861" spans="1:29">
      <c r="A861" s="84">
        <f>'Q.1 &amp; 4'!K866</f>
        <v>2.4</v>
      </c>
      <c r="B861" s="141">
        <f>'Q.1 &amp; 4'!L866</f>
        <v>31.9</v>
      </c>
      <c r="C861" s="221"/>
      <c r="D861" s="23"/>
      <c r="E861" s="24"/>
      <c r="F861" s="22">
        <f t="shared" si="144"/>
        <v>-1.1074074074074116</v>
      </c>
      <c r="G861" s="22">
        <f t="shared" si="145"/>
        <v>-2.8064890695573652</v>
      </c>
      <c r="H861" s="22">
        <f t="shared" si="150"/>
        <v>3.1079267844357608</v>
      </c>
      <c r="I861" s="22">
        <f t="shared" si="151"/>
        <v>1.2263511659808048</v>
      </c>
      <c r="J861" s="24"/>
      <c r="K861" s="24"/>
      <c r="L861" s="235">
        <f t="shared" si="146"/>
        <v>39.712999641679758</v>
      </c>
      <c r="M861" s="126"/>
      <c r="N861" s="126"/>
      <c r="O861" s="126"/>
      <c r="P861" s="10">
        <f t="shared" si="147"/>
        <v>-7.8129996416797596</v>
      </c>
      <c r="Q861" s="10">
        <f t="shared" si="152"/>
        <v>61.042963400888048</v>
      </c>
      <c r="W861" s="240">
        <f t="shared" si="153"/>
        <v>7.8129996416797596</v>
      </c>
      <c r="X861" s="240">
        <f t="shared" si="154"/>
        <v>0.24492161886143449</v>
      </c>
      <c r="Y861"/>
      <c r="Z861" s="13">
        <f t="shared" si="148"/>
        <v>25.065148108773304</v>
      </c>
      <c r="AA861" s="2"/>
      <c r="AB861" s="68"/>
      <c r="AC861" s="15">
        <f t="shared" si="149"/>
        <v>7.8763808975449656</v>
      </c>
    </row>
    <row r="862" spans="1:29">
      <c r="A862" s="84">
        <f>'Q.1 &amp; 4'!K867</f>
        <v>3.5</v>
      </c>
      <c r="B862" s="141">
        <f>'Q.1 &amp; 4'!L867</f>
        <v>31.947500000000002</v>
      </c>
      <c r="C862" s="221"/>
      <c r="D862" s="23"/>
      <c r="E862" s="24"/>
      <c r="F862" s="22">
        <f t="shared" si="144"/>
        <v>-7.4074074074115259E-3</v>
      </c>
      <c r="G862" s="22">
        <f t="shared" si="145"/>
        <v>-2.7589890695573622</v>
      </c>
      <c r="H862" s="22">
        <f t="shared" si="150"/>
        <v>2.0436956070806638E-2</v>
      </c>
      <c r="I862" s="22">
        <f t="shared" si="151"/>
        <v>5.4869684499375142E-5</v>
      </c>
      <c r="J862" s="24"/>
      <c r="K862" s="24"/>
      <c r="L862" s="235">
        <f t="shared" si="146"/>
        <v>34.739977434588305</v>
      </c>
      <c r="M862" s="126"/>
      <c r="N862" s="126"/>
      <c r="O862" s="126"/>
      <c r="P862" s="10">
        <f t="shared" si="147"/>
        <v>-2.792477434588303</v>
      </c>
      <c r="Q862" s="10">
        <f t="shared" si="152"/>
        <v>7.7979302226848697</v>
      </c>
      <c r="W862" s="240">
        <f t="shared" si="153"/>
        <v>2.792477434588303</v>
      </c>
      <c r="X862" s="240">
        <f t="shared" si="154"/>
        <v>8.7408324112631747E-2</v>
      </c>
      <c r="Y862"/>
      <c r="Z862" s="13">
        <f t="shared" si="148"/>
        <v>1.1214705924455365E-3</v>
      </c>
      <c r="AA862" s="2"/>
      <c r="AB862" s="68"/>
      <c r="AC862" s="15">
        <f t="shared" si="149"/>
        <v>7.612020685936999</v>
      </c>
    </row>
    <row r="863" spans="1:29">
      <c r="A863" s="84">
        <f>'Q.1 &amp; 4'!K868</f>
        <v>2.4</v>
      </c>
      <c r="B863" s="141">
        <f>'Q.1 &amp; 4'!L868</f>
        <v>38.6</v>
      </c>
      <c r="C863" s="221"/>
      <c r="D863" s="23"/>
      <c r="E863" s="24"/>
      <c r="F863" s="22">
        <f t="shared" si="144"/>
        <v>-1.1074074074074116</v>
      </c>
      <c r="G863" s="22">
        <f t="shared" si="145"/>
        <v>3.8935109304426376</v>
      </c>
      <c r="H863" s="22">
        <f t="shared" si="150"/>
        <v>-4.3117028451939001</v>
      </c>
      <c r="I863" s="22">
        <f t="shared" si="151"/>
        <v>1.2263511659808048</v>
      </c>
      <c r="J863" s="24"/>
      <c r="K863" s="24"/>
      <c r="L863" s="235">
        <f t="shared" si="146"/>
        <v>39.712999641679758</v>
      </c>
      <c r="M863" s="126"/>
      <c r="N863" s="126"/>
      <c r="O863" s="126"/>
      <c r="P863" s="10">
        <f t="shared" si="147"/>
        <v>-1.1129996416797567</v>
      </c>
      <c r="Q863" s="10">
        <f t="shared" si="152"/>
        <v>1.238768202379267</v>
      </c>
      <c r="W863" s="240">
        <f t="shared" si="153"/>
        <v>1.1129996416797567</v>
      </c>
      <c r="X863" s="240">
        <f t="shared" si="154"/>
        <v>2.8834187608283851E-2</v>
      </c>
      <c r="Y863"/>
      <c r="Z863" s="13">
        <f t="shared" si="148"/>
        <v>25.065148108773304</v>
      </c>
      <c r="AA863" s="2"/>
      <c r="AB863" s="68"/>
      <c r="AC863" s="15">
        <f t="shared" si="149"/>
        <v>15.159427365476294</v>
      </c>
    </row>
    <row r="864" spans="1:29">
      <c r="A864" s="84">
        <f>'Q.1 &amp; 4'!K869</f>
        <v>2.4</v>
      </c>
      <c r="B864" s="141">
        <f>'Q.1 &amp; 4'!L869</f>
        <v>36.700000000000003</v>
      </c>
      <c r="C864" s="221"/>
      <c r="D864" s="23"/>
      <c r="E864" s="24"/>
      <c r="F864" s="22">
        <f t="shared" si="144"/>
        <v>-1.1074074074074116</v>
      </c>
      <c r="G864" s="22">
        <f t="shared" si="145"/>
        <v>1.9935109304426391</v>
      </c>
      <c r="H864" s="22">
        <f t="shared" si="150"/>
        <v>-2.2076287711198197</v>
      </c>
      <c r="I864" s="22">
        <f t="shared" si="151"/>
        <v>1.2263511659808048</v>
      </c>
      <c r="J864" s="24"/>
      <c r="K864" s="24"/>
      <c r="L864" s="235">
        <f t="shared" si="146"/>
        <v>39.712999641679758</v>
      </c>
      <c r="M864" s="126"/>
      <c r="N864" s="126"/>
      <c r="O864" s="126"/>
      <c r="P864" s="10">
        <f t="shared" si="147"/>
        <v>-3.0129996416797553</v>
      </c>
      <c r="Q864" s="10">
        <f t="shared" si="152"/>
        <v>9.0781668407623339</v>
      </c>
      <c r="W864" s="240">
        <f t="shared" si="153"/>
        <v>3.0129996416797553</v>
      </c>
      <c r="X864" s="240">
        <f t="shared" si="154"/>
        <v>8.209808287955736E-2</v>
      </c>
      <c r="Y864"/>
      <c r="Z864" s="13">
        <f t="shared" si="148"/>
        <v>25.065148108773304</v>
      </c>
      <c r="AA864" s="2"/>
      <c r="AB864" s="68"/>
      <c r="AC864" s="15">
        <f t="shared" si="149"/>
        <v>3.9740858297942765</v>
      </c>
    </row>
    <row r="865" spans="1:29">
      <c r="A865" s="84">
        <f>'Q.1 &amp; 4'!K870</f>
        <v>3.5</v>
      </c>
      <c r="B865" s="141">
        <f>'Q.1 &amp; 4'!L870</f>
        <v>36.4</v>
      </c>
      <c r="C865" s="221"/>
      <c r="D865" s="23"/>
      <c r="E865" s="24"/>
      <c r="F865" s="22">
        <f t="shared" si="144"/>
        <v>-7.4074074074115259E-3</v>
      </c>
      <c r="G865" s="22">
        <f t="shared" si="145"/>
        <v>1.6935109304426348</v>
      </c>
      <c r="H865" s="22">
        <f t="shared" si="150"/>
        <v>-1.2544525410693159E-2</v>
      </c>
      <c r="I865" s="22">
        <f t="shared" si="151"/>
        <v>5.4869684499375142E-5</v>
      </c>
      <c r="J865" s="24"/>
      <c r="K865" s="24"/>
      <c r="L865" s="235">
        <f t="shared" si="146"/>
        <v>34.739977434588305</v>
      </c>
      <c r="M865" s="126"/>
      <c r="N865" s="126"/>
      <c r="O865" s="126"/>
      <c r="P865" s="10">
        <f t="shared" si="147"/>
        <v>1.660022565411694</v>
      </c>
      <c r="Q865" s="10">
        <f t="shared" si="152"/>
        <v>2.7556749176760218</v>
      </c>
      <c r="W865" s="240">
        <f t="shared" si="153"/>
        <v>1.660022565411694</v>
      </c>
      <c r="X865" s="240">
        <f t="shared" si="154"/>
        <v>4.5605015533288301E-2</v>
      </c>
      <c r="Y865"/>
      <c r="Z865" s="13">
        <f t="shared" si="148"/>
        <v>1.1214705924455365E-3</v>
      </c>
      <c r="AA865" s="2"/>
      <c r="AB865" s="68"/>
      <c r="AC865" s="15">
        <f t="shared" si="149"/>
        <v>2.8679792715286787</v>
      </c>
    </row>
    <row r="866" spans="1:29">
      <c r="A866" s="84">
        <f>'Q.1 &amp; 4'!K871</f>
        <v>2.4</v>
      </c>
      <c r="B866" s="141">
        <f>'Q.1 &amp; 4'!L871</f>
        <v>41.6</v>
      </c>
      <c r="C866" s="221"/>
      <c r="D866" s="23"/>
      <c r="E866" s="24"/>
      <c r="F866" s="22">
        <f t="shared" si="144"/>
        <v>-1.1074074074074116</v>
      </c>
      <c r="G866" s="22">
        <f t="shared" si="145"/>
        <v>6.8935109304426376</v>
      </c>
      <c r="H866" s="22">
        <f t="shared" si="150"/>
        <v>-7.6339250674161354</v>
      </c>
      <c r="I866" s="22">
        <f t="shared" si="151"/>
        <v>1.2263511659808048</v>
      </c>
      <c r="J866" s="24"/>
      <c r="K866" s="24"/>
      <c r="L866" s="235">
        <f t="shared" si="146"/>
        <v>39.712999641679758</v>
      </c>
      <c r="M866" s="126"/>
      <c r="N866" s="126"/>
      <c r="O866" s="126"/>
      <c r="P866" s="10">
        <f t="shared" si="147"/>
        <v>1.8870003583202433</v>
      </c>
      <c r="Q866" s="10">
        <f t="shared" si="152"/>
        <v>3.5607703523007266</v>
      </c>
      <c r="W866" s="240">
        <f t="shared" si="153"/>
        <v>1.8870003583202433</v>
      </c>
      <c r="X866" s="240">
        <f t="shared" si="154"/>
        <v>4.5360585536544311E-2</v>
      </c>
      <c r="Y866"/>
      <c r="Z866" s="13">
        <f t="shared" si="148"/>
        <v>25.065148108773304</v>
      </c>
      <c r="AA866" s="2"/>
      <c r="AB866" s="68"/>
      <c r="AC866" s="15">
        <f t="shared" si="149"/>
        <v>47.520492948132123</v>
      </c>
    </row>
    <row r="867" spans="1:29">
      <c r="A867" s="84">
        <f>'Q.1 &amp; 4'!K872</f>
        <v>2.4</v>
      </c>
      <c r="B867" s="141">
        <f>'Q.1 &amp; 4'!L872</f>
        <v>43.2286</v>
      </c>
      <c r="C867" s="221"/>
      <c r="D867" s="23"/>
      <c r="E867" s="24"/>
      <c r="F867" s="22">
        <f t="shared" si="144"/>
        <v>-1.1074074074074116</v>
      </c>
      <c r="G867" s="22">
        <f t="shared" si="145"/>
        <v>8.5221109304426363</v>
      </c>
      <c r="H867" s="22">
        <f t="shared" si="150"/>
        <v>-9.4374487711198434</v>
      </c>
      <c r="I867" s="22">
        <f t="shared" si="151"/>
        <v>1.2263511659808048</v>
      </c>
      <c r="J867" s="24"/>
      <c r="K867" s="24"/>
      <c r="L867" s="235">
        <f t="shared" si="146"/>
        <v>39.712999641679758</v>
      </c>
      <c r="M867" s="126"/>
      <c r="N867" s="126"/>
      <c r="O867" s="126"/>
      <c r="P867" s="10">
        <f t="shared" si="147"/>
        <v>3.515600358320242</v>
      </c>
      <c r="Q867" s="10">
        <f t="shared" si="152"/>
        <v>12.359445879421413</v>
      </c>
      <c r="W867" s="240">
        <f t="shared" si="153"/>
        <v>3.515600358320242</v>
      </c>
      <c r="X867" s="240">
        <f t="shared" si="154"/>
        <v>8.1325797234244046E-2</v>
      </c>
      <c r="Y867"/>
      <c r="Z867" s="13">
        <f t="shared" si="148"/>
        <v>25.065148108773304</v>
      </c>
      <c r="AA867" s="2"/>
      <c r="AB867" s="68"/>
      <c r="AC867" s="15">
        <f t="shared" si="149"/>
        <v>72.626374710769852</v>
      </c>
    </row>
    <row r="868" spans="1:29">
      <c r="A868" s="84">
        <f>'Q.1 &amp; 4'!K873</f>
        <v>3.8</v>
      </c>
      <c r="B868" s="141">
        <f>'Q.1 &amp; 4'!L873</f>
        <v>32.5</v>
      </c>
      <c r="C868" s="221"/>
      <c r="D868" s="23"/>
      <c r="E868" s="24"/>
      <c r="F868" s="22">
        <f t="shared" si="144"/>
        <v>0.2925925925925883</v>
      </c>
      <c r="G868" s="22">
        <f t="shared" si="145"/>
        <v>-2.2064890695573638</v>
      </c>
      <c r="H868" s="22">
        <f t="shared" si="150"/>
        <v>-0.64560235738899696</v>
      </c>
      <c r="I868" s="22">
        <f t="shared" si="151"/>
        <v>8.5610425240052357E-2</v>
      </c>
      <c r="J868" s="24"/>
      <c r="K868" s="24"/>
      <c r="L868" s="235">
        <f t="shared" si="146"/>
        <v>33.383698650836088</v>
      </c>
      <c r="M868" s="126"/>
      <c r="N868" s="126"/>
      <c r="O868" s="126"/>
      <c r="P868" s="10">
        <f t="shared" si="147"/>
        <v>-0.88369865083608801</v>
      </c>
      <c r="Q868" s="10">
        <f t="shared" si="152"/>
        <v>0.78092330548952216</v>
      </c>
      <c r="W868" s="240">
        <f t="shared" si="153"/>
        <v>0.88369865083608801</v>
      </c>
      <c r="X868" s="240">
        <f t="shared" si="154"/>
        <v>2.7190727718033478E-2</v>
      </c>
      <c r="Y868"/>
      <c r="Z868" s="13">
        <f t="shared" si="148"/>
        <v>1.749774491860808</v>
      </c>
      <c r="AA868" s="2"/>
      <c r="AB868" s="68"/>
      <c r="AC868" s="15">
        <f t="shared" si="149"/>
        <v>4.8685940140761206</v>
      </c>
    </row>
    <row r="869" spans="1:29">
      <c r="A869" s="84">
        <f>'Q.1 &amp; 4'!K874</f>
        <v>3.5</v>
      </c>
      <c r="B869" s="141">
        <f>'Q.1 &amp; 4'!L874</f>
        <v>31.496099999999998</v>
      </c>
      <c r="C869" s="221"/>
      <c r="D869" s="23"/>
      <c r="E869" s="24"/>
      <c r="F869" s="22">
        <f t="shared" si="144"/>
        <v>-7.4074074074115259E-3</v>
      </c>
      <c r="G869" s="22">
        <f t="shared" si="145"/>
        <v>-3.2103890695573654</v>
      </c>
      <c r="H869" s="22">
        <f t="shared" si="150"/>
        <v>2.3780659774512224E-2</v>
      </c>
      <c r="I869" s="22">
        <f t="shared" si="151"/>
        <v>5.4869684499375142E-5</v>
      </c>
      <c r="J869" s="24"/>
      <c r="K869" s="24"/>
      <c r="L869" s="235">
        <f t="shared" si="146"/>
        <v>34.739977434588305</v>
      </c>
      <c r="M869" s="126"/>
      <c r="N869" s="126"/>
      <c r="O869" s="126"/>
      <c r="P869" s="10">
        <f t="shared" si="147"/>
        <v>-3.2438774345883061</v>
      </c>
      <c r="Q869" s="10">
        <f t="shared" si="152"/>
        <v>10.522740810631211</v>
      </c>
      <c r="W869" s="240">
        <f t="shared" si="153"/>
        <v>3.2438774345883061</v>
      </c>
      <c r="X869" s="240">
        <f t="shared" si="154"/>
        <v>0.10299298753141838</v>
      </c>
      <c r="Y869"/>
      <c r="Z869" s="13">
        <f t="shared" si="148"/>
        <v>1.1214705924455365E-3</v>
      </c>
      <c r="AA869" s="2"/>
      <c r="AB869" s="68"/>
      <c r="AC869" s="15">
        <f t="shared" si="149"/>
        <v>10.306597977933405</v>
      </c>
    </row>
    <row r="870" spans="1:29">
      <c r="A870" s="84">
        <f>'Q.1 &amp; 4'!K875</f>
        <v>5.6</v>
      </c>
      <c r="B870" s="141">
        <f>'Q.1 &amp; 4'!L875</f>
        <v>24.2</v>
      </c>
      <c r="C870" s="221"/>
      <c r="D870" s="23"/>
      <c r="E870" s="24"/>
      <c r="F870" s="22">
        <f t="shared" si="144"/>
        <v>2.0925925925925881</v>
      </c>
      <c r="G870" s="22">
        <f t="shared" si="145"/>
        <v>-10.506489069557365</v>
      </c>
      <c r="H870" s="22">
        <f t="shared" si="150"/>
        <v>-21.985801201110736</v>
      </c>
      <c r="I870" s="22">
        <f t="shared" si="151"/>
        <v>4.378943758573369</v>
      </c>
      <c r="J870" s="24"/>
      <c r="K870" s="24"/>
      <c r="L870" s="235">
        <f t="shared" si="146"/>
        <v>25.246025948322796</v>
      </c>
      <c r="M870" s="126"/>
      <c r="N870" s="126"/>
      <c r="O870" s="126"/>
      <c r="P870" s="10">
        <f t="shared" si="147"/>
        <v>-1.0460259483227965</v>
      </c>
      <c r="Q870" s="10">
        <f t="shared" si="152"/>
        <v>1.0941702845646057</v>
      </c>
      <c r="W870" s="240">
        <f t="shared" si="153"/>
        <v>1.0460259483227965</v>
      </c>
      <c r="X870" s="240">
        <f t="shared" si="154"/>
        <v>4.3224212740611424E-2</v>
      </c>
      <c r="Y870"/>
      <c r="Z870" s="13">
        <f t="shared" si="148"/>
        <v>89.500362468239302</v>
      </c>
      <c r="AA870" s="2"/>
      <c r="AB870" s="68"/>
      <c r="AC870" s="15">
        <f t="shared" si="149"/>
        <v>110.38631256872837</v>
      </c>
    </row>
    <row r="871" spans="1:29">
      <c r="A871" s="84">
        <f>'Q.1 &amp; 4'!K876</f>
        <v>3.7</v>
      </c>
      <c r="B871" s="141">
        <f>'Q.1 &amp; 4'!L876</f>
        <v>27.2</v>
      </c>
      <c r="C871" s="221"/>
      <c r="D871" s="23"/>
      <c r="E871" s="24"/>
      <c r="F871" s="22">
        <f t="shared" si="144"/>
        <v>0.19259259259258865</v>
      </c>
      <c r="G871" s="22">
        <f t="shared" si="145"/>
        <v>-7.5064890695573645</v>
      </c>
      <c r="H871" s="22">
        <f t="shared" si="150"/>
        <v>-1.4456941911739813</v>
      </c>
      <c r="I871" s="22">
        <f t="shared" si="151"/>
        <v>3.7091906721534833E-2</v>
      </c>
      <c r="J871" s="24"/>
      <c r="K871" s="24"/>
      <c r="L871" s="235">
        <f t="shared" si="146"/>
        <v>33.835791578753486</v>
      </c>
      <c r="M871" s="126"/>
      <c r="N871" s="126"/>
      <c r="O871" s="126"/>
      <c r="P871" s="10">
        <f t="shared" si="147"/>
        <v>-6.6357915787534871</v>
      </c>
      <c r="Q871" s="10">
        <f t="shared" si="152"/>
        <v>44.033729876655698</v>
      </c>
      <c r="W871" s="240">
        <f t="shared" si="153"/>
        <v>6.6357915787534871</v>
      </c>
      <c r="X871" s="240">
        <f t="shared" si="154"/>
        <v>0.24396292568946645</v>
      </c>
      <c r="Y871"/>
      <c r="Z871" s="13">
        <f t="shared" si="148"/>
        <v>0.75811412049216809</v>
      </c>
      <c r="AA871" s="2"/>
      <c r="AB871" s="68"/>
      <c r="AC871" s="15">
        <f t="shared" si="149"/>
        <v>56.347378151384191</v>
      </c>
    </row>
    <row r="872" spans="1:29">
      <c r="A872" s="84">
        <f>'Q.1 &amp; 4'!K877</f>
        <v>5.7</v>
      </c>
      <c r="B872" s="141">
        <f>'Q.1 &amp; 4'!L877</f>
        <v>27.1</v>
      </c>
      <c r="C872" s="221"/>
      <c r="D872" s="23"/>
      <c r="E872" s="24"/>
      <c r="F872" s="22">
        <f t="shared" si="144"/>
        <v>2.1925925925925887</v>
      </c>
      <c r="G872" s="22">
        <f t="shared" si="145"/>
        <v>-7.6064890695573624</v>
      </c>
      <c r="H872" s="22">
        <f t="shared" si="150"/>
        <v>-16.677931589547963</v>
      </c>
      <c r="I872" s="22">
        <f t="shared" si="151"/>
        <v>4.8074622770918891</v>
      </c>
      <c r="J872" s="24"/>
      <c r="K872" s="24"/>
      <c r="L872" s="235">
        <f t="shared" si="146"/>
        <v>24.793933020405387</v>
      </c>
      <c r="M872" s="126"/>
      <c r="N872" s="126"/>
      <c r="O872" s="126"/>
      <c r="P872" s="10">
        <f t="shared" si="147"/>
        <v>2.3060669795946147</v>
      </c>
      <c r="Q872" s="10">
        <f t="shared" si="152"/>
        <v>5.3179449143766293</v>
      </c>
      <c r="W872" s="240">
        <f t="shared" si="153"/>
        <v>2.3060669795946147</v>
      </c>
      <c r="X872" s="240">
        <f t="shared" si="154"/>
        <v>8.5094722494266223E-2</v>
      </c>
      <c r="Y872"/>
      <c r="Z872" s="13">
        <f t="shared" si="148"/>
        <v>98.258767427579457</v>
      </c>
      <c r="AA872" s="2"/>
      <c r="AB872" s="68"/>
      <c r="AC872" s="15">
        <f t="shared" si="149"/>
        <v>57.858675965295632</v>
      </c>
    </row>
    <row r="873" spans="1:29">
      <c r="A873" s="84">
        <f>'Q.1 &amp; 4'!K878</f>
        <v>2</v>
      </c>
      <c r="B873" s="141">
        <f>'Q.1 &amp; 4'!L878</f>
        <v>40.239699999999999</v>
      </c>
      <c r="C873" s="221"/>
      <c r="D873" s="23"/>
      <c r="E873" s="24"/>
      <c r="F873" s="22">
        <f t="shared" si="144"/>
        <v>-1.5074074074074115</v>
      </c>
      <c r="G873" s="22">
        <f t="shared" si="145"/>
        <v>5.5332109304426353</v>
      </c>
      <c r="H873" s="22">
        <f t="shared" si="150"/>
        <v>-8.3408031432968848</v>
      </c>
      <c r="I873" s="22">
        <f t="shared" si="151"/>
        <v>2.2722770919067341</v>
      </c>
      <c r="J873" s="24"/>
      <c r="K873" s="24"/>
      <c r="L873" s="235">
        <f t="shared" si="146"/>
        <v>41.52137135334938</v>
      </c>
      <c r="M873" s="126"/>
      <c r="N873" s="126"/>
      <c r="O873" s="126"/>
      <c r="P873" s="10">
        <f t="shared" si="147"/>
        <v>-1.2816713533493811</v>
      </c>
      <c r="Q873" s="10">
        <f t="shared" si="152"/>
        <v>1.6426814579964342</v>
      </c>
      <c r="W873" s="240">
        <f t="shared" si="153"/>
        <v>1.2816713533493811</v>
      </c>
      <c r="X873" s="240">
        <f t="shared" si="154"/>
        <v>3.1850917212339583E-2</v>
      </c>
      <c r="Y873"/>
      <c r="Z873" s="13">
        <f t="shared" si="148"/>
        <v>46.44262054194229</v>
      </c>
      <c r="AA873" s="2"/>
      <c r="AB873" s="68"/>
      <c r="AC873" s="15">
        <f t="shared" si="149"/>
        <v>30.616423200769855</v>
      </c>
    </row>
    <row r="874" spans="1:29">
      <c r="A874" s="84">
        <f>'Q.1 &amp; 4'!K879</f>
        <v>2</v>
      </c>
      <c r="B874" s="141">
        <f>'Q.1 &amp; 4'!L879</f>
        <v>38</v>
      </c>
      <c r="C874" s="221"/>
      <c r="D874" s="23"/>
      <c r="E874" s="24"/>
      <c r="F874" s="22">
        <f t="shared" si="144"/>
        <v>-1.5074074074074115</v>
      </c>
      <c r="G874" s="22">
        <f t="shared" si="145"/>
        <v>3.2935109304426362</v>
      </c>
      <c r="H874" s="22">
        <f t="shared" si="150"/>
        <v>-4.9646627729265056</v>
      </c>
      <c r="I874" s="22">
        <f t="shared" si="151"/>
        <v>2.2722770919067341</v>
      </c>
      <c r="J874" s="24"/>
      <c r="K874" s="24"/>
      <c r="L874" s="235">
        <f t="shared" si="146"/>
        <v>41.52137135334938</v>
      </c>
      <c r="M874" s="126"/>
      <c r="N874" s="126"/>
      <c r="O874" s="126"/>
      <c r="P874" s="10">
        <f t="shared" si="147"/>
        <v>-3.5213713533493802</v>
      </c>
      <c r="Q874" s="10">
        <f t="shared" si="152"/>
        <v>12.400056208189646</v>
      </c>
      <c r="W874" s="240">
        <f t="shared" si="153"/>
        <v>3.5213713533493802</v>
      </c>
      <c r="X874" s="240">
        <f t="shared" si="154"/>
        <v>9.2667667193404746E-2</v>
      </c>
      <c r="Y874"/>
      <c r="Z874" s="13">
        <f t="shared" si="148"/>
        <v>46.44262054194229</v>
      </c>
      <c r="AA874" s="2"/>
      <c r="AB874" s="68"/>
      <c r="AC874" s="15">
        <f t="shared" si="149"/>
        <v>10.84721424894512</v>
      </c>
    </row>
    <row r="875" spans="1:29">
      <c r="A875" s="84">
        <f>'Q.1 &amp; 4'!K880</f>
        <v>2.4</v>
      </c>
      <c r="B875" s="141">
        <f>'Q.1 &amp; 4'!L880</f>
        <v>39.200000000000003</v>
      </c>
      <c r="C875" s="221"/>
      <c r="D875" s="23"/>
      <c r="E875" s="24"/>
      <c r="F875" s="22">
        <f t="shared" si="144"/>
        <v>-1.1074074074074116</v>
      </c>
      <c r="G875" s="22">
        <f t="shared" si="145"/>
        <v>4.4935109304426391</v>
      </c>
      <c r="H875" s="22">
        <f t="shared" si="150"/>
        <v>-4.976147289638349</v>
      </c>
      <c r="I875" s="22">
        <f t="shared" si="151"/>
        <v>1.2263511659808048</v>
      </c>
      <c r="J875" s="24"/>
      <c r="K875" s="24"/>
      <c r="L875" s="235">
        <f t="shared" si="146"/>
        <v>39.712999641679758</v>
      </c>
      <c r="M875" s="126"/>
      <c r="N875" s="126"/>
      <c r="O875" s="126"/>
      <c r="P875" s="10">
        <f t="shared" si="147"/>
        <v>-0.51299964167975531</v>
      </c>
      <c r="Q875" s="10">
        <f t="shared" si="152"/>
        <v>0.26316863236355736</v>
      </c>
      <c r="W875" s="240">
        <f t="shared" si="153"/>
        <v>0.51299964167975531</v>
      </c>
      <c r="X875" s="240">
        <f t="shared" si="154"/>
        <v>1.3086725553054981E-2</v>
      </c>
      <c r="Y875"/>
      <c r="Z875" s="13">
        <f t="shared" si="148"/>
        <v>25.065148108773304</v>
      </c>
      <c r="AA875" s="2"/>
      <c r="AB875" s="68"/>
      <c r="AC875" s="15">
        <f t="shared" si="149"/>
        <v>20.191640482007472</v>
      </c>
    </row>
    <row r="876" spans="1:29">
      <c r="A876" s="84">
        <f>'Q.1 &amp; 4'!K881</f>
        <v>2.4</v>
      </c>
      <c r="B876" s="141">
        <f>'Q.1 &amp; 4'!L881</f>
        <v>34.700000000000003</v>
      </c>
      <c r="C876" s="221"/>
      <c r="D876" s="23"/>
      <c r="E876" s="24"/>
      <c r="F876" s="22">
        <f t="shared" si="144"/>
        <v>-1.1074074074074116</v>
      </c>
      <c r="G876" s="22">
        <f t="shared" si="145"/>
        <v>-6.4890695573609491E-3</v>
      </c>
      <c r="H876" s="22">
        <f t="shared" si="150"/>
        <v>7.1860436950034485E-3</v>
      </c>
      <c r="I876" s="22">
        <f t="shared" si="151"/>
        <v>1.2263511659808048</v>
      </c>
      <c r="J876" s="24"/>
      <c r="K876" s="24"/>
      <c r="L876" s="235">
        <f t="shared" si="146"/>
        <v>39.712999641679758</v>
      </c>
      <c r="M876" s="126"/>
      <c r="N876" s="126"/>
      <c r="O876" s="126"/>
      <c r="P876" s="10">
        <f t="shared" si="147"/>
        <v>-5.0129996416797553</v>
      </c>
      <c r="Q876" s="10">
        <f t="shared" si="152"/>
        <v>25.130165407481353</v>
      </c>
      <c r="W876" s="240">
        <f t="shared" si="153"/>
        <v>5.0129996416797553</v>
      </c>
      <c r="X876" s="240">
        <f t="shared" si="154"/>
        <v>0.14446684846339353</v>
      </c>
      <c r="Y876"/>
      <c r="Z876" s="13">
        <f t="shared" si="148"/>
        <v>25.065148108773304</v>
      </c>
      <c r="AA876" s="2"/>
      <c r="AB876" s="68"/>
      <c r="AC876" s="15">
        <f t="shared" si="149"/>
        <v>4.2108023720268626E-5</v>
      </c>
    </row>
    <row r="877" spans="1:29">
      <c r="A877" s="84">
        <f>'Q.1 &amp; 4'!K882</f>
        <v>3.7</v>
      </c>
      <c r="B877" s="141">
        <f>'Q.1 &amp; 4'!L882</f>
        <v>28.8</v>
      </c>
      <c r="C877" s="221"/>
      <c r="D877" s="23"/>
      <c r="E877" s="24"/>
      <c r="F877" s="22">
        <f t="shared" si="144"/>
        <v>0.19259259259258865</v>
      </c>
      <c r="G877" s="22">
        <f t="shared" si="145"/>
        <v>-5.9064890695573631</v>
      </c>
      <c r="H877" s="22">
        <f t="shared" si="150"/>
        <v>-1.1375460430258393</v>
      </c>
      <c r="I877" s="22">
        <f t="shared" si="151"/>
        <v>3.7091906721534833E-2</v>
      </c>
      <c r="J877" s="24"/>
      <c r="K877" s="24"/>
      <c r="L877" s="235">
        <f t="shared" si="146"/>
        <v>33.835791578753486</v>
      </c>
      <c r="M877" s="126"/>
      <c r="N877" s="126"/>
      <c r="O877" s="126"/>
      <c r="P877" s="10">
        <f t="shared" si="147"/>
        <v>-5.0357915787534857</v>
      </c>
      <c r="Q877" s="10">
        <f t="shared" si="152"/>
        <v>25.359196824644524</v>
      </c>
      <c r="W877" s="240">
        <f t="shared" si="153"/>
        <v>5.0357915787534857</v>
      </c>
      <c r="X877" s="240">
        <f t="shared" si="154"/>
        <v>0.17485387426227381</v>
      </c>
      <c r="Y877"/>
      <c r="Z877" s="13">
        <f t="shared" si="148"/>
        <v>0.75811412049216809</v>
      </c>
      <c r="AA877" s="2"/>
      <c r="AB877" s="68"/>
      <c r="AC877" s="15">
        <f t="shared" si="149"/>
        <v>34.886613128800604</v>
      </c>
    </row>
    <row r="878" spans="1:29">
      <c r="A878" s="84">
        <f>'Q.1 &amp; 4'!K883</f>
        <v>5.7</v>
      </c>
      <c r="B878" s="141">
        <f>'Q.1 &amp; 4'!L883</f>
        <v>27.1</v>
      </c>
      <c r="C878" s="221"/>
      <c r="D878" s="23"/>
      <c r="E878" s="24"/>
      <c r="F878" s="22">
        <f t="shared" si="144"/>
        <v>2.1925925925925887</v>
      </c>
      <c r="G878" s="22">
        <f t="shared" si="145"/>
        <v>-7.6064890695573624</v>
      </c>
      <c r="H878" s="22">
        <f t="shared" si="150"/>
        <v>-16.677931589547963</v>
      </c>
      <c r="I878" s="22">
        <f t="shared" si="151"/>
        <v>4.8074622770918891</v>
      </c>
      <c r="J878" s="24"/>
      <c r="K878" s="24"/>
      <c r="L878" s="235">
        <f t="shared" si="146"/>
        <v>24.793933020405387</v>
      </c>
      <c r="M878" s="126"/>
      <c r="N878" s="126"/>
      <c r="O878" s="126"/>
      <c r="P878" s="10">
        <f t="shared" si="147"/>
        <v>2.3060669795946147</v>
      </c>
      <c r="Q878" s="10">
        <f t="shared" si="152"/>
        <v>5.3179449143766293</v>
      </c>
      <c r="W878" s="240">
        <f t="shared" si="153"/>
        <v>2.3060669795946147</v>
      </c>
      <c r="X878" s="240">
        <f t="shared" si="154"/>
        <v>8.5094722494266223E-2</v>
      </c>
      <c r="Y878"/>
      <c r="Z878" s="13">
        <f t="shared" si="148"/>
        <v>98.258767427579457</v>
      </c>
      <c r="AA878" s="2"/>
      <c r="AB878" s="68"/>
      <c r="AC878" s="15">
        <f t="shared" si="149"/>
        <v>57.858675965295632</v>
      </c>
    </row>
    <row r="879" spans="1:29">
      <c r="A879" s="84">
        <f>'Q.1 &amp; 4'!K884</f>
        <v>3.7</v>
      </c>
      <c r="B879" s="141">
        <f>'Q.1 &amp; 4'!L884</f>
        <v>30.5</v>
      </c>
      <c r="C879" s="221"/>
      <c r="D879" s="23"/>
      <c r="E879" s="24"/>
      <c r="F879" s="22">
        <f t="shared" si="144"/>
        <v>0.19259259259258865</v>
      </c>
      <c r="G879" s="22">
        <f t="shared" si="145"/>
        <v>-4.2064890695573638</v>
      </c>
      <c r="H879" s="22">
        <f t="shared" si="150"/>
        <v>-0.81013863561843868</v>
      </c>
      <c r="I879" s="22">
        <f t="shared" si="151"/>
        <v>3.7091906721534833E-2</v>
      </c>
      <c r="J879" s="24"/>
      <c r="K879" s="24"/>
      <c r="L879" s="235">
        <f t="shared" si="146"/>
        <v>33.835791578753486</v>
      </c>
      <c r="M879" s="126"/>
      <c r="N879" s="126"/>
      <c r="O879" s="126"/>
      <c r="P879" s="10">
        <f t="shared" si="147"/>
        <v>-3.3357915787534864</v>
      </c>
      <c r="Q879" s="10">
        <f t="shared" si="152"/>
        <v>11.127505456882677</v>
      </c>
      <c r="W879" s="240">
        <f t="shared" si="153"/>
        <v>3.3357915787534864</v>
      </c>
      <c r="X879" s="240">
        <f t="shared" si="154"/>
        <v>0.10937021569683562</v>
      </c>
      <c r="Y879"/>
      <c r="Z879" s="13">
        <f t="shared" si="148"/>
        <v>0.75811412049216809</v>
      </c>
      <c r="AA879" s="2"/>
      <c r="AB879" s="68"/>
      <c r="AC879" s="15">
        <f t="shared" si="149"/>
        <v>17.694550292305575</v>
      </c>
    </row>
    <row r="880" spans="1:29">
      <c r="A880" s="84">
        <f>'Q.1 &amp; 4'!K885</f>
        <v>2</v>
      </c>
      <c r="B880" s="141">
        <f>'Q.1 &amp; 4'!L885</f>
        <v>40.239699999999999</v>
      </c>
      <c r="C880" s="221"/>
      <c r="D880" s="23"/>
      <c r="E880" s="24"/>
      <c r="F880" s="22">
        <f t="shared" si="144"/>
        <v>-1.5074074074074115</v>
      </c>
      <c r="G880" s="22">
        <f t="shared" si="145"/>
        <v>5.5332109304426353</v>
      </c>
      <c r="H880" s="22">
        <f t="shared" si="150"/>
        <v>-8.3408031432968848</v>
      </c>
      <c r="I880" s="22">
        <f t="shared" si="151"/>
        <v>2.2722770919067341</v>
      </c>
      <c r="J880" s="24"/>
      <c r="K880" s="24"/>
      <c r="L880" s="235">
        <f t="shared" si="146"/>
        <v>41.52137135334938</v>
      </c>
      <c r="M880" s="126"/>
      <c r="N880" s="126"/>
      <c r="O880" s="126"/>
      <c r="P880" s="10">
        <f t="shared" si="147"/>
        <v>-1.2816713533493811</v>
      </c>
      <c r="Q880" s="10">
        <f t="shared" si="152"/>
        <v>1.6426814579964342</v>
      </c>
      <c r="W880" s="240">
        <f t="shared" si="153"/>
        <v>1.2816713533493811</v>
      </c>
      <c r="X880" s="240">
        <f t="shared" si="154"/>
        <v>3.1850917212339583E-2</v>
      </c>
      <c r="Y880"/>
      <c r="Z880" s="13">
        <f t="shared" si="148"/>
        <v>46.44262054194229</v>
      </c>
      <c r="AA880" s="2"/>
      <c r="AB880" s="68"/>
      <c r="AC880" s="15">
        <f t="shared" si="149"/>
        <v>30.616423200769855</v>
      </c>
    </row>
    <row r="881" spans="1:29">
      <c r="A881" s="84">
        <f>'Q.1 &amp; 4'!K886</f>
        <v>2</v>
      </c>
      <c r="B881" s="141">
        <f>'Q.1 &amp; 4'!L886</f>
        <v>38</v>
      </c>
      <c r="C881" s="221"/>
      <c r="D881" s="23"/>
      <c r="E881" s="24"/>
      <c r="F881" s="22">
        <f t="shared" si="144"/>
        <v>-1.5074074074074115</v>
      </c>
      <c r="G881" s="22">
        <f t="shared" si="145"/>
        <v>3.2935109304426362</v>
      </c>
      <c r="H881" s="22">
        <f t="shared" si="150"/>
        <v>-4.9646627729265056</v>
      </c>
      <c r="I881" s="22">
        <f t="shared" si="151"/>
        <v>2.2722770919067341</v>
      </c>
      <c r="J881" s="24"/>
      <c r="K881" s="24"/>
      <c r="L881" s="235">
        <f t="shared" si="146"/>
        <v>41.52137135334938</v>
      </c>
      <c r="M881" s="126"/>
      <c r="N881" s="126"/>
      <c r="O881" s="126"/>
      <c r="P881" s="10">
        <f t="shared" si="147"/>
        <v>-3.5213713533493802</v>
      </c>
      <c r="Q881" s="10">
        <f t="shared" si="152"/>
        <v>12.400056208189646</v>
      </c>
      <c r="W881" s="240">
        <f t="shared" si="153"/>
        <v>3.5213713533493802</v>
      </c>
      <c r="X881" s="240">
        <f t="shared" si="154"/>
        <v>9.2667667193404746E-2</v>
      </c>
      <c r="Y881"/>
      <c r="Z881" s="13">
        <f t="shared" si="148"/>
        <v>46.44262054194229</v>
      </c>
      <c r="AA881" s="2"/>
      <c r="AB881" s="68"/>
      <c r="AC881" s="15">
        <f t="shared" si="149"/>
        <v>10.84721424894512</v>
      </c>
    </row>
    <row r="882" spans="1:29">
      <c r="A882" s="84">
        <f>'Q.1 &amp; 4'!K887</f>
        <v>2.4</v>
      </c>
      <c r="B882" s="141">
        <f>'Q.1 &amp; 4'!L887</f>
        <v>39.200000000000003</v>
      </c>
      <c r="C882" s="221"/>
      <c r="D882" s="23"/>
      <c r="E882" s="24"/>
      <c r="F882" s="22">
        <f t="shared" si="144"/>
        <v>-1.1074074074074116</v>
      </c>
      <c r="G882" s="22">
        <f t="shared" si="145"/>
        <v>4.4935109304426391</v>
      </c>
      <c r="H882" s="22">
        <f t="shared" si="150"/>
        <v>-4.976147289638349</v>
      </c>
      <c r="I882" s="22">
        <f t="shared" si="151"/>
        <v>1.2263511659808048</v>
      </c>
      <c r="J882" s="24"/>
      <c r="K882" s="24"/>
      <c r="L882" s="235">
        <f t="shared" si="146"/>
        <v>39.712999641679758</v>
      </c>
      <c r="M882" s="126"/>
      <c r="N882" s="126"/>
      <c r="O882" s="126"/>
      <c r="P882" s="10">
        <f t="shared" si="147"/>
        <v>-0.51299964167975531</v>
      </c>
      <c r="Q882" s="10">
        <f t="shared" si="152"/>
        <v>0.26316863236355736</v>
      </c>
      <c r="W882" s="240">
        <f t="shared" si="153"/>
        <v>0.51299964167975531</v>
      </c>
      <c r="X882" s="240">
        <f t="shared" si="154"/>
        <v>1.3086725553054981E-2</v>
      </c>
      <c r="Y882"/>
      <c r="Z882" s="13">
        <f t="shared" si="148"/>
        <v>25.065148108773304</v>
      </c>
      <c r="AA882" s="2"/>
      <c r="AB882" s="68"/>
      <c r="AC882" s="15">
        <f t="shared" si="149"/>
        <v>20.191640482007472</v>
      </c>
    </row>
    <row r="883" spans="1:29">
      <c r="A883" s="84">
        <f>'Q.1 &amp; 4'!K888</f>
        <v>2.4</v>
      </c>
      <c r="B883" s="141">
        <f>'Q.1 &amp; 4'!L888</f>
        <v>34.700000000000003</v>
      </c>
      <c r="C883" s="221"/>
      <c r="D883" s="23"/>
      <c r="E883" s="24"/>
      <c r="F883" s="22">
        <f t="shared" si="144"/>
        <v>-1.1074074074074116</v>
      </c>
      <c r="G883" s="22">
        <f t="shared" si="145"/>
        <v>-6.4890695573609491E-3</v>
      </c>
      <c r="H883" s="22">
        <f t="shared" si="150"/>
        <v>7.1860436950034485E-3</v>
      </c>
      <c r="I883" s="22">
        <f t="shared" si="151"/>
        <v>1.2263511659808048</v>
      </c>
      <c r="J883" s="24"/>
      <c r="K883" s="24"/>
      <c r="L883" s="235">
        <f t="shared" si="146"/>
        <v>39.712999641679758</v>
      </c>
      <c r="M883" s="126"/>
      <c r="N883" s="126"/>
      <c r="O883" s="126"/>
      <c r="P883" s="10">
        <f t="shared" si="147"/>
        <v>-5.0129996416797553</v>
      </c>
      <c r="Q883" s="10">
        <f t="shared" si="152"/>
        <v>25.130165407481353</v>
      </c>
      <c r="W883" s="240">
        <f t="shared" si="153"/>
        <v>5.0129996416797553</v>
      </c>
      <c r="X883" s="240">
        <f t="shared" si="154"/>
        <v>0.14446684846339353</v>
      </c>
      <c r="Y883"/>
      <c r="Z883" s="13">
        <f t="shared" si="148"/>
        <v>25.065148108773304</v>
      </c>
      <c r="AA883" s="2"/>
      <c r="AB883" s="68"/>
      <c r="AC883" s="15">
        <f t="shared" si="149"/>
        <v>4.2108023720268626E-5</v>
      </c>
    </row>
    <row r="884" spans="1:29">
      <c r="A884" s="84">
        <f>'Q.1 &amp; 4'!K889</f>
        <v>3.8</v>
      </c>
      <c r="B884" s="141">
        <f>'Q.1 &amp; 4'!L889</f>
        <v>28.2</v>
      </c>
      <c r="C884" s="221"/>
      <c r="D884" s="23"/>
      <c r="E884" s="24"/>
      <c r="F884" s="22">
        <f t="shared" si="144"/>
        <v>0.2925925925925883</v>
      </c>
      <c r="G884" s="22">
        <f t="shared" si="145"/>
        <v>-6.5064890695573645</v>
      </c>
      <c r="H884" s="22">
        <f t="shared" si="150"/>
        <v>-1.9037505055371269</v>
      </c>
      <c r="I884" s="22">
        <f t="shared" si="151"/>
        <v>8.5610425240052357E-2</v>
      </c>
      <c r="J884" s="24"/>
      <c r="K884" s="24"/>
      <c r="L884" s="235">
        <f t="shared" si="146"/>
        <v>33.383698650836088</v>
      </c>
      <c r="M884" s="126"/>
      <c r="N884" s="126"/>
      <c r="O884" s="126"/>
      <c r="P884" s="10">
        <f t="shared" si="147"/>
        <v>-5.1836986508360887</v>
      </c>
      <c r="Q884" s="10">
        <f t="shared" si="152"/>
        <v>26.870731702679887</v>
      </c>
      <c r="W884" s="240">
        <f t="shared" si="153"/>
        <v>5.1836986508360887</v>
      </c>
      <c r="X884" s="240">
        <f t="shared" si="154"/>
        <v>0.18381910109347832</v>
      </c>
      <c r="Y884"/>
      <c r="Z884" s="13">
        <f t="shared" si="148"/>
        <v>1.749774491860808</v>
      </c>
      <c r="AA884" s="2"/>
      <c r="AB884" s="68"/>
      <c r="AC884" s="15">
        <f t="shared" si="149"/>
        <v>42.334400012269462</v>
      </c>
    </row>
    <row r="885" spans="1:29">
      <c r="A885" s="84">
        <f>'Q.1 &amp; 4'!K890</f>
        <v>3.8</v>
      </c>
      <c r="B885" s="141">
        <f>'Q.1 &amp; 4'!L890</f>
        <v>29.5</v>
      </c>
      <c r="C885" s="221"/>
      <c r="D885" s="23"/>
      <c r="E885" s="24"/>
      <c r="F885" s="22">
        <f t="shared" si="144"/>
        <v>0.2925925925925883</v>
      </c>
      <c r="G885" s="22">
        <f t="shared" si="145"/>
        <v>-5.2064890695573638</v>
      </c>
      <c r="H885" s="22">
        <f t="shared" si="150"/>
        <v>-1.523380135166762</v>
      </c>
      <c r="I885" s="22">
        <f t="shared" si="151"/>
        <v>8.5610425240052357E-2</v>
      </c>
      <c r="J885" s="24"/>
      <c r="K885" s="24"/>
      <c r="L885" s="235">
        <f t="shared" si="146"/>
        <v>33.383698650836088</v>
      </c>
      <c r="M885" s="126"/>
      <c r="N885" s="126"/>
      <c r="O885" s="126"/>
      <c r="P885" s="10">
        <f t="shared" si="147"/>
        <v>-3.883698650836088</v>
      </c>
      <c r="Q885" s="10">
        <f t="shared" si="152"/>
        <v>15.083115210506051</v>
      </c>
      <c r="W885" s="240">
        <f t="shared" si="153"/>
        <v>3.883698650836088</v>
      </c>
      <c r="X885" s="240">
        <f t="shared" si="154"/>
        <v>0.13165080172325722</v>
      </c>
      <c r="Y885"/>
      <c r="Z885" s="13">
        <f t="shared" si="148"/>
        <v>1.749774491860808</v>
      </c>
      <c r="AA885" s="2"/>
      <c r="AB885" s="68"/>
      <c r="AC885" s="15">
        <f t="shared" si="149"/>
        <v>27.107528431420302</v>
      </c>
    </row>
    <row r="886" spans="1:29">
      <c r="A886" s="84">
        <f>'Q.1 &amp; 4'!K891</f>
        <v>4.5999999999999996</v>
      </c>
      <c r="B886" s="141">
        <f>'Q.1 &amp; 4'!L891</f>
        <v>29.9</v>
      </c>
      <c r="C886" s="221"/>
      <c r="D886" s="23"/>
      <c r="E886" s="24"/>
      <c r="F886" s="22">
        <f t="shared" si="144"/>
        <v>1.0925925925925881</v>
      </c>
      <c r="G886" s="22">
        <f t="shared" si="145"/>
        <v>-4.8064890695573652</v>
      </c>
      <c r="H886" s="22">
        <f t="shared" si="150"/>
        <v>-5.2515343537756181</v>
      </c>
      <c r="I886" s="22">
        <f t="shared" si="151"/>
        <v>1.1937585733881932</v>
      </c>
      <c r="J886" s="24"/>
      <c r="K886" s="24"/>
      <c r="L886" s="235">
        <f t="shared" si="146"/>
        <v>29.766955227496847</v>
      </c>
      <c r="M886" s="126"/>
      <c r="N886" s="126"/>
      <c r="O886" s="126"/>
      <c r="P886" s="10">
        <f t="shared" si="147"/>
        <v>0.13304477250315117</v>
      </c>
      <c r="Q886" s="10">
        <f t="shared" si="152"/>
        <v>1.770091149041525E-2</v>
      </c>
      <c r="W886" s="240">
        <f t="shared" si="153"/>
        <v>0.13304477250315117</v>
      </c>
      <c r="X886" s="240">
        <f t="shared" si="154"/>
        <v>4.4496579432492028E-3</v>
      </c>
      <c r="Y886"/>
      <c r="Z886" s="13">
        <f t="shared" si="148"/>
        <v>24.398994576861128</v>
      </c>
      <c r="AA886" s="2"/>
      <c r="AB886" s="68"/>
      <c r="AC886" s="15">
        <f t="shared" si="149"/>
        <v>23.102337175774426</v>
      </c>
    </row>
    <row r="887" spans="1:29">
      <c r="A887" s="84">
        <f>'Q.1 &amp; 4'!K892</f>
        <v>2</v>
      </c>
      <c r="B887" s="141">
        <f>'Q.1 &amp; 4'!L892</f>
        <v>34.5</v>
      </c>
      <c r="C887" s="221"/>
      <c r="D887" s="23"/>
      <c r="E887" s="24"/>
      <c r="F887" s="22">
        <f t="shared" si="144"/>
        <v>-1.5074074074074115</v>
      </c>
      <c r="G887" s="22">
        <f t="shared" si="145"/>
        <v>-0.20648906955736379</v>
      </c>
      <c r="H887" s="22">
        <f t="shared" si="150"/>
        <v>0.31126315299943441</v>
      </c>
      <c r="I887" s="22">
        <f t="shared" si="151"/>
        <v>2.2722770919067341</v>
      </c>
      <c r="J887" s="24"/>
      <c r="K887" s="24"/>
      <c r="L887" s="235">
        <f t="shared" si="146"/>
        <v>41.52137135334938</v>
      </c>
      <c r="M887" s="126"/>
      <c r="N887" s="126"/>
      <c r="O887" s="126"/>
      <c r="P887" s="10">
        <f t="shared" si="147"/>
        <v>-7.0213713533493802</v>
      </c>
      <c r="Q887" s="10">
        <f t="shared" si="152"/>
        <v>49.299655681635308</v>
      </c>
      <c r="W887" s="240">
        <f t="shared" si="153"/>
        <v>7.0213713533493802</v>
      </c>
      <c r="X887" s="240">
        <f t="shared" si="154"/>
        <v>0.20351801024201102</v>
      </c>
      <c r="Y887"/>
      <c r="Z887" s="13">
        <f t="shared" si="148"/>
        <v>46.44262054194229</v>
      </c>
      <c r="AA887" s="2"/>
      <c r="AB887" s="68"/>
      <c r="AC887" s="15">
        <f t="shared" si="149"/>
        <v>4.2637735846665824E-2</v>
      </c>
    </row>
    <row r="888" spans="1:29">
      <c r="A888" s="84">
        <f>'Q.1 &amp; 4'!K893</f>
        <v>2</v>
      </c>
      <c r="B888" s="141">
        <f>'Q.1 &amp; 4'!L893</f>
        <v>35.299999999999997</v>
      </c>
      <c r="C888" s="221"/>
      <c r="D888" s="23"/>
      <c r="E888" s="24"/>
      <c r="F888" s="22">
        <f t="shared" si="144"/>
        <v>-1.5074074074074115</v>
      </c>
      <c r="G888" s="22">
        <f t="shared" si="145"/>
        <v>0.59351093044263337</v>
      </c>
      <c r="H888" s="22">
        <f t="shared" si="150"/>
        <v>-0.89466277292649055</v>
      </c>
      <c r="I888" s="22">
        <f t="shared" si="151"/>
        <v>2.2722770919067341</v>
      </c>
      <c r="J888" s="24"/>
      <c r="K888" s="24"/>
      <c r="L888" s="235">
        <f t="shared" si="146"/>
        <v>41.52137135334938</v>
      </c>
      <c r="M888" s="126"/>
      <c r="N888" s="126"/>
      <c r="O888" s="126"/>
      <c r="P888" s="10">
        <f t="shared" si="147"/>
        <v>-6.2213713533493831</v>
      </c>
      <c r="Q888" s="10">
        <f t="shared" si="152"/>
        <v>38.705461516276337</v>
      </c>
      <c r="W888" s="240">
        <f t="shared" si="153"/>
        <v>6.2213713533493831</v>
      </c>
      <c r="X888" s="240">
        <f t="shared" si="154"/>
        <v>0.17624281454247545</v>
      </c>
      <c r="Y888"/>
      <c r="Z888" s="13">
        <f t="shared" si="148"/>
        <v>46.44262054194229</v>
      </c>
      <c r="AA888" s="2"/>
      <c r="AB888" s="68"/>
      <c r="AC888" s="15">
        <f t="shared" si="149"/>
        <v>0.3522552245548804</v>
      </c>
    </row>
    <row r="889" spans="1:29">
      <c r="A889" s="84">
        <f>'Q.1 &amp; 4'!K894</f>
        <v>2.7</v>
      </c>
      <c r="B889" s="141">
        <f>'Q.1 &amp; 4'!L894</f>
        <v>32.700000000000003</v>
      </c>
      <c r="C889" s="221"/>
      <c r="D889" s="23"/>
      <c r="E889" s="24"/>
      <c r="F889" s="22">
        <f t="shared" si="144"/>
        <v>-0.80740740740741135</v>
      </c>
      <c r="G889" s="22">
        <f t="shared" si="145"/>
        <v>-2.0064890695573609</v>
      </c>
      <c r="H889" s="22">
        <f t="shared" si="150"/>
        <v>1.6200541376426179</v>
      </c>
      <c r="I889" s="22">
        <f t="shared" si="151"/>
        <v>0.65190672153635754</v>
      </c>
      <c r="J889" s="24"/>
      <c r="K889" s="24"/>
      <c r="L889" s="235">
        <f t="shared" si="146"/>
        <v>38.356720857927542</v>
      </c>
      <c r="M889" s="126"/>
      <c r="N889" s="126"/>
      <c r="O889" s="126"/>
      <c r="P889" s="10">
        <f t="shared" si="147"/>
        <v>-5.6567208579275388</v>
      </c>
      <c r="Q889" s="10">
        <f t="shared" si="152"/>
        <v>31.998490864512469</v>
      </c>
      <c r="W889" s="240">
        <f t="shared" si="153"/>
        <v>5.6567208579275388</v>
      </c>
      <c r="X889" s="240">
        <f t="shared" si="154"/>
        <v>0.17298840544120911</v>
      </c>
      <c r="Y889"/>
      <c r="Z889" s="13">
        <f t="shared" si="148"/>
        <v>13.324192108828147</v>
      </c>
      <c r="AA889" s="2"/>
      <c r="AB889" s="68"/>
      <c r="AC889" s="15">
        <f t="shared" si="149"/>
        <v>4.0259983862531641</v>
      </c>
    </row>
    <row r="890" spans="1:29">
      <c r="A890" s="84">
        <f>'Q.1 &amp; 4'!K895</f>
        <v>3.5</v>
      </c>
      <c r="B890" s="141">
        <f>'Q.1 &amp; 4'!L895</f>
        <v>34.5</v>
      </c>
      <c r="C890" s="221"/>
      <c r="D890" s="23"/>
      <c r="E890" s="24"/>
      <c r="F890" s="22">
        <f t="shared" si="144"/>
        <v>-7.4074074074115259E-3</v>
      </c>
      <c r="G890" s="22">
        <f t="shared" si="145"/>
        <v>-0.20648906955736379</v>
      </c>
      <c r="H890" s="22">
        <f t="shared" si="150"/>
        <v>1.5295486633887304E-3</v>
      </c>
      <c r="I890" s="22">
        <f t="shared" si="151"/>
        <v>5.4869684499375142E-5</v>
      </c>
      <c r="J890" s="24"/>
      <c r="K890" s="24"/>
      <c r="L890" s="235">
        <f t="shared" si="146"/>
        <v>34.739977434588305</v>
      </c>
      <c r="M890" s="126"/>
      <c r="N890" s="126"/>
      <c r="O890" s="126"/>
      <c r="P890" s="10">
        <f t="shared" si="147"/>
        <v>-0.23997743458830456</v>
      </c>
      <c r="Q890" s="10">
        <f t="shared" si="152"/>
        <v>5.7589169111583995E-2</v>
      </c>
      <c r="W890" s="240">
        <f t="shared" si="153"/>
        <v>0.23997743458830456</v>
      </c>
      <c r="X890" s="240">
        <f t="shared" si="154"/>
        <v>6.9558676692262188E-3</v>
      </c>
      <c r="Y890"/>
      <c r="Z890" s="13">
        <f t="shared" si="148"/>
        <v>1.1214705924455365E-3</v>
      </c>
      <c r="AA890" s="2"/>
      <c r="AB890" s="68"/>
      <c r="AC890" s="15">
        <f t="shared" si="149"/>
        <v>4.2637735846665824E-2</v>
      </c>
    </row>
    <row r="891" spans="1:29">
      <c r="A891" s="84">
        <f>'Q.1 &amp; 4'!K896</f>
        <v>3.5</v>
      </c>
      <c r="B891" s="141">
        <f>'Q.1 &amp; 4'!L896</f>
        <v>39.0959</v>
      </c>
      <c r="C891" s="221"/>
      <c r="D891" s="23"/>
      <c r="E891" s="24"/>
      <c r="F891" s="22">
        <f t="shared" si="144"/>
        <v>-7.4074074074115259E-3</v>
      </c>
      <c r="G891" s="22">
        <f t="shared" si="145"/>
        <v>4.3894109304426365</v>
      </c>
      <c r="H891" s="22">
        <f t="shared" si="150"/>
        <v>-3.2514155040333906E-2</v>
      </c>
      <c r="I891" s="22">
        <f t="shared" si="151"/>
        <v>5.4869684499375142E-5</v>
      </c>
      <c r="J891" s="24"/>
      <c r="K891" s="24"/>
      <c r="L891" s="235">
        <f t="shared" si="146"/>
        <v>34.739977434588305</v>
      </c>
      <c r="M891" s="126"/>
      <c r="N891" s="126"/>
      <c r="O891" s="126"/>
      <c r="P891" s="10">
        <f t="shared" si="147"/>
        <v>4.3559225654116958</v>
      </c>
      <c r="Q891" s="10">
        <f t="shared" si="152"/>
        <v>18.974061395862808</v>
      </c>
      <c r="W891" s="240">
        <f t="shared" si="153"/>
        <v>4.3559225654116958</v>
      </c>
      <c r="X891" s="240">
        <f t="shared" si="154"/>
        <v>0.11141635223672293</v>
      </c>
      <c r="Y891"/>
      <c r="Z891" s="13">
        <f t="shared" si="148"/>
        <v>1.1214705924455365E-3</v>
      </c>
      <c r="AA891" s="2"/>
      <c r="AB891" s="68"/>
      <c r="AC891" s="15">
        <f t="shared" si="149"/>
        <v>19.266928316289292</v>
      </c>
    </row>
    <row r="892" spans="1:29">
      <c r="A892" s="84">
        <f>'Q.1 &amp; 4'!K897</f>
        <v>3.5</v>
      </c>
      <c r="B892" s="141">
        <f>'Q.1 &amp; 4'!L897</f>
        <v>32.200000000000003</v>
      </c>
      <c r="C892" s="221"/>
      <c r="D892" s="23"/>
      <c r="E892" s="24"/>
      <c r="F892" s="22">
        <f t="shared" si="144"/>
        <v>-7.4074074074115259E-3</v>
      </c>
      <c r="G892" s="22">
        <f t="shared" si="145"/>
        <v>-2.5064890695573609</v>
      </c>
      <c r="H892" s="22">
        <f t="shared" si="150"/>
        <v>1.856658570043522E-2</v>
      </c>
      <c r="I892" s="22">
        <f t="shared" si="151"/>
        <v>5.4869684499375142E-5</v>
      </c>
      <c r="J892" s="24"/>
      <c r="K892" s="24"/>
      <c r="L892" s="235">
        <f t="shared" si="146"/>
        <v>34.739977434588305</v>
      </c>
      <c r="M892" s="126"/>
      <c r="N892" s="126"/>
      <c r="O892" s="126"/>
      <c r="P892" s="10">
        <f t="shared" si="147"/>
        <v>-2.5399774345883017</v>
      </c>
      <c r="Q892" s="10">
        <f t="shared" si="152"/>
        <v>6.4514853682177709</v>
      </c>
      <c r="W892" s="240">
        <f t="shared" si="153"/>
        <v>2.5399774345883017</v>
      </c>
      <c r="X892" s="240">
        <f t="shared" si="154"/>
        <v>7.8881286788456573E-2</v>
      </c>
      <c r="Y892"/>
      <c r="Z892" s="13">
        <f t="shared" si="148"/>
        <v>1.1214705924455365E-3</v>
      </c>
      <c r="AA892" s="2"/>
      <c r="AB892" s="68"/>
      <c r="AC892" s="15">
        <f t="shared" si="149"/>
        <v>6.282487455810525</v>
      </c>
    </row>
    <row r="893" spans="1:29">
      <c r="A893" s="84">
        <f>'Q.1 &amp; 4'!K898</f>
        <v>3.5</v>
      </c>
      <c r="B893" s="141">
        <f>'Q.1 &amp; 4'!L898</f>
        <v>34.200000000000003</v>
      </c>
      <c r="C893" s="221"/>
      <c r="D893" s="23"/>
      <c r="E893" s="24"/>
      <c r="F893" s="22">
        <f t="shared" si="144"/>
        <v>-7.4074074074115259E-3</v>
      </c>
      <c r="G893" s="22">
        <f t="shared" si="145"/>
        <v>-0.50648906955736095</v>
      </c>
      <c r="H893" s="22">
        <f t="shared" si="150"/>
        <v>3.7517708856121671E-3</v>
      </c>
      <c r="I893" s="22">
        <f t="shared" si="151"/>
        <v>5.4869684499375142E-5</v>
      </c>
      <c r="J893" s="24"/>
      <c r="K893" s="24"/>
      <c r="L893" s="235">
        <f t="shared" si="146"/>
        <v>34.739977434588305</v>
      </c>
      <c r="M893" s="126"/>
      <c r="N893" s="126"/>
      <c r="O893" s="126"/>
      <c r="P893" s="10">
        <f t="shared" si="147"/>
        <v>-0.53997743458830172</v>
      </c>
      <c r="Q893" s="10">
        <f t="shared" si="152"/>
        <v>0.29157562986456365</v>
      </c>
      <c r="W893" s="240">
        <f t="shared" si="153"/>
        <v>0.53997743458830172</v>
      </c>
      <c r="X893" s="240">
        <f t="shared" si="154"/>
        <v>1.5788813876850927E-2</v>
      </c>
      <c r="Y893"/>
      <c r="Z893" s="13">
        <f t="shared" si="148"/>
        <v>1.1214705924455365E-3</v>
      </c>
      <c r="AA893" s="2"/>
      <c r="AB893" s="68"/>
      <c r="AC893" s="15">
        <f t="shared" si="149"/>
        <v>0.25653117758108124</v>
      </c>
    </row>
    <row r="894" spans="1:29">
      <c r="A894" s="84">
        <f>'Q.1 &amp; 4'!K899</f>
        <v>5.4</v>
      </c>
      <c r="B894" s="141">
        <f>'Q.1 &amp; 4'!L899</f>
        <v>27</v>
      </c>
      <c r="C894" s="221"/>
      <c r="D894" s="23"/>
      <c r="E894" s="24"/>
      <c r="F894" s="22">
        <f t="shared" si="144"/>
        <v>1.8925925925925888</v>
      </c>
      <c r="G894" s="22">
        <f t="shared" si="145"/>
        <v>-7.7064890695573638</v>
      </c>
      <c r="H894" s="22">
        <f t="shared" si="150"/>
        <v>-14.585244127940019</v>
      </c>
      <c r="I894" s="22">
        <f t="shared" si="151"/>
        <v>3.5819067215363369</v>
      </c>
      <c r="J894" s="24"/>
      <c r="K894" s="24"/>
      <c r="L894" s="235">
        <f t="shared" si="146"/>
        <v>26.150211804157603</v>
      </c>
      <c r="M894" s="126"/>
      <c r="N894" s="126"/>
      <c r="O894" s="126"/>
      <c r="P894" s="10">
        <f t="shared" si="147"/>
        <v>0.84978819584239673</v>
      </c>
      <c r="Q894" s="10">
        <f t="shared" si="152"/>
        <v>0.72213997779307559</v>
      </c>
      <c r="W894" s="240">
        <f t="shared" si="153"/>
        <v>0.84978819584239673</v>
      </c>
      <c r="X894" s="240">
        <f t="shared" si="154"/>
        <v>3.1473636883051728E-2</v>
      </c>
      <c r="Y894"/>
      <c r="Z894" s="13">
        <f t="shared" si="148"/>
        <v>73.209880642396797</v>
      </c>
      <c r="AA894" s="2"/>
      <c r="AB894" s="68"/>
      <c r="AC894" s="15">
        <f t="shared" si="149"/>
        <v>59.389973779207125</v>
      </c>
    </row>
    <row r="895" spans="1:29">
      <c r="A895" s="84">
        <f>'Q.1 &amp; 4'!K900</f>
        <v>2.2999999999999998</v>
      </c>
      <c r="B895" s="141">
        <f>'Q.1 &amp; 4'!L900</f>
        <v>34.700000000000003</v>
      </c>
      <c r="C895" s="221"/>
      <c r="D895" s="23"/>
      <c r="E895" s="24"/>
      <c r="F895" s="22">
        <f t="shared" si="144"/>
        <v>-1.2074074074074117</v>
      </c>
      <c r="G895" s="22">
        <f t="shared" si="145"/>
        <v>-6.4890695573609491E-3</v>
      </c>
      <c r="H895" s="22">
        <f t="shared" si="150"/>
        <v>7.8349506507395441E-3</v>
      </c>
      <c r="I895" s="22">
        <f t="shared" si="151"/>
        <v>1.4578326474622874</v>
      </c>
      <c r="J895" s="24"/>
      <c r="K895" s="24"/>
      <c r="L895" s="235">
        <f t="shared" si="146"/>
        <v>40.165092569597164</v>
      </c>
      <c r="M895" s="126"/>
      <c r="N895" s="126"/>
      <c r="O895" s="126"/>
      <c r="P895" s="10">
        <f t="shared" si="147"/>
        <v>-5.4650925695971608</v>
      </c>
      <c r="Q895" s="10">
        <f t="shared" si="152"/>
        <v>29.867236794266098</v>
      </c>
      <c r="W895" s="240">
        <f t="shared" si="153"/>
        <v>5.4650925695971608</v>
      </c>
      <c r="X895" s="240">
        <f t="shared" si="154"/>
        <v>0.15749546310078272</v>
      </c>
      <c r="Y895"/>
      <c r="Z895" s="13">
        <f t="shared" si="148"/>
        <v>29.796352170646752</v>
      </c>
      <c r="AA895" s="2"/>
      <c r="AB895" s="68"/>
      <c r="AC895" s="15">
        <f t="shared" si="149"/>
        <v>4.2108023720268626E-5</v>
      </c>
    </row>
    <row r="896" spans="1:29">
      <c r="A896" s="84">
        <f>'Q.1 &amp; 4'!K901</f>
        <v>2.5</v>
      </c>
      <c r="B896" s="141">
        <f>'Q.1 &amp; 4'!L901</f>
        <v>38.6</v>
      </c>
      <c r="C896" s="221"/>
      <c r="D896" s="23"/>
      <c r="E896" s="24"/>
      <c r="F896" s="22">
        <f t="shared" si="144"/>
        <v>-1.0074074074074115</v>
      </c>
      <c r="G896" s="22">
        <f t="shared" si="145"/>
        <v>3.8935109304426376</v>
      </c>
      <c r="H896" s="22">
        <f t="shared" si="150"/>
        <v>-3.9223517521496363</v>
      </c>
      <c r="I896" s="22">
        <f t="shared" si="151"/>
        <v>1.0148696844993224</v>
      </c>
      <c r="J896" s="24"/>
      <c r="K896" s="24"/>
      <c r="L896" s="235">
        <f t="shared" si="146"/>
        <v>39.260906713762353</v>
      </c>
      <c r="M896" s="126"/>
      <c r="N896" s="126"/>
      <c r="O896" s="126"/>
      <c r="P896" s="10">
        <f t="shared" si="147"/>
        <v>-0.66090671376235122</v>
      </c>
      <c r="Q896" s="10">
        <f t="shared" si="152"/>
        <v>0.43679768429615046</v>
      </c>
      <c r="W896" s="240">
        <f t="shared" si="153"/>
        <v>0.66090671376235122</v>
      </c>
      <c r="X896" s="240">
        <f t="shared" si="154"/>
        <v>1.7121935589698219E-2</v>
      </c>
      <c r="Y896"/>
      <c r="Z896" s="13">
        <f t="shared" si="148"/>
        <v>20.742720077845721</v>
      </c>
      <c r="AA896" s="2"/>
      <c r="AB896" s="68"/>
      <c r="AC896" s="15">
        <f t="shared" si="149"/>
        <v>15.159427365476294</v>
      </c>
    </row>
    <row r="897" spans="1:29">
      <c r="A897" s="84">
        <f>'Q.1 &amp; 4'!K902</f>
        <v>3.7</v>
      </c>
      <c r="B897" s="141">
        <f>'Q.1 &amp; 4'!L902</f>
        <v>30.5</v>
      </c>
      <c r="C897" s="221"/>
      <c r="D897" s="23"/>
      <c r="E897" s="24"/>
      <c r="F897" s="22">
        <f t="shared" si="144"/>
        <v>0.19259259259258865</v>
      </c>
      <c r="G897" s="22">
        <f t="shared" si="145"/>
        <v>-4.2064890695573638</v>
      </c>
      <c r="H897" s="22">
        <f t="shared" si="150"/>
        <v>-0.81013863561843868</v>
      </c>
      <c r="I897" s="22">
        <f t="shared" si="151"/>
        <v>3.7091906721534833E-2</v>
      </c>
      <c r="J897" s="24"/>
      <c r="K897" s="24"/>
      <c r="L897" s="235">
        <f t="shared" si="146"/>
        <v>33.835791578753486</v>
      </c>
      <c r="M897" s="126"/>
      <c r="N897" s="126"/>
      <c r="O897" s="126"/>
      <c r="P897" s="10">
        <f t="shared" si="147"/>
        <v>-3.3357915787534864</v>
      </c>
      <c r="Q897" s="10">
        <f t="shared" si="152"/>
        <v>11.127505456882677</v>
      </c>
      <c r="W897" s="240">
        <f t="shared" si="153"/>
        <v>3.3357915787534864</v>
      </c>
      <c r="X897" s="240">
        <f t="shared" si="154"/>
        <v>0.10937021569683562</v>
      </c>
      <c r="Y897"/>
      <c r="Z897" s="13">
        <f t="shared" si="148"/>
        <v>0.75811412049216809</v>
      </c>
      <c r="AA897" s="2"/>
      <c r="AB897" s="68"/>
      <c r="AC897" s="15">
        <f t="shared" si="149"/>
        <v>17.694550292305575</v>
      </c>
    </row>
    <row r="898" spans="1:29">
      <c r="A898" s="84">
        <f>'Q.1 &amp; 4'!K903</f>
        <v>2.5</v>
      </c>
      <c r="B898" s="141">
        <f>'Q.1 &amp; 4'!L903</f>
        <v>38.6</v>
      </c>
      <c r="C898" s="221"/>
      <c r="D898" s="23"/>
      <c r="E898" s="24"/>
      <c r="F898" s="22">
        <f t="shared" si="144"/>
        <v>-1.0074074074074115</v>
      </c>
      <c r="G898" s="22">
        <f t="shared" si="145"/>
        <v>3.8935109304426376</v>
      </c>
      <c r="H898" s="22">
        <f t="shared" si="150"/>
        <v>-3.9223517521496363</v>
      </c>
      <c r="I898" s="22">
        <f t="shared" si="151"/>
        <v>1.0148696844993224</v>
      </c>
      <c r="J898" s="24"/>
      <c r="K898" s="24"/>
      <c r="L898" s="235">
        <f t="shared" si="146"/>
        <v>39.260906713762353</v>
      </c>
      <c r="M898" s="126"/>
      <c r="N898" s="126"/>
      <c r="O898" s="126"/>
      <c r="P898" s="10">
        <f t="shared" si="147"/>
        <v>-0.66090671376235122</v>
      </c>
      <c r="Q898" s="10">
        <f t="shared" si="152"/>
        <v>0.43679768429615046</v>
      </c>
      <c r="W898" s="240">
        <f t="shared" si="153"/>
        <v>0.66090671376235122</v>
      </c>
      <c r="X898" s="240">
        <f t="shared" si="154"/>
        <v>1.7121935589698219E-2</v>
      </c>
      <c r="Y898"/>
      <c r="Z898" s="13">
        <f t="shared" si="148"/>
        <v>20.742720077845721</v>
      </c>
      <c r="AA898" s="2"/>
      <c r="AB898" s="68"/>
      <c r="AC898" s="15">
        <f t="shared" si="149"/>
        <v>15.159427365476294</v>
      </c>
    </row>
    <row r="899" spans="1:29">
      <c r="A899" s="84">
        <f>'Q.1 &amp; 4'!K904</f>
        <v>2.5</v>
      </c>
      <c r="B899" s="141">
        <f>'Q.1 &amp; 4'!L904</f>
        <v>39.200000000000003</v>
      </c>
      <c r="C899" s="221"/>
      <c r="D899" s="23"/>
      <c r="E899" s="24"/>
      <c r="F899" s="22">
        <f t="shared" si="144"/>
        <v>-1.0074074074074115</v>
      </c>
      <c r="G899" s="22">
        <f t="shared" si="145"/>
        <v>4.4935109304426391</v>
      </c>
      <c r="H899" s="22">
        <f t="shared" si="150"/>
        <v>-4.5267961965940842</v>
      </c>
      <c r="I899" s="22">
        <f t="shared" si="151"/>
        <v>1.0148696844993224</v>
      </c>
      <c r="J899" s="24"/>
      <c r="K899" s="24"/>
      <c r="L899" s="235">
        <f t="shared" si="146"/>
        <v>39.260906713762353</v>
      </c>
      <c r="M899" s="126"/>
      <c r="N899" s="126"/>
      <c r="O899" s="126"/>
      <c r="P899" s="10">
        <f t="shared" si="147"/>
        <v>-6.0906713762349796E-2</v>
      </c>
      <c r="Q899" s="10">
        <f t="shared" si="152"/>
        <v>3.7096277813288099E-3</v>
      </c>
      <c r="W899" s="240">
        <f t="shared" si="153"/>
        <v>6.0906713762349796E-2</v>
      </c>
      <c r="X899" s="240">
        <f t="shared" si="154"/>
        <v>1.5537426980191274E-3</v>
      </c>
      <c r="Y899"/>
      <c r="Z899" s="13">
        <f t="shared" si="148"/>
        <v>20.742720077845721</v>
      </c>
      <c r="AA899" s="2"/>
      <c r="AB899" s="68"/>
      <c r="AC899" s="15">
        <f t="shared" si="149"/>
        <v>20.191640482007472</v>
      </c>
    </row>
    <row r="900" spans="1:29">
      <c r="A900" s="84">
        <f>'Q.1 &amp; 4'!K905</f>
        <v>3</v>
      </c>
      <c r="B900" s="141">
        <f>'Q.1 &amp; 4'!L905</f>
        <v>34.799999999999997</v>
      </c>
      <c r="C900" s="221"/>
      <c r="D900" s="23"/>
      <c r="E900" s="24"/>
      <c r="F900" s="22">
        <f t="shared" si="144"/>
        <v>-0.50740740740741153</v>
      </c>
      <c r="G900" s="22">
        <f t="shared" si="145"/>
        <v>9.3510930442633367E-2</v>
      </c>
      <c r="H900" s="22">
        <f t="shared" si="150"/>
        <v>-4.7448138780151389E-2</v>
      </c>
      <c r="I900" s="22">
        <f t="shared" si="151"/>
        <v>0.25746227709191088</v>
      </c>
      <c r="J900" s="24"/>
      <c r="K900" s="24"/>
      <c r="L900" s="235">
        <f t="shared" si="146"/>
        <v>37.000442074175325</v>
      </c>
      <c r="M900" s="126"/>
      <c r="N900" s="126"/>
      <c r="O900" s="126"/>
      <c r="P900" s="10">
        <f t="shared" si="147"/>
        <v>-2.2004420741753279</v>
      </c>
      <c r="Q900" s="10">
        <f t="shared" si="152"/>
        <v>4.8419453218010196</v>
      </c>
      <c r="W900" s="240">
        <f t="shared" si="153"/>
        <v>2.2004420741753279</v>
      </c>
      <c r="X900" s="240">
        <f t="shared" si="154"/>
        <v>6.323109408549793E-2</v>
      </c>
      <c r="Y900"/>
      <c r="Z900" s="13">
        <f t="shared" si="148"/>
        <v>5.2622203873957725</v>
      </c>
      <c r="AA900" s="2"/>
      <c r="AB900" s="68"/>
      <c r="AC900" s="15">
        <f t="shared" si="149"/>
        <v>8.7442941122470152E-3</v>
      </c>
    </row>
    <row r="901" spans="1:29">
      <c r="A901" s="84">
        <f>'Q.1 &amp; 4'!K906</f>
        <v>2.5</v>
      </c>
      <c r="B901" s="141">
        <f>'Q.1 &amp; 4'!L906</f>
        <v>42.9</v>
      </c>
      <c r="C901" s="221"/>
      <c r="D901" s="23"/>
      <c r="E901" s="24"/>
      <c r="F901" s="22">
        <f t="shared" si="144"/>
        <v>-1.0074074074074115</v>
      </c>
      <c r="G901" s="22">
        <f t="shared" si="145"/>
        <v>8.1935109304426348</v>
      </c>
      <c r="H901" s="22">
        <f t="shared" si="150"/>
        <v>-8.2542036040015034</v>
      </c>
      <c r="I901" s="22">
        <f t="shared" si="151"/>
        <v>1.0148696844993224</v>
      </c>
      <c r="J901" s="24"/>
      <c r="K901" s="24"/>
      <c r="L901" s="235">
        <f t="shared" si="146"/>
        <v>39.260906713762353</v>
      </c>
      <c r="M901" s="126"/>
      <c r="N901" s="126"/>
      <c r="O901" s="126"/>
      <c r="P901" s="10">
        <f t="shared" si="147"/>
        <v>3.6390932862376459</v>
      </c>
      <c r="Q901" s="10">
        <f t="shared" si="152"/>
        <v>13.242999945939909</v>
      </c>
      <c r="W901" s="240">
        <f t="shared" si="153"/>
        <v>3.6390932862376459</v>
      </c>
      <c r="X901" s="240">
        <f t="shared" si="154"/>
        <v>8.4827349329548857E-2</v>
      </c>
      <c r="Y901"/>
      <c r="Z901" s="13">
        <f t="shared" si="148"/>
        <v>20.742720077845721</v>
      </c>
      <c r="AA901" s="2"/>
      <c r="AB901" s="68"/>
      <c r="AC901" s="15">
        <f t="shared" si="149"/>
        <v>67.133621367282927</v>
      </c>
    </row>
    <row r="902" spans="1:29">
      <c r="A902" s="84">
        <f>'Q.1 &amp; 4'!K907</f>
        <v>3.5</v>
      </c>
      <c r="B902" s="141">
        <f>'Q.1 &amp; 4'!L907</f>
        <v>30.6</v>
      </c>
      <c r="C902" s="221"/>
      <c r="D902" s="23"/>
      <c r="E902" s="24"/>
      <c r="F902" s="22">
        <f t="shared" ref="F902:F965" si="155">A902-$D$6</f>
        <v>-7.4074074074115259E-3</v>
      </c>
      <c r="G902" s="22">
        <f t="shared" ref="G902:G965" si="156">B902-$E$6</f>
        <v>-4.1064890695573624</v>
      </c>
      <c r="H902" s="22">
        <f t="shared" si="150"/>
        <v>3.0418437552293672E-2</v>
      </c>
      <c r="I902" s="22">
        <f t="shared" si="151"/>
        <v>5.4869684499375142E-5</v>
      </c>
      <c r="J902" s="24"/>
      <c r="K902" s="24"/>
      <c r="L902" s="235">
        <f t="shared" ref="L902:L965" si="157">$K$6+$J$6*A902</f>
        <v>34.739977434588305</v>
      </c>
      <c r="M902" s="126"/>
      <c r="N902" s="126"/>
      <c r="O902" s="126"/>
      <c r="P902" s="10">
        <f t="shared" ref="P902:P965" si="158">B902-L902</f>
        <v>-4.1399774345883031</v>
      </c>
      <c r="Q902" s="10">
        <f t="shared" si="152"/>
        <v>17.139413158900346</v>
      </c>
      <c r="W902" s="240">
        <f t="shared" si="153"/>
        <v>4.1399774345883031</v>
      </c>
      <c r="X902" s="240">
        <f t="shared" si="154"/>
        <v>0.13529338021530402</v>
      </c>
      <c r="Y902"/>
      <c r="Z902" s="13">
        <f t="shared" ref="Z902:Z965" si="159">(L902-$E$6)^2</f>
        <v>1.1214705924455365E-3</v>
      </c>
      <c r="AA902" s="2"/>
      <c r="AB902" s="68"/>
      <c r="AC902" s="15">
        <f t="shared" ref="AC902:AC965" si="160">(B902-$E$6)^2</f>
        <v>16.863252478394092</v>
      </c>
    </row>
    <row r="903" spans="1:29">
      <c r="A903" s="84">
        <f>'Q.1 &amp; 4'!K908</f>
        <v>3.5</v>
      </c>
      <c r="B903" s="141">
        <f>'Q.1 &amp; 4'!L908</f>
        <v>28.7</v>
      </c>
      <c r="C903" s="221"/>
      <c r="D903" s="23"/>
      <c r="E903" s="24"/>
      <c r="F903" s="22">
        <f t="shared" si="155"/>
        <v>-7.4074074074115259E-3</v>
      </c>
      <c r="G903" s="22">
        <f t="shared" si="156"/>
        <v>-6.0064890695573645</v>
      </c>
      <c r="H903" s="22">
        <f t="shared" ref="H903:H966" si="161">F903*G903</f>
        <v>4.4492511626375589E-2</v>
      </c>
      <c r="I903" s="22">
        <f t="shared" ref="I903:I966" si="162">F903^2</f>
        <v>5.4869684499375142E-5</v>
      </c>
      <c r="J903" s="24"/>
      <c r="K903" s="24"/>
      <c r="L903" s="235">
        <f t="shared" si="157"/>
        <v>34.739977434588305</v>
      </c>
      <c r="M903" s="126"/>
      <c r="N903" s="126"/>
      <c r="O903" s="126"/>
      <c r="P903" s="10">
        <f t="shared" si="158"/>
        <v>-6.0399774345883053</v>
      </c>
      <c r="Q903" s="10">
        <f t="shared" ref="Q903:Q966" si="163">P903^2</f>
        <v>36.481327410335922</v>
      </c>
      <c r="W903" s="240">
        <f t="shared" ref="W903:W966" si="164">ABS(P903)</f>
        <v>6.0399774345883053</v>
      </c>
      <c r="X903" s="240">
        <f t="shared" ref="X903:X966" si="165">W903/B903</f>
        <v>0.21045217542119532</v>
      </c>
      <c r="Y903"/>
      <c r="Z903" s="13">
        <f t="shared" si="159"/>
        <v>1.1214705924455365E-3</v>
      </c>
      <c r="AA903" s="2"/>
      <c r="AB903" s="68"/>
      <c r="AC903" s="15">
        <f t="shared" si="160"/>
        <v>36.077910942712094</v>
      </c>
    </row>
    <row r="904" spans="1:29">
      <c r="A904" s="84">
        <f>'Q.1 &amp; 4'!K909</f>
        <v>2.5</v>
      </c>
      <c r="B904" s="141">
        <f>'Q.1 &amp; 4'!L909</f>
        <v>39.200000000000003</v>
      </c>
      <c r="C904" s="221"/>
      <c r="D904" s="23"/>
      <c r="E904" s="24"/>
      <c r="F904" s="22">
        <f t="shared" si="155"/>
        <v>-1.0074074074074115</v>
      </c>
      <c r="G904" s="22">
        <f t="shared" si="156"/>
        <v>4.4935109304426391</v>
      </c>
      <c r="H904" s="22">
        <f t="shared" si="161"/>
        <v>-4.5267961965940842</v>
      </c>
      <c r="I904" s="22">
        <f t="shared" si="162"/>
        <v>1.0148696844993224</v>
      </c>
      <c r="J904" s="24"/>
      <c r="K904" s="24"/>
      <c r="L904" s="235">
        <f t="shared" si="157"/>
        <v>39.260906713762353</v>
      </c>
      <c r="M904" s="126"/>
      <c r="N904" s="126"/>
      <c r="O904" s="126"/>
      <c r="P904" s="10">
        <f t="shared" si="158"/>
        <v>-6.0906713762349796E-2</v>
      </c>
      <c r="Q904" s="10">
        <f t="shared" si="163"/>
        <v>3.7096277813288099E-3</v>
      </c>
      <c r="W904" s="240">
        <f t="shared" si="164"/>
        <v>6.0906713762349796E-2</v>
      </c>
      <c r="X904" s="240">
        <f t="shared" si="165"/>
        <v>1.5537426980191274E-3</v>
      </c>
      <c r="Y904"/>
      <c r="Z904" s="13">
        <f t="shared" si="159"/>
        <v>20.742720077845721</v>
      </c>
      <c r="AA904" s="2"/>
      <c r="AB904" s="68"/>
      <c r="AC904" s="15">
        <f t="shared" si="160"/>
        <v>20.191640482007472</v>
      </c>
    </row>
    <row r="905" spans="1:29">
      <c r="A905" s="84">
        <f>'Q.1 &amp; 4'!K910</f>
        <v>3</v>
      </c>
      <c r="B905" s="141">
        <f>'Q.1 &amp; 4'!L910</f>
        <v>34.799999999999997</v>
      </c>
      <c r="C905" s="221"/>
      <c r="D905" s="23"/>
      <c r="E905" s="24"/>
      <c r="F905" s="22">
        <f t="shared" si="155"/>
        <v>-0.50740740740741153</v>
      </c>
      <c r="G905" s="22">
        <f t="shared" si="156"/>
        <v>9.3510930442633367E-2</v>
      </c>
      <c r="H905" s="22">
        <f t="shared" si="161"/>
        <v>-4.7448138780151389E-2</v>
      </c>
      <c r="I905" s="22">
        <f t="shared" si="162"/>
        <v>0.25746227709191088</v>
      </c>
      <c r="J905" s="24"/>
      <c r="K905" s="24"/>
      <c r="L905" s="235">
        <f t="shared" si="157"/>
        <v>37.000442074175325</v>
      </c>
      <c r="M905" s="126"/>
      <c r="N905" s="126"/>
      <c r="O905" s="126"/>
      <c r="P905" s="10">
        <f t="shared" si="158"/>
        <v>-2.2004420741753279</v>
      </c>
      <c r="Q905" s="10">
        <f t="shared" si="163"/>
        <v>4.8419453218010196</v>
      </c>
      <c r="W905" s="240">
        <f t="shared" si="164"/>
        <v>2.2004420741753279</v>
      </c>
      <c r="X905" s="240">
        <f t="shared" si="165"/>
        <v>6.323109408549793E-2</v>
      </c>
      <c r="Y905"/>
      <c r="Z905" s="13">
        <f t="shared" si="159"/>
        <v>5.2622203873957725</v>
      </c>
      <c r="AA905" s="2"/>
      <c r="AB905" s="68"/>
      <c r="AC905" s="15">
        <f t="shared" si="160"/>
        <v>8.7442941122470152E-3</v>
      </c>
    </row>
    <row r="906" spans="1:29">
      <c r="A906" s="84">
        <f>'Q.1 &amp; 4'!K911</f>
        <v>2.5</v>
      </c>
      <c r="B906" s="141">
        <f>'Q.1 &amp; 4'!L911</f>
        <v>42.9</v>
      </c>
      <c r="C906" s="221"/>
      <c r="D906" s="23"/>
      <c r="E906" s="24"/>
      <c r="F906" s="22">
        <f t="shared" si="155"/>
        <v>-1.0074074074074115</v>
      </c>
      <c r="G906" s="22">
        <f t="shared" si="156"/>
        <v>8.1935109304426348</v>
      </c>
      <c r="H906" s="22">
        <f t="shared" si="161"/>
        <v>-8.2542036040015034</v>
      </c>
      <c r="I906" s="22">
        <f t="shared" si="162"/>
        <v>1.0148696844993224</v>
      </c>
      <c r="J906" s="24"/>
      <c r="K906" s="24"/>
      <c r="L906" s="235">
        <f t="shared" si="157"/>
        <v>39.260906713762353</v>
      </c>
      <c r="M906" s="126"/>
      <c r="N906" s="126"/>
      <c r="O906" s="126"/>
      <c r="P906" s="10">
        <f t="shared" si="158"/>
        <v>3.6390932862376459</v>
      </c>
      <c r="Q906" s="10">
        <f t="shared" si="163"/>
        <v>13.242999945939909</v>
      </c>
      <c r="W906" s="240">
        <f t="shared" si="164"/>
        <v>3.6390932862376459</v>
      </c>
      <c r="X906" s="240">
        <f t="shared" si="165"/>
        <v>8.4827349329548857E-2</v>
      </c>
      <c r="Y906"/>
      <c r="Z906" s="13">
        <f t="shared" si="159"/>
        <v>20.742720077845721</v>
      </c>
      <c r="AA906" s="2"/>
      <c r="AB906" s="68"/>
      <c r="AC906" s="15">
        <f t="shared" si="160"/>
        <v>67.133621367282927</v>
      </c>
    </row>
    <row r="907" spans="1:29">
      <c r="A907" s="84">
        <f>'Q.1 &amp; 4'!K912</f>
        <v>4</v>
      </c>
      <c r="B907" s="141">
        <f>'Q.1 &amp; 4'!L912</f>
        <v>27.8</v>
      </c>
      <c r="C907" s="221"/>
      <c r="D907" s="23"/>
      <c r="E907" s="24"/>
      <c r="F907" s="22">
        <f t="shared" si="155"/>
        <v>0.49259259259258847</v>
      </c>
      <c r="G907" s="22">
        <f t="shared" si="156"/>
        <v>-6.9064890695573631</v>
      </c>
      <c r="H907" s="22">
        <f t="shared" si="161"/>
        <v>-3.4020853564856357</v>
      </c>
      <c r="I907" s="22">
        <f t="shared" si="162"/>
        <v>0.24264746227708786</v>
      </c>
      <c r="J907" s="24"/>
      <c r="K907" s="24"/>
      <c r="L907" s="235">
        <f t="shared" si="157"/>
        <v>32.479512795001277</v>
      </c>
      <c r="M907" s="126"/>
      <c r="N907" s="126"/>
      <c r="O907" s="126"/>
      <c r="P907" s="10">
        <f t="shared" si="158"/>
        <v>-4.6795127950012763</v>
      </c>
      <c r="Q907" s="10">
        <f t="shared" si="163"/>
        <v>21.897839998580658</v>
      </c>
      <c r="W907" s="240">
        <f t="shared" si="164"/>
        <v>4.6795127950012763</v>
      </c>
      <c r="X907" s="240">
        <f t="shared" si="165"/>
        <v>0.16832779838134088</v>
      </c>
      <c r="Y907"/>
      <c r="Z907" s="13">
        <f t="shared" si="159"/>
        <v>4.9594233274357071</v>
      </c>
      <c r="AA907" s="2"/>
      <c r="AB907" s="68"/>
      <c r="AC907" s="15">
        <f t="shared" si="160"/>
        <v>47.699591267915331</v>
      </c>
    </row>
    <row r="908" spans="1:29">
      <c r="A908" s="84">
        <f>'Q.1 &amp; 4'!K913</f>
        <v>4.5999999999999996</v>
      </c>
      <c r="B908" s="141">
        <f>'Q.1 &amp; 4'!L913</f>
        <v>29</v>
      </c>
      <c r="C908" s="221"/>
      <c r="D908" s="23"/>
      <c r="E908" s="24"/>
      <c r="F908" s="22">
        <f t="shared" si="155"/>
        <v>1.0925925925925881</v>
      </c>
      <c r="G908" s="22">
        <f t="shared" si="156"/>
        <v>-5.7064890695573638</v>
      </c>
      <c r="H908" s="22">
        <f t="shared" si="161"/>
        <v>-6.2348676871089461</v>
      </c>
      <c r="I908" s="22">
        <f t="shared" si="162"/>
        <v>1.1937585733881932</v>
      </c>
      <c r="J908" s="24"/>
      <c r="K908" s="24"/>
      <c r="L908" s="235">
        <f t="shared" si="157"/>
        <v>29.766955227496847</v>
      </c>
      <c r="M908" s="126"/>
      <c r="N908" s="126"/>
      <c r="O908" s="126"/>
      <c r="P908" s="10">
        <f t="shared" si="158"/>
        <v>-0.76695522749684741</v>
      </c>
      <c r="Q908" s="10">
        <f t="shared" si="163"/>
        <v>0.58822032098474097</v>
      </c>
      <c r="W908" s="240">
        <f t="shared" si="164"/>
        <v>0.76695522749684741</v>
      </c>
      <c r="X908" s="240">
        <f t="shared" si="165"/>
        <v>2.644673198264991E-2</v>
      </c>
      <c r="Y908"/>
      <c r="Z908" s="13">
        <f t="shared" si="159"/>
        <v>24.398994576861128</v>
      </c>
      <c r="AA908" s="2"/>
      <c r="AB908" s="68"/>
      <c r="AC908" s="15">
        <f t="shared" si="160"/>
        <v>32.56401750097767</v>
      </c>
    </row>
    <row r="909" spans="1:29">
      <c r="A909" s="84">
        <f>'Q.1 &amp; 4'!K914</f>
        <v>2.4</v>
      </c>
      <c r="B909" s="141">
        <f>'Q.1 &amp; 4'!L914</f>
        <v>37.976399999999998</v>
      </c>
      <c r="C909" s="221"/>
      <c r="D909" s="23"/>
      <c r="E909" s="24"/>
      <c r="F909" s="22">
        <f t="shared" si="155"/>
        <v>-1.1074074074074116</v>
      </c>
      <c r="G909" s="22">
        <f t="shared" si="156"/>
        <v>3.2699109304426344</v>
      </c>
      <c r="H909" s="22">
        <f t="shared" si="161"/>
        <v>-3.6211235859346349</v>
      </c>
      <c r="I909" s="22">
        <f t="shared" si="162"/>
        <v>1.2263511659808048</v>
      </c>
      <c r="J909" s="24"/>
      <c r="K909" s="24"/>
      <c r="L909" s="235">
        <f t="shared" si="157"/>
        <v>39.712999641679758</v>
      </c>
      <c r="M909" s="126"/>
      <c r="N909" s="126"/>
      <c r="O909" s="126"/>
      <c r="P909" s="10">
        <f t="shared" si="158"/>
        <v>-1.73659964167976</v>
      </c>
      <c r="Q909" s="10">
        <f t="shared" si="163"/>
        <v>3.0157783154822706</v>
      </c>
      <c r="W909" s="240">
        <f t="shared" si="164"/>
        <v>1.73659964167976</v>
      </c>
      <c r="X909" s="240">
        <f t="shared" si="165"/>
        <v>4.5728390307658441E-2</v>
      </c>
      <c r="Y909"/>
      <c r="Z909" s="13">
        <f t="shared" si="159"/>
        <v>25.065148108773304</v>
      </c>
      <c r="AA909" s="2"/>
      <c r="AB909" s="68"/>
      <c r="AC909" s="15">
        <f t="shared" si="160"/>
        <v>10.692317493028215</v>
      </c>
    </row>
    <row r="910" spans="1:29">
      <c r="A910" s="84">
        <f>'Q.1 &amp; 4'!K915</f>
        <v>3</v>
      </c>
      <c r="B910" s="141">
        <f>'Q.1 &amp; 4'!L915</f>
        <v>35.288699999999999</v>
      </c>
      <c r="C910" s="221"/>
      <c r="D910" s="23"/>
      <c r="E910" s="24"/>
      <c r="F910" s="22">
        <f t="shared" si="155"/>
        <v>-0.50740740740741153</v>
      </c>
      <c r="G910" s="22">
        <f t="shared" si="156"/>
        <v>0.58221093044263483</v>
      </c>
      <c r="H910" s="22">
        <f t="shared" si="161"/>
        <v>-0.29541813878015416</v>
      </c>
      <c r="I910" s="22">
        <f t="shared" si="162"/>
        <v>0.25746227709191088</v>
      </c>
      <c r="J910" s="24"/>
      <c r="K910" s="24"/>
      <c r="L910" s="235">
        <f t="shared" si="157"/>
        <v>37.000442074175325</v>
      </c>
      <c r="M910" s="126"/>
      <c r="N910" s="126"/>
      <c r="O910" s="126"/>
      <c r="P910" s="10">
        <f t="shared" si="158"/>
        <v>-1.7117420741753264</v>
      </c>
      <c r="Q910" s="10">
        <f t="shared" si="163"/>
        <v>2.9300609285020487</v>
      </c>
      <c r="W910" s="240">
        <f t="shared" si="164"/>
        <v>1.7117420741753264</v>
      </c>
      <c r="X910" s="240">
        <f t="shared" si="165"/>
        <v>4.8506804562801306E-2</v>
      </c>
      <c r="Y910"/>
      <c r="Z910" s="13">
        <f t="shared" si="159"/>
        <v>5.2622203873957725</v>
      </c>
      <c r="AA910" s="2"/>
      <c r="AB910" s="68"/>
      <c r="AC910" s="15">
        <f t="shared" si="160"/>
        <v>0.33896956752687857</v>
      </c>
    </row>
    <row r="911" spans="1:29">
      <c r="A911" s="84">
        <f>'Q.1 &amp; 4'!K916</f>
        <v>3.8</v>
      </c>
      <c r="B911" s="141">
        <f>'Q.1 &amp; 4'!L916</f>
        <v>29.809899999999999</v>
      </c>
      <c r="C911" s="221"/>
      <c r="D911" s="23"/>
      <c r="E911" s="24"/>
      <c r="F911" s="22">
        <f t="shared" si="155"/>
        <v>0.2925925925925883</v>
      </c>
      <c r="G911" s="22">
        <f t="shared" si="156"/>
        <v>-4.8965890695573648</v>
      </c>
      <c r="H911" s="22">
        <f t="shared" si="161"/>
        <v>-1.432705690722319</v>
      </c>
      <c r="I911" s="22">
        <f t="shared" si="162"/>
        <v>8.5610425240052357E-2</v>
      </c>
      <c r="J911" s="24"/>
      <c r="K911" s="24"/>
      <c r="L911" s="235">
        <f t="shared" si="157"/>
        <v>33.383698650836088</v>
      </c>
      <c r="M911" s="126"/>
      <c r="N911" s="126"/>
      <c r="O911" s="126"/>
      <c r="P911" s="10">
        <f t="shared" si="158"/>
        <v>-3.5737986508360891</v>
      </c>
      <c r="Q911" s="10">
        <f t="shared" si="163"/>
        <v>12.772036796717851</v>
      </c>
      <c r="W911" s="240">
        <f t="shared" si="164"/>
        <v>3.5737986508360891</v>
      </c>
      <c r="X911" s="240">
        <f t="shared" si="165"/>
        <v>0.11988630122328787</v>
      </c>
      <c r="Y911"/>
      <c r="Z911" s="13">
        <f t="shared" si="159"/>
        <v>1.749774491860808</v>
      </c>
      <c r="AA911" s="2"/>
      <c r="AB911" s="68"/>
      <c r="AC911" s="15">
        <f t="shared" si="160"/>
        <v>23.976584516108659</v>
      </c>
    </row>
    <row r="912" spans="1:29">
      <c r="A912" s="84">
        <f>'Q.1 &amp; 4'!K917</f>
        <v>5.6</v>
      </c>
      <c r="B912" s="141">
        <f>'Q.1 &amp; 4'!L917</f>
        <v>24.947700000000001</v>
      </c>
      <c r="C912" s="221"/>
      <c r="D912" s="23"/>
      <c r="E912" s="24"/>
      <c r="F912" s="22">
        <f t="shared" si="155"/>
        <v>2.0925925925925881</v>
      </c>
      <c r="G912" s="22">
        <f t="shared" si="156"/>
        <v>-9.7587890695573627</v>
      </c>
      <c r="H912" s="22">
        <f t="shared" si="161"/>
        <v>-20.421169719629251</v>
      </c>
      <c r="I912" s="22">
        <f t="shared" si="162"/>
        <v>4.378943758573369</v>
      </c>
      <c r="J912" s="24"/>
      <c r="K912" s="24"/>
      <c r="L912" s="235">
        <f t="shared" si="157"/>
        <v>25.246025948322796</v>
      </c>
      <c r="M912" s="126"/>
      <c r="N912" s="126"/>
      <c r="O912" s="126"/>
      <c r="P912" s="10">
        <f t="shared" si="158"/>
        <v>-0.29832594832279469</v>
      </c>
      <c r="Q912" s="10">
        <f t="shared" si="163"/>
        <v>8.8998371442694763E-2</v>
      </c>
      <c r="W912" s="240">
        <f t="shared" si="164"/>
        <v>0.29832594832279469</v>
      </c>
      <c r="X912" s="240">
        <f t="shared" si="165"/>
        <v>1.1958054182261077E-2</v>
      </c>
      <c r="Y912"/>
      <c r="Z912" s="13">
        <f t="shared" si="159"/>
        <v>89.500362468239302</v>
      </c>
      <c r="AA912" s="2"/>
      <c r="AB912" s="68"/>
      <c r="AC912" s="15">
        <f t="shared" si="160"/>
        <v>95.23396410411226</v>
      </c>
    </row>
    <row r="913" spans="1:29">
      <c r="A913" s="84">
        <f>'Q.1 &amp; 4'!K918</f>
        <v>5.6</v>
      </c>
      <c r="B913" s="141">
        <f>'Q.1 &amp; 4'!L918</f>
        <v>25.1952</v>
      </c>
      <c r="C913" s="221"/>
      <c r="D913" s="23"/>
      <c r="E913" s="24"/>
      <c r="F913" s="22">
        <f t="shared" si="155"/>
        <v>2.0925925925925881</v>
      </c>
      <c r="G913" s="22">
        <f t="shared" si="156"/>
        <v>-9.511289069557364</v>
      </c>
      <c r="H913" s="22">
        <f t="shared" si="161"/>
        <v>-19.90325305296259</v>
      </c>
      <c r="I913" s="22">
        <f t="shared" si="162"/>
        <v>4.378943758573369</v>
      </c>
      <c r="J913" s="24"/>
      <c r="K913" s="24"/>
      <c r="L913" s="235">
        <f t="shared" si="157"/>
        <v>25.246025948322796</v>
      </c>
      <c r="M913" s="126"/>
      <c r="N913" s="126"/>
      <c r="O913" s="126"/>
      <c r="P913" s="10">
        <f t="shared" si="158"/>
        <v>-5.0825948322795966E-2</v>
      </c>
      <c r="Q913" s="10">
        <f t="shared" si="163"/>
        <v>2.5832770229115261E-3</v>
      </c>
      <c r="W913" s="240">
        <f t="shared" si="164"/>
        <v>5.0825948322795966E-2</v>
      </c>
      <c r="X913" s="240">
        <f t="shared" si="165"/>
        <v>2.0172869563566064E-3</v>
      </c>
      <c r="Y913"/>
      <c r="Z913" s="13">
        <f t="shared" si="159"/>
        <v>89.500362468239302</v>
      </c>
      <c r="AA913" s="2"/>
      <c r="AB913" s="68"/>
      <c r="AC913" s="15">
        <f t="shared" si="160"/>
        <v>90.464619764681387</v>
      </c>
    </row>
    <row r="914" spans="1:29">
      <c r="A914" s="84">
        <f>'Q.1 &amp; 4'!K919</f>
        <v>3.5</v>
      </c>
      <c r="B914" s="141">
        <f>'Q.1 &amp; 4'!L919</f>
        <v>32.407600000000002</v>
      </c>
      <c r="C914" s="221"/>
      <c r="D914" s="23"/>
      <c r="E914" s="24"/>
      <c r="F914" s="22">
        <f t="shared" si="155"/>
        <v>-7.4074074074115259E-3</v>
      </c>
      <c r="G914" s="22">
        <f t="shared" si="156"/>
        <v>-2.2988890695573616</v>
      </c>
      <c r="H914" s="22">
        <f t="shared" si="161"/>
        <v>1.702880792265659E-2</v>
      </c>
      <c r="I914" s="22">
        <f t="shared" si="162"/>
        <v>5.4869684499375142E-5</v>
      </c>
      <c r="J914" s="24"/>
      <c r="K914" s="24"/>
      <c r="L914" s="235">
        <f t="shared" si="157"/>
        <v>34.739977434588305</v>
      </c>
      <c r="M914" s="126"/>
      <c r="N914" s="126"/>
      <c r="O914" s="126"/>
      <c r="P914" s="10">
        <f t="shared" si="158"/>
        <v>-2.3323774345883024</v>
      </c>
      <c r="Q914" s="10">
        <f t="shared" si="163"/>
        <v>5.4399844973767104</v>
      </c>
      <c r="W914" s="240">
        <f t="shared" si="164"/>
        <v>2.3323774345883024</v>
      </c>
      <c r="X914" s="240">
        <f t="shared" si="165"/>
        <v>7.197007598798745E-2</v>
      </c>
      <c r="Y914"/>
      <c r="Z914" s="13">
        <f t="shared" si="159"/>
        <v>1.1214705924455365E-3</v>
      </c>
      <c r="AA914" s="2"/>
      <c r="AB914" s="68"/>
      <c r="AC914" s="15">
        <f t="shared" si="160"/>
        <v>5.2848909541303115</v>
      </c>
    </row>
    <row r="915" spans="1:29">
      <c r="A915" s="84">
        <f>'Q.1 &amp; 4'!K920</f>
        <v>4</v>
      </c>
      <c r="B915" s="141">
        <f>'Q.1 &amp; 4'!L920</f>
        <v>29.9</v>
      </c>
      <c r="C915" s="221"/>
      <c r="D915" s="23"/>
      <c r="E915" s="24"/>
      <c r="F915" s="22">
        <f t="shared" si="155"/>
        <v>0.49259259259258847</v>
      </c>
      <c r="G915" s="22">
        <f t="shared" si="156"/>
        <v>-4.8064890695573652</v>
      </c>
      <c r="H915" s="22">
        <f t="shared" si="161"/>
        <v>-2.367640912041201</v>
      </c>
      <c r="I915" s="22">
        <f t="shared" si="162"/>
        <v>0.24264746227708786</v>
      </c>
      <c r="J915" s="24"/>
      <c r="K915" s="24"/>
      <c r="L915" s="235">
        <f t="shared" si="157"/>
        <v>32.479512795001277</v>
      </c>
      <c r="M915" s="126"/>
      <c r="N915" s="126"/>
      <c r="O915" s="126"/>
      <c r="P915" s="10">
        <f t="shared" si="158"/>
        <v>-2.5795127950012784</v>
      </c>
      <c r="Q915" s="10">
        <f t="shared" si="163"/>
        <v>6.653886259575307</v>
      </c>
      <c r="W915" s="240">
        <f t="shared" si="164"/>
        <v>2.5795127950012784</v>
      </c>
      <c r="X915" s="240">
        <f t="shared" si="165"/>
        <v>8.6271330936497609E-2</v>
      </c>
      <c r="Y915"/>
      <c r="Z915" s="13">
        <f t="shared" si="159"/>
        <v>4.9594233274357071</v>
      </c>
      <c r="AA915" s="2"/>
      <c r="AB915" s="68"/>
      <c r="AC915" s="15">
        <f t="shared" si="160"/>
        <v>23.102337175774426</v>
      </c>
    </row>
    <row r="916" spans="1:29">
      <c r="A916" s="84">
        <f>'Q.1 &amp; 4'!K921</f>
        <v>4</v>
      </c>
      <c r="B916" s="141">
        <f>'Q.1 &amp; 4'!L921</f>
        <v>30.9375</v>
      </c>
      <c r="C916" s="221"/>
      <c r="D916" s="23"/>
      <c r="E916" s="24"/>
      <c r="F916" s="22">
        <f t="shared" si="155"/>
        <v>0.49259259259258847</v>
      </c>
      <c r="G916" s="22">
        <f t="shared" si="156"/>
        <v>-3.7689890695573638</v>
      </c>
      <c r="H916" s="22">
        <f t="shared" si="161"/>
        <v>-1.8565760972263896</v>
      </c>
      <c r="I916" s="22">
        <f t="shared" si="162"/>
        <v>0.24264746227708786</v>
      </c>
      <c r="J916" s="24"/>
      <c r="K916" s="24"/>
      <c r="L916" s="235">
        <f t="shared" si="157"/>
        <v>32.479512795001277</v>
      </c>
      <c r="M916" s="126"/>
      <c r="N916" s="126"/>
      <c r="O916" s="126"/>
      <c r="P916" s="10">
        <f t="shared" si="158"/>
        <v>-1.542012795001277</v>
      </c>
      <c r="Q916" s="10">
        <f t="shared" si="163"/>
        <v>2.3778034599476503</v>
      </c>
      <c r="W916" s="240">
        <f t="shared" si="164"/>
        <v>1.542012795001277</v>
      </c>
      <c r="X916" s="240">
        <f t="shared" si="165"/>
        <v>4.9842837818223094E-2</v>
      </c>
      <c r="Y916"/>
      <c r="Z916" s="13">
        <f t="shared" si="159"/>
        <v>4.9594233274357071</v>
      </c>
      <c r="AA916" s="2"/>
      <c r="AB916" s="68"/>
      <c r="AC916" s="15">
        <f t="shared" si="160"/>
        <v>14.205278606442883</v>
      </c>
    </row>
    <row r="917" spans="1:29">
      <c r="A917" s="84">
        <f>'Q.1 &amp; 4'!K922</f>
        <v>2.5</v>
      </c>
      <c r="B917" s="141">
        <f>'Q.1 &amp; 4'!L922</f>
        <v>38.029899999999998</v>
      </c>
      <c r="C917" s="221"/>
      <c r="D917" s="23"/>
      <c r="E917" s="24"/>
      <c r="F917" s="22">
        <f t="shared" si="155"/>
        <v>-1.0074074074074115</v>
      </c>
      <c r="G917" s="22">
        <f t="shared" si="156"/>
        <v>3.323410930442634</v>
      </c>
      <c r="H917" s="22">
        <f t="shared" si="161"/>
        <v>-3.3480287891866674</v>
      </c>
      <c r="I917" s="22">
        <f t="shared" si="162"/>
        <v>1.0148696844993224</v>
      </c>
      <c r="J917" s="24"/>
      <c r="K917" s="24"/>
      <c r="L917" s="235">
        <f t="shared" si="157"/>
        <v>39.260906713762353</v>
      </c>
      <c r="M917" s="126"/>
      <c r="N917" s="126"/>
      <c r="O917" s="126"/>
      <c r="P917" s="10">
        <f t="shared" si="158"/>
        <v>-1.2310067137623548</v>
      </c>
      <c r="Q917" s="10">
        <f t="shared" si="163"/>
        <v>1.5153775293279921</v>
      </c>
      <c r="W917" s="240">
        <f t="shared" si="164"/>
        <v>1.2310067137623548</v>
      </c>
      <c r="X917" s="240">
        <f t="shared" si="165"/>
        <v>3.2369443878694261E-2</v>
      </c>
      <c r="Y917"/>
      <c r="Z917" s="13">
        <f t="shared" si="159"/>
        <v>20.742720077845721</v>
      </c>
      <c r="AA917" s="2"/>
      <c r="AB917" s="68"/>
      <c r="AC917" s="15">
        <f t="shared" si="160"/>
        <v>11.045060212585575</v>
      </c>
    </row>
    <row r="918" spans="1:29">
      <c r="A918" s="84">
        <f>'Q.1 &amp; 4'!K923</f>
        <v>4</v>
      </c>
      <c r="B918" s="141">
        <f>'Q.1 &amp; 4'!L923</f>
        <v>28.0488</v>
      </c>
      <c r="C918" s="221"/>
      <c r="D918" s="23"/>
      <c r="E918" s="24"/>
      <c r="F918" s="22">
        <f t="shared" si="155"/>
        <v>0.49259259259258847</v>
      </c>
      <c r="G918" s="22">
        <f t="shared" si="156"/>
        <v>-6.6576890695573638</v>
      </c>
      <c r="H918" s="22">
        <f t="shared" si="161"/>
        <v>-3.2795283194486</v>
      </c>
      <c r="I918" s="22">
        <f t="shared" si="162"/>
        <v>0.24264746227708786</v>
      </c>
      <c r="J918" s="24"/>
      <c r="K918" s="24"/>
      <c r="L918" s="235">
        <f t="shared" si="157"/>
        <v>32.479512795001277</v>
      </c>
      <c r="M918" s="126"/>
      <c r="N918" s="126"/>
      <c r="O918" s="126"/>
      <c r="P918" s="10">
        <f t="shared" si="158"/>
        <v>-4.430712795001277</v>
      </c>
      <c r="Q918" s="10">
        <f t="shared" si="163"/>
        <v>19.631215871788029</v>
      </c>
      <c r="W918" s="240">
        <f t="shared" si="164"/>
        <v>4.430712795001277</v>
      </c>
      <c r="X918" s="240">
        <f t="shared" si="165"/>
        <v>0.1579644332378311</v>
      </c>
      <c r="Y918"/>
      <c r="Z918" s="13">
        <f t="shared" si="159"/>
        <v>4.9594233274357071</v>
      </c>
      <c r="AA918" s="2"/>
      <c r="AB918" s="68"/>
      <c r="AC918" s="15">
        <f t="shared" si="160"/>
        <v>44.324823746903597</v>
      </c>
    </row>
    <row r="919" spans="1:29">
      <c r="A919" s="84">
        <f>'Q.1 &amp; 4'!K924</f>
        <v>4</v>
      </c>
      <c r="B919" s="141">
        <f>'Q.1 &amp; 4'!L924</f>
        <v>28.654900000000001</v>
      </c>
      <c r="C919" s="221"/>
      <c r="D919" s="23"/>
      <c r="E919" s="24"/>
      <c r="F919" s="22">
        <f t="shared" si="155"/>
        <v>0.49259259259258847</v>
      </c>
      <c r="G919" s="22">
        <f t="shared" si="156"/>
        <v>-6.0515890695573624</v>
      </c>
      <c r="H919" s="22">
        <f t="shared" si="161"/>
        <v>-2.9809679490782313</v>
      </c>
      <c r="I919" s="22">
        <f t="shared" si="162"/>
        <v>0.24264746227708786</v>
      </c>
      <c r="J919" s="24"/>
      <c r="K919" s="24"/>
      <c r="L919" s="235">
        <f t="shared" si="157"/>
        <v>32.479512795001277</v>
      </c>
      <c r="M919" s="126"/>
      <c r="N919" s="126"/>
      <c r="O919" s="126"/>
      <c r="P919" s="10">
        <f t="shared" si="158"/>
        <v>-3.8246127950012756</v>
      </c>
      <c r="Q919" s="10">
        <f t="shared" si="163"/>
        <v>14.627663031687469</v>
      </c>
      <c r="W919" s="240">
        <f t="shared" si="164"/>
        <v>3.8246127950012756</v>
      </c>
      <c r="X919" s="240">
        <f t="shared" si="165"/>
        <v>0.13347151080622424</v>
      </c>
      <c r="Y919"/>
      <c r="Z919" s="13">
        <f t="shared" si="159"/>
        <v>4.9594233274357071</v>
      </c>
      <c r="AA919" s="2"/>
      <c r="AB919" s="68"/>
      <c r="AC919" s="15">
        <f t="shared" si="160"/>
        <v>36.621730266786145</v>
      </c>
    </row>
    <row r="920" spans="1:29">
      <c r="A920" s="84">
        <f>'Q.1 &amp; 4'!K925</f>
        <v>3.6</v>
      </c>
      <c r="B920" s="141">
        <f>'Q.1 &amp; 4'!L925</f>
        <v>33</v>
      </c>
      <c r="C920" s="221"/>
      <c r="D920" s="23"/>
      <c r="E920" s="24"/>
      <c r="F920" s="22">
        <f t="shared" si="155"/>
        <v>9.2592592592588563E-2</v>
      </c>
      <c r="G920" s="22">
        <f t="shared" si="156"/>
        <v>-1.7064890695573638</v>
      </c>
      <c r="H920" s="22">
        <f t="shared" si="161"/>
        <v>-0.15800824718123052</v>
      </c>
      <c r="I920" s="22">
        <f t="shared" si="162"/>
        <v>8.573388203017087E-3</v>
      </c>
      <c r="J920" s="24"/>
      <c r="K920" s="24"/>
      <c r="L920" s="235">
        <f t="shared" si="157"/>
        <v>34.287884506670892</v>
      </c>
      <c r="M920" s="126"/>
      <c r="N920" s="126"/>
      <c r="O920" s="126"/>
      <c r="P920" s="10">
        <f t="shared" si="158"/>
        <v>-1.2878845066708919</v>
      </c>
      <c r="Q920" s="10">
        <f t="shared" si="163"/>
        <v>1.6586465025229267</v>
      </c>
      <c r="W920" s="240">
        <f t="shared" si="164"/>
        <v>1.2878845066708919</v>
      </c>
      <c r="X920" s="240">
        <f t="shared" si="165"/>
        <v>3.9026803232451272E-2</v>
      </c>
      <c r="Y920"/>
      <c r="Z920" s="13">
        <f t="shared" si="159"/>
        <v>0.17522978006937417</v>
      </c>
      <c r="AA920" s="2"/>
      <c r="AB920" s="68"/>
      <c r="AC920" s="15">
        <f t="shared" si="160"/>
        <v>2.9121049445187572</v>
      </c>
    </row>
    <row r="921" spans="1:29">
      <c r="A921" s="84">
        <f>'Q.1 &amp; 4'!K926</f>
        <v>2.4</v>
      </c>
      <c r="B921" s="141">
        <f>'Q.1 &amp; 4'!L926</f>
        <v>37</v>
      </c>
      <c r="C921" s="221"/>
      <c r="D921" s="23"/>
      <c r="E921" s="24"/>
      <c r="F921" s="22">
        <f t="shared" si="155"/>
        <v>-1.1074074074074116</v>
      </c>
      <c r="G921" s="22">
        <f t="shared" si="156"/>
        <v>2.2935109304426362</v>
      </c>
      <c r="H921" s="22">
        <f t="shared" si="161"/>
        <v>-2.5398509933420401</v>
      </c>
      <c r="I921" s="22">
        <f t="shared" si="162"/>
        <v>1.2263511659808048</v>
      </c>
      <c r="J921" s="24"/>
      <c r="K921" s="24"/>
      <c r="L921" s="235">
        <f t="shared" si="157"/>
        <v>39.712999641679758</v>
      </c>
      <c r="M921" s="126"/>
      <c r="N921" s="126"/>
      <c r="O921" s="126"/>
      <c r="P921" s="10">
        <f t="shared" si="158"/>
        <v>-2.7129996416797582</v>
      </c>
      <c r="Q921" s="10">
        <f t="shared" si="163"/>
        <v>7.3603670557544962</v>
      </c>
      <c r="W921" s="240">
        <f t="shared" si="164"/>
        <v>2.7129996416797582</v>
      </c>
      <c r="X921" s="240">
        <f t="shared" si="165"/>
        <v>7.3324314639993463E-2</v>
      </c>
      <c r="Y921"/>
      <c r="Z921" s="13">
        <f t="shared" si="159"/>
        <v>25.065148108773304</v>
      </c>
      <c r="AA921" s="2"/>
      <c r="AB921" s="68"/>
      <c r="AC921" s="15">
        <f t="shared" si="160"/>
        <v>5.2601923880598465</v>
      </c>
    </row>
    <row r="922" spans="1:29">
      <c r="A922" s="84">
        <f>'Q.1 &amp; 4'!K927</f>
        <v>3.6</v>
      </c>
      <c r="B922" s="141">
        <f>'Q.1 &amp; 4'!L927</f>
        <v>33</v>
      </c>
      <c r="C922" s="221"/>
      <c r="D922" s="23"/>
      <c r="E922" s="24"/>
      <c r="F922" s="22">
        <f t="shared" si="155"/>
        <v>9.2592592592588563E-2</v>
      </c>
      <c r="G922" s="22">
        <f t="shared" si="156"/>
        <v>-1.7064890695573638</v>
      </c>
      <c r="H922" s="22">
        <f t="shared" si="161"/>
        <v>-0.15800824718123052</v>
      </c>
      <c r="I922" s="22">
        <f t="shared" si="162"/>
        <v>8.573388203017087E-3</v>
      </c>
      <c r="J922" s="24"/>
      <c r="K922" s="24"/>
      <c r="L922" s="235">
        <f t="shared" si="157"/>
        <v>34.287884506670892</v>
      </c>
      <c r="M922" s="126"/>
      <c r="N922" s="126"/>
      <c r="O922" s="126"/>
      <c r="P922" s="10">
        <f t="shared" si="158"/>
        <v>-1.2878845066708919</v>
      </c>
      <c r="Q922" s="10">
        <f t="shared" si="163"/>
        <v>1.6586465025229267</v>
      </c>
      <c r="W922" s="240">
        <f t="shared" si="164"/>
        <v>1.2878845066708919</v>
      </c>
      <c r="X922" s="240">
        <f t="shared" si="165"/>
        <v>3.9026803232451272E-2</v>
      </c>
      <c r="Y922"/>
      <c r="Z922" s="13">
        <f t="shared" si="159"/>
        <v>0.17522978006937417</v>
      </c>
      <c r="AA922" s="2"/>
      <c r="AB922" s="68"/>
      <c r="AC922" s="15">
        <f t="shared" si="160"/>
        <v>2.9121049445187572</v>
      </c>
    </row>
    <row r="923" spans="1:29">
      <c r="A923" s="84">
        <f>'Q.1 &amp; 4'!K928</f>
        <v>3.6</v>
      </c>
      <c r="B923" s="141">
        <f>'Q.1 &amp; 4'!L928</f>
        <v>33.200000000000003</v>
      </c>
      <c r="C923" s="221"/>
      <c r="D923" s="23"/>
      <c r="E923" s="24"/>
      <c r="F923" s="22">
        <f t="shared" si="155"/>
        <v>9.2592592592588563E-2</v>
      </c>
      <c r="G923" s="22">
        <f t="shared" si="156"/>
        <v>-1.5064890695573609</v>
      </c>
      <c r="H923" s="22">
        <f t="shared" si="161"/>
        <v>-0.13948972866271253</v>
      </c>
      <c r="I923" s="22">
        <f t="shared" si="162"/>
        <v>8.573388203017087E-3</v>
      </c>
      <c r="J923" s="24"/>
      <c r="K923" s="24"/>
      <c r="L923" s="235">
        <f t="shared" si="157"/>
        <v>34.287884506670892</v>
      </c>
      <c r="M923" s="126"/>
      <c r="N923" s="126"/>
      <c r="O923" s="126"/>
      <c r="P923" s="10">
        <f t="shared" si="158"/>
        <v>-1.0878845066708891</v>
      </c>
      <c r="Q923" s="10">
        <f t="shared" si="163"/>
        <v>1.1834926998545638</v>
      </c>
      <c r="W923" s="240">
        <f t="shared" si="164"/>
        <v>1.0878845066708891</v>
      </c>
      <c r="X923" s="240">
        <f t="shared" si="165"/>
        <v>3.2767605622617137E-2</v>
      </c>
      <c r="Y923"/>
      <c r="Z923" s="13">
        <f t="shared" si="159"/>
        <v>0.17522978006937417</v>
      </c>
      <c r="AA923" s="2"/>
      <c r="AB923" s="68"/>
      <c r="AC923" s="15">
        <f t="shared" si="160"/>
        <v>2.2695093166958031</v>
      </c>
    </row>
    <row r="924" spans="1:29">
      <c r="A924" s="84">
        <f>'Q.1 &amp; 4'!K929</f>
        <v>2.4</v>
      </c>
      <c r="B924" s="141">
        <f>'Q.1 &amp; 4'!L929</f>
        <v>45.3</v>
      </c>
      <c r="C924" s="221"/>
      <c r="D924" s="23"/>
      <c r="E924" s="24"/>
      <c r="F924" s="22">
        <f t="shared" si="155"/>
        <v>-1.1074074074074116</v>
      </c>
      <c r="G924" s="22">
        <f t="shared" si="156"/>
        <v>10.593510930442633</v>
      </c>
      <c r="H924" s="22">
        <f t="shared" si="161"/>
        <v>-11.731332474823553</v>
      </c>
      <c r="I924" s="22">
        <f t="shared" si="162"/>
        <v>1.2263511659808048</v>
      </c>
      <c r="J924" s="24"/>
      <c r="K924" s="24"/>
      <c r="L924" s="235">
        <f t="shared" si="157"/>
        <v>39.712999641679758</v>
      </c>
      <c r="M924" s="126"/>
      <c r="N924" s="126"/>
      <c r="O924" s="126"/>
      <c r="P924" s="10">
        <f t="shared" si="158"/>
        <v>5.587000358320239</v>
      </c>
      <c r="Q924" s="10">
        <f t="shared" si="163"/>
        <v>31.214573003870481</v>
      </c>
      <c r="W924" s="240">
        <f t="shared" si="164"/>
        <v>5.587000358320239</v>
      </c>
      <c r="X924" s="240">
        <f t="shared" si="165"/>
        <v>0.12333334124327239</v>
      </c>
      <c r="Y924"/>
      <c r="Z924" s="13">
        <f t="shared" si="159"/>
        <v>25.065148108773304</v>
      </c>
      <c r="AA924" s="2"/>
      <c r="AB924" s="68"/>
      <c r="AC924" s="15">
        <f t="shared" si="160"/>
        <v>112.22247383340755</v>
      </c>
    </row>
    <row r="925" spans="1:29">
      <c r="A925" s="84">
        <f>'Q.1 &amp; 4'!K930</f>
        <v>2.4</v>
      </c>
      <c r="B925" s="141">
        <f>'Q.1 &amp; 4'!L930</f>
        <v>35.810299999999998</v>
      </c>
      <c r="C925" s="221"/>
      <c r="D925" s="23"/>
      <c r="E925" s="24"/>
      <c r="F925" s="22">
        <f t="shared" si="155"/>
        <v>-1.1074074074074116</v>
      </c>
      <c r="G925" s="22">
        <f t="shared" si="156"/>
        <v>1.1038109304426342</v>
      </c>
      <c r="H925" s="22">
        <f t="shared" si="161"/>
        <v>-1.2223684007494404</v>
      </c>
      <c r="I925" s="22">
        <f t="shared" si="162"/>
        <v>1.2263511659808048</v>
      </c>
      <c r="J925" s="24"/>
      <c r="K925" s="24"/>
      <c r="L925" s="235">
        <f t="shared" si="157"/>
        <v>39.712999641679758</v>
      </c>
      <c r="M925" s="126"/>
      <c r="N925" s="126"/>
      <c r="O925" s="126"/>
      <c r="P925" s="10">
        <f t="shared" si="158"/>
        <v>-3.9026996416797601</v>
      </c>
      <c r="Q925" s="10">
        <f t="shared" si="163"/>
        <v>15.231064493167327</v>
      </c>
      <c r="W925" s="240">
        <f t="shared" si="164"/>
        <v>3.9026996416797601</v>
      </c>
      <c r="X925" s="240">
        <f t="shared" si="165"/>
        <v>0.10898260114212281</v>
      </c>
      <c r="Y925"/>
      <c r="Z925" s="13">
        <f t="shared" si="159"/>
        <v>25.065148108773304</v>
      </c>
      <c r="AA925" s="2"/>
      <c r="AB925" s="68"/>
      <c r="AC925" s="15">
        <f t="shared" si="160"/>
        <v>1.2183985701646338</v>
      </c>
    </row>
    <row r="926" spans="1:29">
      <c r="A926" s="84">
        <f>'Q.1 &amp; 4'!K931</f>
        <v>2.4</v>
      </c>
      <c r="B926" s="141">
        <f>'Q.1 &amp; 4'!L931</f>
        <v>34.283099999999997</v>
      </c>
      <c r="C926" s="221"/>
      <c r="D926" s="23"/>
      <c r="E926" s="24"/>
      <c r="F926" s="22">
        <f t="shared" si="155"/>
        <v>-1.1074074074074116</v>
      </c>
      <c r="G926" s="22">
        <f t="shared" si="156"/>
        <v>-0.42338906955736633</v>
      </c>
      <c r="H926" s="22">
        <f t="shared" si="161"/>
        <v>0.46886419184315931</v>
      </c>
      <c r="I926" s="22">
        <f t="shared" si="162"/>
        <v>1.2263511659808048</v>
      </c>
      <c r="J926" s="24"/>
      <c r="K926" s="24"/>
      <c r="L926" s="235">
        <f t="shared" si="157"/>
        <v>39.712999641679758</v>
      </c>
      <c r="M926" s="126"/>
      <c r="N926" s="126"/>
      <c r="O926" s="126"/>
      <c r="P926" s="10">
        <f t="shared" si="158"/>
        <v>-5.4298996416797607</v>
      </c>
      <c r="Q926" s="10">
        <f t="shared" si="163"/>
        <v>29.483810118713993</v>
      </c>
      <c r="W926" s="240">
        <f t="shared" si="164"/>
        <v>5.4298996416797607</v>
      </c>
      <c r="X926" s="240">
        <f t="shared" si="165"/>
        <v>0.15838414967373898</v>
      </c>
      <c r="Y926"/>
      <c r="Z926" s="13">
        <f t="shared" si="159"/>
        <v>25.065148108773304</v>
      </c>
      <c r="AA926" s="2"/>
      <c r="AB926" s="68"/>
      <c r="AC926" s="15">
        <f t="shared" si="160"/>
        <v>0.17925830422065239</v>
      </c>
    </row>
    <row r="927" spans="1:29">
      <c r="A927" s="84">
        <f>'Q.1 &amp; 4'!K932</f>
        <v>3.2</v>
      </c>
      <c r="B927" s="141">
        <f>'Q.1 &amp; 4'!L932</f>
        <v>33.762799999999999</v>
      </c>
      <c r="C927" s="221"/>
      <c r="D927" s="23"/>
      <c r="E927" s="24"/>
      <c r="F927" s="22">
        <f t="shared" si="155"/>
        <v>-0.30740740740741135</v>
      </c>
      <c r="G927" s="22">
        <f t="shared" si="156"/>
        <v>-0.9436890695573652</v>
      </c>
      <c r="H927" s="22">
        <f t="shared" si="161"/>
        <v>0.29009701027134194</v>
      </c>
      <c r="I927" s="22">
        <f t="shared" si="162"/>
        <v>9.4499314128946188E-2</v>
      </c>
      <c r="J927" s="24"/>
      <c r="K927" s="24"/>
      <c r="L927" s="235">
        <f t="shared" si="157"/>
        <v>36.096256218340514</v>
      </c>
      <c r="M927" s="126"/>
      <c r="N927" s="126"/>
      <c r="O927" s="126"/>
      <c r="P927" s="10">
        <f t="shared" si="158"/>
        <v>-2.3334562183405154</v>
      </c>
      <c r="Q927" s="10">
        <f t="shared" si="163"/>
        <v>5.4450179229120188</v>
      </c>
      <c r="W927" s="240">
        <f t="shared" si="164"/>
        <v>2.3334562183405154</v>
      </c>
      <c r="X927" s="240">
        <f t="shared" si="165"/>
        <v>6.9113231673336203E-2</v>
      </c>
      <c r="Y927"/>
      <c r="Z927" s="13">
        <f t="shared" si="159"/>
        <v>1.9314527278368467</v>
      </c>
      <c r="AA927" s="2"/>
      <c r="AB927" s="68"/>
      <c r="AC927" s="15">
        <f t="shared" si="160"/>
        <v>0.8905490600020457</v>
      </c>
    </row>
    <row r="928" spans="1:29">
      <c r="A928" s="84">
        <f>'Q.1 &amp; 4'!K933</f>
        <v>2.7</v>
      </c>
      <c r="B928" s="141">
        <f>'Q.1 &amp; 4'!L933</f>
        <v>31.7</v>
      </c>
      <c r="C928" s="221"/>
      <c r="D928" s="23"/>
      <c r="E928" s="24"/>
      <c r="F928" s="22">
        <f t="shared" si="155"/>
        <v>-0.80740740740741135</v>
      </c>
      <c r="G928" s="22">
        <f t="shared" si="156"/>
        <v>-3.0064890695573645</v>
      </c>
      <c r="H928" s="22">
        <f t="shared" si="161"/>
        <v>2.4274615450500319</v>
      </c>
      <c r="I928" s="22">
        <f t="shared" si="162"/>
        <v>0.65190672153635754</v>
      </c>
      <c r="J928" s="24"/>
      <c r="K928" s="24"/>
      <c r="L928" s="235">
        <f t="shared" si="157"/>
        <v>38.356720857927542</v>
      </c>
      <c r="M928" s="126"/>
      <c r="N928" s="126"/>
      <c r="O928" s="126"/>
      <c r="P928" s="10">
        <f t="shared" si="158"/>
        <v>-6.6567208579275423</v>
      </c>
      <c r="Q928" s="10">
        <f t="shared" si="163"/>
        <v>44.311932580367596</v>
      </c>
      <c r="W928" s="240">
        <f t="shared" si="164"/>
        <v>6.6567208579275423</v>
      </c>
      <c r="X928" s="240">
        <f t="shared" si="165"/>
        <v>0.20999119425638935</v>
      </c>
      <c r="Y928"/>
      <c r="Z928" s="13">
        <f t="shared" si="159"/>
        <v>13.324192108828147</v>
      </c>
      <c r="AA928" s="2"/>
      <c r="AB928" s="68"/>
      <c r="AC928" s="15">
        <f t="shared" si="160"/>
        <v>9.0389765253679073</v>
      </c>
    </row>
    <row r="929" spans="1:29">
      <c r="A929" s="84">
        <f>'Q.1 &amp; 4'!K934</f>
        <v>4</v>
      </c>
      <c r="B929" s="141">
        <f>'Q.1 &amp; 4'!L934</f>
        <v>31.4</v>
      </c>
      <c r="C929" s="221"/>
      <c r="D929" s="23"/>
      <c r="E929" s="24"/>
      <c r="F929" s="22">
        <f t="shared" si="155"/>
        <v>0.49259259259258847</v>
      </c>
      <c r="G929" s="22">
        <f t="shared" si="156"/>
        <v>-3.3064890695573652</v>
      </c>
      <c r="H929" s="22">
        <f t="shared" si="161"/>
        <v>-1.628752023152318</v>
      </c>
      <c r="I929" s="22">
        <f t="shared" si="162"/>
        <v>0.24264746227708786</v>
      </c>
      <c r="J929" s="24"/>
      <c r="K929" s="24"/>
      <c r="L929" s="235">
        <f t="shared" si="157"/>
        <v>32.479512795001277</v>
      </c>
      <c r="M929" s="126"/>
      <c r="N929" s="126"/>
      <c r="O929" s="126"/>
      <c r="P929" s="10">
        <f t="shared" si="158"/>
        <v>-1.0795127950012784</v>
      </c>
      <c r="Q929" s="10">
        <f t="shared" si="163"/>
        <v>1.165347874571472</v>
      </c>
      <c r="W929" s="240">
        <f t="shared" si="164"/>
        <v>1.0795127950012784</v>
      </c>
      <c r="X929" s="240">
        <f t="shared" si="165"/>
        <v>3.4379388375836893E-2</v>
      </c>
      <c r="Y929"/>
      <c r="Z929" s="13">
        <f t="shared" si="159"/>
        <v>4.9594233274357071</v>
      </c>
      <c r="AA929" s="2"/>
      <c r="AB929" s="68"/>
      <c r="AC929" s="15">
        <f t="shared" si="160"/>
        <v>10.932869967102331</v>
      </c>
    </row>
    <row r="930" spans="1:29">
      <c r="A930" s="84">
        <f>'Q.1 &amp; 4'!K935</f>
        <v>4</v>
      </c>
      <c r="B930" s="141">
        <f>'Q.1 &amp; 4'!L935</f>
        <v>30.2</v>
      </c>
      <c r="C930" s="221"/>
      <c r="D930" s="23"/>
      <c r="E930" s="24"/>
      <c r="F930" s="22">
        <f t="shared" si="155"/>
        <v>0.49259259259258847</v>
      </c>
      <c r="G930" s="22">
        <f t="shared" si="156"/>
        <v>-4.5064890695573645</v>
      </c>
      <c r="H930" s="22">
        <f t="shared" si="161"/>
        <v>-2.2198631342634241</v>
      </c>
      <c r="I930" s="22">
        <f t="shared" si="162"/>
        <v>0.24264746227708786</v>
      </c>
      <c r="J930" s="24"/>
      <c r="K930" s="24"/>
      <c r="L930" s="235">
        <f t="shared" si="157"/>
        <v>32.479512795001277</v>
      </c>
      <c r="M930" s="126"/>
      <c r="N930" s="126"/>
      <c r="O930" s="126"/>
      <c r="P930" s="10">
        <f t="shared" si="158"/>
        <v>-2.2795127950012777</v>
      </c>
      <c r="Q930" s="10">
        <f t="shared" si="163"/>
        <v>5.1961785825745368</v>
      </c>
      <c r="W930" s="240">
        <f t="shared" si="164"/>
        <v>2.2795127950012777</v>
      </c>
      <c r="X930" s="240">
        <f t="shared" si="165"/>
        <v>7.5480556125870124E-2</v>
      </c>
      <c r="Y930"/>
      <c r="Z930" s="13">
        <f t="shared" si="159"/>
        <v>4.9594233274357071</v>
      </c>
      <c r="AA930" s="2"/>
      <c r="AB930" s="68"/>
      <c r="AC930" s="15">
        <f t="shared" si="160"/>
        <v>20.308443734040001</v>
      </c>
    </row>
    <row r="931" spans="1:29">
      <c r="A931" s="84">
        <f>'Q.1 &amp; 4'!K936</f>
        <v>2.7</v>
      </c>
      <c r="B931" s="141">
        <f>'Q.1 &amp; 4'!L936</f>
        <v>37.799999999999997</v>
      </c>
      <c r="C931" s="221"/>
      <c r="D931" s="23"/>
      <c r="E931" s="24"/>
      <c r="F931" s="22">
        <f t="shared" si="155"/>
        <v>-0.80740740740741135</v>
      </c>
      <c r="G931" s="22">
        <f t="shared" si="156"/>
        <v>3.0935109304426334</v>
      </c>
      <c r="H931" s="22">
        <f t="shared" si="161"/>
        <v>-2.4977236401351752</v>
      </c>
      <c r="I931" s="22">
        <f t="shared" si="162"/>
        <v>0.65190672153635754</v>
      </c>
      <c r="J931" s="24"/>
      <c r="K931" s="24"/>
      <c r="L931" s="235">
        <f t="shared" si="157"/>
        <v>38.356720857927542</v>
      </c>
      <c r="M931" s="126"/>
      <c r="N931" s="126"/>
      <c r="O931" s="126"/>
      <c r="P931" s="10">
        <f t="shared" si="158"/>
        <v>-0.55672085792754444</v>
      </c>
      <c r="Q931" s="10">
        <f t="shared" si="163"/>
        <v>0.30993811365158114</v>
      </c>
      <c r="W931" s="240">
        <f t="shared" si="164"/>
        <v>0.55672085792754444</v>
      </c>
      <c r="X931" s="240">
        <f t="shared" si="165"/>
        <v>1.4728065024538214E-2</v>
      </c>
      <c r="Y931"/>
      <c r="Z931" s="13">
        <f t="shared" si="159"/>
        <v>13.324192108828147</v>
      </c>
      <c r="AA931" s="2"/>
      <c r="AB931" s="68"/>
      <c r="AC931" s="15">
        <f t="shared" si="160"/>
        <v>9.5698098767680477</v>
      </c>
    </row>
    <row r="932" spans="1:29">
      <c r="A932" s="84">
        <f>'Q.1 &amp; 4'!K937</f>
        <v>3.5</v>
      </c>
      <c r="B932" s="141">
        <f>'Q.1 &amp; 4'!L937</f>
        <v>33.1</v>
      </c>
      <c r="C932" s="221"/>
      <c r="D932" s="23"/>
      <c r="E932" s="24"/>
      <c r="F932" s="22">
        <f t="shared" si="155"/>
        <v>-7.4074074074115259E-3</v>
      </c>
      <c r="G932" s="22">
        <f t="shared" si="156"/>
        <v>-1.6064890695573624</v>
      </c>
      <c r="H932" s="22">
        <f t="shared" si="161"/>
        <v>1.1899919033764856E-2</v>
      </c>
      <c r="I932" s="22">
        <f t="shared" si="162"/>
        <v>5.4869684499375142E-5</v>
      </c>
      <c r="J932" s="24"/>
      <c r="K932" s="24"/>
      <c r="L932" s="235">
        <f t="shared" si="157"/>
        <v>34.739977434588305</v>
      </c>
      <c r="M932" s="126"/>
      <c r="N932" s="126"/>
      <c r="O932" s="126"/>
      <c r="P932" s="10">
        <f t="shared" si="158"/>
        <v>-1.6399774345883031</v>
      </c>
      <c r="Q932" s="10">
        <f t="shared" si="163"/>
        <v>2.6895259859588321</v>
      </c>
      <c r="W932" s="240">
        <f t="shared" si="164"/>
        <v>1.6399774345883031</v>
      </c>
      <c r="X932" s="240">
        <f t="shared" si="165"/>
        <v>4.954614606006958E-2</v>
      </c>
      <c r="Y932"/>
      <c r="Z932" s="13">
        <f t="shared" si="159"/>
        <v>1.1214705924455365E-3</v>
      </c>
      <c r="AA932" s="2"/>
      <c r="AB932" s="68"/>
      <c r="AC932" s="15">
        <f t="shared" si="160"/>
        <v>2.5808071306072797</v>
      </c>
    </row>
    <row r="933" spans="1:29">
      <c r="A933" s="84">
        <f>'Q.1 &amp; 4'!K938</f>
        <v>2.5</v>
      </c>
      <c r="B933" s="141">
        <f>'Q.1 &amp; 4'!L938</f>
        <v>39.700000000000003</v>
      </c>
      <c r="C933" s="221"/>
      <c r="D933" s="23"/>
      <c r="E933" s="24"/>
      <c r="F933" s="22">
        <f t="shared" si="155"/>
        <v>-1.0074074074074115</v>
      </c>
      <c r="G933" s="22">
        <f t="shared" si="156"/>
        <v>4.9935109304426391</v>
      </c>
      <c r="H933" s="22">
        <f t="shared" si="161"/>
        <v>-5.0304999002977899</v>
      </c>
      <c r="I933" s="22">
        <f t="shared" si="162"/>
        <v>1.0148696844993224</v>
      </c>
      <c r="J933" s="24"/>
      <c r="K933" s="24"/>
      <c r="L933" s="235">
        <f t="shared" si="157"/>
        <v>39.260906713762353</v>
      </c>
      <c r="M933" s="126"/>
      <c r="N933" s="126"/>
      <c r="O933" s="126"/>
      <c r="P933" s="10">
        <f t="shared" si="158"/>
        <v>0.4390932862376502</v>
      </c>
      <c r="Q933" s="10">
        <f t="shared" si="163"/>
        <v>0.192802914018979</v>
      </c>
      <c r="W933" s="240">
        <f t="shared" si="164"/>
        <v>0.4390932862376502</v>
      </c>
      <c r="X933" s="240">
        <f t="shared" si="165"/>
        <v>1.106028428810202E-2</v>
      </c>
      <c r="Y933"/>
      <c r="Z933" s="13">
        <f t="shared" si="159"/>
        <v>20.742720077845721</v>
      </c>
      <c r="AA933" s="2"/>
      <c r="AB933" s="68"/>
      <c r="AC933" s="15">
        <f t="shared" si="160"/>
        <v>24.935151412450111</v>
      </c>
    </row>
    <row r="934" spans="1:29">
      <c r="A934" s="84">
        <f>'Q.1 &amp; 4'!K939</f>
        <v>3.5</v>
      </c>
      <c r="B934" s="141">
        <f>'Q.1 &amp; 4'!L939</f>
        <v>37.349899999999998</v>
      </c>
      <c r="C934" s="221"/>
      <c r="D934" s="23"/>
      <c r="E934" s="24"/>
      <c r="F934" s="22">
        <f t="shared" si="155"/>
        <v>-7.4074074074115259E-3</v>
      </c>
      <c r="G934" s="22">
        <f t="shared" si="156"/>
        <v>2.6434109304426343</v>
      </c>
      <c r="H934" s="22">
        <f t="shared" si="161"/>
        <v>-1.9580821706993365E-2</v>
      </c>
      <c r="I934" s="22">
        <f t="shared" si="162"/>
        <v>5.4869684499375142E-5</v>
      </c>
      <c r="J934" s="24"/>
      <c r="K934" s="24"/>
      <c r="L934" s="235">
        <f t="shared" si="157"/>
        <v>34.739977434588305</v>
      </c>
      <c r="M934" s="126"/>
      <c r="N934" s="126"/>
      <c r="O934" s="126"/>
      <c r="P934" s="10">
        <f t="shared" si="158"/>
        <v>2.6099225654116935</v>
      </c>
      <c r="Q934" s="10">
        <f t="shared" si="163"/>
        <v>6.8116957974451555</v>
      </c>
      <c r="W934" s="240">
        <f t="shared" si="164"/>
        <v>2.6099225654116935</v>
      </c>
      <c r="X934" s="240">
        <f t="shared" si="165"/>
        <v>6.9877631945780144E-2</v>
      </c>
      <c r="Y934"/>
      <c r="Z934" s="13">
        <f t="shared" si="159"/>
        <v>1.1214705924455365E-3</v>
      </c>
      <c r="AA934" s="2"/>
      <c r="AB934" s="68"/>
      <c r="AC934" s="15">
        <f t="shared" si="160"/>
        <v>6.9876213471835937</v>
      </c>
    </row>
    <row r="935" spans="1:29">
      <c r="A935" s="84">
        <f>'Q.1 &amp; 4'!K940</f>
        <v>4.5999999999999996</v>
      </c>
      <c r="B935" s="141">
        <f>'Q.1 &amp; 4'!L940</f>
        <v>26.548400000000001</v>
      </c>
      <c r="C935" s="221"/>
      <c r="D935" s="23"/>
      <c r="E935" s="24"/>
      <c r="F935" s="22">
        <f t="shared" si="155"/>
        <v>1.0925925925925881</v>
      </c>
      <c r="G935" s="22">
        <f t="shared" si="156"/>
        <v>-8.1580890695573629</v>
      </c>
      <c r="H935" s="22">
        <f t="shared" si="161"/>
        <v>-8.913467687108934</v>
      </c>
      <c r="I935" s="22">
        <f t="shared" si="162"/>
        <v>1.1937585733881932</v>
      </c>
      <c r="J935" s="24"/>
      <c r="K935" s="24"/>
      <c r="L935" s="235">
        <f t="shared" si="157"/>
        <v>29.766955227496847</v>
      </c>
      <c r="M935" s="126"/>
      <c r="N935" s="126"/>
      <c r="O935" s="126"/>
      <c r="P935" s="10">
        <f t="shared" si="158"/>
        <v>-3.2185552274968465</v>
      </c>
      <c r="Q935" s="10">
        <f t="shared" si="163"/>
        <v>10.359097752447278</v>
      </c>
      <c r="W935" s="240">
        <f t="shared" si="164"/>
        <v>3.2185552274968465</v>
      </c>
      <c r="X935" s="240">
        <f t="shared" si="165"/>
        <v>0.12123349156622797</v>
      </c>
      <c r="Y935"/>
      <c r="Z935" s="13">
        <f t="shared" si="159"/>
        <v>24.398994576861128</v>
      </c>
      <c r="AA935" s="2"/>
      <c r="AB935" s="68"/>
      <c r="AC935" s="15">
        <f t="shared" si="160"/>
        <v>66.554417266831322</v>
      </c>
    </row>
    <row r="936" spans="1:29">
      <c r="A936" s="84">
        <f>'Q.1 &amp; 4'!K941</f>
        <v>5.7</v>
      </c>
      <c r="B936" s="141">
        <f>'Q.1 &amp; 4'!L941</f>
        <v>25.617899999999999</v>
      </c>
      <c r="C936" s="221"/>
      <c r="D936" s="23"/>
      <c r="E936" s="24"/>
      <c r="F936" s="22">
        <f t="shared" si="155"/>
        <v>2.1925925925925887</v>
      </c>
      <c r="G936" s="22">
        <f t="shared" si="156"/>
        <v>-9.088589069557365</v>
      </c>
      <c r="H936" s="22">
        <f t="shared" si="161"/>
        <v>-19.927573071029446</v>
      </c>
      <c r="I936" s="22">
        <f t="shared" si="162"/>
        <v>4.8074622770918891</v>
      </c>
      <c r="J936" s="24"/>
      <c r="K936" s="24"/>
      <c r="L936" s="235">
        <f t="shared" si="157"/>
        <v>24.793933020405387</v>
      </c>
      <c r="M936" s="126"/>
      <c r="N936" s="126"/>
      <c r="O936" s="126"/>
      <c r="P936" s="10">
        <f t="shared" si="158"/>
        <v>0.82396697959461207</v>
      </c>
      <c r="Q936" s="10">
        <f t="shared" si="163"/>
        <v>0.67892158346226783</v>
      </c>
      <c r="W936" s="240">
        <f t="shared" si="164"/>
        <v>0.82396697959461207</v>
      </c>
      <c r="X936" s="240">
        <f t="shared" si="165"/>
        <v>3.2163720663856601E-2</v>
      </c>
      <c r="Y936"/>
      <c r="Z936" s="13">
        <f t="shared" si="159"/>
        <v>98.258767427579457</v>
      </c>
      <c r="AA936" s="2"/>
      <c r="AB936" s="68"/>
      <c r="AC936" s="15">
        <f t="shared" si="160"/>
        <v>82.602451275277616</v>
      </c>
    </row>
    <row r="937" spans="1:29">
      <c r="A937" s="84">
        <f>'Q.1 &amp; 4'!K942</f>
        <v>2.7</v>
      </c>
      <c r="B937" s="141">
        <f>'Q.1 &amp; 4'!L942</f>
        <v>40.6</v>
      </c>
      <c r="C937" s="221"/>
      <c r="D937" s="23"/>
      <c r="E937" s="24"/>
      <c r="F937" s="22">
        <f t="shared" si="155"/>
        <v>-0.80740740740741135</v>
      </c>
      <c r="G937" s="22">
        <f t="shared" si="156"/>
        <v>5.8935109304426376</v>
      </c>
      <c r="H937" s="22">
        <f t="shared" si="161"/>
        <v>-4.7584643808759308</v>
      </c>
      <c r="I937" s="22">
        <f t="shared" si="162"/>
        <v>0.65190672153635754</v>
      </c>
      <c r="J937" s="24"/>
      <c r="K937" s="24"/>
      <c r="L937" s="235">
        <f t="shared" si="157"/>
        <v>38.356720857927542</v>
      </c>
      <c r="M937" s="126"/>
      <c r="N937" s="126"/>
      <c r="O937" s="126"/>
      <c r="P937" s="10">
        <f t="shared" si="158"/>
        <v>2.2432791420724598</v>
      </c>
      <c r="Q937" s="10">
        <f t="shared" si="163"/>
        <v>5.0323013092573516</v>
      </c>
      <c r="W937" s="240">
        <f t="shared" si="164"/>
        <v>2.2432791420724598</v>
      </c>
      <c r="X937" s="240">
        <f t="shared" si="165"/>
        <v>5.5253180839223148E-2</v>
      </c>
      <c r="Y937"/>
      <c r="Z937" s="13">
        <f t="shared" si="159"/>
        <v>13.324192108828147</v>
      </c>
      <c r="AA937" s="2"/>
      <c r="AB937" s="68"/>
      <c r="AC937" s="15">
        <f t="shared" si="160"/>
        <v>34.733471087246848</v>
      </c>
    </row>
    <row r="938" spans="1:29">
      <c r="A938" s="84">
        <f>'Q.1 &amp; 4'!K943</f>
        <v>3.5</v>
      </c>
      <c r="B938" s="141">
        <f>'Q.1 &amp; 4'!L943</f>
        <v>36.6</v>
      </c>
      <c r="C938" s="221"/>
      <c r="D938" s="23"/>
      <c r="E938" s="24"/>
      <c r="F938" s="22">
        <f t="shared" si="155"/>
        <v>-7.4074074074115259E-3</v>
      </c>
      <c r="G938" s="22">
        <f t="shared" si="156"/>
        <v>1.8935109304426376</v>
      </c>
      <c r="H938" s="22">
        <f t="shared" si="161"/>
        <v>-1.4026006892175485E-2</v>
      </c>
      <c r="I938" s="22">
        <f t="shared" si="162"/>
        <v>5.4869684499375142E-5</v>
      </c>
      <c r="J938" s="24"/>
      <c r="K938" s="24"/>
      <c r="L938" s="235">
        <f t="shared" si="157"/>
        <v>34.739977434588305</v>
      </c>
      <c r="M938" s="126"/>
      <c r="N938" s="126"/>
      <c r="O938" s="126"/>
      <c r="P938" s="10">
        <f t="shared" si="158"/>
        <v>1.8600225654116969</v>
      </c>
      <c r="Q938" s="10">
        <f t="shared" si="163"/>
        <v>3.4596839438407101</v>
      </c>
      <c r="W938" s="240">
        <f t="shared" si="164"/>
        <v>1.8600225654116969</v>
      </c>
      <c r="X938" s="240">
        <f t="shared" si="165"/>
        <v>5.0820288672450732E-2</v>
      </c>
      <c r="Y938"/>
      <c r="Z938" s="13">
        <f t="shared" si="159"/>
        <v>1.1214705924455365E-3</v>
      </c>
      <c r="AA938" s="2"/>
      <c r="AB938" s="68"/>
      <c r="AC938" s="15">
        <f t="shared" si="160"/>
        <v>3.5853836437057431</v>
      </c>
    </row>
    <row r="939" spans="1:29">
      <c r="A939" s="84">
        <f>'Q.1 &amp; 4'!K944</f>
        <v>2</v>
      </c>
      <c r="B939" s="141">
        <f>'Q.1 &amp; 4'!L944</f>
        <v>34.1</v>
      </c>
      <c r="C939" s="221"/>
      <c r="D939" s="23"/>
      <c r="E939" s="24"/>
      <c r="F939" s="22">
        <f t="shared" si="155"/>
        <v>-1.5074074074074115</v>
      </c>
      <c r="G939" s="22">
        <f t="shared" si="156"/>
        <v>-0.60648906955736237</v>
      </c>
      <c r="H939" s="22">
        <f t="shared" si="161"/>
        <v>0.91422611596239689</v>
      </c>
      <c r="I939" s="22">
        <f t="shared" si="162"/>
        <v>2.2722770919067341</v>
      </c>
      <c r="J939" s="24"/>
      <c r="K939" s="24"/>
      <c r="L939" s="235">
        <f t="shared" si="157"/>
        <v>41.52137135334938</v>
      </c>
      <c r="M939" s="126"/>
      <c r="N939" s="126"/>
      <c r="O939" s="126"/>
      <c r="P939" s="10">
        <f t="shared" si="158"/>
        <v>-7.4213713533493788</v>
      </c>
      <c r="Q939" s="10">
        <f t="shared" si="163"/>
        <v>55.07675276431479</v>
      </c>
      <c r="W939" s="240">
        <f t="shared" si="164"/>
        <v>7.4213713533493788</v>
      </c>
      <c r="X939" s="240">
        <f t="shared" si="165"/>
        <v>0.2176355235586328</v>
      </c>
      <c r="Y939"/>
      <c r="Z939" s="13">
        <f t="shared" si="159"/>
        <v>46.44262054194229</v>
      </c>
      <c r="AA939" s="2"/>
      <c r="AB939" s="68"/>
      <c r="AC939" s="15">
        <f t="shared" si="160"/>
        <v>0.36782899149255516</v>
      </c>
    </row>
    <row r="940" spans="1:29">
      <c r="A940" s="84">
        <f>'Q.1 &amp; 4'!K945</f>
        <v>2</v>
      </c>
      <c r="B940" s="141">
        <f>'Q.1 &amp; 4'!L945</f>
        <v>36.200000000000003</v>
      </c>
      <c r="C940" s="221"/>
      <c r="D940" s="23"/>
      <c r="E940" s="24"/>
      <c r="F940" s="22">
        <f t="shared" si="155"/>
        <v>-1.5074074074074115</v>
      </c>
      <c r="G940" s="22">
        <f t="shared" si="156"/>
        <v>1.4935109304426391</v>
      </c>
      <c r="H940" s="22">
        <f t="shared" si="161"/>
        <v>-2.2513294395931696</v>
      </c>
      <c r="I940" s="22">
        <f t="shared" si="162"/>
        <v>2.2722770919067341</v>
      </c>
      <c r="J940" s="24"/>
      <c r="K940" s="24"/>
      <c r="L940" s="235">
        <f t="shared" si="157"/>
        <v>41.52137135334938</v>
      </c>
      <c r="M940" s="126"/>
      <c r="N940" s="126"/>
      <c r="O940" s="126"/>
      <c r="P940" s="10">
        <f t="shared" si="158"/>
        <v>-5.3213713533493774</v>
      </c>
      <c r="Q940" s="10">
        <f t="shared" si="163"/>
        <v>28.316993080247386</v>
      </c>
      <c r="W940" s="240">
        <f t="shared" si="164"/>
        <v>5.3213713533493774</v>
      </c>
      <c r="X940" s="240">
        <f t="shared" si="165"/>
        <v>0.14699920865606014</v>
      </c>
      <c r="Y940"/>
      <c r="Z940" s="13">
        <f t="shared" si="159"/>
        <v>46.44262054194229</v>
      </c>
      <c r="AA940" s="2"/>
      <c r="AB940" s="68"/>
      <c r="AC940" s="15">
        <f t="shared" si="160"/>
        <v>2.2305748993516374</v>
      </c>
    </row>
    <row r="941" spans="1:29">
      <c r="A941" s="84">
        <f>'Q.1 &amp; 4'!K946</f>
        <v>3.2</v>
      </c>
      <c r="B941" s="141">
        <f>'Q.1 &amp; 4'!L946</f>
        <v>36.4</v>
      </c>
      <c r="C941" s="221"/>
      <c r="D941" s="23"/>
      <c r="E941" s="24"/>
      <c r="F941" s="22">
        <f t="shared" si="155"/>
        <v>-0.30740740740741135</v>
      </c>
      <c r="G941" s="22">
        <f t="shared" si="156"/>
        <v>1.6935109304426348</v>
      </c>
      <c r="H941" s="22">
        <f t="shared" si="161"/>
        <v>-0.52059780454348326</v>
      </c>
      <c r="I941" s="22">
        <f t="shared" si="162"/>
        <v>9.4499314128946188E-2</v>
      </c>
      <c r="J941" s="24"/>
      <c r="K941" s="24"/>
      <c r="L941" s="235">
        <f t="shared" si="157"/>
        <v>36.096256218340514</v>
      </c>
      <c r="M941" s="126"/>
      <c r="N941" s="126"/>
      <c r="O941" s="126"/>
      <c r="P941" s="10">
        <f t="shared" si="158"/>
        <v>0.30374378165948457</v>
      </c>
      <c r="Q941" s="10">
        <f t="shared" si="163"/>
        <v>9.2260284896804629E-2</v>
      </c>
      <c r="W941" s="240">
        <f t="shared" si="164"/>
        <v>0.30374378165948457</v>
      </c>
      <c r="X941" s="240">
        <f t="shared" si="165"/>
        <v>8.3446093862495768E-3</v>
      </c>
      <c r="Y941"/>
      <c r="Z941" s="13">
        <f t="shared" si="159"/>
        <v>1.9314527278368467</v>
      </c>
      <c r="AA941" s="2"/>
      <c r="AB941" s="68"/>
      <c r="AC941" s="15">
        <f t="shared" si="160"/>
        <v>2.8679792715286787</v>
      </c>
    </row>
    <row r="942" spans="1:29">
      <c r="A942" s="84">
        <f>'Q.1 &amp; 4'!K947</f>
        <v>3.2</v>
      </c>
      <c r="B942" s="141">
        <f>'Q.1 &amp; 4'!L947</f>
        <v>29.7</v>
      </c>
      <c r="C942" s="221"/>
      <c r="D942" s="23"/>
      <c r="E942" s="24"/>
      <c r="F942" s="22">
        <f t="shared" si="155"/>
        <v>-0.30740740740741135</v>
      </c>
      <c r="G942" s="22">
        <f t="shared" si="156"/>
        <v>-5.0064890695573645</v>
      </c>
      <c r="H942" s="22">
        <f t="shared" si="161"/>
        <v>1.5390318250861725</v>
      </c>
      <c r="I942" s="22">
        <f t="shared" si="162"/>
        <v>9.4499314128946188E-2</v>
      </c>
      <c r="J942" s="24"/>
      <c r="K942" s="24"/>
      <c r="L942" s="235">
        <f t="shared" si="157"/>
        <v>36.096256218340514</v>
      </c>
      <c r="M942" s="126"/>
      <c r="N942" s="126"/>
      <c r="O942" s="126"/>
      <c r="P942" s="10">
        <f t="shared" si="158"/>
        <v>-6.3962562183405147</v>
      </c>
      <c r="Q942" s="10">
        <f t="shared" si="163"/>
        <v>40.912093610659703</v>
      </c>
      <c r="W942" s="240">
        <f t="shared" si="164"/>
        <v>6.3962562183405147</v>
      </c>
      <c r="X942" s="240">
        <f t="shared" si="165"/>
        <v>0.21536216223368737</v>
      </c>
      <c r="Y942"/>
      <c r="Z942" s="13">
        <f t="shared" si="159"/>
        <v>1.9314527278368467</v>
      </c>
      <c r="AA942" s="2"/>
      <c r="AB942" s="68"/>
      <c r="AC942" s="15">
        <f t="shared" si="160"/>
        <v>25.064932803597365</v>
      </c>
    </row>
    <row r="943" spans="1:29">
      <c r="A943" s="84">
        <f>'Q.1 &amp; 4'!K948</f>
        <v>3.5</v>
      </c>
      <c r="B943" s="141">
        <f>'Q.1 &amp; 4'!L948</f>
        <v>28.7</v>
      </c>
      <c r="C943" s="221"/>
      <c r="D943" s="23"/>
      <c r="E943" s="24"/>
      <c r="F943" s="22">
        <f t="shared" si="155"/>
        <v>-7.4074074074115259E-3</v>
      </c>
      <c r="G943" s="22">
        <f t="shared" si="156"/>
        <v>-6.0064890695573645</v>
      </c>
      <c r="H943" s="22">
        <f t="shared" si="161"/>
        <v>4.4492511626375589E-2</v>
      </c>
      <c r="I943" s="22">
        <f t="shared" si="162"/>
        <v>5.4869684499375142E-5</v>
      </c>
      <c r="J943" s="24"/>
      <c r="K943" s="24"/>
      <c r="L943" s="235">
        <f t="shared" si="157"/>
        <v>34.739977434588305</v>
      </c>
      <c r="M943" s="126"/>
      <c r="N943" s="126"/>
      <c r="O943" s="126"/>
      <c r="P943" s="10">
        <f t="shared" si="158"/>
        <v>-6.0399774345883053</v>
      </c>
      <c r="Q943" s="10">
        <f t="shared" si="163"/>
        <v>36.481327410335922</v>
      </c>
      <c r="W943" s="240">
        <f t="shared" si="164"/>
        <v>6.0399774345883053</v>
      </c>
      <c r="X943" s="240">
        <f t="shared" si="165"/>
        <v>0.21045217542119532</v>
      </c>
      <c r="Y943"/>
      <c r="Z943" s="13">
        <f t="shared" si="159"/>
        <v>1.1214705924455365E-3</v>
      </c>
      <c r="AA943" s="2"/>
      <c r="AB943" s="68"/>
      <c r="AC943" s="15">
        <f t="shared" si="160"/>
        <v>36.077910942712094</v>
      </c>
    </row>
    <row r="944" spans="1:29">
      <c r="A944" s="84">
        <f>'Q.1 &amp; 4'!K949</f>
        <v>2.2999999999999998</v>
      </c>
      <c r="B944" s="141">
        <f>'Q.1 &amp; 4'!L949</f>
        <v>31.9</v>
      </c>
      <c r="C944" s="221"/>
      <c r="D944" s="23"/>
      <c r="E944" s="24"/>
      <c r="F944" s="22">
        <f t="shared" si="155"/>
        <v>-1.2074074074074117</v>
      </c>
      <c r="G944" s="22">
        <f t="shared" si="156"/>
        <v>-2.8064890695573652</v>
      </c>
      <c r="H944" s="22">
        <f t="shared" si="161"/>
        <v>3.3885756913914973</v>
      </c>
      <c r="I944" s="22">
        <f t="shared" si="162"/>
        <v>1.4578326474622874</v>
      </c>
      <c r="J944" s="24"/>
      <c r="K944" s="24"/>
      <c r="L944" s="235">
        <f t="shared" si="157"/>
        <v>40.165092569597164</v>
      </c>
      <c r="M944" s="126"/>
      <c r="N944" s="126"/>
      <c r="O944" s="126"/>
      <c r="P944" s="10">
        <f t="shared" si="158"/>
        <v>-8.2650925695971651</v>
      </c>
      <c r="Q944" s="10">
        <f t="shared" si="163"/>
        <v>68.311755184010266</v>
      </c>
      <c r="W944" s="240">
        <f t="shared" si="164"/>
        <v>8.2650925695971651</v>
      </c>
      <c r="X944" s="240">
        <f t="shared" si="165"/>
        <v>0.25909381095915879</v>
      </c>
      <c r="Y944"/>
      <c r="Z944" s="13">
        <f t="shared" si="159"/>
        <v>29.796352170646752</v>
      </c>
      <c r="AA944" s="2"/>
      <c r="AB944" s="68"/>
      <c r="AC944" s="15">
        <f t="shared" si="160"/>
        <v>7.8763808975449656</v>
      </c>
    </row>
    <row r="945" spans="1:29">
      <c r="A945" s="84">
        <f>'Q.1 &amp; 4'!K950</f>
        <v>3.7</v>
      </c>
      <c r="B945" s="141">
        <f>'Q.1 &amp; 4'!L950</f>
        <v>31.6</v>
      </c>
      <c r="C945" s="221"/>
      <c r="D945" s="23"/>
      <c r="E945" s="24"/>
      <c r="F945" s="22">
        <f t="shared" si="155"/>
        <v>0.19259259259258865</v>
      </c>
      <c r="G945" s="22">
        <f t="shared" si="156"/>
        <v>-3.1064890695573624</v>
      </c>
      <c r="H945" s="22">
        <f t="shared" si="161"/>
        <v>-0.59828678376659084</v>
      </c>
      <c r="I945" s="22">
        <f t="shared" si="162"/>
        <v>3.7091906721534833E-2</v>
      </c>
      <c r="J945" s="24"/>
      <c r="K945" s="24"/>
      <c r="L945" s="235">
        <f t="shared" si="157"/>
        <v>33.835791578753486</v>
      </c>
      <c r="M945" s="126"/>
      <c r="N945" s="126"/>
      <c r="O945" s="126"/>
      <c r="P945" s="10">
        <f t="shared" si="158"/>
        <v>-2.235791578753485</v>
      </c>
      <c r="Q945" s="10">
        <f t="shared" si="163"/>
        <v>4.9987639836250013</v>
      </c>
      <c r="W945" s="240">
        <f t="shared" si="164"/>
        <v>2.235791578753485</v>
      </c>
      <c r="X945" s="240">
        <f t="shared" si="165"/>
        <v>7.0752898061819142E-2</v>
      </c>
      <c r="Y945"/>
      <c r="Z945" s="13">
        <f t="shared" si="159"/>
        <v>0.75811412049216809</v>
      </c>
      <c r="AA945" s="2"/>
      <c r="AB945" s="68"/>
      <c r="AC945" s="15">
        <f t="shared" si="160"/>
        <v>9.6502743392793668</v>
      </c>
    </row>
    <row r="946" spans="1:29">
      <c r="A946" s="84">
        <f>'Q.1 &amp; 4'!K951</f>
        <v>3.2</v>
      </c>
      <c r="B946" s="141">
        <f>'Q.1 &amp; 4'!L951</f>
        <v>30.7</v>
      </c>
      <c r="C946" s="221"/>
      <c r="D946" s="23"/>
      <c r="E946" s="24"/>
      <c r="F946" s="22">
        <f t="shared" si="155"/>
        <v>-0.30740740740741135</v>
      </c>
      <c r="G946" s="22">
        <f t="shared" si="156"/>
        <v>-4.0064890695573645</v>
      </c>
      <c r="H946" s="22">
        <f t="shared" si="161"/>
        <v>1.2316244176787612</v>
      </c>
      <c r="I946" s="22">
        <f t="shared" si="162"/>
        <v>9.4499314128946188E-2</v>
      </c>
      <c r="J946" s="24"/>
      <c r="K946" s="24"/>
      <c r="L946" s="235">
        <f t="shared" si="157"/>
        <v>36.096256218340514</v>
      </c>
      <c r="M946" s="126"/>
      <c r="N946" s="126"/>
      <c r="O946" s="126"/>
      <c r="P946" s="10">
        <f t="shared" si="158"/>
        <v>-5.3962562183405147</v>
      </c>
      <c r="Q946" s="10">
        <f t="shared" si="163"/>
        <v>29.119581173978673</v>
      </c>
      <c r="W946" s="240">
        <f t="shared" si="164"/>
        <v>5.3962562183405147</v>
      </c>
      <c r="X946" s="240">
        <f t="shared" si="165"/>
        <v>0.17577381818698745</v>
      </c>
      <c r="Y946"/>
      <c r="Z946" s="13">
        <f t="shared" si="159"/>
        <v>1.9314527278368467</v>
      </c>
      <c r="AA946" s="2"/>
      <c r="AB946" s="68"/>
      <c r="AC946" s="15">
        <f t="shared" si="160"/>
        <v>16.051954664482636</v>
      </c>
    </row>
    <row r="947" spans="1:29">
      <c r="A947" s="84">
        <f>'Q.1 &amp; 4'!K952</f>
        <v>3</v>
      </c>
      <c r="B947" s="141">
        <f>'Q.1 &amp; 4'!L952</f>
        <v>33.200000000000003</v>
      </c>
      <c r="C947" s="221"/>
      <c r="D947" s="23"/>
      <c r="E947" s="24"/>
      <c r="F947" s="22">
        <f t="shared" si="155"/>
        <v>-0.50740740740741153</v>
      </c>
      <c r="G947" s="22">
        <f t="shared" si="156"/>
        <v>-1.5064890695573609</v>
      </c>
      <c r="H947" s="22">
        <f t="shared" si="161"/>
        <v>0.76440371307170418</v>
      </c>
      <c r="I947" s="22">
        <f t="shared" si="162"/>
        <v>0.25746227709191088</v>
      </c>
      <c r="J947" s="24"/>
      <c r="K947" s="24"/>
      <c r="L947" s="235">
        <f t="shared" si="157"/>
        <v>37.000442074175325</v>
      </c>
      <c r="M947" s="126"/>
      <c r="N947" s="126"/>
      <c r="O947" s="126"/>
      <c r="P947" s="10">
        <f t="shared" si="158"/>
        <v>-3.8004420741753222</v>
      </c>
      <c r="Q947" s="10">
        <f t="shared" si="163"/>
        <v>14.443359959162025</v>
      </c>
      <c r="W947" s="240">
        <f t="shared" si="164"/>
        <v>3.8004420741753222</v>
      </c>
      <c r="X947" s="240">
        <f t="shared" si="165"/>
        <v>0.11447114681250969</v>
      </c>
      <c r="Y947"/>
      <c r="Z947" s="13">
        <f t="shared" si="159"/>
        <v>5.2622203873957725</v>
      </c>
      <c r="AA947" s="2"/>
      <c r="AB947" s="68"/>
      <c r="AC947" s="15">
        <f t="shared" si="160"/>
        <v>2.2695093166958031</v>
      </c>
    </row>
    <row r="948" spans="1:29">
      <c r="A948" s="84">
        <f>'Q.1 &amp; 4'!K953</f>
        <v>3.6</v>
      </c>
      <c r="B948" s="141">
        <f>'Q.1 &amp; 4'!L953</f>
        <v>26.1066</v>
      </c>
      <c r="C948" s="221"/>
      <c r="D948" s="23"/>
      <c r="E948" s="24"/>
      <c r="F948" s="22">
        <f t="shared" si="155"/>
        <v>9.2592592592588563E-2</v>
      </c>
      <c r="G948" s="22">
        <f t="shared" si="156"/>
        <v>-8.5998890695573635</v>
      </c>
      <c r="H948" s="22">
        <f t="shared" si="161"/>
        <v>-0.79628602495898049</v>
      </c>
      <c r="I948" s="22">
        <f t="shared" si="162"/>
        <v>8.573388203017087E-3</v>
      </c>
      <c r="J948" s="24"/>
      <c r="K948" s="24"/>
      <c r="L948" s="235">
        <f t="shared" si="157"/>
        <v>34.287884506670892</v>
      </c>
      <c r="M948" s="126"/>
      <c r="N948" s="126"/>
      <c r="O948" s="126"/>
      <c r="P948" s="10">
        <f t="shared" si="158"/>
        <v>-8.1812845066708917</v>
      </c>
      <c r="Q948" s="10">
        <f t="shared" si="163"/>
        <v>66.933416179093172</v>
      </c>
      <c r="W948" s="240">
        <f t="shared" si="164"/>
        <v>8.1812845066708917</v>
      </c>
      <c r="X948" s="240">
        <f t="shared" si="165"/>
        <v>0.31337993100100708</v>
      </c>
      <c r="Y948"/>
      <c r="Z948" s="13">
        <f t="shared" si="159"/>
        <v>0.17522978006937417</v>
      </c>
      <c r="AA948" s="2"/>
      <c r="AB948" s="68"/>
      <c r="AC948" s="15">
        <f t="shared" si="160"/>
        <v>73.958092008692219</v>
      </c>
    </row>
    <row r="949" spans="1:29">
      <c r="A949" s="84">
        <f>'Q.1 &amp; 4'!K954</f>
        <v>4.2</v>
      </c>
      <c r="B949" s="141">
        <f>'Q.1 &amp; 4'!L954</f>
        <v>24.6</v>
      </c>
      <c r="C949" s="221"/>
      <c r="D949" s="23"/>
      <c r="E949" s="24"/>
      <c r="F949" s="22">
        <f t="shared" si="155"/>
        <v>0.69259259259258865</v>
      </c>
      <c r="G949" s="22">
        <f t="shared" si="156"/>
        <v>-10.106489069557362</v>
      </c>
      <c r="H949" s="22">
        <f t="shared" si="161"/>
        <v>-6.9996794666933928</v>
      </c>
      <c r="I949" s="22">
        <f t="shared" si="162"/>
        <v>0.47968449931412349</v>
      </c>
      <c r="J949" s="24"/>
      <c r="K949" s="24"/>
      <c r="L949" s="235">
        <f t="shared" si="157"/>
        <v>31.575326939166466</v>
      </c>
      <c r="M949" s="126"/>
      <c r="N949" s="126"/>
      <c r="O949" s="126"/>
      <c r="P949" s="10">
        <f t="shared" si="158"/>
        <v>-6.9753269391664645</v>
      </c>
      <c r="Q949" s="10">
        <f t="shared" si="163"/>
        <v>48.655185908261402</v>
      </c>
      <c r="W949" s="240">
        <f t="shared" si="164"/>
        <v>6.9753269391664645</v>
      </c>
      <c r="X949" s="240">
        <f t="shared" si="165"/>
        <v>0.28354987557587252</v>
      </c>
      <c r="Y949"/>
      <c r="Z949" s="13">
        <f t="shared" si="159"/>
        <v>9.8041762867940658</v>
      </c>
      <c r="AA949" s="2"/>
      <c r="AB949" s="68"/>
      <c r="AC949" s="15">
        <f t="shared" si="160"/>
        <v>102.14112131308244</v>
      </c>
    </row>
    <row r="950" spans="1:29">
      <c r="A950" s="84">
        <f>'Q.1 &amp; 4'!K955</f>
        <v>4.4000000000000004</v>
      </c>
      <c r="B950" s="141">
        <f>'Q.1 &amp; 4'!L955</f>
        <v>26.6</v>
      </c>
      <c r="C950" s="221"/>
      <c r="D950" s="23"/>
      <c r="E950" s="24"/>
      <c r="F950" s="22">
        <f t="shared" si="155"/>
        <v>0.89259259259258883</v>
      </c>
      <c r="G950" s="22">
        <f t="shared" si="156"/>
        <v>-8.1064890695573624</v>
      </c>
      <c r="H950" s="22">
        <f t="shared" si="161"/>
        <v>-7.235792095419689</v>
      </c>
      <c r="I950" s="22">
        <f t="shared" si="162"/>
        <v>0.79672153635115928</v>
      </c>
      <c r="J950" s="24"/>
      <c r="K950" s="24"/>
      <c r="L950" s="235">
        <f t="shared" si="157"/>
        <v>30.671141083331655</v>
      </c>
      <c r="M950" s="126"/>
      <c r="N950" s="126"/>
      <c r="O950" s="126"/>
      <c r="P950" s="10">
        <f t="shared" si="158"/>
        <v>-4.0711410833316535</v>
      </c>
      <c r="Q950" s="10">
        <f t="shared" si="163"/>
        <v>16.57418972039083</v>
      </c>
      <c r="W950" s="240">
        <f t="shared" si="164"/>
        <v>4.0711410833316535</v>
      </c>
      <c r="X950" s="240">
        <f t="shared" si="165"/>
        <v>0.15305041666660352</v>
      </c>
      <c r="Y950"/>
      <c r="Z950" s="13">
        <f t="shared" si="159"/>
        <v>16.284033369935884</v>
      </c>
      <c r="AA950" s="2"/>
      <c r="AB950" s="68"/>
      <c r="AC950" s="15">
        <f t="shared" si="160"/>
        <v>65.715165034852987</v>
      </c>
    </row>
    <row r="951" spans="1:29">
      <c r="A951" s="84">
        <f>'Q.1 &amp; 4'!K956</f>
        <v>3</v>
      </c>
      <c r="B951" s="141">
        <f>'Q.1 &amp; 4'!L956</f>
        <v>33</v>
      </c>
      <c r="C951" s="221"/>
      <c r="D951" s="23"/>
      <c r="E951" s="24"/>
      <c r="F951" s="22">
        <f t="shared" si="155"/>
        <v>-0.50740740740741153</v>
      </c>
      <c r="G951" s="22">
        <f t="shared" si="156"/>
        <v>-1.7064890695573638</v>
      </c>
      <c r="H951" s="22">
        <f t="shared" si="161"/>
        <v>0.86588519455318791</v>
      </c>
      <c r="I951" s="22">
        <f t="shared" si="162"/>
        <v>0.25746227709191088</v>
      </c>
      <c r="J951" s="24"/>
      <c r="K951" s="24"/>
      <c r="L951" s="235">
        <f t="shared" si="157"/>
        <v>37.000442074175325</v>
      </c>
      <c r="M951" s="126"/>
      <c r="N951" s="126"/>
      <c r="O951" s="126"/>
      <c r="P951" s="10">
        <f t="shared" si="158"/>
        <v>-4.000442074175325</v>
      </c>
      <c r="Q951" s="10">
        <f t="shared" si="163"/>
        <v>16.003536788832175</v>
      </c>
      <c r="W951" s="240">
        <f t="shared" si="164"/>
        <v>4.000442074175325</v>
      </c>
      <c r="X951" s="240">
        <f t="shared" si="165"/>
        <v>0.12122551739925227</v>
      </c>
      <c r="Y951"/>
      <c r="Z951" s="13">
        <f t="shared" si="159"/>
        <v>5.2622203873957725</v>
      </c>
      <c r="AA951" s="2"/>
      <c r="AB951" s="68"/>
      <c r="AC951" s="15">
        <f t="shared" si="160"/>
        <v>2.9121049445187572</v>
      </c>
    </row>
    <row r="952" spans="1:29">
      <c r="A952" s="84">
        <f>'Q.1 &amp; 4'!K957</f>
        <v>3</v>
      </c>
      <c r="B952" s="141">
        <f>'Q.1 &amp; 4'!L957</f>
        <v>33.6</v>
      </c>
      <c r="C952" s="221"/>
      <c r="D952" s="23"/>
      <c r="E952" s="24"/>
      <c r="F952" s="22">
        <f t="shared" si="155"/>
        <v>-0.50740740740741153</v>
      </c>
      <c r="G952" s="22">
        <f t="shared" si="156"/>
        <v>-1.1064890695573624</v>
      </c>
      <c r="H952" s="22">
        <f t="shared" si="161"/>
        <v>0.56144075010874028</v>
      </c>
      <c r="I952" s="22">
        <f t="shared" si="162"/>
        <v>0.25746227709191088</v>
      </c>
      <c r="J952" s="24"/>
      <c r="K952" s="24"/>
      <c r="L952" s="235">
        <f t="shared" si="157"/>
        <v>37.000442074175325</v>
      </c>
      <c r="M952" s="126"/>
      <c r="N952" s="126"/>
      <c r="O952" s="126"/>
      <c r="P952" s="10">
        <f t="shared" si="158"/>
        <v>-3.4004420741753236</v>
      </c>
      <c r="Q952" s="10">
        <f t="shared" si="163"/>
        <v>11.563006299821778</v>
      </c>
      <c r="W952" s="240">
        <f t="shared" si="164"/>
        <v>3.4004420741753236</v>
      </c>
      <c r="X952" s="240">
        <f t="shared" si="165"/>
        <v>0.10120363315997986</v>
      </c>
      <c r="Y952"/>
      <c r="Z952" s="13">
        <f t="shared" si="159"/>
        <v>5.2622203873957725</v>
      </c>
      <c r="AA952" s="2"/>
      <c r="AB952" s="68"/>
      <c r="AC952" s="15">
        <f t="shared" si="160"/>
        <v>1.2243180610499176</v>
      </c>
    </row>
    <row r="953" spans="1:29">
      <c r="A953" s="84">
        <f>'Q.1 &amp; 4'!K958</f>
        <v>3</v>
      </c>
      <c r="B953" s="141">
        <f>'Q.1 &amp; 4'!L958</f>
        <v>29.6</v>
      </c>
      <c r="C953" s="221"/>
      <c r="D953" s="23"/>
      <c r="E953" s="24"/>
      <c r="F953" s="22">
        <f t="shared" si="155"/>
        <v>-0.50740740740741153</v>
      </c>
      <c r="G953" s="22">
        <f t="shared" si="156"/>
        <v>-5.1064890695573624</v>
      </c>
      <c r="H953" s="22">
        <f t="shared" si="161"/>
        <v>2.5910703797383863</v>
      </c>
      <c r="I953" s="22">
        <f t="shared" si="162"/>
        <v>0.25746227709191088</v>
      </c>
      <c r="J953" s="24"/>
      <c r="K953" s="24"/>
      <c r="L953" s="235">
        <f t="shared" si="157"/>
        <v>37.000442074175325</v>
      </c>
      <c r="M953" s="126"/>
      <c r="N953" s="126"/>
      <c r="O953" s="126"/>
      <c r="P953" s="10">
        <f t="shared" si="158"/>
        <v>-7.4004420741753236</v>
      </c>
      <c r="Q953" s="10">
        <f t="shared" si="163"/>
        <v>54.766542893224369</v>
      </c>
      <c r="W953" s="240">
        <f t="shared" si="164"/>
        <v>7.4004420741753236</v>
      </c>
      <c r="X953" s="240">
        <f t="shared" si="165"/>
        <v>0.25001493493835553</v>
      </c>
      <c r="Y953"/>
      <c r="Z953" s="13">
        <f t="shared" si="159"/>
        <v>5.2622203873957725</v>
      </c>
      <c r="AA953" s="2"/>
      <c r="AB953" s="68"/>
      <c r="AC953" s="15">
        <f t="shared" si="160"/>
        <v>26.076230617508816</v>
      </c>
    </row>
    <row r="954" spans="1:29">
      <c r="A954" s="84">
        <f>'Q.1 &amp; 4'!K959</f>
        <v>3</v>
      </c>
      <c r="B954" s="141">
        <f>'Q.1 &amp; 4'!L959</f>
        <v>36.558999999999997</v>
      </c>
      <c r="C954" s="221"/>
      <c r="D954" s="23"/>
      <c r="E954" s="24"/>
      <c r="F954" s="22">
        <f t="shared" si="155"/>
        <v>-0.50740740740741153</v>
      </c>
      <c r="G954" s="22">
        <f t="shared" si="156"/>
        <v>1.8525109304426337</v>
      </c>
      <c r="H954" s="22">
        <f t="shared" si="161"/>
        <v>-0.93997776840978842</v>
      </c>
      <c r="I954" s="22">
        <f t="shared" si="162"/>
        <v>0.25746227709191088</v>
      </c>
      <c r="J954" s="24"/>
      <c r="K954" s="24"/>
      <c r="L954" s="235">
        <f t="shared" si="157"/>
        <v>37.000442074175325</v>
      </c>
      <c r="M954" s="126"/>
      <c r="N954" s="126"/>
      <c r="O954" s="126"/>
      <c r="P954" s="10">
        <f t="shared" si="158"/>
        <v>-0.44144207417532755</v>
      </c>
      <c r="Q954" s="10">
        <f t="shared" si="163"/>
        <v>0.1948711048522154</v>
      </c>
      <c r="W954" s="240">
        <f t="shared" si="164"/>
        <v>0.44144207417532755</v>
      </c>
      <c r="X954" s="240">
        <f t="shared" si="165"/>
        <v>1.2074785256033468E-2</v>
      </c>
      <c r="Y954"/>
      <c r="Z954" s="13">
        <f t="shared" si="159"/>
        <v>5.2622203873957725</v>
      </c>
      <c r="AA954" s="2"/>
      <c r="AB954" s="68"/>
      <c r="AC954" s="15">
        <f t="shared" si="160"/>
        <v>3.4317967474094324</v>
      </c>
    </row>
    <row r="955" spans="1:29">
      <c r="A955" s="84">
        <f>'Q.1 &amp; 4'!K960</f>
        <v>4.8</v>
      </c>
      <c r="B955" s="141">
        <f>'Q.1 &amp; 4'!L960</f>
        <v>26.794599999999999</v>
      </c>
      <c r="C955" s="221"/>
      <c r="D955" s="23"/>
      <c r="E955" s="24"/>
      <c r="F955" s="22">
        <f t="shared" si="155"/>
        <v>1.2925925925925883</v>
      </c>
      <c r="G955" s="22">
        <f t="shared" si="156"/>
        <v>-7.9118890695573647</v>
      </c>
      <c r="H955" s="22">
        <f t="shared" si="161"/>
        <v>-10.226849204724115</v>
      </c>
      <c r="I955" s="22">
        <f t="shared" si="162"/>
        <v>1.6707956104252288</v>
      </c>
      <c r="J955" s="24"/>
      <c r="K955" s="24"/>
      <c r="L955" s="235">
        <f t="shared" si="157"/>
        <v>28.862769371662036</v>
      </c>
      <c r="M955" s="126"/>
      <c r="N955" s="126"/>
      <c r="O955" s="126"/>
      <c r="P955" s="10">
        <f t="shared" si="158"/>
        <v>-2.0681693716620373</v>
      </c>
      <c r="Q955" s="10">
        <f t="shared" si="163"/>
        <v>4.2773245498809462</v>
      </c>
      <c r="W955" s="240">
        <f t="shared" si="164"/>
        <v>2.0681693716620373</v>
      </c>
      <c r="X955" s="240">
        <f t="shared" si="165"/>
        <v>7.718605135594625E-2</v>
      </c>
      <c r="Y955"/>
      <c r="Z955" s="13">
        <f t="shared" si="159"/>
        <v>34.149059907569857</v>
      </c>
      <c r="AA955" s="2"/>
      <c r="AB955" s="68"/>
      <c r="AC955" s="15">
        <f t="shared" si="160"/>
        <v>62.5979886489813</v>
      </c>
    </row>
    <row r="956" spans="1:29">
      <c r="A956" s="84">
        <f>'Q.1 &amp; 4'!K961</f>
        <v>4.4000000000000004</v>
      </c>
      <c r="B956" s="141">
        <f>'Q.1 &amp; 4'!L961</f>
        <v>23.152100000000001</v>
      </c>
      <c r="C956" s="221"/>
      <c r="D956" s="23"/>
      <c r="E956" s="24"/>
      <c r="F956" s="22">
        <f t="shared" si="155"/>
        <v>0.89259259259258883</v>
      </c>
      <c r="G956" s="22">
        <f t="shared" si="156"/>
        <v>-11.554389069557363</v>
      </c>
      <c r="H956" s="22">
        <f t="shared" si="161"/>
        <v>-10.313362095419677</v>
      </c>
      <c r="I956" s="22">
        <f t="shared" si="162"/>
        <v>0.79672153635115928</v>
      </c>
      <c r="J956" s="24"/>
      <c r="K956" s="24"/>
      <c r="L956" s="235">
        <f t="shared" si="157"/>
        <v>30.671141083331655</v>
      </c>
      <c r="M956" s="126"/>
      <c r="N956" s="126"/>
      <c r="O956" s="126"/>
      <c r="P956" s="10">
        <f t="shared" si="158"/>
        <v>-7.5190410833316541</v>
      </c>
      <c r="Q956" s="10">
        <f t="shared" si="163"/>
        <v>56.535978812829256</v>
      </c>
      <c r="W956" s="240">
        <f t="shared" si="164"/>
        <v>7.5190410833316541</v>
      </c>
      <c r="X956" s="240">
        <f t="shared" si="165"/>
        <v>0.32476713055539902</v>
      </c>
      <c r="Y956"/>
      <c r="Z956" s="13">
        <f t="shared" si="159"/>
        <v>16.284033369935884</v>
      </c>
      <c r="AA956" s="2"/>
      <c r="AB956" s="68"/>
      <c r="AC956" s="15">
        <f t="shared" si="160"/>
        <v>133.50390677070666</v>
      </c>
    </row>
    <row r="957" spans="1:29">
      <c r="A957" s="84">
        <f>'Q.1 &amp; 4'!K962</f>
        <v>3</v>
      </c>
      <c r="B957" s="141">
        <f>'Q.1 &amp; 4'!L962</f>
        <v>29.5</v>
      </c>
      <c r="C957" s="221"/>
      <c r="D957" s="23"/>
      <c r="E957" s="24"/>
      <c r="F957" s="22">
        <f t="shared" si="155"/>
        <v>-0.50740740740741153</v>
      </c>
      <c r="G957" s="22">
        <f t="shared" si="156"/>
        <v>-5.2064890695573638</v>
      </c>
      <c r="H957" s="22">
        <f t="shared" si="161"/>
        <v>2.6418111204791281</v>
      </c>
      <c r="I957" s="22">
        <f t="shared" si="162"/>
        <v>0.25746227709191088</v>
      </c>
      <c r="J957" s="24"/>
      <c r="K957" s="24"/>
      <c r="L957" s="235">
        <f t="shared" si="157"/>
        <v>37.000442074175325</v>
      </c>
      <c r="M957" s="126"/>
      <c r="N957" s="126"/>
      <c r="O957" s="126"/>
      <c r="P957" s="10">
        <f t="shared" si="158"/>
        <v>-7.500442074175325</v>
      </c>
      <c r="Q957" s="10">
        <f t="shared" si="163"/>
        <v>56.256631308059454</v>
      </c>
      <c r="W957" s="240">
        <f t="shared" si="164"/>
        <v>7.500442074175325</v>
      </c>
      <c r="X957" s="240">
        <f t="shared" si="165"/>
        <v>0.25425227370085846</v>
      </c>
      <c r="Y957"/>
      <c r="Z957" s="13">
        <f t="shared" si="159"/>
        <v>5.2622203873957725</v>
      </c>
      <c r="AA957" s="2"/>
      <c r="AB957" s="68"/>
      <c r="AC957" s="15">
        <f t="shared" si="160"/>
        <v>27.107528431420302</v>
      </c>
    </row>
    <row r="958" spans="1:29">
      <c r="A958" s="84">
        <f>'Q.1 &amp; 4'!K963</f>
        <v>4.4000000000000004</v>
      </c>
      <c r="B958" s="141">
        <f>'Q.1 &amp; 4'!L963</f>
        <v>24.9</v>
      </c>
      <c r="C958" s="221"/>
      <c r="D958" s="23"/>
      <c r="E958" s="24"/>
      <c r="F958" s="22">
        <f t="shared" si="155"/>
        <v>0.89259259259258883</v>
      </c>
      <c r="G958" s="22">
        <f t="shared" si="156"/>
        <v>-9.8064890695573652</v>
      </c>
      <c r="H958" s="22">
        <f t="shared" si="161"/>
        <v>-8.7531995028270924</v>
      </c>
      <c r="I958" s="22">
        <f t="shared" si="162"/>
        <v>0.79672153635115928</v>
      </c>
      <c r="J958" s="24"/>
      <c r="K958" s="24"/>
      <c r="L958" s="235">
        <f t="shared" si="157"/>
        <v>30.671141083331655</v>
      </c>
      <c r="M958" s="126"/>
      <c r="N958" s="126"/>
      <c r="O958" s="126"/>
      <c r="P958" s="10">
        <f t="shared" si="158"/>
        <v>-5.7711410833316563</v>
      </c>
      <c r="Q958" s="10">
        <f t="shared" si="163"/>
        <v>33.306069403718482</v>
      </c>
      <c r="W958" s="240">
        <f t="shared" si="164"/>
        <v>5.7711410833316563</v>
      </c>
      <c r="X958" s="240">
        <f t="shared" si="165"/>
        <v>0.23177273427034767</v>
      </c>
      <c r="Y958"/>
      <c r="Z958" s="13">
        <f t="shared" si="159"/>
        <v>16.284033369935884</v>
      </c>
      <c r="AA958" s="2"/>
      <c r="AB958" s="68"/>
      <c r="AC958" s="15">
        <f t="shared" si="160"/>
        <v>96.167227871348075</v>
      </c>
    </row>
    <row r="959" spans="1:29">
      <c r="A959" s="84">
        <f>'Q.1 &amp; 4'!K964</f>
        <v>4.4000000000000004</v>
      </c>
      <c r="B959" s="141">
        <f>'Q.1 &amp; 4'!L964</f>
        <v>23.152100000000001</v>
      </c>
      <c r="C959" s="221"/>
      <c r="D959" s="23"/>
      <c r="E959" s="24"/>
      <c r="F959" s="22">
        <f t="shared" si="155"/>
        <v>0.89259259259258883</v>
      </c>
      <c r="G959" s="22">
        <f t="shared" si="156"/>
        <v>-11.554389069557363</v>
      </c>
      <c r="H959" s="22">
        <f t="shared" si="161"/>
        <v>-10.313362095419677</v>
      </c>
      <c r="I959" s="22">
        <f t="shared" si="162"/>
        <v>0.79672153635115928</v>
      </c>
      <c r="J959" s="24"/>
      <c r="K959" s="24"/>
      <c r="L959" s="235">
        <f t="shared" si="157"/>
        <v>30.671141083331655</v>
      </c>
      <c r="M959" s="126"/>
      <c r="N959" s="126"/>
      <c r="O959" s="126"/>
      <c r="P959" s="10">
        <f t="shared" si="158"/>
        <v>-7.5190410833316541</v>
      </c>
      <c r="Q959" s="10">
        <f t="shared" si="163"/>
        <v>56.535978812829256</v>
      </c>
      <c r="W959" s="240">
        <f t="shared" si="164"/>
        <v>7.5190410833316541</v>
      </c>
      <c r="X959" s="240">
        <f t="shared" si="165"/>
        <v>0.32476713055539902</v>
      </c>
      <c r="Y959"/>
      <c r="Z959" s="13">
        <f t="shared" si="159"/>
        <v>16.284033369935884</v>
      </c>
      <c r="AA959" s="2"/>
      <c r="AB959" s="68"/>
      <c r="AC959" s="15">
        <f t="shared" si="160"/>
        <v>133.50390677070666</v>
      </c>
    </row>
    <row r="960" spans="1:29">
      <c r="A960" s="84">
        <f>'Q.1 &amp; 4'!K965</f>
        <v>3.6</v>
      </c>
      <c r="B960" s="141">
        <f>'Q.1 &amp; 4'!L965</f>
        <v>30.9</v>
      </c>
      <c r="C960" s="221"/>
      <c r="D960" s="23"/>
      <c r="E960" s="24"/>
      <c r="F960" s="22">
        <f t="shared" si="155"/>
        <v>9.2592592592588563E-2</v>
      </c>
      <c r="G960" s="22">
        <f t="shared" si="156"/>
        <v>-3.8064890695573652</v>
      </c>
      <c r="H960" s="22">
        <f t="shared" si="161"/>
        <v>-0.35245269162566661</v>
      </c>
      <c r="I960" s="22">
        <f t="shared" si="162"/>
        <v>8.573388203017087E-3</v>
      </c>
      <c r="J960" s="24"/>
      <c r="K960" s="24"/>
      <c r="L960" s="235">
        <f t="shared" si="157"/>
        <v>34.287884506670892</v>
      </c>
      <c r="M960" s="126"/>
      <c r="N960" s="126"/>
      <c r="O960" s="126"/>
      <c r="P960" s="10">
        <f t="shared" si="158"/>
        <v>-3.3878845066708934</v>
      </c>
      <c r="Q960" s="10">
        <f t="shared" si="163"/>
        <v>11.477761430540683</v>
      </c>
      <c r="W960" s="240">
        <f t="shared" si="164"/>
        <v>3.3878845066708934</v>
      </c>
      <c r="X960" s="240">
        <f t="shared" si="165"/>
        <v>0.10964027529679267</v>
      </c>
      <c r="Y960"/>
      <c r="Z960" s="13">
        <f t="shared" si="159"/>
        <v>0.17522978006937417</v>
      </c>
      <c r="AA960" s="2"/>
      <c r="AB960" s="68"/>
      <c r="AC960" s="15">
        <f t="shared" si="160"/>
        <v>14.489359036659696</v>
      </c>
    </row>
    <row r="961" spans="1:29">
      <c r="A961" s="84">
        <f>'Q.1 &amp; 4'!K966</f>
        <v>6.2</v>
      </c>
      <c r="B961" s="141">
        <f>'Q.1 &amp; 4'!L966</f>
        <v>27.4</v>
      </c>
      <c r="C961" s="221"/>
      <c r="D961" s="23"/>
      <c r="E961" s="24"/>
      <c r="F961" s="22">
        <f t="shared" si="155"/>
        <v>2.6925925925925887</v>
      </c>
      <c r="G961" s="22">
        <f t="shared" si="156"/>
        <v>-7.3064890695573652</v>
      </c>
      <c r="H961" s="22">
        <f t="shared" si="161"/>
        <v>-19.673398346548876</v>
      </c>
      <c r="I961" s="22">
        <f t="shared" si="162"/>
        <v>7.2500548696844778</v>
      </c>
      <c r="J961" s="24"/>
      <c r="K961" s="24"/>
      <c r="L961" s="235">
        <f t="shared" si="157"/>
        <v>22.533468380818363</v>
      </c>
      <c r="M961" s="126"/>
      <c r="N961" s="126"/>
      <c r="O961" s="126"/>
      <c r="P961" s="10">
        <f t="shared" si="158"/>
        <v>4.8665316191816359</v>
      </c>
      <c r="Q961" s="10">
        <f t="shared" si="163"/>
        <v>23.683130000494636</v>
      </c>
      <c r="W961" s="240">
        <f t="shared" si="164"/>
        <v>4.8665316191816359</v>
      </c>
      <c r="X961" s="240">
        <f t="shared" si="165"/>
        <v>0.17761064303582613</v>
      </c>
      <c r="Y961"/>
      <c r="Z961" s="13">
        <f t="shared" si="159"/>
        <v>148.18243268846774</v>
      </c>
      <c r="AA961" s="2"/>
      <c r="AB961" s="68"/>
      <c r="AC961" s="15">
        <f t="shared" si="160"/>
        <v>53.384782523561249</v>
      </c>
    </row>
    <row r="962" spans="1:29">
      <c r="A962" s="84">
        <f>'Q.1 &amp; 4'!K967</f>
        <v>2.8</v>
      </c>
      <c r="B962" s="141">
        <f>'Q.1 &amp; 4'!L967</f>
        <v>30.299299999999999</v>
      </c>
      <c r="C962" s="221"/>
      <c r="D962" s="23"/>
      <c r="E962" s="24"/>
      <c r="F962" s="22">
        <f t="shared" si="155"/>
        <v>-0.7074074074074117</v>
      </c>
      <c r="G962" s="22">
        <f t="shared" si="156"/>
        <v>-4.407189069557365</v>
      </c>
      <c r="H962" s="22">
        <f t="shared" si="161"/>
        <v>3.1176781936498585</v>
      </c>
      <c r="I962" s="22">
        <f t="shared" si="162"/>
        <v>0.50042524005487576</v>
      </c>
      <c r="J962" s="24"/>
      <c r="K962" s="24"/>
      <c r="L962" s="235">
        <f t="shared" si="157"/>
        <v>37.904627930010136</v>
      </c>
      <c r="M962" s="126"/>
      <c r="N962" s="126"/>
      <c r="O962" s="126"/>
      <c r="P962" s="10">
        <f t="shared" si="158"/>
        <v>-7.6053279300101373</v>
      </c>
      <c r="Q962" s="10">
        <f t="shared" si="163"/>
        <v>57.841012922992277</v>
      </c>
      <c r="W962" s="240">
        <f t="shared" si="164"/>
        <v>7.6053279300101373</v>
      </c>
      <c r="X962" s="240">
        <f t="shared" si="165"/>
        <v>0.25100672061764256</v>
      </c>
      <c r="Y962"/>
      <c r="Z962" s="13">
        <f t="shared" si="159"/>
        <v>10.228092170738156</v>
      </c>
      <c r="AA962" s="2"/>
      <c r="AB962" s="68"/>
      <c r="AC962" s="15">
        <f t="shared" si="160"/>
        <v>19.423315494825914</v>
      </c>
    </row>
    <row r="963" spans="1:29">
      <c r="A963" s="84">
        <f>'Q.1 &amp; 4'!K968</f>
        <v>3</v>
      </c>
      <c r="B963" s="141">
        <f>'Q.1 &amp; 4'!L968</f>
        <v>31.3</v>
      </c>
      <c r="C963" s="221"/>
      <c r="D963" s="23"/>
      <c r="E963" s="24"/>
      <c r="F963" s="22">
        <f t="shared" si="155"/>
        <v>-0.50740740740741153</v>
      </c>
      <c r="G963" s="22">
        <f t="shared" si="156"/>
        <v>-3.4064890695573631</v>
      </c>
      <c r="H963" s="22">
        <f t="shared" si="161"/>
        <v>1.7284777871457873</v>
      </c>
      <c r="I963" s="22">
        <f t="shared" si="162"/>
        <v>0.25746227709191088</v>
      </c>
      <c r="J963" s="24"/>
      <c r="K963" s="24"/>
      <c r="L963" s="235">
        <f t="shared" si="157"/>
        <v>37.000442074175325</v>
      </c>
      <c r="M963" s="126"/>
      <c r="N963" s="126"/>
      <c r="O963" s="126"/>
      <c r="P963" s="10">
        <f t="shared" si="158"/>
        <v>-5.7004420741753243</v>
      </c>
      <c r="Q963" s="10">
        <f t="shared" si="163"/>
        <v>32.495039841028273</v>
      </c>
      <c r="W963" s="240">
        <f t="shared" si="164"/>
        <v>5.7004420741753243</v>
      </c>
      <c r="X963" s="240">
        <f t="shared" si="165"/>
        <v>0.18212274997365252</v>
      </c>
      <c r="Y963"/>
      <c r="Z963" s="13">
        <f t="shared" si="159"/>
        <v>5.2622203873957725</v>
      </c>
      <c r="AA963" s="2"/>
      <c r="AB963" s="68"/>
      <c r="AC963" s="15">
        <f t="shared" si="160"/>
        <v>11.604167781013789</v>
      </c>
    </row>
    <row r="964" spans="1:29">
      <c r="A964" s="84">
        <f>'Q.1 &amp; 4'!K969</f>
        <v>2.4</v>
      </c>
      <c r="B964" s="141">
        <f>'Q.1 &amp; 4'!L969</f>
        <v>40.299999999999997</v>
      </c>
      <c r="C964" s="221"/>
      <c r="D964" s="23"/>
      <c r="E964" s="24"/>
      <c r="F964" s="22">
        <f t="shared" si="155"/>
        <v>-1.1074074074074116</v>
      </c>
      <c r="G964" s="22">
        <f t="shared" si="156"/>
        <v>5.5935109304426334</v>
      </c>
      <c r="H964" s="22">
        <f t="shared" si="161"/>
        <v>-6.1942954377864954</v>
      </c>
      <c r="I964" s="22">
        <f t="shared" si="162"/>
        <v>1.2263511659808048</v>
      </c>
      <c r="J964" s="24"/>
      <c r="K964" s="24"/>
      <c r="L964" s="235">
        <f t="shared" si="157"/>
        <v>39.712999641679758</v>
      </c>
      <c r="M964" s="126"/>
      <c r="N964" s="126"/>
      <c r="O964" s="126"/>
      <c r="P964" s="10">
        <f t="shared" si="158"/>
        <v>0.587000358320239</v>
      </c>
      <c r="Q964" s="10">
        <f t="shared" si="163"/>
        <v>0.34456942066808899</v>
      </c>
      <c r="W964" s="240">
        <f t="shared" si="164"/>
        <v>0.587000358320239</v>
      </c>
      <c r="X964" s="240">
        <f t="shared" si="165"/>
        <v>1.4565765715142408E-2</v>
      </c>
      <c r="Y964"/>
      <c r="Z964" s="13">
        <f t="shared" si="159"/>
        <v>25.065148108773304</v>
      </c>
      <c r="AA964" s="2"/>
      <c r="AB964" s="68"/>
      <c r="AC964" s="15">
        <f t="shared" si="160"/>
        <v>31.287364528981215</v>
      </c>
    </row>
    <row r="965" spans="1:29">
      <c r="A965" s="84">
        <f>'Q.1 &amp; 4'!K970</f>
        <v>3</v>
      </c>
      <c r="B965" s="141">
        <f>'Q.1 &amp; 4'!L970</f>
        <v>33.1</v>
      </c>
      <c r="C965" s="221"/>
      <c r="D965" s="23"/>
      <c r="E965" s="24"/>
      <c r="F965" s="22">
        <f t="shared" si="155"/>
        <v>-0.50740740740741153</v>
      </c>
      <c r="G965" s="22">
        <f t="shared" si="156"/>
        <v>-1.6064890695573624</v>
      </c>
      <c r="H965" s="22">
        <f t="shared" si="161"/>
        <v>0.81514445381244605</v>
      </c>
      <c r="I965" s="22">
        <f t="shared" si="162"/>
        <v>0.25746227709191088</v>
      </c>
      <c r="J965" s="24"/>
      <c r="K965" s="24"/>
      <c r="L965" s="235">
        <f t="shared" si="157"/>
        <v>37.000442074175325</v>
      </c>
      <c r="M965" s="126"/>
      <c r="N965" s="126"/>
      <c r="O965" s="126"/>
      <c r="P965" s="10">
        <f t="shared" si="158"/>
        <v>-3.9004420741753236</v>
      </c>
      <c r="Q965" s="10">
        <f t="shared" si="163"/>
        <v>15.213448373997101</v>
      </c>
      <c r="W965" s="240">
        <f t="shared" si="164"/>
        <v>3.9004420741753236</v>
      </c>
      <c r="X965" s="240">
        <f t="shared" si="165"/>
        <v>0.11783812912916385</v>
      </c>
      <c r="Y965"/>
      <c r="Z965" s="13">
        <f t="shared" si="159"/>
        <v>5.2622203873957725</v>
      </c>
      <c r="AA965" s="2"/>
      <c r="AB965" s="68"/>
      <c r="AC965" s="15">
        <f t="shared" si="160"/>
        <v>2.5808071306072797</v>
      </c>
    </row>
    <row r="966" spans="1:29">
      <c r="A966" s="84">
        <f>'Q.1 &amp; 4'!K971</f>
        <v>5.3</v>
      </c>
      <c r="B966" s="141">
        <f>'Q.1 &amp; 4'!L971</f>
        <v>29</v>
      </c>
      <c r="C966" s="221"/>
      <c r="D966" s="23"/>
      <c r="E966" s="24"/>
      <c r="F966" s="22">
        <f t="shared" ref="F966:F1029" si="166">A966-$D$6</f>
        <v>1.7925925925925883</v>
      </c>
      <c r="G966" s="22">
        <f t="shared" ref="G966:G1029" si="167">B966-$E$6</f>
        <v>-5.7064890695573638</v>
      </c>
      <c r="H966" s="22">
        <f t="shared" si="161"/>
        <v>-10.229410035799102</v>
      </c>
      <c r="I966" s="22">
        <f t="shared" si="162"/>
        <v>3.2133882030178174</v>
      </c>
      <c r="J966" s="24"/>
      <c r="K966" s="24"/>
      <c r="L966" s="235">
        <f t="shared" ref="L966:L1029" si="168">$K$6+$J$6*A966</f>
        <v>26.602304732075012</v>
      </c>
      <c r="M966" s="126"/>
      <c r="N966" s="126"/>
      <c r="O966" s="126"/>
      <c r="P966" s="10">
        <f t="shared" ref="P966:P1029" si="169">B966-L966</f>
        <v>2.3976952679249877</v>
      </c>
      <c r="Q966" s="10">
        <f t="shared" si="163"/>
        <v>5.7489425978298785</v>
      </c>
      <c r="W966" s="240">
        <f t="shared" si="164"/>
        <v>2.3976952679249877</v>
      </c>
      <c r="X966" s="240">
        <f t="shared" si="165"/>
        <v>8.2679147169827161E-2</v>
      </c>
      <c r="Y966"/>
      <c r="Z966" s="13">
        <f t="shared" ref="Z966:Z1029" si="170">(L966-$E$6)^2</f>
        <v>65.677803775894262</v>
      </c>
      <c r="AA966" s="2"/>
      <c r="AB966" s="68"/>
      <c r="AC966" s="15">
        <f t="shared" ref="AC966:AC1029" si="171">(B966-$E$6)^2</f>
        <v>32.56401750097767</v>
      </c>
    </row>
    <row r="967" spans="1:29">
      <c r="A967" s="84">
        <f>'Q.1 &amp; 4'!K972</f>
        <v>6</v>
      </c>
      <c r="B967" s="141">
        <f>'Q.1 &amp; 4'!L972</f>
        <v>30.299900000000001</v>
      </c>
      <c r="C967" s="221"/>
      <c r="D967" s="23"/>
      <c r="E967" s="24"/>
      <c r="F967" s="22">
        <f t="shared" si="166"/>
        <v>2.4925925925925885</v>
      </c>
      <c r="G967" s="22">
        <f t="shared" si="167"/>
        <v>-4.4065890695573628</v>
      </c>
      <c r="H967" s="22">
        <f t="shared" ref="H967:H1030" si="172">F967*G967</f>
        <v>-10.983831273378149</v>
      </c>
      <c r="I967" s="22">
        <f t="shared" ref="I967:I1030" si="173">F967^2</f>
        <v>6.2130178326474415</v>
      </c>
      <c r="J967" s="24"/>
      <c r="K967" s="24"/>
      <c r="L967" s="235">
        <f t="shared" si="168"/>
        <v>23.437654236653174</v>
      </c>
      <c r="M967" s="126"/>
      <c r="N967" s="126"/>
      <c r="O967" s="126"/>
      <c r="P967" s="10">
        <f t="shared" si="169"/>
        <v>6.8622457633468272</v>
      </c>
      <c r="Q967" s="10">
        <f t="shared" ref="Q967:Q1030" si="174">P967^2</f>
        <v>47.090416916571478</v>
      </c>
      <c r="W967" s="240">
        <f t="shared" ref="W967:W1030" si="175">ABS(P967)</f>
        <v>6.8622457633468272</v>
      </c>
      <c r="X967" s="240">
        <f t="shared" ref="X967:X1030" si="176">W967/B967</f>
        <v>0.22647750531674452</v>
      </c>
      <c r="Y967"/>
      <c r="Z967" s="13">
        <f t="shared" si="170"/>
        <v>126.9866384912748</v>
      </c>
      <c r="AA967" s="2"/>
      <c r="AB967" s="68"/>
      <c r="AC967" s="15">
        <f t="shared" si="171"/>
        <v>19.418027227942424</v>
      </c>
    </row>
    <row r="968" spans="1:29">
      <c r="A968" s="84">
        <f>'Q.1 &amp; 4'!K973</f>
        <v>3.6</v>
      </c>
      <c r="B968" s="141">
        <f>'Q.1 &amp; 4'!L973</f>
        <v>31.6</v>
      </c>
      <c r="C968" s="221"/>
      <c r="D968" s="23"/>
      <c r="E968" s="24"/>
      <c r="F968" s="22">
        <f t="shared" si="166"/>
        <v>9.2592592592588563E-2</v>
      </c>
      <c r="G968" s="22">
        <f t="shared" si="167"/>
        <v>-3.1064890695573624</v>
      </c>
      <c r="H968" s="22">
        <f t="shared" si="172"/>
        <v>-0.28763787681085434</v>
      </c>
      <c r="I968" s="22">
        <f t="shared" si="173"/>
        <v>8.573388203017087E-3</v>
      </c>
      <c r="J968" s="24"/>
      <c r="K968" s="24"/>
      <c r="L968" s="235">
        <f t="shared" si="168"/>
        <v>34.287884506670892</v>
      </c>
      <c r="M968" s="126"/>
      <c r="N968" s="126"/>
      <c r="O968" s="126"/>
      <c r="P968" s="10">
        <f t="shared" si="169"/>
        <v>-2.6878845066708905</v>
      </c>
      <c r="Q968" s="10">
        <f t="shared" si="174"/>
        <v>7.2247231212014169</v>
      </c>
      <c r="W968" s="240">
        <f t="shared" si="175"/>
        <v>2.6878845066708905</v>
      </c>
      <c r="X968" s="240">
        <f t="shared" si="176"/>
        <v>8.50596362870535E-2</v>
      </c>
      <c r="Y968"/>
      <c r="Z968" s="13">
        <f t="shared" si="170"/>
        <v>0.17522978006937417</v>
      </c>
      <c r="AA968" s="2"/>
      <c r="AB968" s="68"/>
      <c r="AC968" s="15">
        <f t="shared" si="171"/>
        <v>9.6502743392793668</v>
      </c>
    </row>
    <row r="969" spans="1:29">
      <c r="A969" s="84">
        <f>'Q.1 &amp; 4'!K974</f>
        <v>3.5</v>
      </c>
      <c r="B969" s="141">
        <f>'Q.1 &amp; 4'!L974</f>
        <v>31.9</v>
      </c>
      <c r="C969" s="221"/>
      <c r="D969" s="23"/>
      <c r="E969" s="24"/>
      <c r="F969" s="22">
        <f t="shared" si="166"/>
        <v>-7.4074074074115259E-3</v>
      </c>
      <c r="G969" s="22">
        <f t="shared" si="167"/>
        <v>-2.8064890695573652</v>
      </c>
      <c r="H969" s="22">
        <f t="shared" si="172"/>
        <v>2.0788807922658709E-2</v>
      </c>
      <c r="I969" s="22">
        <f t="shared" si="173"/>
        <v>5.4869684499375142E-5</v>
      </c>
      <c r="J969" s="24"/>
      <c r="K969" s="24"/>
      <c r="L969" s="235">
        <f t="shared" si="168"/>
        <v>34.739977434588305</v>
      </c>
      <c r="M969" s="126"/>
      <c r="N969" s="126"/>
      <c r="O969" s="126"/>
      <c r="P969" s="10">
        <f t="shared" si="169"/>
        <v>-2.839977434588306</v>
      </c>
      <c r="Q969" s="10">
        <f t="shared" si="174"/>
        <v>8.0654718289707752</v>
      </c>
      <c r="W969" s="240">
        <f t="shared" si="175"/>
        <v>2.839977434588306</v>
      </c>
      <c r="X969" s="240">
        <f t="shared" si="176"/>
        <v>8.9027505786467273E-2</v>
      </c>
      <c r="Y969"/>
      <c r="Z969" s="13">
        <f t="shared" si="170"/>
        <v>1.1214705924455365E-3</v>
      </c>
      <c r="AA969" s="2"/>
      <c r="AB969" s="68"/>
      <c r="AC969" s="15">
        <f t="shared" si="171"/>
        <v>7.8763808975449656</v>
      </c>
    </row>
    <row r="970" spans="1:29">
      <c r="A970" s="84">
        <f>'Q.1 &amp; 4'!K975</f>
        <v>3.7</v>
      </c>
      <c r="B970" s="141">
        <f>'Q.1 &amp; 4'!L975</f>
        <v>28.5</v>
      </c>
      <c r="C970" s="221"/>
      <c r="D970" s="23"/>
      <c r="E970" s="24"/>
      <c r="F970" s="22">
        <f t="shared" si="166"/>
        <v>0.19259259259258865</v>
      </c>
      <c r="G970" s="22">
        <f t="shared" si="167"/>
        <v>-6.2064890695573638</v>
      </c>
      <c r="H970" s="22">
        <f t="shared" si="172"/>
        <v>-1.1953238208036159</v>
      </c>
      <c r="I970" s="22">
        <f t="shared" si="173"/>
        <v>3.7091906721534833E-2</v>
      </c>
      <c r="J970" s="24"/>
      <c r="K970" s="24"/>
      <c r="L970" s="235">
        <f t="shared" si="168"/>
        <v>33.835791578753486</v>
      </c>
      <c r="M970" s="126"/>
      <c r="N970" s="126"/>
      <c r="O970" s="126"/>
      <c r="P970" s="10">
        <f t="shared" si="169"/>
        <v>-5.3357915787534864</v>
      </c>
      <c r="Q970" s="10">
        <f t="shared" si="174"/>
        <v>28.470671771896622</v>
      </c>
      <c r="W970" s="240">
        <f t="shared" si="175"/>
        <v>5.3357915787534864</v>
      </c>
      <c r="X970" s="240">
        <f t="shared" si="176"/>
        <v>0.18722075714924513</v>
      </c>
      <c r="Y970"/>
      <c r="Z970" s="13">
        <f t="shared" si="170"/>
        <v>0.75811412049216809</v>
      </c>
      <c r="AA970" s="2"/>
      <c r="AB970" s="68"/>
      <c r="AC970" s="15">
        <f t="shared" si="171"/>
        <v>38.520506570535034</v>
      </c>
    </row>
    <row r="971" spans="1:29">
      <c r="A971" s="84">
        <f>'Q.1 &amp; 4'!K976</f>
        <v>4</v>
      </c>
      <c r="B971" s="141">
        <f>'Q.1 &amp; 4'!L976</f>
        <v>28.4</v>
      </c>
      <c r="C971" s="221"/>
      <c r="D971" s="23"/>
      <c r="E971" s="24"/>
      <c r="F971" s="22">
        <f t="shared" si="166"/>
        <v>0.49259259259258847</v>
      </c>
      <c r="G971" s="22">
        <f t="shared" si="167"/>
        <v>-6.3064890695573652</v>
      </c>
      <c r="H971" s="22">
        <f t="shared" si="172"/>
        <v>-3.1065298009300837</v>
      </c>
      <c r="I971" s="22">
        <f t="shared" si="173"/>
        <v>0.24264746227708786</v>
      </c>
      <c r="J971" s="24"/>
      <c r="K971" s="24"/>
      <c r="L971" s="235">
        <f t="shared" si="168"/>
        <v>32.479512795001277</v>
      </c>
      <c r="M971" s="126"/>
      <c r="N971" s="126"/>
      <c r="O971" s="126"/>
      <c r="P971" s="10">
        <f t="shared" si="169"/>
        <v>-4.0795127950012784</v>
      </c>
      <c r="Q971" s="10">
        <f t="shared" si="174"/>
        <v>16.642424644579144</v>
      </c>
      <c r="W971" s="240">
        <f t="shared" si="175"/>
        <v>4.0795127950012784</v>
      </c>
      <c r="X971" s="240">
        <f t="shared" si="176"/>
        <v>0.14364481672539714</v>
      </c>
      <c r="Y971"/>
      <c r="Z971" s="13">
        <f t="shared" si="170"/>
        <v>4.9594233274357071</v>
      </c>
      <c r="AA971" s="2"/>
      <c r="AB971" s="68"/>
      <c r="AC971" s="15">
        <f t="shared" si="171"/>
        <v>39.771804384446519</v>
      </c>
    </row>
    <row r="972" spans="1:29">
      <c r="A972" s="84">
        <f>'Q.1 &amp; 4'!K977</f>
        <v>3.5</v>
      </c>
      <c r="B972" s="141">
        <f>'Q.1 &amp; 4'!L977</f>
        <v>31.4</v>
      </c>
      <c r="C972" s="221"/>
      <c r="D972" s="23"/>
      <c r="E972" s="24"/>
      <c r="F972" s="22">
        <f t="shared" si="166"/>
        <v>-7.4074074074115259E-3</v>
      </c>
      <c r="G972" s="22">
        <f t="shared" si="167"/>
        <v>-3.3064890695573652</v>
      </c>
      <c r="H972" s="22">
        <f t="shared" si="172"/>
        <v>2.4492511626364472E-2</v>
      </c>
      <c r="I972" s="22">
        <f t="shared" si="173"/>
        <v>5.4869684499375142E-5</v>
      </c>
      <c r="J972" s="24"/>
      <c r="K972" s="24"/>
      <c r="L972" s="235">
        <f t="shared" si="168"/>
        <v>34.739977434588305</v>
      </c>
      <c r="M972" s="126"/>
      <c r="N972" s="126"/>
      <c r="O972" s="126"/>
      <c r="P972" s="10">
        <f t="shared" si="169"/>
        <v>-3.339977434588306</v>
      </c>
      <c r="Q972" s="10">
        <f t="shared" si="174"/>
        <v>11.155449263559081</v>
      </c>
      <c r="W972" s="240">
        <f t="shared" si="175"/>
        <v>3.339977434588306</v>
      </c>
      <c r="X972" s="240">
        <f t="shared" si="176"/>
        <v>0.10636870810790784</v>
      </c>
      <c r="Y972"/>
      <c r="Z972" s="13">
        <f t="shared" si="170"/>
        <v>1.1214705924455365E-3</v>
      </c>
      <c r="AA972" s="2"/>
      <c r="AB972" s="68"/>
      <c r="AC972" s="15">
        <f t="shared" si="171"/>
        <v>10.932869967102331</v>
      </c>
    </row>
    <row r="973" spans="1:29">
      <c r="A973" s="84">
        <f>'Q.1 &amp; 4'!K978</f>
        <v>2.5</v>
      </c>
      <c r="B973" s="141">
        <f>'Q.1 &amp; 4'!L978</f>
        <v>36.030700000000003</v>
      </c>
      <c r="C973" s="221"/>
      <c r="D973" s="23"/>
      <c r="E973" s="24"/>
      <c r="F973" s="22">
        <f t="shared" si="166"/>
        <v>-1.0074074074074115</v>
      </c>
      <c r="G973" s="22">
        <f t="shared" si="167"/>
        <v>1.3242109304426393</v>
      </c>
      <c r="H973" s="22">
        <f t="shared" si="172"/>
        <v>-1.3340199002977753</v>
      </c>
      <c r="I973" s="22">
        <f t="shared" si="173"/>
        <v>1.0148696844993224</v>
      </c>
      <c r="J973" s="24"/>
      <c r="K973" s="24"/>
      <c r="L973" s="235">
        <f t="shared" si="168"/>
        <v>39.260906713762353</v>
      </c>
      <c r="M973" s="126"/>
      <c r="N973" s="126"/>
      <c r="O973" s="126"/>
      <c r="P973" s="10">
        <f t="shared" si="169"/>
        <v>-3.2302067137623496</v>
      </c>
      <c r="Q973" s="10">
        <f t="shared" si="174"/>
        <v>10.434235413635358</v>
      </c>
      <c r="W973" s="240">
        <f t="shared" si="175"/>
        <v>3.2302067137623496</v>
      </c>
      <c r="X973" s="240">
        <f t="shared" si="176"/>
        <v>8.9651511454463817E-2</v>
      </c>
      <c r="Y973"/>
      <c r="Z973" s="13">
        <f t="shared" si="170"/>
        <v>20.742720077845721</v>
      </c>
      <c r="AA973" s="2"/>
      <c r="AB973" s="68"/>
      <c r="AC973" s="15">
        <f t="shared" si="171"/>
        <v>1.7535345883037603</v>
      </c>
    </row>
    <row r="974" spans="1:29">
      <c r="A974" s="84">
        <f>'Q.1 &amp; 4'!K979</f>
        <v>3</v>
      </c>
      <c r="B974" s="141">
        <f>'Q.1 &amp; 4'!L979</f>
        <v>31.3917</v>
      </c>
      <c r="C974" s="221"/>
      <c r="D974" s="23"/>
      <c r="E974" s="24"/>
      <c r="F974" s="22">
        <f t="shared" si="166"/>
        <v>-0.50740740740741153</v>
      </c>
      <c r="G974" s="22">
        <f t="shared" si="167"/>
        <v>-3.3147890695573636</v>
      </c>
      <c r="H974" s="22">
        <f t="shared" si="172"/>
        <v>1.6819485278865278</v>
      </c>
      <c r="I974" s="22">
        <f t="shared" si="173"/>
        <v>0.25746227709191088</v>
      </c>
      <c r="J974" s="24"/>
      <c r="K974" s="24"/>
      <c r="L974" s="235">
        <f t="shared" si="168"/>
        <v>37.000442074175325</v>
      </c>
      <c r="M974" s="126"/>
      <c r="N974" s="126"/>
      <c r="O974" s="126"/>
      <c r="P974" s="10">
        <f t="shared" si="169"/>
        <v>-5.6087420741753249</v>
      </c>
      <c r="Q974" s="10">
        <f t="shared" si="174"/>
        <v>31.457987654624525</v>
      </c>
      <c r="W974" s="240">
        <f t="shared" si="175"/>
        <v>5.6087420741753249</v>
      </c>
      <c r="X974" s="240">
        <f t="shared" si="176"/>
        <v>0.17866958699832519</v>
      </c>
      <c r="Y974"/>
      <c r="Z974" s="13">
        <f t="shared" si="170"/>
        <v>5.2622203873957725</v>
      </c>
      <c r="AA974" s="2"/>
      <c r="AB974" s="68"/>
      <c r="AC974" s="15">
        <f t="shared" si="171"/>
        <v>10.987826575656973</v>
      </c>
    </row>
    <row r="975" spans="1:29">
      <c r="A975" s="84">
        <f>'Q.1 &amp; 4'!K980</f>
        <v>2.5</v>
      </c>
      <c r="B975" s="141">
        <f>'Q.1 &amp; 4'!L980</f>
        <v>37.9</v>
      </c>
      <c r="C975" s="221"/>
      <c r="D975" s="23"/>
      <c r="E975" s="24"/>
      <c r="F975" s="22">
        <f t="shared" si="166"/>
        <v>-1.0074074074074115</v>
      </c>
      <c r="G975" s="22">
        <f t="shared" si="167"/>
        <v>3.1935109304426348</v>
      </c>
      <c r="H975" s="22">
        <f t="shared" si="172"/>
        <v>-3.2171665669644454</v>
      </c>
      <c r="I975" s="22">
        <f t="shared" si="173"/>
        <v>1.0148696844993224</v>
      </c>
      <c r="J975" s="24"/>
      <c r="K975" s="24"/>
      <c r="L975" s="235">
        <f t="shared" si="168"/>
        <v>39.260906713762353</v>
      </c>
      <c r="M975" s="126"/>
      <c r="N975" s="126"/>
      <c r="O975" s="126"/>
      <c r="P975" s="10">
        <f t="shared" si="169"/>
        <v>-1.3609067137623541</v>
      </c>
      <c r="Q975" s="10">
        <f t="shared" si="174"/>
        <v>1.8520670835634498</v>
      </c>
      <c r="W975" s="240">
        <f t="shared" si="175"/>
        <v>1.3609067137623541</v>
      </c>
      <c r="X975" s="240">
        <f t="shared" si="176"/>
        <v>3.5907828859165013E-2</v>
      </c>
      <c r="Y975"/>
      <c r="Z975" s="13">
        <f t="shared" si="170"/>
        <v>20.742720077845721</v>
      </c>
      <c r="AA975" s="2"/>
      <c r="AB975" s="68"/>
      <c r="AC975" s="15">
        <f t="shared" si="171"/>
        <v>10.198512062856583</v>
      </c>
    </row>
    <row r="976" spans="1:29">
      <c r="A976" s="84">
        <f>'Q.1 &amp; 4'!K981</f>
        <v>5.4</v>
      </c>
      <c r="B976" s="141">
        <f>'Q.1 &amp; 4'!L981</f>
        <v>23.898299999999999</v>
      </c>
      <c r="C976" s="221"/>
      <c r="D976" s="23"/>
      <c r="E976" s="24"/>
      <c r="F976" s="22">
        <f t="shared" si="166"/>
        <v>1.8925925925925888</v>
      </c>
      <c r="G976" s="22">
        <f t="shared" si="167"/>
        <v>-10.808189069557365</v>
      </c>
      <c r="H976" s="22">
        <f t="shared" si="172"/>
        <v>-20.455498572384453</v>
      </c>
      <c r="I976" s="22">
        <f t="shared" si="173"/>
        <v>3.5819067215363369</v>
      </c>
      <c r="J976" s="24"/>
      <c r="K976" s="24"/>
      <c r="L976" s="235">
        <f t="shared" si="168"/>
        <v>26.150211804157603</v>
      </c>
      <c r="M976" s="126"/>
      <c r="N976" s="126"/>
      <c r="O976" s="126"/>
      <c r="P976" s="10">
        <f t="shared" si="169"/>
        <v>-2.2519118041576043</v>
      </c>
      <c r="Q976" s="10">
        <f t="shared" si="174"/>
        <v>5.071106773704356</v>
      </c>
      <c r="W976" s="240">
        <f t="shared" si="175"/>
        <v>2.2519118041576043</v>
      </c>
      <c r="X976" s="240">
        <f t="shared" si="176"/>
        <v>9.4228953697861537E-2</v>
      </c>
      <c r="Y976"/>
      <c r="Z976" s="13">
        <f t="shared" si="170"/>
        <v>73.209880642396797</v>
      </c>
      <c r="AA976" s="2"/>
      <c r="AB976" s="68"/>
      <c r="AC976" s="15">
        <f t="shared" si="171"/>
        <v>116.81695096329929</v>
      </c>
    </row>
    <row r="977" spans="1:29">
      <c r="A977" s="84">
        <f>'Q.1 &amp; 4'!K982</f>
        <v>4</v>
      </c>
      <c r="B977" s="141">
        <f>'Q.1 &amp; 4'!L982</f>
        <v>25.753499999999999</v>
      </c>
      <c r="C977" s="221"/>
      <c r="D977" s="23"/>
      <c r="E977" s="24"/>
      <c r="F977" s="22">
        <f t="shared" si="166"/>
        <v>0.49259259259258847</v>
      </c>
      <c r="G977" s="22">
        <f t="shared" si="167"/>
        <v>-8.9529890695573648</v>
      </c>
      <c r="H977" s="22">
        <f t="shared" si="172"/>
        <v>-4.4101760972263691</v>
      </c>
      <c r="I977" s="22">
        <f t="shared" si="173"/>
        <v>0.24264746227708786</v>
      </c>
      <c r="J977" s="24"/>
      <c r="K977" s="24"/>
      <c r="L977" s="235">
        <f t="shared" si="168"/>
        <v>32.479512795001277</v>
      </c>
      <c r="M977" s="126"/>
      <c r="N977" s="126"/>
      <c r="O977" s="126"/>
      <c r="P977" s="10">
        <f t="shared" si="169"/>
        <v>-6.726012795001278</v>
      </c>
      <c r="Q977" s="10">
        <f t="shared" si="174"/>
        <v>45.239248118520905</v>
      </c>
      <c r="W977" s="240">
        <f t="shared" si="175"/>
        <v>6.726012795001278</v>
      </c>
      <c r="X977" s="240">
        <f t="shared" si="176"/>
        <v>0.26116888170544889</v>
      </c>
      <c r="Y977"/>
      <c r="Z977" s="13">
        <f t="shared" si="170"/>
        <v>4.9594233274357071</v>
      </c>
      <c r="AA977" s="2"/>
      <c r="AB977" s="68"/>
      <c r="AC977" s="15">
        <f t="shared" si="171"/>
        <v>80.156013279613646</v>
      </c>
    </row>
    <row r="978" spans="1:29">
      <c r="A978" s="84">
        <f>'Q.1 &amp; 4'!K983</f>
        <v>4.5999999999999996</v>
      </c>
      <c r="B978" s="141">
        <f>'Q.1 &amp; 4'!L983</f>
        <v>26.662199999999999</v>
      </c>
      <c r="C978" s="221"/>
      <c r="D978" s="23"/>
      <c r="E978" s="24"/>
      <c r="F978" s="22">
        <f t="shared" si="166"/>
        <v>1.0925925925925881</v>
      </c>
      <c r="G978" s="22">
        <f t="shared" si="167"/>
        <v>-8.0442890695573652</v>
      </c>
      <c r="H978" s="22">
        <f t="shared" si="172"/>
        <v>-8.7891306500719004</v>
      </c>
      <c r="I978" s="22">
        <f t="shared" si="173"/>
        <v>1.1937585733881932</v>
      </c>
      <c r="J978" s="24"/>
      <c r="K978" s="24"/>
      <c r="L978" s="235">
        <f t="shared" si="168"/>
        <v>29.766955227496847</v>
      </c>
      <c r="M978" s="126"/>
      <c r="N978" s="126"/>
      <c r="O978" s="126"/>
      <c r="P978" s="10">
        <f t="shared" si="169"/>
        <v>-3.1047552274968488</v>
      </c>
      <c r="Q978" s="10">
        <f t="shared" si="174"/>
        <v>9.6395050226690095</v>
      </c>
      <c r="W978" s="240">
        <f t="shared" si="175"/>
        <v>3.1047552274968488</v>
      </c>
      <c r="X978" s="240">
        <f t="shared" si="176"/>
        <v>0.11644782604199387</v>
      </c>
      <c r="Y978"/>
      <c r="Z978" s="13">
        <f t="shared" si="170"/>
        <v>24.398994576861128</v>
      </c>
      <c r="AA978" s="2"/>
      <c r="AB978" s="68"/>
      <c r="AC978" s="15">
        <f t="shared" si="171"/>
        <v>64.710586634600105</v>
      </c>
    </row>
    <row r="979" spans="1:29">
      <c r="A979" s="84">
        <f>'Q.1 &amp; 4'!K984</f>
        <v>3.5</v>
      </c>
      <c r="B979" s="141">
        <f>'Q.1 &amp; 4'!L984</f>
        <v>30.380500000000001</v>
      </c>
      <c r="C979" s="221"/>
      <c r="D979" s="23"/>
      <c r="E979" s="24"/>
      <c r="F979" s="22">
        <f t="shared" si="166"/>
        <v>-7.4074074074115259E-3</v>
      </c>
      <c r="G979" s="22">
        <f t="shared" si="167"/>
        <v>-4.3259890695573624</v>
      </c>
      <c r="H979" s="22">
        <f t="shared" si="172"/>
        <v>3.2044363478220504E-2</v>
      </c>
      <c r="I979" s="22">
        <f t="shared" si="173"/>
        <v>5.4869684499375142E-5</v>
      </c>
      <c r="J979" s="24"/>
      <c r="K979" s="24"/>
      <c r="L979" s="235">
        <f t="shared" si="168"/>
        <v>34.739977434588305</v>
      </c>
      <c r="M979" s="126"/>
      <c r="N979" s="126"/>
      <c r="O979" s="126"/>
      <c r="P979" s="10">
        <f t="shared" si="169"/>
        <v>-4.3594774345883032</v>
      </c>
      <c r="Q979" s="10">
        <f t="shared" si="174"/>
        <v>19.005043502684615</v>
      </c>
      <c r="W979" s="240">
        <f t="shared" si="175"/>
        <v>4.3594774345883032</v>
      </c>
      <c r="X979" s="240">
        <f t="shared" si="176"/>
        <v>0.14349590805247783</v>
      </c>
      <c r="Y979"/>
      <c r="Z979" s="13">
        <f t="shared" si="170"/>
        <v>1.1214705924455365E-3</v>
      </c>
      <c r="AA979" s="2"/>
      <c r="AB979" s="68"/>
      <c r="AC979" s="15">
        <f t="shared" si="171"/>
        <v>18.714181429929774</v>
      </c>
    </row>
    <row r="980" spans="1:29">
      <c r="A980" s="84">
        <f>'Q.1 &amp; 4'!K985</f>
        <v>3.5</v>
      </c>
      <c r="B980" s="141">
        <f>'Q.1 &amp; 4'!L985</f>
        <v>30.2</v>
      </c>
      <c r="C980" s="221"/>
      <c r="D980" s="23"/>
      <c r="E980" s="24"/>
      <c r="F980" s="22">
        <f t="shared" si="166"/>
        <v>-7.4074074074115259E-3</v>
      </c>
      <c r="G980" s="22">
        <f t="shared" si="167"/>
        <v>-4.5064890695573645</v>
      </c>
      <c r="H980" s="22">
        <f t="shared" si="172"/>
        <v>3.33814005152583E-2</v>
      </c>
      <c r="I980" s="22">
        <f t="shared" si="173"/>
        <v>5.4869684499375142E-5</v>
      </c>
      <c r="J980" s="24"/>
      <c r="K980" s="24"/>
      <c r="L980" s="235">
        <f t="shared" si="168"/>
        <v>34.739977434588305</v>
      </c>
      <c r="M980" s="126"/>
      <c r="N980" s="126"/>
      <c r="O980" s="126"/>
      <c r="P980" s="10">
        <f t="shared" si="169"/>
        <v>-4.5399774345883053</v>
      </c>
      <c r="Q980" s="10">
        <f t="shared" si="174"/>
        <v>20.61139510657101</v>
      </c>
      <c r="W980" s="240">
        <f t="shared" si="175"/>
        <v>4.5399774345883053</v>
      </c>
      <c r="X980" s="240">
        <f t="shared" si="176"/>
        <v>0.15033037862875184</v>
      </c>
      <c r="Y980"/>
      <c r="Z980" s="13">
        <f t="shared" si="170"/>
        <v>1.1214705924455365E-3</v>
      </c>
      <c r="AA980" s="2"/>
      <c r="AB980" s="68"/>
      <c r="AC980" s="15">
        <f t="shared" si="171"/>
        <v>20.308443734040001</v>
      </c>
    </row>
    <row r="981" spans="1:29">
      <c r="A981" s="84">
        <f>'Q.1 &amp; 4'!K986</f>
        <v>3.6</v>
      </c>
      <c r="B981" s="141">
        <f>'Q.1 &amp; 4'!L986</f>
        <v>31.6</v>
      </c>
      <c r="C981" s="221"/>
      <c r="D981" s="23"/>
      <c r="E981" s="24"/>
      <c r="F981" s="22">
        <f t="shared" si="166"/>
        <v>9.2592592592588563E-2</v>
      </c>
      <c r="G981" s="22">
        <f t="shared" si="167"/>
        <v>-3.1064890695573624</v>
      </c>
      <c r="H981" s="22">
        <f t="shared" si="172"/>
        <v>-0.28763787681085434</v>
      </c>
      <c r="I981" s="22">
        <f t="shared" si="173"/>
        <v>8.573388203017087E-3</v>
      </c>
      <c r="J981" s="24"/>
      <c r="K981" s="24"/>
      <c r="L981" s="235">
        <f t="shared" si="168"/>
        <v>34.287884506670892</v>
      </c>
      <c r="M981" s="126"/>
      <c r="N981" s="126"/>
      <c r="O981" s="126"/>
      <c r="P981" s="10">
        <f t="shared" si="169"/>
        <v>-2.6878845066708905</v>
      </c>
      <c r="Q981" s="10">
        <f t="shared" si="174"/>
        <v>7.2247231212014169</v>
      </c>
      <c r="W981" s="240">
        <f t="shared" si="175"/>
        <v>2.6878845066708905</v>
      </c>
      <c r="X981" s="240">
        <f t="shared" si="176"/>
        <v>8.50596362870535E-2</v>
      </c>
      <c r="Y981"/>
      <c r="Z981" s="13">
        <f t="shared" si="170"/>
        <v>0.17522978006937417</v>
      </c>
      <c r="AA981" s="2"/>
      <c r="AB981" s="68"/>
      <c r="AC981" s="15">
        <f t="shared" si="171"/>
        <v>9.6502743392793668</v>
      </c>
    </row>
    <row r="982" spans="1:29">
      <c r="A982" s="84">
        <f>'Q.1 &amp; 4'!K987</f>
        <v>5.3</v>
      </c>
      <c r="B982" s="141">
        <f>'Q.1 &amp; 4'!L987</f>
        <v>29</v>
      </c>
      <c r="C982" s="221"/>
      <c r="D982" s="23"/>
      <c r="E982" s="24"/>
      <c r="F982" s="22">
        <f t="shared" si="166"/>
        <v>1.7925925925925883</v>
      </c>
      <c r="G982" s="22">
        <f t="shared" si="167"/>
        <v>-5.7064890695573638</v>
      </c>
      <c r="H982" s="22">
        <f t="shared" si="172"/>
        <v>-10.229410035799102</v>
      </c>
      <c r="I982" s="22">
        <f t="shared" si="173"/>
        <v>3.2133882030178174</v>
      </c>
      <c r="J982" s="24"/>
      <c r="K982" s="24"/>
      <c r="L982" s="235">
        <f t="shared" si="168"/>
        <v>26.602304732075012</v>
      </c>
      <c r="M982" s="126"/>
      <c r="N982" s="126"/>
      <c r="O982" s="126"/>
      <c r="P982" s="10">
        <f t="shared" si="169"/>
        <v>2.3976952679249877</v>
      </c>
      <c r="Q982" s="10">
        <f t="shared" si="174"/>
        <v>5.7489425978298785</v>
      </c>
      <c r="W982" s="240">
        <f t="shared" si="175"/>
        <v>2.3976952679249877</v>
      </c>
      <c r="X982" s="240">
        <f t="shared" si="176"/>
        <v>8.2679147169827161E-2</v>
      </c>
      <c r="Y982"/>
      <c r="Z982" s="13">
        <f t="shared" si="170"/>
        <v>65.677803775894262</v>
      </c>
      <c r="AA982" s="2"/>
      <c r="AB982" s="68"/>
      <c r="AC982" s="15">
        <f t="shared" si="171"/>
        <v>32.56401750097767</v>
      </c>
    </row>
    <row r="983" spans="1:29">
      <c r="A983" s="84">
        <f>'Q.1 &amp; 4'!K988</f>
        <v>6</v>
      </c>
      <c r="B983" s="141">
        <f>'Q.1 &amp; 4'!L988</f>
        <v>30.299900000000001</v>
      </c>
      <c r="C983" s="221"/>
      <c r="D983" s="23"/>
      <c r="E983" s="24"/>
      <c r="F983" s="22">
        <f t="shared" si="166"/>
        <v>2.4925925925925885</v>
      </c>
      <c r="G983" s="22">
        <f t="shared" si="167"/>
        <v>-4.4065890695573628</v>
      </c>
      <c r="H983" s="22">
        <f t="shared" si="172"/>
        <v>-10.983831273378149</v>
      </c>
      <c r="I983" s="22">
        <f t="shared" si="173"/>
        <v>6.2130178326474415</v>
      </c>
      <c r="J983" s="24"/>
      <c r="K983" s="24"/>
      <c r="L983" s="235">
        <f t="shared" si="168"/>
        <v>23.437654236653174</v>
      </c>
      <c r="M983" s="126"/>
      <c r="N983" s="126"/>
      <c r="O983" s="126"/>
      <c r="P983" s="10">
        <f t="shared" si="169"/>
        <v>6.8622457633468272</v>
      </c>
      <c r="Q983" s="10">
        <f t="shared" si="174"/>
        <v>47.090416916571478</v>
      </c>
      <c r="W983" s="240">
        <f t="shared" si="175"/>
        <v>6.8622457633468272</v>
      </c>
      <c r="X983" s="240">
        <f t="shared" si="176"/>
        <v>0.22647750531674452</v>
      </c>
      <c r="Y983"/>
      <c r="Z983" s="13">
        <f t="shared" si="170"/>
        <v>126.9866384912748</v>
      </c>
      <c r="AA983" s="2"/>
      <c r="AB983" s="68"/>
      <c r="AC983" s="15">
        <f t="shared" si="171"/>
        <v>19.418027227942424</v>
      </c>
    </row>
    <row r="984" spans="1:29">
      <c r="A984" s="84">
        <f>'Q.1 &amp; 4'!K989</f>
        <v>6.2</v>
      </c>
      <c r="B984" s="141">
        <f>'Q.1 &amp; 4'!L989</f>
        <v>27.4</v>
      </c>
      <c r="C984" s="221"/>
      <c r="D984" s="23"/>
      <c r="E984" s="24"/>
      <c r="F984" s="22">
        <f t="shared" si="166"/>
        <v>2.6925925925925887</v>
      </c>
      <c r="G984" s="22">
        <f t="shared" si="167"/>
        <v>-7.3064890695573652</v>
      </c>
      <c r="H984" s="22">
        <f t="shared" si="172"/>
        <v>-19.673398346548876</v>
      </c>
      <c r="I984" s="22">
        <f t="shared" si="173"/>
        <v>7.2500548696844778</v>
      </c>
      <c r="J984" s="24"/>
      <c r="K984" s="24"/>
      <c r="L984" s="235">
        <f t="shared" si="168"/>
        <v>22.533468380818363</v>
      </c>
      <c r="M984" s="126"/>
      <c r="N984" s="126"/>
      <c r="O984" s="126"/>
      <c r="P984" s="10">
        <f t="shared" si="169"/>
        <v>4.8665316191816359</v>
      </c>
      <c r="Q984" s="10">
        <f t="shared" si="174"/>
        <v>23.683130000494636</v>
      </c>
      <c r="W984" s="240">
        <f t="shared" si="175"/>
        <v>4.8665316191816359</v>
      </c>
      <c r="X984" s="240">
        <f t="shared" si="176"/>
        <v>0.17761064303582613</v>
      </c>
      <c r="Y984"/>
      <c r="Z984" s="13">
        <f t="shared" si="170"/>
        <v>148.18243268846774</v>
      </c>
      <c r="AA984" s="2"/>
      <c r="AB984" s="68"/>
      <c r="AC984" s="15">
        <f t="shared" si="171"/>
        <v>53.384782523561249</v>
      </c>
    </row>
    <row r="985" spans="1:29">
      <c r="A985" s="84">
        <f>'Q.1 &amp; 4'!K990</f>
        <v>2.4</v>
      </c>
      <c r="B985" s="141">
        <f>'Q.1 &amp; 4'!L990</f>
        <v>40.299999999999997</v>
      </c>
      <c r="C985" s="221"/>
      <c r="D985" s="23"/>
      <c r="E985" s="24"/>
      <c r="F985" s="22">
        <f t="shared" si="166"/>
        <v>-1.1074074074074116</v>
      </c>
      <c r="G985" s="22">
        <f t="shared" si="167"/>
        <v>5.5935109304426334</v>
      </c>
      <c r="H985" s="22">
        <f t="shared" si="172"/>
        <v>-6.1942954377864954</v>
      </c>
      <c r="I985" s="22">
        <f t="shared" si="173"/>
        <v>1.2263511659808048</v>
      </c>
      <c r="J985" s="24"/>
      <c r="K985" s="24"/>
      <c r="L985" s="235">
        <f t="shared" si="168"/>
        <v>39.712999641679758</v>
      </c>
      <c r="M985" s="126"/>
      <c r="N985" s="126"/>
      <c r="O985" s="126"/>
      <c r="P985" s="10">
        <f t="shared" si="169"/>
        <v>0.587000358320239</v>
      </c>
      <c r="Q985" s="10">
        <f t="shared" si="174"/>
        <v>0.34456942066808899</v>
      </c>
      <c r="W985" s="240">
        <f t="shared" si="175"/>
        <v>0.587000358320239</v>
      </c>
      <c r="X985" s="240">
        <f t="shared" si="176"/>
        <v>1.4565765715142408E-2</v>
      </c>
      <c r="Y985"/>
      <c r="Z985" s="13">
        <f t="shared" si="170"/>
        <v>25.065148108773304</v>
      </c>
      <c r="AA985" s="2"/>
      <c r="AB985" s="68"/>
      <c r="AC985" s="15">
        <f t="shared" si="171"/>
        <v>31.287364528981215</v>
      </c>
    </row>
    <row r="986" spans="1:29">
      <c r="A986" s="84">
        <f>'Q.1 &amp; 4'!K991</f>
        <v>3</v>
      </c>
      <c r="B986" s="141">
        <f>'Q.1 &amp; 4'!L991</f>
        <v>33.1</v>
      </c>
      <c r="C986" s="221"/>
      <c r="D986" s="23"/>
      <c r="E986" s="24"/>
      <c r="F986" s="22">
        <f t="shared" si="166"/>
        <v>-0.50740740740741153</v>
      </c>
      <c r="G986" s="22">
        <f t="shared" si="167"/>
        <v>-1.6064890695573624</v>
      </c>
      <c r="H986" s="22">
        <f t="shared" si="172"/>
        <v>0.81514445381244605</v>
      </c>
      <c r="I986" s="22">
        <f t="shared" si="173"/>
        <v>0.25746227709191088</v>
      </c>
      <c r="J986" s="24"/>
      <c r="K986" s="24"/>
      <c r="L986" s="235">
        <f t="shared" si="168"/>
        <v>37.000442074175325</v>
      </c>
      <c r="M986" s="126"/>
      <c r="N986" s="126"/>
      <c r="O986" s="126"/>
      <c r="P986" s="10">
        <f t="shared" si="169"/>
        <v>-3.9004420741753236</v>
      </c>
      <c r="Q986" s="10">
        <f t="shared" si="174"/>
        <v>15.213448373997101</v>
      </c>
      <c r="W986" s="240">
        <f t="shared" si="175"/>
        <v>3.9004420741753236</v>
      </c>
      <c r="X986" s="240">
        <f t="shared" si="176"/>
        <v>0.11783812912916385</v>
      </c>
      <c r="Y986"/>
      <c r="Z986" s="13">
        <f t="shared" si="170"/>
        <v>5.2622203873957725</v>
      </c>
      <c r="AA986" s="2"/>
      <c r="AB986" s="68"/>
      <c r="AC986" s="15">
        <f t="shared" si="171"/>
        <v>2.5808071306072797</v>
      </c>
    </row>
    <row r="987" spans="1:29">
      <c r="A987" s="84">
        <f>'Q.1 &amp; 4'!K992</f>
        <v>3.5</v>
      </c>
      <c r="B987" s="141">
        <f>'Q.1 &amp; 4'!L992</f>
        <v>34.6</v>
      </c>
      <c r="C987" s="221"/>
      <c r="D987" s="23"/>
      <c r="E987" s="24"/>
      <c r="F987" s="22">
        <f t="shared" si="166"/>
        <v>-7.4074074074115259E-3</v>
      </c>
      <c r="G987" s="22">
        <f t="shared" si="167"/>
        <v>-0.10648906955736237</v>
      </c>
      <c r="H987" s="22">
        <f t="shared" si="172"/>
        <v>7.8880792264756727E-4</v>
      </c>
      <c r="I987" s="22">
        <f t="shared" si="173"/>
        <v>5.4869684499375142E-5</v>
      </c>
      <c r="J987" s="24"/>
      <c r="K987" s="24"/>
      <c r="L987" s="235">
        <f t="shared" si="168"/>
        <v>34.739977434588305</v>
      </c>
      <c r="M987" s="126"/>
      <c r="N987" s="126"/>
      <c r="O987" s="126"/>
      <c r="P987" s="10">
        <f t="shared" si="169"/>
        <v>-0.13997743458830314</v>
      </c>
      <c r="Q987" s="10">
        <f t="shared" si="174"/>
        <v>1.9593682193922685E-2</v>
      </c>
      <c r="W987" s="240">
        <f t="shared" si="175"/>
        <v>0.13997743458830314</v>
      </c>
      <c r="X987" s="240">
        <f t="shared" si="176"/>
        <v>4.0455905950376632E-3</v>
      </c>
      <c r="Y987"/>
      <c r="Z987" s="13">
        <f t="shared" si="170"/>
        <v>1.1214705924455365E-3</v>
      </c>
      <c r="AA987" s="2"/>
      <c r="AB987" s="68"/>
      <c r="AC987" s="15">
        <f t="shared" si="171"/>
        <v>1.1339921935192761E-2</v>
      </c>
    </row>
    <row r="988" spans="1:29">
      <c r="A988" s="84">
        <f>'Q.1 &amp; 4'!K993</f>
        <v>2.4</v>
      </c>
      <c r="B988" s="141">
        <f>'Q.1 &amp; 4'!L993</f>
        <v>37.709800000000001</v>
      </c>
      <c r="C988" s="221"/>
      <c r="D988" s="23"/>
      <c r="E988" s="24"/>
      <c r="F988" s="22">
        <f t="shared" si="166"/>
        <v>-1.1074074074074116</v>
      </c>
      <c r="G988" s="22">
        <f t="shared" si="167"/>
        <v>3.0033109304426375</v>
      </c>
      <c r="H988" s="22">
        <f t="shared" si="172"/>
        <v>-3.3258887711198222</v>
      </c>
      <c r="I988" s="22">
        <f t="shared" si="173"/>
        <v>1.2263511659808048</v>
      </c>
      <c r="J988" s="24"/>
      <c r="K988" s="24"/>
      <c r="L988" s="235">
        <f t="shared" si="168"/>
        <v>39.712999641679758</v>
      </c>
      <c r="M988" s="126"/>
      <c r="N988" s="126"/>
      <c r="O988" s="126"/>
      <c r="P988" s="10">
        <f t="shared" si="169"/>
        <v>-2.0031996416797568</v>
      </c>
      <c r="Q988" s="10">
        <f t="shared" si="174"/>
        <v>4.012808804425906</v>
      </c>
      <c r="W988" s="240">
        <f t="shared" si="175"/>
        <v>2.0031996416797568</v>
      </c>
      <c r="X988" s="240">
        <f t="shared" si="176"/>
        <v>5.3121460248523107E-2</v>
      </c>
      <c r="Y988"/>
      <c r="Z988" s="13">
        <f t="shared" si="170"/>
        <v>25.065148108773304</v>
      </c>
      <c r="AA988" s="2"/>
      <c r="AB988" s="68"/>
      <c r="AC988" s="15">
        <f t="shared" si="171"/>
        <v>9.0198765449162206</v>
      </c>
    </row>
    <row r="989" spans="1:29">
      <c r="A989" s="84">
        <f>'Q.1 &amp; 4'!K994</f>
        <v>2.4</v>
      </c>
      <c r="B989" s="141">
        <f>'Q.1 &amp; 4'!L994</f>
        <v>31.3</v>
      </c>
      <c r="C989" s="221"/>
      <c r="D989" s="23"/>
      <c r="E989" s="24"/>
      <c r="F989" s="22">
        <f t="shared" si="166"/>
        <v>-1.1074074074074116</v>
      </c>
      <c r="G989" s="22">
        <f t="shared" si="167"/>
        <v>-3.4064890695573631</v>
      </c>
      <c r="H989" s="22">
        <f t="shared" si="172"/>
        <v>3.7723712288802052</v>
      </c>
      <c r="I989" s="22">
        <f t="shared" si="173"/>
        <v>1.2263511659808048</v>
      </c>
      <c r="J989" s="24"/>
      <c r="K989" s="24"/>
      <c r="L989" s="235">
        <f t="shared" si="168"/>
        <v>39.712999641679758</v>
      </c>
      <c r="M989" s="126"/>
      <c r="N989" s="126"/>
      <c r="O989" s="126"/>
      <c r="P989" s="10">
        <f t="shared" si="169"/>
        <v>-8.4129996416797574</v>
      </c>
      <c r="Q989" s="10">
        <f t="shared" si="174"/>
        <v>70.778562970903721</v>
      </c>
      <c r="W989" s="240">
        <f t="shared" si="175"/>
        <v>8.4129996416797574</v>
      </c>
      <c r="X989" s="240">
        <f t="shared" si="176"/>
        <v>0.26878593104408172</v>
      </c>
      <c r="Y989"/>
      <c r="Z989" s="13">
        <f t="shared" si="170"/>
        <v>25.065148108773304</v>
      </c>
      <c r="AA989" s="2"/>
      <c r="AB989" s="68"/>
      <c r="AC989" s="15">
        <f t="shared" si="171"/>
        <v>11.604167781013789</v>
      </c>
    </row>
    <row r="990" spans="1:29">
      <c r="A990" s="84">
        <f>'Q.1 &amp; 4'!K995</f>
        <v>2.4</v>
      </c>
      <c r="B990" s="141">
        <f>'Q.1 &amp; 4'!L995</f>
        <v>33.5</v>
      </c>
      <c r="C990" s="221"/>
      <c r="D990" s="23"/>
      <c r="E990" s="24"/>
      <c r="F990" s="22">
        <f t="shared" si="166"/>
        <v>-1.1074074074074116</v>
      </c>
      <c r="G990" s="22">
        <f t="shared" si="167"/>
        <v>-1.2064890695573638</v>
      </c>
      <c r="H990" s="22">
        <f t="shared" si="172"/>
        <v>1.3360749325839005</v>
      </c>
      <c r="I990" s="22">
        <f t="shared" si="173"/>
        <v>1.2263511659808048</v>
      </c>
      <c r="J990" s="24"/>
      <c r="K990" s="24"/>
      <c r="L990" s="235">
        <f t="shared" si="168"/>
        <v>39.712999641679758</v>
      </c>
      <c r="M990" s="126"/>
      <c r="N990" s="126"/>
      <c r="O990" s="126"/>
      <c r="P990" s="10">
        <f t="shared" si="169"/>
        <v>-6.2129996416797582</v>
      </c>
      <c r="Q990" s="10">
        <f t="shared" si="174"/>
        <v>38.601364547512802</v>
      </c>
      <c r="W990" s="240">
        <f t="shared" si="175"/>
        <v>6.2129996416797582</v>
      </c>
      <c r="X990" s="240">
        <f t="shared" si="176"/>
        <v>0.18546267587103757</v>
      </c>
      <c r="Y990"/>
      <c r="Z990" s="13">
        <f t="shared" si="170"/>
        <v>25.065148108773304</v>
      </c>
      <c r="AA990" s="2"/>
      <c r="AB990" s="68"/>
      <c r="AC990" s="15">
        <f t="shared" si="171"/>
        <v>1.4556158749613934</v>
      </c>
    </row>
    <row r="991" spans="1:29">
      <c r="A991" s="84">
        <f>'Q.1 &amp; 4'!K996</f>
        <v>3.5</v>
      </c>
      <c r="B991" s="141">
        <f>'Q.1 &amp; 4'!L996</f>
        <v>30.5</v>
      </c>
      <c r="C991" s="221"/>
      <c r="D991" s="23"/>
      <c r="E991" s="24"/>
      <c r="F991" s="22">
        <f t="shared" si="166"/>
        <v>-7.4074074074115259E-3</v>
      </c>
      <c r="G991" s="22">
        <f t="shared" si="167"/>
        <v>-4.2064890695573638</v>
      </c>
      <c r="H991" s="22">
        <f t="shared" si="172"/>
        <v>3.1159178293034835E-2</v>
      </c>
      <c r="I991" s="22">
        <f t="shared" si="173"/>
        <v>5.4869684499375142E-5</v>
      </c>
      <c r="J991" s="24"/>
      <c r="K991" s="24"/>
      <c r="L991" s="235">
        <f t="shared" si="168"/>
        <v>34.739977434588305</v>
      </c>
      <c r="M991" s="126"/>
      <c r="N991" s="126"/>
      <c r="O991" s="126"/>
      <c r="P991" s="10">
        <f t="shared" si="169"/>
        <v>-4.2399774345883046</v>
      </c>
      <c r="Q991" s="10">
        <f t="shared" si="174"/>
        <v>17.97740864581802</v>
      </c>
      <c r="W991" s="240">
        <f t="shared" si="175"/>
        <v>4.2399774345883046</v>
      </c>
      <c r="X991" s="240">
        <f t="shared" si="176"/>
        <v>0.13901565359305917</v>
      </c>
      <c r="Y991"/>
      <c r="Z991" s="13">
        <f t="shared" si="170"/>
        <v>1.1214705924455365E-3</v>
      </c>
      <c r="AA991" s="2"/>
      <c r="AB991" s="68"/>
      <c r="AC991" s="15">
        <f t="shared" si="171"/>
        <v>17.694550292305575</v>
      </c>
    </row>
    <row r="992" spans="1:29">
      <c r="A992" s="84">
        <f>'Q.1 &amp; 4'!K997</f>
        <v>3.7</v>
      </c>
      <c r="B992" s="141">
        <f>'Q.1 &amp; 4'!L997</f>
        <v>25.2</v>
      </c>
      <c r="C992" s="221"/>
      <c r="D992" s="23"/>
      <c r="E992" s="24"/>
      <c r="F992" s="22">
        <f t="shared" si="166"/>
        <v>0.19259259259258865</v>
      </c>
      <c r="G992" s="22">
        <f t="shared" si="167"/>
        <v>-9.5064890695573645</v>
      </c>
      <c r="H992" s="22">
        <f t="shared" si="172"/>
        <v>-1.8308793763591587</v>
      </c>
      <c r="I992" s="22">
        <f t="shared" si="173"/>
        <v>3.7091906721534833E-2</v>
      </c>
      <c r="J992" s="24"/>
      <c r="K992" s="24"/>
      <c r="L992" s="235">
        <f t="shared" si="168"/>
        <v>33.835791578753486</v>
      </c>
      <c r="M992" s="126"/>
      <c r="N992" s="126"/>
      <c r="O992" s="126"/>
      <c r="P992" s="10">
        <f t="shared" si="169"/>
        <v>-8.6357915787534871</v>
      </c>
      <c r="Q992" s="10">
        <f t="shared" si="174"/>
        <v>74.576896191669647</v>
      </c>
      <c r="W992" s="240">
        <f t="shared" si="175"/>
        <v>8.6357915787534871</v>
      </c>
      <c r="X992" s="240">
        <f t="shared" si="176"/>
        <v>0.34269014201402725</v>
      </c>
      <c r="Y992"/>
      <c r="Z992" s="13">
        <f t="shared" si="170"/>
        <v>0.75811412049216809</v>
      </c>
      <c r="AA992" s="2"/>
      <c r="AB992" s="68"/>
      <c r="AC992" s="15">
        <f t="shared" si="171"/>
        <v>90.373334429613649</v>
      </c>
    </row>
    <row r="993" spans="1:29">
      <c r="A993" s="84">
        <f>'Q.1 &amp; 4'!K998</f>
        <v>3.7</v>
      </c>
      <c r="B993" s="141">
        <f>'Q.1 &amp; 4'!L998</f>
        <v>25.1</v>
      </c>
      <c r="C993" s="221"/>
      <c r="D993" s="23"/>
      <c r="E993" s="24"/>
      <c r="F993" s="22">
        <f t="shared" si="166"/>
        <v>0.19259259259258865</v>
      </c>
      <c r="G993" s="22">
        <f t="shared" si="167"/>
        <v>-9.6064890695573624</v>
      </c>
      <c r="H993" s="22">
        <f t="shared" si="172"/>
        <v>-1.8501386356184171</v>
      </c>
      <c r="I993" s="22">
        <f t="shared" si="173"/>
        <v>3.7091906721534833E-2</v>
      </c>
      <c r="J993" s="24"/>
      <c r="K993" s="24"/>
      <c r="L993" s="235">
        <f t="shared" si="168"/>
        <v>33.835791578753486</v>
      </c>
      <c r="M993" s="126"/>
      <c r="N993" s="126"/>
      <c r="O993" s="126"/>
      <c r="P993" s="10">
        <f t="shared" si="169"/>
        <v>-8.735791578753485</v>
      </c>
      <c r="Q993" s="10">
        <f t="shared" si="174"/>
        <v>76.314054507420309</v>
      </c>
      <c r="W993" s="240">
        <f t="shared" si="175"/>
        <v>8.735791578753485</v>
      </c>
      <c r="X993" s="240">
        <f t="shared" si="176"/>
        <v>0.3480395051296209</v>
      </c>
      <c r="Y993"/>
      <c r="Z993" s="13">
        <f t="shared" si="170"/>
        <v>0.75811412049216809</v>
      </c>
      <c r="AA993" s="2"/>
      <c r="AB993" s="68"/>
      <c r="AC993" s="15">
        <f t="shared" si="171"/>
        <v>92.284632243525081</v>
      </c>
    </row>
    <row r="994" spans="1:29">
      <c r="A994" s="84">
        <f>'Q.1 &amp; 4'!K999</f>
        <v>5.3</v>
      </c>
      <c r="B994" s="141">
        <f>'Q.1 &amp; 4'!L999</f>
        <v>22.299900000000001</v>
      </c>
      <c r="C994" s="221"/>
      <c r="D994" s="23"/>
      <c r="E994" s="24"/>
      <c r="F994" s="22">
        <f t="shared" si="166"/>
        <v>1.7925925925925883</v>
      </c>
      <c r="G994" s="22">
        <f t="shared" si="167"/>
        <v>-12.406589069557363</v>
      </c>
      <c r="H994" s="22">
        <f t="shared" si="172"/>
        <v>-22.2399596654287</v>
      </c>
      <c r="I994" s="22">
        <f t="shared" si="173"/>
        <v>3.2133882030178174</v>
      </c>
      <c r="J994" s="24"/>
      <c r="K994" s="24"/>
      <c r="L994" s="235">
        <f t="shared" si="168"/>
        <v>26.602304732075012</v>
      </c>
      <c r="M994" s="126"/>
      <c r="N994" s="126"/>
      <c r="O994" s="126"/>
      <c r="P994" s="10">
        <f t="shared" si="169"/>
        <v>-4.3024047320750114</v>
      </c>
      <c r="Q994" s="10">
        <f t="shared" si="174"/>
        <v>18.510686478581452</v>
      </c>
      <c r="W994" s="240">
        <f t="shared" si="175"/>
        <v>4.3024047320750114</v>
      </c>
      <c r="X994" s="240">
        <f t="shared" si="176"/>
        <v>0.19293381280073055</v>
      </c>
      <c r="Y994"/>
      <c r="Z994" s="13">
        <f t="shared" si="170"/>
        <v>65.677803775894262</v>
      </c>
      <c r="AA994" s="2"/>
      <c r="AB994" s="68"/>
      <c r="AC994" s="15">
        <f t="shared" si="171"/>
        <v>153.92345234086022</v>
      </c>
    </row>
    <row r="995" spans="1:29">
      <c r="A995" s="84">
        <f>'Q.1 &amp; 4'!K1000</f>
        <v>2.4</v>
      </c>
      <c r="B995" s="141">
        <f>'Q.1 &amp; 4'!L1000</f>
        <v>37.6</v>
      </c>
      <c r="C995" s="221"/>
      <c r="D995" s="23"/>
      <c r="E995" s="24"/>
      <c r="F995" s="22">
        <f t="shared" si="166"/>
        <v>-1.1074074074074116</v>
      </c>
      <c r="G995" s="22">
        <f t="shared" si="167"/>
        <v>2.8935109304426376</v>
      </c>
      <c r="H995" s="22">
        <f t="shared" si="172"/>
        <v>-3.2042954377864885</v>
      </c>
      <c r="I995" s="22">
        <f t="shared" si="173"/>
        <v>1.2263511659808048</v>
      </c>
      <c r="J995" s="24"/>
      <c r="K995" s="24"/>
      <c r="L995" s="235">
        <f t="shared" si="168"/>
        <v>39.712999641679758</v>
      </c>
      <c r="M995" s="126"/>
      <c r="N995" s="126"/>
      <c r="O995" s="126"/>
      <c r="P995" s="10">
        <f t="shared" si="169"/>
        <v>-2.1129996416797567</v>
      </c>
      <c r="Q995" s="10">
        <f t="shared" si="174"/>
        <v>4.46476748573878</v>
      </c>
      <c r="W995" s="240">
        <f t="shared" si="175"/>
        <v>2.1129996416797567</v>
      </c>
      <c r="X995" s="240">
        <f t="shared" si="176"/>
        <v>5.6196798980844592E-2</v>
      </c>
      <c r="Y995"/>
      <c r="Z995" s="13">
        <f t="shared" si="170"/>
        <v>25.065148108773304</v>
      </c>
      <c r="AA995" s="2"/>
      <c r="AB995" s="68"/>
      <c r="AC995" s="15">
        <f t="shared" si="171"/>
        <v>8.3724055045910184</v>
      </c>
    </row>
    <row r="996" spans="1:29">
      <c r="A996" s="84">
        <f>'Q.1 &amp; 4'!K1001</f>
        <v>3.5</v>
      </c>
      <c r="B996" s="141">
        <f>'Q.1 &amp; 4'!L1001</f>
        <v>36</v>
      </c>
      <c r="C996" s="221"/>
      <c r="D996" s="23"/>
      <c r="E996" s="24"/>
      <c r="F996" s="22">
        <f t="shared" si="166"/>
        <v>-7.4074074074115259E-3</v>
      </c>
      <c r="G996" s="22">
        <f t="shared" si="167"/>
        <v>1.2935109304426362</v>
      </c>
      <c r="H996" s="22">
        <f t="shared" si="172"/>
        <v>-9.5815624477285592E-3</v>
      </c>
      <c r="I996" s="22">
        <f t="shared" si="173"/>
        <v>5.4869684499375142E-5</v>
      </c>
      <c r="J996" s="24"/>
      <c r="K996" s="24"/>
      <c r="L996" s="235">
        <f t="shared" si="168"/>
        <v>34.739977434588305</v>
      </c>
      <c r="M996" s="126"/>
      <c r="N996" s="126"/>
      <c r="O996" s="126"/>
      <c r="P996" s="10">
        <f t="shared" si="169"/>
        <v>1.2600225654116954</v>
      </c>
      <c r="Q996" s="10">
        <f t="shared" si="174"/>
        <v>1.5876568653466703</v>
      </c>
      <c r="W996" s="240">
        <f t="shared" si="175"/>
        <v>1.2600225654116954</v>
      </c>
      <c r="X996" s="240">
        <f t="shared" si="176"/>
        <v>3.5000626816991537E-2</v>
      </c>
      <c r="Y996"/>
      <c r="Z996" s="13">
        <f t="shared" si="170"/>
        <v>1.1214705924455365E-3</v>
      </c>
      <c r="AA996" s="2"/>
      <c r="AB996" s="68"/>
      <c r="AC996" s="15">
        <f t="shared" si="171"/>
        <v>1.6731705271745745</v>
      </c>
    </row>
    <row r="997" spans="1:29">
      <c r="A997" s="84">
        <f>'Q.1 &amp; 4'!K1002</f>
        <v>2.4</v>
      </c>
      <c r="B997" s="141">
        <f>'Q.1 &amp; 4'!L1002</f>
        <v>39.204099999999997</v>
      </c>
      <c r="C997" s="221"/>
      <c r="D997" s="23"/>
      <c r="E997" s="24"/>
      <c r="F997" s="22">
        <f t="shared" si="166"/>
        <v>-1.1074074074074116</v>
      </c>
      <c r="G997" s="22">
        <f t="shared" si="167"/>
        <v>4.497610930442633</v>
      </c>
      <c r="H997" s="22">
        <f t="shared" si="172"/>
        <v>-4.9806876600087122</v>
      </c>
      <c r="I997" s="22">
        <f t="shared" si="173"/>
        <v>1.2263511659808048</v>
      </c>
      <c r="J997" s="24"/>
      <c r="K997" s="24"/>
      <c r="L997" s="235">
        <f t="shared" si="168"/>
        <v>39.712999641679758</v>
      </c>
      <c r="M997" s="126"/>
      <c r="N997" s="126"/>
      <c r="O997" s="126"/>
      <c r="P997" s="10">
        <f t="shared" si="169"/>
        <v>-0.50889964167976132</v>
      </c>
      <c r="Q997" s="10">
        <f t="shared" si="174"/>
        <v>0.25897884530178944</v>
      </c>
      <c r="W997" s="240">
        <f t="shared" si="175"/>
        <v>0.50889964167976132</v>
      </c>
      <c r="X997" s="240">
        <f t="shared" si="176"/>
        <v>1.2980776033112897E-2</v>
      </c>
      <c r="Y997"/>
      <c r="Z997" s="13">
        <f t="shared" si="170"/>
        <v>25.065148108773304</v>
      </c>
      <c r="AA997" s="2"/>
      <c r="AB997" s="68"/>
      <c r="AC997" s="15">
        <f t="shared" si="171"/>
        <v>20.228504081637048</v>
      </c>
    </row>
    <row r="998" spans="1:29">
      <c r="A998" s="84">
        <f>'Q.1 &amp; 4'!K1003</f>
        <v>2.4</v>
      </c>
      <c r="B998" s="141">
        <f>'Q.1 &amp; 4'!L1003</f>
        <v>38.6</v>
      </c>
      <c r="C998" s="221"/>
      <c r="D998" s="23"/>
      <c r="E998" s="24"/>
      <c r="F998" s="22">
        <f t="shared" si="166"/>
        <v>-1.1074074074074116</v>
      </c>
      <c r="G998" s="22">
        <f t="shared" si="167"/>
        <v>3.8935109304426376</v>
      </c>
      <c r="H998" s="22">
        <f t="shared" si="172"/>
        <v>-4.3117028451939001</v>
      </c>
      <c r="I998" s="22">
        <f t="shared" si="173"/>
        <v>1.2263511659808048</v>
      </c>
      <c r="J998" s="24"/>
      <c r="K998" s="24"/>
      <c r="L998" s="235">
        <f t="shared" si="168"/>
        <v>39.712999641679758</v>
      </c>
      <c r="M998" s="126"/>
      <c r="N998" s="126"/>
      <c r="O998" s="126"/>
      <c r="P998" s="10">
        <f t="shared" si="169"/>
        <v>-1.1129996416797567</v>
      </c>
      <c r="Q998" s="10">
        <f t="shared" si="174"/>
        <v>1.238768202379267</v>
      </c>
      <c r="W998" s="240">
        <f t="shared" si="175"/>
        <v>1.1129996416797567</v>
      </c>
      <c r="X998" s="240">
        <f t="shared" si="176"/>
        <v>2.8834187608283851E-2</v>
      </c>
      <c r="Y998"/>
      <c r="Z998" s="13">
        <f t="shared" si="170"/>
        <v>25.065148108773304</v>
      </c>
      <c r="AA998" s="2"/>
      <c r="AB998" s="68"/>
      <c r="AC998" s="15">
        <f t="shared" si="171"/>
        <v>15.159427365476294</v>
      </c>
    </row>
    <row r="999" spans="1:29">
      <c r="A999" s="84">
        <f>'Q.1 &amp; 4'!K1004</f>
        <v>3.8</v>
      </c>
      <c r="B999" s="141">
        <f>'Q.1 &amp; 4'!L1004</f>
        <v>31.1</v>
      </c>
      <c r="C999" s="221"/>
      <c r="D999" s="23"/>
      <c r="E999" s="24"/>
      <c r="F999" s="22">
        <f t="shared" si="166"/>
        <v>0.2925925925925883</v>
      </c>
      <c r="G999" s="22">
        <f t="shared" si="167"/>
        <v>-3.6064890695573624</v>
      </c>
      <c r="H999" s="22">
        <f t="shared" si="172"/>
        <v>-1.0552319870186202</v>
      </c>
      <c r="I999" s="22">
        <f t="shared" si="173"/>
        <v>8.5610425240052357E-2</v>
      </c>
      <c r="J999" s="24"/>
      <c r="K999" s="24"/>
      <c r="L999" s="235">
        <f t="shared" si="168"/>
        <v>33.383698650836088</v>
      </c>
      <c r="M999" s="126"/>
      <c r="N999" s="126"/>
      <c r="O999" s="126"/>
      <c r="P999" s="10">
        <f t="shared" si="169"/>
        <v>-2.2836986508360866</v>
      </c>
      <c r="Q999" s="10">
        <f t="shared" si="174"/>
        <v>5.2152795278305621</v>
      </c>
      <c r="W999" s="240">
        <f t="shared" si="175"/>
        <v>2.2836986508360866</v>
      </c>
      <c r="X999" s="240">
        <f t="shared" si="176"/>
        <v>7.3430824785726254E-2</v>
      </c>
      <c r="Y999"/>
      <c r="Z999" s="13">
        <f t="shared" si="170"/>
        <v>1.749774491860808</v>
      </c>
      <c r="AA999" s="2"/>
      <c r="AB999" s="68"/>
      <c r="AC999" s="15">
        <f t="shared" si="171"/>
        <v>13.006763408836729</v>
      </c>
    </row>
    <row r="1000" spans="1:29">
      <c r="A1000" s="84">
        <f>'Q.1 &amp; 4'!K1005</f>
        <v>3.5</v>
      </c>
      <c r="B1000" s="141">
        <f>'Q.1 &amp; 4'!L1005</f>
        <v>29.773399999999999</v>
      </c>
      <c r="C1000" s="221"/>
      <c r="D1000" s="23"/>
      <c r="E1000" s="24"/>
      <c r="F1000" s="22">
        <f t="shared" si="166"/>
        <v>-7.4074074074115259E-3</v>
      </c>
      <c r="G1000" s="22">
        <f t="shared" si="167"/>
        <v>-4.933089069557365</v>
      </c>
      <c r="H1000" s="22">
        <f t="shared" si="172"/>
        <v>3.6541400515260059E-2</v>
      </c>
      <c r="I1000" s="22">
        <f t="shared" si="173"/>
        <v>5.4869684499375142E-5</v>
      </c>
      <c r="J1000" s="24"/>
      <c r="K1000" s="24"/>
      <c r="L1000" s="235">
        <f t="shared" si="168"/>
        <v>34.739977434588305</v>
      </c>
      <c r="M1000" s="126"/>
      <c r="N1000" s="126"/>
      <c r="O1000" s="126"/>
      <c r="P1000" s="10">
        <f t="shared" si="169"/>
        <v>-4.9665774345883058</v>
      </c>
      <c r="Q1000" s="10">
        <f t="shared" si="174"/>
        <v>24.666891413761757</v>
      </c>
      <c r="W1000" s="240">
        <f t="shared" si="175"/>
        <v>4.9665774345883058</v>
      </c>
      <c r="X1000" s="240">
        <f t="shared" si="176"/>
        <v>0.16681257211431366</v>
      </c>
      <c r="Y1000"/>
      <c r="Z1000" s="13">
        <f t="shared" si="170"/>
        <v>1.1214705924455365E-3</v>
      </c>
      <c r="AA1000" s="2"/>
      <c r="AB1000" s="68"/>
      <c r="AC1000" s="15">
        <f t="shared" si="171"/>
        <v>24.335367768186348</v>
      </c>
    </row>
    <row r="1001" spans="1:29">
      <c r="A1001" s="84">
        <f>'Q.1 &amp; 4'!K1006</f>
        <v>5</v>
      </c>
      <c r="B1001" s="141">
        <f>'Q.1 &amp; 4'!L1006</f>
        <v>27.251100000000001</v>
      </c>
      <c r="C1001" s="221"/>
      <c r="D1001" s="23"/>
      <c r="E1001" s="24"/>
      <c r="F1001" s="22">
        <f t="shared" si="166"/>
        <v>1.4925925925925885</v>
      </c>
      <c r="G1001" s="22">
        <f t="shared" si="167"/>
        <v>-7.4553890695573628</v>
      </c>
      <c r="H1001" s="22">
        <f t="shared" si="172"/>
        <v>-11.127858500117069</v>
      </c>
      <c r="I1001" s="22">
        <f t="shared" si="173"/>
        <v>2.2278326474622649</v>
      </c>
      <c r="J1001" s="24"/>
      <c r="K1001" s="24"/>
      <c r="L1001" s="235">
        <f t="shared" si="168"/>
        <v>27.958583515827225</v>
      </c>
      <c r="M1001" s="126"/>
      <c r="N1001" s="126"/>
      <c r="O1001" s="126"/>
      <c r="P1001" s="10">
        <f t="shared" si="169"/>
        <v>-0.70748351582722435</v>
      </c>
      <c r="Q1001" s="10">
        <f t="shared" si="174"/>
        <v>0.50053292516725045</v>
      </c>
      <c r="W1001" s="240">
        <f t="shared" si="175"/>
        <v>0.70748351582722435</v>
      </c>
      <c r="X1001" s="240">
        <f t="shared" si="176"/>
        <v>2.5961649835317631E-2</v>
      </c>
      <c r="Y1001"/>
      <c r="Z1001" s="13">
        <f t="shared" si="170"/>
        <v>45.53422936206205</v>
      </c>
      <c r="AA1001" s="2"/>
      <c r="AB1001" s="68"/>
      <c r="AC1001" s="15">
        <f t="shared" si="171"/>
        <v>55.582826178475401</v>
      </c>
    </row>
    <row r="1002" spans="1:29">
      <c r="A1002" s="84">
        <f>'Q.1 &amp; 4'!K1007</f>
        <v>5.6</v>
      </c>
      <c r="B1002" s="141">
        <f>'Q.1 &amp; 4'!L1007</f>
        <v>23.6</v>
      </c>
      <c r="C1002" s="221"/>
      <c r="D1002" s="23"/>
      <c r="E1002" s="24"/>
      <c r="F1002" s="22">
        <f t="shared" si="166"/>
        <v>2.0925925925925881</v>
      </c>
      <c r="G1002" s="22">
        <f t="shared" si="167"/>
        <v>-11.106489069557362</v>
      </c>
      <c r="H1002" s="22">
        <f t="shared" si="172"/>
        <v>-23.241356756666281</v>
      </c>
      <c r="I1002" s="22">
        <f t="shared" si="173"/>
        <v>4.378943758573369</v>
      </c>
      <c r="J1002" s="24"/>
      <c r="K1002" s="24"/>
      <c r="L1002" s="235">
        <f t="shared" si="168"/>
        <v>25.246025948322796</v>
      </c>
      <c r="M1002" s="126"/>
      <c r="N1002" s="126"/>
      <c r="O1002" s="126"/>
      <c r="P1002" s="10">
        <f t="shared" si="169"/>
        <v>-1.6460259483227944</v>
      </c>
      <c r="Q1002" s="10">
        <f t="shared" si="174"/>
        <v>2.7094014225519545</v>
      </c>
      <c r="W1002" s="240">
        <f t="shared" si="175"/>
        <v>1.6460259483227944</v>
      </c>
      <c r="X1002" s="240">
        <f t="shared" si="176"/>
        <v>6.9746862217067551E-2</v>
      </c>
      <c r="Y1002"/>
      <c r="Z1002" s="13">
        <f t="shared" si="170"/>
        <v>89.500362468239302</v>
      </c>
      <c r="AA1002" s="2"/>
      <c r="AB1002" s="68"/>
      <c r="AC1002" s="15">
        <f t="shared" si="171"/>
        <v>123.35409945219716</v>
      </c>
    </row>
    <row r="1003" spans="1:29">
      <c r="A1003" s="84">
        <f>'Q.1 &amp; 4'!K1008</f>
        <v>3.7</v>
      </c>
      <c r="B1003" s="141">
        <f>'Q.1 &amp; 4'!L1008</f>
        <v>26.6</v>
      </c>
      <c r="C1003" s="221"/>
      <c r="D1003" s="23"/>
      <c r="E1003" s="24"/>
      <c r="F1003" s="22">
        <f t="shared" si="166"/>
        <v>0.19259259259258865</v>
      </c>
      <c r="G1003" s="22">
        <f t="shared" si="167"/>
        <v>-8.1064890695573624</v>
      </c>
      <c r="H1003" s="22">
        <f t="shared" si="172"/>
        <v>-1.5612497467295341</v>
      </c>
      <c r="I1003" s="22">
        <f t="shared" si="173"/>
        <v>3.7091906721534833E-2</v>
      </c>
      <c r="J1003" s="24"/>
      <c r="K1003" s="24"/>
      <c r="L1003" s="235">
        <f t="shared" si="168"/>
        <v>33.835791578753486</v>
      </c>
      <c r="M1003" s="126"/>
      <c r="N1003" s="126"/>
      <c r="O1003" s="126"/>
      <c r="P1003" s="10">
        <f t="shared" si="169"/>
        <v>-7.235791578753485</v>
      </c>
      <c r="Q1003" s="10">
        <f t="shared" si="174"/>
        <v>52.356679771159854</v>
      </c>
      <c r="W1003" s="240">
        <f t="shared" si="175"/>
        <v>7.235791578753485</v>
      </c>
      <c r="X1003" s="240">
        <f t="shared" si="176"/>
        <v>0.27202223980276258</v>
      </c>
      <c r="Y1003"/>
      <c r="Z1003" s="13">
        <f t="shared" si="170"/>
        <v>0.75811412049216809</v>
      </c>
      <c r="AA1003" s="2"/>
      <c r="AB1003" s="68"/>
      <c r="AC1003" s="15">
        <f t="shared" si="171"/>
        <v>65.715165034852987</v>
      </c>
    </row>
    <row r="1004" spans="1:29">
      <c r="A1004" s="84">
        <f>'Q.1 &amp; 4'!K1009</f>
        <v>5.7</v>
      </c>
      <c r="B1004" s="141">
        <f>'Q.1 &amp; 4'!L1009</f>
        <v>26</v>
      </c>
      <c r="C1004" s="221"/>
      <c r="D1004" s="23"/>
      <c r="E1004" s="24"/>
      <c r="F1004" s="22">
        <f t="shared" si="166"/>
        <v>2.1925925925925887</v>
      </c>
      <c r="G1004" s="22">
        <f t="shared" si="167"/>
        <v>-8.7064890695573638</v>
      </c>
      <c r="H1004" s="22">
        <f t="shared" si="172"/>
        <v>-19.089783441399817</v>
      </c>
      <c r="I1004" s="22">
        <f t="shared" si="173"/>
        <v>4.8074622770918891</v>
      </c>
      <c r="J1004" s="24"/>
      <c r="K1004" s="24"/>
      <c r="L1004" s="235">
        <f t="shared" si="168"/>
        <v>24.793933020405387</v>
      </c>
      <c r="M1004" s="126"/>
      <c r="N1004" s="126"/>
      <c r="O1004" s="126"/>
      <c r="P1004" s="10">
        <f t="shared" si="169"/>
        <v>1.2060669795946133</v>
      </c>
      <c r="Q1004" s="10">
        <f t="shared" si="174"/>
        <v>1.4545975592684735</v>
      </c>
      <c r="W1004" s="240">
        <f t="shared" si="175"/>
        <v>1.2060669795946133</v>
      </c>
      <c r="X1004" s="240">
        <f t="shared" si="176"/>
        <v>4.6387191522869742E-2</v>
      </c>
      <c r="Y1004"/>
      <c r="Z1004" s="13">
        <f t="shared" si="170"/>
        <v>98.258767427579457</v>
      </c>
      <c r="AA1004" s="2"/>
      <c r="AB1004" s="68"/>
      <c r="AC1004" s="15">
        <f t="shared" si="171"/>
        <v>75.802951918321853</v>
      </c>
    </row>
    <row r="1005" spans="1:29">
      <c r="A1005" s="84">
        <f>'Q.1 &amp; 4'!K1010</f>
        <v>2.4</v>
      </c>
      <c r="B1005" s="141">
        <f>'Q.1 &amp; 4'!L1010</f>
        <v>38.6</v>
      </c>
      <c r="C1005" s="221"/>
      <c r="D1005" s="23"/>
      <c r="E1005" s="24"/>
      <c r="F1005" s="22">
        <f t="shared" si="166"/>
        <v>-1.1074074074074116</v>
      </c>
      <c r="G1005" s="22">
        <f t="shared" si="167"/>
        <v>3.8935109304426376</v>
      </c>
      <c r="H1005" s="22">
        <f t="shared" si="172"/>
        <v>-4.3117028451939001</v>
      </c>
      <c r="I1005" s="22">
        <f t="shared" si="173"/>
        <v>1.2263511659808048</v>
      </c>
      <c r="J1005" s="24"/>
      <c r="K1005" s="24"/>
      <c r="L1005" s="235">
        <f t="shared" si="168"/>
        <v>39.712999641679758</v>
      </c>
      <c r="M1005" s="126"/>
      <c r="N1005" s="126"/>
      <c r="O1005" s="126"/>
      <c r="P1005" s="10">
        <f t="shared" si="169"/>
        <v>-1.1129996416797567</v>
      </c>
      <c r="Q1005" s="10">
        <f t="shared" si="174"/>
        <v>1.238768202379267</v>
      </c>
      <c r="W1005" s="240">
        <f t="shared" si="175"/>
        <v>1.1129996416797567</v>
      </c>
      <c r="X1005" s="240">
        <f t="shared" si="176"/>
        <v>2.8834187608283851E-2</v>
      </c>
      <c r="Y1005"/>
      <c r="Z1005" s="13">
        <f t="shared" si="170"/>
        <v>25.065148108773304</v>
      </c>
      <c r="AA1005" s="2"/>
      <c r="AB1005" s="68"/>
      <c r="AC1005" s="15">
        <f t="shared" si="171"/>
        <v>15.159427365476294</v>
      </c>
    </row>
    <row r="1006" spans="1:29">
      <c r="A1006" s="84">
        <f>'Q.1 &amp; 4'!K1011</f>
        <v>2.4</v>
      </c>
      <c r="B1006" s="141">
        <f>'Q.1 &amp; 4'!L1011</f>
        <v>33.6</v>
      </c>
      <c r="C1006" s="221"/>
      <c r="D1006" s="23"/>
      <c r="E1006" s="24"/>
      <c r="F1006" s="22">
        <f t="shared" si="166"/>
        <v>-1.1074074074074116</v>
      </c>
      <c r="G1006" s="22">
        <f t="shared" si="167"/>
        <v>-1.1064890695573624</v>
      </c>
      <c r="H1006" s="22">
        <f t="shared" si="172"/>
        <v>1.2253341918431577</v>
      </c>
      <c r="I1006" s="22">
        <f t="shared" si="173"/>
        <v>1.2263511659808048</v>
      </c>
      <c r="J1006" s="24"/>
      <c r="K1006" s="24"/>
      <c r="L1006" s="235">
        <f t="shared" si="168"/>
        <v>39.712999641679758</v>
      </c>
      <c r="M1006" s="126"/>
      <c r="N1006" s="126"/>
      <c r="O1006" s="126"/>
      <c r="P1006" s="10">
        <f t="shared" si="169"/>
        <v>-6.1129996416797567</v>
      </c>
      <c r="Q1006" s="10">
        <f t="shared" si="174"/>
        <v>37.368764619176837</v>
      </c>
      <c r="W1006" s="240">
        <f t="shared" si="175"/>
        <v>6.1129996416797567</v>
      </c>
      <c r="X1006" s="240">
        <f t="shared" si="176"/>
        <v>0.18193451314523085</v>
      </c>
      <c r="Y1006"/>
      <c r="Z1006" s="13">
        <f t="shared" si="170"/>
        <v>25.065148108773304</v>
      </c>
      <c r="AA1006" s="2"/>
      <c r="AB1006" s="68"/>
      <c r="AC1006" s="15">
        <f t="shared" si="171"/>
        <v>1.2243180610499176</v>
      </c>
    </row>
    <row r="1007" spans="1:29">
      <c r="A1007" s="84">
        <f>'Q.1 &amp; 4'!K1012</f>
        <v>3.7</v>
      </c>
      <c r="B1007" s="141">
        <f>'Q.1 &amp; 4'!L1012</f>
        <v>27.5</v>
      </c>
      <c r="C1007" s="221"/>
      <c r="D1007" s="23"/>
      <c r="E1007" s="24"/>
      <c r="F1007" s="22">
        <f t="shared" si="166"/>
        <v>0.19259259259258865</v>
      </c>
      <c r="G1007" s="22">
        <f t="shared" si="167"/>
        <v>-7.2064890695573638</v>
      </c>
      <c r="H1007" s="22">
        <f t="shared" si="172"/>
        <v>-1.3879164133962045</v>
      </c>
      <c r="I1007" s="22">
        <f t="shared" si="173"/>
        <v>3.7091906721534833E-2</v>
      </c>
      <c r="J1007" s="24"/>
      <c r="K1007" s="24"/>
      <c r="L1007" s="235">
        <f t="shared" si="168"/>
        <v>33.835791578753486</v>
      </c>
      <c r="M1007" s="126"/>
      <c r="N1007" s="126"/>
      <c r="O1007" s="126"/>
      <c r="P1007" s="10">
        <f t="shared" si="169"/>
        <v>-6.3357915787534864</v>
      </c>
      <c r="Q1007" s="10">
        <f t="shared" si="174"/>
        <v>40.142254929403599</v>
      </c>
      <c r="W1007" s="240">
        <f t="shared" si="175"/>
        <v>6.3357915787534864</v>
      </c>
      <c r="X1007" s="240">
        <f t="shared" si="176"/>
        <v>0.23039242104558133</v>
      </c>
      <c r="Y1007"/>
      <c r="Z1007" s="13">
        <f t="shared" si="170"/>
        <v>0.75811412049216809</v>
      </c>
      <c r="AA1007" s="2"/>
      <c r="AB1007" s="68"/>
      <c r="AC1007" s="15">
        <f t="shared" si="171"/>
        <v>51.933484709649761</v>
      </c>
    </row>
    <row r="1008" spans="1:29">
      <c r="A1008" s="84">
        <f>'Q.1 &amp; 4'!K1013</f>
        <v>5.7</v>
      </c>
      <c r="B1008" s="141">
        <f>'Q.1 &amp; 4'!L1013</f>
        <v>26</v>
      </c>
      <c r="C1008" s="221"/>
      <c r="D1008" s="23"/>
      <c r="E1008" s="24"/>
      <c r="F1008" s="22">
        <f t="shared" si="166"/>
        <v>2.1925925925925887</v>
      </c>
      <c r="G1008" s="22">
        <f t="shared" si="167"/>
        <v>-8.7064890695573638</v>
      </c>
      <c r="H1008" s="22">
        <f t="shared" si="172"/>
        <v>-19.089783441399817</v>
      </c>
      <c r="I1008" s="22">
        <f t="shared" si="173"/>
        <v>4.8074622770918891</v>
      </c>
      <c r="J1008" s="24"/>
      <c r="K1008" s="24"/>
      <c r="L1008" s="235">
        <f t="shared" si="168"/>
        <v>24.793933020405387</v>
      </c>
      <c r="M1008" s="126"/>
      <c r="N1008" s="126"/>
      <c r="O1008" s="126"/>
      <c r="P1008" s="10">
        <f t="shared" si="169"/>
        <v>1.2060669795946133</v>
      </c>
      <c r="Q1008" s="10">
        <f t="shared" si="174"/>
        <v>1.4545975592684735</v>
      </c>
      <c r="W1008" s="240">
        <f t="shared" si="175"/>
        <v>1.2060669795946133</v>
      </c>
      <c r="X1008" s="240">
        <f t="shared" si="176"/>
        <v>4.6387191522869742E-2</v>
      </c>
      <c r="Y1008"/>
      <c r="Z1008" s="13">
        <f t="shared" si="170"/>
        <v>98.258767427579457</v>
      </c>
      <c r="AA1008" s="2"/>
      <c r="AB1008" s="68"/>
      <c r="AC1008" s="15">
        <f t="shared" si="171"/>
        <v>75.802951918321853</v>
      </c>
    </row>
    <row r="1009" spans="1:29">
      <c r="A1009" s="84">
        <f>'Q.1 &amp; 4'!K1014</f>
        <v>6.1</v>
      </c>
      <c r="B1009" s="141">
        <f>'Q.1 &amp; 4'!L1014</f>
        <v>20.9</v>
      </c>
      <c r="C1009" s="221"/>
      <c r="D1009" s="23"/>
      <c r="E1009" s="24"/>
      <c r="F1009" s="22">
        <f t="shared" si="166"/>
        <v>2.5925925925925881</v>
      </c>
      <c r="G1009" s="22">
        <f t="shared" si="167"/>
        <v>-13.806489069557365</v>
      </c>
      <c r="H1009" s="22">
        <f t="shared" si="172"/>
        <v>-35.794601291444962</v>
      </c>
      <c r="I1009" s="22">
        <f t="shared" si="173"/>
        <v>6.7215363511659572</v>
      </c>
      <c r="J1009" s="24"/>
      <c r="K1009" s="24"/>
      <c r="L1009" s="235">
        <f t="shared" si="168"/>
        <v>22.985561308735772</v>
      </c>
      <c r="M1009" s="126"/>
      <c r="N1009" s="126"/>
      <c r="O1009" s="126"/>
      <c r="P1009" s="10">
        <f t="shared" si="169"/>
        <v>-2.0855613087357732</v>
      </c>
      <c r="Q1009" s="10">
        <f t="shared" si="174"/>
        <v>4.3495659724956708</v>
      </c>
      <c r="W1009" s="240">
        <f t="shared" si="175"/>
        <v>2.0855613087357732</v>
      </c>
      <c r="X1009" s="240">
        <f t="shared" si="176"/>
        <v>9.9787622427548961E-2</v>
      </c>
      <c r="Y1009"/>
      <c r="Z1009" s="13">
        <f t="shared" si="170"/>
        <v>137.38014757439825</v>
      </c>
      <c r="AA1009" s="2"/>
      <c r="AB1009" s="68"/>
      <c r="AC1009" s="15">
        <f t="shared" si="171"/>
        <v>190.619140427807</v>
      </c>
    </row>
    <row r="1010" spans="1:29">
      <c r="A1010" s="84">
        <f>'Q.1 &amp; 4'!K1015</f>
        <v>3.7</v>
      </c>
      <c r="B1010" s="141">
        <f>'Q.1 &amp; 4'!L1015</f>
        <v>28.5</v>
      </c>
      <c r="C1010" s="221"/>
      <c r="D1010" s="23"/>
      <c r="E1010" s="24"/>
      <c r="F1010" s="22">
        <f t="shared" si="166"/>
        <v>0.19259259259258865</v>
      </c>
      <c r="G1010" s="22">
        <f t="shared" si="167"/>
        <v>-6.2064890695573638</v>
      </c>
      <c r="H1010" s="22">
        <f t="shared" si="172"/>
        <v>-1.1953238208036159</v>
      </c>
      <c r="I1010" s="22">
        <f t="shared" si="173"/>
        <v>3.7091906721534833E-2</v>
      </c>
      <c r="J1010" s="24"/>
      <c r="K1010" s="24"/>
      <c r="L1010" s="235">
        <f t="shared" si="168"/>
        <v>33.835791578753486</v>
      </c>
      <c r="M1010" s="126"/>
      <c r="N1010" s="126"/>
      <c r="O1010" s="126"/>
      <c r="P1010" s="10">
        <f t="shared" si="169"/>
        <v>-5.3357915787534864</v>
      </c>
      <c r="Q1010" s="10">
        <f t="shared" si="174"/>
        <v>28.470671771896622</v>
      </c>
      <c r="W1010" s="240">
        <f t="shared" si="175"/>
        <v>5.3357915787534864</v>
      </c>
      <c r="X1010" s="240">
        <f t="shared" si="176"/>
        <v>0.18722075714924513</v>
      </c>
      <c r="Y1010"/>
      <c r="Z1010" s="13">
        <f t="shared" si="170"/>
        <v>0.75811412049216809</v>
      </c>
      <c r="AA1010" s="2"/>
      <c r="AB1010" s="68"/>
      <c r="AC1010" s="15">
        <f t="shared" si="171"/>
        <v>38.520506570535034</v>
      </c>
    </row>
    <row r="1011" spans="1:29">
      <c r="A1011" s="84">
        <f>'Q.1 &amp; 4'!K1016</f>
        <v>2.4</v>
      </c>
      <c r="B1011" s="141">
        <f>'Q.1 &amp; 4'!L1016</f>
        <v>38.6</v>
      </c>
      <c r="C1011" s="221"/>
      <c r="D1011" s="23"/>
      <c r="E1011" s="24"/>
      <c r="F1011" s="22">
        <f t="shared" si="166"/>
        <v>-1.1074074074074116</v>
      </c>
      <c r="G1011" s="22">
        <f t="shared" si="167"/>
        <v>3.8935109304426376</v>
      </c>
      <c r="H1011" s="22">
        <f t="shared" si="172"/>
        <v>-4.3117028451939001</v>
      </c>
      <c r="I1011" s="22">
        <f t="shared" si="173"/>
        <v>1.2263511659808048</v>
      </c>
      <c r="J1011" s="24"/>
      <c r="K1011" s="24"/>
      <c r="L1011" s="235">
        <f t="shared" si="168"/>
        <v>39.712999641679758</v>
      </c>
      <c r="M1011" s="126"/>
      <c r="N1011" s="126"/>
      <c r="O1011" s="126"/>
      <c r="P1011" s="10">
        <f t="shared" si="169"/>
        <v>-1.1129996416797567</v>
      </c>
      <c r="Q1011" s="10">
        <f t="shared" si="174"/>
        <v>1.238768202379267</v>
      </c>
      <c r="W1011" s="240">
        <f t="shared" si="175"/>
        <v>1.1129996416797567</v>
      </c>
      <c r="X1011" s="240">
        <f t="shared" si="176"/>
        <v>2.8834187608283851E-2</v>
      </c>
      <c r="Y1011"/>
      <c r="Z1011" s="13">
        <f t="shared" si="170"/>
        <v>25.065148108773304</v>
      </c>
      <c r="AA1011" s="2"/>
      <c r="AB1011" s="68"/>
      <c r="AC1011" s="15">
        <f t="shared" si="171"/>
        <v>15.159427365476294</v>
      </c>
    </row>
    <row r="1012" spans="1:29">
      <c r="A1012" s="84">
        <f>'Q.1 &amp; 4'!K1017</f>
        <v>2.4</v>
      </c>
      <c r="B1012" s="141">
        <f>'Q.1 &amp; 4'!L1017</f>
        <v>33.6</v>
      </c>
      <c r="C1012" s="221"/>
      <c r="D1012" s="23"/>
      <c r="E1012" s="24"/>
      <c r="F1012" s="22">
        <f t="shared" si="166"/>
        <v>-1.1074074074074116</v>
      </c>
      <c r="G1012" s="22">
        <f t="shared" si="167"/>
        <v>-1.1064890695573624</v>
      </c>
      <c r="H1012" s="22">
        <f t="shared" si="172"/>
        <v>1.2253341918431577</v>
      </c>
      <c r="I1012" s="22">
        <f t="shared" si="173"/>
        <v>1.2263511659808048</v>
      </c>
      <c r="J1012" s="24"/>
      <c r="K1012" s="24"/>
      <c r="L1012" s="235">
        <f t="shared" si="168"/>
        <v>39.712999641679758</v>
      </c>
      <c r="M1012" s="126"/>
      <c r="N1012" s="126"/>
      <c r="O1012" s="126"/>
      <c r="P1012" s="10">
        <f t="shared" si="169"/>
        <v>-6.1129996416797567</v>
      </c>
      <c r="Q1012" s="10">
        <f t="shared" si="174"/>
        <v>37.368764619176837</v>
      </c>
      <c r="W1012" s="240">
        <f t="shared" si="175"/>
        <v>6.1129996416797567</v>
      </c>
      <c r="X1012" s="240">
        <f t="shared" si="176"/>
        <v>0.18193451314523085</v>
      </c>
      <c r="Y1012"/>
      <c r="Z1012" s="13">
        <f t="shared" si="170"/>
        <v>25.065148108773304</v>
      </c>
      <c r="AA1012" s="2"/>
      <c r="AB1012" s="68"/>
      <c r="AC1012" s="15">
        <f t="shared" si="171"/>
        <v>1.2243180610499176</v>
      </c>
    </row>
    <row r="1013" spans="1:29">
      <c r="A1013" s="84">
        <f>'Q.1 &amp; 4'!K1018</f>
        <v>2.4</v>
      </c>
      <c r="B1013" s="141">
        <f>'Q.1 &amp; 4'!L1018</f>
        <v>33.6</v>
      </c>
      <c r="C1013" s="221"/>
      <c r="D1013" s="23"/>
      <c r="E1013" s="24"/>
      <c r="F1013" s="22">
        <f t="shared" si="166"/>
        <v>-1.1074074074074116</v>
      </c>
      <c r="G1013" s="22">
        <f t="shared" si="167"/>
        <v>-1.1064890695573624</v>
      </c>
      <c r="H1013" s="22">
        <f t="shared" si="172"/>
        <v>1.2253341918431577</v>
      </c>
      <c r="I1013" s="22">
        <f t="shared" si="173"/>
        <v>1.2263511659808048</v>
      </c>
      <c r="J1013" s="24"/>
      <c r="K1013" s="24"/>
      <c r="L1013" s="235">
        <f t="shared" si="168"/>
        <v>39.712999641679758</v>
      </c>
      <c r="M1013" s="126"/>
      <c r="N1013" s="126"/>
      <c r="O1013" s="126"/>
      <c r="P1013" s="10">
        <f t="shared" si="169"/>
        <v>-6.1129996416797567</v>
      </c>
      <c r="Q1013" s="10">
        <f t="shared" si="174"/>
        <v>37.368764619176837</v>
      </c>
      <c r="W1013" s="240">
        <f t="shared" si="175"/>
        <v>6.1129996416797567</v>
      </c>
      <c r="X1013" s="240">
        <f t="shared" si="176"/>
        <v>0.18193451314523085</v>
      </c>
      <c r="Y1013"/>
      <c r="Z1013" s="13">
        <f t="shared" si="170"/>
        <v>25.065148108773304</v>
      </c>
      <c r="AA1013" s="2"/>
      <c r="AB1013" s="68"/>
      <c r="AC1013" s="15">
        <f t="shared" si="171"/>
        <v>1.2243180610499176</v>
      </c>
    </row>
    <row r="1014" spans="1:29">
      <c r="A1014" s="84">
        <f>'Q.1 &amp; 4'!K1019</f>
        <v>3.8</v>
      </c>
      <c r="B1014" s="141">
        <f>'Q.1 &amp; 4'!L1019</f>
        <v>26.163</v>
      </c>
      <c r="C1014" s="221"/>
      <c r="D1014" s="23"/>
      <c r="E1014" s="24"/>
      <c r="F1014" s="22">
        <f t="shared" si="166"/>
        <v>0.2925925925925883</v>
      </c>
      <c r="G1014" s="22">
        <f t="shared" si="167"/>
        <v>-8.5434890695573635</v>
      </c>
      <c r="H1014" s="22">
        <f t="shared" si="172"/>
        <v>-2.4997616166482288</v>
      </c>
      <c r="I1014" s="22">
        <f t="shared" si="173"/>
        <v>8.5610425240052357E-2</v>
      </c>
      <c r="J1014" s="24"/>
      <c r="K1014" s="24"/>
      <c r="L1014" s="235">
        <f t="shared" si="168"/>
        <v>33.383698650836088</v>
      </c>
      <c r="M1014" s="126"/>
      <c r="N1014" s="126"/>
      <c r="O1014" s="126"/>
      <c r="P1014" s="10">
        <f t="shared" si="169"/>
        <v>-7.2206986508360878</v>
      </c>
      <c r="Q1014" s="10">
        <f t="shared" si="174"/>
        <v>52.138489006186099</v>
      </c>
      <c r="W1014" s="240">
        <f t="shared" si="175"/>
        <v>7.2206986508360878</v>
      </c>
      <c r="X1014" s="240">
        <f t="shared" si="176"/>
        <v>0.27598894052043299</v>
      </c>
      <c r="Y1014"/>
      <c r="Z1014" s="13">
        <f t="shared" si="170"/>
        <v>1.749774491860808</v>
      </c>
      <c r="AA1014" s="2"/>
      <c r="AB1014" s="68"/>
      <c r="AC1014" s="15">
        <f t="shared" si="171"/>
        <v>72.991205481646148</v>
      </c>
    </row>
    <row r="1015" spans="1:29">
      <c r="A1015" s="84">
        <f>'Q.1 &amp; 4'!K1020</f>
        <v>3.8</v>
      </c>
      <c r="B1015" s="141">
        <f>'Q.1 &amp; 4'!L1020</f>
        <v>26.563199999999998</v>
      </c>
      <c r="C1015" s="221"/>
      <c r="D1015" s="23"/>
      <c r="E1015" s="24"/>
      <c r="F1015" s="22">
        <f t="shared" si="166"/>
        <v>0.2925925925925883</v>
      </c>
      <c r="G1015" s="22">
        <f t="shared" si="167"/>
        <v>-8.1432890695573654</v>
      </c>
      <c r="H1015" s="22">
        <f t="shared" si="172"/>
        <v>-2.3826660610926758</v>
      </c>
      <c r="I1015" s="22">
        <f t="shared" si="173"/>
        <v>8.5610425240052357E-2</v>
      </c>
      <c r="J1015" s="24"/>
      <c r="K1015" s="24"/>
      <c r="L1015" s="235">
        <f t="shared" si="168"/>
        <v>33.383698650836088</v>
      </c>
      <c r="M1015" s="126"/>
      <c r="N1015" s="126"/>
      <c r="O1015" s="126"/>
      <c r="P1015" s="10">
        <f t="shared" si="169"/>
        <v>-6.8204986508360896</v>
      </c>
      <c r="Q1015" s="10">
        <f t="shared" si="174"/>
        <v>46.519201846056916</v>
      </c>
      <c r="W1015" s="240">
        <f t="shared" si="175"/>
        <v>6.8204986508360896</v>
      </c>
      <c r="X1015" s="240">
        <f t="shared" si="176"/>
        <v>0.25676494740227418</v>
      </c>
      <c r="Y1015"/>
      <c r="Z1015" s="13">
        <f t="shared" si="170"/>
        <v>1.749774491860808</v>
      </c>
      <c r="AA1015" s="2"/>
      <c r="AB1015" s="68"/>
      <c r="AC1015" s="15">
        <f t="shared" si="171"/>
        <v>66.313156870372467</v>
      </c>
    </row>
    <row r="1016" spans="1:29">
      <c r="A1016" s="84">
        <f>'Q.1 &amp; 4'!K1021</f>
        <v>3.8</v>
      </c>
      <c r="B1016" s="141">
        <f>'Q.1 &amp; 4'!L1021</f>
        <v>29.2986</v>
      </c>
      <c r="C1016" s="221"/>
      <c r="D1016" s="23"/>
      <c r="E1016" s="24"/>
      <c r="F1016" s="22">
        <f t="shared" si="166"/>
        <v>0.2925925925925883</v>
      </c>
      <c r="G1016" s="22">
        <f t="shared" si="167"/>
        <v>-5.4078890695573634</v>
      </c>
      <c r="H1016" s="22">
        <f t="shared" si="172"/>
        <v>-1.5823082833149089</v>
      </c>
      <c r="I1016" s="22">
        <f t="shared" si="173"/>
        <v>8.5610425240052357E-2</v>
      </c>
      <c r="J1016" s="24"/>
      <c r="K1016" s="24"/>
      <c r="L1016" s="235">
        <f t="shared" si="168"/>
        <v>33.383698650836088</v>
      </c>
      <c r="M1016" s="126"/>
      <c r="N1016" s="126"/>
      <c r="O1016" s="126"/>
      <c r="P1016" s="10">
        <f t="shared" si="169"/>
        <v>-4.0850986508360876</v>
      </c>
      <c r="Q1016" s="10">
        <f t="shared" si="174"/>
        <v>16.688030987062824</v>
      </c>
      <c r="W1016" s="240">
        <f t="shared" si="175"/>
        <v>4.0850986508360876</v>
      </c>
      <c r="X1016" s="240">
        <f t="shared" si="176"/>
        <v>0.13942982432048245</v>
      </c>
      <c r="Y1016"/>
      <c r="Z1016" s="13">
        <f t="shared" si="170"/>
        <v>1.749774491860808</v>
      </c>
      <c r="AA1016" s="2"/>
      <c r="AB1016" s="68"/>
      <c r="AC1016" s="15">
        <f t="shared" si="171"/>
        <v>29.245264188638004</v>
      </c>
    </row>
    <row r="1017" spans="1:29">
      <c r="A1017" s="84">
        <f>'Q.1 &amp; 4'!K1022</f>
        <v>4.5999999999999996</v>
      </c>
      <c r="B1017" s="141">
        <f>'Q.1 &amp; 4'!L1022</f>
        <v>28.4</v>
      </c>
      <c r="C1017" s="221"/>
      <c r="D1017" s="23"/>
      <c r="E1017" s="24"/>
      <c r="F1017" s="22">
        <f t="shared" si="166"/>
        <v>1.0925925925925881</v>
      </c>
      <c r="G1017" s="22">
        <f t="shared" si="167"/>
        <v>-6.3064890695573652</v>
      </c>
      <c r="H1017" s="22">
        <f t="shared" si="172"/>
        <v>-6.8904232426645002</v>
      </c>
      <c r="I1017" s="22">
        <f t="shared" si="173"/>
        <v>1.1937585733881932</v>
      </c>
      <c r="J1017" s="24"/>
      <c r="K1017" s="24"/>
      <c r="L1017" s="235">
        <f t="shared" si="168"/>
        <v>29.766955227496847</v>
      </c>
      <c r="M1017" s="126"/>
      <c r="N1017" s="126"/>
      <c r="O1017" s="126"/>
      <c r="P1017" s="10">
        <f t="shared" si="169"/>
        <v>-1.3669552274968488</v>
      </c>
      <c r="Q1017" s="10">
        <f t="shared" si="174"/>
        <v>1.8685665939809617</v>
      </c>
      <c r="W1017" s="240">
        <f t="shared" si="175"/>
        <v>1.3669552274968488</v>
      </c>
      <c r="X1017" s="240">
        <f t="shared" si="176"/>
        <v>4.8132226320311583E-2</v>
      </c>
      <c r="Y1017"/>
      <c r="Z1017" s="13">
        <f t="shared" si="170"/>
        <v>24.398994576861128</v>
      </c>
      <c r="AA1017" s="2"/>
      <c r="AB1017" s="68"/>
      <c r="AC1017" s="15">
        <f t="shared" si="171"/>
        <v>39.771804384446519</v>
      </c>
    </row>
    <row r="1018" spans="1:29">
      <c r="A1018" s="84">
        <f>'Q.1 &amp; 4'!K1023</f>
        <v>2</v>
      </c>
      <c r="B1018" s="141">
        <f>'Q.1 &amp; 4'!L1023</f>
        <v>33.4</v>
      </c>
      <c r="C1018" s="221"/>
      <c r="D1018" s="23"/>
      <c r="E1018" s="24"/>
      <c r="F1018" s="22">
        <f t="shared" si="166"/>
        <v>-1.5074074074074115</v>
      </c>
      <c r="G1018" s="22">
        <f t="shared" si="167"/>
        <v>-1.3064890695573652</v>
      </c>
      <c r="H1018" s="22">
        <f t="shared" si="172"/>
        <v>1.9694113011475893</v>
      </c>
      <c r="I1018" s="22">
        <f t="shared" si="173"/>
        <v>2.2722770919067341</v>
      </c>
      <c r="J1018" s="24"/>
      <c r="K1018" s="24"/>
      <c r="L1018" s="235">
        <f t="shared" si="168"/>
        <v>41.52137135334938</v>
      </c>
      <c r="M1018" s="126"/>
      <c r="N1018" s="126"/>
      <c r="O1018" s="126"/>
      <c r="P1018" s="10">
        <f t="shared" si="169"/>
        <v>-8.1213713533493816</v>
      </c>
      <c r="Q1018" s="10">
        <f t="shared" si="174"/>
        <v>65.956672659003971</v>
      </c>
      <c r="W1018" s="240">
        <f t="shared" si="175"/>
        <v>8.1213713533493816</v>
      </c>
      <c r="X1018" s="240">
        <f t="shared" si="176"/>
        <v>0.24315483093860424</v>
      </c>
      <c r="Y1018"/>
      <c r="Z1018" s="13">
        <f t="shared" si="170"/>
        <v>46.44262054194229</v>
      </c>
      <c r="AA1018" s="2"/>
      <c r="AB1018" s="68"/>
      <c r="AC1018" s="15">
        <f t="shared" si="171"/>
        <v>1.70691368887287</v>
      </c>
    </row>
    <row r="1019" spans="1:29">
      <c r="A1019" s="84">
        <f>'Q.1 &amp; 4'!K1024</f>
        <v>2.7</v>
      </c>
      <c r="B1019" s="141">
        <f>'Q.1 &amp; 4'!L1024</f>
        <v>31.3</v>
      </c>
      <c r="C1019" s="221"/>
      <c r="D1019" s="23"/>
      <c r="E1019" s="24"/>
      <c r="F1019" s="22">
        <f t="shared" si="166"/>
        <v>-0.80740740740741135</v>
      </c>
      <c r="G1019" s="22">
        <f t="shared" si="167"/>
        <v>-3.4064890695573631</v>
      </c>
      <c r="H1019" s="22">
        <f t="shared" si="172"/>
        <v>2.7504245080129954</v>
      </c>
      <c r="I1019" s="22">
        <f t="shared" si="173"/>
        <v>0.65190672153635754</v>
      </c>
      <c r="J1019" s="24"/>
      <c r="K1019" s="24"/>
      <c r="L1019" s="235">
        <f t="shared" si="168"/>
        <v>38.356720857927542</v>
      </c>
      <c r="M1019" s="126"/>
      <c r="N1019" s="126"/>
      <c r="O1019" s="126"/>
      <c r="P1019" s="10">
        <f t="shared" si="169"/>
        <v>-7.0567208579275409</v>
      </c>
      <c r="Q1019" s="10">
        <f t="shared" si="174"/>
        <v>49.797309266709611</v>
      </c>
      <c r="W1019" s="240">
        <f t="shared" si="175"/>
        <v>7.0567208579275409</v>
      </c>
      <c r="X1019" s="240">
        <f t="shared" si="176"/>
        <v>0.22545434050886712</v>
      </c>
      <c r="Y1019"/>
      <c r="Z1019" s="13">
        <f t="shared" si="170"/>
        <v>13.324192108828147</v>
      </c>
      <c r="AA1019" s="2"/>
      <c r="AB1019" s="68"/>
      <c r="AC1019" s="15">
        <f t="shared" si="171"/>
        <v>11.604167781013789</v>
      </c>
    </row>
    <row r="1020" spans="1:29">
      <c r="A1020" s="84">
        <f>'Q.1 &amp; 4'!K1025</f>
        <v>3.2</v>
      </c>
      <c r="B1020" s="141">
        <f>'Q.1 &amp; 4'!L1025</f>
        <v>30.347000000000001</v>
      </c>
      <c r="C1020" s="221"/>
      <c r="D1020" s="23"/>
      <c r="E1020" s="24"/>
      <c r="F1020" s="22">
        <f t="shared" si="166"/>
        <v>-0.30740740740741135</v>
      </c>
      <c r="G1020" s="22">
        <f t="shared" si="167"/>
        <v>-4.3594890695573625</v>
      </c>
      <c r="H1020" s="22">
        <f t="shared" si="172"/>
        <v>1.3401392324935768</v>
      </c>
      <c r="I1020" s="22">
        <f t="shared" si="173"/>
        <v>9.4499314128946188E-2</v>
      </c>
      <c r="J1020" s="24"/>
      <c r="K1020" s="24"/>
      <c r="L1020" s="235">
        <f t="shared" si="168"/>
        <v>36.096256218340514</v>
      </c>
      <c r="M1020" s="126"/>
      <c r="N1020" s="126"/>
      <c r="O1020" s="126"/>
      <c r="P1020" s="10">
        <f t="shared" si="169"/>
        <v>-5.7492562183405127</v>
      </c>
      <c r="Q1020" s="10">
        <f t="shared" si="174"/>
        <v>33.053947064127051</v>
      </c>
      <c r="W1020" s="240">
        <f t="shared" si="175"/>
        <v>5.7492562183405127</v>
      </c>
      <c r="X1020" s="240">
        <f t="shared" si="176"/>
        <v>0.18945056243913772</v>
      </c>
      <c r="Y1020"/>
      <c r="Z1020" s="13">
        <f t="shared" si="170"/>
        <v>1.9314527278368467</v>
      </c>
      <c r="AA1020" s="2"/>
      <c r="AB1020" s="68"/>
      <c r="AC1020" s="15">
        <f t="shared" si="171"/>
        <v>19.005144947590118</v>
      </c>
    </row>
    <row r="1021" spans="1:29">
      <c r="A1021" s="84">
        <f>'Q.1 &amp; 4'!K1026</f>
        <v>5</v>
      </c>
      <c r="B1021" s="141">
        <f>'Q.1 &amp; 4'!L1026</f>
        <v>23.820399999999999</v>
      </c>
      <c r="C1021" s="221"/>
      <c r="D1021" s="23"/>
      <c r="E1021" s="24"/>
      <c r="F1021" s="22">
        <f t="shared" si="166"/>
        <v>1.4925925925925885</v>
      </c>
      <c r="G1021" s="22">
        <f t="shared" si="167"/>
        <v>-10.886089069557364</v>
      </c>
      <c r="H1021" s="22">
        <f t="shared" si="172"/>
        <v>-16.248495907524465</v>
      </c>
      <c r="I1021" s="22">
        <f t="shared" si="173"/>
        <v>2.2278326474622649</v>
      </c>
      <c r="J1021" s="24"/>
      <c r="K1021" s="24"/>
      <c r="L1021" s="235">
        <f t="shared" si="168"/>
        <v>27.958583515827225</v>
      </c>
      <c r="M1021" s="126"/>
      <c r="N1021" s="126"/>
      <c r="O1021" s="126"/>
      <c r="P1021" s="10">
        <f t="shared" si="169"/>
        <v>-4.138183515827226</v>
      </c>
      <c r="Q1021" s="10">
        <f t="shared" si="174"/>
        <v>17.12456281066418</v>
      </c>
      <c r="W1021" s="240">
        <f t="shared" si="175"/>
        <v>4.138183515827226</v>
      </c>
      <c r="X1021" s="240">
        <f t="shared" si="176"/>
        <v>0.17372435038148923</v>
      </c>
      <c r="Y1021"/>
      <c r="Z1021" s="13">
        <f t="shared" si="170"/>
        <v>45.53422936206205</v>
      </c>
      <c r="AA1021" s="2"/>
      <c r="AB1021" s="68"/>
      <c r="AC1021" s="15">
        <f t="shared" si="171"/>
        <v>118.50693523033632</v>
      </c>
    </row>
    <row r="1022" spans="1:29">
      <c r="A1022" s="84">
        <f>'Q.1 &amp; 4'!K1027</f>
        <v>5</v>
      </c>
      <c r="B1022" s="141">
        <f>'Q.1 &amp; 4'!L1027</f>
        <v>24.572199999999999</v>
      </c>
      <c r="C1022" s="221"/>
      <c r="D1022" s="23"/>
      <c r="E1022" s="24"/>
      <c r="F1022" s="22">
        <f t="shared" si="166"/>
        <v>1.4925925925925885</v>
      </c>
      <c r="G1022" s="22">
        <f t="shared" si="167"/>
        <v>-10.134289069557365</v>
      </c>
      <c r="H1022" s="22">
        <f t="shared" si="172"/>
        <v>-15.126364796413359</v>
      </c>
      <c r="I1022" s="22">
        <f t="shared" si="173"/>
        <v>2.2278326474622649</v>
      </c>
      <c r="J1022" s="24"/>
      <c r="K1022" s="24"/>
      <c r="L1022" s="235">
        <f t="shared" si="168"/>
        <v>27.958583515827225</v>
      </c>
      <c r="M1022" s="126"/>
      <c r="N1022" s="126"/>
      <c r="O1022" s="126"/>
      <c r="P1022" s="10">
        <f t="shared" si="169"/>
        <v>-3.3863835158272266</v>
      </c>
      <c r="Q1022" s="10">
        <f t="shared" si="174"/>
        <v>11.467593316266369</v>
      </c>
      <c r="W1022" s="240">
        <f t="shared" si="175"/>
        <v>3.3863835158272266</v>
      </c>
      <c r="X1022" s="240">
        <f t="shared" si="176"/>
        <v>0.13781360707739751</v>
      </c>
      <c r="Y1022"/>
      <c r="Z1022" s="13">
        <f t="shared" si="170"/>
        <v>45.53422936206205</v>
      </c>
      <c r="AA1022" s="2"/>
      <c r="AB1022" s="68"/>
      <c r="AC1022" s="15">
        <f t="shared" si="171"/>
        <v>102.70381494534989</v>
      </c>
    </row>
    <row r="1023" spans="1:29">
      <c r="A1023" s="84">
        <f>'Q.1 &amp; 4'!K1028</f>
        <v>5</v>
      </c>
      <c r="B1023" s="141">
        <f>'Q.1 &amp; 4'!L1028</f>
        <v>25.508199999999999</v>
      </c>
      <c r="C1023" s="221"/>
      <c r="D1023" s="23"/>
      <c r="E1023" s="24"/>
      <c r="F1023" s="22">
        <f t="shared" si="166"/>
        <v>1.4925925925925885</v>
      </c>
      <c r="G1023" s="22">
        <f t="shared" si="167"/>
        <v>-9.1982890695573651</v>
      </c>
      <c r="H1023" s="22">
        <f t="shared" si="172"/>
        <v>-13.729298129746695</v>
      </c>
      <c r="I1023" s="22">
        <f t="shared" si="173"/>
        <v>2.2278326474622649</v>
      </c>
      <c r="J1023" s="24"/>
      <c r="K1023" s="24"/>
      <c r="L1023" s="235">
        <f t="shared" si="168"/>
        <v>27.958583515827225</v>
      </c>
      <c r="M1023" s="126"/>
      <c r="N1023" s="126"/>
      <c r="O1023" s="126"/>
      <c r="P1023" s="10">
        <f t="shared" si="169"/>
        <v>-2.4503835158272267</v>
      </c>
      <c r="Q1023" s="10">
        <f t="shared" si="174"/>
        <v>6.0043793746378009</v>
      </c>
      <c r="W1023" s="240">
        <f t="shared" si="175"/>
        <v>2.4503835158272267</v>
      </c>
      <c r="X1023" s="240">
        <f t="shared" si="176"/>
        <v>9.6062580496751121E-2</v>
      </c>
      <c r="Y1023"/>
      <c r="Z1023" s="13">
        <f t="shared" si="170"/>
        <v>45.53422936206205</v>
      </c>
      <c r="AA1023" s="2"/>
      <c r="AB1023" s="68"/>
      <c r="AC1023" s="15">
        <f t="shared" si="171"/>
        <v>84.608521807138501</v>
      </c>
    </row>
    <row r="1024" spans="1:29">
      <c r="A1024" s="84">
        <f>'Q.1 &amp; 4'!K1029</f>
        <v>5</v>
      </c>
      <c r="B1024" s="141">
        <f>'Q.1 &amp; 4'!L1029</f>
        <v>23.574300000000001</v>
      </c>
      <c r="C1024" s="221"/>
      <c r="D1024" s="23"/>
      <c r="E1024" s="24"/>
      <c r="F1024" s="22">
        <f t="shared" si="166"/>
        <v>1.4925925925925885</v>
      </c>
      <c r="G1024" s="22">
        <f t="shared" si="167"/>
        <v>-11.132189069557363</v>
      </c>
      <c r="H1024" s="22">
        <f t="shared" si="172"/>
        <v>-16.615822944561501</v>
      </c>
      <c r="I1024" s="22">
        <f t="shared" si="173"/>
        <v>2.2278326474622649</v>
      </c>
      <c r="J1024" s="24"/>
      <c r="K1024" s="24"/>
      <c r="L1024" s="235">
        <f t="shared" si="168"/>
        <v>27.958583515827225</v>
      </c>
      <c r="M1024" s="126"/>
      <c r="N1024" s="126"/>
      <c r="O1024" s="126"/>
      <c r="P1024" s="10">
        <f t="shared" si="169"/>
        <v>-4.3842835158272244</v>
      </c>
      <c r="Q1024" s="10">
        <f t="shared" si="174"/>
        <v>19.221941947154328</v>
      </c>
      <c r="W1024" s="240">
        <f t="shared" si="175"/>
        <v>4.3842835158272244</v>
      </c>
      <c r="X1024" s="240">
        <f t="shared" si="176"/>
        <v>0.18597725132144854</v>
      </c>
      <c r="Y1024"/>
      <c r="Z1024" s="13">
        <f t="shared" si="170"/>
        <v>45.53422936206205</v>
      </c>
      <c r="AA1024" s="2"/>
      <c r="AB1024" s="68"/>
      <c r="AC1024" s="15">
        <f t="shared" si="171"/>
        <v>123.92563348037243</v>
      </c>
    </row>
    <row r="1025" spans="1:29">
      <c r="A1025" s="84">
        <f>'Q.1 &amp; 4'!K1030</f>
        <v>5</v>
      </c>
      <c r="B1025" s="141">
        <f>'Q.1 &amp; 4'!L1030</f>
        <v>24.7928</v>
      </c>
      <c r="C1025" s="221"/>
      <c r="D1025" s="23"/>
      <c r="E1025" s="24"/>
      <c r="F1025" s="22">
        <f t="shared" si="166"/>
        <v>1.4925925925925885</v>
      </c>
      <c r="G1025" s="22">
        <f t="shared" si="167"/>
        <v>-9.9136890695573641</v>
      </c>
      <c r="H1025" s="22">
        <f t="shared" si="172"/>
        <v>-14.797098870487432</v>
      </c>
      <c r="I1025" s="22">
        <f t="shared" si="173"/>
        <v>2.2278326474622649</v>
      </c>
      <c r="J1025" s="24"/>
      <c r="K1025" s="24"/>
      <c r="L1025" s="235">
        <f t="shared" si="168"/>
        <v>27.958583515827225</v>
      </c>
      <c r="M1025" s="126"/>
      <c r="N1025" s="126"/>
      <c r="O1025" s="126"/>
      <c r="P1025" s="10">
        <f t="shared" si="169"/>
        <v>-3.1657835158272256</v>
      </c>
      <c r="Q1025" s="10">
        <f t="shared" si="174"/>
        <v>10.022185269083389</v>
      </c>
      <c r="W1025" s="240">
        <f t="shared" si="175"/>
        <v>3.1657835158272256</v>
      </c>
      <c r="X1025" s="240">
        <f t="shared" si="176"/>
        <v>0.12768963230563815</v>
      </c>
      <c r="Y1025"/>
      <c r="Z1025" s="13">
        <f t="shared" si="170"/>
        <v>45.53422936206205</v>
      </c>
      <c r="AA1025" s="2"/>
      <c r="AB1025" s="68"/>
      <c r="AC1025" s="15">
        <f t="shared" si="171"/>
        <v>98.281230967861148</v>
      </c>
    </row>
    <row r="1026" spans="1:29">
      <c r="A1026" s="84">
        <f>'Q.1 &amp; 4'!K1031</f>
        <v>4.5999999999999996</v>
      </c>
      <c r="B1026" s="141">
        <f>'Q.1 &amp; 4'!L1031</f>
        <v>28.3</v>
      </c>
      <c r="C1026" s="221"/>
      <c r="D1026" s="23"/>
      <c r="E1026" s="24"/>
      <c r="F1026" s="22">
        <f t="shared" si="166"/>
        <v>1.0925925925925881</v>
      </c>
      <c r="G1026" s="22">
        <f t="shared" si="167"/>
        <v>-6.4064890695573631</v>
      </c>
      <c r="H1026" s="22">
        <f t="shared" si="172"/>
        <v>-6.9996825019237567</v>
      </c>
      <c r="I1026" s="22">
        <f t="shared" si="173"/>
        <v>1.1937585733881932</v>
      </c>
      <c r="J1026" s="24"/>
      <c r="K1026" s="24"/>
      <c r="L1026" s="235">
        <f t="shared" si="168"/>
        <v>29.766955227496847</v>
      </c>
      <c r="M1026" s="126"/>
      <c r="N1026" s="126"/>
      <c r="O1026" s="126"/>
      <c r="P1026" s="10">
        <f t="shared" si="169"/>
        <v>-1.4669552274968467</v>
      </c>
      <c r="Q1026" s="10">
        <f t="shared" si="174"/>
        <v>2.1519576394803255</v>
      </c>
      <c r="W1026" s="240">
        <f t="shared" si="175"/>
        <v>1.4669552274968467</v>
      </c>
      <c r="X1026" s="240">
        <f t="shared" si="176"/>
        <v>5.1835873763139459E-2</v>
      </c>
      <c r="Y1026"/>
      <c r="Z1026" s="13">
        <f t="shared" si="170"/>
        <v>24.398994576861128</v>
      </c>
      <c r="AA1026" s="2"/>
      <c r="AB1026" s="68"/>
      <c r="AC1026" s="15">
        <f t="shared" si="171"/>
        <v>41.043102198357971</v>
      </c>
    </row>
    <row r="1027" spans="1:29">
      <c r="A1027" s="84">
        <f>'Q.1 &amp; 4'!K1032</f>
        <v>5.7</v>
      </c>
      <c r="B1027" s="141">
        <f>'Q.1 &amp; 4'!L1032</f>
        <v>24.149100000000001</v>
      </c>
      <c r="C1027" s="221"/>
      <c r="D1027" s="23"/>
      <c r="E1027" s="24"/>
      <c r="F1027" s="22">
        <f t="shared" si="166"/>
        <v>2.1925925925925887</v>
      </c>
      <c r="G1027" s="22">
        <f t="shared" si="167"/>
        <v>-10.557389069557363</v>
      </c>
      <c r="H1027" s="22">
        <f t="shared" si="172"/>
        <v>-23.148053071029437</v>
      </c>
      <c r="I1027" s="22">
        <f t="shared" si="173"/>
        <v>4.8074622770918891</v>
      </c>
      <c r="J1027" s="24"/>
      <c r="K1027" s="24"/>
      <c r="L1027" s="235">
        <f t="shared" si="168"/>
        <v>24.793933020405387</v>
      </c>
      <c r="M1027" s="126"/>
      <c r="N1027" s="126"/>
      <c r="O1027" s="126"/>
      <c r="P1027" s="10">
        <f t="shared" si="169"/>
        <v>-0.64483302040538604</v>
      </c>
      <c r="Q1027" s="10">
        <f t="shared" si="174"/>
        <v>0.41580962420513301</v>
      </c>
      <c r="W1027" s="240">
        <f t="shared" si="175"/>
        <v>0.64483302040538604</v>
      </c>
      <c r="X1027" s="240">
        <f t="shared" si="176"/>
        <v>2.670215537661387E-2</v>
      </c>
      <c r="Y1027"/>
      <c r="Z1027" s="13">
        <f t="shared" si="170"/>
        <v>98.258767427579457</v>
      </c>
      <c r="AA1027" s="2"/>
      <c r="AB1027" s="68"/>
      <c r="AC1027" s="15">
        <f t="shared" si="171"/>
        <v>111.45846396600929</v>
      </c>
    </row>
    <row r="1028" spans="1:29">
      <c r="A1028" s="84">
        <f>'Q.1 &amp; 4'!K1033</f>
        <v>3.5</v>
      </c>
      <c r="B1028" s="141">
        <f>'Q.1 &amp; 4'!L1033</f>
        <v>33.793700000000001</v>
      </c>
      <c r="C1028" s="221"/>
      <c r="D1028" s="23"/>
      <c r="E1028" s="24"/>
      <c r="F1028" s="22">
        <f t="shared" si="166"/>
        <v>-7.4074074074115259E-3</v>
      </c>
      <c r="G1028" s="22">
        <f t="shared" si="167"/>
        <v>-0.91278906955736261</v>
      </c>
      <c r="H1028" s="22">
        <f t="shared" si="172"/>
        <v>6.7614005152434823E-3</v>
      </c>
      <c r="I1028" s="22">
        <f t="shared" si="173"/>
        <v>5.4869684499375142E-5</v>
      </c>
      <c r="J1028" s="24"/>
      <c r="K1028" s="24"/>
      <c r="L1028" s="235">
        <f t="shared" si="168"/>
        <v>34.739977434588305</v>
      </c>
      <c r="M1028" s="126"/>
      <c r="N1028" s="126"/>
      <c r="O1028" s="126"/>
      <c r="P1028" s="10">
        <f t="shared" si="169"/>
        <v>-0.94627743458830338</v>
      </c>
      <c r="Q1028" s="10">
        <f t="shared" si="174"/>
        <v>0.89544098321102072</v>
      </c>
      <c r="W1028" s="240">
        <f t="shared" si="175"/>
        <v>0.94627743458830338</v>
      </c>
      <c r="X1028" s="240">
        <f t="shared" si="176"/>
        <v>2.8001593036225784E-2</v>
      </c>
      <c r="Y1028"/>
      <c r="Z1028" s="13">
        <f t="shared" si="170"/>
        <v>1.1214705924455365E-3</v>
      </c>
      <c r="AA1028" s="2"/>
      <c r="AB1028" s="68"/>
      <c r="AC1028" s="15">
        <f t="shared" si="171"/>
        <v>0.83318388550339573</v>
      </c>
    </row>
    <row r="1029" spans="1:29">
      <c r="A1029" s="84">
        <f>'Q.1 &amp; 4'!K1034</f>
        <v>3.5</v>
      </c>
      <c r="B1029" s="141">
        <f>'Q.1 &amp; 4'!L1034</f>
        <v>38.719299999999997</v>
      </c>
      <c r="C1029" s="221"/>
      <c r="D1029" s="23"/>
      <c r="E1029" s="24"/>
      <c r="F1029" s="22">
        <f t="shared" si="166"/>
        <v>-7.4074074074115259E-3</v>
      </c>
      <c r="G1029" s="22">
        <f t="shared" si="167"/>
        <v>4.0128109304426332</v>
      </c>
      <c r="H1029" s="22">
        <f t="shared" si="172"/>
        <v>-2.9724525410702699E-2</v>
      </c>
      <c r="I1029" s="22">
        <f t="shared" si="173"/>
        <v>5.4869684499375142E-5</v>
      </c>
      <c r="J1029" s="24"/>
      <c r="K1029" s="24"/>
      <c r="L1029" s="235">
        <f t="shared" si="168"/>
        <v>34.739977434588305</v>
      </c>
      <c r="M1029" s="126"/>
      <c r="N1029" s="126"/>
      <c r="O1029" s="126"/>
      <c r="P1029" s="10">
        <f t="shared" si="169"/>
        <v>3.9793225654116924</v>
      </c>
      <c r="Q1029" s="10">
        <f t="shared" si="174"/>
        <v>15.835008079594692</v>
      </c>
      <c r="W1029" s="240">
        <f t="shared" si="175"/>
        <v>3.9793225654116924</v>
      </c>
      <c r="X1029" s="240">
        <f t="shared" si="176"/>
        <v>0.10277361846447877</v>
      </c>
      <c r="Y1029"/>
      <c r="Z1029" s="13">
        <f t="shared" si="170"/>
        <v>1.1214705924455365E-3</v>
      </c>
      <c r="AA1029" s="2"/>
      <c r="AB1029" s="68"/>
      <c r="AC1029" s="15">
        <f t="shared" si="171"/>
        <v>16.102651563479871</v>
      </c>
    </row>
    <row r="1030" spans="1:29">
      <c r="A1030" s="84">
        <f>'Q.1 &amp; 4'!K1035</f>
        <v>3.5</v>
      </c>
      <c r="B1030" s="141">
        <f>'Q.1 &amp; 4'!L1035</f>
        <v>29.9849</v>
      </c>
      <c r="C1030" s="221"/>
      <c r="D1030" s="23"/>
      <c r="E1030" s="24"/>
      <c r="F1030" s="22">
        <f t="shared" ref="F1030:F1093" si="177">A1030-$D$6</f>
        <v>-7.4074074074115259E-3</v>
      </c>
      <c r="G1030" s="22">
        <f t="shared" ref="G1030:G1093" si="178">B1030-$E$6</f>
        <v>-4.7215890695573641</v>
      </c>
      <c r="H1030" s="22">
        <f t="shared" si="172"/>
        <v>3.4974733848592517E-2</v>
      </c>
      <c r="I1030" s="22">
        <f t="shared" si="173"/>
        <v>5.4869684499375142E-5</v>
      </c>
      <c r="J1030" s="24"/>
      <c r="K1030" s="24"/>
      <c r="L1030" s="235">
        <f t="shared" ref="L1030:L1093" si="179">$K$6+$J$6*A1030</f>
        <v>34.739977434588305</v>
      </c>
      <c r="M1030" s="126"/>
      <c r="N1030" s="126"/>
      <c r="O1030" s="126"/>
      <c r="P1030" s="10">
        <f t="shared" ref="P1030:P1093" si="180">B1030-L1030</f>
        <v>-4.7550774345883049</v>
      </c>
      <c r="Q1030" s="10">
        <f t="shared" si="174"/>
        <v>22.610761408930895</v>
      </c>
      <c r="W1030" s="240">
        <f t="shared" si="175"/>
        <v>4.7550774345883049</v>
      </c>
      <c r="X1030" s="240">
        <f t="shared" si="176"/>
        <v>0.15858240096142742</v>
      </c>
      <c r="Y1030"/>
      <c r="Z1030" s="13">
        <f t="shared" ref="Z1030:Z1094" si="181">(L1030-$E$6)^2</f>
        <v>1.1214705924455365E-3</v>
      </c>
      <c r="AA1030" s="2"/>
      <c r="AB1030" s="68"/>
      <c r="AC1030" s="15">
        <f t="shared" ref="AC1030:AC1094" si="182">(B1030-$E$6)^2</f>
        <v>22.293403341763575</v>
      </c>
    </row>
    <row r="1031" spans="1:29">
      <c r="A1031" s="84">
        <f>'Q.1 &amp; 4'!K1036</f>
        <v>3.5</v>
      </c>
      <c r="B1031" s="141">
        <f>'Q.1 &amp; 4'!L1036</f>
        <v>30.2</v>
      </c>
      <c r="C1031" s="221"/>
      <c r="D1031" s="23"/>
      <c r="E1031" s="24"/>
      <c r="F1031" s="22">
        <f t="shared" si="177"/>
        <v>-7.4074074074115259E-3</v>
      </c>
      <c r="G1031" s="22">
        <f t="shared" si="178"/>
        <v>-4.5064890695573645</v>
      </c>
      <c r="H1031" s="22">
        <f t="shared" ref="H1031:H1094" si="183">F1031*G1031</f>
        <v>3.33814005152583E-2</v>
      </c>
      <c r="I1031" s="22">
        <f t="shared" ref="I1031:I1094" si="184">F1031^2</f>
        <v>5.4869684499375142E-5</v>
      </c>
      <c r="J1031" s="24"/>
      <c r="K1031" s="24"/>
      <c r="L1031" s="235">
        <f t="shared" si="179"/>
        <v>34.739977434588305</v>
      </c>
      <c r="M1031" s="126"/>
      <c r="N1031" s="126"/>
      <c r="O1031" s="126"/>
      <c r="P1031" s="10">
        <f t="shared" si="180"/>
        <v>-4.5399774345883053</v>
      </c>
      <c r="Q1031" s="10">
        <f t="shared" ref="Q1031:Q1094" si="185">P1031^2</f>
        <v>20.61139510657101</v>
      </c>
      <c r="W1031" s="240">
        <f t="shared" ref="W1031:W1094" si="186">ABS(P1031)</f>
        <v>4.5399774345883053</v>
      </c>
      <c r="X1031" s="240">
        <f t="shared" ref="X1031:X1094" si="187">W1031/B1031</f>
        <v>0.15033037862875184</v>
      </c>
      <c r="Y1031"/>
      <c r="Z1031" s="13">
        <f t="shared" si="181"/>
        <v>1.1214705924455365E-3</v>
      </c>
      <c r="AA1031" s="2"/>
      <c r="AB1031" s="68"/>
      <c r="AC1031" s="15">
        <f t="shared" si="182"/>
        <v>20.308443734040001</v>
      </c>
    </row>
    <row r="1032" spans="1:29">
      <c r="A1032" s="84">
        <f>'Q.1 &amp; 4'!K1037</f>
        <v>3.5</v>
      </c>
      <c r="B1032" s="141">
        <f>'Q.1 &amp; 4'!L1037</f>
        <v>31.4</v>
      </c>
      <c r="C1032" s="221"/>
      <c r="D1032" s="23"/>
      <c r="E1032" s="24"/>
      <c r="F1032" s="22">
        <f t="shared" si="177"/>
        <v>-7.4074074074115259E-3</v>
      </c>
      <c r="G1032" s="22">
        <f t="shared" si="178"/>
        <v>-3.3064890695573652</v>
      </c>
      <c r="H1032" s="22">
        <f t="shared" si="183"/>
        <v>2.4492511626364472E-2</v>
      </c>
      <c r="I1032" s="22">
        <f t="shared" si="184"/>
        <v>5.4869684499375142E-5</v>
      </c>
      <c r="J1032" s="24"/>
      <c r="K1032" s="24"/>
      <c r="L1032" s="235">
        <f t="shared" si="179"/>
        <v>34.739977434588305</v>
      </c>
      <c r="M1032" s="126"/>
      <c r="N1032" s="126"/>
      <c r="O1032" s="126"/>
      <c r="P1032" s="10">
        <f t="shared" si="180"/>
        <v>-3.339977434588306</v>
      </c>
      <c r="Q1032" s="10">
        <f t="shared" si="185"/>
        <v>11.155449263559081</v>
      </c>
      <c r="W1032" s="240">
        <f t="shared" si="186"/>
        <v>3.339977434588306</v>
      </c>
      <c r="X1032" s="240">
        <f t="shared" si="187"/>
        <v>0.10636870810790784</v>
      </c>
      <c r="Y1032"/>
      <c r="Z1032" s="13">
        <f t="shared" si="181"/>
        <v>1.1214705924455365E-3</v>
      </c>
      <c r="AA1032" s="2"/>
      <c r="AB1032" s="68"/>
      <c r="AC1032" s="15">
        <f t="shared" si="182"/>
        <v>10.932869967102331</v>
      </c>
    </row>
    <row r="1033" spans="1:29">
      <c r="A1033" s="84">
        <f>'Q.1 &amp; 4'!K1038</f>
        <v>2.2999999999999998</v>
      </c>
      <c r="B1033" s="141">
        <f>'Q.1 &amp; 4'!L1038</f>
        <v>31.7</v>
      </c>
      <c r="C1033" s="221"/>
      <c r="D1033" s="23"/>
      <c r="E1033" s="24"/>
      <c r="F1033" s="22">
        <f t="shared" si="177"/>
        <v>-1.2074074074074117</v>
      </c>
      <c r="G1033" s="22">
        <f t="shared" si="178"/>
        <v>-3.0064890695573645</v>
      </c>
      <c r="H1033" s="22">
        <f t="shared" si="183"/>
        <v>3.6300571728729789</v>
      </c>
      <c r="I1033" s="22">
        <f t="shared" si="184"/>
        <v>1.4578326474622874</v>
      </c>
      <c r="J1033" s="24"/>
      <c r="K1033" s="24"/>
      <c r="L1033" s="235">
        <f t="shared" si="179"/>
        <v>40.165092569597164</v>
      </c>
      <c r="M1033" s="126"/>
      <c r="N1033" s="126"/>
      <c r="O1033" s="126"/>
      <c r="P1033" s="10">
        <f t="shared" si="180"/>
        <v>-8.4650925695971644</v>
      </c>
      <c r="Q1033" s="10">
        <f t="shared" si="185"/>
        <v>71.657792211849127</v>
      </c>
      <c r="W1033" s="240">
        <f t="shared" si="186"/>
        <v>8.4650925695971644</v>
      </c>
      <c r="X1033" s="240">
        <f t="shared" si="187"/>
        <v>0.26703762049202412</v>
      </c>
      <c r="Y1033"/>
      <c r="Z1033" s="13">
        <f t="shared" si="181"/>
        <v>29.796352170646752</v>
      </c>
      <c r="AA1033" s="2"/>
      <c r="AB1033" s="68"/>
      <c r="AC1033" s="15">
        <f t="shared" si="182"/>
        <v>9.0389765253679073</v>
      </c>
    </row>
    <row r="1034" spans="1:29">
      <c r="A1034" s="84">
        <f>'Q.1 &amp; 4'!K1039</f>
        <v>3.7</v>
      </c>
      <c r="B1034" s="141">
        <f>'Q.1 &amp; 4'!L1039</f>
        <v>28.7</v>
      </c>
      <c r="C1034" s="221"/>
      <c r="D1034" s="23"/>
      <c r="E1034" s="24"/>
      <c r="F1034" s="22">
        <f t="shared" si="177"/>
        <v>0.19259259259258865</v>
      </c>
      <c r="G1034" s="22">
        <f t="shared" si="178"/>
        <v>-6.0064890695573645</v>
      </c>
      <c r="H1034" s="22">
        <f t="shared" si="183"/>
        <v>-1.1568053022850984</v>
      </c>
      <c r="I1034" s="22">
        <f t="shared" si="184"/>
        <v>3.7091906721534833E-2</v>
      </c>
      <c r="J1034" s="24"/>
      <c r="K1034" s="24"/>
      <c r="L1034" s="235">
        <f t="shared" si="179"/>
        <v>33.835791578753486</v>
      </c>
      <c r="M1034" s="126"/>
      <c r="N1034" s="126"/>
      <c r="O1034" s="126"/>
      <c r="P1034" s="10">
        <f t="shared" si="180"/>
        <v>-5.1357915787534871</v>
      </c>
      <c r="Q1034" s="10">
        <f t="shared" si="185"/>
        <v>26.376355140395237</v>
      </c>
      <c r="W1034" s="240">
        <f t="shared" si="186"/>
        <v>5.1357915787534871</v>
      </c>
      <c r="X1034" s="240">
        <f t="shared" si="187"/>
        <v>0.17894744176841418</v>
      </c>
      <c r="Y1034"/>
      <c r="Z1034" s="13">
        <f t="shared" si="181"/>
        <v>0.75811412049216809</v>
      </c>
      <c r="AA1034" s="2"/>
      <c r="AB1034" s="68"/>
      <c r="AC1034" s="15">
        <f t="shared" si="182"/>
        <v>36.077910942712094</v>
      </c>
    </row>
    <row r="1035" spans="1:29">
      <c r="A1035" s="84">
        <f>'Q.1 &amp; 4'!K1040</f>
        <v>2.5</v>
      </c>
      <c r="B1035" s="141">
        <f>'Q.1 &amp; 4'!L1040</f>
        <v>37</v>
      </c>
      <c r="C1035" s="221"/>
      <c r="D1035" s="23"/>
      <c r="E1035" s="24"/>
      <c r="F1035" s="22">
        <f t="shared" si="177"/>
        <v>-1.0074074074074115</v>
      </c>
      <c r="G1035" s="22">
        <f t="shared" si="178"/>
        <v>2.2935109304426362</v>
      </c>
      <c r="H1035" s="22">
        <f t="shared" si="183"/>
        <v>-2.3104999002977764</v>
      </c>
      <c r="I1035" s="22">
        <f t="shared" si="184"/>
        <v>1.0148696844993224</v>
      </c>
      <c r="J1035" s="24"/>
      <c r="K1035" s="24"/>
      <c r="L1035" s="235">
        <f t="shared" si="179"/>
        <v>39.260906713762353</v>
      </c>
      <c r="M1035" s="126"/>
      <c r="N1035" s="126"/>
      <c r="O1035" s="126"/>
      <c r="P1035" s="10">
        <f t="shared" si="180"/>
        <v>-2.2609067137623526</v>
      </c>
      <c r="Q1035" s="10">
        <f t="shared" si="185"/>
        <v>5.1116991683356812</v>
      </c>
      <c r="W1035" s="240">
        <f t="shared" si="186"/>
        <v>2.2609067137623526</v>
      </c>
      <c r="X1035" s="240">
        <f t="shared" si="187"/>
        <v>6.110558685844196E-2</v>
      </c>
      <c r="Y1035"/>
      <c r="Z1035" s="13">
        <f t="shared" si="181"/>
        <v>20.742720077845721</v>
      </c>
      <c r="AA1035" s="2"/>
      <c r="AB1035" s="68"/>
      <c r="AC1035" s="15">
        <f t="shared" si="182"/>
        <v>5.2601923880598465</v>
      </c>
    </row>
    <row r="1036" spans="1:29">
      <c r="A1036" s="84">
        <f>'Q.1 &amp; 4'!K1041</f>
        <v>3</v>
      </c>
      <c r="B1036" s="141">
        <f>'Q.1 &amp; 4'!L1041</f>
        <v>32.1</v>
      </c>
      <c r="C1036" s="221"/>
      <c r="D1036" s="23"/>
      <c r="E1036" s="24"/>
      <c r="F1036" s="22">
        <f t="shared" si="177"/>
        <v>-0.50740740740741153</v>
      </c>
      <c r="G1036" s="22">
        <f t="shared" si="178"/>
        <v>-2.6064890695573624</v>
      </c>
      <c r="H1036" s="22">
        <f t="shared" si="183"/>
        <v>1.3225518612198575</v>
      </c>
      <c r="I1036" s="22">
        <f t="shared" si="184"/>
        <v>0.25746227709191088</v>
      </c>
      <c r="J1036" s="24"/>
      <c r="K1036" s="24"/>
      <c r="L1036" s="235">
        <f t="shared" si="179"/>
        <v>37.000442074175325</v>
      </c>
      <c r="M1036" s="126"/>
      <c r="N1036" s="126"/>
      <c r="O1036" s="126"/>
      <c r="P1036" s="10">
        <f t="shared" si="180"/>
        <v>-4.9004420741753236</v>
      </c>
      <c r="Q1036" s="10">
        <f t="shared" si="185"/>
        <v>24.014332522347747</v>
      </c>
      <c r="W1036" s="240">
        <f t="shared" si="186"/>
        <v>4.9004420741753236</v>
      </c>
      <c r="X1036" s="240">
        <f t="shared" si="187"/>
        <v>0.15266174685904435</v>
      </c>
      <c r="Y1036"/>
      <c r="Z1036" s="13">
        <f t="shared" si="181"/>
        <v>5.2622203873957725</v>
      </c>
      <c r="AA1036" s="2"/>
      <c r="AB1036" s="68"/>
      <c r="AC1036" s="15">
        <f t="shared" si="182"/>
        <v>6.7937852697220045</v>
      </c>
    </row>
    <row r="1037" spans="1:29">
      <c r="A1037" s="84">
        <f>'Q.1 &amp; 4'!K1042</f>
        <v>2.5</v>
      </c>
      <c r="B1037" s="141">
        <f>'Q.1 &amp; 4'!L1042</f>
        <v>37.9</v>
      </c>
      <c r="C1037" s="221"/>
      <c r="D1037" s="23"/>
      <c r="E1037" s="24"/>
      <c r="F1037" s="22">
        <f t="shared" si="177"/>
        <v>-1.0074074074074115</v>
      </c>
      <c r="G1037" s="22">
        <f t="shared" si="178"/>
        <v>3.1935109304426348</v>
      </c>
      <c r="H1037" s="22">
        <f t="shared" si="183"/>
        <v>-3.2171665669644454</v>
      </c>
      <c r="I1037" s="22">
        <f t="shared" si="184"/>
        <v>1.0148696844993224</v>
      </c>
      <c r="J1037" s="24"/>
      <c r="K1037" s="24"/>
      <c r="L1037" s="235">
        <f t="shared" si="179"/>
        <v>39.260906713762353</v>
      </c>
      <c r="M1037" s="126"/>
      <c r="N1037" s="126"/>
      <c r="O1037" s="126"/>
      <c r="P1037" s="10">
        <f t="shared" si="180"/>
        <v>-1.3609067137623541</v>
      </c>
      <c r="Q1037" s="10">
        <f t="shared" si="185"/>
        <v>1.8520670835634498</v>
      </c>
      <c r="W1037" s="240">
        <f t="shared" si="186"/>
        <v>1.3609067137623541</v>
      </c>
      <c r="X1037" s="240">
        <f t="shared" si="187"/>
        <v>3.5907828859165013E-2</v>
      </c>
      <c r="Y1037"/>
      <c r="Z1037" s="13">
        <f t="shared" si="181"/>
        <v>20.742720077845721</v>
      </c>
      <c r="AA1037" s="2"/>
      <c r="AB1037" s="68"/>
      <c r="AC1037" s="15">
        <f t="shared" si="182"/>
        <v>10.198512062856583</v>
      </c>
    </row>
    <row r="1038" spans="1:29">
      <c r="A1038" s="84">
        <f>'Q.1 &amp; 4'!K1043</f>
        <v>5.4</v>
      </c>
      <c r="B1038" s="141">
        <f>'Q.1 &amp; 4'!L1043</f>
        <v>20.7</v>
      </c>
      <c r="C1038" s="221"/>
      <c r="D1038" s="23"/>
      <c r="E1038" s="24"/>
      <c r="F1038" s="22">
        <f t="shared" si="177"/>
        <v>1.8925925925925888</v>
      </c>
      <c r="G1038" s="22">
        <f t="shared" si="178"/>
        <v>-14.006489069557365</v>
      </c>
      <c r="H1038" s="22">
        <f t="shared" si="183"/>
        <v>-26.50857746127333</v>
      </c>
      <c r="I1038" s="22">
        <f t="shared" si="184"/>
        <v>3.5819067215363369</v>
      </c>
      <c r="J1038" s="24"/>
      <c r="K1038" s="24"/>
      <c r="L1038" s="235">
        <f t="shared" si="179"/>
        <v>26.150211804157603</v>
      </c>
      <c r="M1038" s="126"/>
      <c r="N1038" s="126"/>
      <c r="O1038" s="126"/>
      <c r="P1038" s="10">
        <f t="shared" si="180"/>
        <v>-5.450211804157604</v>
      </c>
      <c r="Q1038" s="10">
        <f t="shared" si="185"/>
        <v>29.704808710178884</v>
      </c>
      <c r="W1038" s="240">
        <f t="shared" si="186"/>
        <v>5.450211804157604</v>
      </c>
      <c r="X1038" s="240">
        <f t="shared" si="187"/>
        <v>0.26329525623949779</v>
      </c>
      <c r="Y1038"/>
      <c r="Z1038" s="13">
        <f t="shared" si="181"/>
        <v>73.209880642396797</v>
      </c>
      <c r="AA1038" s="2"/>
      <c r="AB1038" s="68"/>
      <c r="AC1038" s="15">
        <f t="shared" si="182"/>
        <v>196.18173605562993</v>
      </c>
    </row>
    <row r="1039" spans="1:29">
      <c r="A1039" s="84">
        <f>'Q.1 &amp; 4'!K1044</f>
        <v>5.5</v>
      </c>
      <c r="B1039" s="141">
        <f>'Q.1 &amp; 4'!L1044</f>
        <v>20.100000000000001</v>
      </c>
      <c r="C1039" s="221"/>
      <c r="D1039" s="23"/>
      <c r="E1039" s="24"/>
      <c r="F1039" s="22">
        <f t="shared" si="177"/>
        <v>1.9925925925925885</v>
      </c>
      <c r="G1039" s="22">
        <f t="shared" si="178"/>
        <v>-14.606489069557362</v>
      </c>
      <c r="H1039" s="22">
        <f t="shared" si="183"/>
        <v>-29.104781923784611</v>
      </c>
      <c r="I1039" s="22">
        <f t="shared" si="184"/>
        <v>3.9704252400548534</v>
      </c>
      <c r="J1039" s="24"/>
      <c r="K1039" s="24"/>
      <c r="L1039" s="235">
        <f t="shared" si="179"/>
        <v>25.698118876240201</v>
      </c>
      <c r="M1039" s="126"/>
      <c r="N1039" s="126"/>
      <c r="O1039" s="126"/>
      <c r="P1039" s="10">
        <f t="shared" si="180"/>
        <v>-5.5981188762401999</v>
      </c>
      <c r="Q1039" s="10">
        <f t="shared" si="185"/>
        <v>31.338934952516837</v>
      </c>
      <c r="W1039" s="240">
        <f t="shared" si="186"/>
        <v>5.5981188762401999</v>
      </c>
      <c r="X1039" s="240">
        <f t="shared" si="187"/>
        <v>0.2785133769273731</v>
      </c>
      <c r="Y1039"/>
      <c r="Z1039" s="13">
        <f t="shared" si="181"/>
        <v>81.150733539845092</v>
      </c>
      <c r="AA1039" s="2"/>
      <c r="AB1039" s="68"/>
      <c r="AC1039" s="15">
        <f t="shared" si="182"/>
        <v>213.3495229390987</v>
      </c>
    </row>
    <row r="1040" spans="1:29">
      <c r="A1040" s="84">
        <f>'Q.1 &amp; 4'!K1045</f>
        <v>3</v>
      </c>
      <c r="B1040" s="141">
        <f>'Q.1 &amp; 4'!L1045</f>
        <v>31.5</v>
      </c>
      <c r="C1040" s="221"/>
      <c r="D1040" s="23"/>
      <c r="E1040" s="24"/>
      <c r="F1040" s="22">
        <f t="shared" si="177"/>
        <v>-0.50740740740741153</v>
      </c>
      <c r="G1040" s="22">
        <f t="shared" si="178"/>
        <v>-3.2064890695573638</v>
      </c>
      <c r="H1040" s="22">
        <f t="shared" si="183"/>
        <v>1.6269963056643053</v>
      </c>
      <c r="I1040" s="22">
        <f t="shared" si="184"/>
        <v>0.25746227709191088</v>
      </c>
      <c r="J1040" s="24"/>
      <c r="K1040" s="24"/>
      <c r="L1040" s="235">
        <f t="shared" si="179"/>
        <v>37.000442074175325</v>
      </c>
      <c r="M1040" s="126"/>
      <c r="N1040" s="126"/>
      <c r="O1040" s="126"/>
      <c r="P1040" s="10">
        <f t="shared" si="180"/>
        <v>-5.500442074175325</v>
      </c>
      <c r="Q1040" s="10">
        <f t="shared" si="185"/>
        <v>30.25486301135815</v>
      </c>
      <c r="W1040" s="240">
        <f t="shared" si="186"/>
        <v>5.500442074175325</v>
      </c>
      <c r="X1040" s="240">
        <f t="shared" si="187"/>
        <v>0.17461720870397857</v>
      </c>
      <c r="Y1040"/>
      <c r="Z1040" s="13">
        <f t="shared" si="181"/>
        <v>5.2622203873957725</v>
      </c>
      <c r="AA1040" s="2"/>
      <c r="AB1040" s="68"/>
      <c r="AC1040" s="15">
        <f t="shared" si="182"/>
        <v>10.281572153190849</v>
      </c>
    </row>
    <row r="1041" spans="1:29">
      <c r="A1041" s="84">
        <f>'Q.1 &amp; 4'!K1046</f>
        <v>4.7</v>
      </c>
      <c r="B1041" s="141">
        <f>'Q.1 &amp; 4'!L1046</f>
        <v>23.8</v>
      </c>
      <c r="C1041" s="221"/>
      <c r="D1041" s="23"/>
      <c r="E1041" s="24"/>
      <c r="F1041" s="22">
        <f t="shared" si="177"/>
        <v>1.1925925925925887</v>
      </c>
      <c r="G1041" s="22">
        <f t="shared" si="178"/>
        <v>-10.906489069557363</v>
      </c>
      <c r="H1041" s="22">
        <f t="shared" si="183"/>
        <v>-13.006998075546145</v>
      </c>
      <c r="I1041" s="22">
        <f t="shared" si="184"/>
        <v>1.422277091906712</v>
      </c>
      <c r="J1041" s="24"/>
      <c r="K1041" s="24"/>
      <c r="L1041" s="235">
        <f t="shared" si="179"/>
        <v>29.314862299579438</v>
      </c>
      <c r="M1041" s="126"/>
      <c r="N1041" s="126"/>
      <c r="O1041" s="126"/>
      <c r="P1041" s="10">
        <f t="shared" si="180"/>
        <v>-5.5148622995794376</v>
      </c>
      <c r="Q1041" s="10">
        <f t="shared" si="185"/>
        <v>30.413706183322603</v>
      </c>
      <c r="W1041" s="240">
        <f t="shared" si="186"/>
        <v>5.5148622995794376</v>
      </c>
      <c r="X1041" s="240">
        <f t="shared" si="187"/>
        <v>0.23171690334367384</v>
      </c>
      <c r="Y1041"/>
      <c r="Z1041" s="13">
        <f t="shared" si="181"/>
        <v>29.069639226742598</v>
      </c>
      <c r="AA1041" s="2"/>
      <c r="AB1041" s="68"/>
      <c r="AC1041" s="15">
        <f t="shared" si="182"/>
        <v>118.95150382437424</v>
      </c>
    </row>
    <row r="1042" spans="1:29">
      <c r="A1042" s="84">
        <f>'Q.1 &amp; 4'!K1047</f>
        <v>5.5</v>
      </c>
      <c r="B1042" s="141">
        <f>'Q.1 &amp; 4'!L1047</f>
        <v>23.2</v>
      </c>
      <c r="C1042" s="221"/>
      <c r="D1042" s="23"/>
      <c r="E1042" s="24"/>
      <c r="F1042" s="22">
        <f t="shared" si="177"/>
        <v>1.9925925925925885</v>
      </c>
      <c r="G1042" s="22">
        <f t="shared" si="178"/>
        <v>-11.506489069557365</v>
      </c>
      <c r="H1042" s="22">
        <f t="shared" si="183"/>
        <v>-22.92774488674759</v>
      </c>
      <c r="I1042" s="22">
        <f t="shared" si="184"/>
        <v>3.9704252400548534</v>
      </c>
      <c r="J1042" s="24"/>
      <c r="K1042" s="24"/>
      <c r="L1042" s="235">
        <f t="shared" si="179"/>
        <v>25.698118876240201</v>
      </c>
      <c r="M1042" s="126"/>
      <c r="N1042" s="126"/>
      <c r="O1042" s="126"/>
      <c r="P1042" s="10">
        <f t="shared" si="180"/>
        <v>-2.498118876240202</v>
      </c>
      <c r="Q1042" s="10">
        <f t="shared" si="185"/>
        <v>6.2405979198276098</v>
      </c>
      <c r="W1042" s="240">
        <f t="shared" si="186"/>
        <v>2.498118876240202</v>
      </c>
      <c r="X1042" s="240">
        <f t="shared" si="187"/>
        <v>0.10767753776897422</v>
      </c>
      <c r="Y1042"/>
      <c r="Z1042" s="13">
        <f t="shared" si="181"/>
        <v>81.150733539845092</v>
      </c>
      <c r="AA1042" s="2"/>
      <c r="AB1042" s="68"/>
      <c r="AC1042" s="15">
        <f t="shared" si="182"/>
        <v>132.39929070784311</v>
      </c>
    </row>
    <row r="1043" spans="1:29">
      <c r="A1043" s="84">
        <f>'Q.1 &amp; 4'!K1048</f>
        <v>3.5</v>
      </c>
      <c r="B1043" s="141">
        <f>'Q.1 &amp; 4'!L1048</f>
        <v>28.668299999999999</v>
      </c>
      <c r="C1043" s="221"/>
      <c r="D1043" s="23"/>
      <c r="E1043" s="24"/>
      <c r="F1043" s="22">
        <f t="shared" si="177"/>
        <v>-7.4074074074115259E-3</v>
      </c>
      <c r="G1043" s="22">
        <f t="shared" si="178"/>
        <v>-6.0381890695573652</v>
      </c>
      <c r="H1043" s="22">
        <f t="shared" si="183"/>
        <v>4.4727326441190533E-2</v>
      </c>
      <c r="I1043" s="22">
        <f t="shared" si="184"/>
        <v>5.4869684499375142E-5</v>
      </c>
      <c r="J1043" s="24"/>
      <c r="K1043" s="24"/>
      <c r="L1043" s="235">
        <f t="shared" si="179"/>
        <v>34.739977434588305</v>
      </c>
      <c r="M1043" s="126"/>
      <c r="N1043" s="126"/>
      <c r="O1043" s="126"/>
      <c r="P1043" s="10">
        <f t="shared" si="180"/>
        <v>-6.071677434588306</v>
      </c>
      <c r="Q1043" s="10">
        <f t="shared" si="185"/>
        <v>36.865266869688831</v>
      </c>
      <c r="W1043" s="240">
        <f t="shared" si="186"/>
        <v>6.071677434588306</v>
      </c>
      <c r="X1043" s="240">
        <f t="shared" si="187"/>
        <v>0.21179063406579066</v>
      </c>
      <c r="Y1043"/>
      <c r="Z1043" s="13">
        <f t="shared" si="181"/>
        <v>1.1214705924455365E-3</v>
      </c>
      <c r="AA1043" s="2"/>
      <c r="AB1043" s="68"/>
      <c r="AC1043" s="15">
        <f t="shared" si="182"/>
        <v>36.459727239722042</v>
      </c>
    </row>
    <row r="1044" spans="1:29">
      <c r="A1044" s="84">
        <f>'Q.1 &amp; 4'!K1049</f>
        <v>3.5</v>
      </c>
      <c r="B1044" s="141">
        <f>'Q.1 &amp; 4'!L1049</f>
        <v>27.3</v>
      </c>
      <c r="C1044" s="221"/>
      <c r="D1044" s="23"/>
      <c r="E1044" s="24"/>
      <c r="F1044" s="22">
        <f t="shared" si="177"/>
        <v>-7.4074074074115259E-3</v>
      </c>
      <c r="G1044" s="22">
        <f t="shared" si="178"/>
        <v>-7.4064890695573631</v>
      </c>
      <c r="H1044" s="22">
        <f t="shared" si="183"/>
        <v>5.4862881996751711E-2</v>
      </c>
      <c r="I1044" s="22">
        <f t="shared" si="184"/>
        <v>5.4869684499375142E-5</v>
      </c>
      <c r="J1044" s="24"/>
      <c r="K1044" s="24"/>
      <c r="L1044" s="235">
        <f t="shared" si="179"/>
        <v>34.739977434588305</v>
      </c>
      <c r="M1044" s="126"/>
      <c r="N1044" s="126"/>
      <c r="O1044" s="126"/>
      <c r="P1044" s="10">
        <f t="shared" si="180"/>
        <v>-7.4399774345883039</v>
      </c>
      <c r="Q1044" s="10">
        <f t="shared" si="185"/>
        <v>55.353264227183161</v>
      </c>
      <c r="W1044" s="240">
        <f t="shared" si="186"/>
        <v>7.4399774345883039</v>
      </c>
      <c r="X1044" s="240">
        <f t="shared" si="187"/>
        <v>0.27252664595561554</v>
      </c>
      <c r="Y1044"/>
      <c r="Z1044" s="13">
        <f t="shared" si="181"/>
        <v>1.1214705924455365E-3</v>
      </c>
      <c r="AA1044" s="2"/>
      <c r="AB1044" s="68"/>
      <c r="AC1044" s="15">
        <f t="shared" si="182"/>
        <v>54.856080337472697</v>
      </c>
    </row>
    <row r="1045" spans="1:29">
      <c r="A1045" s="84">
        <f>'Q.1 &amp; 4'!K1050</f>
        <v>3</v>
      </c>
      <c r="B1045" s="141">
        <f>'Q.1 &amp; 4'!L1050</f>
        <v>34.4</v>
      </c>
      <c r="C1045" s="221"/>
      <c r="D1045" s="23"/>
      <c r="E1045" s="24"/>
      <c r="F1045" s="22">
        <f t="shared" si="177"/>
        <v>-0.50740740740741153</v>
      </c>
      <c r="G1045" s="22">
        <f t="shared" si="178"/>
        <v>-0.30648906955736521</v>
      </c>
      <c r="H1045" s="22">
        <f t="shared" si="183"/>
        <v>0.15551482418281251</v>
      </c>
      <c r="I1045" s="22">
        <f t="shared" si="184"/>
        <v>0.25746227709191088</v>
      </c>
      <c r="J1045" s="24"/>
      <c r="K1045" s="24"/>
      <c r="L1045" s="235">
        <f t="shared" si="179"/>
        <v>37.000442074175325</v>
      </c>
      <c r="M1045" s="126"/>
      <c r="N1045" s="126"/>
      <c r="O1045" s="126"/>
      <c r="P1045" s="10">
        <f t="shared" si="180"/>
        <v>-2.6004420741753265</v>
      </c>
      <c r="Q1045" s="10">
        <f t="shared" si="185"/>
        <v>6.7622989811412744</v>
      </c>
      <c r="W1045" s="240">
        <f t="shared" si="186"/>
        <v>2.6004420741753265</v>
      </c>
      <c r="X1045" s="240">
        <f t="shared" si="187"/>
        <v>7.5594246342306007E-2</v>
      </c>
      <c r="Y1045"/>
      <c r="Z1045" s="13">
        <f t="shared" si="181"/>
        <v>5.2622203873957725</v>
      </c>
      <c r="AA1045" s="2"/>
      <c r="AB1045" s="68"/>
      <c r="AC1045" s="15">
        <f t="shared" si="182"/>
        <v>9.3935549758139447E-2</v>
      </c>
    </row>
    <row r="1046" spans="1:29">
      <c r="A1046" s="84">
        <f>'Q.1 &amp; 4'!K1051</f>
        <v>5.5</v>
      </c>
      <c r="B1046" s="141">
        <f>'Q.1 &amp; 4'!L1051</f>
        <v>24.6</v>
      </c>
      <c r="C1046" s="221"/>
      <c r="D1046" s="23"/>
      <c r="E1046" s="24"/>
      <c r="F1046" s="22">
        <f t="shared" si="177"/>
        <v>1.9925925925925885</v>
      </c>
      <c r="G1046" s="22">
        <f t="shared" si="178"/>
        <v>-10.106489069557362</v>
      </c>
      <c r="H1046" s="22">
        <f t="shared" si="183"/>
        <v>-20.138115257117963</v>
      </c>
      <c r="I1046" s="22">
        <f t="shared" si="184"/>
        <v>3.9704252400548534</v>
      </c>
      <c r="J1046" s="24"/>
      <c r="K1046" s="24"/>
      <c r="L1046" s="235">
        <f t="shared" si="179"/>
        <v>25.698118876240201</v>
      </c>
      <c r="M1046" s="126"/>
      <c r="N1046" s="126"/>
      <c r="O1046" s="126"/>
      <c r="P1046" s="10">
        <f t="shared" si="180"/>
        <v>-1.0981188762401999</v>
      </c>
      <c r="Q1046" s="10">
        <f t="shared" si="185"/>
        <v>1.2058650663550394</v>
      </c>
      <c r="W1046" s="240">
        <f t="shared" si="186"/>
        <v>1.0981188762401999</v>
      </c>
      <c r="X1046" s="240">
        <f t="shared" si="187"/>
        <v>4.4638978708951213E-2</v>
      </c>
      <c r="Y1046"/>
      <c r="Z1046" s="13">
        <f t="shared" si="181"/>
        <v>81.150733539845092</v>
      </c>
      <c r="AA1046" s="2"/>
      <c r="AB1046" s="68"/>
      <c r="AC1046" s="15">
        <f t="shared" si="182"/>
        <v>102.14112131308244</v>
      </c>
    </row>
    <row r="1047" spans="1:29">
      <c r="A1047" s="84">
        <f>'Q.1 &amp; 4'!K1052</f>
        <v>6.3</v>
      </c>
      <c r="B1047" s="141">
        <f>'Q.1 &amp; 4'!L1052</f>
        <v>19.7</v>
      </c>
      <c r="C1047" s="221"/>
      <c r="D1047" s="23"/>
      <c r="E1047" s="24"/>
      <c r="F1047" s="22">
        <f t="shared" si="177"/>
        <v>2.7925925925925883</v>
      </c>
      <c r="G1047" s="22">
        <f t="shared" si="178"/>
        <v>-15.006489069557365</v>
      </c>
      <c r="H1047" s="22">
        <f t="shared" si="183"/>
        <v>-41.90701021646754</v>
      </c>
      <c r="I1047" s="22">
        <f t="shared" si="184"/>
        <v>7.7985733882029935</v>
      </c>
      <c r="J1047" s="24"/>
      <c r="K1047" s="24"/>
      <c r="L1047" s="235">
        <f t="shared" si="179"/>
        <v>22.081375452900961</v>
      </c>
      <c r="M1047" s="126"/>
      <c r="N1047" s="126"/>
      <c r="O1047" s="126"/>
      <c r="P1047" s="10">
        <f t="shared" si="180"/>
        <v>-2.3813754529009614</v>
      </c>
      <c r="Q1047" s="10">
        <f t="shared" si="185"/>
        <v>5.670949047679259</v>
      </c>
      <c r="W1047" s="240">
        <f t="shared" si="186"/>
        <v>2.3813754529009614</v>
      </c>
      <c r="X1047" s="240">
        <f t="shared" si="187"/>
        <v>0.12088200268532799</v>
      </c>
      <c r="Y1047"/>
      <c r="Z1047" s="13">
        <f t="shared" si="181"/>
        <v>159.39349383348292</v>
      </c>
      <c r="AA1047" s="2"/>
      <c r="AB1047" s="68"/>
      <c r="AC1047" s="15">
        <f t="shared" si="182"/>
        <v>225.19471419474465</v>
      </c>
    </row>
    <row r="1048" spans="1:29">
      <c r="A1048" s="84">
        <f>'Q.1 &amp; 4'!K1053</f>
        <v>3.5</v>
      </c>
      <c r="B1048" s="141">
        <f>'Q.1 &amp; 4'!L1053</f>
        <v>33.700000000000003</v>
      </c>
      <c r="C1048" s="221"/>
      <c r="D1048" s="23"/>
      <c r="E1048" s="24"/>
      <c r="F1048" s="22">
        <f t="shared" si="177"/>
        <v>-7.4074074074115259E-3</v>
      </c>
      <c r="G1048" s="22">
        <f t="shared" si="178"/>
        <v>-1.0064890695573609</v>
      </c>
      <c r="H1048" s="22">
        <f t="shared" si="183"/>
        <v>7.4554745893179297E-3</v>
      </c>
      <c r="I1048" s="22">
        <f t="shared" si="184"/>
        <v>5.4869684499375142E-5</v>
      </c>
      <c r="J1048" s="24"/>
      <c r="K1048" s="24"/>
      <c r="L1048" s="235">
        <f t="shared" si="179"/>
        <v>34.739977434588305</v>
      </c>
      <c r="M1048" s="126"/>
      <c r="N1048" s="126"/>
      <c r="O1048" s="126"/>
      <c r="P1048" s="10">
        <f t="shared" si="180"/>
        <v>-1.0399774345883017</v>
      </c>
      <c r="Q1048" s="10">
        <f t="shared" si="185"/>
        <v>1.0815530644528655</v>
      </c>
      <c r="W1048" s="240">
        <f t="shared" si="186"/>
        <v>1.0399774345883017</v>
      </c>
      <c r="X1048" s="240">
        <f t="shared" si="187"/>
        <v>3.0859864527842777E-2</v>
      </c>
      <c r="Y1048"/>
      <c r="Z1048" s="13">
        <f t="shared" si="181"/>
        <v>1.1214705924455365E-3</v>
      </c>
      <c r="AA1048" s="2"/>
      <c r="AB1048" s="68"/>
      <c r="AC1048" s="15">
        <f t="shared" si="182"/>
        <v>1.0130202471384422</v>
      </c>
    </row>
    <row r="1049" spans="1:29">
      <c r="A1049" s="84">
        <f>'Q.1 &amp; 4'!K1054</f>
        <v>3.5</v>
      </c>
      <c r="B1049" s="141">
        <f>'Q.1 &amp; 4'!L1054</f>
        <v>25.8</v>
      </c>
      <c r="C1049" s="221"/>
      <c r="D1049" s="23"/>
      <c r="E1049" s="24"/>
      <c r="F1049" s="22">
        <f t="shared" si="177"/>
        <v>-7.4074074074115259E-3</v>
      </c>
      <c r="G1049" s="22">
        <f t="shared" si="178"/>
        <v>-8.9064890695573631</v>
      </c>
      <c r="H1049" s="22">
        <f t="shared" si="183"/>
        <v>6.5973993107869E-2</v>
      </c>
      <c r="I1049" s="22">
        <f t="shared" si="184"/>
        <v>5.4869684499375142E-5</v>
      </c>
      <c r="J1049" s="24"/>
      <c r="K1049" s="24"/>
      <c r="L1049" s="235">
        <f t="shared" si="179"/>
        <v>34.739977434588305</v>
      </c>
      <c r="M1049" s="126"/>
      <c r="N1049" s="126"/>
      <c r="O1049" s="126"/>
      <c r="P1049" s="10">
        <f t="shared" si="180"/>
        <v>-8.9399774345883039</v>
      </c>
      <c r="Q1049" s="10">
        <f t="shared" si="185"/>
        <v>79.923196530948076</v>
      </c>
      <c r="W1049" s="240">
        <f t="shared" si="186"/>
        <v>8.9399774345883039</v>
      </c>
      <c r="X1049" s="240">
        <f t="shared" si="187"/>
        <v>0.34651075327861641</v>
      </c>
      <c r="Y1049"/>
      <c r="Z1049" s="13">
        <f t="shared" si="181"/>
        <v>1.1214705924455365E-3</v>
      </c>
      <c r="AA1049" s="2"/>
      <c r="AB1049" s="68"/>
      <c r="AC1049" s="15">
        <f t="shared" si="182"/>
        <v>79.32554754614479</v>
      </c>
    </row>
    <row r="1050" spans="1:29">
      <c r="A1050" s="84">
        <f>'Q.1 &amp; 4'!K1055</f>
        <v>3</v>
      </c>
      <c r="B1050" s="141">
        <f>'Q.1 &amp; 4'!L1055</f>
        <v>33.299999999999997</v>
      </c>
      <c r="C1050" s="221"/>
      <c r="D1050" s="23"/>
      <c r="E1050" s="24"/>
      <c r="F1050" s="22">
        <f t="shared" si="177"/>
        <v>-0.50740740740741153</v>
      </c>
      <c r="G1050" s="22">
        <f t="shared" si="178"/>
        <v>-1.4064890695573666</v>
      </c>
      <c r="H1050" s="22">
        <f t="shared" si="183"/>
        <v>0.71366297233096587</v>
      </c>
      <c r="I1050" s="22">
        <f t="shared" si="184"/>
        <v>0.25746227709191088</v>
      </c>
      <c r="J1050" s="24"/>
      <c r="K1050" s="24"/>
      <c r="L1050" s="235">
        <f t="shared" si="179"/>
        <v>37.000442074175325</v>
      </c>
      <c r="M1050" s="126"/>
      <c r="N1050" s="126"/>
      <c r="O1050" s="126"/>
      <c r="P1050" s="10">
        <f t="shared" si="180"/>
        <v>-3.7004420741753279</v>
      </c>
      <c r="Q1050" s="10">
        <f t="shared" si="185"/>
        <v>13.693271544327002</v>
      </c>
      <c r="W1050" s="240">
        <f t="shared" si="186"/>
        <v>3.7004420741753279</v>
      </c>
      <c r="X1050" s="240">
        <f t="shared" si="187"/>
        <v>0.11112438661187171</v>
      </c>
      <c r="Y1050"/>
      <c r="Z1050" s="13">
        <f t="shared" si="181"/>
        <v>5.2622203873957725</v>
      </c>
      <c r="AA1050" s="2"/>
      <c r="AB1050" s="68"/>
      <c r="AC1050" s="15">
        <f t="shared" si="182"/>
        <v>1.978211502784347</v>
      </c>
    </row>
    <row r="1051" spans="1:29">
      <c r="A1051" s="84">
        <f>'Q.1 &amp; 4'!K1056</f>
        <v>2.5</v>
      </c>
      <c r="B1051" s="141">
        <f>'Q.1 &amp; 4'!L1056</f>
        <v>36.030700000000003</v>
      </c>
      <c r="C1051" s="221"/>
      <c r="D1051" s="23"/>
      <c r="E1051" s="24"/>
      <c r="F1051" s="22">
        <f t="shared" si="177"/>
        <v>-1.0074074074074115</v>
      </c>
      <c r="G1051" s="22">
        <f t="shared" si="178"/>
        <v>1.3242109304426393</v>
      </c>
      <c r="H1051" s="22">
        <f t="shared" si="183"/>
        <v>-1.3340199002977753</v>
      </c>
      <c r="I1051" s="22">
        <f t="shared" si="184"/>
        <v>1.0148696844993224</v>
      </c>
      <c r="J1051" s="24"/>
      <c r="K1051" s="24"/>
      <c r="L1051" s="235">
        <f t="shared" si="179"/>
        <v>39.260906713762353</v>
      </c>
      <c r="M1051" s="126"/>
      <c r="N1051" s="126"/>
      <c r="O1051" s="126"/>
      <c r="P1051" s="10">
        <f t="shared" si="180"/>
        <v>-3.2302067137623496</v>
      </c>
      <c r="Q1051" s="10">
        <f t="shared" si="185"/>
        <v>10.434235413635358</v>
      </c>
      <c r="W1051" s="240">
        <f t="shared" si="186"/>
        <v>3.2302067137623496</v>
      </c>
      <c r="X1051" s="240">
        <f t="shared" si="187"/>
        <v>8.9651511454463817E-2</v>
      </c>
      <c r="Y1051"/>
      <c r="Z1051" s="13">
        <f t="shared" si="181"/>
        <v>20.742720077845721</v>
      </c>
      <c r="AA1051" s="2"/>
      <c r="AB1051" s="68"/>
      <c r="AC1051" s="15">
        <f t="shared" si="182"/>
        <v>1.7535345883037603</v>
      </c>
    </row>
    <row r="1052" spans="1:29">
      <c r="A1052" s="84">
        <f>'Q.1 &amp; 4'!K1057</f>
        <v>3</v>
      </c>
      <c r="B1052" s="141">
        <f>'Q.1 &amp; 4'!L1057</f>
        <v>31.3917</v>
      </c>
      <c r="C1052" s="221"/>
      <c r="D1052" s="23"/>
      <c r="E1052" s="24"/>
      <c r="F1052" s="22">
        <f t="shared" si="177"/>
        <v>-0.50740740740741153</v>
      </c>
      <c r="G1052" s="22">
        <f t="shared" si="178"/>
        <v>-3.3147890695573636</v>
      </c>
      <c r="H1052" s="22">
        <f t="shared" si="183"/>
        <v>1.6819485278865278</v>
      </c>
      <c r="I1052" s="22">
        <f t="shared" si="184"/>
        <v>0.25746227709191088</v>
      </c>
      <c r="J1052" s="24"/>
      <c r="K1052" s="24"/>
      <c r="L1052" s="235">
        <f t="shared" si="179"/>
        <v>37.000442074175325</v>
      </c>
      <c r="M1052" s="126"/>
      <c r="N1052" s="126"/>
      <c r="O1052" s="126"/>
      <c r="P1052" s="10">
        <f t="shared" si="180"/>
        <v>-5.6087420741753249</v>
      </c>
      <c r="Q1052" s="10">
        <f t="shared" si="185"/>
        <v>31.457987654624525</v>
      </c>
      <c r="W1052" s="240">
        <f t="shared" si="186"/>
        <v>5.6087420741753249</v>
      </c>
      <c r="X1052" s="240">
        <f t="shared" si="187"/>
        <v>0.17866958699832519</v>
      </c>
      <c r="Y1052"/>
      <c r="Z1052" s="13">
        <f t="shared" si="181"/>
        <v>5.2622203873957725</v>
      </c>
      <c r="AA1052" s="2"/>
      <c r="AB1052" s="68"/>
      <c r="AC1052" s="15">
        <f t="shared" si="182"/>
        <v>10.987826575656973</v>
      </c>
    </row>
    <row r="1053" spans="1:29">
      <c r="A1053" s="84">
        <f>'Q.1 &amp; 4'!K1058</f>
        <v>2.5</v>
      </c>
      <c r="B1053" s="141">
        <f>'Q.1 &amp; 4'!L1058</f>
        <v>37.9</v>
      </c>
      <c r="C1053" s="221"/>
      <c r="D1053" s="23"/>
      <c r="E1053" s="24"/>
      <c r="F1053" s="22">
        <f t="shared" si="177"/>
        <v>-1.0074074074074115</v>
      </c>
      <c r="G1053" s="22">
        <f t="shared" si="178"/>
        <v>3.1935109304426348</v>
      </c>
      <c r="H1053" s="22">
        <f t="shared" si="183"/>
        <v>-3.2171665669644454</v>
      </c>
      <c r="I1053" s="22">
        <f t="shared" si="184"/>
        <v>1.0148696844993224</v>
      </c>
      <c r="J1053" s="24"/>
      <c r="K1053" s="24"/>
      <c r="L1053" s="235">
        <f t="shared" si="179"/>
        <v>39.260906713762353</v>
      </c>
      <c r="M1053" s="126"/>
      <c r="N1053" s="126"/>
      <c r="O1053" s="126"/>
      <c r="P1053" s="10">
        <f t="shared" si="180"/>
        <v>-1.3609067137623541</v>
      </c>
      <c r="Q1053" s="10">
        <f t="shared" si="185"/>
        <v>1.8520670835634498</v>
      </c>
      <c r="W1053" s="240">
        <f t="shared" si="186"/>
        <v>1.3609067137623541</v>
      </c>
      <c r="X1053" s="240">
        <f t="shared" si="187"/>
        <v>3.5907828859165013E-2</v>
      </c>
      <c r="Y1053"/>
      <c r="Z1053" s="13">
        <f t="shared" si="181"/>
        <v>20.742720077845721</v>
      </c>
      <c r="AA1053" s="2"/>
      <c r="AB1053" s="68"/>
      <c r="AC1053" s="15">
        <f t="shared" si="182"/>
        <v>10.198512062856583</v>
      </c>
    </row>
    <row r="1054" spans="1:29">
      <c r="A1054" s="84">
        <f>'Q.1 &amp; 4'!K1059</f>
        <v>4</v>
      </c>
      <c r="B1054" s="141">
        <f>'Q.1 &amp; 4'!L1059</f>
        <v>25.753499999999999</v>
      </c>
      <c r="C1054" s="221"/>
      <c r="D1054" s="23"/>
      <c r="E1054" s="24"/>
      <c r="F1054" s="22">
        <f t="shared" si="177"/>
        <v>0.49259259259258847</v>
      </c>
      <c r="G1054" s="22">
        <f t="shared" si="178"/>
        <v>-8.9529890695573648</v>
      </c>
      <c r="H1054" s="22">
        <f t="shared" si="183"/>
        <v>-4.4101760972263691</v>
      </c>
      <c r="I1054" s="22">
        <f t="shared" si="184"/>
        <v>0.24264746227708786</v>
      </c>
      <c r="J1054" s="24"/>
      <c r="K1054" s="24"/>
      <c r="L1054" s="235">
        <f t="shared" si="179"/>
        <v>32.479512795001277</v>
      </c>
      <c r="M1054" s="126"/>
      <c r="N1054" s="126"/>
      <c r="O1054" s="126"/>
      <c r="P1054" s="10">
        <f t="shared" si="180"/>
        <v>-6.726012795001278</v>
      </c>
      <c r="Q1054" s="10">
        <f t="shared" si="185"/>
        <v>45.239248118520905</v>
      </c>
      <c r="W1054" s="240">
        <f t="shared" si="186"/>
        <v>6.726012795001278</v>
      </c>
      <c r="X1054" s="240">
        <f t="shared" si="187"/>
        <v>0.26116888170544889</v>
      </c>
      <c r="Y1054"/>
      <c r="Z1054" s="13">
        <f t="shared" si="181"/>
        <v>4.9594233274357071</v>
      </c>
      <c r="AA1054" s="2"/>
      <c r="AB1054" s="68"/>
      <c r="AC1054" s="15">
        <f t="shared" si="182"/>
        <v>80.156013279613646</v>
      </c>
    </row>
    <row r="1055" spans="1:29">
      <c r="A1055" s="84">
        <f>'Q.1 &amp; 4'!K1060</f>
        <v>4.5999999999999996</v>
      </c>
      <c r="B1055" s="141">
        <f>'Q.1 &amp; 4'!L1060</f>
        <v>26.662199999999999</v>
      </c>
      <c r="C1055" s="221"/>
      <c r="D1055" s="23"/>
      <c r="E1055" s="24"/>
      <c r="F1055" s="22">
        <f t="shared" si="177"/>
        <v>1.0925925925925881</v>
      </c>
      <c r="G1055" s="22">
        <f t="shared" si="178"/>
        <v>-8.0442890695573652</v>
      </c>
      <c r="H1055" s="22">
        <f t="shared" si="183"/>
        <v>-8.7891306500719004</v>
      </c>
      <c r="I1055" s="22">
        <f t="shared" si="184"/>
        <v>1.1937585733881932</v>
      </c>
      <c r="J1055" s="24"/>
      <c r="K1055" s="24"/>
      <c r="L1055" s="235">
        <f t="shared" si="179"/>
        <v>29.766955227496847</v>
      </c>
      <c r="M1055" s="126"/>
      <c r="N1055" s="126"/>
      <c r="O1055" s="126"/>
      <c r="P1055" s="10">
        <f t="shared" si="180"/>
        <v>-3.1047552274968488</v>
      </c>
      <c r="Q1055" s="10">
        <f t="shared" si="185"/>
        <v>9.6395050226690095</v>
      </c>
      <c r="W1055" s="240">
        <f t="shared" si="186"/>
        <v>3.1047552274968488</v>
      </c>
      <c r="X1055" s="240">
        <f t="shared" si="187"/>
        <v>0.11644782604199387</v>
      </c>
      <c r="Y1055"/>
      <c r="Z1055" s="13">
        <f t="shared" si="181"/>
        <v>24.398994576861128</v>
      </c>
      <c r="AA1055" s="2"/>
      <c r="AB1055" s="68"/>
      <c r="AC1055" s="15">
        <f t="shared" si="182"/>
        <v>64.710586634600105</v>
      </c>
    </row>
    <row r="1056" spans="1:29">
      <c r="A1056" s="84">
        <f>'Q.1 &amp; 4'!K1061</f>
        <v>2.4</v>
      </c>
      <c r="B1056" s="141">
        <f>'Q.1 &amp; 4'!L1061</f>
        <v>35.241799999999998</v>
      </c>
      <c r="C1056" s="221"/>
      <c r="D1056" s="23"/>
      <c r="E1056" s="24"/>
      <c r="F1056" s="22">
        <f t="shared" si="177"/>
        <v>-1.1074074074074116</v>
      </c>
      <c r="G1056" s="22">
        <f t="shared" si="178"/>
        <v>0.535310930442634</v>
      </c>
      <c r="H1056" s="22">
        <f t="shared" si="183"/>
        <v>-0.59280728963832663</v>
      </c>
      <c r="I1056" s="22">
        <f t="shared" si="184"/>
        <v>1.2263511659808048</v>
      </c>
      <c r="J1056" s="24"/>
      <c r="K1056" s="24"/>
      <c r="L1056" s="235">
        <f t="shared" si="179"/>
        <v>39.712999641679758</v>
      </c>
      <c r="M1056" s="126"/>
      <c r="N1056" s="126"/>
      <c r="O1056" s="126"/>
      <c r="P1056" s="10">
        <f t="shared" si="180"/>
        <v>-4.4711996416797604</v>
      </c>
      <c r="Q1056" s="10">
        <f t="shared" si="185"/>
        <v>19.991626235757217</v>
      </c>
      <c r="W1056" s="240">
        <f t="shared" si="186"/>
        <v>4.4711996416797604</v>
      </c>
      <c r="X1056" s="240">
        <f t="shared" si="187"/>
        <v>0.12687205652605033</v>
      </c>
      <c r="Y1056"/>
      <c r="Z1056" s="13">
        <f t="shared" si="181"/>
        <v>25.065148108773304</v>
      </c>
      <c r="AA1056" s="2"/>
      <c r="AB1056" s="68"/>
      <c r="AC1056" s="15">
        <f t="shared" si="182"/>
        <v>0.28655779225135852</v>
      </c>
    </row>
    <row r="1057" spans="1:29">
      <c r="A1057" s="84">
        <f>'Q.1 &amp; 4'!K1062</f>
        <v>3</v>
      </c>
      <c r="B1057" s="141">
        <f>'Q.1 &amp; 4'!L1062</f>
        <v>32.954799999999999</v>
      </c>
      <c r="C1057" s="221"/>
      <c r="D1057" s="23"/>
      <c r="E1057" s="24"/>
      <c r="F1057" s="22">
        <f t="shared" si="177"/>
        <v>-0.50740740740741153</v>
      </c>
      <c r="G1057" s="22">
        <f t="shared" si="178"/>
        <v>-1.751689069557365</v>
      </c>
      <c r="H1057" s="22">
        <f t="shared" si="183"/>
        <v>0.88882000936800354</v>
      </c>
      <c r="I1057" s="22">
        <f t="shared" si="184"/>
        <v>0.25746227709191088</v>
      </c>
      <c r="J1057" s="24"/>
      <c r="K1057" s="24"/>
      <c r="L1057" s="235">
        <f t="shared" si="179"/>
        <v>37.000442074175325</v>
      </c>
      <c r="M1057" s="126"/>
      <c r="N1057" s="126"/>
      <c r="O1057" s="126"/>
      <c r="P1057" s="10">
        <f t="shared" si="180"/>
        <v>-4.0456420741753263</v>
      </c>
      <c r="Q1057" s="10">
        <f t="shared" si="185"/>
        <v>16.367219792337636</v>
      </c>
      <c r="W1057" s="240">
        <f t="shared" si="186"/>
        <v>4.0456420741753263</v>
      </c>
      <c r="X1057" s="240">
        <f t="shared" si="187"/>
        <v>0.12276336297520624</v>
      </c>
      <c r="Y1057"/>
      <c r="Z1057" s="13">
        <f t="shared" si="181"/>
        <v>5.2622203873957725</v>
      </c>
      <c r="AA1057" s="2"/>
      <c r="AB1057" s="68"/>
      <c r="AC1057" s="15">
        <f t="shared" si="182"/>
        <v>3.0684145964067473</v>
      </c>
    </row>
    <row r="1058" spans="1:29">
      <c r="A1058" s="84">
        <f>'Q.1 &amp; 4'!K1063</f>
        <v>3.8</v>
      </c>
      <c r="B1058" s="141">
        <f>'Q.1 &amp; 4'!L1063</f>
        <v>26.9</v>
      </c>
      <c r="C1058" s="221"/>
      <c r="D1058" s="23"/>
      <c r="E1058" s="24"/>
      <c r="F1058" s="22">
        <f t="shared" si="177"/>
        <v>0.2925925925925883</v>
      </c>
      <c r="G1058" s="22">
        <f t="shared" si="178"/>
        <v>-7.8064890695573652</v>
      </c>
      <c r="H1058" s="22">
        <f t="shared" si="183"/>
        <v>-2.284120875907492</v>
      </c>
      <c r="I1058" s="22">
        <f t="shared" si="184"/>
        <v>8.5610425240052357E-2</v>
      </c>
      <c r="J1058" s="24"/>
      <c r="K1058" s="24"/>
      <c r="L1058" s="235">
        <f t="shared" si="179"/>
        <v>33.383698650836088</v>
      </c>
      <c r="M1058" s="126"/>
      <c r="N1058" s="126"/>
      <c r="O1058" s="126"/>
      <c r="P1058" s="10">
        <f t="shared" si="180"/>
        <v>-6.4836986508360894</v>
      </c>
      <c r="Q1058" s="10">
        <f t="shared" si="185"/>
        <v>42.038348194853725</v>
      </c>
      <c r="W1058" s="240">
        <f t="shared" si="186"/>
        <v>6.4836986508360894</v>
      </c>
      <c r="X1058" s="240">
        <f t="shared" si="187"/>
        <v>0.24102968962215948</v>
      </c>
      <c r="Y1058"/>
      <c r="Z1058" s="13">
        <f t="shared" si="181"/>
        <v>1.749774491860808</v>
      </c>
      <c r="AA1058" s="2"/>
      <c r="AB1058" s="68"/>
      <c r="AC1058" s="15">
        <f t="shared" si="182"/>
        <v>60.941271593118614</v>
      </c>
    </row>
    <row r="1059" spans="1:29">
      <c r="A1059" s="84">
        <f>'Q.1 &amp; 4'!K1064</f>
        <v>5.6</v>
      </c>
      <c r="B1059" s="141">
        <f>'Q.1 &amp; 4'!L1064</f>
        <v>24.192399999999999</v>
      </c>
      <c r="C1059" s="221"/>
      <c r="D1059" s="23"/>
      <c r="E1059" s="24"/>
      <c r="F1059" s="22">
        <f t="shared" si="177"/>
        <v>2.0925925925925881</v>
      </c>
      <c r="G1059" s="22">
        <f t="shared" si="178"/>
        <v>-10.514089069557365</v>
      </c>
      <c r="H1059" s="22">
        <f t="shared" si="183"/>
        <v>-22.001704904814439</v>
      </c>
      <c r="I1059" s="22">
        <f t="shared" si="184"/>
        <v>4.378943758573369</v>
      </c>
      <c r="J1059" s="24"/>
      <c r="K1059" s="24"/>
      <c r="L1059" s="235">
        <f t="shared" si="179"/>
        <v>25.246025948322796</v>
      </c>
      <c r="M1059" s="126"/>
      <c r="N1059" s="126"/>
      <c r="O1059" s="126"/>
      <c r="P1059" s="10">
        <f t="shared" si="180"/>
        <v>-1.0536259483227965</v>
      </c>
      <c r="Q1059" s="10">
        <f t="shared" si="185"/>
        <v>1.1101276389791124</v>
      </c>
      <c r="W1059" s="240">
        <f t="shared" si="186"/>
        <v>1.0536259483227965</v>
      </c>
      <c r="X1059" s="240">
        <f t="shared" si="187"/>
        <v>4.3551939796084578E-2</v>
      </c>
      <c r="Y1059"/>
      <c r="Z1059" s="13">
        <f t="shared" si="181"/>
        <v>89.500362468239302</v>
      </c>
      <c r="AA1059" s="2"/>
      <c r="AB1059" s="68"/>
      <c r="AC1059" s="15">
        <f t="shared" si="182"/>
        <v>110.54606896258565</v>
      </c>
    </row>
    <row r="1060" spans="1:29">
      <c r="A1060" s="84">
        <f>'Q.1 &amp; 4'!K1065</f>
        <v>5.6</v>
      </c>
      <c r="B1060" s="141">
        <f>'Q.1 &amp; 4'!L1065</f>
        <v>24.149100000000001</v>
      </c>
      <c r="C1060" s="221"/>
      <c r="D1060" s="23"/>
      <c r="E1060" s="24"/>
      <c r="F1060" s="22">
        <f t="shared" si="177"/>
        <v>2.0925925925925881</v>
      </c>
      <c r="G1060" s="22">
        <f t="shared" si="178"/>
        <v>-10.557389069557363</v>
      </c>
      <c r="H1060" s="22">
        <f t="shared" si="183"/>
        <v>-22.092314164073695</v>
      </c>
      <c r="I1060" s="22">
        <f t="shared" si="184"/>
        <v>4.378943758573369</v>
      </c>
      <c r="J1060" s="24"/>
      <c r="K1060" s="24"/>
      <c r="L1060" s="235">
        <f t="shared" si="179"/>
        <v>25.246025948322796</v>
      </c>
      <c r="M1060" s="126"/>
      <c r="N1060" s="126"/>
      <c r="O1060" s="126"/>
      <c r="P1060" s="10">
        <f t="shared" si="180"/>
        <v>-1.0969259483227951</v>
      </c>
      <c r="Q1060" s="10">
        <f t="shared" si="185"/>
        <v>1.2032465361038633</v>
      </c>
      <c r="W1060" s="240">
        <f t="shared" si="186"/>
        <v>1.0969259483227951</v>
      </c>
      <c r="X1060" s="240">
        <f t="shared" si="187"/>
        <v>4.542305710452129E-2</v>
      </c>
      <c r="Y1060"/>
      <c r="Z1060" s="13">
        <f t="shared" si="181"/>
        <v>89.500362468239302</v>
      </c>
      <c r="AA1060" s="2"/>
      <c r="AB1060" s="68"/>
      <c r="AC1060" s="15">
        <f t="shared" si="182"/>
        <v>111.45846396600929</v>
      </c>
    </row>
    <row r="1061" spans="1:29">
      <c r="A1061" s="84">
        <f>'Q.1 &amp; 4'!K1066</f>
        <v>3.5</v>
      </c>
      <c r="B1061" s="141">
        <f>'Q.1 &amp; 4'!L1066</f>
        <v>31.708200000000001</v>
      </c>
      <c r="C1061" s="221"/>
      <c r="D1061" s="23"/>
      <c r="E1061" s="24"/>
      <c r="F1061" s="22">
        <f t="shared" si="177"/>
        <v>-7.4074074074115259E-3</v>
      </c>
      <c r="G1061" s="22">
        <f t="shared" si="178"/>
        <v>-2.9982890695573623</v>
      </c>
      <c r="H1061" s="22">
        <f t="shared" si="183"/>
        <v>2.2209548663400216E-2</v>
      </c>
      <c r="I1061" s="22">
        <f t="shared" si="184"/>
        <v>5.4869684499375142E-5</v>
      </c>
      <c r="J1061" s="24"/>
      <c r="K1061" s="24"/>
      <c r="L1061" s="235">
        <f t="shared" si="179"/>
        <v>34.739977434588305</v>
      </c>
      <c r="M1061" s="126"/>
      <c r="N1061" s="126"/>
      <c r="O1061" s="126"/>
      <c r="P1061" s="10">
        <f t="shared" si="180"/>
        <v>-3.0317774345883031</v>
      </c>
      <c r="Q1061" s="10">
        <f t="shared" si="185"/>
        <v>9.1916744128788324</v>
      </c>
      <c r="W1061" s="240">
        <f t="shared" si="186"/>
        <v>3.0317774345883031</v>
      </c>
      <c r="X1061" s="240">
        <f t="shared" si="187"/>
        <v>9.5614933505790395E-2</v>
      </c>
      <c r="Y1061"/>
      <c r="Z1061" s="13">
        <f t="shared" si="181"/>
        <v>1.1214705924455365E-3</v>
      </c>
      <c r="AA1061" s="2"/>
      <c r="AB1061" s="68"/>
      <c r="AC1061" s="15">
        <f t="shared" si="182"/>
        <v>8.9897373446271533</v>
      </c>
    </row>
    <row r="1062" spans="1:29">
      <c r="A1062" s="84">
        <f>'Q.1 &amp; 4'!K1067</f>
        <v>4</v>
      </c>
      <c r="B1062" s="141">
        <f>'Q.1 &amp; 4'!L1067</f>
        <v>27.234000000000002</v>
      </c>
      <c r="C1062" s="221"/>
      <c r="D1062" s="23"/>
      <c r="E1062" s="24"/>
      <c r="F1062" s="22">
        <f t="shared" si="177"/>
        <v>0.49259259259258847</v>
      </c>
      <c r="G1062" s="22">
        <f t="shared" si="178"/>
        <v>-7.472489069557362</v>
      </c>
      <c r="H1062" s="22">
        <f t="shared" si="183"/>
        <v>-3.68089276389304</v>
      </c>
      <c r="I1062" s="22">
        <f t="shared" si="184"/>
        <v>0.24264746227708786</v>
      </c>
      <c r="J1062" s="24"/>
      <c r="K1062" s="24"/>
      <c r="L1062" s="235">
        <f t="shared" si="179"/>
        <v>32.479512795001277</v>
      </c>
      <c r="M1062" s="126"/>
      <c r="N1062" s="126"/>
      <c r="O1062" s="126"/>
      <c r="P1062" s="10">
        <f t="shared" si="180"/>
        <v>-5.2455127950012752</v>
      </c>
      <c r="Q1062" s="10">
        <f t="shared" si="185"/>
        <v>27.51540448252209</v>
      </c>
      <c r="W1062" s="240">
        <f t="shared" si="186"/>
        <v>5.2455127950012752</v>
      </c>
      <c r="X1062" s="240">
        <f t="shared" si="187"/>
        <v>0.19260897389297477</v>
      </c>
      <c r="Y1062"/>
      <c r="Z1062" s="13">
        <f t="shared" si="181"/>
        <v>4.9594233274357071</v>
      </c>
      <c r="AA1062" s="2"/>
      <c r="AB1062" s="68"/>
      <c r="AC1062" s="15">
        <f t="shared" si="182"/>
        <v>55.838092894654253</v>
      </c>
    </row>
    <row r="1063" spans="1:29">
      <c r="A1063" s="84">
        <f>'Q.1 &amp; 4'!K1068</f>
        <v>5.6</v>
      </c>
      <c r="B1063" s="141">
        <f>'Q.1 &amp; 4'!L1068</f>
        <v>24.299600000000002</v>
      </c>
      <c r="C1063" s="221"/>
      <c r="D1063" s="23"/>
      <c r="E1063" s="24"/>
      <c r="F1063" s="22">
        <f t="shared" si="177"/>
        <v>2.0925925925925881</v>
      </c>
      <c r="G1063" s="22">
        <f t="shared" si="178"/>
        <v>-10.406889069557362</v>
      </c>
      <c r="H1063" s="22">
        <f t="shared" si="183"/>
        <v>-21.777378978888507</v>
      </c>
      <c r="I1063" s="22">
        <f t="shared" si="184"/>
        <v>4.378943758573369</v>
      </c>
      <c r="J1063" s="24"/>
      <c r="K1063" s="24"/>
      <c r="L1063" s="235">
        <f t="shared" si="179"/>
        <v>25.246025948322796</v>
      </c>
      <c r="M1063" s="126"/>
      <c r="N1063" s="126"/>
      <c r="O1063" s="126"/>
      <c r="P1063" s="10">
        <f t="shared" si="180"/>
        <v>-0.94642594832279414</v>
      </c>
      <c r="Q1063" s="10">
        <f t="shared" si="185"/>
        <v>0.89572207565870021</v>
      </c>
      <c r="W1063" s="240">
        <f t="shared" si="186"/>
        <v>0.94642594832279414</v>
      </c>
      <c r="X1063" s="240">
        <f t="shared" si="187"/>
        <v>3.894821101264194E-2</v>
      </c>
      <c r="Y1063"/>
      <c r="Z1063" s="13">
        <f t="shared" si="181"/>
        <v>89.500362468239302</v>
      </c>
      <c r="AA1063" s="2"/>
      <c r="AB1063" s="68"/>
      <c r="AC1063" s="15">
        <f t="shared" si="182"/>
        <v>108.3033401060725</v>
      </c>
    </row>
    <row r="1064" spans="1:29">
      <c r="A1064" s="84">
        <f>'Q.1 &amp; 4'!K1069</f>
        <v>2.5</v>
      </c>
      <c r="B1064" s="141">
        <f>'Q.1 &amp; 4'!L1069</f>
        <v>35.860599999999998</v>
      </c>
      <c r="C1064" s="221"/>
      <c r="D1064" s="23"/>
      <c r="E1064" s="24"/>
      <c r="F1064" s="22">
        <f t="shared" si="177"/>
        <v>-1.0074074074074115</v>
      </c>
      <c r="G1064" s="22">
        <f t="shared" si="178"/>
        <v>1.1541109304426342</v>
      </c>
      <c r="H1064" s="22">
        <f t="shared" si="183"/>
        <v>-1.1626599002977696</v>
      </c>
      <c r="I1064" s="22">
        <f t="shared" si="184"/>
        <v>1.0148696844993224</v>
      </c>
      <c r="J1064" s="24"/>
      <c r="K1064" s="24"/>
      <c r="L1064" s="235">
        <f t="shared" si="179"/>
        <v>39.260906713762353</v>
      </c>
      <c r="M1064" s="126"/>
      <c r="N1064" s="126"/>
      <c r="O1064" s="126"/>
      <c r="P1064" s="10">
        <f t="shared" si="180"/>
        <v>-3.4003067137623546</v>
      </c>
      <c r="Q1064" s="10">
        <f t="shared" si="185"/>
        <v>11.562085747657344</v>
      </c>
      <c r="W1064" s="240">
        <f t="shared" si="186"/>
        <v>3.4003067137623546</v>
      </c>
      <c r="X1064" s="240">
        <f t="shared" si="187"/>
        <v>9.4820128881344834E-2</v>
      </c>
      <c r="Y1064"/>
      <c r="Z1064" s="13">
        <f t="shared" si="181"/>
        <v>20.742720077845721</v>
      </c>
      <c r="AA1064" s="2"/>
      <c r="AB1064" s="68"/>
      <c r="AC1064" s="15">
        <f t="shared" si="182"/>
        <v>1.3319720397671628</v>
      </c>
    </row>
    <row r="1065" spans="1:29">
      <c r="A1065" s="84">
        <f>'Q.1 &amp; 4'!K1070</f>
        <v>4</v>
      </c>
      <c r="B1065" s="141">
        <f>'Q.1 &amp; 4'!L1070</f>
        <v>27.1846</v>
      </c>
      <c r="C1065" s="221"/>
      <c r="D1065" s="23"/>
      <c r="E1065" s="24"/>
      <c r="F1065" s="22">
        <f t="shared" si="177"/>
        <v>0.49259259259258847</v>
      </c>
      <c r="G1065" s="22">
        <f t="shared" si="178"/>
        <v>-7.5218890695573641</v>
      </c>
      <c r="H1065" s="22">
        <f t="shared" si="183"/>
        <v>-3.7052268379671149</v>
      </c>
      <c r="I1065" s="22">
        <f t="shared" si="184"/>
        <v>0.24264746227708786</v>
      </c>
      <c r="J1065" s="24"/>
      <c r="K1065" s="24"/>
      <c r="L1065" s="235">
        <f t="shared" si="179"/>
        <v>32.479512795001277</v>
      </c>
      <c r="M1065" s="126"/>
      <c r="N1065" s="126"/>
      <c r="O1065" s="126"/>
      <c r="P1065" s="10">
        <f t="shared" si="180"/>
        <v>-5.2949127950012773</v>
      </c>
      <c r="Q1065" s="10">
        <f t="shared" si="185"/>
        <v>28.036101506668238</v>
      </c>
      <c r="W1065" s="240">
        <f t="shared" si="186"/>
        <v>5.2949127950012773</v>
      </c>
      <c r="X1065" s="240">
        <f t="shared" si="187"/>
        <v>0.19477618927632842</v>
      </c>
      <c r="Y1065"/>
      <c r="Z1065" s="13">
        <f t="shared" si="181"/>
        <v>4.9594233274357071</v>
      </c>
      <c r="AA1065" s="2"/>
      <c r="AB1065" s="68"/>
      <c r="AC1065" s="15">
        <f t="shared" si="182"/>
        <v>56.57881517472655</v>
      </c>
    </row>
    <row r="1066" spans="1:29">
      <c r="A1066" s="84">
        <f>'Q.1 &amp; 4'!K1071</f>
        <v>4</v>
      </c>
      <c r="B1066" s="141">
        <f>'Q.1 &amp; 4'!L1071</f>
        <v>27.566500000000001</v>
      </c>
      <c r="C1066" s="221"/>
      <c r="D1066" s="23"/>
      <c r="E1066" s="24"/>
      <c r="F1066" s="22">
        <f t="shared" si="177"/>
        <v>0.49259259259258847</v>
      </c>
      <c r="G1066" s="22">
        <f t="shared" si="178"/>
        <v>-7.1399890695573625</v>
      </c>
      <c r="H1066" s="22">
        <f t="shared" si="183"/>
        <v>-3.5171057268560046</v>
      </c>
      <c r="I1066" s="22">
        <f t="shared" si="184"/>
        <v>0.24264746227708786</v>
      </c>
      <c r="J1066" s="24"/>
      <c r="K1066" s="24"/>
      <c r="L1066" s="235">
        <f t="shared" si="179"/>
        <v>32.479512795001277</v>
      </c>
      <c r="M1066" s="126"/>
      <c r="N1066" s="126"/>
      <c r="O1066" s="126"/>
      <c r="P1066" s="10">
        <f t="shared" si="180"/>
        <v>-4.9130127950012756</v>
      </c>
      <c r="Q1066" s="10">
        <f t="shared" si="185"/>
        <v>24.137694723846245</v>
      </c>
      <c r="W1066" s="240">
        <f t="shared" si="186"/>
        <v>4.9130127950012756</v>
      </c>
      <c r="X1066" s="240">
        <f t="shared" si="187"/>
        <v>0.17822403261209349</v>
      </c>
      <c r="Y1066"/>
      <c r="Z1066" s="13">
        <f t="shared" si="181"/>
        <v>4.9594233274357071</v>
      </c>
      <c r="AA1066" s="2"/>
      <c r="AB1066" s="68"/>
      <c r="AC1066" s="15">
        <f t="shared" si="182"/>
        <v>50.979443913398612</v>
      </c>
    </row>
    <row r="1067" spans="1:29">
      <c r="A1067" s="84">
        <f>'Q.1 &amp; 4'!K1072</f>
        <v>3.6</v>
      </c>
      <c r="B1067" s="141">
        <f>'Q.1 &amp; 4'!L1072</f>
        <v>27.581099999999999</v>
      </c>
      <c r="C1067" s="221"/>
      <c r="D1067" s="23"/>
      <c r="E1067" s="24"/>
      <c r="F1067" s="22">
        <f t="shared" si="177"/>
        <v>9.2592592592588563E-2</v>
      </c>
      <c r="G1067" s="22">
        <f t="shared" si="178"/>
        <v>-7.1253890695573645</v>
      </c>
      <c r="H1067" s="22">
        <f t="shared" si="183"/>
        <v>-0.65975824718120879</v>
      </c>
      <c r="I1067" s="22">
        <f t="shared" si="184"/>
        <v>8.573388203017087E-3</v>
      </c>
      <c r="J1067" s="24"/>
      <c r="K1067" s="24"/>
      <c r="L1067" s="235">
        <f t="shared" si="179"/>
        <v>34.287884506670892</v>
      </c>
      <c r="M1067" s="126"/>
      <c r="N1067" s="126"/>
      <c r="O1067" s="126"/>
      <c r="P1067" s="10">
        <f t="shared" si="180"/>
        <v>-6.7067845066708927</v>
      </c>
      <c r="Q1067" s="10">
        <f t="shared" si="185"/>
        <v>44.980958418920729</v>
      </c>
      <c r="W1067" s="240">
        <f t="shared" si="186"/>
        <v>6.7067845066708927</v>
      </c>
      <c r="X1067" s="240">
        <f t="shared" si="187"/>
        <v>0.24316595446414005</v>
      </c>
      <c r="Y1067"/>
      <c r="Z1067" s="13">
        <f t="shared" si="181"/>
        <v>0.17522978006937417</v>
      </c>
      <c r="AA1067" s="2"/>
      <c r="AB1067" s="68"/>
      <c r="AC1067" s="15">
        <f t="shared" si="182"/>
        <v>50.771169392567565</v>
      </c>
    </row>
    <row r="1068" spans="1:29">
      <c r="A1068" s="84">
        <f>'Q.1 &amp; 4'!K1073</f>
        <v>3.6</v>
      </c>
      <c r="B1068" s="141">
        <f>'Q.1 &amp; 4'!L1073</f>
        <v>28.1127</v>
      </c>
      <c r="C1068" s="221"/>
      <c r="D1068" s="23"/>
      <c r="E1068" s="24"/>
      <c r="F1068" s="22">
        <f t="shared" si="177"/>
        <v>9.2592592592588563E-2</v>
      </c>
      <c r="G1068" s="22">
        <f t="shared" si="178"/>
        <v>-6.5937890695573635</v>
      </c>
      <c r="H1068" s="22">
        <f t="shared" si="183"/>
        <v>-0.61053602495898862</v>
      </c>
      <c r="I1068" s="22">
        <f t="shared" si="184"/>
        <v>8.573388203017087E-3</v>
      </c>
      <c r="J1068" s="24"/>
      <c r="K1068" s="24"/>
      <c r="L1068" s="235">
        <f t="shared" si="179"/>
        <v>34.287884506670892</v>
      </c>
      <c r="M1068" s="126"/>
      <c r="N1068" s="126"/>
      <c r="O1068" s="126"/>
      <c r="P1068" s="10">
        <f t="shared" si="180"/>
        <v>-6.1751845066708917</v>
      </c>
      <c r="Q1068" s="10">
        <f t="shared" si="185"/>
        <v>38.132903691428226</v>
      </c>
      <c r="W1068" s="240">
        <f t="shared" si="186"/>
        <v>6.1751845066708917</v>
      </c>
      <c r="X1068" s="240">
        <f t="shared" si="187"/>
        <v>0.21965817963663722</v>
      </c>
      <c r="Y1068"/>
      <c r="Z1068" s="13">
        <f t="shared" si="181"/>
        <v>0.17522978006937417</v>
      </c>
      <c r="AA1068" s="2"/>
      <c r="AB1068" s="68"/>
      <c r="AC1068" s="15">
        <f t="shared" si="182"/>
        <v>43.478054293814161</v>
      </c>
    </row>
    <row r="1069" spans="1:29">
      <c r="A1069" s="84">
        <f>'Q.1 &amp; 4'!K1074</f>
        <v>4.8</v>
      </c>
      <c r="B1069" s="141">
        <f>'Q.1 &amp; 4'!L1074</f>
        <v>25.56</v>
      </c>
      <c r="C1069" s="221"/>
      <c r="D1069" s="23"/>
      <c r="E1069" s="24"/>
      <c r="F1069" s="22">
        <f t="shared" si="177"/>
        <v>1.2925925925925883</v>
      </c>
      <c r="G1069" s="22">
        <f t="shared" si="178"/>
        <v>-9.1464890695573651</v>
      </c>
      <c r="H1069" s="22">
        <f t="shared" si="183"/>
        <v>-11.822684019538926</v>
      </c>
      <c r="I1069" s="22">
        <f t="shared" si="184"/>
        <v>1.6707956104252288</v>
      </c>
      <c r="J1069" s="24"/>
      <c r="K1069" s="24"/>
      <c r="L1069" s="235">
        <f t="shared" si="179"/>
        <v>28.862769371662036</v>
      </c>
      <c r="M1069" s="126"/>
      <c r="N1069" s="126"/>
      <c r="O1069" s="126"/>
      <c r="P1069" s="10">
        <f t="shared" si="180"/>
        <v>-3.3027693716620377</v>
      </c>
      <c r="Q1069" s="10">
        <f t="shared" si="185"/>
        <v>10.908285522388852</v>
      </c>
      <c r="W1069" s="240">
        <f t="shared" si="186"/>
        <v>3.3027693716620377</v>
      </c>
      <c r="X1069" s="240">
        <f t="shared" si="187"/>
        <v>0.12921632909475891</v>
      </c>
      <c r="Y1069"/>
      <c r="Z1069" s="13">
        <f t="shared" si="181"/>
        <v>34.149059907569857</v>
      </c>
      <c r="AA1069" s="2"/>
      <c r="AB1069" s="68"/>
      <c r="AC1069" s="15">
        <f t="shared" si="182"/>
        <v>83.658262299532353</v>
      </c>
    </row>
    <row r="1070" spans="1:29">
      <c r="A1070" s="84">
        <f>'Q.1 &amp; 4'!K1075</f>
        <v>4.8</v>
      </c>
      <c r="B1070" s="141">
        <f>'Q.1 &amp; 4'!L1075</f>
        <v>23.577999999999999</v>
      </c>
      <c r="C1070" s="221"/>
      <c r="D1070" s="23"/>
      <c r="E1070" s="24"/>
      <c r="F1070" s="22">
        <f t="shared" si="177"/>
        <v>1.2925925925925883</v>
      </c>
      <c r="G1070" s="22">
        <f t="shared" si="178"/>
        <v>-11.128489069557364</v>
      </c>
      <c r="H1070" s="22">
        <f t="shared" si="183"/>
        <v>-14.384602538057434</v>
      </c>
      <c r="I1070" s="22">
        <f t="shared" si="184"/>
        <v>1.6707956104252288</v>
      </c>
      <c r="J1070" s="24"/>
      <c r="K1070" s="24"/>
      <c r="L1070" s="235">
        <f t="shared" si="179"/>
        <v>28.862769371662036</v>
      </c>
      <c r="M1070" s="126"/>
      <c r="N1070" s="126"/>
      <c r="O1070" s="126"/>
      <c r="P1070" s="10">
        <f t="shared" si="180"/>
        <v>-5.284769371662037</v>
      </c>
      <c r="Q1070" s="10">
        <f t="shared" si="185"/>
        <v>27.92878731165716</v>
      </c>
      <c r="W1070" s="240">
        <f t="shared" si="186"/>
        <v>5.284769371662037</v>
      </c>
      <c r="X1070" s="240">
        <f t="shared" si="187"/>
        <v>0.22413984950640584</v>
      </c>
      <c r="Y1070"/>
      <c r="Z1070" s="13">
        <f t="shared" si="181"/>
        <v>34.149059907569857</v>
      </c>
      <c r="AA1070" s="2"/>
      <c r="AB1070" s="68"/>
      <c r="AC1070" s="15">
        <f t="shared" si="182"/>
        <v>123.84326897125773</v>
      </c>
    </row>
    <row r="1071" spans="1:29">
      <c r="A1071" s="84">
        <f>'Q.1 &amp; 4'!K1076</f>
        <v>4.8</v>
      </c>
      <c r="B1071" s="141">
        <f>'Q.1 &amp; 4'!L1076</f>
        <v>26.388000000000002</v>
      </c>
      <c r="C1071" s="221"/>
      <c r="D1071" s="23"/>
      <c r="E1071" s="24"/>
      <c r="F1071" s="22">
        <f t="shared" si="177"/>
        <v>1.2925925925925883</v>
      </c>
      <c r="G1071" s="22">
        <f t="shared" si="178"/>
        <v>-8.3184890695573621</v>
      </c>
      <c r="H1071" s="22">
        <f t="shared" si="183"/>
        <v>-10.752417352872259</v>
      </c>
      <c r="I1071" s="22">
        <f t="shared" si="184"/>
        <v>1.6707956104252288</v>
      </c>
      <c r="J1071" s="24"/>
      <c r="K1071" s="24"/>
      <c r="L1071" s="235">
        <f t="shared" si="179"/>
        <v>28.862769371662036</v>
      </c>
      <c r="M1071" s="126"/>
      <c r="N1071" s="126"/>
      <c r="O1071" s="126"/>
      <c r="P1071" s="10">
        <f t="shared" si="180"/>
        <v>-2.4747693716620347</v>
      </c>
      <c r="Q1071" s="10">
        <f t="shared" si="185"/>
        <v>6.1244834429165023</v>
      </c>
      <c r="W1071" s="240">
        <f t="shared" si="186"/>
        <v>2.4747693716620347</v>
      </c>
      <c r="X1071" s="240">
        <f t="shared" si="187"/>
        <v>9.3783893120434836E-2</v>
      </c>
      <c r="Y1071"/>
      <c r="Z1071" s="13">
        <f t="shared" si="181"/>
        <v>34.149059907569857</v>
      </c>
      <c r="AA1071" s="2"/>
      <c r="AB1071" s="68"/>
      <c r="AC1071" s="15">
        <f t="shared" si="182"/>
        <v>69.197260400345314</v>
      </c>
    </row>
    <row r="1072" spans="1:29">
      <c r="A1072" s="84">
        <f>'Q.1 &amp; 4'!K1077</f>
        <v>4.8</v>
      </c>
      <c r="B1072" s="141">
        <f>'Q.1 &amp; 4'!L1077</f>
        <v>23.577999999999999</v>
      </c>
      <c r="C1072" s="221"/>
      <c r="D1072" s="23"/>
      <c r="E1072" s="24"/>
      <c r="F1072" s="22">
        <f t="shared" si="177"/>
        <v>1.2925925925925883</v>
      </c>
      <c r="G1072" s="22">
        <f t="shared" si="178"/>
        <v>-11.128489069557364</v>
      </c>
      <c r="H1072" s="22">
        <f t="shared" si="183"/>
        <v>-14.384602538057434</v>
      </c>
      <c r="I1072" s="22">
        <f t="shared" si="184"/>
        <v>1.6707956104252288</v>
      </c>
      <c r="J1072" s="24"/>
      <c r="K1072" s="24"/>
      <c r="L1072" s="235">
        <f t="shared" si="179"/>
        <v>28.862769371662036</v>
      </c>
      <c r="M1072" s="126"/>
      <c r="N1072" s="126"/>
      <c r="O1072" s="126"/>
      <c r="P1072" s="10">
        <f t="shared" si="180"/>
        <v>-5.284769371662037</v>
      </c>
      <c r="Q1072" s="10">
        <f t="shared" si="185"/>
        <v>27.92878731165716</v>
      </c>
      <c r="W1072" s="240">
        <f t="shared" si="186"/>
        <v>5.284769371662037</v>
      </c>
      <c r="X1072" s="240">
        <f t="shared" si="187"/>
        <v>0.22413984950640584</v>
      </c>
      <c r="Y1072"/>
      <c r="Z1072" s="13">
        <f t="shared" si="181"/>
        <v>34.149059907569857</v>
      </c>
      <c r="AA1072" s="2"/>
      <c r="AB1072" s="68"/>
      <c r="AC1072" s="15">
        <f t="shared" si="182"/>
        <v>123.84326897125773</v>
      </c>
    </row>
    <row r="1073" spans="1:29">
      <c r="A1073" s="84">
        <f>'Q.1 &amp; 4'!K1078</f>
        <v>4.8</v>
      </c>
      <c r="B1073" s="141">
        <f>'Q.1 &amp; 4'!L1078</f>
        <v>25.7761</v>
      </c>
      <c r="C1073" s="221"/>
      <c r="D1073" s="23"/>
      <c r="E1073" s="24"/>
      <c r="F1073" s="22">
        <f t="shared" si="177"/>
        <v>1.2925925925925883</v>
      </c>
      <c r="G1073" s="22">
        <f t="shared" si="178"/>
        <v>-8.9303890695573642</v>
      </c>
      <c r="H1073" s="22">
        <f t="shared" si="183"/>
        <v>-11.543354760279666</v>
      </c>
      <c r="I1073" s="22">
        <f t="shared" si="184"/>
        <v>1.6707956104252288</v>
      </c>
      <c r="J1073" s="24"/>
      <c r="K1073" s="24"/>
      <c r="L1073" s="235">
        <f t="shared" si="179"/>
        <v>28.862769371662036</v>
      </c>
      <c r="M1073" s="126"/>
      <c r="N1073" s="126"/>
      <c r="O1073" s="126"/>
      <c r="P1073" s="10">
        <f t="shared" si="180"/>
        <v>-3.0866693716620368</v>
      </c>
      <c r="Q1073" s="10">
        <f t="shared" si="185"/>
        <v>9.5275278099565135</v>
      </c>
      <c r="W1073" s="240">
        <f t="shared" si="186"/>
        <v>3.0866693716620368</v>
      </c>
      <c r="X1073" s="240">
        <f t="shared" si="187"/>
        <v>0.11974927827181137</v>
      </c>
      <c r="Y1073"/>
      <c r="Z1073" s="13">
        <f t="shared" si="181"/>
        <v>34.149059907569857</v>
      </c>
      <c r="AA1073" s="2"/>
      <c r="AB1073" s="68"/>
      <c r="AC1073" s="15">
        <f t="shared" si="182"/>
        <v>79.751848933669649</v>
      </c>
    </row>
    <row r="1074" spans="1:29">
      <c r="A1074" s="84">
        <f>'Q.1 &amp; 4'!K1079</f>
        <v>4.8</v>
      </c>
      <c r="B1074" s="141">
        <f>'Q.1 &amp; 4'!L1079</f>
        <v>25.7761</v>
      </c>
      <c r="C1074" s="221"/>
      <c r="D1074" s="23"/>
      <c r="E1074" s="24"/>
      <c r="F1074" s="22">
        <f t="shared" si="177"/>
        <v>1.2925925925925883</v>
      </c>
      <c r="G1074" s="22">
        <f t="shared" si="178"/>
        <v>-8.9303890695573642</v>
      </c>
      <c r="H1074" s="22">
        <f t="shared" si="183"/>
        <v>-11.543354760279666</v>
      </c>
      <c r="I1074" s="22">
        <f t="shared" si="184"/>
        <v>1.6707956104252288</v>
      </c>
      <c r="J1074" s="24"/>
      <c r="K1074" s="24"/>
      <c r="L1074" s="235">
        <f t="shared" si="179"/>
        <v>28.862769371662036</v>
      </c>
      <c r="M1074" s="126"/>
      <c r="N1074" s="126"/>
      <c r="O1074" s="126"/>
      <c r="P1074" s="10">
        <f t="shared" si="180"/>
        <v>-3.0866693716620368</v>
      </c>
      <c r="Q1074" s="10">
        <f t="shared" si="185"/>
        <v>9.5275278099565135</v>
      </c>
      <c r="W1074" s="240">
        <f t="shared" si="186"/>
        <v>3.0866693716620368</v>
      </c>
      <c r="X1074" s="240">
        <f t="shared" si="187"/>
        <v>0.11974927827181137</v>
      </c>
      <c r="Y1074"/>
      <c r="Z1074" s="13">
        <f t="shared" si="181"/>
        <v>34.149059907569857</v>
      </c>
      <c r="AA1074" s="2"/>
      <c r="AB1074" s="68"/>
      <c r="AC1074" s="15">
        <f t="shared" si="182"/>
        <v>79.751848933669649</v>
      </c>
    </row>
    <row r="1075" spans="1:29">
      <c r="A1075" s="84">
        <f>'Q.1 &amp; 4'!K1080</f>
        <v>4.8</v>
      </c>
      <c r="B1075" s="141">
        <f>'Q.1 &amp; 4'!L1080</f>
        <v>25.7761</v>
      </c>
      <c r="C1075" s="221"/>
      <c r="D1075" s="23"/>
      <c r="E1075" s="24"/>
      <c r="F1075" s="22">
        <f t="shared" si="177"/>
        <v>1.2925925925925883</v>
      </c>
      <c r="G1075" s="22">
        <f t="shared" si="178"/>
        <v>-8.9303890695573642</v>
      </c>
      <c r="H1075" s="22">
        <f t="shared" si="183"/>
        <v>-11.543354760279666</v>
      </c>
      <c r="I1075" s="22">
        <f t="shared" si="184"/>
        <v>1.6707956104252288</v>
      </c>
      <c r="J1075" s="24"/>
      <c r="K1075" s="24"/>
      <c r="L1075" s="235">
        <f t="shared" si="179"/>
        <v>28.862769371662036</v>
      </c>
      <c r="M1075" s="126"/>
      <c r="N1075" s="126"/>
      <c r="O1075" s="126"/>
      <c r="P1075" s="10">
        <f t="shared" si="180"/>
        <v>-3.0866693716620368</v>
      </c>
      <c r="Q1075" s="10">
        <f t="shared" si="185"/>
        <v>9.5275278099565135</v>
      </c>
      <c r="W1075" s="240">
        <f t="shared" si="186"/>
        <v>3.0866693716620368</v>
      </c>
      <c r="X1075" s="240">
        <f t="shared" si="187"/>
        <v>0.11974927827181137</v>
      </c>
      <c r="Y1075"/>
      <c r="Z1075" s="13">
        <f t="shared" si="181"/>
        <v>34.149059907569857</v>
      </c>
      <c r="AA1075" s="2"/>
      <c r="AB1075" s="68"/>
      <c r="AC1075" s="15">
        <f t="shared" si="182"/>
        <v>79.751848933669649</v>
      </c>
    </row>
    <row r="1076" spans="1:29">
      <c r="A1076" s="84">
        <f>'Q.1 &amp; 4'!K1081</f>
        <v>3.6</v>
      </c>
      <c r="B1076" s="141">
        <f>'Q.1 &amp; 4'!L1081</f>
        <v>31.6</v>
      </c>
      <c r="C1076" s="221"/>
      <c r="D1076" s="23"/>
      <c r="E1076" s="24"/>
      <c r="F1076" s="22">
        <f t="shared" si="177"/>
        <v>9.2592592592588563E-2</v>
      </c>
      <c r="G1076" s="22">
        <f t="shared" si="178"/>
        <v>-3.1064890695573624</v>
      </c>
      <c r="H1076" s="22">
        <f t="shared" si="183"/>
        <v>-0.28763787681085434</v>
      </c>
      <c r="I1076" s="22">
        <f t="shared" si="184"/>
        <v>8.573388203017087E-3</v>
      </c>
      <c r="J1076" s="24"/>
      <c r="K1076" s="24"/>
      <c r="L1076" s="235">
        <f t="shared" si="179"/>
        <v>34.287884506670892</v>
      </c>
      <c r="M1076" s="126"/>
      <c r="N1076" s="126"/>
      <c r="O1076" s="126"/>
      <c r="P1076" s="10">
        <f t="shared" si="180"/>
        <v>-2.6878845066708905</v>
      </c>
      <c r="Q1076" s="10">
        <f t="shared" si="185"/>
        <v>7.2247231212014169</v>
      </c>
      <c r="W1076" s="240">
        <f t="shared" si="186"/>
        <v>2.6878845066708905</v>
      </c>
      <c r="X1076" s="240">
        <f t="shared" si="187"/>
        <v>8.50596362870535E-2</v>
      </c>
      <c r="Y1076"/>
      <c r="Z1076" s="13">
        <f t="shared" si="181"/>
        <v>0.17522978006937417</v>
      </c>
      <c r="AA1076" s="2"/>
      <c r="AB1076" s="68"/>
      <c r="AC1076" s="15">
        <f t="shared" si="182"/>
        <v>9.6502743392793668</v>
      </c>
    </row>
    <row r="1077" spans="1:29">
      <c r="A1077" s="84">
        <f>'Q.1 &amp; 4'!K1082</f>
        <v>3.5</v>
      </c>
      <c r="B1077" s="141">
        <f>'Q.1 &amp; 4'!L1082</f>
        <v>32.200000000000003</v>
      </c>
      <c r="C1077" s="221"/>
      <c r="D1077" s="23"/>
      <c r="E1077" s="24"/>
      <c r="F1077" s="22">
        <f t="shared" si="177"/>
        <v>-7.4074074074115259E-3</v>
      </c>
      <c r="G1077" s="22">
        <f t="shared" si="178"/>
        <v>-2.5064890695573609</v>
      </c>
      <c r="H1077" s="22">
        <f t="shared" si="183"/>
        <v>1.856658570043522E-2</v>
      </c>
      <c r="I1077" s="22">
        <f t="shared" si="184"/>
        <v>5.4869684499375142E-5</v>
      </c>
      <c r="J1077" s="24"/>
      <c r="K1077" s="24"/>
      <c r="L1077" s="235">
        <f t="shared" si="179"/>
        <v>34.739977434588305</v>
      </c>
      <c r="M1077" s="126"/>
      <c r="N1077" s="126"/>
      <c r="O1077" s="126"/>
      <c r="P1077" s="10">
        <f t="shared" si="180"/>
        <v>-2.5399774345883017</v>
      </c>
      <c r="Q1077" s="10">
        <f t="shared" si="185"/>
        <v>6.4514853682177709</v>
      </c>
      <c r="W1077" s="240">
        <f t="shared" si="186"/>
        <v>2.5399774345883017</v>
      </c>
      <c r="X1077" s="240">
        <f t="shared" si="187"/>
        <v>7.8881286788456573E-2</v>
      </c>
      <c r="Y1077"/>
      <c r="Z1077" s="13">
        <f t="shared" si="181"/>
        <v>1.1214705924455365E-3</v>
      </c>
      <c r="AA1077" s="2"/>
      <c r="AB1077" s="68"/>
      <c r="AC1077" s="15">
        <f t="shared" si="182"/>
        <v>6.282487455810525</v>
      </c>
    </row>
    <row r="1078" spans="1:29">
      <c r="A1078" s="84">
        <f>'Q.1 &amp; 4'!K1083</f>
        <v>3.6</v>
      </c>
      <c r="B1078" s="141">
        <f>'Q.1 &amp; 4'!L1083</f>
        <v>32.1</v>
      </c>
      <c r="C1078" s="221"/>
      <c r="D1078" s="23"/>
      <c r="E1078" s="24"/>
      <c r="F1078" s="22">
        <f t="shared" si="177"/>
        <v>9.2592592592588563E-2</v>
      </c>
      <c r="G1078" s="22">
        <f t="shared" si="178"/>
        <v>-2.6064890695573624</v>
      </c>
      <c r="H1078" s="22">
        <f t="shared" si="183"/>
        <v>-0.24134158051456009</v>
      </c>
      <c r="I1078" s="22">
        <f t="shared" si="184"/>
        <v>8.573388203017087E-3</v>
      </c>
      <c r="J1078" s="24"/>
      <c r="K1078" s="24"/>
      <c r="L1078" s="235">
        <f t="shared" si="179"/>
        <v>34.287884506670892</v>
      </c>
      <c r="M1078" s="126"/>
      <c r="N1078" s="126"/>
      <c r="O1078" s="126"/>
      <c r="P1078" s="10">
        <f t="shared" si="180"/>
        <v>-2.1878845066708905</v>
      </c>
      <c r="Q1078" s="10">
        <f t="shared" si="185"/>
        <v>4.7868386145305264</v>
      </c>
      <c r="W1078" s="240">
        <f t="shared" si="186"/>
        <v>2.1878845066708905</v>
      </c>
      <c r="X1078" s="240">
        <f t="shared" si="187"/>
        <v>6.8158395846445188E-2</v>
      </c>
      <c r="Y1078"/>
      <c r="Z1078" s="13">
        <f t="shared" si="181"/>
        <v>0.17522978006937417</v>
      </c>
      <c r="AA1078" s="2"/>
      <c r="AB1078" s="68"/>
      <c r="AC1078" s="15">
        <f t="shared" si="182"/>
        <v>6.7937852697220045</v>
      </c>
    </row>
    <row r="1079" spans="1:29">
      <c r="A1079" s="84">
        <f>'Q.1 &amp; 4'!K1084</f>
        <v>3.6</v>
      </c>
      <c r="B1079" s="141">
        <f>'Q.1 &amp; 4'!L1084</f>
        <v>32.6</v>
      </c>
      <c r="C1079" s="221"/>
      <c r="D1079" s="23"/>
      <c r="E1079" s="24"/>
      <c r="F1079" s="22">
        <f t="shared" si="177"/>
        <v>9.2592592592588563E-2</v>
      </c>
      <c r="G1079" s="22">
        <f t="shared" si="178"/>
        <v>-2.1064890695573624</v>
      </c>
      <c r="H1079" s="22">
        <f t="shared" si="183"/>
        <v>-0.19504528421826581</v>
      </c>
      <c r="I1079" s="22">
        <f t="shared" si="184"/>
        <v>8.573388203017087E-3</v>
      </c>
      <c r="J1079" s="24"/>
      <c r="K1079" s="24"/>
      <c r="L1079" s="235">
        <f t="shared" si="179"/>
        <v>34.287884506670892</v>
      </c>
      <c r="M1079" s="126"/>
      <c r="N1079" s="126"/>
      <c r="O1079" s="126"/>
      <c r="P1079" s="10">
        <f t="shared" si="180"/>
        <v>-1.6878845066708905</v>
      </c>
      <c r="Q1079" s="10">
        <f t="shared" si="185"/>
        <v>2.8489541078596354</v>
      </c>
      <c r="W1079" s="240">
        <f t="shared" si="186"/>
        <v>1.6878845066708905</v>
      </c>
      <c r="X1079" s="240">
        <f t="shared" si="187"/>
        <v>5.1775598364137747E-2</v>
      </c>
      <c r="Y1079"/>
      <c r="Z1079" s="13">
        <f t="shared" si="181"/>
        <v>0.17522978006937417</v>
      </c>
      <c r="AA1079" s="2"/>
      <c r="AB1079" s="68"/>
      <c r="AC1079" s="15">
        <f t="shared" si="182"/>
        <v>4.4372962001646421</v>
      </c>
    </row>
    <row r="1080" spans="1:29">
      <c r="A1080" s="84">
        <f>'Q.1 &amp; 4'!K1085</f>
        <v>2.5</v>
      </c>
      <c r="B1080" s="141">
        <f>'Q.1 &amp; 4'!L1085</f>
        <v>37.070999999999998</v>
      </c>
      <c r="C1080" s="221"/>
      <c r="D1080" s="23"/>
      <c r="E1080" s="24"/>
      <c r="F1080" s="22">
        <f t="shared" si="177"/>
        <v>-1.0074074074074115</v>
      </c>
      <c r="G1080" s="22">
        <f t="shared" si="178"/>
        <v>2.3645109304426342</v>
      </c>
      <c r="H1080" s="22">
        <f t="shared" si="183"/>
        <v>-2.3820258262237006</v>
      </c>
      <c r="I1080" s="22">
        <f t="shared" si="184"/>
        <v>1.0148696844993224</v>
      </c>
      <c r="J1080" s="24"/>
      <c r="K1080" s="24"/>
      <c r="L1080" s="235">
        <f t="shared" si="179"/>
        <v>39.260906713762353</v>
      </c>
      <c r="M1080" s="126"/>
      <c r="N1080" s="126"/>
      <c r="O1080" s="126"/>
      <c r="P1080" s="10">
        <f t="shared" si="180"/>
        <v>-2.1899067137623547</v>
      </c>
      <c r="Q1080" s="10">
        <f t="shared" si="185"/>
        <v>4.7956914149814356</v>
      </c>
      <c r="W1080" s="240">
        <f t="shared" si="186"/>
        <v>2.1899067137623547</v>
      </c>
      <c r="X1080" s="240">
        <f t="shared" si="187"/>
        <v>5.9073311045354987E-2</v>
      </c>
      <c r="Y1080"/>
      <c r="Z1080" s="13">
        <f t="shared" si="181"/>
        <v>20.742720077845721</v>
      </c>
      <c r="AA1080" s="2"/>
      <c r="AB1080" s="68"/>
      <c r="AC1080" s="15">
        <f t="shared" si="182"/>
        <v>5.5909119401826919</v>
      </c>
    </row>
    <row r="1081" spans="1:29">
      <c r="A1081" s="84">
        <f>'Q.1 &amp; 4'!K1086</f>
        <v>2.5</v>
      </c>
      <c r="B1081" s="141">
        <f>'Q.1 &amp; 4'!L1086</f>
        <v>35.922600000000003</v>
      </c>
      <c r="C1081" s="221"/>
      <c r="D1081" s="23"/>
      <c r="E1081" s="24"/>
      <c r="F1081" s="22">
        <f t="shared" si="177"/>
        <v>-1.0074074074074115</v>
      </c>
      <c r="G1081" s="22">
        <f t="shared" si="178"/>
        <v>1.216110930442639</v>
      </c>
      <c r="H1081" s="22">
        <f t="shared" si="183"/>
        <v>-1.2251191595570339</v>
      </c>
      <c r="I1081" s="22">
        <f t="shared" si="184"/>
        <v>1.0148696844993224</v>
      </c>
      <c r="J1081" s="24"/>
      <c r="K1081" s="24"/>
      <c r="L1081" s="235">
        <f t="shared" si="179"/>
        <v>39.260906713762353</v>
      </c>
      <c r="M1081" s="126"/>
      <c r="N1081" s="126"/>
      <c r="O1081" s="126"/>
      <c r="P1081" s="10">
        <f t="shared" si="180"/>
        <v>-3.3383067137623499</v>
      </c>
      <c r="Q1081" s="10">
        <f t="shared" si="185"/>
        <v>11.14429171515078</v>
      </c>
      <c r="W1081" s="240">
        <f t="shared" si="186"/>
        <v>3.3383067137623499</v>
      </c>
      <c r="X1081" s="240">
        <f t="shared" si="187"/>
        <v>9.293054271579311E-2</v>
      </c>
      <c r="Y1081"/>
      <c r="Z1081" s="13">
        <f t="shared" si="181"/>
        <v>20.742720077845721</v>
      </c>
      <c r="AA1081" s="2"/>
      <c r="AB1081" s="68"/>
      <c r="AC1081" s="15">
        <f t="shared" si="182"/>
        <v>1.4789257951420611</v>
      </c>
    </row>
    <row r="1082" spans="1:29">
      <c r="A1082" s="84">
        <f>'Q.1 &amp; 4'!K1087</f>
        <v>2.5</v>
      </c>
      <c r="B1082" s="141">
        <f>'Q.1 &amp; 4'!L1087</f>
        <v>32.910299999999999</v>
      </c>
      <c r="C1082" s="221"/>
      <c r="D1082" s="23"/>
      <c r="E1082" s="24"/>
      <c r="F1082" s="22">
        <f t="shared" si="177"/>
        <v>-1.0074074074074115</v>
      </c>
      <c r="G1082" s="22">
        <f t="shared" si="178"/>
        <v>-1.7961890695573643</v>
      </c>
      <c r="H1082" s="22">
        <f t="shared" si="183"/>
        <v>1.8094941737763153</v>
      </c>
      <c r="I1082" s="22">
        <f t="shared" si="184"/>
        <v>1.0148696844993224</v>
      </c>
      <c r="J1082" s="24"/>
      <c r="K1082" s="24"/>
      <c r="L1082" s="235">
        <f t="shared" si="179"/>
        <v>39.260906713762353</v>
      </c>
      <c r="M1082" s="126"/>
      <c r="N1082" s="126"/>
      <c r="O1082" s="126"/>
      <c r="P1082" s="10">
        <f t="shared" si="180"/>
        <v>-6.3506067137623532</v>
      </c>
      <c r="Q1082" s="10">
        <f t="shared" si="185"/>
        <v>40.330205632883477</v>
      </c>
      <c r="W1082" s="240">
        <f t="shared" si="186"/>
        <v>6.3506067137623532</v>
      </c>
      <c r="X1082" s="240">
        <f t="shared" si="187"/>
        <v>0.19296714748155908</v>
      </c>
      <c r="Y1082"/>
      <c r="Z1082" s="13">
        <f t="shared" si="181"/>
        <v>20.742720077845721</v>
      </c>
      <c r="AA1082" s="2"/>
      <c r="AB1082" s="68"/>
      <c r="AC1082" s="15">
        <f t="shared" si="182"/>
        <v>3.2262951735973502</v>
      </c>
    </row>
    <row r="1083" spans="1:29">
      <c r="A1083" s="84">
        <f>'Q.1 &amp; 4'!K1088</f>
        <v>2.5</v>
      </c>
      <c r="B1083" s="141">
        <f>'Q.1 &amp; 4'!L1088</f>
        <v>40.081600000000002</v>
      </c>
      <c r="C1083" s="221"/>
      <c r="D1083" s="23"/>
      <c r="E1083" s="24"/>
      <c r="F1083" s="22">
        <f t="shared" si="177"/>
        <v>-1.0074074074074115</v>
      </c>
      <c r="G1083" s="22">
        <f t="shared" si="178"/>
        <v>5.3751109304426379</v>
      </c>
      <c r="H1083" s="22">
        <f t="shared" si="183"/>
        <v>-5.4149265669644571</v>
      </c>
      <c r="I1083" s="22">
        <f t="shared" si="184"/>
        <v>1.0148696844993224</v>
      </c>
      <c r="J1083" s="24"/>
      <c r="K1083" s="24"/>
      <c r="L1083" s="235">
        <f t="shared" si="179"/>
        <v>39.260906713762353</v>
      </c>
      <c r="M1083" s="126"/>
      <c r="N1083" s="126"/>
      <c r="O1083" s="126"/>
      <c r="P1083" s="10">
        <f t="shared" si="180"/>
        <v>0.82069328623764903</v>
      </c>
      <c r="Q1083" s="10">
        <f t="shared" si="185"/>
        <v>0.67353747007555176</v>
      </c>
      <c r="W1083" s="240">
        <f t="shared" si="186"/>
        <v>0.82069328623764903</v>
      </c>
      <c r="X1083" s="240">
        <f t="shared" si="187"/>
        <v>2.0475562009441964E-2</v>
      </c>
      <c r="Y1083"/>
      <c r="Z1083" s="13">
        <f t="shared" si="181"/>
        <v>20.742720077845721</v>
      </c>
      <c r="AA1083" s="2"/>
      <c r="AB1083" s="68"/>
      <c r="AC1083" s="15">
        <f t="shared" si="182"/>
        <v>28.891817514563922</v>
      </c>
    </row>
    <row r="1084" spans="1:29">
      <c r="A1084" s="84">
        <f>'Q.1 &amp; 4'!K1089</f>
        <v>2.5</v>
      </c>
      <c r="B1084" s="141">
        <f>'Q.1 &amp; 4'!L1089</f>
        <v>37.057400000000001</v>
      </c>
      <c r="C1084" s="221"/>
      <c r="D1084" s="23"/>
      <c r="E1084" s="24"/>
      <c r="F1084" s="22">
        <f t="shared" si="177"/>
        <v>-1.0074074074074115</v>
      </c>
      <c r="G1084" s="22">
        <f t="shared" si="178"/>
        <v>2.3509109304426374</v>
      </c>
      <c r="H1084" s="22">
        <f t="shared" si="183"/>
        <v>-2.3683250854829629</v>
      </c>
      <c r="I1084" s="22">
        <f t="shared" si="184"/>
        <v>1.0148696844993224</v>
      </c>
      <c r="J1084" s="24"/>
      <c r="K1084" s="24"/>
      <c r="L1084" s="235">
        <f t="shared" si="179"/>
        <v>39.260906713762353</v>
      </c>
      <c r="M1084" s="126"/>
      <c r="N1084" s="126"/>
      <c r="O1084" s="126"/>
      <c r="P1084" s="10">
        <f t="shared" si="180"/>
        <v>-2.2035067137623514</v>
      </c>
      <c r="Q1084" s="10">
        <f t="shared" si="185"/>
        <v>4.8554418375957571</v>
      </c>
      <c r="W1084" s="240">
        <f t="shared" si="186"/>
        <v>2.2035067137623514</v>
      </c>
      <c r="X1084" s="240">
        <f t="shared" si="187"/>
        <v>5.9461989069992803E-2</v>
      </c>
      <c r="Y1084"/>
      <c r="Z1084" s="13">
        <f t="shared" si="181"/>
        <v>20.742720077845721</v>
      </c>
      <c r="AA1084" s="2"/>
      <c r="AB1084" s="68"/>
      <c r="AC1084" s="15">
        <f t="shared" si="182"/>
        <v>5.5267822028746671</v>
      </c>
    </row>
    <row r="1085" spans="1:29">
      <c r="A1085" s="84">
        <f>'Q.1 &amp; 4'!K1090</f>
        <v>3.6</v>
      </c>
      <c r="B1085" s="141">
        <f>'Q.1 &amp; 4'!L1090</f>
        <v>34.270800000000001</v>
      </c>
      <c r="C1085" s="221"/>
      <c r="D1085" s="23"/>
      <c r="E1085" s="24"/>
      <c r="F1085" s="22">
        <f t="shared" si="177"/>
        <v>9.2592592592588563E-2</v>
      </c>
      <c r="G1085" s="22">
        <f t="shared" si="178"/>
        <v>-0.43568906955736253</v>
      </c>
      <c r="H1085" s="22">
        <f t="shared" si="183"/>
        <v>-4.0341580514568848E-2</v>
      </c>
      <c r="I1085" s="22">
        <f t="shared" si="184"/>
        <v>8.573388203017087E-3</v>
      </c>
      <c r="J1085" s="24"/>
      <c r="K1085" s="24"/>
      <c r="L1085" s="235">
        <f t="shared" si="179"/>
        <v>34.287884506670892</v>
      </c>
      <c r="M1085" s="126"/>
      <c r="N1085" s="126"/>
      <c r="O1085" s="126"/>
      <c r="P1085" s="10">
        <f t="shared" si="180"/>
        <v>-1.7084506670890676E-2</v>
      </c>
      <c r="Q1085" s="10">
        <f t="shared" si="185"/>
        <v>2.9188036818770797E-4</v>
      </c>
      <c r="W1085" s="240">
        <f t="shared" si="186"/>
        <v>1.7084506670890676E-2</v>
      </c>
      <c r="X1085" s="240">
        <f t="shared" si="187"/>
        <v>4.9851496524419255E-4</v>
      </c>
      <c r="Y1085"/>
      <c r="Z1085" s="13">
        <f t="shared" si="181"/>
        <v>0.17522978006937417</v>
      </c>
      <c r="AA1085" s="2"/>
      <c r="AB1085" s="68"/>
      <c r="AC1085" s="15">
        <f t="shared" si="182"/>
        <v>0.1898249653317603</v>
      </c>
    </row>
    <row r="1086" spans="1:29">
      <c r="A1086" s="84">
        <f>'Q.1 &amp; 4'!K1091</f>
        <v>3.6</v>
      </c>
      <c r="B1086" s="141">
        <f>'Q.1 &amp; 4'!L1091</f>
        <v>29.5</v>
      </c>
      <c r="C1086" s="221"/>
      <c r="D1086" s="23"/>
      <c r="E1086" s="24"/>
      <c r="F1086" s="22">
        <f t="shared" si="177"/>
        <v>9.2592592592588563E-2</v>
      </c>
      <c r="G1086" s="22">
        <f t="shared" si="178"/>
        <v>-5.2064890695573638</v>
      </c>
      <c r="H1086" s="22">
        <f t="shared" si="183"/>
        <v>-0.48208232125529049</v>
      </c>
      <c r="I1086" s="22">
        <f t="shared" si="184"/>
        <v>8.573388203017087E-3</v>
      </c>
      <c r="J1086" s="24"/>
      <c r="K1086" s="24"/>
      <c r="L1086" s="235">
        <f t="shared" si="179"/>
        <v>34.287884506670892</v>
      </c>
      <c r="M1086" s="126"/>
      <c r="N1086" s="126"/>
      <c r="O1086" s="126"/>
      <c r="P1086" s="10">
        <f t="shared" si="180"/>
        <v>-4.7878845066708919</v>
      </c>
      <c r="Q1086" s="10">
        <f t="shared" si="185"/>
        <v>22.923838049219171</v>
      </c>
      <c r="W1086" s="240">
        <f t="shared" si="186"/>
        <v>4.7878845066708919</v>
      </c>
      <c r="X1086" s="240">
        <f t="shared" si="187"/>
        <v>0.16230116971765735</v>
      </c>
      <c r="Y1086"/>
      <c r="Z1086" s="13">
        <f t="shared" si="181"/>
        <v>0.17522978006937417</v>
      </c>
      <c r="AA1086" s="2"/>
      <c r="AB1086" s="68"/>
      <c r="AC1086" s="15">
        <f t="shared" si="182"/>
        <v>27.107528431420302</v>
      </c>
    </row>
    <row r="1087" spans="1:29">
      <c r="A1087" s="84">
        <f>'Q.1 &amp; 4'!K1092</f>
        <v>2.4</v>
      </c>
      <c r="B1087" s="141">
        <f>'Q.1 &amp; 4'!L1092</f>
        <v>34.251300000000001</v>
      </c>
      <c r="C1087" s="221"/>
      <c r="D1087" s="23"/>
      <c r="E1087" s="24"/>
      <c r="F1087" s="22">
        <f t="shared" si="177"/>
        <v>-1.1074074074074116</v>
      </c>
      <c r="G1087" s="22">
        <f t="shared" si="178"/>
        <v>-0.45518906955736327</v>
      </c>
      <c r="H1087" s="22">
        <f t="shared" si="183"/>
        <v>0.50407974739871164</v>
      </c>
      <c r="I1087" s="22">
        <f t="shared" si="184"/>
        <v>1.2263511659808048</v>
      </c>
      <c r="J1087" s="24"/>
      <c r="K1087" s="24"/>
      <c r="L1087" s="235">
        <f t="shared" si="179"/>
        <v>39.712999641679758</v>
      </c>
      <c r="M1087" s="126"/>
      <c r="N1087" s="126"/>
      <c r="O1087" s="126"/>
      <c r="P1087" s="10">
        <f t="shared" si="180"/>
        <v>-5.4616996416797576</v>
      </c>
      <c r="Q1087" s="10">
        <f t="shared" si="185"/>
        <v>29.830162975924793</v>
      </c>
      <c r="W1087" s="240">
        <f t="shared" si="186"/>
        <v>5.4616996416797576</v>
      </c>
      <c r="X1087" s="240">
        <f t="shared" si="187"/>
        <v>0.159459630486427</v>
      </c>
      <c r="Y1087"/>
      <c r="Z1087" s="13">
        <f t="shared" si="181"/>
        <v>25.065148108773304</v>
      </c>
      <c r="AA1087" s="2"/>
      <c r="AB1087" s="68"/>
      <c r="AC1087" s="15">
        <f t="shared" si="182"/>
        <v>0.2071970890444981</v>
      </c>
    </row>
    <row r="1088" spans="1:29">
      <c r="A1088" s="84">
        <f>'Q.1 &amp; 4'!K1093</f>
        <v>2.4</v>
      </c>
      <c r="B1088" s="141">
        <f>'Q.1 &amp; 4'!L1093</f>
        <v>32.276499999999999</v>
      </c>
      <c r="C1088" s="221"/>
      <c r="D1088" s="23"/>
      <c r="E1088" s="24"/>
      <c r="F1088" s="22">
        <f t="shared" si="177"/>
        <v>-1.1074074074074116</v>
      </c>
      <c r="G1088" s="22">
        <f t="shared" si="178"/>
        <v>-2.4299890695573652</v>
      </c>
      <c r="H1088" s="22">
        <f t="shared" si="183"/>
        <v>2.6909878955468702</v>
      </c>
      <c r="I1088" s="22">
        <f t="shared" si="184"/>
        <v>1.2263511659808048</v>
      </c>
      <c r="J1088" s="24"/>
      <c r="K1088" s="24"/>
      <c r="L1088" s="235">
        <f t="shared" si="179"/>
        <v>39.712999641679758</v>
      </c>
      <c r="M1088" s="126"/>
      <c r="N1088" s="126"/>
      <c r="O1088" s="126"/>
      <c r="P1088" s="10">
        <f t="shared" si="180"/>
        <v>-7.4364996416797595</v>
      </c>
      <c r="Q1088" s="10">
        <f t="shared" si="185"/>
        <v>55.301526920703189</v>
      </c>
      <c r="W1088" s="240">
        <f t="shared" si="186"/>
        <v>7.4364996416797595</v>
      </c>
      <c r="X1088" s="240">
        <f t="shared" si="187"/>
        <v>0.23039981539757284</v>
      </c>
      <c r="Y1088"/>
      <c r="Z1088" s="13">
        <f t="shared" si="181"/>
        <v>25.065148108773304</v>
      </c>
      <c r="AA1088" s="2"/>
      <c r="AB1088" s="68"/>
      <c r="AC1088" s="15">
        <f t="shared" si="182"/>
        <v>5.9048468781682688</v>
      </c>
    </row>
    <row r="1089" spans="1:29">
      <c r="A1089" s="84">
        <f>'Q.1 &amp; 4'!K1094</f>
        <v>3.2</v>
      </c>
      <c r="B1089" s="141">
        <f>'Q.1 &amp; 4'!L1094</f>
        <v>32.274700000000003</v>
      </c>
      <c r="C1089" s="221"/>
      <c r="D1089" s="23"/>
      <c r="E1089" s="24"/>
      <c r="F1089" s="22">
        <f t="shared" si="177"/>
        <v>-0.30740740740741135</v>
      </c>
      <c r="G1089" s="22">
        <f t="shared" si="178"/>
        <v>-2.431789069557361</v>
      </c>
      <c r="H1089" s="22">
        <f t="shared" si="183"/>
        <v>0.74754997323430938</v>
      </c>
      <c r="I1089" s="22">
        <f t="shared" si="184"/>
        <v>9.4499314128946188E-2</v>
      </c>
      <c r="J1089" s="24"/>
      <c r="K1089" s="24"/>
      <c r="L1089" s="235">
        <f t="shared" si="179"/>
        <v>36.096256218340514</v>
      </c>
      <c r="M1089" s="126"/>
      <c r="N1089" s="126"/>
      <c r="O1089" s="126"/>
      <c r="P1089" s="10">
        <f t="shared" si="180"/>
        <v>-3.8215562183405112</v>
      </c>
      <c r="Q1089" s="10">
        <f t="shared" si="185"/>
        <v>14.604291929937029</v>
      </c>
      <c r="W1089" s="240">
        <f t="shared" si="186"/>
        <v>3.8215562183405112</v>
      </c>
      <c r="X1089" s="240">
        <f t="shared" si="187"/>
        <v>0.11840718018573405</v>
      </c>
      <c r="Y1089"/>
      <c r="Z1089" s="13">
        <f t="shared" si="181"/>
        <v>1.9314527278368467</v>
      </c>
      <c r="AA1089" s="2"/>
      <c r="AB1089" s="68"/>
      <c r="AC1089" s="15">
        <f t="shared" si="182"/>
        <v>5.9135980788186551</v>
      </c>
    </row>
    <row r="1090" spans="1:29">
      <c r="A1090" s="84">
        <f>'Q.1 &amp; 4'!K1095</f>
        <v>4</v>
      </c>
      <c r="B1090" s="141">
        <f>'Q.1 &amp; 4'!L1095</f>
        <v>30</v>
      </c>
      <c r="C1090" s="221"/>
      <c r="D1090" s="23"/>
      <c r="E1090" s="24"/>
      <c r="F1090" s="22">
        <f t="shared" si="177"/>
        <v>0.49259259259258847</v>
      </c>
      <c r="G1090" s="22">
        <f t="shared" si="178"/>
        <v>-4.7064890695573638</v>
      </c>
      <c r="H1090" s="22">
        <f t="shared" si="183"/>
        <v>-2.3183816527819414</v>
      </c>
      <c r="I1090" s="22">
        <f t="shared" si="184"/>
        <v>0.24264746227708786</v>
      </c>
      <c r="J1090" s="24"/>
      <c r="K1090" s="24"/>
      <c r="L1090" s="235">
        <f t="shared" si="179"/>
        <v>32.479512795001277</v>
      </c>
      <c r="M1090" s="126"/>
      <c r="N1090" s="126"/>
      <c r="O1090" s="126"/>
      <c r="P1090" s="10">
        <f t="shared" si="180"/>
        <v>-2.479512795001277</v>
      </c>
      <c r="Q1090" s="10">
        <f t="shared" si="185"/>
        <v>6.1479837005750442</v>
      </c>
      <c r="W1090" s="240">
        <f t="shared" si="186"/>
        <v>2.479512795001277</v>
      </c>
      <c r="X1090" s="240">
        <f t="shared" si="187"/>
        <v>8.2650426500042562E-2</v>
      </c>
      <c r="Y1090"/>
      <c r="Z1090" s="13">
        <f t="shared" si="181"/>
        <v>4.9594233274357071</v>
      </c>
      <c r="AA1090" s="2"/>
      <c r="AB1090" s="68"/>
      <c r="AC1090" s="15">
        <f t="shared" si="182"/>
        <v>22.151039361862939</v>
      </c>
    </row>
    <row r="1091" spans="1:29">
      <c r="A1091" s="84">
        <f>'Q.1 &amp; 4'!K1096</f>
        <v>4</v>
      </c>
      <c r="B1091" s="141">
        <f>'Q.1 &amp; 4'!L1096</f>
        <v>30</v>
      </c>
      <c r="C1091" s="221"/>
      <c r="D1091" s="23"/>
      <c r="E1091" s="24"/>
      <c r="F1091" s="22">
        <f t="shared" si="177"/>
        <v>0.49259259259258847</v>
      </c>
      <c r="G1091" s="22">
        <f t="shared" si="178"/>
        <v>-4.7064890695573638</v>
      </c>
      <c r="H1091" s="22">
        <f t="shared" si="183"/>
        <v>-2.3183816527819414</v>
      </c>
      <c r="I1091" s="22">
        <f t="shared" si="184"/>
        <v>0.24264746227708786</v>
      </c>
      <c r="J1091" s="24"/>
      <c r="K1091" s="24"/>
      <c r="L1091" s="235">
        <f t="shared" si="179"/>
        <v>32.479512795001277</v>
      </c>
      <c r="M1091" s="126"/>
      <c r="N1091" s="126"/>
      <c r="O1091" s="126"/>
      <c r="P1091" s="10">
        <f t="shared" si="180"/>
        <v>-2.479512795001277</v>
      </c>
      <c r="Q1091" s="10">
        <f t="shared" si="185"/>
        <v>6.1479837005750442</v>
      </c>
      <c r="W1091" s="240">
        <f t="shared" si="186"/>
        <v>2.479512795001277</v>
      </c>
      <c r="X1091" s="240">
        <f t="shared" si="187"/>
        <v>8.2650426500042562E-2</v>
      </c>
      <c r="Y1091"/>
      <c r="Z1091" s="13">
        <f t="shared" si="181"/>
        <v>4.9594233274357071</v>
      </c>
      <c r="AA1091" s="2"/>
      <c r="AB1091" s="68"/>
      <c r="AC1091" s="15">
        <f t="shared" si="182"/>
        <v>22.151039361862939</v>
      </c>
    </row>
    <row r="1092" spans="1:29">
      <c r="A1092" s="84">
        <f>'Q.1 &amp; 4'!K1097</f>
        <v>4</v>
      </c>
      <c r="B1092" s="141">
        <f>'Q.1 &amp; 4'!L1097</f>
        <v>28.918199999999999</v>
      </c>
      <c r="C1092" s="221"/>
      <c r="D1092" s="23"/>
      <c r="E1092" s="24"/>
      <c r="F1092" s="22">
        <f t="shared" si="177"/>
        <v>0.49259259259258847</v>
      </c>
      <c r="G1092" s="22">
        <f t="shared" si="178"/>
        <v>-5.788289069557365</v>
      </c>
      <c r="H1092" s="22">
        <f t="shared" si="183"/>
        <v>-2.8512683194486041</v>
      </c>
      <c r="I1092" s="22">
        <f t="shared" si="184"/>
        <v>0.24264746227708786</v>
      </c>
      <c r="J1092" s="24"/>
      <c r="K1092" s="24"/>
      <c r="L1092" s="235">
        <f t="shared" si="179"/>
        <v>32.479512795001277</v>
      </c>
      <c r="M1092" s="126"/>
      <c r="N1092" s="126"/>
      <c r="O1092" s="126"/>
      <c r="P1092" s="10">
        <f t="shared" si="180"/>
        <v>-3.5613127950012782</v>
      </c>
      <c r="Q1092" s="10">
        <f t="shared" si="185"/>
        <v>12.682948823839816</v>
      </c>
      <c r="W1092" s="240">
        <f t="shared" si="186"/>
        <v>3.5613127950012782</v>
      </c>
      <c r="X1092" s="240">
        <f t="shared" si="187"/>
        <v>0.12315126097064404</v>
      </c>
      <c r="Y1092"/>
      <c r="Z1092" s="13">
        <f t="shared" si="181"/>
        <v>4.9594233274357071</v>
      </c>
      <c r="AA1092" s="2"/>
      <c r="AB1092" s="68"/>
      <c r="AC1092" s="15">
        <f t="shared" si="182"/>
        <v>33.504290352757266</v>
      </c>
    </row>
    <row r="1093" spans="1:29">
      <c r="A1093" s="84">
        <f>'Q.1 &amp; 4'!K1098</f>
        <v>4</v>
      </c>
      <c r="B1093" s="141">
        <f>'Q.1 &amp; 4'!L1098</f>
        <v>26.813700000000001</v>
      </c>
      <c r="C1093" s="221"/>
      <c r="D1093" s="23"/>
      <c r="E1093" s="24"/>
      <c r="F1093" s="22">
        <f t="shared" si="177"/>
        <v>0.49259259259258847</v>
      </c>
      <c r="G1093" s="22">
        <f t="shared" si="178"/>
        <v>-7.892789069557363</v>
      </c>
      <c r="H1093" s="22">
        <f t="shared" si="183"/>
        <v>-3.8879294305597054</v>
      </c>
      <c r="I1093" s="22">
        <f t="shared" si="184"/>
        <v>0.24264746227708786</v>
      </c>
      <c r="J1093" s="24"/>
      <c r="K1093" s="24"/>
      <c r="L1093" s="235">
        <f t="shared" si="179"/>
        <v>32.479512795001277</v>
      </c>
      <c r="M1093" s="126"/>
      <c r="N1093" s="126"/>
      <c r="O1093" s="126"/>
      <c r="P1093" s="10">
        <f t="shared" si="180"/>
        <v>-5.6658127950012762</v>
      </c>
      <c r="Q1093" s="10">
        <f t="shared" si="185"/>
        <v>32.10143462800017</v>
      </c>
      <c r="W1093" s="240">
        <f t="shared" si="186"/>
        <v>5.6658127950012762</v>
      </c>
      <c r="X1093" s="240">
        <f t="shared" si="187"/>
        <v>0.21130290840134991</v>
      </c>
      <c r="Y1093"/>
      <c r="Z1093" s="13">
        <f t="shared" si="181"/>
        <v>4.9594233274357071</v>
      </c>
      <c r="AA1093" s="2"/>
      <c r="AB1093" s="68"/>
      <c r="AC1093" s="15">
        <f t="shared" si="182"/>
        <v>62.296119296524182</v>
      </c>
    </row>
    <row r="1094" spans="1:29">
      <c r="A1094" s="84">
        <f>'Q.1 &amp; 4'!K1099</f>
        <v>3.5</v>
      </c>
      <c r="B1094" s="141">
        <f>'Q.1 &amp; 4'!L1099</f>
        <v>31.3</v>
      </c>
      <c r="C1094" s="221"/>
      <c r="D1094" s="23"/>
      <c r="E1094" s="24"/>
      <c r="F1094" s="22">
        <f t="shared" ref="F1094:F1112" si="188">A1094-$D$6</f>
        <v>-7.4074074074115259E-3</v>
      </c>
      <c r="G1094" s="22">
        <f t="shared" ref="G1094:G1112" si="189">B1094-$E$6</f>
        <v>-3.4064890695573631</v>
      </c>
      <c r="H1094" s="22">
        <f t="shared" si="183"/>
        <v>2.5233252367105607E-2</v>
      </c>
      <c r="I1094" s="22">
        <f t="shared" si="184"/>
        <v>5.4869684499375142E-5</v>
      </c>
      <c r="J1094" s="24"/>
      <c r="K1094" s="24"/>
      <c r="L1094" s="235">
        <f t="shared" ref="L1094:L1112" si="190">$K$6+$J$6*A1094</f>
        <v>34.739977434588305</v>
      </c>
      <c r="M1094" s="126"/>
      <c r="N1094" s="126"/>
      <c r="O1094" s="126"/>
      <c r="P1094" s="10">
        <f t="shared" ref="P1094:P1112" si="191">B1094-L1094</f>
        <v>-3.4399774345883039</v>
      </c>
      <c r="Q1094" s="10">
        <f t="shared" si="185"/>
        <v>11.833444750476728</v>
      </c>
      <c r="W1094" s="240">
        <f t="shared" si="186"/>
        <v>3.4399774345883039</v>
      </c>
      <c r="X1094" s="240">
        <f t="shared" si="187"/>
        <v>0.10990343241496178</v>
      </c>
      <c r="Y1094"/>
      <c r="Z1094" s="13">
        <f t="shared" si="181"/>
        <v>1.1214705924455365E-3</v>
      </c>
      <c r="AA1094" s="2"/>
      <c r="AB1094" s="68"/>
      <c r="AC1094" s="15">
        <f t="shared" si="182"/>
        <v>11.604167781013789</v>
      </c>
    </row>
    <row r="1095" spans="1:29">
      <c r="A1095" s="84">
        <f>'Q.1 &amp; 4'!K1100</f>
        <v>3.3</v>
      </c>
      <c r="B1095" s="141">
        <f>'Q.1 &amp; 4'!L1100</f>
        <v>34.998899999999999</v>
      </c>
      <c r="C1095" s="221"/>
      <c r="D1095" s="23"/>
      <c r="E1095" s="24"/>
      <c r="F1095" s="22">
        <f t="shared" si="188"/>
        <v>-0.2074074074074117</v>
      </c>
      <c r="G1095" s="22">
        <f t="shared" si="189"/>
        <v>0.29241093044263522</v>
      </c>
      <c r="H1095" s="22">
        <f t="shared" ref="H1095:H1112" si="192">F1095*G1095</f>
        <v>-6.0648192980695965E-2</v>
      </c>
      <c r="I1095" s="22">
        <f t="shared" ref="I1095:I1112" si="193">F1095^2</f>
        <v>4.301783264746406E-2</v>
      </c>
      <c r="J1095" s="24"/>
      <c r="K1095" s="24"/>
      <c r="L1095" s="235">
        <f t="shared" si="190"/>
        <v>35.644163290423116</v>
      </c>
      <c r="M1095" s="126"/>
      <c r="N1095" s="126"/>
      <c r="O1095" s="126"/>
      <c r="P1095" s="10">
        <f t="shared" si="191"/>
        <v>-0.64526329042311659</v>
      </c>
      <c r="Q1095" s="10">
        <f t="shared" ref="Q1095:Q1112" si="194">P1095^2</f>
        <v>0.41636471396766728</v>
      </c>
      <c r="W1095" s="240">
        <f t="shared" ref="W1095:W1112" si="195">ABS(P1095)</f>
        <v>0.64526329042311659</v>
      </c>
      <c r="X1095" s="240">
        <f t="shared" ref="X1095:X1112" si="196">W1095/B1095</f>
        <v>1.8436673450397487E-2</v>
      </c>
      <c r="Y1095"/>
      <c r="Z1095" s="13">
        <f t="shared" ref="Z1095:Z1112" si="197">(L1095-$E$6)^2</f>
        <v>0.87923294447619471</v>
      </c>
      <c r="AA1095" s="2"/>
      <c r="AB1095" s="68"/>
      <c r="AC1095" s="15">
        <f t="shared" ref="AC1095:AC1112" si="198">(B1095-$E$6)^2</f>
        <v>8.5504152242327658E-2</v>
      </c>
    </row>
    <row r="1096" spans="1:29">
      <c r="A1096" s="84">
        <f>'Q.1 &amp; 4'!K1101</f>
        <v>5.7</v>
      </c>
      <c r="B1096" s="141">
        <f>'Q.1 &amp; 4'!L1101</f>
        <v>24.749099999999999</v>
      </c>
      <c r="C1096" s="221"/>
      <c r="D1096" s="23"/>
      <c r="E1096" s="24"/>
      <c r="F1096" s="22">
        <f t="shared" si="188"/>
        <v>2.1925925925925887</v>
      </c>
      <c r="G1096" s="22">
        <f t="shared" si="189"/>
        <v>-9.9573890695573652</v>
      </c>
      <c r="H1096" s="22">
        <f t="shared" si="192"/>
        <v>-21.832497515473886</v>
      </c>
      <c r="I1096" s="22">
        <f t="shared" si="193"/>
        <v>4.8074622770918891</v>
      </c>
      <c r="J1096" s="24"/>
      <c r="K1096" s="24"/>
      <c r="L1096" s="235">
        <f t="shared" si="190"/>
        <v>24.793933020405387</v>
      </c>
      <c r="M1096" s="126"/>
      <c r="N1096" s="126"/>
      <c r="O1096" s="126"/>
      <c r="P1096" s="10">
        <f t="shared" si="191"/>
        <v>-4.4833020405388169E-2</v>
      </c>
      <c r="Q1096" s="10">
        <f t="shared" si="194"/>
        <v>2.0099997186699518E-3</v>
      </c>
      <c r="W1096" s="240">
        <f t="shared" si="195"/>
        <v>4.4833020405388169E-2</v>
      </c>
      <c r="X1096" s="240">
        <f t="shared" si="196"/>
        <v>1.8115010406595865E-3</v>
      </c>
      <c r="Y1096"/>
      <c r="Z1096" s="13">
        <f t="shared" si="197"/>
        <v>98.258767427579457</v>
      </c>
      <c r="AA1096" s="2"/>
      <c r="AB1096" s="68"/>
      <c r="AC1096" s="15">
        <f t="shared" si="198"/>
        <v>99.149597082540495</v>
      </c>
    </row>
    <row r="1097" spans="1:29">
      <c r="A1097" s="84">
        <f>'Q.1 &amp; 4'!K1102</f>
        <v>2.5</v>
      </c>
      <c r="B1097" s="141">
        <f>'Q.1 &amp; 4'!L1102</f>
        <v>38.377800000000001</v>
      </c>
      <c r="C1097" s="221"/>
      <c r="D1097" s="23"/>
      <c r="E1097" s="24"/>
      <c r="F1097" s="22">
        <f t="shared" si="188"/>
        <v>-1.0074074074074115</v>
      </c>
      <c r="G1097" s="22">
        <f t="shared" si="189"/>
        <v>3.6713109304426368</v>
      </c>
      <c r="H1097" s="22">
        <f t="shared" si="192"/>
        <v>-3.6985058262237085</v>
      </c>
      <c r="I1097" s="22">
        <f t="shared" si="193"/>
        <v>1.0148696844993224</v>
      </c>
      <c r="J1097" s="24"/>
      <c r="K1097" s="24"/>
      <c r="L1097" s="235">
        <f t="shared" si="190"/>
        <v>39.260906713762353</v>
      </c>
      <c r="M1097" s="126"/>
      <c r="N1097" s="126"/>
      <c r="O1097" s="126"/>
      <c r="P1097" s="10">
        <f t="shared" si="191"/>
        <v>-0.88310671376235206</v>
      </c>
      <c r="Q1097" s="10">
        <f t="shared" si="194"/>
        <v>0.77987746789214085</v>
      </c>
      <c r="W1097" s="240">
        <f t="shared" si="195"/>
        <v>0.88310671376235206</v>
      </c>
      <c r="X1097" s="240">
        <f t="shared" si="196"/>
        <v>2.3010873832328898E-2</v>
      </c>
      <c r="Y1097"/>
      <c r="Z1097" s="13">
        <f t="shared" si="197"/>
        <v>20.742720077845721</v>
      </c>
      <c r="AA1097" s="2"/>
      <c r="AB1097" s="68"/>
      <c r="AC1097" s="15">
        <f t="shared" si="198"/>
        <v>13.478523947987579</v>
      </c>
    </row>
    <row r="1098" spans="1:29">
      <c r="A1098" s="84">
        <f>'Q.1 &amp; 4'!K1103</f>
        <v>3.5</v>
      </c>
      <c r="B1098" s="141">
        <f>'Q.1 &amp; 4'!L1103</f>
        <v>35.749400000000001</v>
      </c>
      <c r="C1098" s="221"/>
      <c r="D1098" s="23"/>
      <c r="E1098" s="24"/>
      <c r="F1098" s="22">
        <f t="shared" si="188"/>
        <v>-7.4074074074115259E-3</v>
      </c>
      <c r="G1098" s="22">
        <f t="shared" si="189"/>
        <v>1.0429109304426376</v>
      </c>
      <c r="H1098" s="22">
        <f t="shared" si="192"/>
        <v>-7.7252661514312405E-3</v>
      </c>
      <c r="I1098" s="22">
        <f t="shared" si="193"/>
        <v>5.4869684499375142E-5</v>
      </c>
      <c r="J1098" s="24"/>
      <c r="K1098" s="24"/>
      <c r="L1098" s="235">
        <f t="shared" si="190"/>
        <v>34.739977434588305</v>
      </c>
      <c r="M1098" s="126"/>
      <c r="N1098" s="126"/>
      <c r="O1098" s="126"/>
      <c r="P1098" s="10">
        <f t="shared" si="191"/>
        <v>1.0094225654116968</v>
      </c>
      <c r="Q1098" s="10">
        <f t="shared" si="194"/>
        <v>1.0189339155623314</v>
      </c>
      <c r="W1098" s="240">
        <f t="shared" si="195"/>
        <v>1.0094225654116968</v>
      </c>
      <c r="X1098" s="240">
        <f t="shared" si="196"/>
        <v>2.8236070127378273E-2</v>
      </c>
      <c r="Y1098"/>
      <c r="Z1098" s="13">
        <f t="shared" si="197"/>
        <v>1.1214705924455365E-3</v>
      </c>
      <c r="AA1098" s="2"/>
      <c r="AB1098" s="68"/>
      <c r="AC1098" s="15">
        <f t="shared" si="198"/>
        <v>1.0876632088367282</v>
      </c>
    </row>
    <row r="1099" spans="1:29">
      <c r="A1099" s="84">
        <f>'Q.1 &amp; 4'!K1104</f>
        <v>4.5999999999999996</v>
      </c>
      <c r="B1099" s="141">
        <f>'Q.1 &amp; 4'!L1104</f>
        <v>24.8718</v>
      </c>
      <c r="C1099" s="221"/>
      <c r="D1099" s="23"/>
      <c r="E1099" s="24"/>
      <c r="F1099" s="22">
        <f t="shared" si="188"/>
        <v>1.0925925925925881</v>
      </c>
      <c r="G1099" s="22">
        <f t="shared" si="189"/>
        <v>-9.8346890695573634</v>
      </c>
      <c r="H1099" s="22">
        <f t="shared" si="192"/>
        <v>-10.745308427849668</v>
      </c>
      <c r="I1099" s="22">
        <f t="shared" si="193"/>
        <v>1.1937585733881932</v>
      </c>
      <c r="J1099" s="24"/>
      <c r="K1099" s="24"/>
      <c r="L1099" s="235">
        <f t="shared" si="190"/>
        <v>29.766955227496847</v>
      </c>
      <c r="M1099" s="126"/>
      <c r="N1099" s="126"/>
      <c r="O1099" s="126"/>
      <c r="P1099" s="10">
        <f t="shared" si="191"/>
        <v>-4.8951552274968471</v>
      </c>
      <c r="Q1099" s="10">
        <f t="shared" si="194"/>
        <v>23.962544701289708</v>
      </c>
      <c r="W1099" s="240">
        <f t="shared" si="195"/>
        <v>4.8951552274968471</v>
      </c>
      <c r="X1099" s="240">
        <f t="shared" si="196"/>
        <v>0.19681547887554768</v>
      </c>
      <c r="Y1099"/>
      <c r="Z1099" s="13">
        <f t="shared" si="197"/>
        <v>24.398994576861128</v>
      </c>
      <c r="AA1099" s="2"/>
      <c r="AB1099" s="68"/>
      <c r="AC1099" s="15">
        <f t="shared" si="198"/>
        <v>96.721109094871082</v>
      </c>
    </row>
    <row r="1100" spans="1:29">
      <c r="A1100" s="84">
        <f>'Q.1 &amp; 4'!K1105</f>
        <v>5.7</v>
      </c>
      <c r="B1100" s="141">
        <f>'Q.1 &amp; 4'!L1105</f>
        <v>24.5</v>
      </c>
      <c r="C1100" s="221"/>
      <c r="D1100" s="23"/>
      <c r="E1100" s="24"/>
      <c r="F1100" s="22">
        <f t="shared" si="188"/>
        <v>2.1925925925925887</v>
      </c>
      <c r="G1100" s="22">
        <f t="shared" si="189"/>
        <v>-10.206489069557364</v>
      </c>
      <c r="H1100" s="22">
        <f t="shared" si="192"/>
        <v>-22.378672330288698</v>
      </c>
      <c r="I1100" s="22">
        <f t="shared" si="193"/>
        <v>4.8074622770918891</v>
      </c>
      <c r="J1100" s="24"/>
      <c r="K1100" s="24"/>
      <c r="L1100" s="235">
        <f t="shared" si="190"/>
        <v>24.793933020405387</v>
      </c>
      <c r="M1100" s="126"/>
      <c r="N1100" s="126"/>
      <c r="O1100" s="126"/>
      <c r="P1100" s="10">
        <f t="shared" si="191"/>
        <v>-0.29393302040538671</v>
      </c>
      <c r="Q1100" s="10">
        <f t="shared" si="194"/>
        <v>8.639662048463348E-2</v>
      </c>
      <c r="W1100" s="240">
        <f t="shared" si="195"/>
        <v>0.29393302040538671</v>
      </c>
      <c r="X1100" s="240">
        <f t="shared" si="196"/>
        <v>1.1997266138995375E-2</v>
      </c>
      <c r="Y1100"/>
      <c r="Z1100" s="13">
        <f t="shared" si="197"/>
        <v>98.258767427579457</v>
      </c>
      <c r="AA1100" s="2"/>
      <c r="AB1100" s="68"/>
      <c r="AC1100" s="15">
        <f t="shared" si="198"/>
        <v>104.17241912699394</v>
      </c>
    </row>
    <row r="1101" spans="1:29">
      <c r="A1101" s="84">
        <f>'Q.1 &amp; 4'!K1106</f>
        <v>5.7</v>
      </c>
      <c r="B1101" s="141">
        <f>'Q.1 &amp; 4'!L1106</f>
        <v>24.220600000000001</v>
      </c>
      <c r="C1101" s="221"/>
      <c r="D1101" s="23"/>
      <c r="E1101" s="24"/>
      <c r="F1101" s="22">
        <f t="shared" si="188"/>
        <v>2.1925925925925887</v>
      </c>
      <c r="G1101" s="22">
        <f t="shared" si="189"/>
        <v>-10.485889069557363</v>
      </c>
      <c r="H1101" s="22">
        <f t="shared" si="192"/>
        <v>-22.991282700659067</v>
      </c>
      <c r="I1101" s="22">
        <f t="shared" si="193"/>
        <v>4.8074622770918891</v>
      </c>
      <c r="J1101" s="24"/>
      <c r="K1101" s="24"/>
      <c r="L1101" s="235">
        <f t="shared" si="190"/>
        <v>24.793933020405387</v>
      </c>
      <c r="M1101" s="126"/>
      <c r="N1101" s="126"/>
      <c r="O1101" s="126"/>
      <c r="P1101" s="10">
        <f t="shared" si="191"/>
        <v>-0.5733330204053857</v>
      </c>
      <c r="Q1101" s="10">
        <f t="shared" si="194"/>
        <v>0.3287107522871624</v>
      </c>
      <c r="W1101" s="240">
        <f t="shared" si="195"/>
        <v>0.5733330204053857</v>
      </c>
      <c r="X1101" s="240">
        <f t="shared" si="196"/>
        <v>2.3671297177005758E-2</v>
      </c>
      <c r="Y1101"/>
      <c r="Z1101" s="13">
        <f t="shared" si="197"/>
        <v>98.258767427579457</v>
      </c>
      <c r="AA1101" s="2"/>
      <c r="AB1101" s="68"/>
      <c r="AC1101" s="15">
        <f t="shared" si="198"/>
        <v>109.95386957906257</v>
      </c>
    </row>
    <row r="1102" spans="1:29">
      <c r="A1102" s="84">
        <f>'Q.1 &amp; 4'!K1107</f>
        <v>2.7</v>
      </c>
      <c r="B1102" s="141">
        <f>'Q.1 &amp; 4'!L1107</f>
        <v>38.700000000000003</v>
      </c>
      <c r="C1102" s="221"/>
      <c r="D1102" s="23"/>
      <c r="E1102" s="24"/>
      <c r="F1102" s="22">
        <f t="shared" si="188"/>
        <v>-0.80740740740741135</v>
      </c>
      <c r="G1102" s="22">
        <f t="shared" si="189"/>
        <v>3.9935109304426391</v>
      </c>
      <c r="H1102" s="22">
        <f t="shared" si="192"/>
        <v>-3.2243903068018502</v>
      </c>
      <c r="I1102" s="22">
        <f t="shared" si="193"/>
        <v>0.65190672153635754</v>
      </c>
      <c r="J1102" s="24"/>
      <c r="K1102" s="24"/>
      <c r="L1102" s="235">
        <f t="shared" si="190"/>
        <v>38.356720857927542</v>
      </c>
      <c r="M1102" s="126"/>
      <c r="N1102" s="126"/>
      <c r="O1102" s="126"/>
      <c r="P1102" s="10">
        <f t="shared" si="191"/>
        <v>0.34327914207246124</v>
      </c>
      <c r="Q1102" s="10">
        <f t="shared" si="194"/>
        <v>0.11784056938200503</v>
      </c>
      <c r="W1102" s="240">
        <f t="shared" si="195"/>
        <v>0.34327914207246124</v>
      </c>
      <c r="X1102" s="240">
        <f t="shared" si="196"/>
        <v>8.8702620690558447E-3</v>
      </c>
      <c r="Y1102"/>
      <c r="Z1102" s="13">
        <f t="shared" si="197"/>
        <v>13.324192108828147</v>
      </c>
      <c r="AA1102" s="2"/>
      <c r="AB1102" s="68"/>
      <c r="AC1102" s="15">
        <f t="shared" si="198"/>
        <v>15.948129551564833</v>
      </c>
    </row>
    <row r="1103" spans="1:29">
      <c r="A1103" s="84">
        <f>'Q.1 &amp; 4'!K1108</f>
        <v>3.5</v>
      </c>
      <c r="B1103" s="141">
        <f>'Q.1 &amp; 4'!L1108</f>
        <v>35</v>
      </c>
      <c r="C1103" s="221"/>
      <c r="D1103" s="23"/>
      <c r="E1103" s="24"/>
      <c r="F1103" s="22">
        <f t="shared" si="188"/>
        <v>-7.4074074074115259E-3</v>
      </c>
      <c r="G1103" s="22">
        <f t="shared" si="189"/>
        <v>0.29351093044263621</v>
      </c>
      <c r="H1103" s="22">
        <f t="shared" si="192"/>
        <v>-2.1741550403170328E-3</v>
      </c>
      <c r="I1103" s="22">
        <f t="shared" si="193"/>
        <v>5.4869684499375142E-5</v>
      </c>
      <c r="J1103" s="24"/>
      <c r="K1103" s="24"/>
      <c r="L1103" s="235">
        <f t="shared" si="190"/>
        <v>34.739977434588305</v>
      </c>
      <c r="M1103" s="126"/>
      <c r="N1103" s="126"/>
      <c r="O1103" s="126"/>
      <c r="P1103" s="10">
        <f t="shared" si="191"/>
        <v>0.26002256541169544</v>
      </c>
      <c r="Q1103" s="10">
        <f t="shared" si="194"/>
        <v>6.7611734523279426E-2</v>
      </c>
      <c r="W1103" s="240">
        <f t="shared" si="195"/>
        <v>0.26002256541169544</v>
      </c>
      <c r="X1103" s="240">
        <f t="shared" si="196"/>
        <v>7.4292161546198696E-3</v>
      </c>
      <c r="Y1103"/>
      <c r="Z1103" s="13">
        <f t="shared" si="197"/>
        <v>1.1214705924455365E-3</v>
      </c>
      <c r="AA1103" s="2"/>
      <c r="AB1103" s="68"/>
      <c r="AC1103" s="15">
        <f t="shared" si="198"/>
        <v>8.6148666289302026E-2</v>
      </c>
    </row>
    <row r="1104" spans="1:29">
      <c r="A1104" s="84">
        <f>'Q.1 &amp; 4'!K1109</f>
        <v>2</v>
      </c>
      <c r="B1104" s="141">
        <f>'Q.1 &amp; 4'!L1109</f>
        <v>33.299999999999997</v>
      </c>
      <c r="C1104" s="221"/>
      <c r="D1104" s="23"/>
      <c r="E1104" s="24"/>
      <c r="F1104" s="22">
        <f t="shared" si="188"/>
        <v>-1.5074074074074115</v>
      </c>
      <c r="G1104" s="22">
        <f t="shared" si="189"/>
        <v>-1.4064890695573666</v>
      </c>
      <c r="H1104" s="22">
        <f t="shared" si="192"/>
        <v>2.1201520418883324</v>
      </c>
      <c r="I1104" s="22">
        <f t="shared" si="193"/>
        <v>2.2722770919067341</v>
      </c>
      <c r="J1104" s="24"/>
      <c r="K1104" s="24"/>
      <c r="L1104" s="235">
        <f t="shared" si="190"/>
        <v>41.52137135334938</v>
      </c>
      <c r="M1104" s="126"/>
      <c r="N1104" s="126"/>
      <c r="O1104" s="126"/>
      <c r="P1104" s="10">
        <f t="shared" si="191"/>
        <v>-8.2213713533493831</v>
      </c>
      <c r="Q1104" s="10">
        <f t="shared" si="194"/>
        <v>67.590946929673862</v>
      </c>
      <c r="W1104" s="240">
        <f t="shared" si="195"/>
        <v>8.2213713533493831</v>
      </c>
      <c r="X1104" s="240">
        <f t="shared" si="196"/>
        <v>0.24688802862911063</v>
      </c>
      <c r="Y1104"/>
      <c r="Z1104" s="13">
        <f t="shared" si="197"/>
        <v>46.44262054194229</v>
      </c>
      <c r="AA1104" s="2"/>
      <c r="AB1104" s="68"/>
      <c r="AC1104" s="15">
        <f t="shared" si="198"/>
        <v>1.978211502784347</v>
      </c>
    </row>
    <row r="1105" spans="1:29">
      <c r="A1105" s="84">
        <f>'Q.1 &amp; 4'!K1110</f>
        <v>3</v>
      </c>
      <c r="B1105" s="141">
        <f>'Q.1 &amp; 4'!L1110</f>
        <v>34.4</v>
      </c>
      <c r="C1105" s="221"/>
      <c r="D1105" s="23"/>
      <c r="E1105" s="24"/>
      <c r="F1105" s="22">
        <f t="shared" si="188"/>
        <v>-0.50740740740741153</v>
      </c>
      <c r="G1105" s="22">
        <f t="shared" si="189"/>
        <v>-0.30648906955736521</v>
      </c>
      <c r="H1105" s="22">
        <f t="shared" si="192"/>
        <v>0.15551482418281251</v>
      </c>
      <c r="I1105" s="22">
        <f t="shared" si="193"/>
        <v>0.25746227709191088</v>
      </c>
      <c r="J1105" s="24"/>
      <c r="K1105" s="24"/>
      <c r="L1105" s="235">
        <f t="shared" si="190"/>
        <v>37.000442074175325</v>
      </c>
      <c r="M1105" s="126"/>
      <c r="N1105" s="126"/>
      <c r="O1105" s="126"/>
      <c r="P1105" s="10">
        <f t="shared" si="191"/>
        <v>-2.6004420741753265</v>
      </c>
      <c r="Q1105" s="10">
        <f t="shared" si="194"/>
        <v>6.7622989811412744</v>
      </c>
      <c r="W1105" s="240">
        <f t="shared" si="195"/>
        <v>2.6004420741753265</v>
      </c>
      <c r="X1105" s="240">
        <f t="shared" si="196"/>
        <v>7.5594246342306007E-2</v>
      </c>
      <c r="Y1105"/>
      <c r="Z1105" s="13">
        <f t="shared" si="197"/>
        <v>5.2622203873957725</v>
      </c>
      <c r="AA1105" s="2"/>
      <c r="AB1105" s="68"/>
      <c r="AC1105" s="15">
        <f t="shared" si="198"/>
        <v>9.3935549758139447E-2</v>
      </c>
    </row>
    <row r="1106" spans="1:29">
      <c r="A1106" s="84">
        <f>'Q.1 &amp; 4'!K1111</f>
        <v>3.6</v>
      </c>
      <c r="B1106" s="141">
        <f>'Q.1 &amp; 4'!L1111</f>
        <v>26.1066</v>
      </c>
      <c r="C1106" s="221"/>
      <c r="D1106" s="23"/>
      <c r="E1106" s="24"/>
      <c r="F1106" s="22">
        <f t="shared" si="188"/>
        <v>9.2592592592588563E-2</v>
      </c>
      <c r="G1106" s="22">
        <f t="shared" si="189"/>
        <v>-8.5998890695573635</v>
      </c>
      <c r="H1106" s="22">
        <f t="shared" si="192"/>
        <v>-0.79628602495898049</v>
      </c>
      <c r="I1106" s="22">
        <f t="shared" si="193"/>
        <v>8.573388203017087E-3</v>
      </c>
      <c r="J1106" s="24"/>
      <c r="K1106" s="24"/>
      <c r="L1106" s="235">
        <f t="shared" si="190"/>
        <v>34.287884506670892</v>
      </c>
      <c r="M1106" s="126"/>
      <c r="N1106" s="126"/>
      <c r="O1106" s="126"/>
      <c r="P1106" s="10">
        <f t="shared" si="191"/>
        <v>-8.1812845066708917</v>
      </c>
      <c r="Q1106" s="10">
        <f t="shared" si="194"/>
        <v>66.933416179093172</v>
      </c>
      <c r="W1106" s="240">
        <f t="shared" si="195"/>
        <v>8.1812845066708917</v>
      </c>
      <c r="X1106" s="240">
        <f t="shared" si="196"/>
        <v>0.31337993100100708</v>
      </c>
      <c r="Y1106"/>
      <c r="Z1106" s="13">
        <f t="shared" si="197"/>
        <v>0.17522978006937417</v>
      </c>
      <c r="AA1106" s="2"/>
      <c r="AB1106" s="68"/>
      <c r="AC1106" s="15">
        <f t="shared" si="198"/>
        <v>73.958092008692219</v>
      </c>
    </row>
    <row r="1107" spans="1:29">
      <c r="A1107" s="84">
        <f>'Q.1 &amp; 4'!K1112</f>
        <v>3</v>
      </c>
      <c r="B1107" s="141">
        <f>'Q.1 &amp; 4'!L1112</f>
        <v>29.789200000000001</v>
      </c>
      <c r="C1107" s="221"/>
      <c r="D1107" s="23"/>
      <c r="E1107" s="24"/>
      <c r="F1107" s="22">
        <f t="shared" si="188"/>
        <v>-0.50740740740741153</v>
      </c>
      <c r="G1107" s="22">
        <f t="shared" si="189"/>
        <v>-4.9172890695573628</v>
      </c>
      <c r="H1107" s="22">
        <f t="shared" si="192"/>
        <v>2.4950688982569043</v>
      </c>
      <c r="I1107" s="22">
        <f t="shared" si="193"/>
        <v>0.25746227709191088</v>
      </c>
      <c r="J1107" s="24"/>
      <c r="K1107" s="24"/>
      <c r="L1107" s="235">
        <f t="shared" si="190"/>
        <v>37.000442074175325</v>
      </c>
      <c r="M1107" s="126"/>
      <c r="N1107" s="126"/>
      <c r="O1107" s="126"/>
      <c r="P1107" s="10">
        <f t="shared" si="191"/>
        <v>-7.211242074175324</v>
      </c>
      <c r="Q1107" s="10">
        <f t="shared" si="194"/>
        <v>52.00201225235643</v>
      </c>
      <c r="W1107" s="240">
        <f t="shared" si="195"/>
        <v>7.211242074175324</v>
      </c>
      <c r="X1107" s="240">
        <f t="shared" si="196"/>
        <v>0.24207572120685764</v>
      </c>
      <c r="Y1107"/>
      <c r="Z1107" s="13">
        <f t="shared" si="197"/>
        <v>5.2622203873957725</v>
      </c>
      <c r="AA1107" s="2"/>
      <c r="AB1107" s="68"/>
      <c r="AC1107" s="15">
        <f t="shared" si="198"/>
        <v>24.179731793588314</v>
      </c>
    </row>
    <row r="1108" spans="1:29">
      <c r="A1108" s="84">
        <f>'Q.1 &amp; 4'!K1113</f>
        <v>3.2</v>
      </c>
      <c r="B1108" s="141">
        <f>'Q.1 &amp; 4'!L1113</f>
        <v>30.492599999999999</v>
      </c>
      <c r="C1108" s="221"/>
      <c r="D1108" s="23"/>
      <c r="E1108" s="24"/>
      <c r="F1108" s="22">
        <f t="shared" si="188"/>
        <v>-0.30740740740741135</v>
      </c>
      <c r="G1108" s="22">
        <f t="shared" si="189"/>
        <v>-4.2138890695573643</v>
      </c>
      <c r="H1108" s="22">
        <f t="shared" si="192"/>
        <v>1.2953807139750582</v>
      </c>
      <c r="I1108" s="22">
        <f t="shared" si="193"/>
        <v>9.4499314128946188E-2</v>
      </c>
      <c r="J1108" s="24"/>
      <c r="K1108" s="24"/>
      <c r="L1108" s="235">
        <f t="shared" si="190"/>
        <v>36.096256218340514</v>
      </c>
      <c r="M1108" s="126"/>
      <c r="N1108" s="126"/>
      <c r="O1108" s="126"/>
      <c r="P1108" s="10">
        <f t="shared" si="191"/>
        <v>-5.6036562183405145</v>
      </c>
      <c r="Q1108" s="10">
        <f t="shared" si="194"/>
        <v>31.400963013346317</v>
      </c>
      <c r="W1108" s="240">
        <f t="shared" si="195"/>
        <v>5.6036562183405145</v>
      </c>
      <c r="X1108" s="240">
        <f t="shared" si="196"/>
        <v>0.18377102045547164</v>
      </c>
      <c r="Y1108"/>
      <c r="Z1108" s="13">
        <f t="shared" si="197"/>
        <v>1.9314527278368467</v>
      </c>
      <c r="AA1108" s="2"/>
      <c r="AB1108" s="68"/>
      <c r="AC1108" s="15">
        <f t="shared" si="198"/>
        <v>17.756861090535029</v>
      </c>
    </row>
    <row r="1109" spans="1:29">
      <c r="A1109" s="84">
        <f>'Q.1 &amp; 4'!K1114</f>
        <v>3</v>
      </c>
      <c r="B1109" s="141">
        <f>'Q.1 &amp; 4'!L1114</f>
        <v>29.789200000000001</v>
      </c>
      <c r="C1109" s="221"/>
      <c r="D1109" s="23"/>
      <c r="E1109" s="24"/>
      <c r="F1109" s="22">
        <f t="shared" si="188"/>
        <v>-0.50740740740741153</v>
      </c>
      <c r="G1109" s="22">
        <f t="shared" si="189"/>
        <v>-4.9172890695573628</v>
      </c>
      <c r="H1109" s="22">
        <f t="shared" si="192"/>
        <v>2.4950688982569043</v>
      </c>
      <c r="I1109" s="22">
        <f t="shared" si="193"/>
        <v>0.25746227709191088</v>
      </c>
      <c r="J1109" s="24"/>
      <c r="K1109" s="24"/>
      <c r="L1109" s="235">
        <f t="shared" si="190"/>
        <v>37.000442074175325</v>
      </c>
      <c r="M1109" s="126"/>
      <c r="N1109" s="126"/>
      <c r="O1109" s="126"/>
      <c r="P1109" s="10">
        <f t="shared" si="191"/>
        <v>-7.211242074175324</v>
      </c>
      <c r="Q1109" s="10">
        <f t="shared" si="194"/>
        <v>52.00201225235643</v>
      </c>
      <c r="W1109" s="240">
        <f t="shared" si="195"/>
        <v>7.211242074175324</v>
      </c>
      <c r="X1109" s="240">
        <f t="shared" si="196"/>
        <v>0.24207572120685764</v>
      </c>
      <c r="Y1109"/>
      <c r="Z1109" s="13">
        <f t="shared" si="197"/>
        <v>5.2622203873957725</v>
      </c>
      <c r="AA1109" s="2"/>
      <c r="AB1109" s="68"/>
      <c r="AC1109" s="15">
        <f t="shared" si="198"/>
        <v>24.179731793588314</v>
      </c>
    </row>
    <row r="1110" spans="1:29">
      <c r="A1110" s="84">
        <f>'Q.1 &amp; 4'!K1115</f>
        <v>3.2</v>
      </c>
      <c r="B1110" s="141">
        <f>'Q.1 &amp; 4'!L1115</f>
        <v>30.492599999999999</v>
      </c>
      <c r="C1110" s="221"/>
      <c r="D1110" s="23"/>
      <c r="E1110" s="24"/>
      <c r="F1110" s="22">
        <f t="shared" si="188"/>
        <v>-0.30740740740741135</v>
      </c>
      <c r="G1110" s="22">
        <f t="shared" si="189"/>
        <v>-4.2138890695573643</v>
      </c>
      <c r="H1110" s="22">
        <f t="shared" si="192"/>
        <v>1.2953807139750582</v>
      </c>
      <c r="I1110" s="22">
        <f t="shared" si="193"/>
        <v>9.4499314128946188E-2</v>
      </c>
      <c r="J1110" s="24"/>
      <c r="K1110" s="24"/>
      <c r="L1110" s="235">
        <f t="shared" si="190"/>
        <v>36.096256218340514</v>
      </c>
      <c r="M1110" s="126"/>
      <c r="N1110" s="126"/>
      <c r="O1110" s="126"/>
      <c r="P1110" s="10">
        <f t="shared" si="191"/>
        <v>-5.6036562183405145</v>
      </c>
      <c r="Q1110" s="10">
        <f t="shared" si="194"/>
        <v>31.400963013346317</v>
      </c>
      <c r="W1110" s="240">
        <f t="shared" si="195"/>
        <v>5.6036562183405145</v>
      </c>
      <c r="X1110" s="240">
        <f t="shared" si="196"/>
        <v>0.18377102045547164</v>
      </c>
      <c r="Y1110"/>
      <c r="Z1110" s="13">
        <f t="shared" si="197"/>
        <v>1.9314527278368467</v>
      </c>
      <c r="AA1110" s="2"/>
      <c r="AB1110" s="68"/>
      <c r="AC1110" s="15">
        <f t="shared" si="198"/>
        <v>17.756861090535029</v>
      </c>
    </row>
    <row r="1111" spans="1:29">
      <c r="A1111" s="84">
        <f>'Q.1 &amp; 4'!K1116</f>
        <v>3.2</v>
      </c>
      <c r="B1111" s="141">
        <f>'Q.1 &amp; 4'!L1116</f>
        <v>29.743099999999998</v>
      </c>
      <c r="C1111" s="221"/>
      <c r="D1111" s="23"/>
      <c r="E1111" s="24"/>
      <c r="F1111" s="22">
        <f t="shared" si="188"/>
        <v>-0.30740740740741135</v>
      </c>
      <c r="G1111" s="22">
        <f t="shared" si="189"/>
        <v>-4.9633890695573655</v>
      </c>
      <c r="H1111" s="22">
        <f t="shared" si="192"/>
        <v>1.5257825658269133</v>
      </c>
      <c r="I1111" s="22">
        <f t="shared" si="193"/>
        <v>9.4499314128946188E-2</v>
      </c>
      <c r="J1111" s="24"/>
      <c r="K1111" s="24"/>
      <c r="L1111" s="235">
        <f t="shared" si="190"/>
        <v>36.096256218340514</v>
      </c>
      <c r="M1111" s="126"/>
      <c r="N1111" s="126"/>
      <c r="O1111" s="126"/>
      <c r="P1111" s="10">
        <f t="shared" si="191"/>
        <v>-6.3531562183405157</v>
      </c>
      <c r="Q1111" s="10">
        <f t="shared" si="194"/>
        <v>40.36259393463876</v>
      </c>
      <c r="W1111" s="240">
        <f t="shared" si="195"/>
        <v>6.3531562183405157</v>
      </c>
      <c r="X1111" s="240">
        <f t="shared" si="196"/>
        <v>0.21360101059877806</v>
      </c>
      <c r="Y1111"/>
      <c r="Z1111" s="13">
        <f t="shared" si="197"/>
        <v>1.9314527278368467</v>
      </c>
      <c r="AA1111" s="2"/>
      <c r="AB1111" s="68"/>
      <c r="AC1111" s="15">
        <f t="shared" si="198"/>
        <v>24.63523105580153</v>
      </c>
    </row>
    <row r="1112" spans="1:29">
      <c r="A1112" s="84">
        <f>'Q.1 &amp; 4'!K1117</f>
        <v>4.4000000000000004</v>
      </c>
      <c r="B1112" s="141">
        <f>'Q.1 &amp; 4'!L1117</f>
        <v>26.2</v>
      </c>
      <c r="C1112" s="221"/>
      <c r="D1112" s="23"/>
      <c r="E1112" s="24"/>
      <c r="F1112" s="22">
        <f t="shared" si="188"/>
        <v>0.89259259259258883</v>
      </c>
      <c r="G1112" s="22">
        <f t="shared" si="189"/>
        <v>-8.5064890695573645</v>
      </c>
      <c r="H1112" s="22">
        <f t="shared" si="192"/>
        <v>-7.5928291324567265</v>
      </c>
      <c r="I1112" s="22">
        <f t="shared" si="193"/>
        <v>0.79672153635115928</v>
      </c>
      <c r="J1112" s="24"/>
      <c r="K1112" s="24"/>
      <c r="L1112" s="235">
        <f t="shared" si="190"/>
        <v>30.671141083331655</v>
      </c>
      <c r="M1112" s="126"/>
      <c r="N1112" s="126"/>
      <c r="O1112" s="126"/>
      <c r="P1112" s="10">
        <f t="shared" si="191"/>
        <v>-4.4711410833316556</v>
      </c>
      <c r="Q1112" s="10">
        <f t="shared" si="194"/>
        <v>19.991102587056172</v>
      </c>
      <c r="W1112" s="240">
        <f t="shared" si="195"/>
        <v>4.4711410833316556</v>
      </c>
      <c r="X1112" s="240">
        <f t="shared" si="196"/>
        <v>0.17065423982181893</v>
      </c>
      <c r="Y1112"/>
      <c r="Z1112" s="13">
        <f t="shared" si="197"/>
        <v>16.284033369935884</v>
      </c>
      <c r="AA1112" s="2"/>
      <c r="AB1112" s="68"/>
      <c r="AC1112" s="15">
        <f t="shared" si="198"/>
        <v>72.360356290498913</v>
      </c>
    </row>
    <row r="1113" spans="1:29" ht="15.75" thickBot="1">
      <c r="A1113" s="85">
        <f>SUM(A6:A1112)</f>
        <v>3882.7000000000044</v>
      </c>
      <c r="B1113" s="6">
        <f>SUM(B6:B1112)</f>
        <v>38420.083400000003</v>
      </c>
      <c r="C1113" s="222"/>
      <c r="D1113" s="25"/>
      <c r="E1113" s="26"/>
      <c r="F1113" s="27">
        <f>SUM(F6:F1112)</f>
        <v>-5.1909587739373819E-12</v>
      </c>
      <c r="G1113" s="27">
        <f>SUM(G6:G1112)</f>
        <v>-5.5777604757167865E-13</v>
      </c>
      <c r="H1113" s="27">
        <f>SUM(H6:H1112)</f>
        <v>-8527.192620370357</v>
      </c>
      <c r="I1113" s="27">
        <f>SUM(I6:I1112)</f>
        <v>1886.159259259244</v>
      </c>
      <c r="J1113" s="26"/>
      <c r="K1113" s="26"/>
      <c r="L1113" s="20">
        <f>SUM(L6:L1112)</f>
        <v>38420.083399999923</v>
      </c>
      <c r="M1113"/>
      <c r="N1113"/>
      <c r="P1113" s="11">
        <f>SUM(P6:P1112)</f>
        <v>-2.5952573423637659E-11</v>
      </c>
      <c r="Q1113" s="11">
        <f>SUM(Q6:Q1112)</f>
        <v>23629.030498768669</v>
      </c>
      <c r="W1113" s="11">
        <f>SUM(W6:W1112)</f>
        <v>3887.4441643149162</v>
      </c>
      <c r="X1113" s="11">
        <f>SUM(X6:X1112)</f>
        <v>115.05988025529294</v>
      </c>
      <c r="Y1113"/>
      <c r="Z1113" s="14">
        <f>SUM(Z6:Z1112)</f>
        <v>38550.834786589767</v>
      </c>
      <c r="AA1113"/>
      <c r="AB1113"/>
      <c r="AC1113" s="16">
        <f>SUM(AC6:AC1112)</f>
        <v>62179.8652853577</v>
      </c>
    </row>
    <row r="1114" spans="1:29">
      <c r="P1114" s="68"/>
      <c r="Z1114" s="2"/>
      <c r="AA1114" s="2"/>
      <c r="AB1114" s="68"/>
    </row>
  </sheetData>
  <mergeCells count="14">
    <mergeCell ref="R10:U11"/>
    <mergeCell ref="R2:U2"/>
    <mergeCell ref="AC4:AD4"/>
    <mergeCell ref="AH7:AK7"/>
    <mergeCell ref="I2:L2"/>
    <mergeCell ref="AC3:AD3"/>
    <mergeCell ref="X1:AH1"/>
    <mergeCell ref="D4:E4"/>
    <mergeCell ref="Z4:AA4"/>
    <mergeCell ref="D3:E3"/>
    <mergeCell ref="F4:I4"/>
    <mergeCell ref="Z3:AA3"/>
    <mergeCell ref="M4:O4"/>
    <mergeCell ref="Z2:AB2"/>
  </mergeCells>
  <pageMargins left="0.7" right="0.7" top="0.75" bottom="0.75" header="0.3" footer="0.3"/>
  <pageSetup orientation="portrait" r:id="rId1"/>
  <ignoredErrors>
    <ignoredError sqref="AC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Question_3">
                <anchor moveWithCells="1">
                  <from>
                    <xdr:col>0</xdr:col>
                    <xdr:colOff>38100</xdr:colOff>
                    <xdr:row>0</xdr:row>
                    <xdr:rowOff>19050</xdr:rowOff>
                  </from>
                  <to>
                    <xdr:col>1</xdr:col>
                    <xdr:colOff>295275</xdr:colOff>
                    <xdr:row>0</xdr:row>
                    <xdr:rowOff>371475</xdr:rowOff>
                  </to>
                </anchor>
              </controlPr>
            </control>
          </mc:Choice>
        </mc:AlternateContent>
        <mc:AlternateContent xmlns:mc="http://schemas.openxmlformats.org/markup-compatibility/2006">
          <mc:Choice Requires="x14">
            <control shapeId="2051" r:id="rId5" name="Button 3">
              <controlPr defaultSize="0" print="0" autoFill="0" autoPict="0" macro="[0]!Question_5">
                <anchor moveWithCells="1">
                  <from>
                    <xdr:col>1</xdr:col>
                    <xdr:colOff>552450</xdr:colOff>
                    <xdr:row>0</xdr:row>
                    <xdr:rowOff>19050</xdr:rowOff>
                  </from>
                  <to>
                    <xdr:col>4</xdr:col>
                    <xdr:colOff>85725</xdr:colOff>
                    <xdr:row>0</xdr:row>
                    <xdr:rowOff>371475</xdr:rowOff>
                  </to>
                </anchor>
              </controlPr>
            </control>
          </mc:Choice>
        </mc:AlternateContent>
        <mc:AlternateContent xmlns:mc="http://schemas.openxmlformats.org/markup-compatibility/2006">
          <mc:Choice Requires="x14">
            <control shapeId="2052" r:id="rId6" name="Button 4">
              <controlPr defaultSize="0" print="0" autoFill="0" autoPict="0" macro="[0]!Question_2">
                <anchor moveWithCells="1">
                  <from>
                    <xdr:col>17</xdr:col>
                    <xdr:colOff>9525</xdr:colOff>
                    <xdr:row>0</xdr:row>
                    <xdr:rowOff>19050</xdr:rowOff>
                  </from>
                  <to>
                    <xdr:col>17</xdr:col>
                    <xdr:colOff>942975</xdr:colOff>
                    <xdr:row>0</xdr:row>
                    <xdr:rowOff>371475</xdr:rowOff>
                  </to>
                </anchor>
              </controlPr>
            </control>
          </mc:Choice>
        </mc:AlternateContent>
        <mc:AlternateContent xmlns:mc="http://schemas.openxmlformats.org/markup-compatibility/2006">
          <mc:Choice Requires="x14">
            <control shapeId="2053" r:id="rId7" name="Button 5">
              <controlPr defaultSize="0" print="0" autoFill="0" autoPict="0" macro="[0]!Question_5">
                <anchor moveWithCells="1">
                  <from>
                    <xdr:col>18</xdr:col>
                    <xdr:colOff>552450</xdr:colOff>
                    <xdr:row>0</xdr:row>
                    <xdr:rowOff>19050</xdr:rowOff>
                  </from>
                  <to>
                    <xdr:col>19</xdr:col>
                    <xdr:colOff>95250</xdr:colOff>
                    <xdr:row>0</xdr:row>
                    <xdr:rowOff>371475</xdr:rowOff>
                  </to>
                </anchor>
              </controlPr>
            </control>
          </mc:Choice>
        </mc:AlternateContent>
        <mc:AlternateContent xmlns:mc="http://schemas.openxmlformats.org/markup-compatibility/2006">
          <mc:Choice Requires="x14">
            <control shapeId="2054" r:id="rId8" name="Button 6">
              <controlPr defaultSize="0" print="0" autoFill="0" autoPict="0" macro="[0]!Question_2">
                <anchor moveWithCells="1">
                  <from>
                    <xdr:col>34</xdr:col>
                    <xdr:colOff>38100</xdr:colOff>
                    <xdr:row>0</xdr:row>
                    <xdr:rowOff>0</xdr:rowOff>
                  </from>
                  <to>
                    <xdr:col>35</xdr:col>
                    <xdr:colOff>400050</xdr:colOff>
                    <xdr:row>0</xdr:row>
                    <xdr:rowOff>352425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1111"/>
  <sheetViews>
    <sheetView zoomScaleNormal="100" workbookViewId="0">
      <selection activeCell="Y15" sqref="Y15"/>
    </sheetView>
  </sheetViews>
  <sheetFormatPr defaultRowHeight="15"/>
  <cols>
    <col min="1" max="1" width="12" bestFit="1" customWidth="1"/>
    <col min="2" max="2" width="8.7109375" bestFit="1" customWidth="1"/>
    <col min="3" max="3" width="8.5703125" bestFit="1" customWidth="1"/>
    <col min="4" max="4" width="3.85546875" bestFit="1" customWidth="1"/>
    <col min="5" max="5" width="10" bestFit="1" customWidth="1"/>
    <col min="6" max="6" width="7.5703125" bestFit="1" customWidth="1"/>
    <col min="7" max="7" width="8.5703125" bestFit="1" customWidth="1"/>
    <col min="8" max="8" width="7.5703125" bestFit="1" customWidth="1"/>
    <col min="9" max="9" width="8.5703125" bestFit="1" customWidth="1"/>
    <col min="10" max="10" width="7.5703125" bestFit="1" customWidth="1"/>
    <col min="11" max="11" width="8.5703125" bestFit="1" customWidth="1"/>
    <col min="12" max="12" width="7.5703125" bestFit="1" customWidth="1"/>
  </cols>
  <sheetData>
    <row r="1" spans="1:23" s="62" customFormat="1">
      <c r="A1" s="375" t="s">
        <v>104</v>
      </c>
      <c r="B1" s="375"/>
      <c r="C1" s="375"/>
      <c r="D1" s="375"/>
      <c r="E1" s="375"/>
      <c r="F1" s="375"/>
      <c r="G1" s="375"/>
      <c r="H1" s="375"/>
      <c r="I1" s="375"/>
      <c r="J1" s="375"/>
      <c r="K1" s="117"/>
      <c r="L1" s="117"/>
      <c r="M1" s="117"/>
      <c r="N1" s="117"/>
      <c r="O1" s="117"/>
      <c r="P1" s="117"/>
      <c r="Q1" s="117"/>
      <c r="R1" s="117"/>
    </row>
    <row r="2" spans="1:23">
      <c r="A2" s="63" t="s">
        <v>93</v>
      </c>
      <c r="B2" s="63" t="s">
        <v>0</v>
      </c>
      <c r="C2" s="63" t="s">
        <v>2</v>
      </c>
      <c r="D2" s="63" t="s">
        <v>94</v>
      </c>
      <c r="E2" s="65" t="s">
        <v>95</v>
      </c>
      <c r="F2" s="137" t="s">
        <v>96</v>
      </c>
      <c r="G2" s="137" t="s">
        <v>97</v>
      </c>
      <c r="H2" s="139" t="s">
        <v>98</v>
      </c>
      <c r="I2" s="139" t="s">
        <v>99</v>
      </c>
      <c r="J2" s="138" t="s">
        <v>100</v>
      </c>
      <c r="K2" s="138" t="s">
        <v>101</v>
      </c>
      <c r="L2" s="62"/>
      <c r="R2" s="137" t="s">
        <v>96</v>
      </c>
      <c r="S2" s="137" t="s">
        <v>97</v>
      </c>
      <c r="T2" s="139" t="s">
        <v>98</v>
      </c>
      <c r="U2" s="139" t="s">
        <v>99</v>
      </c>
      <c r="V2" s="138" t="s">
        <v>100</v>
      </c>
      <c r="W2" s="138" t="s">
        <v>101</v>
      </c>
    </row>
    <row r="3" spans="1:23" ht="15.75">
      <c r="A3" s="64">
        <f t="shared" ref="A3:A66" ca="1" si="0">RAND()</f>
        <v>0.8208381315919322</v>
      </c>
      <c r="B3" s="74">
        <v>3.2</v>
      </c>
      <c r="C3" s="71">
        <v>30.347000000000001</v>
      </c>
      <c r="D3" s="132">
        <f t="array" ref="D3">MOD(ROW(), 3) + 1</f>
        <v>1</v>
      </c>
      <c r="E3" s="133">
        <v>1</v>
      </c>
      <c r="F3" s="13">
        <f t="array" ref="F3">IFERROR(INDEX($B$1:$B$1109, SMALL(IF($D$1:$D$1109=$E$3,ROW($D$1:$D$1109)),ROW()-2),1),"")</f>
        <v>3.2</v>
      </c>
      <c r="G3" s="13">
        <f t="array" ref="G3">IFERROR(INDEX($C$1:$C$1109, SMALL(IF($D$1:$D$1109=$E$3,ROW($D$1:$D$1109)),ROW()-2),1),"")</f>
        <v>30.347000000000001</v>
      </c>
      <c r="H3" s="140">
        <f t="array" ref="H3">IFERROR(INDEX($B$1:$B$1109, SMALL(IF($D$1:$D$1109=$E$4,ROW($D$1:$D$1109)),ROW()-2),1),"")</f>
        <v>4.5999999999999996</v>
      </c>
      <c r="I3" s="140">
        <f t="array" ref="I3">IFERROR(INDEX($C$1:$C$1109, SMALL(IF($D$1:$D$1109=$E$4,ROW($D$1:$D$1109)),ROW()-2),1),"")</f>
        <v>32.149900000000002</v>
      </c>
      <c r="J3" s="10">
        <f t="array" ref="J3">IFERROR(INDEX($B$1:$B$1109, SMALL(IF($D$1:$D$1109=$E$5,ROW($D$1:$D$1109)),ROW()-2),1),"")</f>
        <v>2.5</v>
      </c>
      <c r="K3" s="10">
        <f t="array" ref="K3">IFERROR(INDEX($C$1:$C$1109, SMALL(IF($D$1:$D$1109=$E$5,ROW($D$1:$D$1109)),ROW()-2),1),"")</f>
        <v>39.726700000000001</v>
      </c>
      <c r="L3" s="62"/>
      <c r="R3" s="13">
        <v>3.2</v>
      </c>
      <c r="S3" s="13">
        <v>30.347000000000001</v>
      </c>
      <c r="T3" s="140">
        <v>4.5999999999999996</v>
      </c>
      <c r="U3" s="140">
        <v>32.149900000000002</v>
      </c>
      <c r="V3" s="10">
        <v>2.5</v>
      </c>
      <c r="W3" s="10">
        <v>39.726700000000001</v>
      </c>
    </row>
    <row r="4" spans="1:23" ht="15.75">
      <c r="A4" s="64">
        <f t="shared" ca="1" si="0"/>
        <v>3.0541752647667564E-2</v>
      </c>
      <c r="B4" s="74">
        <v>4.5999999999999996</v>
      </c>
      <c r="C4" s="71">
        <v>32.149900000000002</v>
      </c>
      <c r="D4" s="132">
        <f t="array" ref="D4">MOD(ROW(), 3) + 1</f>
        <v>2</v>
      </c>
      <c r="E4" s="134">
        <v>2</v>
      </c>
      <c r="F4" s="13">
        <f t="array" ref="F4">IFERROR(INDEX($B$1:$B$1109, SMALL(IF($D$1:$D$1109=$E$3,ROW($D$1:$D$1109)),ROW()-2),1),"")</f>
        <v>4.2</v>
      </c>
      <c r="G4" s="13">
        <f t="array" ref="G4">IFERROR(INDEX($C$1:$C$1109, SMALL(IF($D$1:$D$1109=$E$3,ROW($D$1:$D$1109)),ROW()-2),1),"")</f>
        <v>27.471</v>
      </c>
      <c r="H4" s="140">
        <f t="array" ref="H4">IFERROR(INDEX($B$1:$B$1109, SMALL(IF($D$1:$D$1109=$E$4,ROW($D$1:$D$1109)),ROW()-2),1),"")</f>
        <v>5.7</v>
      </c>
      <c r="I4" s="140">
        <f t="array" ref="I4">IFERROR(INDEX($C$1:$C$1109, SMALL(IF($D$1:$D$1109=$E$4,ROW($D$1:$D$1109)),ROW()-2),1),"")</f>
        <v>34.5</v>
      </c>
      <c r="J4" s="10">
        <f t="array" ref="J4">IFERROR(INDEX($B$1:$B$1109, SMALL(IF($D$1:$D$1109=$E$5,ROW($D$1:$D$1109)),ROW()-2),1),"")</f>
        <v>2</v>
      </c>
      <c r="K4" s="10">
        <f t="array" ref="K4">IFERROR(INDEX($C$1:$C$1109, SMALL(IF($D$1:$D$1109=$E$5,ROW($D$1:$D$1109)),ROW()-2),1),"")</f>
        <v>37.1</v>
      </c>
      <c r="L4" s="62"/>
      <c r="R4" s="13">
        <v>4.2</v>
      </c>
      <c r="S4" s="13">
        <v>27.471</v>
      </c>
      <c r="T4" s="140">
        <v>5.7</v>
      </c>
      <c r="U4" s="140">
        <v>34.5</v>
      </c>
      <c r="V4" s="10">
        <v>2</v>
      </c>
      <c r="W4" s="10">
        <v>37.1</v>
      </c>
    </row>
    <row r="5" spans="1:23" ht="15.75">
      <c r="A5" s="64">
        <f t="shared" ca="1" si="0"/>
        <v>0.92161084127078252</v>
      </c>
      <c r="B5" s="74">
        <v>2.5</v>
      </c>
      <c r="C5" s="71">
        <v>39.726700000000001</v>
      </c>
      <c r="D5" s="132">
        <f t="array" ref="D5">MOD(ROW(), 3) + 1</f>
        <v>3</v>
      </c>
      <c r="E5" s="134">
        <v>3</v>
      </c>
      <c r="F5" s="13">
        <f t="array" ref="F5">IFERROR(INDEX($B$1:$B$1109, SMALL(IF($D$1:$D$1109=$E$3,ROW($D$1:$D$1109)),ROW()-2),1),"")</f>
        <v>3.8</v>
      </c>
      <c r="G5" s="13">
        <f t="array" ref="G5">IFERROR(INDEX($C$1:$C$1109, SMALL(IF($D$1:$D$1109=$E$3,ROW($D$1:$D$1109)),ROW()-2),1),"")</f>
        <v>27.372</v>
      </c>
      <c r="H5" s="140">
        <f t="array" ref="H5">IFERROR(INDEX($B$1:$B$1109, SMALL(IF($D$1:$D$1109=$E$4,ROW($D$1:$D$1109)),ROW()-2),1),"")</f>
        <v>4.8</v>
      </c>
      <c r="I5" s="140">
        <f t="array" ref="I5">IFERROR(INDEX($C$1:$C$1109, SMALL(IF($D$1:$D$1109=$E$4,ROW($D$1:$D$1109)),ROW()-2),1),"")</f>
        <v>23.577999999999999</v>
      </c>
      <c r="J5" s="10">
        <f t="array" ref="J5">IFERROR(INDEX($B$1:$B$1109, SMALL(IF($D$1:$D$1109=$E$5,ROW($D$1:$D$1109)),ROW()-2),1),"")</f>
        <v>3.6</v>
      </c>
      <c r="K5" s="10">
        <f t="array" ref="K5">IFERROR(INDEX($C$1:$C$1109, SMALL(IF($D$1:$D$1109=$E$5,ROW($D$1:$D$1109)),ROW()-2),1),"")</f>
        <v>30.9</v>
      </c>
      <c r="L5" s="372" t="s">
        <v>102</v>
      </c>
      <c r="M5" s="372"/>
      <c r="N5" s="372"/>
      <c r="O5" s="372"/>
      <c r="P5" s="372"/>
      <c r="Q5" s="372"/>
      <c r="R5" s="13">
        <v>3.8</v>
      </c>
      <c r="S5" s="13">
        <v>27.372</v>
      </c>
      <c r="T5" s="140">
        <v>4.8</v>
      </c>
      <c r="U5" s="140">
        <v>23.577999999999999</v>
      </c>
      <c r="V5" s="10">
        <v>3.6</v>
      </c>
      <c r="W5" s="10">
        <v>30.9</v>
      </c>
    </row>
    <row r="6" spans="1:23" ht="15.75">
      <c r="A6" s="64">
        <f t="shared" ca="1" si="0"/>
        <v>0.84103695529565603</v>
      </c>
      <c r="B6" s="74">
        <v>4.2</v>
      </c>
      <c r="C6" s="71">
        <v>27.471</v>
      </c>
      <c r="D6" s="132">
        <f t="array" ref="D6">MOD(ROW(), 3) + 1</f>
        <v>1</v>
      </c>
      <c r="E6" s="64"/>
      <c r="F6" s="13">
        <f t="array" ref="F6">IFERROR(INDEX($B$1:$B$1109, SMALL(IF($D$1:$D$1109=$E$3,ROW($D$1:$D$1109)),ROW()-2),1),"")</f>
        <v>3.7</v>
      </c>
      <c r="G6" s="13">
        <f t="array" ref="G6">IFERROR(INDEX($C$1:$C$1109, SMALL(IF($D$1:$D$1109=$E$3,ROW($D$1:$D$1109)),ROW()-2),1),"")</f>
        <v>27.8</v>
      </c>
      <c r="H6" s="140">
        <f t="array" ref="H6">IFERROR(INDEX($B$1:$B$1109, SMALL(IF($D$1:$D$1109=$E$4,ROW($D$1:$D$1109)),ROW()-2),1),"")</f>
        <v>5.3</v>
      </c>
      <c r="I6" s="140">
        <f t="array" ref="I6">IFERROR(INDEX($C$1:$C$1109, SMALL(IF($D$1:$D$1109=$E$4,ROW($D$1:$D$1109)),ROW()-2),1),"")</f>
        <v>29.0185</v>
      </c>
      <c r="J6" s="10">
        <f t="array" ref="J6">IFERROR(INDEX($B$1:$B$1109, SMALL(IF($D$1:$D$1109=$E$5,ROW($D$1:$D$1109)),ROW()-2),1),"")</f>
        <v>2.4</v>
      </c>
      <c r="K6" s="10">
        <f t="array" ref="K6">IFERROR(INDEX($C$1:$C$1109, SMALL(IF($D$1:$D$1109=$E$5,ROW($D$1:$D$1109)),ROW()-2),1),"")</f>
        <v>48.1</v>
      </c>
      <c r="L6" s="372"/>
      <c r="M6" s="372"/>
      <c r="N6" s="372"/>
      <c r="O6" s="372"/>
      <c r="P6" s="372"/>
      <c r="Q6" s="372"/>
      <c r="R6" s="13">
        <v>3.7</v>
      </c>
      <c r="S6" s="13">
        <v>27.8</v>
      </c>
      <c r="T6" s="140">
        <v>5.3</v>
      </c>
      <c r="U6" s="140">
        <v>29.0185</v>
      </c>
      <c r="V6" s="10">
        <v>2.4</v>
      </c>
      <c r="W6" s="10">
        <v>48.1</v>
      </c>
    </row>
    <row r="7" spans="1:23" ht="15.75">
      <c r="A7" s="64">
        <f t="shared" ca="1" si="0"/>
        <v>0.24256597107013234</v>
      </c>
      <c r="B7" s="74">
        <v>5.7</v>
      </c>
      <c r="C7" s="71">
        <v>34.5</v>
      </c>
      <c r="D7" s="132">
        <f t="array" ref="D7">MOD(ROW(), 3) + 1</f>
        <v>2</v>
      </c>
      <c r="E7" s="64"/>
      <c r="F7" s="13">
        <f t="array" ref="F7">IFERROR(INDEX($B$1:$B$1109, SMALL(IF($D$1:$D$1109=$E$3,ROW($D$1:$D$1109)),ROW()-2),1),"")</f>
        <v>2.5</v>
      </c>
      <c r="G7" s="13">
        <f t="array" ref="G7">IFERROR(INDEX($C$1:$C$1109, SMALL(IF($D$1:$D$1109=$E$3,ROW($D$1:$D$1109)),ROW()-2),1),"")</f>
        <v>37.799999999999997</v>
      </c>
      <c r="H7" s="140">
        <f t="array" ref="H7">IFERROR(INDEX($B$1:$B$1109, SMALL(IF($D$1:$D$1109=$E$4,ROW($D$1:$D$1109)),ROW()-2),1),"")</f>
        <v>2.5</v>
      </c>
      <c r="I7" s="140">
        <f t="array" ref="I7">IFERROR(INDEX($C$1:$C$1109, SMALL(IF($D$1:$D$1109=$E$4,ROW($D$1:$D$1109)),ROW()-2),1),"")</f>
        <v>40.887300000000003</v>
      </c>
      <c r="J7" s="10">
        <f t="array" ref="J7">IFERROR(INDEX($B$1:$B$1109, SMALL(IF($D$1:$D$1109=$E$5,ROW($D$1:$D$1109)),ROW()-2),1),"")</f>
        <v>4.8</v>
      </c>
      <c r="K7" s="10">
        <f t="array" ref="K7">IFERROR(INDEX($C$1:$C$1109, SMALL(IF($D$1:$D$1109=$E$5,ROW($D$1:$D$1109)),ROW()-2),1),"")</f>
        <v>30.537500000000001</v>
      </c>
      <c r="L7" s="372"/>
      <c r="M7" s="372"/>
      <c r="N7" s="372"/>
      <c r="O7" s="372"/>
      <c r="P7" s="372"/>
      <c r="Q7" s="372"/>
      <c r="R7" s="13">
        <v>2.5</v>
      </c>
      <c r="S7" s="13">
        <v>37.799999999999997</v>
      </c>
      <c r="T7" s="140">
        <v>2.5</v>
      </c>
      <c r="U7" s="140">
        <v>40.887300000000003</v>
      </c>
      <c r="V7" s="10">
        <v>4.8</v>
      </c>
      <c r="W7" s="10">
        <v>30.537500000000001</v>
      </c>
    </row>
    <row r="8" spans="1:23" ht="15.75">
      <c r="A8" s="64">
        <f t="shared" ca="1" si="0"/>
        <v>0.88762173897310881</v>
      </c>
      <c r="B8" s="74">
        <v>2</v>
      </c>
      <c r="C8" s="71">
        <v>37.1</v>
      </c>
      <c r="D8" s="132">
        <f t="array" ref="D8">MOD(ROW(), 3) + 1</f>
        <v>3</v>
      </c>
      <c r="E8" s="64"/>
      <c r="F8" s="13">
        <f t="array" ref="F8">IFERROR(INDEX($B$1:$B$1109, SMALL(IF($D$1:$D$1109=$E$3,ROW($D$1:$D$1109)),ROW()-2),1),"")</f>
        <v>4.4000000000000004</v>
      </c>
      <c r="G8" s="13">
        <f t="array" ref="G8">IFERROR(INDEX($C$1:$C$1109, SMALL(IF($D$1:$D$1109=$E$3,ROW($D$1:$D$1109)),ROW()-2),1),"")</f>
        <v>30.562000000000001</v>
      </c>
      <c r="H8" s="140">
        <f t="array" ref="H8">IFERROR(INDEX($B$1:$B$1109, SMALL(IF($D$1:$D$1109=$E$4,ROW($D$1:$D$1109)),ROW()-2),1),"")</f>
        <v>5.3</v>
      </c>
      <c r="I8" s="140">
        <f t="array" ref="I8">IFERROR(INDEX($C$1:$C$1109, SMALL(IF($D$1:$D$1109=$E$4,ROW($D$1:$D$1109)),ROW()-2),1),"")</f>
        <v>29</v>
      </c>
      <c r="J8" s="10">
        <f t="array" ref="J8">IFERROR(INDEX($B$1:$B$1109, SMALL(IF($D$1:$D$1109=$E$5,ROW($D$1:$D$1109)),ROW()-2),1),"")</f>
        <v>5</v>
      </c>
      <c r="K8" s="10">
        <f t="array" ref="K8">IFERROR(INDEX($C$1:$C$1109, SMALL(IF($D$1:$D$1109=$E$5,ROW($D$1:$D$1109)),ROW()-2),1),"")</f>
        <v>23.7</v>
      </c>
      <c r="L8" s="372"/>
      <c r="M8" s="372"/>
      <c r="N8" s="372"/>
      <c r="O8" s="372"/>
      <c r="P8" s="372"/>
      <c r="Q8" s="372"/>
      <c r="R8" s="13">
        <v>4.4000000000000004</v>
      </c>
      <c r="S8" s="13">
        <v>30.562000000000001</v>
      </c>
      <c r="T8" s="140">
        <v>5.3</v>
      </c>
      <c r="U8" s="140">
        <v>29</v>
      </c>
      <c r="V8" s="10">
        <v>5</v>
      </c>
      <c r="W8" s="10">
        <v>23.7</v>
      </c>
    </row>
    <row r="9" spans="1:23" ht="15.75">
      <c r="A9" s="64">
        <f t="shared" ca="1" si="0"/>
        <v>0.1020054592865024</v>
      </c>
      <c r="B9" s="74">
        <v>3.8</v>
      </c>
      <c r="C9" s="71">
        <v>27.372</v>
      </c>
      <c r="D9" s="132">
        <f t="array" ref="D9">MOD(ROW(), 3) + 1</f>
        <v>1</v>
      </c>
      <c r="E9" s="64"/>
      <c r="F9" s="13">
        <f t="array" ref="F9">IFERROR(INDEX($B$1:$B$1109, SMALL(IF($D$1:$D$1109=$E$3,ROW($D$1:$D$1109)),ROW()-2),1),"")</f>
        <v>2.4</v>
      </c>
      <c r="G9" s="13">
        <f t="array" ref="G9">IFERROR(INDEX($C$1:$C$1109, SMALL(IF($D$1:$D$1109=$E$3,ROW($D$1:$D$1109)),ROW()-2),1),"")</f>
        <v>38.6</v>
      </c>
      <c r="H9" s="140">
        <f t="array" ref="H9">IFERROR(INDEX($B$1:$B$1109, SMALL(IF($D$1:$D$1109=$E$4,ROW($D$1:$D$1109)),ROW()-2),1),"")</f>
        <v>3.5</v>
      </c>
      <c r="I9" s="140">
        <f t="array" ref="I9">IFERROR(INDEX($C$1:$C$1109, SMALL(IF($D$1:$D$1109=$E$4,ROW($D$1:$D$1109)),ROW()-2),1),"")</f>
        <v>32.1</v>
      </c>
      <c r="J9" s="10">
        <f t="array" ref="J9">IFERROR(INDEX($B$1:$B$1109, SMALL(IF($D$1:$D$1109=$E$5,ROW($D$1:$D$1109)),ROW()-2),1),"")</f>
        <v>4.7</v>
      </c>
      <c r="K9" s="10">
        <f t="array" ref="K9">IFERROR(INDEX($C$1:$C$1109, SMALL(IF($D$1:$D$1109=$E$5,ROW($D$1:$D$1109)),ROW()-2),1),"")</f>
        <v>25.510200000000001</v>
      </c>
      <c r="L9" s="372"/>
      <c r="M9" s="372"/>
      <c r="N9" s="372"/>
      <c r="O9" s="372"/>
      <c r="P9" s="372"/>
      <c r="Q9" s="372"/>
      <c r="R9" s="13">
        <v>2.4</v>
      </c>
      <c r="S9" s="13">
        <v>38.6</v>
      </c>
      <c r="T9" s="140">
        <v>3.5</v>
      </c>
      <c r="U9" s="140">
        <v>32.1</v>
      </c>
      <c r="V9" s="10">
        <v>4.7</v>
      </c>
      <c r="W9" s="10">
        <v>25.510200000000001</v>
      </c>
    </row>
    <row r="10" spans="1:23" ht="15.75">
      <c r="A10" s="64">
        <f t="shared" ca="1" si="0"/>
        <v>2.3356641015966351E-2</v>
      </c>
      <c r="B10" s="74">
        <v>4.8</v>
      </c>
      <c r="C10" s="71">
        <v>23.577999999999999</v>
      </c>
      <c r="D10" s="132">
        <f t="array" ref="D10">MOD(ROW(), 3) + 1</f>
        <v>2</v>
      </c>
      <c r="E10" s="64"/>
      <c r="F10" s="13">
        <f t="array" ref="F10">IFERROR(INDEX($B$1:$B$1109, SMALL(IF($D$1:$D$1109=$E$3,ROW($D$1:$D$1109)),ROW()-2),1),"")</f>
        <v>4.5</v>
      </c>
      <c r="G10" s="13">
        <f t="array" ref="G10">IFERROR(INDEX($C$1:$C$1109, SMALL(IF($D$1:$D$1109=$E$3,ROW($D$1:$D$1109)),ROW()-2),1),"")</f>
        <v>27.2</v>
      </c>
      <c r="H10" s="140">
        <f t="array" ref="H10">IFERROR(INDEX($B$1:$B$1109, SMALL(IF($D$1:$D$1109=$E$4,ROW($D$1:$D$1109)),ROW()-2),1),"")</f>
        <v>2</v>
      </c>
      <c r="I10" s="140">
        <f t="array" ref="I10">IFERROR(INDEX($C$1:$C$1109, SMALL(IF($D$1:$D$1109=$E$4,ROW($D$1:$D$1109)),ROW()-2),1),"")</f>
        <v>40.239699999999999</v>
      </c>
      <c r="J10" s="10">
        <f t="array" ref="J10">IFERROR(INDEX($B$1:$B$1109, SMALL(IF($D$1:$D$1109=$E$5,ROW($D$1:$D$1109)),ROW()-2),1),"")</f>
        <v>2.5</v>
      </c>
      <c r="K10" s="10">
        <f t="array" ref="K10">IFERROR(INDEX($C$1:$C$1109, SMALL(IF($D$1:$D$1109=$E$5,ROW($D$1:$D$1109)),ROW()-2),1),"")</f>
        <v>51.6</v>
      </c>
      <c r="L10" s="372"/>
      <c r="M10" s="372"/>
      <c r="N10" s="372"/>
      <c r="O10" s="372"/>
      <c r="P10" s="372"/>
      <c r="Q10" s="372"/>
      <c r="R10" s="13">
        <v>4.5</v>
      </c>
      <c r="S10" s="13">
        <v>27.2</v>
      </c>
      <c r="T10" s="140">
        <v>2</v>
      </c>
      <c r="U10" s="140">
        <v>40.239699999999999</v>
      </c>
      <c r="V10" s="10">
        <v>2.5</v>
      </c>
      <c r="W10" s="10">
        <v>51.6</v>
      </c>
    </row>
    <row r="11" spans="1:23" ht="15.75">
      <c r="A11" s="64">
        <f t="shared" ca="1" si="0"/>
        <v>0.87756136569857668</v>
      </c>
      <c r="B11" s="74">
        <v>3.6</v>
      </c>
      <c r="C11" s="71">
        <v>30.9</v>
      </c>
      <c r="D11" s="132">
        <f t="array" ref="D11">MOD(ROW(), 3) + 1</f>
        <v>3</v>
      </c>
      <c r="E11" s="64"/>
      <c r="F11" s="13">
        <f t="array" ref="F11">IFERROR(INDEX($B$1:$B$1109, SMALL(IF($D$1:$D$1109=$E$3,ROW($D$1:$D$1109)),ROW()-2),1),"")</f>
        <v>3.6</v>
      </c>
      <c r="G11" s="13">
        <f t="array" ref="G11">IFERROR(INDEX($C$1:$C$1109, SMALL(IF($D$1:$D$1109=$E$3,ROW($D$1:$D$1109)),ROW()-2),1),"")</f>
        <v>37</v>
      </c>
      <c r="H11" s="140">
        <f t="array" ref="H11">IFERROR(INDEX($B$1:$B$1109, SMALL(IF($D$1:$D$1109=$E$4,ROW($D$1:$D$1109)),ROW()-2),1),"")</f>
        <v>5.3</v>
      </c>
      <c r="I11" s="140">
        <f t="array" ref="I11">IFERROR(INDEX($C$1:$C$1109, SMALL(IF($D$1:$D$1109=$E$4,ROW($D$1:$D$1109)),ROW()-2),1),"")</f>
        <v>23.299900000000001</v>
      </c>
      <c r="J11" s="10">
        <f t="array" ref="J11">IFERROR(INDEX($B$1:$B$1109, SMALL(IF($D$1:$D$1109=$E$5,ROW($D$1:$D$1109)),ROW()-2),1),"")</f>
        <v>1.8</v>
      </c>
      <c r="K11" s="10">
        <f t="array" ref="K11">IFERROR(INDEX($C$1:$C$1109, SMALL(IF($D$1:$D$1109=$E$5,ROW($D$1:$D$1109)),ROW()-2),1),"")</f>
        <v>50</v>
      </c>
      <c r="L11" s="372"/>
      <c r="M11" s="372"/>
      <c r="N11" s="372"/>
      <c r="O11" s="372"/>
      <c r="P11" s="372"/>
      <c r="Q11" s="372"/>
      <c r="R11" s="13">
        <v>3.6</v>
      </c>
      <c r="S11" s="13">
        <v>37</v>
      </c>
      <c r="T11" s="140">
        <v>5.3</v>
      </c>
      <c r="U11" s="140">
        <v>23.299900000000001</v>
      </c>
      <c r="V11" s="10">
        <v>1.8</v>
      </c>
      <c r="W11" s="10">
        <v>50</v>
      </c>
    </row>
    <row r="12" spans="1:23" ht="15.75">
      <c r="A12" s="64">
        <f t="shared" ca="1" si="0"/>
        <v>0.78854264009541941</v>
      </c>
      <c r="B12" s="74">
        <v>3.7</v>
      </c>
      <c r="C12" s="71">
        <v>27.8</v>
      </c>
      <c r="D12" s="132">
        <f t="array" ref="D12">MOD(ROW(), 3) + 1</f>
        <v>1</v>
      </c>
      <c r="E12" s="64"/>
      <c r="F12" s="13">
        <f t="array" ref="F12">IFERROR(INDEX($B$1:$B$1109, SMALL(IF($D$1:$D$1109=$E$3,ROW($D$1:$D$1109)),ROW()-2),1),"")</f>
        <v>2.4</v>
      </c>
      <c r="G12" s="13">
        <f t="array" ref="G12">IFERROR(INDEX($C$1:$C$1109, SMALL(IF($D$1:$D$1109=$E$3,ROW($D$1:$D$1109)),ROW()-2),1),"")</f>
        <v>36.262799999999999</v>
      </c>
      <c r="H12" s="140">
        <f t="array" ref="H12">IFERROR(INDEX($B$1:$B$1109, SMALL(IF($D$1:$D$1109=$E$4,ROW($D$1:$D$1109)),ROW()-2),1),"")</f>
        <v>2.9</v>
      </c>
      <c r="I12" s="140">
        <f t="array" ref="I12">IFERROR(INDEX($C$1:$C$1109, SMALL(IF($D$1:$D$1109=$E$4,ROW($D$1:$D$1109)),ROW()-2),1),"")</f>
        <v>35.5</v>
      </c>
      <c r="J12" s="10">
        <f t="array" ref="J12">IFERROR(INDEX($B$1:$B$1109, SMALL(IF($D$1:$D$1109=$E$5,ROW($D$1:$D$1109)),ROW()-2),1),"")</f>
        <v>2.5</v>
      </c>
      <c r="K12" s="10">
        <f t="array" ref="K12">IFERROR(INDEX($C$1:$C$1109, SMALL(IF($D$1:$D$1109=$E$5,ROW($D$1:$D$1109)),ROW()-2),1),"")</f>
        <v>38.6</v>
      </c>
      <c r="L12" s="372"/>
      <c r="M12" s="372"/>
      <c r="N12" s="372"/>
      <c r="O12" s="372"/>
      <c r="P12" s="372"/>
      <c r="Q12" s="372"/>
      <c r="R12" s="13">
        <v>2.4</v>
      </c>
      <c r="S12" s="13">
        <v>36.262799999999999</v>
      </c>
      <c r="T12" s="140">
        <v>2.9</v>
      </c>
      <c r="U12" s="140">
        <v>35.5</v>
      </c>
      <c r="V12" s="10">
        <v>2.5</v>
      </c>
      <c r="W12" s="10">
        <v>38.6</v>
      </c>
    </row>
    <row r="13" spans="1:23" ht="15.75">
      <c r="A13" s="64">
        <f t="shared" ca="1" si="0"/>
        <v>0.22827142839001102</v>
      </c>
      <c r="B13" s="74">
        <v>5.3</v>
      </c>
      <c r="C13" s="71">
        <v>29.0185</v>
      </c>
      <c r="D13" s="132">
        <f t="array" ref="D13">MOD(ROW(), 3) + 1</f>
        <v>2</v>
      </c>
      <c r="E13" s="64"/>
      <c r="F13" s="13">
        <f t="array" ref="F13">IFERROR(INDEX($B$1:$B$1109, SMALL(IF($D$1:$D$1109=$E$3,ROW($D$1:$D$1109)),ROW()-2),1),"")</f>
        <v>3</v>
      </c>
      <c r="G13" s="13">
        <f t="array" ref="G13">IFERROR(INDEX($C$1:$C$1109, SMALL(IF($D$1:$D$1109=$E$3,ROW($D$1:$D$1109)),ROW()-2),1),"")</f>
        <v>35.540399999999998</v>
      </c>
      <c r="H13" s="140">
        <f t="array" ref="H13">IFERROR(INDEX($B$1:$B$1109, SMALL(IF($D$1:$D$1109=$E$4,ROW($D$1:$D$1109)),ROW()-2),1),"")</f>
        <v>2.7</v>
      </c>
      <c r="I13" s="140">
        <f t="array" ref="I13">IFERROR(INDEX($C$1:$C$1109, SMALL(IF($D$1:$D$1109=$E$4,ROW($D$1:$D$1109)),ROW()-2),1),"")</f>
        <v>37.799999999999997</v>
      </c>
      <c r="J13" s="10">
        <f t="array" ref="J13">IFERROR(INDEX($B$1:$B$1109, SMALL(IF($D$1:$D$1109=$E$5,ROW($D$1:$D$1109)),ROW()-2),1),"")</f>
        <v>3.6</v>
      </c>
      <c r="K13" s="10">
        <f t="array" ref="K13">IFERROR(INDEX($C$1:$C$1109, SMALL(IF($D$1:$D$1109=$E$5,ROW($D$1:$D$1109)),ROW()-2),1),"")</f>
        <v>33</v>
      </c>
      <c r="L13" s="372"/>
      <c r="M13" s="372"/>
      <c r="N13" s="372"/>
      <c r="O13" s="372"/>
      <c r="P13" s="372"/>
      <c r="Q13" s="372"/>
      <c r="R13" s="13">
        <v>3</v>
      </c>
      <c r="S13" s="13">
        <v>35.540399999999998</v>
      </c>
      <c r="T13" s="140">
        <v>2.7</v>
      </c>
      <c r="U13" s="140">
        <v>37.799999999999997</v>
      </c>
      <c r="V13" s="10">
        <v>3.6</v>
      </c>
      <c r="W13" s="10">
        <v>33</v>
      </c>
    </row>
    <row r="14" spans="1:23" ht="15.75">
      <c r="A14" s="64">
        <f t="shared" ca="1" si="0"/>
        <v>0.40017894724007397</v>
      </c>
      <c r="B14" s="74">
        <v>2.4</v>
      </c>
      <c r="C14" s="71">
        <v>48.1</v>
      </c>
      <c r="D14" s="132">
        <f t="array" ref="D14">MOD(ROW(), 3) + 1</f>
        <v>3</v>
      </c>
      <c r="E14" s="64"/>
      <c r="F14" s="13">
        <f t="array" ref="F14">IFERROR(INDEX($B$1:$B$1109, SMALL(IF($D$1:$D$1109=$E$3,ROW($D$1:$D$1109)),ROW()-2),1),"")</f>
        <v>4.7</v>
      </c>
      <c r="G14" s="13">
        <f t="array" ref="G14">IFERROR(INDEX($C$1:$C$1109, SMALL(IF($D$1:$D$1109=$E$3,ROW($D$1:$D$1109)),ROW()-2),1),"")</f>
        <v>25.6</v>
      </c>
      <c r="H14" s="140">
        <f t="array" ref="H14">IFERROR(INDEX($B$1:$B$1109, SMALL(IF($D$1:$D$1109=$E$4,ROW($D$1:$D$1109)),ROW()-2),1),"")</f>
        <v>2.4</v>
      </c>
      <c r="I14" s="140">
        <f t="array" ref="I14">IFERROR(INDEX($C$1:$C$1109, SMALL(IF($D$1:$D$1109=$E$4,ROW($D$1:$D$1109)),ROW()-2),1),"")</f>
        <v>40</v>
      </c>
      <c r="J14" s="10">
        <f t="array" ref="J14">IFERROR(INDEX($B$1:$B$1109, SMALL(IF($D$1:$D$1109=$E$5,ROW($D$1:$D$1109)),ROW()-2),1),"")</f>
        <v>4</v>
      </c>
      <c r="K14" s="10">
        <f t="array" ref="K14">IFERROR(INDEX($C$1:$C$1109, SMALL(IF($D$1:$D$1109=$E$5,ROW($D$1:$D$1109)),ROW()-2),1),"")</f>
        <v>25.7499</v>
      </c>
      <c r="L14" s="372"/>
      <c r="M14" s="372"/>
      <c r="N14" s="372"/>
      <c r="O14" s="372"/>
      <c r="P14" s="372"/>
      <c r="Q14" s="372"/>
      <c r="R14" s="13">
        <v>4.7</v>
      </c>
      <c r="S14" s="13">
        <v>25.6</v>
      </c>
      <c r="T14" s="140">
        <v>2.4</v>
      </c>
      <c r="U14" s="140">
        <v>40</v>
      </c>
      <c r="V14" s="10">
        <v>4</v>
      </c>
      <c r="W14" s="10">
        <v>25.7499</v>
      </c>
    </row>
    <row r="15" spans="1:23" ht="15.75">
      <c r="A15" s="64">
        <f t="shared" ca="1" si="0"/>
        <v>4.3769825863766432E-2</v>
      </c>
      <c r="B15" s="74">
        <v>2.5</v>
      </c>
      <c r="C15" s="71">
        <v>37.799999999999997</v>
      </c>
      <c r="D15" s="132">
        <f t="array" ref="D15">MOD(ROW(), 3) + 1</f>
        <v>1</v>
      </c>
      <c r="E15" s="64"/>
      <c r="F15" s="13">
        <f t="array" ref="F15">IFERROR(INDEX($B$1:$B$1109, SMALL(IF($D$1:$D$1109=$E$3,ROW($D$1:$D$1109)),ROW()-2),1),"")</f>
        <v>1.5</v>
      </c>
      <c r="G15" s="13">
        <f t="array" ref="G15">IFERROR(INDEX($C$1:$C$1109, SMALL(IF($D$1:$D$1109=$E$3,ROW($D$1:$D$1109)),ROW()-2),1),"")</f>
        <v>50.672499999999999</v>
      </c>
      <c r="H15" s="140">
        <f t="array" ref="H15">IFERROR(INDEX($B$1:$B$1109, SMALL(IF($D$1:$D$1109=$E$4,ROW($D$1:$D$1109)),ROW()-2),1),"")</f>
        <v>4.4000000000000004</v>
      </c>
      <c r="I15" s="140">
        <f t="array" ref="I15">IFERROR(INDEX($C$1:$C$1109, SMALL(IF($D$1:$D$1109=$E$4,ROW($D$1:$D$1109)),ROW()-2),1),"")</f>
        <v>29.452100000000002</v>
      </c>
      <c r="J15" s="10">
        <f t="array" ref="J15">IFERROR(INDEX($B$1:$B$1109, SMALL(IF($D$1:$D$1109=$E$5,ROW($D$1:$D$1109)),ROW()-2),1),"")</f>
        <v>2</v>
      </c>
      <c r="K15" s="10">
        <f t="array" ref="K15">IFERROR(INDEX($C$1:$C$1109, SMALL(IF($D$1:$D$1109=$E$5,ROW($D$1:$D$1109)),ROW()-2),1),"")</f>
        <v>60.1</v>
      </c>
      <c r="L15" s="372"/>
      <c r="M15" s="372"/>
      <c r="N15" s="372"/>
      <c r="O15" s="372"/>
      <c r="P15" s="372"/>
      <c r="Q15" s="372"/>
      <c r="R15" s="13">
        <v>1.5</v>
      </c>
      <c r="S15" s="13">
        <v>50.672499999999999</v>
      </c>
      <c r="T15" s="140">
        <v>4.4000000000000004</v>
      </c>
      <c r="U15" s="140">
        <v>29.452100000000002</v>
      </c>
      <c r="V15" s="10">
        <v>2</v>
      </c>
      <c r="W15" s="10">
        <v>60.1</v>
      </c>
    </row>
    <row r="16" spans="1:23" ht="15.75">
      <c r="A16" s="64">
        <f t="shared" ca="1" si="0"/>
        <v>0.35638479289022795</v>
      </c>
      <c r="B16" s="74">
        <v>2.5</v>
      </c>
      <c r="C16" s="71">
        <v>40.887300000000003</v>
      </c>
      <c r="D16" s="132">
        <f t="array" ref="D16">MOD(ROW(), 3) + 1</f>
        <v>2</v>
      </c>
      <c r="E16" s="64"/>
      <c r="F16" s="13">
        <f t="array" ref="F16">IFERROR(INDEX($B$1:$B$1109, SMALL(IF($D$1:$D$1109=$E$3,ROW($D$1:$D$1109)),ROW()-2),1),"")</f>
        <v>4.8</v>
      </c>
      <c r="G16" s="13">
        <f t="array" ref="G16">IFERROR(INDEX($C$1:$C$1109, SMALL(IF($D$1:$D$1109=$E$3,ROW($D$1:$D$1109)),ROW()-2),1),"")</f>
        <v>30.537500000000001</v>
      </c>
      <c r="H16" s="140">
        <f t="array" ref="H16">IFERROR(INDEX($B$1:$B$1109, SMALL(IF($D$1:$D$1109=$E$4,ROW($D$1:$D$1109)),ROW()-2),1),"")</f>
        <v>2.4</v>
      </c>
      <c r="I16" s="140">
        <f t="array" ref="I16">IFERROR(INDEX($C$1:$C$1109, SMALL(IF($D$1:$D$1109=$E$4,ROW($D$1:$D$1109)),ROW()-2),1),"")</f>
        <v>46.8</v>
      </c>
      <c r="J16" s="10">
        <f t="array" ref="J16">IFERROR(INDEX($B$1:$B$1109, SMALL(IF($D$1:$D$1109=$E$5,ROW($D$1:$D$1109)),ROW()-2),1),"")</f>
        <v>2.4</v>
      </c>
      <c r="K16" s="10">
        <f t="array" ref="K16">IFERROR(INDEX($C$1:$C$1109, SMALL(IF($D$1:$D$1109=$E$5,ROW($D$1:$D$1109)),ROW()-2),1),"")</f>
        <v>41.5</v>
      </c>
      <c r="L16" s="372"/>
      <c r="M16" s="372"/>
      <c r="N16" s="372"/>
      <c r="O16" s="372"/>
      <c r="P16" s="372"/>
      <c r="Q16" s="372"/>
      <c r="R16" s="13">
        <v>4.8</v>
      </c>
      <c r="S16" s="13">
        <v>30.537500000000001</v>
      </c>
      <c r="T16" s="140">
        <v>2.4</v>
      </c>
      <c r="U16" s="140">
        <v>46.8</v>
      </c>
      <c r="V16" s="10">
        <v>2.4</v>
      </c>
      <c r="W16" s="10">
        <v>41.5</v>
      </c>
    </row>
    <row r="17" spans="1:23" ht="15.75">
      <c r="A17" s="64">
        <f t="shared" ca="1" si="0"/>
        <v>0.97302707632818253</v>
      </c>
      <c r="B17" s="74">
        <v>4.8</v>
      </c>
      <c r="C17" s="71">
        <v>30.537500000000001</v>
      </c>
      <c r="D17" s="132">
        <f t="array" ref="D17">MOD(ROW(), 3) + 1</f>
        <v>3</v>
      </c>
      <c r="E17" s="64"/>
      <c r="F17" s="13">
        <f t="array" ref="F17">IFERROR(INDEX($B$1:$B$1109, SMALL(IF($D$1:$D$1109=$E$3,ROW($D$1:$D$1109)),ROW()-2),1),"")</f>
        <v>2.4</v>
      </c>
      <c r="G17" s="13">
        <f t="array" ref="G17">IFERROR(INDEX($C$1:$C$1109, SMALL(IF($D$1:$D$1109=$E$3,ROW($D$1:$D$1109)),ROW()-2),1),"")</f>
        <v>37.976399999999998</v>
      </c>
      <c r="H17" s="140">
        <f t="array" ref="H17">IFERROR(INDEX($B$1:$B$1109, SMALL(IF($D$1:$D$1109=$E$4,ROW($D$1:$D$1109)),ROW()-2),1),"")</f>
        <v>3</v>
      </c>
      <c r="I17" s="140">
        <f t="array" ref="I17">IFERROR(INDEX($C$1:$C$1109, SMALL(IF($D$1:$D$1109=$E$4,ROW($D$1:$D$1109)),ROW()-2),1),"")</f>
        <v>34.799999999999997</v>
      </c>
      <c r="J17" s="10">
        <f t="array" ref="J17">IFERROR(INDEX($B$1:$B$1109, SMALL(IF($D$1:$D$1109=$E$5,ROW($D$1:$D$1109)),ROW()-2),1),"")</f>
        <v>5.5</v>
      </c>
      <c r="K17" s="10">
        <f t="array" ref="K17">IFERROR(INDEX($C$1:$C$1109, SMALL(IF($D$1:$D$1109=$E$5,ROW($D$1:$D$1109)),ROW()-2),1),"")</f>
        <v>29.8</v>
      </c>
      <c r="L17" s="372"/>
      <c r="M17" s="372"/>
      <c r="N17" s="372"/>
      <c r="O17" s="372"/>
      <c r="P17" s="372"/>
      <c r="Q17" s="372"/>
      <c r="R17" s="13">
        <v>2.4</v>
      </c>
      <c r="S17" s="13">
        <v>37.976399999999998</v>
      </c>
      <c r="T17" s="140">
        <v>3</v>
      </c>
      <c r="U17" s="140">
        <v>34.799999999999997</v>
      </c>
      <c r="V17" s="10">
        <v>5.5</v>
      </c>
      <c r="W17" s="10">
        <v>29.8</v>
      </c>
    </row>
    <row r="18" spans="1:23" ht="15.75">
      <c r="A18" s="64">
        <f t="shared" ca="1" si="0"/>
        <v>0.26428206489380779</v>
      </c>
      <c r="B18" s="74">
        <v>4.4000000000000004</v>
      </c>
      <c r="C18" s="71">
        <v>30.562000000000001</v>
      </c>
      <c r="D18" s="132">
        <f t="array" ref="D18">MOD(ROW(), 3) + 1</f>
        <v>1</v>
      </c>
      <c r="E18" s="64"/>
      <c r="F18" s="13">
        <f t="array" ref="F18">IFERROR(INDEX($B$1:$B$1109, SMALL(IF($D$1:$D$1109=$E$3,ROW($D$1:$D$1109)),ROW()-2),1),"")</f>
        <v>5.3</v>
      </c>
      <c r="G18" s="13">
        <f t="array" ref="G18">IFERROR(INDEX($C$1:$C$1109, SMALL(IF($D$1:$D$1109=$E$3,ROW($D$1:$D$1109)),ROW()-2),1),"")</f>
        <v>26.6</v>
      </c>
      <c r="H18" s="140">
        <f t="array" ref="H18">IFERROR(INDEX($B$1:$B$1109, SMALL(IF($D$1:$D$1109=$E$4,ROW($D$1:$D$1109)),ROW()-2),1),"")</f>
        <v>2.5</v>
      </c>
      <c r="I18" s="140">
        <f t="array" ref="I18">IFERROR(INDEX($C$1:$C$1109, SMALL(IF($D$1:$D$1109=$E$4,ROW($D$1:$D$1109)),ROW()-2),1),"")</f>
        <v>37.6</v>
      </c>
      <c r="J18" s="10">
        <f t="array" ref="J18">IFERROR(INDEX($B$1:$B$1109, SMALL(IF($D$1:$D$1109=$E$5,ROW($D$1:$D$1109)),ROW()-2),1),"")</f>
        <v>3.7</v>
      </c>
      <c r="K18" s="10">
        <f t="array" ref="K18">IFERROR(INDEX($C$1:$C$1109, SMALL(IF($D$1:$D$1109=$E$5,ROW($D$1:$D$1109)),ROW()-2),1),"")</f>
        <v>34.730499999999999</v>
      </c>
      <c r="L18" s="372"/>
      <c r="M18" s="372"/>
      <c r="N18" s="372"/>
      <c r="O18" s="372"/>
      <c r="P18" s="372"/>
      <c r="Q18" s="372"/>
      <c r="R18" s="13">
        <v>5.3</v>
      </c>
      <c r="S18" s="13">
        <v>26.6</v>
      </c>
      <c r="T18" s="140">
        <v>2.5</v>
      </c>
      <c r="U18" s="140">
        <v>37.6</v>
      </c>
      <c r="V18" s="10">
        <v>3.7</v>
      </c>
      <c r="W18" s="10">
        <v>34.730499999999999</v>
      </c>
    </row>
    <row r="19" spans="1:23" ht="15.75">
      <c r="A19" s="64">
        <f t="shared" ca="1" si="0"/>
        <v>0.24924798831851691</v>
      </c>
      <c r="B19" s="74">
        <v>5.3</v>
      </c>
      <c r="C19" s="71">
        <v>29</v>
      </c>
      <c r="D19" s="132">
        <f t="array" ref="D19">MOD(ROW(), 3) + 1</f>
        <v>2</v>
      </c>
      <c r="E19" s="64"/>
      <c r="F19" s="13">
        <f t="array" ref="F19">IFERROR(INDEX($B$1:$B$1109, SMALL(IF($D$1:$D$1109=$E$3,ROW($D$1:$D$1109)),ROW()-2),1),"")</f>
        <v>2</v>
      </c>
      <c r="G19" s="13">
        <f t="array" ref="G19">IFERROR(INDEX($C$1:$C$1109, SMALL(IF($D$1:$D$1109=$E$3,ROW($D$1:$D$1109)),ROW()-2),1),"")</f>
        <v>47.7</v>
      </c>
      <c r="H19" s="140">
        <f t="array" ref="H19">IFERROR(INDEX($B$1:$B$1109, SMALL(IF($D$1:$D$1109=$E$4,ROW($D$1:$D$1109)),ROW()-2),1),"")</f>
        <v>3.5</v>
      </c>
      <c r="I19" s="140">
        <f t="array" ref="I19">IFERROR(INDEX($C$1:$C$1109, SMALL(IF($D$1:$D$1109=$E$4,ROW($D$1:$D$1109)),ROW()-2),1),"")</f>
        <v>36</v>
      </c>
      <c r="J19" s="10">
        <f t="array" ref="J19">IFERROR(INDEX($B$1:$B$1109, SMALL(IF($D$1:$D$1109=$E$5,ROW($D$1:$D$1109)),ROW()-2),1),"")</f>
        <v>4.4000000000000004</v>
      </c>
      <c r="K19" s="10">
        <f t="array" ref="K19">IFERROR(INDEX($C$1:$C$1109, SMALL(IF($D$1:$D$1109=$E$5,ROW($D$1:$D$1109)),ROW()-2),1),"")</f>
        <v>27.7</v>
      </c>
      <c r="L19" s="372"/>
      <c r="M19" s="372"/>
      <c r="N19" s="372"/>
      <c r="O19" s="372"/>
      <c r="P19" s="372"/>
      <c r="Q19" s="372"/>
      <c r="R19" s="13">
        <v>2</v>
      </c>
      <c r="S19" s="13">
        <v>47.7</v>
      </c>
      <c r="T19" s="140">
        <v>3.5</v>
      </c>
      <c r="U19" s="140">
        <v>36</v>
      </c>
      <c r="V19" s="10">
        <v>4.4000000000000004</v>
      </c>
      <c r="W19" s="10">
        <v>27.7</v>
      </c>
    </row>
    <row r="20" spans="1:23" ht="15.75">
      <c r="A20" s="64">
        <f t="shared" ca="1" si="0"/>
        <v>0.13078031804925783</v>
      </c>
      <c r="B20" s="74">
        <v>5</v>
      </c>
      <c r="C20" s="71">
        <v>23.7</v>
      </c>
      <c r="D20" s="132">
        <f t="array" ref="D20">MOD(ROW(), 3) + 1</f>
        <v>3</v>
      </c>
      <c r="E20" s="64"/>
      <c r="F20" s="13">
        <f t="array" ref="F20">IFERROR(INDEX($B$1:$B$1109, SMALL(IF($D$1:$D$1109=$E$3,ROW($D$1:$D$1109)),ROW()-2),1),"")</f>
        <v>4</v>
      </c>
      <c r="G20" s="13">
        <f t="array" ref="G20">IFERROR(INDEX($C$1:$C$1109, SMALL(IF($D$1:$D$1109=$E$3,ROW($D$1:$D$1109)),ROW()-2),1),"")</f>
        <v>24.4</v>
      </c>
      <c r="H20" s="140">
        <f t="array" ref="H20">IFERROR(INDEX($B$1:$B$1109, SMALL(IF($D$1:$D$1109=$E$4,ROW($D$1:$D$1109)),ROW()-2),1),"")</f>
        <v>2</v>
      </c>
      <c r="I20" s="140">
        <f t="array" ref="I20">IFERROR(INDEX($C$1:$C$1109, SMALL(IF($D$1:$D$1109=$E$4,ROW($D$1:$D$1109)),ROW()-2),1),"")</f>
        <v>37.798900000000003</v>
      </c>
      <c r="J20" s="10">
        <f t="array" ref="J20">IFERROR(INDEX($B$1:$B$1109, SMALL(IF($D$1:$D$1109=$E$5,ROW($D$1:$D$1109)),ROW()-2),1),"")</f>
        <v>2.5</v>
      </c>
      <c r="K20" s="10">
        <f t="array" ref="K20">IFERROR(INDEX($C$1:$C$1109, SMALL(IF($D$1:$D$1109=$E$5,ROW($D$1:$D$1109)),ROW()-2),1),"")</f>
        <v>39.375300000000003</v>
      </c>
      <c r="L20" s="62"/>
      <c r="R20" s="13">
        <v>4</v>
      </c>
      <c r="S20" s="13">
        <v>24.4</v>
      </c>
      <c r="T20" s="140">
        <v>2</v>
      </c>
      <c r="U20" s="140">
        <v>37.798900000000003</v>
      </c>
      <c r="V20" s="10">
        <v>2.5</v>
      </c>
      <c r="W20" s="10">
        <v>39.375300000000003</v>
      </c>
    </row>
    <row r="21" spans="1:23" ht="15.75">
      <c r="A21" s="64">
        <f t="shared" ca="1" si="0"/>
        <v>0.77280966592087197</v>
      </c>
      <c r="B21" s="74">
        <v>2.4</v>
      </c>
      <c r="C21" s="71">
        <v>38.6</v>
      </c>
      <c r="D21" s="132">
        <f t="array" ref="D21">MOD(ROW(), 3) + 1</f>
        <v>1</v>
      </c>
      <c r="E21" s="64"/>
      <c r="F21" s="13">
        <f t="array" ref="F21">IFERROR(INDEX($B$1:$B$1109, SMALL(IF($D$1:$D$1109=$E$3,ROW($D$1:$D$1109)),ROW()-2),1),"")</f>
        <v>4.3</v>
      </c>
      <c r="G21" s="13">
        <f t="array" ref="G21">IFERROR(INDEX($C$1:$C$1109, SMALL(IF($D$1:$D$1109=$E$3,ROW($D$1:$D$1109)),ROW()-2),1),"")</f>
        <v>31.6</v>
      </c>
      <c r="H21" s="140">
        <f t="array" ref="H21">IFERROR(INDEX($B$1:$B$1109, SMALL(IF($D$1:$D$1109=$E$4,ROW($D$1:$D$1109)),ROW()-2),1),"")</f>
        <v>1.6</v>
      </c>
      <c r="I21" s="140">
        <f t="array" ref="I21">IFERROR(INDEX($C$1:$C$1109, SMALL(IF($D$1:$D$1109=$E$4,ROW($D$1:$D$1109)),ROW()-2),1),"")</f>
        <v>47.3</v>
      </c>
      <c r="J21" s="10">
        <f t="array" ref="J21">IFERROR(INDEX($B$1:$B$1109, SMALL(IF($D$1:$D$1109=$E$5,ROW($D$1:$D$1109)),ROW()-2),1),"")</f>
        <v>2.5</v>
      </c>
      <c r="K21" s="10">
        <f t="array" ref="K21">IFERROR(INDEX($C$1:$C$1109, SMALL(IF($D$1:$D$1109=$E$5,ROW($D$1:$D$1109)),ROW()-2),1),"")</f>
        <v>36.030700000000003</v>
      </c>
      <c r="L21" s="373" t="s">
        <v>115</v>
      </c>
      <c r="M21" s="373"/>
      <c r="N21" s="373"/>
      <c r="O21" s="373"/>
      <c r="P21" s="373"/>
      <c r="Q21" s="373"/>
      <c r="R21" s="13">
        <v>4.3</v>
      </c>
      <c r="S21" s="13">
        <v>31.6</v>
      </c>
      <c r="T21" s="140">
        <v>1.6</v>
      </c>
      <c r="U21" s="140">
        <v>47.3</v>
      </c>
      <c r="V21" s="10">
        <v>2.5</v>
      </c>
      <c r="W21" s="10">
        <v>36.030700000000003</v>
      </c>
    </row>
    <row r="22" spans="1:23" ht="15.75">
      <c r="A22" s="64">
        <f t="shared" ca="1" si="0"/>
        <v>9.7625156106788347E-2</v>
      </c>
      <c r="B22" s="74">
        <v>3.5</v>
      </c>
      <c r="C22" s="71">
        <v>32.1</v>
      </c>
      <c r="D22" s="132">
        <f t="array" ref="D22">MOD(ROW(), 3) + 1</f>
        <v>2</v>
      </c>
      <c r="E22" s="64"/>
      <c r="F22" s="13">
        <f t="array" ref="F22">IFERROR(INDEX($B$1:$B$1109, SMALL(IF($D$1:$D$1109=$E$3,ROW($D$1:$D$1109)),ROW()-2),1),"")</f>
        <v>2.5</v>
      </c>
      <c r="G22" s="13">
        <f t="array" ref="G22">IFERROR(INDEX($C$1:$C$1109, SMALL(IF($D$1:$D$1109=$E$3,ROW($D$1:$D$1109)),ROW()-2),1),"")</f>
        <v>37.5</v>
      </c>
      <c r="H22" s="140">
        <f t="array" ref="H22">IFERROR(INDEX($B$1:$B$1109, SMALL(IF($D$1:$D$1109=$E$4,ROW($D$1:$D$1109)),ROW()-2),1),"")</f>
        <v>3.6</v>
      </c>
      <c r="I22" s="140">
        <f t="array" ref="I22">IFERROR(INDEX($C$1:$C$1109, SMALL(IF($D$1:$D$1109=$E$4,ROW($D$1:$D$1109)),ROW()-2),1),"")</f>
        <v>31</v>
      </c>
      <c r="J22" s="10">
        <f t="array" ref="J22">IFERROR(INDEX($B$1:$B$1109, SMALL(IF($D$1:$D$1109=$E$5,ROW($D$1:$D$1109)),ROW()-2),1),"")</f>
        <v>2</v>
      </c>
      <c r="K22" s="10">
        <f t="array" ref="K22">IFERROR(INDEX($C$1:$C$1109, SMALL(IF($D$1:$D$1109=$E$5,ROW($D$1:$D$1109)),ROW()-2),1),"")</f>
        <v>38.200000000000003</v>
      </c>
      <c r="L22" s="373"/>
      <c r="M22" s="373"/>
      <c r="N22" s="373"/>
      <c r="O22" s="373"/>
      <c r="P22" s="373"/>
      <c r="Q22" s="373"/>
      <c r="R22" s="13">
        <v>2.5</v>
      </c>
      <c r="S22" s="13">
        <v>37.5</v>
      </c>
      <c r="T22" s="140">
        <v>3.6</v>
      </c>
      <c r="U22" s="140">
        <v>31</v>
      </c>
      <c r="V22" s="10">
        <v>2</v>
      </c>
      <c r="W22" s="10">
        <v>38.200000000000003</v>
      </c>
    </row>
    <row r="23" spans="1:23" ht="15.75">
      <c r="A23" s="64">
        <f t="shared" ca="1" si="0"/>
        <v>0.64982017354317434</v>
      </c>
      <c r="B23" s="74">
        <v>4.7</v>
      </c>
      <c r="C23" s="71">
        <v>25.510200000000001</v>
      </c>
      <c r="D23" s="132">
        <f t="array" ref="D23">MOD(ROW(), 3) + 1</f>
        <v>3</v>
      </c>
      <c r="E23" s="64"/>
      <c r="F23" s="13">
        <f t="array" ref="F23">IFERROR(INDEX($B$1:$B$1109, SMALL(IF($D$1:$D$1109=$E$3,ROW($D$1:$D$1109)),ROW()-2),1),"")</f>
        <v>1.6</v>
      </c>
      <c r="G23" s="13">
        <f t="array" ref="G23">IFERROR(INDEX($C$1:$C$1109, SMALL(IF($D$1:$D$1109=$E$3,ROW($D$1:$D$1109)),ROW()-2),1),"")</f>
        <v>44.571399999999997</v>
      </c>
      <c r="H23" s="140">
        <f t="array" ref="H23">IFERROR(INDEX($B$1:$B$1109, SMALL(IF($D$1:$D$1109=$E$4,ROW($D$1:$D$1109)),ROW()-2),1),"")</f>
        <v>8.4</v>
      </c>
      <c r="I23" s="140">
        <f t="array" ref="I23">IFERROR(INDEX($C$1:$C$1109, SMALL(IF($D$1:$D$1109=$E$4,ROW($D$1:$D$1109)),ROW()-2),1),"")</f>
        <v>30</v>
      </c>
      <c r="J23" s="10">
        <f t="array" ref="J23">IFERROR(INDEX($B$1:$B$1109, SMALL(IF($D$1:$D$1109=$E$5,ROW($D$1:$D$1109)),ROW()-2),1),"")</f>
        <v>2.5</v>
      </c>
      <c r="K23" s="10">
        <f t="array" ref="K23">IFERROR(INDEX($C$1:$C$1109, SMALL(IF($D$1:$D$1109=$E$5,ROW($D$1:$D$1109)),ROW()-2),1),"")</f>
        <v>39.571399999999997</v>
      </c>
      <c r="L23" s="373"/>
      <c r="M23" s="373"/>
      <c r="N23" s="373"/>
      <c r="O23" s="373"/>
      <c r="P23" s="373"/>
      <c r="Q23" s="373"/>
      <c r="R23" s="13">
        <v>1.6</v>
      </c>
      <c r="S23" s="13">
        <v>44.571399999999997</v>
      </c>
      <c r="T23" s="140">
        <v>8.4</v>
      </c>
      <c r="U23" s="140">
        <v>30</v>
      </c>
      <c r="V23" s="10">
        <v>2.5</v>
      </c>
      <c r="W23" s="10">
        <v>39.571399999999997</v>
      </c>
    </row>
    <row r="24" spans="1:23" ht="15.75">
      <c r="A24" s="64">
        <f t="shared" ca="1" si="0"/>
        <v>9.2938507994415498E-2</v>
      </c>
      <c r="B24" s="74">
        <v>4.5</v>
      </c>
      <c r="C24" s="71">
        <v>27.2</v>
      </c>
      <c r="D24" s="132">
        <f t="array" ref="D24">MOD(ROW(), 3) + 1</f>
        <v>1</v>
      </c>
      <c r="E24" s="64"/>
      <c r="F24" s="13">
        <f t="array" ref="F24">IFERROR(INDEX($B$1:$B$1109, SMALL(IF($D$1:$D$1109=$E$3,ROW($D$1:$D$1109)),ROW()-2),1),"")</f>
        <v>2.4</v>
      </c>
      <c r="G24" s="13">
        <f t="array" ref="G24">IFERROR(INDEX($C$1:$C$1109, SMALL(IF($D$1:$D$1109=$E$3,ROW($D$1:$D$1109)),ROW()-2),1),"")</f>
        <v>33.6</v>
      </c>
      <c r="H24" s="140">
        <f t="array" ref="H24">IFERROR(INDEX($B$1:$B$1109, SMALL(IF($D$1:$D$1109=$E$4,ROW($D$1:$D$1109)),ROW()-2),1),"")</f>
        <v>3.6</v>
      </c>
      <c r="I24" s="140">
        <f t="array" ref="I24">IFERROR(INDEX($C$1:$C$1109, SMALL(IF($D$1:$D$1109=$E$4,ROW($D$1:$D$1109)),ROW()-2),1),"")</f>
        <v>36.439500000000002</v>
      </c>
      <c r="J24" s="10">
        <f t="array" ref="J24">IFERROR(INDEX($B$1:$B$1109, SMALL(IF($D$1:$D$1109=$E$5,ROW($D$1:$D$1109)),ROW()-2),1),"")</f>
        <v>3.9</v>
      </c>
      <c r="K24" s="10">
        <f t="array" ref="K24">IFERROR(INDEX($C$1:$C$1109, SMALL(IF($D$1:$D$1109=$E$5,ROW($D$1:$D$1109)),ROW()-2),1),"")</f>
        <v>37.299999999999997</v>
      </c>
      <c r="L24" s="373"/>
      <c r="M24" s="373"/>
      <c r="N24" s="373"/>
      <c r="O24" s="373"/>
      <c r="P24" s="373"/>
      <c r="Q24" s="373"/>
      <c r="R24" s="13">
        <v>2.4</v>
      </c>
      <c r="S24" s="13">
        <v>33.6</v>
      </c>
      <c r="T24" s="140">
        <v>3.6</v>
      </c>
      <c r="U24" s="140">
        <v>36.439500000000002</v>
      </c>
      <c r="V24" s="10">
        <v>3.9</v>
      </c>
      <c r="W24" s="10">
        <v>37.299999999999997</v>
      </c>
    </row>
    <row r="25" spans="1:23" ht="15.75">
      <c r="A25" s="64">
        <f t="shared" ca="1" si="0"/>
        <v>0.14036978575318004</v>
      </c>
      <c r="B25" s="74">
        <v>2</v>
      </c>
      <c r="C25" s="71">
        <v>40.239699999999999</v>
      </c>
      <c r="D25" s="132">
        <f t="array" ref="D25">MOD(ROW(), 3) + 1</f>
        <v>2</v>
      </c>
      <c r="E25" s="64"/>
      <c r="F25" s="13">
        <f t="array" ref="F25">IFERROR(INDEX($B$1:$B$1109, SMALL(IF($D$1:$D$1109=$E$3,ROW($D$1:$D$1109)),ROW()-2),1),"")</f>
        <v>3</v>
      </c>
      <c r="G25" s="13">
        <f t="array" ref="G25">IFERROR(INDEX($C$1:$C$1109, SMALL(IF($D$1:$D$1109=$E$3,ROW($D$1:$D$1109)),ROW()-2),1),"")</f>
        <v>39.710299999999997</v>
      </c>
      <c r="H25" s="140">
        <f t="array" ref="H25">IFERROR(INDEX($B$1:$B$1109, SMALL(IF($D$1:$D$1109=$E$4,ROW($D$1:$D$1109)),ROW()-2),1),"")</f>
        <v>3.8</v>
      </c>
      <c r="I25" s="140">
        <f t="array" ref="I25">IFERROR(INDEX($C$1:$C$1109, SMALL(IF($D$1:$D$1109=$E$4,ROW($D$1:$D$1109)),ROW()-2),1),"")</f>
        <v>33.164900000000003</v>
      </c>
      <c r="J25" s="10">
        <f t="array" ref="J25">IFERROR(INDEX($B$1:$B$1109, SMALL(IF($D$1:$D$1109=$E$5,ROW($D$1:$D$1109)),ROW()-2),1),"")</f>
        <v>3.5</v>
      </c>
      <c r="K25" s="10">
        <f t="array" ref="K25">IFERROR(INDEX($C$1:$C$1109, SMALL(IF($D$1:$D$1109=$E$5,ROW($D$1:$D$1109)),ROW()-2),1),"")</f>
        <v>32.200000000000003</v>
      </c>
      <c r="L25" s="374"/>
      <c r="M25" s="374"/>
      <c r="N25" s="374"/>
      <c r="O25" s="374"/>
      <c r="P25" s="374"/>
      <c r="Q25" s="374"/>
      <c r="R25" s="13">
        <v>3</v>
      </c>
      <c r="S25" s="13">
        <v>39.710299999999997</v>
      </c>
      <c r="T25" s="140">
        <v>3.8</v>
      </c>
      <c r="U25" s="140">
        <v>33.164900000000003</v>
      </c>
      <c r="V25" s="10">
        <v>3.5</v>
      </c>
      <c r="W25" s="10">
        <v>32.200000000000003</v>
      </c>
    </row>
    <row r="26" spans="1:23" ht="15.75">
      <c r="A26" s="64">
        <f t="shared" ca="1" si="0"/>
        <v>0.8488423275509156</v>
      </c>
      <c r="B26" s="74">
        <v>2.5</v>
      </c>
      <c r="C26" s="71">
        <v>51.6</v>
      </c>
      <c r="D26" s="132">
        <f t="array" ref="D26">MOD(ROW(), 3) + 1</f>
        <v>3</v>
      </c>
      <c r="E26" s="64"/>
      <c r="F26" s="13">
        <f t="array" ref="F26">IFERROR(INDEX($B$1:$B$1109, SMALL(IF($D$1:$D$1109=$E$3,ROW($D$1:$D$1109)),ROW()-2),1),"")</f>
        <v>2.2000000000000002</v>
      </c>
      <c r="G26" s="13">
        <f t="array" ref="G26">IFERROR(INDEX($C$1:$C$1109, SMALL(IF($D$1:$D$1109=$E$3,ROW($D$1:$D$1109)),ROW()-2),1),"")</f>
        <v>42.399099999999997</v>
      </c>
      <c r="H26" s="140">
        <f t="array" ref="H26">IFERROR(INDEX($B$1:$B$1109, SMALL(IF($D$1:$D$1109=$E$4,ROW($D$1:$D$1109)),ROW()-2),1),"")</f>
        <v>2</v>
      </c>
      <c r="I26" s="140">
        <f t="array" ref="I26">IFERROR(INDEX($C$1:$C$1109, SMALL(IF($D$1:$D$1109=$E$4,ROW($D$1:$D$1109)),ROW()-2),1),"")</f>
        <v>42.936300000000003</v>
      </c>
      <c r="J26" s="10">
        <f t="array" ref="J26">IFERROR(INDEX($B$1:$B$1109, SMALL(IF($D$1:$D$1109=$E$5,ROW($D$1:$D$1109)),ROW()-2),1),"")</f>
        <v>2.5</v>
      </c>
      <c r="K26" s="10">
        <f t="array" ref="K26">IFERROR(INDEX($C$1:$C$1109, SMALL(IF($D$1:$D$1109=$E$5,ROW($D$1:$D$1109)),ROW()-2),1),"")</f>
        <v>37</v>
      </c>
      <c r="L26" s="62"/>
      <c r="R26" s="13">
        <v>2.2000000000000002</v>
      </c>
      <c r="S26" s="13">
        <v>42.399099999999997</v>
      </c>
      <c r="T26" s="140">
        <v>2</v>
      </c>
      <c r="U26" s="140">
        <v>42.936300000000003</v>
      </c>
      <c r="V26" s="10">
        <v>2.5</v>
      </c>
      <c r="W26" s="10">
        <v>37</v>
      </c>
    </row>
    <row r="27" spans="1:23" ht="15.75">
      <c r="A27" s="64">
        <f t="shared" ca="1" si="0"/>
        <v>0.77845294512471808</v>
      </c>
      <c r="B27" s="74">
        <v>3.6</v>
      </c>
      <c r="C27" s="71">
        <v>37</v>
      </c>
      <c r="D27" s="132">
        <f t="array" ref="D27">MOD(ROW(), 3) + 1</f>
        <v>1</v>
      </c>
      <c r="E27" s="64"/>
      <c r="F27" s="13">
        <f t="array" ref="F27">IFERROR(INDEX($B$1:$B$1109, SMALL(IF($D$1:$D$1109=$E$3,ROW($D$1:$D$1109)),ROW()-2),1),"")</f>
        <v>5.7</v>
      </c>
      <c r="G27" s="13">
        <f t="array" ref="G27">IFERROR(INDEX($C$1:$C$1109, SMALL(IF($D$1:$D$1109=$E$3,ROW($D$1:$D$1109)),ROW()-2),1),"")</f>
        <v>33.6</v>
      </c>
      <c r="H27" s="140">
        <f t="array" ref="H27">IFERROR(INDEX($B$1:$B$1109, SMALL(IF($D$1:$D$1109=$E$4,ROW($D$1:$D$1109)),ROW()-2),1),"")</f>
        <v>3.5</v>
      </c>
      <c r="I27" s="140">
        <f t="array" ref="I27">IFERROR(INDEX($C$1:$C$1109, SMALL(IF($D$1:$D$1109=$E$4,ROW($D$1:$D$1109)),ROW()-2),1),"")</f>
        <v>34.1997</v>
      </c>
      <c r="J27" s="10">
        <f t="array" ref="J27">IFERROR(INDEX($B$1:$B$1109, SMALL(IF($D$1:$D$1109=$E$5,ROW($D$1:$D$1109)),ROW()-2),1),"")</f>
        <v>3</v>
      </c>
      <c r="K27" s="10">
        <f t="array" ref="K27">IFERROR(INDEX($C$1:$C$1109, SMALL(IF($D$1:$D$1109=$E$5,ROW($D$1:$D$1109)),ROW()-2),1),"")</f>
        <v>29.5</v>
      </c>
      <c r="L27" s="62"/>
      <c r="R27" s="13">
        <v>5.7</v>
      </c>
      <c r="S27" s="13">
        <v>33.6</v>
      </c>
      <c r="T27" s="140">
        <v>3.5</v>
      </c>
      <c r="U27" s="140">
        <v>34.1997</v>
      </c>
      <c r="V27" s="10">
        <v>3</v>
      </c>
      <c r="W27" s="10">
        <v>29.5</v>
      </c>
    </row>
    <row r="28" spans="1:23" ht="15.75">
      <c r="A28" s="64">
        <f t="shared" ca="1" si="0"/>
        <v>3.8010835933552589E-2</v>
      </c>
      <c r="B28" s="74">
        <v>5.3</v>
      </c>
      <c r="C28" s="71">
        <v>23.299900000000001</v>
      </c>
      <c r="D28" s="132">
        <f t="array" ref="D28">MOD(ROW(), 3) + 1</f>
        <v>2</v>
      </c>
      <c r="E28" s="64"/>
      <c r="F28" s="13">
        <f t="array" ref="F28">IFERROR(INDEX($B$1:$B$1109, SMALL(IF($D$1:$D$1109=$E$3,ROW($D$1:$D$1109)),ROW()-2),1),"")</f>
        <v>5.6</v>
      </c>
      <c r="G28" s="13">
        <f t="array" ref="G28">IFERROR(INDEX($C$1:$C$1109, SMALL(IF($D$1:$D$1109=$E$3,ROW($D$1:$D$1109)),ROW()-2),1),"")</f>
        <v>23.110900000000001</v>
      </c>
      <c r="H28" s="140">
        <f t="array" ref="H28">IFERROR(INDEX($B$1:$B$1109, SMALL(IF($D$1:$D$1109=$E$4,ROW($D$1:$D$1109)),ROW()-2),1),"")</f>
        <v>5</v>
      </c>
      <c r="I28" s="140">
        <f t="array" ref="I28">IFERROR(INDEX($C$1:$C$1109, SMALL(IF($D$1:$D$1109=$E$4,ROW($D$1:$D$1109)),ROW()-2),1),"")</f>
        <v>23.618200000000002</v>
      </c>
      <c r="J28" s="10">
        <f t="array" ref="J28">IFERROR(INDEX($B$1:$B$1109, SMALL(IF($D$1:$D$1109=$E$5,ROW($D$1:$D$1109)),ROW()-2),1),"")</f>
        <v>3.7</v>
      </c>
      <c r="K28" s="10">
        <f t="array" ref="K28">IFERROR(INDEX($C$1:$C$1109, SMALL(IF($D$1:$D$1109=$E$5,ROW($D$1:$D$1109)),ROW()-2),1),"")</f>
        <v>28.1</v>
      </c>
      <c r="L28" s="62"/>
      <c r="R28" s="13">
        <v>5.6</v>
      </c>
      <c r="S28" s="13">
        <v>23.110900000000001</v>
      </c>
      <c r="T28" s="140">
        <v>5</v>
      </c>
      <c r="U28" s="140">
        <v>23.618200000000002</v>
      </c>
      <c r="V28" s="10">
        <v>3.7</v>
      </c>
      <c r="W28" s="10">
        <v>28.1</v>
      </c>
    </row>
    <row r="29" spans="1:23" ht="15.75">
      <c r="A29" s="64">
        <f t="shared" ca="1" si="0"/>
        <v>0.78492802386506833</v>
      </c>
      <c r="B29" s="74">
        <v>1.8</v>
      </c>
      <c r="C29" s="71">
        <v>50</v>
      </c>
      <c r="D29" s="132">
        <f t="array" ref="D29">MOD(ROW(), 3) + 1</f>
        <v>3</v>
      </c>
      <c r="E29" s="64"/>
      <c r="F29" s="13">
        <f t="array" ref="F29">IFERROR(INDEX($B$1:$B$1109, SMALL(IF($D$1:$D$1109=$E$3,ROW($D$1:$D$1109)),ROW()-2),1),"")</f>
        <v>3.5</v>
      </c>
      <c r="G29" s="13">
        <f t="array" ref="G29">IFERROR(INDEX($C$1:$C$1109, SMALL(IF($D$1:$D$1109=$E$3,ROW($D$1:$D$1109)),ROW()-2),1),"")</f>
        <v>40.299999999999997</v>
      </c>
      <c r="H29" s="140">
        <f t="array" ref="H29">IFERROR(INDEX($B$1:$B$1109, SMALL(IF($D$1:$D$1109=$E$4,ROW($D$1:$D$1109)),ROW()-2),1),"")</f>
        <v>6</v>
      </c>
      <c r="I29" s="140">
        <f t="array" ref="I29">IFERROR(INDEX($C$1:$C$1109, SMALL(IF($D$1:$D$1109=$E$4,ROW($D$1:$D$1109)),ROW()-2),1),"")</f>
        <v>30.5</v>
      </c>
      <c r="J29" s="10">
        <f t="array" ref="J29">IFERROR(INDEX($B$1:$B$1109, SMALL(IF($D$1:$D$1109=$E$5,ROW($D$1:$D$1109)),ROW()-2),1),"")</f>
        <v>3.5</v>
      </c>
      <c r="K29" s="10">
        <f t="array" ref="K29">IFERROR(INDEX($C$1:$C$1109, SMALL(IF($D$1:$D$1109=$E$5,ROW($D$1:$D$1109)),ROW()-2),1),"")</f>
        <v>30.380500000000001</v>
      </c>
      <c r="L29" s="62"/>
      <c r="R29" s="13">
        <v>3.5</v>
      </c>
      <c r="S29" s="13">
        <v>40.299999999999997</v>
      </c>
      <c r="T29" s="140">
        <v>6</v>
      </c>
      <c r="U29" s="140">
        <v>30.5</v>
      </c>
      <c r="V29" s="10">
        <v>3.5</v>
      </c>
      <c r="W29" s="10">
        <v>30.380500000000001</v>
      </c>
    </row>
    <row r="30" spans="1:23" ht="15.75">
      <c r="A30" s="64">
        <f t="shared" ca="1" si="0"/>
        <v>0.98222979834429613</v>
      </c>
      <c r="B30" s="74">
        <v>2.4</v>
      </c>
      <c r="C30" s="71">
        <v>36.262799999999999</v>
      </c>
      <c r="D30" s="132">
        <f t="array" ref="D30">MOD(ROW(), 3) + 1</f>
        <v>1</v>
      </c>
      <c r="E30" s="64"/>
      <c r="F30" s="13">
        <f t="array" ref="F30">IFERROR(INDEX($B$1:$B$1109, SMALL(IF($D$1:$D$1109=$E$3,ROW($D$1:$D$1109)),ROW()-2),1),"")</f>
        <v>1.8</v>
      </c>
      <c r="G30" s="13">
        <f t="array" ref="G30">IFERROR(INDEX($C$1:$C$1109, SMALL(IF($D$1:$D$1109=$E$3,ROW($D$1:$D$1109)),ROW()-2),1),"")</f>
        <v>43.628999999999998</v>
      </c>
      <c r="H30" s="140">
        <f t="array" ref="H30">IFERROR(INDEX($B$1:$B$1109, SMALL(IF($D$1:$D$1109=$E$4,ROW($D$1:$D$1109)),ROW()-2),1),"")</f>
        <v>2.4</v>
      </c>
      <c r="I30" s="140">
        <f t="array" ref="I30">IFERROR(INDEX($C$1:$C$1109, SMALL(IF($D$1:$D$1109=$E$4,ROW($D$1:$D$1109)),ROW()-2),1),"")</f>
        <v>42.2</v>
      </c>
      <c r="J30" s="10">
        <f t="array" ref="J30">IFERROR(INDEX($B$1:$B$1109, SMALL(IF($D$1:$D$1109=$E$5,ROW($D$1:$D$1109)),ROW()-2),1),"")</f>
        <v>3.5</v>
      </c>
      <c r="K30" s="10">
        <f t="array" ref="K30">IFERROR(INDEX($C$1:$C$1109, SMALL(IF($D$1:$D$1109=$E$5,ROW($D$1:$D$1109)),ROW()-2),1),"")</f>
        <v>41.2</v>
      </c>
      <c r="L30" s="62"/>
      <c r="R30" s="13">
        <v>1.8</v>
      </c>
      <c r="S30" s="13">
        <v>43.628999999999998</v>
      </c>
      <c r="T30" s="140">
        <v>2.4</v>
      </c>
      <c r="U30" s="140">
        <v>42.2</v>
      </c>
      <c r="V30" s="10">
        <v>3.5</v>
      </c>
      <c r="W30" s="10">
        <v>41.2</v>
      </c>
    </row>
    <row r="31" spans="1:23" ht="15.75">
      <c r="A31" s="64">
        <f t="shared" ca="1" si="0"/>
        <v>0.88276512905615367</v>
      </c>
      <c r="B31" s="74">
        <v>2.9</v>
      </c>
      <c r="C31" s="71">
        <v>35.5</v>
      </c>
      <c r="D31" s="132">
        <f t="array" ref="D31">MOD(ROW(), 3) + 1</f>
        <v>2</v>
      </c>
      <c r="E31" s="64"/>
      <c r="F31" s="13">
        <f t="array" ref="F31">IFERROR(INDEX($B$1:$B$1109, SMALL(IF($D$1:$D$1109=$E$3,ROW($D$1:$D$1109)),ROW()-2),1),"")</f>
        <v>4</v>
      </c>
      <c r="G31" s="13">
        <f t="array" ref="G31">IFERROR(INDEX($C$1:$C$1109, SMALL(IF($D$1:$D$1109=$E$3,ROW($D$1:$D$1109)),ROW()-2),1),"")</f>
        <v>24.6648</v>
      </c>
      <c r="H31" s="140">
        <f t="array" ref="H31">IFERROR(INDEX($B$1:$B$1109, SMALL(IF($D$1:$D$1109=$E$4,ROW($D$1:$D$1109)),ROW()-2),1),"")</f>
        <v>4.2</v>
      </c>
      <c r="I31" s="140">
        <f t="array" ref="I31">IFERROR(INDEX($C$1:$C$1109, SMALL(IF($D$1:$D$1109=$E$4,ROW($D$1:$D$1109)),ROW()-2),1),"")</f>
        <v>26.8</v>
      </c>
      <c r="J31" s="10">
        <f t="array" ref="J31">IFERROR(INDEX($B$1:$B$1109, SMALL(IF($D$1:$D$1109=$E$5,ROW($D$1:$D$1109)),ROW()-2),1),"")</f>
        <v>5</v>
      </c>
      <c r="K31" s="10">
        <f t="array" ref="K31">IFERROR(INDEX($C$1:$C$1109, SMALL(IF($D$1:$D$1109=$E$5,ROW($D$1:$D$1109)),ROW()-2),1),"")</f>
        <v>32.670099999999998</v>
      </c>
      <c r="L31" s="62"/>
      <c r="R31" s="13">
        <v>4</v>
      </c>
      <c r="S31" s="13">
        <v>24.6648</v>
      </c>
      <c r="T31" s="140">
        <v>4.2</v>
      </c>
      <c r="U31" s="140">
        <v>26.8</v>
      </c>
      <c r="V31" s="10">
        <v>5</v>
      </c>
      <c r="W31" s="10">
        <v>32.670099999999998</v>
      </c>
    </row>
    <row r="32" spans="1:23" ht="15.75">
      <c r="A32" s="64">
        <f t="shared" ca="1" si="0"/>
        <v>0.13730964732634943</v>
      </c>
      <c r="B32" s="74">
        <v>2.5</v>
      </c>
      <c r="C32" s="71">
        <v>38.6</v>
      </c>
      <c r="D32" s="132">
        <f t="array" ref="D32">MOD(ROW(), 3) + 1</f>
        <v>3</v>
      </c>
      <c r="E32" s="64"/>
      <c r="F32" s="13">
        <f t="array" ref="F32">IFERROR(INDEX($B$1:$B$1109, SMALL(IF($D$1:$D$1109=$E$3,ROW($D$1:$D$1109)),ROW()-2),1),"")</f>
        <v>4</v>
      </c>
      <c r="G32" s="13">
        <f t="array" ref="G32">IFERROR(INDEX($C$1:$C$1109, SMALL(IF($D$1:$D$1109=$E$3,ROW($D$1:$D$1109)),ROW()-2),1),"")</f>
        <v>36.392600000000002</v>
      </c>
      <c r="H32" s="140">
        <f t="array" ref="H32">IFERROR(INDEX($B$1:$B$1109, SMALL(IF($D$1:$D$1109=$E$4,ROW($D$1:$D$1109)),ROW()-2),1),"")</f>
        <v>2</v>
      </c>
      <c r="I32" s="140">
        <f t="array" ref="I32">IFERROR(INDEX($C$1:$C$1109, SMALL(IF($D$1:$D$1109=$E$4,ROW($D$1:$D$1109)),ROW()-2),1),"")</f>
        <v>39</v>
      </c>
      <c r="J32" s="10">
        <f t="array" ref="J32">IFERROR(INDEX($B$1:$B$1109, SMALL(IF($D$1:$D$1109=$E$5,ROW($D$1:$D$1109)),ROW()-2),1),"")</f>
        <v>4.5999999999999996</v>
      </c>
      <c r="K32" s="10">
        <f t="array" ref="K32">IFERROR(INDEX($C$1:$C$1109, SMALL(IF($D$1:$D$1109=$E$5,ROW($D$1:$D$1109)),ROW()-2),1),"")</f>
        <v>29</v>
      </c>
      <c r="L32" s="62"/>
      <c r="R32" s="13">
        <v>4</v>
      </c>
      <c r="S32" s="13">
        <v>36.392600000000002</v>
      </c>
      <c r="T32" s="140">
        <v>2</v>
      </c>
      <c r="U32" s="140">
        <v>39</v>
      </c>
      <c r="V32" s="10">
        <v>4.5999999999999996</v>
      </c>
      <c r="W32" s="10">
        <v>29</v>
      </c>
    </row>
    <row r="33" spans="1:23" ht="15.75">
      <c r="A33" s="64">
        <f t="shared" ca="1" si="0"/>
        <v>0.7322497083752163</v>
      </c>
      <c r="B33" s="74">
        <v>3</v>
      </c>
      <c r="C33" s="71">
        <v>35.540399999999998</v>
      </c>
      <c r="D33" s="132">
        <f t="array" ref="D33">MOD(ROW(), 3) + 1</f>
        <v>1</v>
      </c>
      <c r="E33" s="64"/>
      <c r="F33" s="13">
        <f t="array" ref="F33">IFERROR(INDEX($B$1:$B$1109, SMALL(IF($D$1:$D$1109=$E$3,ROW($D$1:$D$1109)),ROW()-2),1),"")</f>
        <v>1.6</v>
      </c>
      <c r="G33" s="13">
        <f t="array" ref="G33">IFERROR(INDEX($C$1:$C$1109, SMALL(IF($D$1:$D$1109=$E$3,ROW($D$1:$D$1109)),ROW()-2),1),"")</f>
        <v>48.9</v>
      </c>
      <c r="H33" s="140">
        <f t="array" ref="H33">IFERROR(INDEX($B$1:$B$1109, SMALL(IF($D$1:$D$1109=$E$4,ROW($D$1:$D$1109)),ROW()-2),1),"")</f>
        <v>2.5</v>
      </c>
      <c r="I33" s="140">
        <f t="array" ref="I33">IFERROR(INDEX($C$1:$C$1109, SMALL(IF($D$1:$D$1109=$E$4,ROW($D$1:$D$1109)),ROW()-2),1),"")</f>
        <v>39.614699999999999</v>
      </c>
      <c r="J33" s="10">
        <f t="array" ref="J33">IFERROR(INDEX($B$1:$B$1109, SMALL(IF($D$1:$D$1109=$E$5,ROW($D$1:$D$1109)),ROW()-2),1),"")</f>
        <v>3.7</v>
      </c>
      <c r="K33" s="10">
        <f t="array" ref="K33">IFERROR(INDEX($C$1:$C$1109, SMALL(IF($D$1:$D$1109=$E$5,ROW($D$1:$D$1109)),ROW()-2),1),"")</f>
        <v>27</v>
      </c>
      <c r="L33" s="62"/>
      <c r="R33" s="13">
        <v>1.6</v>
      </c>
      <c r="S33" s="13">
        <v>48.9</v>
      </c>
      <c r="T33" s="140">
        <v>2.5</v>
      </c>
      <c r="U33" s="140">
        <v>39.614699999999999</v>
      </c>
      <c r="V33" s="10">
        <v>3.7</v>
      </c>
      <c r="W33" s="10">
        <v>27</v>
      </c>
    </row>
    <row r="34" spans="1:23" ht="15.75">
      <c r="A34" s="64">
        <f t="shared" ca="1" si="0"/>
        <v>0.59445769682744587</v>
      </c>
      <c r="B34" s="74">
        <v>2.7</v>
      </c>
      <c r="C34" s="71">
        <v>37.799999999999997</v>
      </c>
      <c r="D34" s="132">
        <f t="array" ref="D34">MOD(ROW(), 3) + 1</f>
        <v>2</v>
      </c>
      <c r="E34" s="64"/>
      <c r="F34" s="13">
        <f t="array" ref="F34">IFERROR(INDEX($B$1:$B$1109, SMALL(IF($D$1:$D$1109=$E$3,ROW($D$1:$D$1109)),ROW()-2),1),"")</f>
        <v>1.6</v>
      </c>
      <c r="G34" s="13">
        <f t="array" ref="G34">IFERROR(INDEX($C$1:$C$1109, SMALL(IF($D$1:$D$1109=$E$3,ROW($D$1:$D$1109)),ROW()-2),1),"")</f>
        <v>47.9</v>
      </c>
      <c r="H34" s="140">
        <f t="array" ref="H34">IFERROR(INDEX($B$1:$B$1109, SMALL(IF($D$1:$D$1109=$E$4,ROW($D$1:$D$1109)),ROW()-2),1),"")</f>
        <v>3.7</v>
      </c>
      <c r="I34" s="140">
        <f t="array" ref="I34">IFERROR(INDEX($C$1:$C$1109, SMALL(IF($D$1:$D$1109=$E$4,ROW($D$1:$D$1109)),ROW()-2),1),"")</f>
        <v>31.6</v>
      </c>
      <c r="J34" s="10">
        <f t="array" ref="J34">IFERROR(INDEX($B$1:$B$1109, SMALL(IF($D$1:$D$1109=$E$5,ROW($D$1:$D$1109)),ROW()-2),1),"")</f>
        <v>5.3</v>
      </c>
      <c r="K34" s="10">
        <f t="array" ref="K34">IFERROR(INDEX($C$1:$C$1109, SMALL(IF($D$1:$D$1109=$E$5,ROW($D$1:$D$1109)),ROW()-2),1),"")</f>
        <v>30.4</v>
      </c>
      <c r="L34" s="62"/>
      <c r="R34" s="13">
        <v>1.6</v>
      </c>
      <c r="S34" s="13">
        <v>47.9</v>
      </c>
      <c r="T34" s="140">
        <v>3.7</v>
      </c>
      <c r="U34" s="140">
        <v>31.6</v>
      </c>
      <c r="V34" s="10">
        <v>5.3</v>
      </c>
      <c r="W34" s="10">
        <v>30.4</v>
      </c>
    </row>
    <row r="35" spans="1:23" ht="15.75">
      <c r="A35" s="64">
        <f t="shared" ca="1" si="0"/>
        <v>0.6637130581274856</v>
      </c>
      <c r="B35" s="74">
        <v>3.6</v>
      </c>
      <c r="C35" s="71">
        <v>33</v>
      </c>
      <c r="D35" s="132">
        <f t="array" ref="D35">MOD(ROW(), 3) + 1</f>
        <v>3</v>
      </c>
      <c r="E35" s="64"/>
      <c r="F35" s="13">
        <f t="array" ref="F35">IFERROR(INDEX($B$1:$B$1109, SMALL(IF($D$1:$D$1109=$E$3,ROW($D$1:$D$1109)),ROW()-2),1),"")</f>
        <v>3.7</v>
      </c>
      <c r="G35" s="13">
        <f t="array" ref="G35">IFERROR(INDEX($C$1:$C$1109, SMALL(IF($D$1:$D$1109=$E$3,ROW($D$1:$D$1109)),ROW()-2),1),"")</f>
        <v>30.9</v>
      </c>
      <c r="H35" s="140">
        <f t="array" ref="H35">IFERROR(INDEX($B$1:$B$1109, SMALL(IF($D$1:$D$1109=$E$4,ROW($D$1:$D$1109)),ROW()-2),1),"")</f>
        <v>2.4</v>
      </c>
      <c r="I35" s="140">
        <f t="array" ref="I35">IFERROR(INDEX($C$1:$C$1109, SMALL(IF($D$1:$D$1109=$E$4,ROW($D$1:$D$1109)),ROW()-2),1),"")</f>
        <v>39.347999999999999</v>
      </c>
      <c r="J35" s="10">
        <f t="array" ref="J35">IFERROR(INDEX($B$1:$B$1109, SMALL(IF($D$1:$D$1109=$E$5,ROW($D$1:$D$1109)),ROW()-2),1),"")</f>
        <v>5.9</v>
      </c>
      <c r="K35" s="10">
        <f t="array" ref="K35">IFERROR(INDEX($C$1:$C$1109, SMALL(IF($D$1:$D$1109=$E$5,ROW($D$1:$D$1109)),ROW()-2),1),"")</f>
        <v>22.925799999999999</v>
      </c>
      <c r="L35" s="62"/>
      <c r="R35" s="13">
        <v>3.7</v>
      </c>
      <c r="S35" s="13">
        <v>30.9</v>
      </c>
      <c r="T35" s="140">
        <v>2.4</v>
      </c>
      <c r="U35" s="140">
        <v>39.347999999999999</v>
      </c>
      <c r="V35" s="10">
        <v>5.9</v>
      </c>
      <c r="W35" s="10">
        <v>22.925799999999999</v>
      </c>
    </row>
    <row r="36" spans="1:23" ht="15.75">
      <c r="A36" s="64">
        <f t="shared" ca="1" si="0"/>
        <v>0.96572607544498723</v>
      </c>
      <c r="B36" s="74">
        <v>4.7</v>
      </c>
      <c r="C36" s="71">
        <v>25.6</v>
      </c>
      <c r="D36" s="132">
        <f t="array" ref="D36">MOD(ROW(), 3) + 1</f>
        <v>1</v>
      </c>
      <c r="E36" s="64"/>
      <c r="F36" s="13">
        <f t="array" ref="F36">IFERROR(INDEX($B$1:$B$1109, SMALL(IF($D$1:$D$1109=$E$3,ROW($D$1:$D$1109)),ROW()-2),1),"")</f>
        <v>5.6</v>
      </c>
      <c r="G36" s="13">
        <f t="array" ref="G36">IFERROR(INDEX($C$1:$C$1109, SMALL(IF($D$1:$D$1109=$E$3,ROW($D$1:$D$1109)),ROW()-2),1),"")</f>
        <v>23.6</v>
      </c>
      <c r="H36" s="140">
        <f t="array" ref="H36">IFERROR(INDEX($B$1:$B$1109, SMALL(IF($D$1:$D$1109=$E$4,ROW($D$1:$D$1109)),ROW()-2),1),"")</f>
        <v>2.2000000000000002</v>
      </c>
      <c r="I36" s="140">
        <f t="array" ref="I36">IFERROR(INDEX($C$1:$C$1109, SMALL(IF($D$1:$D$1109=$E$4,ROW($D$1:$D$1109)),ROW()-2),1),"")</f>
        <v>44.999099999999999</v>
      </c>
      <c r="J36" s="10">
        <f t="array" ref="J36">IFERROR(INDEX($B$1:$B$1109, SMALL(IF($D$1:$D$1109=$E$5,ROW($D$1:$D$1109)),ROW()-2),1),"")</f>
        <v>2.4</v>
      </c>
      <c r="K36" s="10">
        <f t="array" ref="K36">IFERROR(INDEX($C$1:$C$1109, SMALL(IF($D$1:$D$1109=$E$5,ROW($D$1:$D$1109)),ROW()-2),1),"")</f>
        <v>39.200000000000003</v>
      </c>
      <c r="L36" s="62"/>
      <c r="R36" s="13">
        <v>5.6</v>
      </c>
      <c r="S36" s="13">
        <v>23.6</v>
      </c>
      <c r="T36" s="140">
        <v>2.2000000000000002</v>
      </c>
      <c r="U36" s="140">
        <v>44.999099999999999</v>
      </c>
      <c r="V36" s="10">
        <v>2.4</v>
      </c>
      <c r="W36" s="10">
        <v>39.200000000000003</v>
      </c>
    </row>
    <row r="37" spans="1:23" ht="15.75">
      <c r="A37" s="64">
        <f t="shared" ca="1" si="0"/>
        <v>0.19945061356418359</v>
      </c>
      <c r="B37" s="74">
        <v>2.4</v>
      </c>
      <c r="C37" s="71">
        <v>40</v>
      </c>
      <c r="D37" s="132">
        <f t="array" ref="D37">MOD(ROW(), 3) + 1</f>
        <v>2</v>
      </c>
      <c r="E37" s="64"/>
      <c r="F37" s="13">
        <f t="array" ref="F37">IFERROR(INDEX($B$1:$B$1109, SMALL(IF($D$1:$D$1109=$E$3,ROW($D$1:$D$1109)),ROW()-2),1),"")</f>
        <v>3.7</v>
      </c>
      <c r="G37" s="13">
        <f t="array" ref="G37">IFERROR(INDEX($C$1:$C$1109, SMALL(IF($D$1:$D$1109=$E$3,ROW($D$1:$D$1109)),ROW()-2),1),"")</f>
        <v>27.2</v>
      </c>
      <c r="H37" s="140">
        <f t="array" ref="H37">IFERROR(INDEX($B$1:$B$1109, SMALL(IF($D$1:$D$1109=$E$4,ROW($D$1:$D$1109)),ROW()-2),1),"")</f>
        <v>3.5</v>
      </c>
      <c r="I37" s="140">
        <f t="array" ref="I37">IFERROR(INDEX($C$1:$C$1109, SMALL(IF($D$1:$D$1109=$E$4,ROW($D$1:$D$1109)),ROW()-2),1),"")</f>
        <v>30.2</v>
      </c>
      <c r="J37" s="10">
        <f t="array" ref="J37">IFERROR(INDEX($B$1:$B$1109, SMALL(IF($D$1:$D$1109=$E$5,ROW($D$1:$D$1109)),ROW()-2),1),"")</f>
        <v>3.7</v>
      </c>
      <c r="K37" s="10">
        <f t="array" ref="K37">IFERROR(INDEX($C$1:$C$1109, SMALL(IF($D$1:$D$1109=$E$5,ROW($D$1:$D$1109)),ROW()-2),1),"")</f>
        <v>30.5</v>
      </c>
      <c r="L37" s="62"/>
      <c r="R37" s="13">
        <v>3.7</v>
      </c>
      <c r="S37" s="13">
        <v>27.2</v>
      </c>
      <c r="T37" s="140">
        <v>3.5</v>
      </c>
      <c r="U37" s="140">
        <v>30.2</v>
      </c>
      <c r="V37" s="10">
        <v>3.7</v>
      </c>
      <c r="W37" s="10">
        <v>30.5</v>
      </c>
    </row>
    <row r="38" spans="1:23" ht="15.75">
      <c r="A38" s="64">
        <f t="shared" ca="1" si="0"/>
        <v>9.665369470868479E-2</v>
      </c>
      <c r="B38" s="74">
        <v>4</v>
      </c>
      <c r="C38" s="71">
        <v>25.7499</v>
      </c>
      <c r="D38" s="132">
        <f t="array" ref="D38">MOD(ROW(), 3) + 1</f>
        <v>3</v>
      </c>
      <c r="E38" s="64"/>
      <c r="F38" s="13">
        <f t="array" ref="F38">IFERROR(INDEX($B$1:$B$1109, SMALL(IF($D$1:$D$1109=$E$3,ROW($D$1:$D$1109)),ROW()-2),1),"")</f>
        <v>2.5</v>
      </c>
      <c r="G38" s="13">
        <f t="array" ref="G38">IFERROR(INDEX($C$1:$C$1109, SMALL(IF($D$1:$D$1109=$E$3,ROW($D$1:$D$1109)),ROW()-2),1),"")</f>
        <v>39.571399999999997</v>
      </c>
      <c r="H38" s="140">
        <f t="array" ref="H38">IFERROR(INDEX($B$1:$B$1109, SMALL(IF($D$1:$D$1109=$E$4,ROW($D$1:$D$1109)),ROW()-2),1),"")</f>
        <v>3.5</v>
      </c>
      <c r="I38" s="140">
        <f t="array" ref="I38">IFERROR(INDEX($C$1:$C$1109, SMALL(IF($D$1:$D$1109=$E$4,ROW($D$1:$D$1109)),ROW()-2),1),"")</f>
        <v>34.5</v>
      </c>
      <c r="J38" s="10">
        <f t="array" ref="J38">IFERROR(INDEX($B$1:$B$1109, SMALL(IF($D$1:$D$1109=$E$5,ROW($D$1:$D$1109)),ROW()-2),1),"")</f>
        <v>2.4</v>
      </c>
      <c r="K38" s="10">
        <f t="array" ref="K38">IFERROR(INDEX($C$1:$C$1109, SMALL(IF($D$1:$D$1109=$E$5,ROW($D$1:$D$1109)),ROW()-2),1),"")</f>
        <v>38.6</v>
      </c>
      <c r="L38" s="62"/>
      <c r="R38" s="13">
        <v>2.5</v>
      </c>
      <c r="S38" s="13">
        <v>39.571399999999997</v>
      </c>
      <c r="T38" s="140">
        <v>3.5</v>
      </c>
      <c r="U38" s="140">
        <v>34.5</v>
      </c>
      <c r="V38" s="10">
        <v>2.4</v>
      </c>
      <c r="W38" s="10">
        <v>38.6</v>
      </c>
    </row>
    <row r="39" spans="1:23" ht="15.75">
      <c r="A39" s="64">
        <f t="shared" ca="1" si="0"/>
        <v>0.503844020427892</v>
      </c>
      <c r="B39" s="74">
        <v>1.5</v>
      </c>
      <c r="C39" s="71">
        <v>50.672499999999999</v>
      </c>
      <c r="D39" s="132">
        <f t="array" ref="D39">MOD(ROW(), 3) + 1</f>
        <v>1</v>
      </c>
      <c r="E39" s="64"/>
      <c r="F39" s="13">
        <f t="array" ref="F39">IFERROR(INDEX($B$1:$B$1109, SMALL(IF($D$1:$D$1109=$E$3,ROW($D$1:$D$1109)),ROW()-2),1),"")</f>
        <v>2.5</v>
      </c>
      <c r="G39" s="13">
        <f t="array" ref="G39">IFERROR(INDEX($C$1:$C$1109, SMALL(IF($D$1:$D$1109=$E$3,ROW($D$1:$D$1109)),ROW()-2),1),"")</f>
        <v>40.6</v>
      </c>
      <c r="H39" s="140">
        <f t="array" ref="H39">IFERROR(INDEX($B$1:$B$1109, SMALL(IF($D$1:$D$1109=$E$4,ROW($D$1:$D$1109)),ROW()-2),1),"")</f>
        <v>2.5</v>
      </c>
      <c r="I39" s="140">
        <f t="array" ref="I39">IFERROR(INDEX($C$1:$C$1109, SMALL(IF($D$1:$D$1109=$E$4,ROW($D$1:$D$1109)),ROW()-2),1),"")</f>
        <v>31.8</v>
      </c>
      <c r="J39" s="10">
        <f t="array" ref="J39">IFERROR(INDEX($B$1:$B$1109, SMALL(IF($D$1:$D$1109=$E$5,ROW($D$1:$D$1109)),ROW()-2),1),"")</f>
        <v>2</v>
      </c>
      <c r="K39" s="10">
        <f t="array" ref="K39">IFERROR(INDEX($C$1:$C$1109, SMALL(IF($D$1:$D$1109=$E$5,ROW($D$1:$D$1109)),ROW()-2),1),"")</f>
        <v>37.798900000000003</v>
      </c>
      <c r="L39" s="62"/>
      <c r="R39" s="13">
        <v>2.5</v>
      </c>
      <c r="S39" s="13">
        <v>40.6</v>
      </c>
      <c r="T39" s="140">
        <v>2.5</v>
      </c>
      <c r="U39" s="140">
        <v>31.8</v>
      </c>
      <c r="V39" s="10">
        <v>2</v>
      </c>
      <c r="W39" s="10">
        <v>37.798900000000003</v>
      </c>
    </row>
    <row r="40" spans="1:23" ht="15.75">
      <c r="A40" s="64">
        <f t="shared" ca="1" si="0"/>
        <v>0.91541169305933368</v>
      </c>
      <c r="B40" s="74">
        <v>4.4000000000000004</v>
      </c>
      <c r="C40" s="71">
        <v>29.452100000000002</v>
      </c>
      <c r="D40" s="132">
        <f t="array" ref="D40">MOD(ROW(), 3) + 1</f>
        <v>2</v>
      </c>
      <c r="E40" s="64"/>
      <c r="F40" s="13">
        <f t="array" ref="F40">IFERROR(INDEX($B$1:$B$1109, SMALL(IF($D$1:$D$1109=$E$3,ROW($D$1:$D$1109)),ROW()-2),1),"")</f>
        <v>2.8</v>
      </c>
      <c r="G40" s="13">
        <f t="array" ref="G40">IFERROR(INDEX($C$1:$C$1109, SMALL(IF($D$1:$D$1109=$E$3,ROW($D$1:$D$1109)),ROW()-2),1),"")</f>
        <v>37.118499999999997</v>
      </c>
      <c r="H40" s="140">
        <f t="array" ref="H40">IFERROR(INDEX($B$1:$B$1109, SMALL(IF($D$1:$D$1109=$E$4,ROW($D$1:$D$1109)),ROW()-2),1),"")</f>
        <v>3.8</v>
      </c>
      <c r="I40" s="140">
        <f t="array" ref="I40">IFERROR(INDEX($C$1:$C$1109, SMALL(IF($D$1:$D$1109=$E$4,ROW($D$1:$D$1109)),ROW()-2),1),"")</f>
        <v>35.359400000000001</v>
      </c>
      <c r="J40" s="10">
        <f t="array" ref="J40">IFERROR(INDEX($B$1:$B$1109, SMALL(IF($D$1:$D$1109=$E$5,ROW($D$1:$D$1109)),ROW()-2),1),"")</f>
        <v>3</v>
      </c>
      <c r="K40" s="10">
        <f t="array" ref="K40">IFERROR(INDEX($C$1:$C$1109, SMALL(IF($D$1:$D$1109=$E$5,ROW($D$1:$D$1109)),ROW()-2),1),"")</f>
        <v>36.1</v>
      </c>
      <c r="L40" s="62"/>
      <c r="R40" s="13">
        <v>2.8</v>
      </c>
      <c r="S40" s="13">
        <v>37.118499999999997</v>
      </c>
      <c r="T40" s="140">
        <v>3.8</v>
      </c>
      <c r="U40" s="140">
        <v>35.359400000000001</v>
      </c>
      <c r="V40" s="10">
        <v>3</v>
      </c>
      <c r="W40" s="10">
        <v>36.1</v>
      </c>
    </row>
    <row r="41" spans="1:23" ht="15.75">
      <c r="A41" s="64">
        <f t="shared" ca="1" si="0"/>
        <v>0.29072809220357931</v>
      </c>
      <c r="B41" s="74">
        <v>2</v>
      </c>
      <c r="C41" s="71">
        <v>60.1</v>
      </c>
      <c r="D41" s="132">
        <f t="array" ref="D41">MOD(ROW(), 3) + 1</f>
        <v>3</v>
      </c>
      <c r="E41" s="64"/>
      <c r="F41" s="13">
        <f t="array" ref="F41">IFERROR(INDEX($B$1:$B$1109, SMALL(IF($D$1:$D$1109=$E$3,ROW($D$1:$D$1109)),ROW()-2),1),"")</f>
        <v>5.6</v>
      </c>
      <c r="G41" s="13">
        <f t="array" ref="G41">IFERROR(INDEX($C$1:$C$1109, SMALL(IF($D$1:$D$1109=$E$3,ROW($D$1:$D$1109)),ROW()-2),1),"")</f>
        <v>24.9815</v>
      </c>
      <c r="H41" s="140">
        <f t="array" ref="H41">IFERROR(INDEX($B$1:$B$1109, SMALL(IF($D$1:$D$1109=$E$4,ROW($D$1:$D$1109)),ROW()-2),1),"")</f>
        <v>3.5</v>
      </c>
      <c r="I41" s="140">
        <f t="array" ref="I41">IFERROR(INDEX($C$1:$C$1109, SMALL(IF($D$1:$D$1109=$E$4,ROW($D$1:$D$1109)),ROW()-2),1),"")</f>
        <v>36.6</v>
      </c>
      <c r="J41" s="10">
        <f t="array" ref="J41">IFERROR(INDEX($B$1:$B$1109, SMALL(IF($D$1:$D$1109=$E$5,ROW($D$1:$D$1109)),ROW()-2),1),"")</f>
        <v>4.5999999999999996</v>
      </c>
      <c r="K41" s="10">
        <f t="array" ref="K41">IFERROR(INDEX($C$1:$C$1109, SMALL(IF($D$1:$D$1109=$E$5,ROW($D$1:$D$1109)),ROW()-2),1),"")</f>
        <v>34.1</v>
      </c>
      <c r="L41" s="62"/>
      <c r="R41" s="13">
        <v>5.6</v>
      </c>
      <c r="S41" s="13">
        <v>24.9815</v>
      </c>
      <c r="T41" s="140">
        <v>3.5</v>
      </c>
      <c r="U41" s="140">
        <v>36.6</v>
      </c>
      <c r="V41" s="10">
        <v>4.5999999999999996</v>
      </c>
      <c r="W41" s="10">
        <v>34.1</v>
      </c>
    </row>
    <row r="42" spans="1:23" ht="15.75">
      <c r="A42" s="64">
        <f t="shared" ca="1" si="0"/>
        <v>0.66622944909628723</v>
      </c>
      <c r="B42" s="74">
        <v>4.8</v>
      </c>
      <c r="C42" s="71">
        <v>30.537500000000001</v>
      </c>
      <c r="D42" s="132">
        <f t="array" ref="D42">MOD(ROW(), 3) + 1</f>
        <v>1</v>
      </c>
      <c r="E42" s="64"/>
      <c r="F42" s="13">
        <f t="array" ref="F42">IFERROR(INDEX($B$1:$B$1109, SMALL(IF($D$1:$D$1109=$E$3,ROW($D$1:$D$1109)),ROW()-2),1),"")</f>
        <v>6.2</v>
      </c>
      <c r="G42" s="13">
        <f t="array" ref="G42">IFERROR(INDEX($C$1:$C$1109, SMALL(IF($D$1:$D$1109=$E$3,ROW($D$1:$D$1109)),ROW()-2),1),"")</f>
        <v>26</v>
      </c>
      <c r="H42" s="140">
        <f t="array" ref="H42">IFERROR(INDEX($B$1:$B$1109, SMALL(IF($D$1:$D$1109=$E$4,ROW($D$1:$D$1109)),ROW()-2),1),"")</f>
        <v>3.7</v>
      </c>
      <c r="I42" s="140">
        <f t="array" ref="I42">IFERROR(INDEX($C$1:$C$1109, SMALL(IF($D$1:$D$1109=$E$4,ROW($D$1:$D$1109)),ROW()-2),1),"")</f>
        <v>31.8217</v>
      </c>
      <c r="J42" s="10">
        <f t="array" ref="J42">IFERROR(INDEX($B$1:$B$1109, SMALL(IF($D$1:$D$1109=$E$5,ROW($D$1:$D$1109)),ROW()-2),1),"")</f>
        <v>2</v>
      </c>
      <c r="K42" s="10">
        <f t="array" ref="K42">IFERROR(INDEX($C$1:$C$1109, SMALL(IF($D$1:$D$1109=$E$5,ROW($D$1:$D$1109)),ROW()-2),1),"")</f>
        <v>35.299999999999997</v>
      </c>
      <c r="L42" s="62"/>
      <c r="R42" s="13">
        <v>6.2</v>
      </c>
      <c r="S42" s="13">
        <v>26</v>
      </c>
      <c r="T42" s="140">
        <v>3.7</v>
      </c>
      <c r="U42" s="140">
        <v>31.8217</v>
      </c>
      <c r="V42" s="10">
        <v>2</v>
      </c>
      <c r="W42" s="10">
        <v>35.299999999999997</v>
      </c>
    </row>
    <row r="43" spans="1:23" ht="15.75">
      <c r="A43" s="64">
        <f t="shared" ca="1" si="0"/>
        <v>0.15282547891774279</v>
      </c>
      <c r="B43" s="74">
        <v>2.4</v>
      </c>
      <c r="C43" s="71">
        <v>46.8</v>
      </c>
      <c r="D43" s="132">
        <f t="array" ref="D43">MOD(ROW(), 3) + 1</f>
        <v>2</v>
      </c>
      <c r="E43" s="64"/>
      <c r="F43" s="13">
        <f t="array" ref="F43">IFERROR(INDEX($B$1:$B$1109, SMALL(IF($D$1:$D$1109=$E$3,ROW($D$1:$D$1109)),ROW()-2),1),"")</f>
        <v>2.5</v>
      </c>
      <c r="G43" s="13">
        <f t="array" ref="G43">IFERROR(INDEX($C$1:$C$1109, SMALL(IF($D$1:$D$1109=$E$3,ROW($D$1:$D$1109)),ROW()-2),1),"")</f>
        <v>40.240900000000003</v>
      </c>
      <c r="H43" s="140">
        <f t="array" ref="H43">IFERROR(INDEX($B$1:$B$1109, SMALL(IF($D$1:$D$1109=$E$4,ROW($D$1:$D$1109)),ROW()-2),1),"")</f>
        <v>2.2000000000000002</v>
      </c>
      <c r="I43" s="140">
        <f t="array" ref="I43">IFERROR(INDEX($C$1:$C$1109, SMALL(IF($D$1:$D$1109=$E$4,ROW($D$1:$D$1109)),ROW()-2),1),"")</f>
        <v>51.9</v>
      </c>
      <c r="J43" s="10">
        <f t="array" ref="J43">IFERROR(INDEX($B$1:$B$1109, SMALL(IF($D$1:$D$1109=$E$5,ROW($D$1:$D$1109)),ROW()-2),1),"")</f>
        <v>4.8</v>
      </c>
      <c r="K43" s="10">
        <f t="array" ref="K43">IFERROR(INDEX($C$1:$C$1109, SMALL(IF($D$1:$D$1109=$E$5,ROW($D$1:$D$1109)),ROW()-2),1),"")</f>
        <v>25.56</v>
      </c>
      <c r="L43" s="62"/>
      <c r="R43" s="13">
        <v>2.5</v>
      </c>
      <c r="S43" s="13">
        <v>40.240900000000003</v>
      </c>
      <c r="T43" s="140">
        <v>2.2000000000000002</v>
      </c>
      <c r="U43" s="140">
        <v>51.9</v>
      </c>
      <c r="V43" s="10">
        <v>4.8</v>
      </c>
      <c r="W43" s="10">
        <v>25.56</v>
      </c>
    </row>
    <row r="44" spans="1:23" ht="15.75">
      <c r="A44" s="64">
        <f t="shared" ca="1" si="0"/>
        <v>0.76361811063427087</v>
      </c>
      <c r="B44" s="74">
        <v>2.4</v>
      </c>
      <c r="C44" s="71">
        <v>41.5</v>
      </c>
      <c r="D44" s="132">
        <f t="array" ref="D44">MOD(ROW(), 3) + 1</f>
        <v>3</v>
      </c>
      <c r="E44" s="64"/>
      <c r="F44" s="13">
        <f t="array" ref="F44">IFERROR(INDEX($B$1:$B$1109, SMALL(IF($D$1:$D$1109=$E$3,ROW($D$1:$D$1109)),ROW()-2),1),"")</f>
        <v>2.4</v>
      </c>
      <c r="G44" s="13">
        <f t="array" ref="G44">IFERROR(INDEX($C$1:$C$1109, SMALL(IF($D$1:$D$1109=$E$3,ROW($D$1:$D$1109)),ROW()-2),1),"")</f>
        <v>33.6</v>
      </c>
      <c r="H44" s="140">
        <f t="array" ref="H44">IFERROR(INDEX($B$1:$B$1109, SMALL(IF($D$1:$D$1109=$E$4,ROW($D$1:$D$1109)),ROW()-2),1),"")</f>
        <v>3.5</v>
      </c>
      <c r="I44" s="140">
        <f t="array" ref="I44">IFERROR(INDEX($C$1:$C$1109, SMALL(IF($D$1:$D$1109=$E$4,ROW($D$1:$D$1109)),ROW()-2),1),"")</f>
        <v>37.4</v>
      </c>
      <c r="J44" s="10">
        <f t="array" ref="J44">IFERROR(INDEX($B$1:$B$1109, SMALL(IF($D$1:$D$1109=$E$5,ROW($D$1:$D$1109)),ROW()-2),1),"")</f>
        <v>2.4</v>
      </c>
      <c r="K44" s="10">
        <f t="array" ref="K44">IFERROR(INDEX($C$1:$C$1109, SMALL(IF($D$1:$D$1109=$E$5,ROW($D$1:$D$1109)),ROW()-2),1),"")</f>
        <v>43.2286</v>
      </c>
      <c r="L44" s="62"/>
      <c r="R44" s="13">
        <v>2.4</v>
      </c>
      <c r="S44" s="13">
        <v>33.6</v>
      </c>
      <c r="T44" s="140">
        <v>3.5</v>
      </c>
      <c r="U44" s="140">
        <v>37.4</v>
      </c>
      <c r="V44" s="10">
        <v>2.4</v>
      </c>
      <c r="W44" s="10">
        <v>43.2286</v>
      </c>
    </row>
    <row r="45" spans="1:23" ht="15.75">
      <c r="A45" s="64">
        <f t="shared" ca="1" si="0"/>
        <v>0.91414557480355962</v>
      </c>
      <c r="B45" s="74">
        <v>2.4</v>
      </c>
      <c r="C45" s="71">
        <v>37.976399999999998</v>
      </c>
      <c r="D45" s="132">
        <f t="array" ref="D45">MOD(ROW(), 3) + 1</f>
        <v>1</v>
      </c>
      <c r="E45" s="64"/>
      <c r="F45" s="13">
        <f t="array" ref="F45">IFERROR(INDEX($B$1:$B$1109, SMALL(IF($D$1:$D$1109=$E$3,ROW($D$1:$D$1109)),ROW()-2),1),"")</f>
        <v>3.5</v>
      </c>
      <c r="G45" s="13">
        <f t="array" ref="G45">IFERROR(INDEX($C$1:$C$1109, SMALL(IF($D$1:$D$1109=$E$3,ROW($D$1:$D$1109)),ROW()-2),1),"")</f>
        <v>31.3</v>
      </c>
      <c r="H45" s="140">
        <f t="array" ref="H45">IFERROR(INDEX($B$1:$B$1109, SMALL(IF($D$1:$D$1109=$E$4,ROW($D$1:$D$1109)),ROW()-2),1),"")</f>
        <v>3.6</v>
      </c>
      <c r="I45" s="140">
        <f t="array" ref="I45">IFERROR(INDEX($C$1:$C$1109, SMALL(IF($D$1:$D$1109=$E$4,ROW($D$1:$D$1109)),ROW()-2),1),"")</f>
        <v>32.1</v>
      </c>
      <c r="J45" s="10">
        <f t="array" ref="J45">IFERROR(INDEX($B$1:$B$1109, SMALL(IF($D$1:$D$1109=$E$5,ROW($D$1:$D$1109)),ROW()-2),1),"")</f>
        <v>4</v>
      </c>
      <c r="K45" s="10">
        <f t="array" ref="K45">IFERROR(INDEX($C$1:$C$1109, SMALL(IF($D$1:$D$1109=$E$5,ROW($D$1:$D$1109)),ROW()-2),1),"")</f>
        <v>27.736599999999999</v>
      </c>
      <c r="L45" s="62"/>
      <c r="R45" s="13">
        <v>3.5</v>
      </c>
      <c r="S45" s="13">
        <v>31.3</v>
      </c>
      <c r="T45" s="140">
        <v>3.6</v>
      </c>
      <c r="U45" s="140">
        <v>32.1</v>
      </c>
      <c r="V45" s="10">
        <v>4</v>
      </c>
      <c r="W45" s="10">
        <v>27.736599999999999</v>
      </c>
    </row>
    <row r="46" spans="1:23" ht="15.75">
      <c r="A46" s="64">
        <f t="shared" ca="1" si="0"/>
        <v>0.95130882110962622</v>
      </c>
      <c r="B46" s="74">
        <v>3</v>
      </c>
      <c r="C46" s="71">
        <v>34.799999999999997</v>
      </c>
      <c r="D46" s="132">
        <f t="array" ref="D46">MOD(ROW(), 3) + 1</f>
        <v>2</v>
      </c>
      <c r="E46" s="64"/>
      <c r="F46" s="13">
        <f t="array" ref="F46">IFERROR(INDEX($B$1:$B$1109, SMALL(IF($D$1:$D$1109=$E$3,ROW($D$1:$D$1109)),ROW()-2),1),"")</f>
        <v>6.3</v>
      </c>
      <c r="G46" s="13">
        <f t="array" ref="G46">IFERROR(INDEX($C$1:$C$1109, SMALL(IF($D$1:$D$1109=$E$3,ROW($D$1:$D$1109)),ROW()-2),1),"")</f>
        <v>24.7</v>
      </c>
      <c r="H46" s="140">
        <f t="array" ref="H46">IFERROR(INDEX($B$1:$B$1109, SMALL(IF($D$1:$D$1109=$E$4,ROW($D$1:$D$1109)),ROW()-2),1),"")</f>
        <v>2.4</v>
      </c>
      <c r="I46" s="140">
        <f t="array" ref="I46">IFERROR(INDEX($C$1:$C$1109, SMALL(IF($D$1:$D$1109=$E$4,ROW($D$1:$D$1109)),ROW()-2),1),"")</f>
        <v>45.1</v>
      </c>
      <c r="J46" s="10">
        <f t="array" ref="J46">IFERROR(INDEX($B$1:$B$1109, SMALL(IF($D$1:$D$1109=$E$5,ROW($D$1:$D$1109)),ROW()-2),1),"")</f>
        <v>5</v>
      </c>
      <c r="K46" s="10">
        <f t="array" ref="K46">IFERROR(INDEX($C$1:$C$1109, SMALL(IF($D$1:$D$1109=$E$5,ROW($D$1:$D$1109)),ROW()-2),1),"")</f>
        <v>30.802700000000002</v>
      </c>
      <c r="L46" s="62"/>
      <c r="R46" s="13">
        <v>6.3</v>
      </c>
      <c r="S46" s="13">
        <v>24.7</v>
      </c>
      <c r="T46" s="140">
        <v>2.4</v>
      </c>
      <c r="U46" s="140">
        <v>45.1</v>
      </c>
      <c r="V46" s="10">
        <v>5</v>
      </c>
      <c r="W46" s="10">
        <v>30.802700000000002</v>
      </c>
    </row>
    <row r="47" spans="1:23" ht="15.75">
      <c r="A47" s="64">
        <f t="shared" ca="1" si="0"/>
        <v>0.61185524092728394</v>
      </c>
      <c r="B47" s="74">
        <v>5.5</v>
      </c>
      <c r="C47" s="71">
        <v>29.8</v>
      </c>
      <c r="D47" s="132">
        <f t="array" ref="D47">MOD(ROW(), 3) + 1</f>
        <v>3</v>
      </c>
      <c r="E47" s="64"/>
      <c r="F47" s="13">
        <f t="array" ref="F47">IFERROR(INDEX($B$1:$B$1109, SMALL(IF($D$1:$D$1109=$E$3,ROW($D$1:$D$1109)),ROW()-2),1),"")</f>
        <v>3.5</v>
      </c>
      <c r="G47" s="13">
        <f t="array" ref="G47">IFERROR(INDEX($C$1:$C$1109, SMALL(IF($D$1:$D$1109=$E$3,ROW($D$1:$D$1109)),ROW()-2),1),"")</f>
        <v>33.200000000000003</v>
      </c>
      <c r="H47" s="140">
        <f t="array" ref="H47">IFERROR(INDEX($B$1:$B$1109, SMALL(IF($D$1:$D$1109=$E$4,ROW($D$1:$D$1109)),ROW()-2),1),"")</f>
        <v>5</v>
      </c>
      <c r="I47" s="140">
        <f t="array" ref="I47">IFERROR(INDEX($C$1:$C$1109, SMALL(IF($D$1:$D$1109=$E$4,ROW($D$1:$D$1109)),ROW()-2),1),"")</f>
        <v>24.572199999999999</v>
      </c>
      <c r="J47" s="10">
        <f t="array" ref="J47">IFERROR(INDEX($B$1:$B$1109, SMALL(IF($D$1:$D$1109=$E$5,ROW($D$1:$D$1109)),ROW()-2),1),"")</f>
        <v>6.8</v>
      </c>
      <c r="K47" s="10">
        <f t="array" ref="K47">IFERROR(INDEX($C$1:$C$1109, SMALL(IF($D$1:$D$1109=$E$5,ROW($D$1:$D$1109)),ROW()-2),1),"")</f>
        <v>21.006</v>
      </c>
      <c r="L47" s="62"/>
      <c r="R47" s="13">
        <v>3.5</v>
      </c>
      <c r="S47" s="13">
        <v>33.200000000000003</v>
      </c>
      <c r="T47" s="140">
        <v>5</v>
      </c>
      <c r="U47" s="140">
        <v>24.572199999999999</v>
      </c>
      <c r="V47" s="10">
        <v>6.8</v>
      </c>
      <c r="W47" s="10">
        <v>21.006</v>
      </c>
    </row>
    <row r="48" spans="1:23" ht="15.75">
      <c r="A48" s="64">
        <f t="shared" ca="1" si="0"/>
        <v>0.97827449855980242</v>
      </c>
      <c r="B48" s="74">
        <v>5.3</v>
      </c>
      <c r="C48" s="71">
        <v>26.6</v>
      </c>
      <c r="D48" s="132">
        <f t="array" ref="D48">MOD(ROW(), 3) + 1</f>
        <v>1</v>
      </c>
      <c r="E48" s="64"/>
      <c r="F48" s="13">
        <f t="array" ref="F48">IFERROR(INDEX($B$1:$B$1109, SMALL(IF($D$1:$D$1109=$E$3,ROW($D$1:$D$1109)),ROW()-2),1),"")</f>
        <v>4</v>
      </c>
      <c r="G48" s="13">
        <f t="array" ref="G48">IFERROR(INDEX($C$1:$C$1109, SMALL(IF($D$1:$D$1109=$E$3,ROW($D$1:$D$1109)),ROW()-2),1),"")</f>
        <v>28.4</v>
      </c>
      <c r="H48" s="140">
        <f t="array" ref="H48">IFERROR(INDEX($B$1:$B$1109, SMALL(IF($D$1:$D$1109=$E$4,ROW($D$1:$D$1109)),ROW()-2),1),"")</f>
        <v>5.3</v>
      </c>
      <c r="I48" s="140">
        <f t="array" ref="I48">IFERROR(INDEX($C$1:$C$1109, SMALL(IF($D$1:$D$1109=$E$4,ROW($D$1:$D$1109)),ROW()-2),1),"")</f>
        <v>22.761900000000001</v>
      </c>
      <c r="J48" s="10">
        <f t="array" ref="J48">IFERROR(INDEX($B$1:$B$1109, SMALL(IF($D$1:$D$1109=$E$5,ROW($D$1:$D$1109)),ROW()-2),1),"")</f>
        <v>2.4</v>
      </c>
      <c r="K48" s="10">
        <f t="array" ref="K48">IFERROR(INDEX($C$1:$C$1109, SMALL(IF($D$1:$D$1109=$E$5,ROW($D$1:$D$1109)),ROW()-2),1),"")</f>
        <v>39.347999999999999</v>
      </c>
      <c r="L48" s="62"/>
      <c r="R48" s="13">
        <v>4</v>
      </c>
      <c r="S48" s="13">
        <v>28.4</v>
      </c>
      <c r="T48" s="140">
        <v>5.3</v>
      </c>
      <c r="U48" s="140">
        <v>22.761900000000001</v>
      </c>
      <c r="V48" s="10">
        <v>2.4</v>
      </c>
      <c r="W48" s="10">
        <v>39.347999999999999</v>
      </c>
    </row>
    <row r="49" spans="1:23" ht="15.75">
      <c r="A49" s="64">
        <f t="shared" ca="1" si="0"/>
        <v>0.86282359698196209</v>
      </c>
      <c r="B49" s="74">
        <v>2.5</v>
      </c>
      <c r="C49" s="71">
        <v>37.6</v>
      </c>
      <c r="D49" s="132">
        <f t="array" ref="D49">MOD(ROW(), 3) + 1</f>
        <v>2</v>
      </c>
      <c r="E49" s="64"/>
      <c r="F49" s="13">
        <f t="array" ref="F49">IFERROR(INDEX($B$1:$B$1109, SMALL(IF($D$1:$D$1109=$E$3,ROW($D$1:$D$1109)),ROW()-2),1),"")</f>
        <v>2.4</v>
      </c>
      <c r="G49" s="13">
        <f t="array" ref="G49">IFERROR(INDEX($C$1:$C$1109, SMALL(IF($D$1:$D$1109=$E$3,ROW($D$1:$D$1109)),ROW()-2),1),"")</f>
        <v>35.241799999999998</v>
      </c>
      <c r="H49" s="140">
        <f t="array" ref="H49">IFERROR(INDEX($B$1:$B$1109, SMALL(IF($D$1:$D$1109=$E$4,ROW($D$1:$D$1109)),ROW()-2),1),"")</f>
        <v>5.7</v>
      </c>
      <c r="I49" s="140">
        <f t="array" ref="I49">IFERROR(INDEX($C$1:$C$1109, SMALL(IF($D$1:$D$1109=$E$4,ROW($D$1:$D$1109)),ROW()-2),1),"")</f>
        <v>24.149100000000001</v>
      </c>
      <c r="J49" s="10">
        <f t="array" ref="J49">IFERROR(INDEX($B$1:$B$1109, SMALL(IF($D$1:$D$1109=$E$5,ROW($D$1:$D$1109)),ROW()-2),1),"")</f>
        <v>3</v>
      </c>
      <c r="K49" s="10">
        <f t="array" ref="K49">IFERROR(INDEX($C$1:$C$1109, SMALL(IF($D$1:$D$1109=$E$5,ROW($D$1:$D$1109)),ROW()-2),1),"")</f>
        <v>29.6</v>
      </c>
      <c r="L49" s="62"/>
      <c r="R49" s="13">
        <v>2.4</v>
      </c>
      <c r="S49" s="13">
        <v>35.241799999999998</v>
      </c>
      <c r="T49" s="140">
        <v>5.7</v>
      </c>
      <c r="U49" s="140">
        <v>24.149100000000001</v>
      </c>
      <c r="V49" s="10">
        <v>3</v>
      </c>
      <c r="W49" s="10">
        <v>29.6</v>
      </c>
    </row>
    <row r="50" spans="1:23" ht="15.75">
      <c r="A50" s="64">
        <f t="shared" ca="1" si="0"/>
        <v>0.72213242164326152</v>
      </c>
      <c r="B50" s="74">
        <v>3.7</v>
      </c>
      <c r="C50" s="71">
        <v>34.730499999999999</v>
      </c>
      <c r="D50" s="132">
        <f t="array" ref="D50">MOD(ROW(), 3) + 1</f>
        <v>3</v>
      </c>
      <c r="E50" s="64"/>
      <c r="F50" s="13">
        <f t="array" ref="F50">IFERROR(INDEX($B$1:$B$1109, SMALL(IF($D$1:$D$1109=$E$3,ROW($D$1:$D$1109)),ROW()-2),1),"")</f>
        <v>2</v>
      </c>
      <c r="G50" s="13">
        <f t="array" ref="G50">IFERROR(INDEX($C$1:$C$1109, SMALL(IF($D$1:$D$1109=$E$3,ROW($D$1:$D$1109)),ROW()-2),1),"")</f>
        <v>47.512900000000002</v>
      </c>
      <c r="H50" s="140">
        <f t="array" ref="H50">IFERROR(INDEX($B$1:$B$1109, SMALL(IF($D$1:$D$1109=$E$4,ROW($D$1:$D$1109)),ROW()-2),1),"")</f>
        <v>2</v>
      </c>
      <c r="I50" s="140">
        <f t="array" ref="I50">IFERROR(INDEX($C$1:$C$1109, SMALL(IF($D$1:$D$1109=$E$4,ROW($D$1:$D$1109)),ROW()-2),1),"")</f>
        <v>58.534999999999997</v>
      </c>
      <c r="J50" s="10">
        <f t="array" ref="J50">IFERROR(INDEX($B$1:$B$1109, SMALL(IF($D$1:$D$1109=$E$5,ROW($D$1:$D$1109)),ROW()-2),1),"")</f>
        <v>2.4</v>
      </c>
      <c r="K50" s="10">
        <f t="array" ref="K50">IFERROR(INDEX($C$1:$C$1109, SMALL(IF($D$1:$D$1109=$E$5,ROW($D$1:$D$1109)),ROW()-2),1),"")</f>
        <v>37.071100000000001</v>
      </c>
      <c r="L50" s="62"/>
      <c r="R50" s="13">
        <v>2</v>
      </c>
      <c r="S50" s="13">
        <v>47.512900000000002</v>
      </c>
      <c r="T50" s="140">
        <v>2</v>
      </c>
      <c r="U50" s="140">
        <v>58.534999999999997</v>
      </c>
      <c r="V50" s="10">
        <v>2.4</v>
      </c>
      <c r="W50" s="10">
        <v>37.071100000000001</v>
      </c>
    </row>
    <row r="51" spans="1:23" ht="15.75">
      <c r="A51" s="64">
        <f t="shared" ca="1" si="0"/>
        <v>5.6534308149125745E-2</v>
      </c>
      <c r="B51" s="74">
        <v>2</v>
      </c>
      <c r="C51" s="71">
        <v>47.7</v>
      </c>
      <c r="D51" s="132">
        <f t="array" ref="D51">MOD(ROW(), 3) + 1</f>
        <v>1</v>
      </c>
      <c r="E51" s="64"/>
      <c r="F51" s="13">
        <f t="array" ref="F51">IFERROR(INDEX($B$1:$B$1109, SMALL(IF($D$1:$D$1109=$E$3,ROW($D$1:$D$1109)),ROW()-2),1),"")</f>
        <v>5.4</v>
      </c>
      <c r="G51" s="13">
        <f t="array" ref="G51">IFERROR(INDEX($C$1:$C$1109, SMALL(IF($D$1:$D$1109=$E$3,ROW($D$1:$D$1109)),ROW()-2),1),"")</f>
        <v>27.0426</v>
      </c>
      <c r="H51" s="140">
        <f t="array" ref="H51">IFERROR(INDEX($B$1:$B$1109, SMALL(IF($D$1:$D$1109=$E$4,ROW($D$1:$D$1109)),ROW()-2),1),"")</f>
        <v>3.5</v>
      </c>
      <c r="I51" s="140">
        <f t="array" ref="I51">IFERROR(INDEX($C$1:$C$1109, SMALL(IF($D$1:$D$1109=$E$4,ROW($D$1:$D$1109)),ROW()-2),1),"")</f>
        <v>34.749400000000001</v>
      </c>
      <c r="J51" s="10">
        <f t="array" ref="J51">IFERROR(INDEX($B$1:$B$1109, SMALL(IF($D$1:$D$1109=$E$5,ROW($D$1:$D$1109)),ROW()-2),1),"")</f>
        <v>2.7</v>
      </c>
      <c r="K51" s="10">
        <f t="array" ref="K51">IFERROR(INDEX($C$1:$C$1109, SMALL(IF($D$1:$D$1109=$E$5,ROW($D$1:$D$1109)),ROW()-2),1),"")</f>
        <v>35.700000000000003</v>
      </c>
      <c r="L51" s="62"/>
      <c r="R51" s="13">
        <v>5.4</v>
      </c>
      <c r="S51" s="13">
        <v>27.0426</v>
      </c>
      <c r="T51" s="140">
        <v>3.5</v>
      </c>
      <c r="U51" s="140">
        <v>34.749400000000001</v>
      </c>
      <c r="V51" s="10">
        <v>2.7</v>
      </c>
      <c r="W51" s="10">
        <v>35.700000000000003</v>
      </c>
    </row>
    <row r="52" spans="1:23" ht="15.75">
      <c r="A52" s="64">
        <f t="shared" ca="1" si="0"/>
        <v>0.56798825734758573</v>
      </c>
      <c r="B52" s="74">
        <v>3.5</v>
      </c>
      <c r="C52" s="71">
        <v>36</v>
      </c>
      <c r="D52" s="132">
        <f t="array" ref="D52">MOD(ROW(), 3) + 1</f>
        <v>2</v>
      </c>
      <c r="E52" s="64"/>
      <c r="F52" s="13">
        <f t="array" ref="F52">IFERROR(INDEX($B$1:$B$1109, SMALL(IF($D$1:$D$1109=$E$3,ROW($D$1:$D$1109)),ROW()-2),1),"")</f>
        <v>2.5</v>
      </c>
      <c r="G52" s="13">
        <f t="array" ref="G52">IFERROR(INDEX($C$1:$C$1109, SMALL(IF($D$1:$D$1109=$E$3,ROW($D$1:$D$1109)),ROW()-2),1),"")</f>
        <v>40.187600000000003</v>
      </c>
      <c r="H52" s="140">
        <f t="array" ref="H52">IFERROR(INDEX($B$1:$B$1109, SMALL(IF($D$1:$D$1109=$E$4,ROW($D$1:$D$1109)),ROW()-2),1),"")</f>
        <v>5.7</v>
      </c>
      <c r="I52" s="140">
        <f t="array" ref="I52">IFERROR(INDEX($C$1:$C$1109, SMALL(IF($D$1:$D$1109=$E$4,ROW($D$1:$D$1109)),ROW()-2),1),"")</f>
        <v>26</v>
      </c>
      <c r="J52" s="10">
        <f t="array" ref="J52">IFERROR(INDEX($B$1:$B$1109, SMALL(IF($D$1:$D$1109=$E$5,ROW($D$1:$D$1109)),ROW()-2),1),"")</f>
        <v>2.4</v>
      </c>
      <c r="K52" s="10">
        <f t="array" ref="K52">IFERROR(INDEX($C$1:$C$1109, SMALL(IF($D$1:$D$1109=$E$5,ROW($D$1:$D$1109)),ROW()-2),1),"")</f>
        <v>46.8</v>
      </c>
      <c r="L52" s="62"/>
      <c r="R52" s="13">
        <v>2.5</v>
      </c>
      <c r="S52" s="13">
        <v>40.187600000000003</v>
      </c>
      <c r="T52" s="140">
        <v>5.7</v>
      </c>
      <c r="U52" s="140">
        <v>26</v>
      </c>
      <c r="V52" s="10">
        <v>2.4</v>
      </c>
      <c r="W52" s="10">
        <v>46.8</v>
      </c>
    </row>
    <row r="53" spans="1:23" ht="15.75">
      <c r="A53" s="64">
        <f t="shared" ca="1" si="0"/>
        <v>0.40295729008773817</v>
      </c>
      <c r="B53" s="74">
        <v>4.4000000000000004</v>
      </c>
      <c r="C53" s="71">
        <v>27.7</v>
      </c>
      <c r="D53" s="132">
        <f t="array" ref="D53">MOD(ROW(), 3) + 1</f>
        <v>3</v>
      </c>
      <c r="E53" s="64"/>
      <c r="F53" s="13">
        <f t="array" ref="F53">IFERROR(INDEX($B$1:$B$1109, SMALL(IF($D$1:$D$1109=$E$3,ROW($D$1:$D$1109)),ROW()-2),1),"")</f>
        <v>4.5999999999999996</v>
      </c>
      <c r="G53" s="13">
        <f t="array" ref="G53">IFERROR(INDEX($C$1:$C$1109, SMALL(IF($D$1:$D$1109=$E$3,ROW($D$1:$D$1109)),ROW()-2),1),"")</f>
        <v>27.106100000000001</v>
      </c>
      <c r="H53" s="140">
        <f t="array" ref="H53">IFERROR(INDEX($B$1:$B$1109, SMALL(IF($D$1:$D$1109=$E$4,ROW($D$1:$D$1109)),ROW()-2),1),"")</f>
        <v>2.4</v>
      </c>
      <c r="I53" s="140">
        <f t="array" ref="I53">IFERROR(INDEX($C$1:$C$1109, SMALL(IF($D$1:$D$1109=$E$4,ROW($D$1:$D$1109)),ROW()-2),1),"")</f>
        <v>45.1</v>
      </c>
      <c r="J53" s="10">
        <f t="array" ref="J53">IFERROR(INDEX($B$1:$B$1109, SMALL(IF($D$1:$D$1109=$E$5,ROW($D$1:$D$1109)),ROW()-2),1),"")</f>
        <v>3.5</v>
      </c>
      <c r="K53" s="10">
        <f t="array" ref="K53">IFERROR(INDEX($C$1:$C$1109, SMALL(IF($D$1:$D$1109=$E$5,ROW($D$1:$D$1109)),ROW()-2),1),"")</f>
        <v>33.5</v>
      </c>
      <c r="L53" s="62"/>
      <c r="R53" s="13">
        <v>4.5999999999999996</v>
      </c>
      <c r="S53" s="13">
        <v>27.106100000000001</v>
      </c>
      <c r="T53" s="140">
        <v>2.4</v>
      </c>
      <c r="U53" s="140">
        <v>45.1</v>
      </c>
      <c r="V53" s="10">
        <v>3.5</v>
      </c>
      <c r="W53" s="10">
        <v>33.5</v>
      </c>
    </row>
    <row r="54" spans="1:23" ht="15.75">
      <c r="A54" s="64">
        <f t="shared" ca="1" si="0"/>
        <v>0.2118757308126954</v>
      </c>
      <c r="B54" s="74">
        <v>4</v>
      </c>
      <c r="C54" s="71">
        <v>24.4</v>
      </c>
      <c r="D54" s="132">
        <f t="array" ref="D54">MOD(ROW(), 3) + 1</f>
        <v>1</v>
      </c>
      <c r="E54" s="64"/>
      <c r="F54" s="13">
        <f t="array" ref="F54">IFERROR(INDEX($B$1:$B$1109, SMALL(IF($D$1:$D$1109=$E$3,ROW($D$1:$D$1109)),ROW()-2),1),"")</f>
        <v>3.5</v>
      </c>
      <c r="G54" s="13">
        <f t="array" ref="G54">IFERROR(INDEX($C$1:$C$1109, SMALL(IF($D$1:$D$1109=$E$3,ROW($D$1:$D$1109)),ROW()-2),1),"")</f>
        <v>41.2</v>
      </c>
      <c r="H54" s="140">
        <f t="array" ref="H54">IFERROR(INDEX($B$1:$B$1109, SMALL(IF($D$1:$D$1109=$E$4,ROW($D$1:$D$1109)),ROW()-2),1),"")</f>
        <v>1.3</v>
      </c>
      <c r="I54" s="140">
        <f t="array" ref="I54">IFERROR(INDEX($C$1:$C$1109, SMALL(IF($D$1:$D$1109=$E$4,ROW($D$1:$D$1109)),ROW()-2),1),"")</f>
        <v>62.267400000000002</v>
      </c>
      <c r="J54" s="10">
        <f t="array" ref="J54">IFERROR(INDEX($B$1:$B$1109, SMALL(IF($D$1:$D$1109=$E$5,ROW($D$1:$D$1109)),ROW()-2),1),"")</f>
        <v>3</v>
      </c>
      <c r="K54" s="10">
        <f t="array" ref="K54">IFERROR(INDEX($C$1:$C$1109, SMALL(IF($D$1:$D$1109=$E$5,ROW($D$1:$D$1109)),ROW()-2),1),"")</f>
        <v>34.285299999999999</v>
      </c>
      <c r="L54" s="62"/>
      <c r="R54" s="13">
        <v>3.5</v>
      </c>
      <c r="S54" s="13">
        <v>41.2</v>
      </c>
      <c r="T54" s="140">
        <v>1.3</v>
      </c>
      <c r="U54" s="140">
        <v>62.267400000000002</v>
      </c>
      <c r="V54" s="10">
        <v>3</v>
      </c>
      <c r="W54" s="10">
        <v>34.285299999999999</v>
      </c>
    </row>
    <row r="55" spans="1:23" ht="15.75">
      <c r="A55" s="64">
        <f t="shared" ca="1" si="0"/>
        <v>0.78778141438277793</v>
      </c>
      <c r="B55" s="74">
        <v>2</v>
      </c>
      <c r="C55" s="71">
        <v>37.798900000000003</v>
      </c>
      <c r="D55" s="132">
        <f t="array" ref="D55">MOD(ROW(), 3) + 1</f>
        <v>2</v>
      </c>
      <c r="E55" s="64"/>
      <c r="F55" s="13">
        <f t="array" ref="F55">IFERROR(INDEX($B$1:$B$1109, SMALL(IF($D$1:$D$1109=$E$3,ROW($D$1:$D$1109)),ROW()-2),1),"")</f>
        <v>3</v>
      </c>
      <c r="G55" s="13">
        <f t="array" ref="G55">IFERROR(INDEX($C$1:$C$1109, SMALL(IF($D$1:$D$1109=$E$3,ROW($D$1:$D$1109)),ROW()-2),1),"")</f>
        <v>34.7286</v>
      </c>
      <c r="H55" s="140">
        <f t="array" ref="H55">IFERROR(INDEX($B$1:$B$1109, SMALL(IF($D$1:$D$1109=$E$4,ROW($D$1:$D$1109)),ROW()-2),1),"")</f>
        <v>3.4</v>
      </c>
      <c r="I55" s="140">
        <f t="array" ref="I55">IFERROR(INDEX($C$1:$C$1109, SMALL(IF($D$1:$D$1109=$E$4,ROW($D$1:$D$1109)),ROW()-2),1),"")</f>
        <v>36.729900000000001</v>
      </c>
      <c r="J55" s="10">
        <f t="array" ref="J55">IFERROR(INDEX($B$1:$B$1109, SMALL(IF($D$1:$D$1109=$E$5,ROW($D$1:$D$1109)),ROW()-2),1),"")</f>
        <v>2.5</v>
      </c>
      <c r="K55" s="10">
        <f t="array" ref="K55">IFERROR(INDEX($C$1:$C$1109, SMALL(IF($D$1:$D$1109=$E$5,ROW($D$1:$D$1109)),ROW()-2),1),"")</f>
        <v>38.4</v>
      </c>
      <c r="L55" s="62"/>
      <c r="R55" s="13">
        <v>3</v>
      </c>
      <c r="S55" s="13">
        <v>34.7286</v>
      </c>
      <c r="T55" s="140">
        <v>3.4</v>
      </c>
      <c r="U55" s="140">
        <v>36.729900000000001</v>
      </c>
      <c r="V55" s="10">
        <v>2.5</v>
      </c>
      <c r="W55" s="10">
        <v>38.4</v>
      </c>
    </row>
    <row r="56" spans="1:23" ht="15.75">
      <c r="A56" s="64">
        <f t="shared" ca="1" si="0"/>
        <v>0.742555372440728</v>
      </c>
      <c r="B56" s="74">
        <v>2.5</v>
      </c>
      <c r="C56" s="71">
        <v>39.375300000000003</v>
      </c>
      <c r="D56" s="132">
        <f t="array" ref="D56">MOD(ROW(), 3) + 1</f>
        <v>3</v>
      </c>
      <c r="E56" s="64"/>
      <c r="F56" s="13">
        <f t="array" ref="F56">IFERROR(INDEX($B$1:$B$1109, SMALL(IF($D$1:$D$1109=$E$3,ROW($D$1:$D$1109)),ROW()-2),1),"")</f>
        <v>1.6</v>
      </c>
      <c r="G56" s="13">
        <f t="array" ref="G56">IFERROR(INDEX($C$1:$C$1109, SMALL(IF($D$1:$D$1109=$E$3,ROW($D$1:$D$1109)),ROW()-2),1),"")</f>
        <v>44.571399999999997</v>
      </c>
      <c r="H56" s="140">
        <f t="array" ref="H56">IFERROR(INDEX($B$1:$B$1109, SMALL(IF($D$1:$D$1109=$E$4,ROW($D$1:$D$1109)),ROW()-2),1),"")</f>
        <v>3</v>
      </c>
      <c r="I56" s="140">
        <f t="array" ref="I56">IFERROR(INDEX($C$1:$C$1109, SMALL(IF($D$1:$D$1109=$E$4,ROW($D$1:$D$1109)),ROW()-2),1),"")</f>
        <v>35.708100000000002</v>
      </c>
      <c r="J56" s="10">
        <f t="array" ref="J56">IFERROR(INDEX($B$1:$B$1109, SMALL(IF($D$1:$D$1109=$E$5,ROW($D$1:$D$1109)),ROW()-2),1),"")</f>
        <v>3.5</v>
      </c>
      <c r="K56" s="10">
        <f t="array" ref="K56">IFERROR(INDEX($C$1:$C$1109, SMALL(IF($D$1:$D$1109=$E$5,ROW($D$1:$D$1109)),ROW()-2),1),"")</f>
        <v>28.7</v>
      </c>
      <c r="L56" s="62"/>
      <c r="R56" s="13">
        <v>1.6</v>
      </c>
      <c r="S56" s="13">
        <v>44.571399999999997</v>
      </c>
      <c r="T56" s="140">
        <v>3</v>
      </c>
      <c r="U56" s="140">
        <v>35.708100000000002</v>
      </c>
      <c r="V56" s="10">
        <v>3.5</v>
      </c>
      <c r="W56" s="10">
        <v>28.7</v>
      </c>
    </row>
    <row r="57" spans="1:23" ht="15.75">
      <c r="A57" s="64">
        <f t="shared" ca="1" si="0"/>
        <v>0.44640239007303206</v>
      </c>
      <c r="B57" s="74">
        <v>4.3</v>
      </c>
      <c r="C57" s="71">
        <v>31.6</v>
      </c>
      <c r="D57" s="132">
        <f t="array" ref="D57">MOD(ROW(), 3) + 1</f>
        <v>1</v>
      </c>
      <c r="E57" s="64"/>
      <c r="F57" s="13">
        <f t="array" ref="F57">IFERROR(INDEX($B$1:$B$1109, SMALL(IF($D$1:$D$1109=$E$3,ROW($D$1:$D$1109)),ROW()-2),1),"")</f>
        <v>3.5</v>
      </c>
      <c r="G57" s="13">
        <f t="array" ref="G57">IFERROR(INDEX($C$1:$C$1109, SMALL(IF($D$1:$D$1109=$E$3,ROW($D$1:$D$1109)),ROW()-2),1),"")</f>
        <v>37.6</v>
      </c>
      <c r="H57" s="140">
        <f t="array" ref="H57">IFERROR(INDEX($B$1:$B$1109, SMALL(IF($D$1:$D$1109=$E$4,ROW($D$1:$D$1109)),ROW()-2),1),"")</f>
        <v>3.5</v>
      </c>
      <c r="I57" s="140">
        <f t="array" ref="I57">IFERROR(INDEX($C$1:$C$1109, SMALL(IF($D$1:$D$1109=$E$4,ROW($D$1:$D$1109)),ROW()-2),1),"")</f>
        <v>33.9</v>
      </c>
      <c r="J57" s="10">
        <f t="array" ref="J57">IFERROR(INDEX($B$1:$B$1109, SMALL(IF($D$1:$D$1109=$E$5,ROW($D$1:$D$1109)),ROW()-2),1),"")</f>
        <v>3</v>
      </c>
      <c r="K57" s="10">
        <f t="array" ref="K57">IFERROR(INDEX($C$1:$C$1109, SMALL(IF($D$1:$D$1109=$E$5,ROW($D$1:$D$1109)),ROW()-2),1),"")</f>
        <v>35.267800000000001</v>
      </c>
      <c r="L57" s="62"/>
      <c r="R57" s="13">
        <v>3.5</v>
      </c>
      <c r="S57" s="13">
        <v>37.6</v>
      </c>
      <c r="T57" s="140">
        <v>3.5</v>
      </c>
      <c r="U57" s="140">
        <v>33.9</v>
      </c>
      <c r="V57" s="10">
        <v>3</v>
      </c>
      <c r="W57" s="10">
        <v>35.267800000000001</v>
      </c>
    </row>
    <row r="58" spans="1:23" ht="15.75">
      <c r="A58" s="64">
        <f t="shared" ca="1" si="0"/>
        <v>0.33417715846224094</v>
      </c>
      <c r="B58" s="74">
        <v>1.6</v>
      </c>
      <c r="C58" s="71">
        <v>47.3</v>
      </c>
      <c r="D58" s="132">
        <f t="array" ref="D58">MOD(ROW(), 3) + 1</f>
        <v>2</v>
      </c>
      <c r="E58" s="64"/>
      <c r="F58" s="13">
        <f t="array" ref="F58">IFERROR(INDEX($B$1:$B$1109, SMALL(IF($D$1:$D$1109=$E$3,ROW($D$1:$D$1109)),ROW()-2),1),"")</f>
        <v>4</v>
      </c>
      <c r="G58" s="13">
        <f t="array" ref="G58">IFERROR(INDEX($C$1:$C$1109, SMALL(IF($D$1:$D$1109=$E$3,ROW($D$1:$D$1109)),ROW()-2),1),"")</f>
        <v>30</v>
      </c>
      <c r="H58" s="140">
        <f t="array" ref="H58">IFERROR(INDEX($B$1:$B$1109, SMALL(IF($D$1:$D$1109=$E$4,ROW($D$1:$D$1109)),ROW()-2),1),"")</f>
        <v>4.4000000000000004</v>
      </c>
      <c r="I58" s="140">
        <f t="array" ref="I58">IFERROR(INDEX($C$1:$C$1109, SMALL(IF($D$1:$D$1109=$E$4,ROW($D$1:$D$1109)),ROW()-2),1),"")</f>
        <v>24.9</v>
      </c>
      <c r="J58" s="10">
        <f t="array" ref="J58">IFERROR(INDEX($B$1:$B$1109, SMALL(IF($D$1:$D$1109=$E$5,ROW($D$1:$D$1109)),ROW()-2),1),"")</f>
        <v>2.5</v>
      </c>
      <c r="K58" s="10">
        <f t="array" ref="K58">IFERROR(INDEX($C$1:$C$1109, SMALL(IF($D$1:$D$1109=$E$5,ROW($D$1:$D$1109)),ROW()-2),1),"")</f>
        <v>40.4</v>
      </c>
      <c r="L58" s="62"/>
      <c r="R58" s="13">
        <v>4</v>
      </c>
      <c r="S58" s="13">
        <v>30</v>
      </c>
      <c r="T58" s="140">
        <v>4.4000000000000004</v>
      </c>
      <c r="U58" s="140">
        <v>24.9</v>
      </c>
      <c r="V58" s="10">
        <v>2.5</v>
      </c>
      <c r="W58" s="10">
        <v>40.4</v>
      </c>
    </row>
    <row r="59" spans="1:23" ht="15.75">
      <c r="A59" s="64">
        <f t="shared" ca="1" si="0"/>
        <v>0.72659260968693262</v>
      </c>
      <c r="B59" s="74">
        <v>2.5</v>
      </c>
      <c r="C59" s="71">
        <v>36.030700000000003</v>
      </c>
      <c r="D59" s="132">
        <f t="array" ref="D59">MOD(ROW(), 3) + 1</f>
        <v>3</v>
      </c>
      <c r="E59" s="64"/>
      <c r="F59" s="13">
        <f t="array" ref="F59">IFERROR(INDEX($B$1:$B$1109, SMALL(IF($D$1:$D$1109=$E$3,ROW($D$1:$D$1109)),ROW()-2),1),"")</f>
        <v>3</v>
      </c>
      <c r="G59" s="13">
        <f t="array" ref="G59">IFERROR(INDEX($C$1:$C$1109, SMALL(IF($D$1:$D$1109=$E$3,ROW($D$1:$D$1109)),ROW()-2),1),"")</f>
        <v>32.1</v>
      </c>
      <c r="H59" s="140">
        <f t="array" ref="H59">IFERROR(INDEX($B$1:$B$1109, SMALL(IF($D$1:$D$1109=$E$4,ROW($D$1:$D$1109)),ROW()-2),1),"")</f>
        <v>3.7</v>
      </c>
      <c r="I59" s="140">
        <f t="array" ref="I59">IFERROR(INDEX($C$1:$C$1109, SMALL(IF($D$1:$D$1109=$E$4,ROW($D$1:$D$1109)),ROW()-2),1),"")</f>
        <v>25.1</v>
      </c>
      <c r="J59" s="10">
        <f t="array" ref="J59">IFERROR(INDEX($B$1:$B$1109, SMALL(IF($D$1:$D$1109=$E$5,ROW($D$1:$D$1109)),ROW()-2),1),"")</f>
        <v>5.7</v>
      </c>
      <c r="K59" s="10">
        <f t="array" ref="K59">IFERROR(INDEX($C$1:$C$1109, SMALL(IF($D$1:$D$1109=$E$5,ROW($D$1:$D$1109)),ROW()-2),1),"")</f>
        <v>25.617899999999999</v>
      </c>
      <c r="L59" s="62"/>
      <c r="R59" s="13">
        <v>3</v>
      </c>
      <c r="S59" s="13">
        <v>32.1</v>
      </c>
      <c r="T59" s="140">
        <v>3.7</v>
      </c>
      <c r="U59" s="140">
        <v>25.1</v>
      </c>
      <c r="V59" s="10">
        <v>5.7</v>
      </c>
      <c r="W59" s="10">
        <v>25.617899999999999</v>
      </c>
    </row>
    <row r="60" spans="1:23" ht="15.75">
      <c r="A60" s="64">
        <f t="shared" ca="1" si="0"/>
        <v>0.88502412276200959</v>
      </c>
      <c r="B60" s="74">
        <v>2.5</v>
      </c>
      <c r="C60" s="71">
        <v>37.5</v>
      </c>
      <c r="D60" s="132">
        <f t="array" ref="D60">MOD(ROW(), 3) + 1</f>
        <v>1</v>
      </c>
      <c r="E60" s="64"/>
      <c r="F60" s="13">
        <f t="array" ref="F60">IFERROR(INDEX($B$1:$B$1109, SMALL(IF($D$1:$D$1109=$E$3,ROW($D$1:$D$1109)),ROW()-2),1),"")</f>
        <v>4.2</v>
      </c>
      <c r="G60" s="13">
        <f t="array" ref="G60">IFERROR(INDEX($C$1:$C$1109, SMALL(IF($D$1:$D$1109=$E$3,ROW($D$1:$D$1109)),ROW()-2),1),"")</f>
        <v>26.881699999999999</v>
      </c>
      <c r="H60" s="140">
        <f t="array" ref="H60">IFERROR(INDEX($B$1:$B$1109, SMALL(IF($D$1:$D$1109=$E$4,ROW($D$1:$D$1109)),ROW()-2),1),"")</f>
        <v>3.6</v>
      </c>
      <c r="I60" s="140">
        <f t="array" ref="I60">IFERROR(INDEX($C$1:$C$1109, SMALL(IF($D$1:$D$1109=$E$4,ROW($D$1:$D$1109)),ROW()-2),1),"")</f>
        <v>35.6</v>
      </c>
      <c r="J60" s="10">
        <f t="array" ref="J60">IFERROR(INDEX($B$1:$B$1109, SMALL(IF($D$1:$D$1109=$E$5,ROW($D$1:$D$1109)),ROW()-2),1),"")</f>
        <v>3.6</v>
      </c>
      <c r="K60" s="10">
        <f t="array" ref="K60">IFERROR(INDEX($C$1:$C$1109, SMALL(IF($D$1:$D$1109=$E$5,ROW($D$1:$D$1109)),ROW()-2),1),"")</f>
        <v>40.4</v>
      </c>
      <c r="L60" s="62"/>
      <c r="R60" s="13">
        <v>4.2</v>
      </c>
      <c r="S60" s="13">
        <v>26.881699999999999</v>
      </c>
      <c r="T60" s="140">
        <v>3.6</v>
      </c>
      <c r="U60" s="140">
        <v>35.6</v>
      </c>
      <c r="V60" s="10">
        <v>3.6</v>
      </c>
      <c r="W60" s="10">
        <v>40.4</v>
      </c>
    </row>
    <row r="61" spans="1:23" ht="15.75">
      <c r="A61" s="64">
        <f t="shared" ca="1" si="0"/>
        <v>0.79645345339117546</v>
      </c>
      <c r="B61" s="74">
        <v>3.6</v>
      </c>
      <c r="C61" s="71">
        <v>31</v>
      </c>
      <c r="D61" s="132">
        <f t="array" ref="D61">MOD(ROW(), 3) + 1</f>
        <v>2</v>
      </c>
      <c r="E61" s="64"/>
      <c r="F61" s="13">
        <f t="array" ref="F61">IFERROR(INDEX($B$1:$B$1109, SMALL(IF($D$1:$D$1109=$E$3,ROW($D$1:$D$1109)),ROW()-2),1),"")</f>
        <v>4.8</v>
      </c>
      <c r="G61" s="13">
        <f t="array" ref="G61">IFERROR(INDEX($C$1:$C$1109, SMALL(IF($D$1:$D$1109=$E$3,ROW($D$1:$D$1109)),ROW()-2),1),"")</f>
        <v>26.228300000000001</v>
      </c>
      <c r="H61" s="140">
        <f t="array" ref="H61">IFERROR(INDEX($B$1:$B$1109, SMALL(IF($D$1:$D$1109=$E$4,ROW($D$1:$D$1109)),ROW()-2),1),"")</f>
        <v>5</v>
      </c>
      <c r="I61" s="140">
        <f t="array" ref="I61">IFERROR(INDEX($C$1:$C$1109, SMALL(IF($D$1:$D$1109=$E$4,ROW($D$1:$D$1109)),ROW()-2),1),"")</f>
        <v>23.618200000000002</v>
      </c>
      <c r="J61" s="10">
        <f t="array" ref="J61">IFERROR(INDEX($B$1:$B$1109, SMALL(IF($D$1:$D$1109=$E$5,ROW($D$1:$D$1109)),ROW()-2),1),"")</f>
        <v>3.5</v>
      </c>
      <c r="K61" s="10">
        <f t="array" ref="K61">IFERROR(INDEX($C$1:$C$1109, SMALL(IF($D$1:$D$1109=$E$5,ROW($D$1:$D$1109)),ROW()-2),1),"")</f>
        <v>37.349899999999998</v>
      </c>
      <c r="L61" s="62"/>
      <c r="R61" s="13">
        <v>4.8</v>
      </c>
      <c r="S61" s="13">
        <v>26.228300000000001</v>
      </c>
      <c r="T61" s="140">
        <v>5</v>
      </c>
      <c r="U61" s="140">
        <v>23.618200000000002</v>
      </c>
      <c r="V61" s="10">
        <v>3.5</v>
      </c>
      <c r="W61" s="10">
        <v>37.349899999999998</v>
      </c>
    </row>
    <row r="62" spans="1:23" ht="15.75">
      <c r="A62" s="64">
        <f t="shared" ca="1" si="0"/>
        <v>0.27855691464199883</v>
      </c>
      <c r="B62" s="74">
        <v>2</v>
      </c>
      <c r="C62" s="71">
        <v>38.200000000000003</v>
      </c>
      <c r="D62" s="132">
        <f t="array" ref="D62">MOD(ROW(), 3) + 1</f>
        <v>3</v>
      </c>
      <c r="E62" s="64"/>
      <c r="F62" s="13">
        <f t="array" ref="F62">IFERROR(INDEX($B$1:$B$1109, SMALL(IF($D$1:$D$1109=$E$3,ROW($D$1:$D$1109)),ROW()-2),1),"")</f>
        <v>3</v>
      </c>
      <c r="G62" s="13">
        <f t="array" ref="G62">IFERROR(INDEX($C$1:$C$1109, SMALL(IF($D$1:$D$1109=$E$3,ROW($D$1:$D$1109)),ROW()-2),1),"")</f>
        <v>38.7896</v>
      </c>
      <c r="H62" s="140">
        <f t="array" ref="H62">IFERROR(INDEX($B$1:$B$1109, SMALL(IF($D$1:$D$1109=$E$4,ROW($D$1:$D$1109)),ROW()-2),1),"")</f>
        <v>4.8</v>
      </c>
      <c r="I62" s="140">
        <f t="array" ref="I62">IFERROR(INDEX($C$1:$C$1109, SMALL(IF($D$1:$D$1109=$E$4,ROW($D$1:$D$1109)),ROW()-2),1),"")</f>
        <v>23.577999999999999</v>
      </c>
      <c r="J62" s="10">
        <f t="array" ref="J62">IFERROR(INDEX($B$1:$B$1109, SMALL(IF($D$1:$D$1109=$E$5,ROW($D$1:$D$1109)),ROW()-2),1),"")</f>
        <v>2.5</v>
      </c>
      <c r="K62" s="10">
        <f t="array" ref="K62">IFERROR(INDEX($C$1:$C$1109, SMALL(IF($D$1:$D$1109=$E$5,ROW($D$1:$D$1109)),ROW()-2),1),"")</f>
        <v>40.6</v>
      </c>
      <c r="L62" s="62"/>
      <c r="R62" s="13">
        <v>3</v>
      </c>
      <c r="S62" s="13">
        <v>38.7896</v>
      </c>
      <c r="T62" s="140">
        <v>4.8</v>
      </c>
      <c r="U62" s="140">
        <v>23.577999999999999</v>
      </c>
      <c r="V62" s="10">
        <v>2.5</v>
      </c>
      <c r="W62" s="10">
        <v>40.6</v>
      </c>
    </row>
    <row r="63" spans="1:23" ht="15.75">
      <c r="A63" s="64">
        <f t="shared" ca="1" si="0"/>
        <v>0.76777963929944337</v>
      </c>
      <c r="B63" s="74">
        <v>1.6</v>
      </c>
      <c r="C63" s="71">
        <v>44.571399999999997</v>
      </c>
      <c r="D63" s="132">
        <f t="array" ref="D63">MOD(ROW(), 3) + 1</f>
        <v>1</v>
      </c>
      <c r="E63" s="64"/>
      <c r="F63" s="13">
        <f t="array" ref="F63">IFERROR(INDEX($B$1:$B$1109, SMALL(IF($D$1:$D$1109=$E$3,ROW($D$1:$D$1109)),ROW()-2),1),"")</f>
        <v>3.5</v>
      </c>
      <c r="G63" s="13">
        <f t="array" ref="G63">IFERROR(INDEX($C$1:$C$1109, SMALL(IF($D$1:$D$1109=$E$3,ROW($D$1:$D$1109)),ROW()-2),1),"")</f>
        <v>34.200000000000003</v>
      </c>
      <c r="H63" s="140">
        <f t="array" ref="H63">IFERROR(INDEX($B$1:$B$1109, SMALL(IF($D$1:$D$1109=$E$4,ROW($D$1:$D$1109)),ROW()-2),1),"")</f>
        <v>4.5999999999999996</v>
      </c>
      <c r="I63" s="140">
        <f t="array" ref="I63">IFERROR(INDEX($C$1:$C$1109, SMALL(IF($D$1:$D$1109=$E$4,ROW($D$1:$D$1109)),ROW()-2),1),"")</f>
        <v>29</v>
      </c>
      <c r="J63" s="10">
        <f t="array" ref="J63">IFERROR(INDEX($B$1:$B$1109, SMALL(IF($D$1:$D$1109=$E$5,ROW($D$1:$D$1109)),ROW()-2),1),"")</f>
        <v>4.2</v>
      </c>
      <c r="K63" s="10">
        <f t="array" ref="K63">IFERROR(INDEX($C$1:$C$1109, SMALL(IF($D$1:$D$1109=$E$5,ROW($D$1:$D$1109)),ROW()-2),1),"")</f>
        <v>24.6</v>
      </c>
      <c r="L63" s="62"/>
      <c r="R63" s="13">
        <v>3.5</v>
      </c>
      <c r="S63" s="13">
        <v>34.200000000000003</v>
      </c>
      <c r="T63" s="140">
        <v>4.5999999999999996</v>
      </c>
      <c r="U63" s="140">
        <v>29</v>
      </c>
      <c r="V63" s="10">
        <v>4.2</v>
      </c>
      <c r="W63" s="10">
        <v>24.6</v>
      </c>
    </row>
    <row r="64" spans="1:23" ht="15.75">
      <c r="A64" s="64">
        <f t="shared" ca="1" si="0"/>
        <v>0.98173437253276696</v>
      </c>
      <c r="B64" s="74">
        <v>8.4</v>
      </c>
      <c r="C64" s="71">
        <v>30</v>
      </c>
      <c r="D64" s="132">
        <f t="array" ref="D64">MOD(ROW(), 3) + 1</f>
        <v>2</v>
      </c>
      <c r="E64" s="64"/>
      <c r="F64" s="13">
        <f t="array" ref="F64">IFERROR(INDEX($B$1:$B$1109, SMALL(IF($D$1:$D$1109=$E$3,ROW($D$1:$D$1109)),ROW()-2),1),"")</f>
        <v>2</v>
      </c>
      <c r="G64" s="13">
        <f t="array" ref="G64">IFERROR(INDEX($C$1:$C$1109, SMALL(IF($D$1:$D$1109=$E$3,ROW($D$1:$D$1109)),ROW()-2),1),"")</f>
        <v>33.299999999999997</v>
      </c>
      <c r="H64" s="140">
        <f t="array" ref="H64">IFERROR(INDEX($B$1:$B$1109, SMALL(IF($D$1:$D$1109=$E$4,ROW($D$1:$D$1109)),ROW()-2),1),"")</f>
        <v>2.4</v>
      </c>
      <c r="I64" s="140">
        <f t="array" ref="I64">IFERROR(INDEX($C$1:$C$1109, SMALL(IF($D$1:$D$1109=$E$4,ROW($D$1:$D$1109)),ROW()-2),1),"")</f>
        <v>41.699800000000003</v>
      </c>
      <c r="J64" s="10">
        <f t="array" ref="J64">IFERROR(INDEX($B$1:$B$1109, SMALL(IF($D$1:$D$1109=$E$5,ROW($D$1:$D$1109)),ROW()-2),1),"")</f>
        <v>5.6</v>
      </c>
      <c r="K64" s="10">
        <f t="array" ref="K64">IFERROR(INDEX($C$1:$C$1109, SMALL(IF($D$1:$D$1109=$E$5,ROW($D$1:$D$1109)),ROW()-2),1),"")</f>
        <v>24.149100000000001</v>
      </c>
      <c r="L64" s="62"/>
      <c r="R64" s="13">
        <v>2</v>
      </c>
      <c r="S64" s="13">
        <v>33.299999999999997</v>
      </c>
      <c r="T64" s="140">
        <v>2.4</v>
      </c>
      <c r="U64" s="140">
        <v>41.699800000000003</v>
      </c>
      <c r="V64" s="10">
        <v>5.6</v>
      </c>
      <c r="W64" s="10">
        <v>24.149100000000001</v>
      </c>
    </row>
    <row r="65" spans="1:23" ht="15.75">
      <c r="A65" s="64">
        <f t="shared" ca="1" si="0"/>
        <v>0.2129716328685678</v>
      </c>
      <c r="B65" s="74">
        <v>2.5</v>
      </c>
      <c r="C65" s="71">
        <v>39.571399999999997</v>
      </c>
      <c r="D65" s="132">
        <f t="array" ref="D65">MOD(ROW(), 3) + 1</f>
        <v>3</v>
      </c>
      <c r="E65" s="64"/>
      <c r="F65" s="13">
        <f t="array" ref="F65">IFERROR(INDEX($B$1:$B$1109, SMALL(IF($D$1:$D$1109=$E$3,ROW($D$1:$D$1109)),ROW()-2),1),"")</f>
        <v>2.9</v>
      </c>
      <c r="G65" s="13">
        <f t="array" ref="G65">IFERROR(INDEX($C$1:$C$1109, SMALL(IF($D$1:$D$1109=$E$3,ROW($D$1:$D$1109)),ROW()-2),1),"")</f>
        <v>37.329599999999999</v>
      </c>
      <c r="H65" s="140">
        <f t="array" ref="H65">IFERROR(INDEX($B$1:$B$1109, SMALL(IF($D$1:$D$1109=$E$4,ROW($D$1:$D$1109)),ROW()-2),1),"")</f>
        <v>5.7</v>
      </c>
      <c r="I65" s="140">
        <f t="array" ref="I65">IFERROR(INDEX($C$1:$C$1109, SMALL(IF($D$1:$D$1109=$E$4,ROW($D$1:$D$1109)),ROW()-2),1),"")</f>
        <v>34.5</v>
      </c>
      <c r="J65" s="10">
        <f t="array" ref="J65">IFERROR(INDEX($B$1:$B$1109, SMALL(IF($D$1:$D$1109=$E$5,ROW($D$1:$D$1109)),ROW()-2),1),"")</f>
        <v>3.5</v>
      </c>
      <c r="K65" s="10">
        <f t="array" ref="K65">IFERROR(INDEX($C$1:$C$1109, SMALL(IF($D$1:$D$1109=$E$5,ROW($D$1:$D$1109)),ROW()-2),1),"")</f>
        <v>30.5</v>
      </c>
      <c r="L65" s="62"/>
      <c r="R65" s="13">
        <v>2.9</v>
      </c>
      <c r="S65" s="13">
        <v>37.329599999999999</v>
      </c>
      <c r="T65" s="140">
        <v>5.7</v>
      </c>
      <c r="U65" s="140">
        <v>34.5</v>
      </c>
      <c r="V65" s="10">
        <v>3.5</v>
      </c>
      <c r="W65" s="10">
        <v>30.5</v>
      </c>
    </row>
    <row r="66" spans="1:23" ht="15.75">
      <c r="A66" s="64">
        <f t="shared" ca="1" si="0"/>
        <v>0.85279773604925957</v>
      </c>
      <c r="B66" s="74">
        <v>2.4</v>
      </c>
      <c r="C66" s="71">
        <v>33.6</v>
      </c>
      <c r="D66" s="132">
        <f t="array" ref="D66">MOD(ROW(), 3) + 1</f>
        <v>1</v>
      </c>
      <c r="E66" s="64"/>
      <c r="F66" s="13">
        <f t="array" ref="F66">IFERROR(INDEX($B$1:$B$1109, SMALL(IF($D$1:$D$1109=$E$3,ROW($D$1:$D$1109)),ROW()-2),1),"")</f>
        <v>5.5</v>
      </c>
      <c r="G66" s="13">
        <f t="array" ref="G66">IFERROR(INDEX($C$1:$C$1109, SMALL(IF($D$1:$D$1109=$E$3,ROW($D$1:$D$1109)),ROW()-2),1),"")</f>
        <v>23.9</v>
      </c>
      <c r="H66" s="140">
        <f t="array" ref="H66">IFERROR(INDEX($B$1:$B$1109, SMALL(IF($D$1:$D$1109=$E$4,ROW($D$1:$D$1109)),ROW()-2),1),"")</f>
        <v>2.9</v>
      </c>
      <c r="I66" s="140">
        <f t="array" ref="I66">IFERROR(INDEX($C$1:$C$1109, SMALL(IF($D$1:$D$1109=$E$4,ROW($D$1:$D$1109)),ROW()-2),1),"")</f>
        <v>37.329599999999999</v>
      </c>
      <c r="J66" s="10">
        <f t="array" ref="J66">IFERROR(INDEX($B$1:$B$1109, SMALL(IF($D$1:$D$1109=$E$5,ROW($D$1:$D$1109)),ROW()-2),1),"")</f>
        <v>2</v>
      </c>
      <c r="K66" s="10">
        <f t="array" ref="K66">IFERROR(INDEX($C$1:$C$1109, SMALL(IF($D$1:$D$1109=$E$5,ROW($D$1:$D$1109)),ROW()-2),1),"")</f>
        <v>38.512</v>
      </c>
      <c r="L66" s="62"/>
      <c r="R66" s="13">
        <v>5.5</v>
      </c>
      <c r="S66" s="13">
        <v>23.9</v>
      </c>
      <c r="T66" s="140">
        <v>2.9</v>
      </c>
      <c r="U66" s="140">
        <v>37.329599999999999</v>
      </c>
      <c r="V66" s="10">
        <v>2</v>
      </c>
      <c r="W66" s="10">
        <v>38.512</v>
      </c>
    </row>
    <row r="67" spans="1:23" ht="15.75">
      <c r="A67" s="64">
        <f t="shared" ref="A67:A130" ca="1" si="1">RAND()</f>
        <v>0.90563128449333619</v>
      </c>
      <c r="B67" s="74">
        <v>3.6</v>
      </c>
      <c r="C67" s="71">
        <v>36.439500000000002</v>
      </c>
      <c r="D67" s="132">
        <f t="array" ref="D67">MOD(ROW(), 3) + 1</f>
        <v>2</v>
      </c>
      <c r="E67" s="64"/>
      <c r="F67" s="13">
        <f t="array" ref="F67">IFERROR(INDEX($B$1:$B$1109, SMALL(IF($D$1:$D$1109=$E$3,ROW($D$1:$D$1109)),ROW()-2),1),"")</f>
        <v>6</v>
      </c>
      <c r="G67" s="13">
        <f t="array" ref="G67">IFERROR(INDEX($C$1:$C$1109, SMALL(IF($D$1:$D$1109=$E$3,ROW($D$1:$D$1109)),ROW()-2),1),"")</f>
        <v>21.4</v>
      </c>
      <c r="H67" s="140">
        <f t="array" ref="H67">IFERROR(INDEX($B$1:$B$1109, SMALL(IF($D$1:$D$1109=$E$4,ROW($D$1:$D$1109)),ROW()-2),1),"")</f>
        <v>3.6</v>
      </c>
      <c r="I67" s="140">
        <f t="array" ref="I67">IFERROR(INDEX($C$1:$C$1109, SMALL(IF($D$1:$D$1109=$E$4,ROW($D$1:$D$1109)),ROW()-2),1),"")</f>
        <v>37.690800000000003</v>
      </c>
      <c r="J67" s="10">
        <f t="array" ref="J67">IFERROR(INDEX($B$1:$B$1109, SMALL(IF($D$1:$D$1109=$E$5,ROW($D$1:$D$1109)),ROW()-2),1),"")</f>
        <v>4.5999999999999996</v>
      </c>
      <c r="K67" s="10">
        <f t="array" ref="K67">IFERROR(INDEX($C$1:$C$1109, SMALL(IF($D$1:$D$1109=$E$5,ROW($D$1:$D$1109)),ROW()-2),1),"")</f>
        <v>28.4633</v>
      </c>
      <c r="L67" s="62"/>
      <c r="R67" s="13">
        <v>6</v>
      </c>
      <c r="S67" s="13">
        <v>21.4</v>
      </c>
      <c r="T67" s="140">
        <v>3.6</v>
      </c>
      <c r="U67" s="140">
        <v>37.690800000000003</v>
      </c>
      <c r="V67" s="10">
        <v>4.5999999999999996</v>
      </c>
      <c r="W67" s="10">
        <v>28.4633</v>
      </c>
    </row>
    <row r="68" spans="1:23" ht="15.75">
      <c r="A68" s="64">
        <f t="shared" ca="1" si="1"/>
        <v>0.10405097071989777</v>
      </c>
      <c r="B68" s="74">
        <v>3.9</v>
      </c>
      <c r="C68" s="71">
        <v>37.299999999999997</v>
      </c>
      <c r="D68" s="132">
        <f t="array" ref="D68">MOD(ROW(), 3) + 1</f>
        <v>3</v>
      </c>
      <c r="E68" s="64"/>
      <c r="F68" s="13">
        <f t="array" ref="F68">IFERROR(INDEX($B$1:$B$1109, SMALL(IF($D$1:$D$1109=$E$3,ROW($D$1:$D$1109)),ROW()-2),1),"")</f>
        <v>3.7</v>
      </c>
      <c r="G68" s="13">
        <f t="array" ref="G68">IFERROR(INDEX($C$1:$C$1109, SMALL(IF($D$1:$D$1109=$E$3,ROW($D$1:$D$1109)),ROW()-2),1),"")</f>
        <v>35.2288</v>
      </c>
      <c r="H68" s="140">
        <f t="array" ref="H68">IFERROR(INDEX($B$1:$B$1109, SMALL(IF($D$1:$D$1109=$E$4,ROW($D$1:$D$1109)),ROW()-2),1),"")</f>
        <v>3</v>
      </c>
      <c r="I68" s="140">
        <f t="array" ref="I68">IFERROR(INDEX($C$1:$C$1109, SMALL(IF($D$1:$D$1109=$E$4,ROW($D$1:$D$1109)),ROW()-2),1),"")</f>
        <v>35.460599999999999</v>
      </c>
      <c r="J68" s="10">
        <f t="array" ref="J68">IFERROR(INDEX($B$1:$B$1109, SMALL(IF($D$1:$D$1109=$E$5,ROW($D$1:$D$1109)),ROW()-2),1),"")</f>
        <v>2</v>
      </c>
      <c r="K68" s="10">
        <f t="array" ref="K68">IFERROR(INDEX($C$1:$C$1109, SMALL(IF($D$1:$D$1109=$E$5,ROW($D$1:$D$1109)),ROW()-2),1),"")</f>
        <v>40.400300000000001</v>
      </c>
      <c r="L68" s="62"/>
      <c r="R68" s="13">
        <v>3.7</v>
      </c>
      <c r="S68" s="13">
        <v>35.2288</v>
      </c>
      <c r="T68" s="140">
        <v>3</v>
      </c>
      <c r="U68" s="140">
        <v>35.460599999999999</v>
      </c>
      <c r="V68" s="10">
        <v>2</v>
      </c>
      <c r="W68" s="10">
        <v>40.400300000000001</v>
      </c>
    </row>
    <row r="69" spans="1:23" ht="15.75">
      <c r="A69" s="64">
        <f t="shared" ca="1" si="1"/>
        <v>0.69801862128847103</v>
      </c>
      <c r="B69" s="74">
        <v>3</v>
      </c>
      <c r="C69" s="71">
        <v>39.710299999999997</v>
      </c>
      <c r="D69" s="132">
        <f t="array" ref="D69">MOD(ROW(), 3) + 1</f>
        <v>1</v>
      </c>
      <c r="E69" s="64"/>
      <c r="F69" s="13">
        <f t="array" ref="F69">IFERROR(INDEX($B$1:$B$1109, SMALL(IF($D$1:$D$1109=$E$3,ROW($D$1:$D$1109)),ROW()-2),1),"")</f>
        <v>4</v>
      </c>
      <c r="G69" s="13">
        <f t="array" ref="G69">IFERROR(INDEX($C$1:$C$1109, SMALL(IF($D$1:$D$1109=$E$3,ROW($D$1:$D$1109)),ROW()-2),1),"")</f>
        <v>28.6</v>
      </c>
      <c r="H69" s="140">
        <f t="array" ref="H69">IFERROR(INDEX($B$1:$B$1109, SMALL(IF($D$1:$D$1109=$E$4,ROW($D$1:$D$1109)),ROW()-2),1),"")</f>
        <v>5.7</v>
      </c>
      <c r="I69" s="140">
        <f t="array" ref="I69">IFERROR(INDEX($C$1:$C$1109, SMALL(IF($D$1:$D$1109=$E$4,ROW($D$1:$D$1109)),ROW()-2),1),"")</f>
        <v>24.5</v>
      </c>
      <c r="J69" s="10">
        <f t="array" ref="J69">IFERROR(INDEX($B$1:$B$1109, SMALL(IF($D$1:$D$1109=$E$5,ROW($D$1:$D$1109)),ROW()-2),1),"")</f>
        <v>4.7</v>
      </c>
      <c r="K69" s="10">
        <f t="array" ref="K69">IFERROR(INDEX($C$1:$C$1109, SMALL(IF($D$1:$D$1109=$E$5,ROW($D$1:$D$1109)),ROW()-2),1),"")</f>
        <v>24.5</v>
      </c>
      <c r="L69" s="62"/>
      <c r="R69" s="13">
        <v>4</v>
      </c>
      <c r="S69" s="13">
        <v>28.6</v>
      </c>
      <c r="T69" s="140">
        <v>5.7</v>
      </c>
      <c r="U69" s="140">
        <v>24.5</v>
      </c>
      <c r="V69" s="10">
        <v>4.7</v>
      </c>
      <c r="W69" s="10">
        <v>24.5</v>
      </c>
    </row>
    <row r="70" spans="1:23" ht="15.75">
      <c r="A70" s="64">
        <f t="shared" ca="1" si="1"/>
        <v>0.59314312862115248</v>
      </c>
      <c r="B70" s="74">
        <v>3.8</v>
      </c>
      <c r="C70" s="71">
        <v>33.164900000000003</v>
      </c>
      <c r="D70" s="132">
        <f t="array" ref="D70">MOD(ROW(), 3) + 1</f>
        <v>2</v>
      </c>
      <c r="E70" s="64"/>
      <c r="F70" s="13">
        <f t="array" ref="F70">IFERROR(INDEX($B$1:$B$1109, SMALL(IF($D$1:$D$1109=$E$3,ROW($D$1:$D$1109)),ROW()-2),1),"")</f>
        <v>2.4</v>
      </c>
      <c r="G70" s="13">
        <f t="array" ref="G70">IFERROR(INDEX($C$1:$C$1109, SMALL(IF($D$1:$D$1109=$E$3,ROW($D$1:$D$1109)),ROW()-2),1),"")</f>
        <v>40.832099999999997</v>
      </c>
      <c r="H70" s="140">
        <f t="array" ref="H70">IFERROR(INDEX($B$1:$B$1109, SMALL(IF($D$1:$D$1109=$E$4,ROW($D$1:$D$1109)),ROW()-2),1),"")</f>
        <v>3</v>
      </c>
      <c r="I70" s="140">
        <f t="array" ref="I70">IFERROR(INDEX($C$1:$C$1109, SMALL(IF($D$1:$D$1109=$E$4,ROW($D$1:$D$1109)),ROW()-2),1),"")</f>
        <v>35.288699999999999</v>
      </c>
      <c r="J70" s="10">
        <f t="array" ref="J70">IFERROR(INDEX($B$1:$B$1109, SMALL(IF($D$1:$D$1109=$E$5,ROW($D$1:$D$1109)),ROW()-2),1),"")</f>
        <v>2.5</v>
      </c>
      <c r="K70" s="10">
        <f t="array" ref="K70">IFERROR(INDEX($C$1:$C$1109, SMALL(IF($D$1:$D$1109=$E$5,ROW($D$1:$D$1109)),ROW()-2),1),"")</f>
        <v>51.6</v>
      </c>
      <c r="L70" s="62"/>
      <c r="R70" s="13">
        <v>2.4</v>
      </c>
      <c r="S70" s="13">
        <v>40.832099999999997</v>
      </c>
      <c r="T70" s="140">
        <v>3</v>
      </c>
      <c r="U70" s="140">
        <v>35.288699999999999</v>
      </c>
      <c r="V70" s="10">
        <v>2.5</v>
      </c>
      <c r="W70" s="10">
        <v>51.6</v>
      </c>
    </row>
    <row r="71" spans="1:23" ht="15.75">
      <c r="A71" s="64">
        <f t="shared" ca="1" si="1"/>
        <v>3.0327573829584953E-3</v>
      </c>
      <c r="B71" s="74">
        <v>3.5</v>
      </c>
      <c r="C71" s="71">
        <v>32.200000000000003</v>
      </c>
      <c r="D71" s="132">
        <f t="array" ref="D71">MOD(ROW(), 3) + 1</f>
        <v>3</v>
      </c>
      <c r="E71" s="64"/>
      <c r="F71" s="13">
        <f t="array" ref="F71">IFERROR(INDEX($B$1:$B$1109, SMALL(IF($D$1:$D$1109=$E$3,ROW($D$1:$D$1109)),ROW()-2),1),"")</f>
        <v>2.5</v>
      </c>
      <c r="G71" s="13">
        <f t="array" ref="G71">IFERROR(INDEX($C$1:$C$1109, SMALL(IF($D$1:$D$1109=$E$3,ROW($D$1:$D$1109)),ROW()-2),1),"")</f>
        <v>47.649299999999997</v>
      </c>
      <c r="H71" s="140">
        <f t="array" ref="H71">IFERROR(INDEX($B$1:$B$1109, SMALL(IF($D$1:$D$1109=$E$4,ROW($D$1:$D$1109)),ROW()-2),1),"")</f>
        <v>2</v>
      </c>
      <c r="I71" s="140">
        <f t="array" ref="I71">IFERROR(INDEX($C$1:$C$1109, SMALL(IF($D$1:$D$1109=$E$4,ROW($D$1:$D$1109)),ROW()-2),1),"")</f>
        <v>46.362900000000003</v>
      </c>
      <c r="J71" s="10">
        <f t="array" ref="J71">IFERROR(INDEX($B$1:$B$1109, SMALL(IF($D$1:$D$1109=$E$5,ROW($D$1:$D$1109)),ROW()-2),1),"")</f>
        <v>5.3</v>
      </c>
      <c r="K71" s="10">
        <f t="array" ref="K71">IFERROR(INDEX($C$1:$C$1109, SMALL(IF($D$1:$D$1109=$E$5,ROW($D$1:$D$1109)),ROW()-2),1),"")</f>
        <v>28.993500000000001</v>
      </c>
      <c r="L71" s="62"/>
      <c r="R71" s="13">
        <v>2.5</v>
      </c>
      <c r="S71" s="13">
        <v>47.649299999999997</v>
      </c>
      <c r="T71" s="140">
        <v>2</v>
      </c>
      <c r="U71" s="140">
        <v>46.362900000000003</v>
      </c>
      <c r="V71" s="10">
        <v>5.3</v>
      </c>
      <c r="W71" s="10">
        <v>28.993500000000001</v>
      </c>
    </row>
    <row r="72" spans="1:23" ht="15.75">
      <c r="A72" s="64">
        <f t="shared" ca="1" si="1"/>
        <v>0.59040800667444704</v>
      </c>
      <c r="B72" s="74">
        <v>2.2000000000000002</v>
      </c>
      <c r="C72" s="71">
        <v>42.399099999999997</v>
      </c>
      <c r="D72" s="132">
        <f t="array" ref="D72">MOD(ROW(), 3) + 1</f>
        <v>1</v>
      </c>
      <c r="E72" s="64"/>
      <c r="F72" s="13">
        <f t="array" ref="F72">IFERROR(INDEX($B$1:$B$1109, SMALL(IF($D$1:$D$1109=$E$3,ROW($D$1:$D$1109)),ROW()-2),1),"")</f>
        <v>3</v>
      </c>
      <c r="G72" s="13">
        <f t="array" ref="G72">IFERROR(INDEX($C$1:$C$1109, SMALL(IF($D$1:$D$1109=$E$3,ROW($D$1:$D$1109)),ROW()-2),1),"")</f>
        <v>38.7896</v>
      </c>
      <c r="H72" s="140">
        <f t="array" ref="H72">IFERROR(INDEX($B$1:$B$1109, SMALL(IF($D$1:$D$1109=$E$4,ROW($D$1:$D$1109)),ROW()-2),1),"")</f>
        <v>5.4</v>
      </c>
      <c r="I72" s="140">
        <f t="array" ref="I72">IFERROR(INDEX($C$1:$C$1109, SMALL(IF($D$1:$D$1109=$E$4,ROW($D$1:$D$1109)),ROW()-2),1),"")</f>
        <v>30.4</v>
      </c>
      <c r="J72" s="10">
        <f t="array" ref="J72">IFERROR(INDEX($B$1:$B$1109, SMALL(IF($D$1:$D$1109=$E$5,ROW($D$1:$D$1109)),ROW()-2),1),"")</f>
        <v>5.3</v>
      </c>
      <c r="K72" s="10">
        <f t="array" ref="K72">IFERROR(INDEX($C$1:$C$1109, SMALL(IF($D$1:$D$1109=$E$5,ROW($D$1:$D$1109)),ROW()-2),1),"")</f>
        <v>28.993500000000001</v>
      </c>
      <c r="L72" s="62"/>
      <c r="R72" s="13">
        <v>3</v>
      </c>
      <c r="S72" s="13">
        <v>38.7896</v>
      </c>
      <c r="T72" s="140">
        <v>5.4</v>
      </c>
      <c r="U72" s="140">
        <v>30.4</v>
      </c>
      <c r="V72" s="10">
        <v>5.3</v>
      </c>
      <c r="W72" s="10">
        <v>28.993500000000001</v>
      </c>
    </row>
    <row r="73" spans="1:23" ht="15.75">
      <c r="A73" s="64">
        <f t="shared" ca="1" si="1"/>
        <v>0.92249729992923701</v>
      </c>
      <c r="B73" s="74">
        <v>2</v>
      </c>
      <c r="C73" s="71">
        <v>42.936300000000003</v>
      </c>
      <c r="D73" s="132">
        <f t="array" ref="D73">MOD(ROW(), 3) + 1</f>
        <v>2</v>
      </c>
      <c r="E73" s="64"/>
      <c r="F73" s="13">
        <f t="array" ref="F73">IFERROR(INDEX($B$1:$B$1109, SMALL(IF($D$1:$D$1109=$E$3,ROW($D$1:$D$1109)),ROW()-2),1),"")</f>
        <v>2.4</v>
      </c>
      <c r="G73" s="13">
        <f t="array" ref="G73">IFERROR(INDEX($C$1:$C$1109, SMALL(IF($D$1:$D$1109=$E$3,ROW($D$1:$D$1109)),ROW()-2),1),"")</f>
        <v>34.299999999999997</v>
      </c>
      <c r="H73" s="140">
        <f t="array" ref="H73">IFERROR(INDEX($B$1:$B$1109, SMALL(IF($D$1:$D$1109=$E$4,ROW($D$1:$D$1109)),ROW()-2),1),"")</f>
        <v>2.4</v>
      </c>
      <c r="I73" s="140">
        <f t="array" ref="I73">IFERROR(INDEX($C$1:$C$1109, SMALL(IF($D$1:$D$1109=$E$4,ROW($D$1:$D$1109)),ROW()-2),1),"")</f>
        <v>46.9</v>
      </c>
      <c r="J73" s="10">
        <f t="array" ref="J73">IFERROR(INDEX($B$1:$B$1109, SMALL(IF($D$1:$D$1109=$E$5,ROW($D$1:$D$1109)),ROW()-2),1),"")</f>
        <v>2.2000000000000002</v>
      </c>
      <c r="K73" s="10">
        <f t="array" ref="K73">IFERROR(INDEX($C$1:$C$1109, SMALL(IF($D$1:$D$1109=$E$5,ROW($D$1:$D$1109)),ROW()-2),1),"")</f>
        <v>42.399099999999997</v>
      </c>
      <c r="L73" s="62"/>
      <c r="R73" s="13">
        <v>2.4</v>
      </c>
      <c r="S73" s="13">
        <v>34.299999999999997</v>
      </c>
      <c r="T73" s="140">
        <v>2.4</v>
      </c>
      <c r="U73" s="140">
        <v>46.9</v>
      </c>
      <c r="V73" s="10">
        <v>2.2000000000000002</v>
      </c>
      <c r="W73" s="10">
        <v>42.399099999999997</v>
      </c>
    </row>
    <row r="74" spans="1:23" ht="15.75">
      <c r="A74" s="64">
        <f t="shared" ca="1" si="1"/>
        <v>0.63976267327508973</v>
      </c>
      <c r="B74" s="74">
        <v>2.5</v>
      </c>
      <c r="C74" s="71">
        <v>37</v>
      </c>
      <c r="D74" s="132">
        <f t="array" ref="D74">MOD(ROW(), 3) + 1</f>
        <v>3</v>
      </c>
      <c r="E74" s="64"/>
      <c r="F74" s="13">
        <f t="array" ref="F74">IFERROR(INDEX($B$1:$B$1109, SMALL(IF($D$1:$D$1109=$E$3,ROW($D$1:$D$1109)),ROW()-2),1),"")</f>
        <v>1.8</v>
      </c>
      <c r="G74" s="13">
        <f t="array" ref="G74">IFERROR(INDEX($C$1:$C$1109, SMALL(IF($D$1:$D$1109=$E$3,ROW($D$1:$D$1109)),ROW()-2),1),"")</f>
        <v>37.002800000000001</v>
      </c>
      <c r="H74" s="140">
        <f t="array" ref="H74">IFERROR(INDEX($B$1:$B$1109, SMALL(IF($D$1:$D$1109=$E$4,ROW($D$1:$D$1109)),ROW()-2),1),"")</f>
        <v>2.5</v>
      </c>
      <c r="I74" s="140">
        <f t="array" ref="I74">IFERROR(INDEX($C$1:$C$1109, SMALL(IF($D$1:$D$1109=$E$4,ROW($D$1:$D$1109)),ROW()-2),1),"")</f>
        <v>46.6</v>
      </c>
      <c r="J74" s="10">
        <f t="array" ref="J74">IFERROR(INDEX($B$1:$B$1109, SMALL(IF($D$1:$D$1109=$E$5,ROW($D$1:$D$1109)),ROW()-2),1),"")</f>
        <v>2.5</v>
      </c>
      <c r="K74" s="10">
        <f t="array" ref="K74">IFERROR(INDEX($C$1:$C$1109, SMALL(IF($D$1:$D$1109=$E$5,ROW($D$1:$D$1109)),ROW()-2),1),"")</f>
        <v>42.9</v>
      </c>
      <c r="L74" s="62"/>
      <c r="R74" s="13">
        <v>1.8</v>
      </c>
      <c r="S74" s="13">
        <v>37.002800000000001</v>
      </c>
      <c r="T74" s="140">
        <v>2.5</v>
      </c>
      <c r="U74" s="140">
        <v>46.6</v>
      </c>
      <c r="V74" s="10">
        <v>2.5</v>
      </c>
      <c r="W74" s="10">
        <v>42.9</v>
      </c>
    </row>
    <row r="75" spans="1:23" ht="15.75">
      <c r="A75" s="64">
        <f t="shared" ca="1" si="1"/>
        <v>0.30502021429418924</v>
      </c>
      <c r="B75" s="74">
        <v>5.7</v>
      </c>
      <c r="C75" s="71">
        <v>33.6</v>
      </c>
      <c r="D75" s="132">
        <f t="array" ref="D75">MOD(ROW(), 3) + 1</f>
        <v>1</v>
      </c>
      <c r="E75" s="64"/>
      <c r="F75" s="13">
        <f t="array" ref="F75">IFERROR(INDEX($B$1:$B$1109, SMALL(IF($D$1:$D$1109=$E$3,ROW($D$1:$D$1109)),ROW()-2),1),"")</f>
        <v>2.4</v>
      </c>
      <c r="G75" s="13">
        <f t="array" ref="G75">IFERROR(INDEX($C$1:$C$1109, SMALL(IF($D$1:$D$1109=$E$3,ROW($D$1:$D$1109)),ROW()-2),1),"")</f>
        <v>34.1</v>
      </c>
      <c r="H75" s="140">
        <f t="array" ref="H75">IFERROR(INDEX($B$1:$B$1109, SMALL(IF($D$1:$D$1109=$E$4,ROW($D$1:$D$1109)),ROW()-2),1),"")</f>
        <v>2.5</v>
      </c>
      <c r="I75" s="140">
        <f t="array" ref="I75">IFERROR(INDEX($C$1:$C$1109, SMALL(IF($D$1:$D$1109=$E$4,ROW($D$1:$D$1109)),ROW()-2),1),"")</f>
        <v>37.057400000000001</v>
      </c>
      <c r="J75" s="10">
        <f t="array" ref="J75">IFERROR(INDEX($B$1:$B$1109, SMALL(IF($D$1:$D$1109=$E$5,ROW($D$1:$D$1109)),ROW()-2),1),"")</f>
        <v>2.5</v>
      </c>
      <c r="K75" s="10">
        <f t="array" ref="K75">IFERROR(INDEX($C$1:$C$1109, SMALL(IF($D$1:$D$1109=$E$5,ROW($D$1:$D$1109)),ROW()-2),1),"")</f>
        <v>37.9</v>
      </c>
      <c r="L75" s="62"/>
      <c r="R75" s="13">
        <v>2.4</v>
      </c>
      <c r="S75" s="13">
        <v>34.1</v>
      </c>
      <c r="T75" s="140">
        <v>2.5</v>
      </c>
      <c r="U75" s="140">
        <v>37.057400000000001</v>
      </c>
      <c r="V75" s="10">
        <v>2.5</v>
      </c>
      <c r="W75" s="10">
        <v>37.9</v>
      </c>
    </row>
    <row r="76" spans="1:23" ht="15.75">
      <c r="A76" s="64">
        <f t="shared" ca="1" si="1"/>
        <v>0.45202370736883746</v>
      </c>
      <c r="B76" s="74">
        <v>3.5</v>
      </c>
      <c r="C76" s="71">
        <v>34.1997</v>
      </c>
      <c r="D76" s="132">
        <f t="array" ref="D76">MOD(ROW(), 3) + 1</f>
        <v>2</v>
      </c>
      <c r="E76" s="64"/>
      <c r="F76" s="13">
        <f t="array" ref="F76">IFERROR(INDEX($B$1:$B$1109, SMALL(IF($D$1:$D$1109=$E$3,ROW($D$1:$D$1109)),ROW()-2),1),"")</f>
        <v>4.5999999999999996</v>
      </c>
      <c r="G76" s="13">
        <f t="array" ref="G76">IFERROR(INDEX($C$1:$C$1109, SMALL(IF($D$1:$D$1109=$E$3,ROW($D$1:$D$1109)),ROW()-2),1),"")</f>
        <v>26.782900000000001</v>
      </c>
      <c r="H76" s="140">
        <f t="array" ref="H76">IFERROR(INDEX($B$1:$B$1109, SMALL(IF($D$1:$D$1109=$E$4,ROW($D$1:$D$1109)),ROW()-2),1),"")</f>
        <v>4.7</v>
      </c>
      <c r="I76" s="140">
        <f t="array" ref="I76">IFERROR(INDEX($C$1:$C$1109, SMALL(IF($D$1:$D$1109=$E$4,ROW($D$1:$D$1109)),ROW()-2),1),"")</f>
        <v>25.609400000000001</v>
      </c>
      <c r="J76" s="10">
        <f t="array" ref="J76">IFERROR(INDEX($B$1:$B$1109, SMALL(IF($D$1:$D$1109=$E$5,ROW($D$1:$D$1109)),ROW()-2),1),"")</f>
        <v>3.5</v>
      </c>
      <c r="K76" s="10">
        <f t="array" ref="K76">IFERROR(INDEX($C$1:$C$1109, SMALL(IF($D$1:$D$1109=$E$5,ROW($D$1:$D$1109)),ROW()-2),1),"")</f>
        <v>36.556399999999996</v>
      </c>
      <c r="L76" s="62"/>
      <c r="R76" s="13">
        <v>4.5999999999999996</v>
      </c>
      <c r="S76" s="13">
        <v>26.782900000000001</v>
      </c>
      <c r="T76" s="140">
        <v>4.7</v>
      </c>
      <c r="U76" s="140">
        <v>25.609400000000001</v>
      </c>
      <c r="V76" s="10">
        <v>3.5</v>
      </c>
      <c r="W76" s="10">
        <v>36.556399999999996</v>
      </c>
    </row>
    <row r="77" spans="1:23" ht="15.75">
      <c r="A77" s="64">
        <f t="shared" ca="1" si="1"/>
        <v>0.28109627685406258</v>
      </c>
      <c r="B77" s="74">
        <v>3</v>
      </c>
      <c r="C77" s="71">
        <v>29.5</v>
      </c>
      <c r="D77" s="132">
        <f t="array" ref="D77">MOD(ROW(), 3) + 1</f>
        <v>3</v>
      </c>
      <c r="E77" s="64"/>
      <c r="F77" s="13">
        <f t="array" ref="F77">IFERROR(INDEX($B$1:$B$1109, SMALL(IF($D$1:$D$1109=$E$3,ROW($D$1:$D$1109)),ROW()-2),1),"")</f>
        <v>5.7</v>
      </c>
      <c r="G77" s="13">
        <f t="array" ref="G77">IFERROR(INDEX($C$1:$C$1109, SMALL(IF($D$1:$D$1109=$E$3,ROW($D$1:$D$1109)),ROW()-2),1),"")</f>
        <v>25.4</v>
      </c>
      <c r="H77" s="140">
        <f t="array" ref="H77">IFERROR(INDEX($B$1:$B$1109, SMALL(IF($D$1:$D$1109=$E$4,ROW($D$1:$D$1109)),ROW()-2),1),"")</f>
        <v>5.3</v>
      </c>
      <c r="I77" s="140">
        <f t="array" ref="I77">IFERROR(INDEX($C$1:$C$1109, SMALL(IF($D$1:$D$1109=$E$4,ROW($D$1:$D$1109)),ROW()-2),1),"")</f>
        <v>24.299900000000001</v>
      </c>
      <c r="J77" s="10">
        <f t="array" ref="J77">IFERROR(INDEX($B$1:$B$1109, SMALL(IF($D$1:$D$1109=$E$5,ROW($D$1:$D$1109)),ROW()-2),1),"")</f>
        <v>2.2000000000000002</v>
      </c>
      <c r="K77" s="10">
        <f t="array" ref="K77">IFERROR(INDEX($C$1:$C$1109, SMALL(IF($D$1:$D$1109=$E$5,ROW($D$1:$D$1109)),ROW()-2),1),"")</f>
        <v>51.9</v>
      </c>
      <c r="L77" s="62"/>
      <c r="R77" s="13">
        <v>5.7</v>
      </c>
      <c r="S77" s="13">
        <v>25.4</v>
      </c>
      <c r="T77" s="140">
        <v>5.3</v>
      </c>
      <c r="U77" s="140">
        <v>24.299900000000001</v>
      </c>
      <c r="V77" s="10">
        <v>2.2000000000000002</v>
      </c>
      <c r="W77" s="10">
        <v>51.9</v>
      </c>
    </row>
    <row r="78" spans="1:23" ht="15.75">
      <c r="A78" s="64">
        <f t="shared" ca="1" si="1"/>
        <v>0.39813035851989009</v>
      </c>
      <c r="B78" s="74">
        <v>5.6</v>
      </c>
      <c r="C78" s="71">
        <v>23.110900000000001</v>
      </c>
      <c r="D78" s="132">
        <f t="array" ref="D78">MOD(ROW(), 3) + 1</f>
        <v>1</v>
      </c>
      <c r="E78" s="64"/>
      <c r="F78" s="13">
        <f t="array" ref="F78">IFERROR(INDEX($B$1:$B$1109, SMALL(IF($D$1:$D$1109=$E$3,ROW($D$1:$D$1109)),ROW()-2),1),"")</f>
        <v>2.5</v>
      </c>
      <c r="G78" s="13">
        <f t="array" ref="G78">IFERROR(INDEX($C$1:$C$1109, SMALL(IF($D$1:$D$1109=$E$3,ROW($D$1:$D$1109)),ROW()-2),1),"")</f>
        <v>40.4</v>
      </c>
      <c r="H78" s="140">
        <f t="array" ref="H78">IFERROR(INDEX($B$1:$B$1109, SMALL(IF($D$1:$D$1109=$E$4,ROW($D$1:$D$1109)),ROW()-2),1),"")</f>
        <v>4</v>
      </c>
      <c r="I78" s="140">
        <f t="array" ref="I78">IFERROR(INDEX($C$1:$C$1109, SMALL(IF($D$1:$D$1109=$E$4,ROW($D$1:$D$1109)),ROW()-2),1),"")</f>
        <v>35.200000000000003</v>
      </c>
      <c r="J78" s="10">
        <f t="array" ref="J78">IFERROR(INDEX($B$1:$B$1109, SMALL(IF($D$1:$D$1109=$E$5,ROW($D$1:$D$1109)),ROW()-2),1),"")</f>
        <v>2.4</v>
      </c>
      <c r="K78" s="10">
        <f t="array" ref="K78">IFERROR(INDEX($C$1:$C$1109, SMALL(IF($D$1:$D$1109=$E$5,ROW($D$1:$D$1109)),ROW()-2),1),"")</f>
        <v>44.344000000000001</v>
      </c>
      <c r="L78" s="62"/>
      <c r="R78" s="13">
        <v>2.5</v>
      </c>
      <c r="S78" s="13">
        <v>40.4</v>
      </c>
      <c r="T78" s="140">
        <v>4</v>
      </c>
      <c r="U78" s="140">
        <v>35.200000000000003</v>
      </c>
      <c r="V78" s="10">
        <v>2.4</v>
      </c>
      <c r="W78" s="10">
        <v>44.344000000000001</v>
      </c>
    </row>
    <row r="79" spans="1:23" ht="15.75">
      <c r="A79" s="64">
        <f t="shared" ca="1" si="1"/>
        <v>0.23742924737171289</v>
      </c>
      <c r="B79" s="74">
        <v>5</v>
      </c>
      <c r="C79" s="71">
        <v>23.618200000000002</v>
      </c>
      <c r="D79" s="132">
        <f t="array" ref="D79">MOD(ROW(), 3) + 1</f>
        <v>2</v>
      </c>
      <c r="E79" s="64"/>
      <c r="F79" s="13">
        <f t="array" ref="F79">IFERROR(INDEX($B$1:$B$1109, SMALL(IF($D$1:$D$1109=$E$3,ROW($D$1:$D$1109)),ROW()-2),1),"")</f>
        <v>4</v>
      </c>
      <c r="G79" s="13">
        <f t="array" ref="G79">IFERROR(INDEX($C$1:$C$1109, SMALL(IF($D$1:$D$1109=$E$3,ROW($D$1:$D$1109)),ROW()-2),1),"")</f>
        <v>28.3</v>
      </c>
      <c r="H79" s="140">
        <f t="array" ref="H79">IFERROR(INDEX($B$1:$B$1109, SMALL(IF($D$1:$D$1109=$E$4,ROW($D$1:$D$1109)),ROW()-2),1),"")</f>
        <v>2</v>
      </c>
      <c r="I79" s="140">
        <f t="array" ref="I79">IFERROR(INDEX($C$1:$C$1109, SMALL(IF($D$1:$D$1109=$E$4,ROW($D$1:$D$1109)),ROW()-2),1),"")</f>
        <v>38.499699999999997</v>
      </c>
      <c r="J79" s="10">
        <f t="array" ref="J79">IFERROR(INDEX($B$1:$B$1109, SMALL(IF($D$1:$D$1109=$E$5,ROW($D$1:$D$1109)),ROW()-2),1),"")</f>
        <v>5.3</v>
      </c>
      <c r="K79" s="10">
        <f t="array" ref="K79">IFERROR(INDEX($C$1:$C$1109, SMALL(IF($D$1:$D$1109=$E$5,ROW($D$1:$D$1109)),ROW()-2),1),"")</f>
        <v>29.3645</v>
      </c>
      <c r="L79" s="62"/>
      <c r="R79" s="13">
        <v>4</v>
      </c>
      <c r="S79" s="13">
        <v>28.3</v>
      </c>
      <c r="T79" s="140">
        <v>2</v>
      </c>
      <c r="U79" s="140">
        <v>38.499699999999997</v>
      </c>
      <c r="V79" s="10">
        <v>5.3</v>
      </c>
      <c r="W79" s="10">
        <v>29.3645</v>
      </c>
    </row>
    <row r="80" spans="1:23" ht="15.75">
      <c r="A80" s="64">
        <f t="shared" ca="1" si="1"/>
        <v>0.70243641540796331</v>
      </c>
      <c r="B80" s="74">
        <v>3.7</v>
      </c>
      <c r="C80" s="71">
        <v>28.1</v>
      </c>
      <c r="D80" s="132">
        <f t="array" ref="D80">MOD(ROW(), 3) + 1</f>
        <v>3</v>
      </c>
      <c r="E80" s="64"/>
      <c r="F80" s="13">
        <f t="array" ref="F80">IFERROR(INDEX($B$1:$B$1109, SMALL(IF($D$1:$D$1109=$E$3,ROW($D$1:$D$1109)),ROW()-2),1),"")</f>
        <v>2.4</v>
      </c>
      <c r="G80" s="13">
        <f t="array" ref="G80">IFERROR(INDEX($C$1:$C$1109, SMALL(IF($D$1:$D$1109=$E$3,ROW($D$1:$D$1109)),ROW()-2),1),"")</f>
        <v>42.214599999999997</v>
      </c>
      <c r="H80" s="140">
        <f t="array" ref="H80">IFERROR(INDEX($B$1:$B$1109, SMALL(IF($D$1:$D$1109=$E$4,ROW($D$1:$D$1109)),ROW()-2),1),"")</f>
        <v>6</v>
      </c>
      <c r="I80" s="140">
        <f t="array" ref="I80">IFERROR(INDEX($C$1:$C$1109, SMALL(IF($D$1:$D$1109=$E$4,ROW($D$1:$D$1109)),ROW()-2),1),"")</f>
        <v>30.5</v>
      </c>
      <c r="J80" s="10">
        <f t="array" ref="J80">IFERROR(INDEX($B$1:$B$1109, SMALL(IF($D$1:$D$1109=$E$5,ROW($D$1:$D$1109)),ROW()-2),1),"")</f>
        <v>2</v>
      </c>
      <c r="K80" s="10">
        <f t="array" ref="K80">IFERROR(INDEX($C$1:$C$1109, SMALL(IF($D$1:$D$1109=$E$5,ROW($D$1:$D$1109)),ROW()-2),1),"")</f>
        <v>42.3461</v>
      </c>
      <c r="L80" s="62"/>
      <c r="R80" s="13">
        <v>2.4</v>
      </c>
      <c r="S80" s="13">
        <v>42.214599999999997</v>
      </c>
      <c r="T80" s="140">
        <v>6</v>
      </c>
      <c r="U80" s="140">
        <v>30.5</v>
      </c>
      <c r="V80" s="10">
        <v>2</v>
      </c>
      <c r="W80" s="10">
        <v>42.3461</v>
      </c>
    </row>
    <row r="81" spans="1:24" ht="15.75">
      <c r="A81" s="64">
        <f t="shared" ca="1" si="1"/>
        <v>0.30777368469153532</v>
      </c>
      <c r="B81" s="74">
        <v>3.5</v>
      </c>
      <c r="C81" s="71">
        <v>40.299999999999997</v>
      </c>
      <c r="D81" s="132">
        <f t="array" ref="D81">MOD(ROW(), 3) + 1</f>
        <v>1</v>
      </c>
      <c r="E81" s="64"/>
      <c r="F81" s="13">
        <f t="array" ref="F81">IFERROR(INDEX($B$1:$B$1109, SMALL(IF($D$1:$D$1109=$E$3,ROW($D$1:$D$1109)),ROW()-2),1),"")</f>
        <v>4.7</v>
      </c>
      <c r="G81" s="13">
        <f t="array" ref="G81">IFERROR(INDEX($C$1:$C$1109, SMALL(IF($D$1:$D$1109=$E$3,ROW($D$1:$D$1109)),ROW()-2),1),"")</f>
        <v>25.6</v>
      </c>
      <c r="H81" s="140">
        <f t="array" ref="H81">IFERROR(INDEX($B$1:$B$1109, SMALL(IF($D$1:$D$1109=$E$4,ROW($D$1:$D$1109)),ROW()-2),1),"")</f>
        <v>3</v>
      </c>
      <c r="I81" s="140">
        <f t="array" ref="I81">IFERROR(INDEX($C$1:$C$1109, SMALL(IF($D$1:$D$1109=$E$4,ROW($D$1:$D$1109)),ROW()-2),1),"")</f>
        <v>36.798000000000002</v>
      </c>
      <c r="J81" s="10">
        <f t="array" ref="J81">IFERROR(INDEX($B$1:$B$1109, SMALL(IF($D$1:$D$1109=$E$5,ROW($D$1:$D$1109)),ROW()-2),1),"")</f>
        <v>2</v>
      </c>
      <c r="K81" s="10">
        <f t="array" ref="K81">IFERROR(INDEX($C$1:$C$1109, SMALL(IF($D$1:$D$1109=$E$5,ROW($D$1:$D$1109)),ROW()-2),1),"")</f>
        <v>43</v>
      </c>
      <c r="L81" s="62"/>
      <c r="R81" s="13">
        <v>4.7</v>
      </c>
      <c r="S81" s="13">
        <v>25.6</v>
      </c>
      <c r="T81" s="140">
        <v>3</v>
      </c>
      <c r="U81" s="140">
        <v>36.798000000000002</v>
      </c>
      <c r="V81" s="10">
        <v>2</v>
      </c>
      <c r="W81" s="10">
        <v>43</v>
      </c>
    </row>
    <row r="82" spans="1:24" ht="15.75">
      <c r="A82" s="64">
        <f t="shared" ca="1" si="1"/>
        <v>0.8915617031693801</v>
      </c>
      <c r="B82" s="74">
        <v>6</v>
      </c>
      <c r="C82" s="71">
        <v>30.5</v>
      </c>
      <c r="D82" s="132">
        <f t="array" ref="D82">MOD(ROW(), 3) + 1</f>
        <v>2</v>
      </c>
      <c r="E82" s="64"/>
      <c r="F82" s="13">
        <f t="array" ref="F82">IFERROR(INDEX($B$1:$B$1109, SMALL(IF($D$1:$D$1109=$E$3,ROW($D$1:$D$1109)),ROW()-2),1),"")</f>
        <v>5.9</v>
      </c>
      <c r="G82" s="13">
        <f t="array" ref="G82">IFERROR(INDEX($C$1:$C$1109, SMALL(IF($D$1:$D$1109=$E$3,ROW($D$1:$D$1109)),ROW()-2),1),"")</f>
        <v>23.6523</v>
      </c>
      <c r="H82" s="140">
        <f t="array" ref="H82">IFERROR(INDEX($B$1:$B$1109, SMALL(IF($D$1:$D$1109=$E$4,ROW($D$1:$D$1109)),ROW()-2),1),"")</f>
        <v>3</v>
      </c>
      <c r="I82" s="140">
        <f t="array" ref="I82">IFERROR(INDEX($C$1:$C$1109, SMALL(IF($D$1:$D$1109=$E$4,ROW($D$1:$D$1109)),ROW()-2),1),"")</f>
        <v>35.460599999999999</v>
      </c>
      <c r="J82" s="10">
        <f t="array" ref="J82">IFERROR(INDEX($B$1:$B$1109, SMALL(IF($D$1:$D$1109=$E$5,ROW($D$1:$D$1109)),ROW()-2),1),"")</f>
        <v>2.5</v>
      </c>
      <c r="K82" s="10">
        <f t="array" ref="K82">IFERROR(INDEX($C$1:$C$1109, SMALL(IF($D$1:$D$1109=$E$5,ROW($D$1:$D$1109)),ROW()-2),1),"")</f>
        <v>47.649299999999997</v>
      </c>
      <c r="L82" s="62"/>
      <c r="R82" s="13">
        <v>5.9</v>
      </c>
      <c r="S82" s="13">
        <v>23.6523</v>
      </c>
      <c r="T82" s="140">
        <v>3</v>
      </c>
      <c r="U82" s="140">
        <v>35.460599999999999</v>
      </c>
      <c r="V82" s="10">
        <v>2.5</v>
      </c>
      <c r="W82" s="10">
        <v>47.649299999999997</v>
      </c>
    </row>
    <row r="83" spans="1:24" ht="15.75">
      <c r="A83" s="64">
        <f t="shared" ca="1" si="1"/>
        <v>0.7902684107067649</v>
      </c>
      <c r="B83" s="74">
        <v>3.5</v>
      </c>
      <c r="C83" s="71">
        <v>30.380500000000001</v>
      </c>
      <c r="D83" s="132">
        <f t="array" ref="D83">MOD(ROW(), 3) + 1</f>
        <v>3</v>
      </c>
      <c r="E83" s="64"/>
      <c r="F83" s="13">
        <f t="array" ref="F83">IFERROR(INDEX($B$1:$B$1109, SMALL(IF($D$1:$D$1109=$E$3,ROW($D$1:$D$1109)),ROW()-2),1),"")</f>
        <v>3.5</v>
      </c>
      <c r="G83" s="13">
        <f t="array" ref="G83">IFERROR(INDEX($C$1:$C$1109, SMALL(IF($D$1:$D$1109=$E$3,ROW($D$1:$D$1109)),ROW()-2),1),"")</f>
        <v>34</v>
      </c>
      <c r="H83" s="140">
        <f t="array" ref="H83">IFERROR(INDEX($B$1:$B$1109, SMALL(IF($D$1:$D$1109=$E$4,ROW($D$1:$D$1109)),ROW()-2),1),"")</f>
        <v>3.6</v>
      </c>
      <c r="I83" s="140">
        <f t="array" ref="I83">IFERROR(INDEX($C$1:$C$1109, SMALL(IF($D$1:$D$1109=$E$4,ROW($D$1:$D$1109)),ROW()-2),1),"")</f>
        <v>33</v>
      </c>
      <c r="J83" s="10">
        <f t="array" ref="J83">IFERROR(INDEX($B$1:$B$1109, SMALL(IF($D$1:$D$1109=$E$5,ROW($D$1:$D$1109)),ROW()-2),1),"")</f>
        <v>1.3</v>
      </c>
      <c r="K83" s="10">
        <f t="array" ref="K83">IFERROR(INDEX($C$1:$C$1109, SMALL(IF($D$1:$D$1109=$E$5,ROW($D$1:$D$1109)),ROW()-2),1),"")</f>
        <v>61.2</v>
      </c>
      <c r="L83" s="62"/>
      <c r="R83" s="13">
        <v>3.5</v>
      </c>
      <c r="S83" s="13">
        <v>34</v>
      </c>
      <c r="T83" s="140">
        <v>3.6</v>
      </c>
      <c r="U83" s="140">
        <v>33</v>
      </c>
      <c r="V83" s="10">
        <v>1.3</v>
      </c>
      <c r="W83" s="10">
        <v>61.2</v>
      </c>
    </row>
    <row r="84" spans="1:24" ht="15.75">
      <c r="A84" s="64">
        <f t="shared" ca="1" si="1"/>
        <v>5.5703004250046373E-2</v>
      </c>
      <c r="B84" s="74">
        <v>1.8</v>
      </c>
      <c r="C84" s="71">
        <v>43.628999999999998</v>
      </c>
      <c r="D84" s="132">
        <f t="array" ref="D84">MOD(ROW(), 3) + 1</f>
        <v>1</v>
      </c>
      <c r="E84" s="64"/>
      <c r="F84" s="13">
        <f t="array" ref="F84">IFERROR(INDEX($B$1:$B$1109, SMALL(IF($D$1:$D$1109=$E$3,ROW($D$1:$D$1109)),ROW()-2),1),"")</f>
        <v>5</v>
      </c>
      <c r="G84" s="13">
        <f t="array" ref="G84">IFERROR(INDEX($C$1:$C$1109, SMALL(IF($D$1:$D$1109=$E$3,ROW($D$1:$D$1109)),ROW()-2),1),"")</f>
        <v>24.7928</v>
      </c>
      <c r="H84" s="140">
        <f t="array" ref="H84">IFERROR(INDEX($B$1:$B$1109, SMALL(IF($D$1:$D$1109=$E$4,ROW($D$1:$D$1109)),ROW()-2),1),"")</f>
        <v>6.2</v>
      </c>
      <c r="I84" s="140">
        <f t="array" ref="I84">IFERROR(INDEX($C$1:$C$1109, SMALL(IF($D$1:$D$1109=$E$4,ROW($D$1:$D$1109)),ROW()-2),1),"")</f>
        <v>25.799900000000001</v>
      </c>
      <c r="J84" s="10">
        <f t="array" ref="J84">IFERROR(INDEX($B$1:$B$1109, SMALL(IF($D$1:$D$1109=$E$5,ROW($D$1:$D$1109)),ROW()-2),1),"")</f>
        <v>2</v>
      </c>
      <c r="K84" s="10">
        <f t="array" ref="K84">IFERROR(INDEX($C$1:$C$1109, SMALL(IF($D$1:$D$1109=$E$5,ROW($D$1:$D$1109)),ROW()-2),1),"")</f>
        <v>41.521000000000001</v>
      </c>
      <c r="L84" s="62"/>
      <c r="R84" s="13">
        <v>5</v>
      </c>
      <c r="S84" s="13">
        <v>24.7928</v>
      </c>
      <c r="T84" s="140">
        <v>6.2</v>
      </c>
      <c r="U84" s="140">
        <v>25.799900000000001</v>
      </c>
      <c r="V84" s="10">
        <v>2</v>
      </c>
      <c r="W84" s="10">
        <v>41.521000000000001</v>
      </c>
    </row>
    <row r="85" spans="1:24" ht="15.75">
      <c r="A85" s="64">
        <f t="shared" ca="1" si="1"/>
        <v>0.22085005099646149</v>
      </c>
      <c r="B85" s="74">
        <v>2.4</v>
      </c>
      <c r="C85" s="71">
        <v>42.2</v>
      </c>
      <c r="D85" s="132">
        <f t="array" ref="D85">MOD(ROW(), 3) + 1</f>
        <v>2</v>
      </c>
      <c r="E85" s="64"/>
      <c r="F85" s="13">
        <f t="array" ref="F85">IFERROR(INDEX($B$1:$B$1109, SMALL(IF($D$1:$D$1109=$E$3,ROW($D$1:$D$1109)),ROW()-2),1),"")</f>
        <v>3.5</v>
      </c>
      <c r="G85" s="13">
        <f t="array" ref="G85">IFERROR(INDEX($C$1:$C$1109, SMALL(IF($D$1:$D$1109=$E$3,ROW($D$1:$D$1109)),ROW()-2),1),"")</f>
        <v>36.087600000000002</v>
      </c>
      <c r="H85" s="140">
        <f t="array" ref="H85">IFERROR(INDEX($B$1:$B$1109, SMALL(IF($D$1:$D$1109=$E$4,ROW($D$1:$D$1109)),ROW()-2),1),"")</f>
        <v>3.2</v>
      </c>
      <c r="I85" s="140">
        <f t="array" ref="I85">IFERROR(INDEX($C$1:$C$1109, SMALL(IF($D$1:$D$1109=$E$4,ROW($D$1:$D$1109)),ROW()-2),1),"")</f>
        <v>36.200000000000003</v>
      </c>
      <c r="J85" s="10">
        <f t="array" ref="J85">IFERROR(INDEX($B$1:$B$1109, SMALL(IF($D$1:$D$1109=$E$5,ROW($D$1:$D$1109)),ROW()-2),1),"")</f>
        <v>3.7</v>
      </c>
      <c r="K85" s="10">
        <f t="array" ref="K85">IFERROR(INDEX($C$1:$C$1109, SMALL(IF($D$1:$D$1109=$E$5,ROW($D$1:$D$1109)),ROW()-2),1),"")</f>
        <v>31.411200000000001</v>
      </c>
      <c r="L85" s="62"/>
      <c r="R85" s="13">
        <v>3.5</v>
      </c>
      <c r="S85" s="13">
        <v>36.087600000000002</v>
      </c>
      <c r="T85" s="140">
        <v>3.2</v>
      </c>
      <c r="U85" s="140">
        <v>36.200000000000003</v>
      </c>
      <c r="V85" s="10">
        <v>3.7</v>
      </c>
      <c r="W85" s="10">
        <v>31.411200000000001</v>
      </c>
    </row>
    <row r="86" spans="1:24" ht="15.75">
      <c r="A86" s="64">
        <f t="shared" ca="1" si="1"/>
        <v>0.50744409683307978</v>
      </c>
      <c r="B86" s="74">
        <v>3.5</v>
      </c>
      <c r="C86" s="71">
        <v>41.2</v>
      </c>
      <c r="D86" s="132">
        <f t="array" ref="D86">MOD(ROW(), 3) + 1</f>
        <v>3</v>
      </c>
      <c r="E86" s="64"/>
      <c r="F86" s="13">
        <f t="array" ref="F86">IFERROR(INDEX($B$1:$B$1109, SMALL(IF($D$1:$D$1109=$E$3,ROW($D$1:$D$1109)),ROW()-2),1),"")</f>
        <v>4</v>
      </c>
      <c r="G86" s="13">
        <f t="array" ref="G86">IFERROR(INDEX($C$1:$C$1109, SMALL(IF($D$1:$D$1109=$E$3,ROW($D$1:$D$1109)),ROW()-2),1),"")</f>
        <v>27.785699999999999</v>
      </c>
      <c r="H86" s="140">
        <f t="array" ref="H86">IFERROR(INDEX($B$1:$B$1109, SMALL(IF($D$1:$D$1109=$E$4,ROW($D$1:$D$1109)),ROW()-2),1),"")</f>
        <v>1.6</v>
      </c>
      <c r="I86" s="140">
        <f t="array" ref="I86">IFERROR(INDEX($C$1:$C$1109, SMALL(IF($D$1:$D$1109=$E$4,ROW($D$1:$D$1109)),ROW()-2),1),"")</f>
        <v>46.5047</v>
      </c>
      <c r="J86" s="10">
        <f t="array" ref="J86">IFERROR(INDEX($B$1:$B$1109, SMALL(IF($D$1:$D$1109=$E$5,ROW($D$1:$D$1109)),ROW()-2),1),"")</f>
        <v>5.3</v>
      </c>
      <c r="K86" s="10">
        <f t="array" ref="K86">IFERROR(INDEX($C$1:$C$1109, SMALL(IF($D$1:$D$1109=$E$5,ROW($D$1:$D$1109)),ROW()-2),1),"")</f>
        <v>27.9</v>
      </c>
      <c r="L86" s="62"/>
      <c r="R86" s="13">
        <v>4</v>
      </c>
      <c r="S86" s="13">
        <v>27.785699999999999</v>
      </c>
      <c r="T86" s="140">
        <v>1.6</v>
      </c>
      <c r="U86" s="140">
        <v>46.5047</v>
      </c>
      <c r="V86" s="10">
        <v>5.3</v>
      </c>
      <c r="W86" s="10">
        <v>27.9</v>
      </c>
    </row>
    <row r="87" spans="1:24" ht="15.75">
      <c r="A87" s="64">
        <f t="shared" ca="1" si="1"/>
        <v>0.56937158633650298</v>
      </c>
      <c r="B87" s="74">
        <v>4</v>
      </c>
      <c r="C87" s="71">
        <v>24.6648</v>
      </c>
      <c r="D87" s="132">
        <f t="array" ref="D87">MOD(ROW(), 3) + 1</f>
        <v>1</v>
      </c>
      <c r="E87" s="64"/>
      <c r="F87" s="13">
        <f t="array" ref="F87">IFERROR(INDEX($B$1:$B$1109, SMALL(IF($D$1:$D$1109=$E$3,ROW($D$1:$D$1109)),ROW()-2),1),"")</f>
        <v>3</v>
      </c>
      <c r="G87" s="13">
        <f t="array" ref="G87">IFERROR(INDEX($C$1:$C$1109, SMALL(IF($D$1:$D$1109=$E$3,ROW($D$1:$D$1109)),ROW()-2),1),"")</f>
        <v>33</v>
      </c>
      <c r="H87" s="140">
        <f t="array" ref="H87">IFERROR(INDEX($B$1:$B$1109, SMALL(IF($D$1:$D$1109=$E$4,ROW($D$1:$D$1109)),ROW()-2),1),"")</f>
        <v>3.8</v>
      </c>
      <c r="I87" s="140">
        <f t="array" ref="I87">IFERROR(INDEX($C$1:$C$1109, SMALL(IF($D$1:$D$1109=$E$4,ROW($D$1:$D$1109)),ROW()-2),1),"")</f>
        <v>26.163</v>
      </c>
      <c r="J87" s="10">
        <f t="array" ref="J87">IFERROR(INDEX($B$1:$B$1109, SMALL(IF($D$1:$D$1109=$E$5,ROW($D$1:$D$1109)),ROW()-2),1),"")</f>
        <v>3</v>
      </c>
      <c r="K87" s="10">
        <f t="array" ref="K87">IFERROR(INDEX($C$1:$C$1109, SMALL(IF($D$1:$D$1109=$E$5,ROW($D$1:$D$1109)),ROW()-2),1),"")</f>
        <v>35.267800000000001</v>
      </c>
      <c r="L87" s="62"/>
      <c r="R87" s="13">
        <v>3</v>
      </c>
      <c r="S87" s="13">
        <v>33</v>
      </c>
      <c r="T87" s="140">
        <v>3.8</v>
      </c>
      <c r="U87" s="140">
        <v>26.163</v>
      </c>
      <c r="V87" s="10">
        <v>3</v>
      </c>
      <c r="W87" s="10">
        <v>35.267800000000001</v>
      </c>
    </row>
    <row r="88" spans="1:24" ht="15.75">
      <c r="A88" s="64">
        <f t="shared" ca="1" si="1"/>
        <v>0.88393958616357771</v>
      </c>
      <c r="B88" s="74">
        <v>4.2</v>
      </c>
      <c r="C88" s="71">
        <v>26.8</v>
      </c>
      <c r="D88" s="132">
        <f t="array" ref="D88">MOD(ROW(), 3) + 1</f>
        <v>2</v>
      </c>
      <c r="E88" s="64"/>
      <c r="F88" s="13">
        <f t="array" ref="F88">IFERROR(INDEX($B$1:$B$1109, SMALL(IF($D$1:$D$1109=$E$3,ROW($D$1:$D$1109)),ROW()-2),1),"")</f>
        <v>3.7</v>
      </c>
      <c r="G88" s="13">
        <f t="array" ref="G88">IFERROR(INDEX($C$1:$C$1109, SMALL(IF($D$1:$D$1109=$E$3,ROW($D$1:$D$1109)),ROW()-2),1),"")</f>
        <v>34.583199999999998</v>
      </c>
      <c r="H88" s="140">
        <f t="array" ref="H88">IFERROR(INDEX($B$1:$B$1109, SMALL(IF($D$1:$D$1109=$E$4,ROW($D$1:$D$1109)),ROW()-2),1),"")</f>
        <v>3.5</v>
      </c>
      <c r="I88" s="140">
        <f t="array" ref="I88">IFERROR(INDEX($C$1:$C$1109, SMALL(IF($D$1:$D$1109=$E$4,ROW($D$1:$D$1109)),ROW()-2),1),"")</f>
        <v>37.4</v>
      </c>
      <c r="J88" s="10">
        <f t="array" ref="J88">IFERROR(INDEX($B$1:$B$1109, SMALL(IF($D$1:$D$1109=$E$5,ROW($D$1:$D$1109)),ROW()-2),1),"")</f>
        <v>2</v>
      </c>
      <c r="K88" s="10">
        <f t="array" ref="K88">IFERROR(INDEX($C$1:$C$1109, SMALL(IF($D$1:$D$1109=$E$5,ROW($D$1:$D$1109)),ROW()-2),1),"")</f>
        <v>41.566099999999999</v>
      </c>
      <c r="R88" s="13">
        <v>3.7</v>
      </c>
      <c r="S88" s="13">
        <v>34.583199999999998</v>
      </c>
      <c r="T88" s="140">
        <v>3.5</v>
      </c>
      <c r="U88" s="140">
        <v>37.4</v>
      </c>
      <c r="V88" s="10">
        <v>2</v>
      </c>
      <c r="W88" s="10">
        <v>41.566099999999999</v>
      </c>
    </row>
    <row r="89" spans="1:24" ht="15.75">
      <c r="A89" s="64">
        <f t="shared" ca="1" si="1"/>
        <v>0.41523578070376954</v>
      </c>
      <c r="B89" s="74">
        <v>5</v>
      </c>
      <c r="C89" s="71">
        <v>32.670099999999998</v>
      </c>
      <c r="D89" s="132">
        <f t="array" ref="D89">MOD(ROW(), 3) + 1</f>
        <v>3</v>
      </c>
      <c r="E89" s="64"/>
      <c r="F89" s="13">
        <f t="array" ref="F89">IFERROR(INDEX($B$1:$B$1109, SMALL(IF($D$1:$D$1109=$E$3,ROW($D$1:$D$1109)),ROW()-2),1),"")</f>
        <v>2.4</v>
      </c>
      <c r="G89" s="13">
        <f t="array" ref="G89">IFERROR(INDEX($C$1:$C$1109, SMALL(IF($D$1:$D$1109=$E$3,ROW($D$1:$D$1109)),ROW()-2),1),"")</f>
        <v>43.003500000000003</v>
      </c>
      <c r="H89" s="140">
        <f t="array" ref="H89">IFERROR(INDEX($B$1:$B$1109, SMALL(IF($D$1:$D$1109=$E$4,ROW($D$1:$D$1109)),ROW()-2),1),"")</f>
        <v>6.3</v>
      </c>
      <c r="I89" s="140">
        <f t="array" ref="I89">IFERROR(INDEX($C$1:$C$1109, SMALL(IF($D$1:$D$1109=$E$4,ROW($D$1:$D$1109)),ROW()-2),1),"")</f>
        <v>27.1158</v>
      </c>
      <c r="J89" s="10">
        <f t="array" ref="J89">IFERROR(INDEX($B$1:$B$1109, SMALL(IF($D$1:$D$1109=$E$5,ROW($D$1:$D$1109)),ROW()-2),1),"")</f>
        <v>4.5999999999999996</v>
      </c>
      <c r="K89" s="10">
        <f t="array" ref="K89">IFERROR(INDEX($C$1:$C$1109, SMALL(IF($D$1:$D$1109=$E$5,ROW($D$1:$D$1109)),ROW()-2),1),"")</f>
        <v>26.548400000000001</v>
      </c>
      <c r="L89" s="68"/>
      <c r="R89" s="13">
        <v>2.4</v>
      </c>
      <c r="S89" s="13">
        <v>43.003500000000003</v>
      </c>
      <c r="T89" s="140">
        <v>6.3</v>
      </c>
      <c r="U89" s="140">
        <v>27.1158</v>
      </c>
      <c r="V89" s="10">
        <v>4.5999999999999996</v>
      </c>
      <c r="W89" s="10">
        <v>26.548400000000001</v>
      </c>
      <c r="X89" s="68"/>
    </row>
    <row r="90" spans="1:24" ht="15.75">
      <c r="A90" s="64">
        <f t="shared" ca="1" si="1"/>
        <v>0.78135298643046891</v>
      </c>
      <c r="B90" s="74">
        <v>4</v>
      </c>
      <c r="C90" s="71">
        <v>36.392600000000002</v>
      </c>
      <c r="D90" s="132">
        <f t="array" ref="D90">MOD(ROW(), 3) + 1</f>
        <v>1</v>
      </c>
      <c r="E90" s="64"/>
      <c r="F90" s="13">
        <f t="array" ref="F90">IFERROR(INDEX($B$1:$B$1109, SMALL(IF($D$1:$D$1109=$E$3,ROW($D$1:$D$1109)),ROW()-2),1),"")</f>
        <v>2.4</v>
      </c>
      <c r="G90" s="13">
        <f t="array" ref="G90">IFERROR(INDEX($C$1:$C$1109, SMALL(IF($D$1:$D$1109=$E$3,ROW($D$1:$D$1109)),ROW()-2),1),"")</f>
        <v>35.299999999999997</v>
      </c>
      <c r="H90" s="140">
        <f t="array" ref="H90">IFERROR(INDEX($B$1:$B$1109, SMALL(IF($D$1:$D$1109=$E$4,ROW($D$1:$D$1109)),ROW()-2),1),"")</f>
        <v>6.2</v>
      </c>
      <c r="I90" s="140">
        <f t="array" ref="I90">IFERROR(INDEX($C$1:$C$1109, SMALL(IF($D$1:$D$1109=$E$4,ROW($D$1:$D$1109)),ROW()-2),1),"")</f>
        <v>28.4</v>
      </c>
      <c r="J90" s="10">
        <f t="array" ref="J90">IFERROR(INDEX($B$1:$B$1109, SMALL(IF($D$1:$D$1109=$E$5,ROW($D$1:$D$1109)),ROW()-2),1),"")</f>
        <v>5.3</v>
      </c>
      <c r="K90" s="10">
        <f t="array" ref="K90">IFERROR(INDEX($C$1:$C$1109, SMALL(IF($D$1:$D$1109=$E$5,ROW($D$1:$D$1109)),ROW()-2),1),"")</f>
        <v>26.6</v>
      </c>
      <c r="L90" s="131"/>
      <c r="R90" s="13">
        <v>2.4</v>
      </c>
      <c r="S90" s="13">
        <v>35.299999999999997</v>
      </c>
      <c r="T90" s="140">
        <v>6.2</v>
      </c>
      <c r="U90" s="140">
        <v>28.4</v>
      </c>
      <c r="V90" s="10">
        <v>5.3</v>
      </c>
      <c r="W90" s="10">
        <v>26.6</v>
      </c>
    </row>
    <row r="91" spans="1:24" ht="15.75">
      <c r="A91" s="64">
        <f t="shared" ca="1" si="1"/>
        <v>0.60664465461152906</v>
      </c>
      <c r="B91" s="74">
        <v>2</v>
      </c>
      <c r="C91" s="71">
        <v>39</v>
      </c>
      <c r="D91" s="132">
        <f t="array" ref="D91">MOD(ROW(), 3) + 1</f>
        <v>2</v>
      </c>
      <c r="E91" s="64"/>
      <c r="F91" s="13">
        <f t="array" ref="F91">IFERROR(INDEX($B$1:$B$1109, SMALL(IF($D$1:$D$1109=$E$3,ROW($D$1:$D$1109)),ROW()-2),1),"")</f>
        <v>6</v>
      </c>
      <c r="G91" s="13">
        <f t="array" ref="G91">IFERROR(INDEX($C$1:$C$1109, SMALL(IF($D$1:$D$1109=$E$3,ROW($D$1:$D$1109)),ROW()-2),1),"")</f>
        <v>30.299900000000001</v>
      </c>
      <c r="H91" s="140">
        <f t="array" ref="H91">IFERROR(INDEX($B$1:$B$1109, SMALL(IF($D$1:$D$1109=$E$4,ROW($D$1:$D$1109)),ROW()-2),1),"")</f>
        <v>3.3</v>
      </c>
      <c r="I91" s="140">
        <f t="array" ref="I91">IFERROR(INDEX($C$1:$C$1109, SMALL(IF($D$1:$D$1109=$E$4,ROW($D$1:$D$1109)),ROW()-2),1),"")</f>
        <v>34.998899999999999</v>
      </c>
      <c r="J91" s="10">
        <f t="array" ref="J91">IFERROR(INDEX($B$1:$B$1109, SMALL(IF($D$1:$D$1109=$E$5,ROW($D$1:$D$1109)),ROW()-2),1),"")</f>
        <v>3</v>
      </c>
      <c r="K91" s="10">
        <f t="array" ref="K91">IFERROR(INDEX($C$1:$C$1109, SMALL(IF($D$1:$D$1109=$E$5,ROW($D$1:$D$1109)),ROW()-2),1),"")</f>
        <v>38.7896</v>
      </c>
      <c r="L91" s="131"/>
      <c r="R91" s="13">
        <v>6</v>
      </c>
      <c r="S91" s="13">
        <v>30.299900000000001</v>
      </c>
      <c r="T91" s="140">
        <v>3.3</v>
      </c>
      <c r="U91" s="140">
        <v>34.998899999999999</v>
      </c>
      <c r="V91" s="10">
        <v>3</v>
      </c>
      <c r="W91" s="10">
        <v>38.7896</v>
      </c>
    </row>
    <row r="92" spans="1:24" ht="15.75">
      <c r="A92" s="64">
        <f t="shared" ca="1" si="1"/>
        <v>0.10308973265937194</v>
      </c>
      <c r="B92" s="74">
        <v>4.5999999999999996</v>
      </c>
      <c r="C92" s="71">
        <v>29</v>
      </c>
      <c r="D92" s="132">
        <f t="array" ref="D92">MOD(ROW(), 3) + 1</f>
        <v>3</v>
      </c>
      <c r="E92" s="64"/>
      <c r="F92" s="13">
        <f t="array" ref="F92">IFERROR(INDEX($B$1:$B$1109, SMALL(IF($D$1:$D$1109=$E$3,ROW($D$1:$D$1109)),ROW()-2),1),"")</f>
        <v>5.5</v>
      </c>
      <c r="G92" s="13">
        <f t="array" ref="G92">IFERROR(INDEX($C$1:$C$1109, SMALL(IF($D$1:$D$1109=$E$3,ROW($D$1:$D$1109)),ROW()-2),1),"")</f>
        <v>20.100000000000001</v>
      </c>
      <c r="H92" s="140">
        <f t="array" ref="H92">IFERROR(INDEX($B$1:$B$1109, SMALL(IF($D$1:$D$1109=$E$4,ROW($D$1:$D$1109)),ROW()-2),1),"")</f>
        <v>6</v>
      </c>
      <c r="I92" s="140">
        <f t="array" ref="I92">IFERROR(INDEX($C$1:$C$1109, SMALL(IF($D$1:$D$1109=$E$4,ROW($D$1:$D$1109)),ROW()-2),1),"")</f>
        <v>23.2715</v>
      </c>
      <c r="J92" s="10">
        <f t="array" ref="J92">IFERROR(INDEX($B$1:$B$1109, SMALL(IF($D$1:$D$1109=$E$5,ROW($D$1:$D$1109)),ROW()-2),1),"")</f>
        <v>2</v>
      </c>
      <c r="K92" s="10">
        <f t="array" ref="K92">IFERROR(INDEX($C$1:$C$1109, SMALL(IF($D$1:$D$1109=$E$5,ROW($D$1:$D$1109)),ROW()-2),1),"")</f>
        <v>58.534999999999997</v>
      </c>
      <c r="L92" s="62"/>
      <c r="R92" s="13">
        <v>5.5</v>
      </c>
      <c r="S92" s="13">
        <v>20.100000000000001</v>
      </c>
      <c r="T92" s="140">
        <v>6</v>
      </c>
      <c r="U92" s="140">
        <v>23.2715</v>
      </c>
      <c r="V92" s="10">
        <v>2</v>
      </c>
      <c r="W92" s="10">
        <v>58.534999999999997</v>
      </c>
    </row>
    <row r="93" spans="1:24" ht="15.75">
      <c r="A93" s="64">
        <f t="shared" ca="1" si="1"/>
        <v>0.63629959917445078</v>
      </c>
      <c r="B93" s="74">
        <v>1.6</v>
      </c>
      <c r="C93" s="71">
        <v>48.9</v>
      </c>
      <c r="D93" s="132">
        <f t="array" ref="D93">MOD(ROW(), 3) + 1</f>
        <v>1</v>
      </c>
      <c r="E93" s="64"/>
      <c r="F93" s="13">
        <f t="array" ref="F93">IFERROR(INDEX($B$1:$B$1109, SMALL(IF($D$1:$D$1109=$E$3,ROW($D$1:$D$1109)),ROW()-2),1),"")</f>
        <v>1.3</v>
      </c>
      <c r="G93" s="13">
        <f t="array" ref="G93">IFERROR(INDEX($C$1:$C$1109, SMALL(IF($D$1:$D$1109=$E$3,ROW($D$1:$D$1109)),ROW()-2),1),"")</f>
        <v>32.1</v>
      </c>
      <c r="H93" s="140">
        <f t="array" ref="H93">IFERROR(INDEX($B$1:$B$1109, SMALL(IF($D$1:$D$1109=$E$4,ROW($D$1:$D$1109)),ROW()-2),1),"")</f>
        <v>2.4</v>
      </c>
      <c r="I93" s="140">
        <f t="array" ref="I93">IFERROR(INDEX($C$1:$C$1109, SMALL(IF($D$1:$D$1109=$E$4,ROW($D$1:$D$1109)),ROW()-2),1),"")</f>
        <v>31.9</v>
      </c>
      <c r="J93" s="10">
        <f t="array" ref="J93">IFERROR(INDEX($B$1:$B$1109, SMALL(IF($D$1:$D$1109=$E$5,ROW($D$1:$D$1109)),ROW()-2),1),"")</f>
        <v>2.4</v>
      </c>
      <c r="K93" s="10">
        <f t="array" ref="K93">IFERROR(INDEX($C$1:$C$1109, SMALL(IF($D$1:$D$1109=$E$5,ROW($D$1:$D$1109)),ROW()-2),1),"")</f>
        <v>48.2</v>
      </c>
      <c r="L93" s="62"/>
      <c r="R93" s="13">
        <v>1.3</v>
      </c>
      <c r="S93" s="13">
        <v>32.1</v>
      </c>
      <c r="T93" s="140">
        <v>2.4</v>
      </c>
      <c r="U93" s="140">
        <v>31.9</v>
      </c>
      <c r="V93" s="10">
        <v>2.4</v>
      </c>
      <c r="W93" s="10">
        <v>48.2</v>
      </c>
    </row>
    <row r="94" spans="1:24" ht="15.75">
      <c r="A94" s="64">
        <f t="shared" ca="1" si="1"/>
        <v>0.19967767467611319</v>
      </c>
      <c r="B94" s="74">
        <v>2.5</v>
      </c>
      <c r="C94" s="71">
        <v>39.614699999999999</v>
      </c>
      <c r="D94" s="132">
        <f t="array" ref="D94">MOD(ROW(), 3) + 1</f>
        <v>2</v>
      </c>
      <c r="E94" s="64"/>
      <c r="F94" s="13">
        <f t="array" ref="F94">IFERROR(INDEX($B$1:$B$1109, SMALL(IF($D$1:$D$1109=$E$3,ROW($D$1:$D$1109)),ROW()-2),1),"")</f>
        <v>2.4</v>
      </c>
      <c r="G94" s="13">
        <f t="array" ref="G94">IFERROR(INDEX($C$1:$C$1109, SMALL(IF($D$1:$D$1109=$E$3,ROW($D$1:$D$1109)),ROW()-2),1),"")</f>
        <v>43.3</v>
      </c>
      <c r="H94" s="140">
        <f t="array" ref="H94">IFERROR(INDEX($B$1:$B$1109, SMALL(IF($D$1:$D$1109=$E$4,ROW($D$1:$D$1109)),ROW()-2),1),"")</f>
        <v>4.5999999999999996</v>
      </c>
      <c r="I94" s="140">
        <f t="array" ref="I94">IFERROR(INDEX($C$1:$C$1109, SMALL(IF($D$1:$D$1109=$E$4,ROW($D$1:$D$1109)),ROW()-2),1),"")</f>
        <v>29.14</v>
      </c>
      <c r="J94" s="10">
        <f t="array" ref="J94">IFERROR(INDEX($B$1:$B$1109, SMALL(IF($D$1:$D$1109=$E$5,ROW($D$1:$D$1109)),ROW()-2),1),"")</f>
        <v>3.5</v>
      </c>
      <c r="K94" s="10">
        <f t="array" ref="K94">IFERROR(INDEX($C$1:$C$1109, SMALL(IF($D$1:$D$1109=$E$5,ROW($D$1:$D$1109)),ROW()-2),1),"")</f>
        <v>37.6</v>
      </c>
      <c r="L94" s="62"/>
      <c r="R94" s="13">
        <v>2.4</v>
      </c>
      <c r="S94" s="13">
        <v>43.3</v>
      </c>
      <c r="T94" s="140">
        <v>4.5999999999999996</v>
      </c>
      <c r="U94" s="140">
        <v>29.14</v>
      </c>
      <c r="V94" s="10">
        <v>3.5</v>
      </c>
      <c r="W94" s="10">
        <v>37.6</v>
      </c>
    </row>
    <row r="95" spans="1:24" ht="15.75">
      <c r="A95" s="64">
        <f t="shared" ca="1" si="1"/>
        <v>0.29657879449520619</v>
      </c>
      <c r="B95" s="74">
        <v>3.7</v>
      </c>
      <c r="C95" s="71">
        <v>27</v>
      </c>
      <c r="D95" s="132">
        <f t="array" ref="D95">MOD(ROW(), 3) + 1</f>
        <v>3</v>
      </c>
      <c r="E95" s="64"/>
      <c r="F95" s="13">
        <f t="array" ref="F95">IFERROR(INDEX($B$1:$B$1109, SMALL(IF($D$1:$D$1109=$E$3,ROW($D$1:$D$1109)),ROW()-2),1),"")</f>
        <v>3</v>
      </c>
      <c r="G95" s="13">
        <f t="array" ref="G95">IFERROR(INDEX($C$1:$C$1109, SMALL(IF($D$1:$D$1109=$E$3,ROW($D$1:$D$1109)),ROW()-2),1),"")</f>
        <v>38.7896</v>
      </c>
      <c r="H95" s="140">
        <f t="array" ref="H95">IFERROR(INDEX($B$1:$B$1109, SMALL(IF($D$1:$D$1109=$E$4,ROW($D$1:$D$1109)),ROW()-2),1),"")</f>
        <v>4.8</v>
      </c>
      <c r="I95" s="140">
        <f t="array" ref="I95">IFERROR(INDEX($C$1:$C$1109, SMALL(IF($D$1:$D$1109=$E$4,ROW($D$1:$D$1109)),ROW()-2),1),"")</f>
        <v>26.388000000000002</v>
      </c>
      <c r="J95" s="10">
        <f t="array" ref="J95">IFERROR(INDEX($B$1:$B$1109, SMALL(IF($D$1:$D$1109=$E$5,ROW($D$1:$D$1109)),ROW()-2),1),"")</f>
        <v>1.6</v>
      </c>
      <c r="K95" s="10">
        <f t="array" ref="K95">IFERROR(INDEX($C$1:$C$1109, SMALL(IF($D$1:$D$1109=$E$5,ROW($D$1:$D$1109)),ROW()-2),1),"")</f>
        <v>42.1</v>
      </c>
      <c r="L95" s="62"/>
      <c r="R95" s="13">
        <v>3</v>
      </c>
      <c r="S95" s="13">
        <v>38.7896</v>
      </c>
      <c r="T95" s="140">
        <v>4.8</v>
      </c>
      <c r="U95" s="140">
        <v>26.388000000000002</v>
      </c>
      <c r="V95" s="10">
        <v>1.6</v>
      </c>
      <c r="W95" s="10">
        <v>42.1</v>
      </c>
    </row>
    <row r="96" spans="1:24" ht="15.75">
      <c r="A96" s="64">
        <f t="shared" ca="1" si="1"/>
        <v>0.10644605455648415</v>
      </c>
      <c r="B96" s="74">
        <v>1.6</v>
      </c>
      <c r="C96" s="71">
        <v>47.9</v>
      </c>
      <c r="D96" s="132">
        <f t="array" ref="D96">MOD(ROW(), 3) + 1</f>
        <v>1</v>
      </c>
      <c r="E96" s="64"/>
      <c r="F96" s="13">
        <f t="array" ref="F96">IFERROR(INDEX($B$1:$B$1109, SMALL(IF($D$1:$D$1109=$E$3,ROW($D$1:$D$1109)),ROW()-2),1),"")</f>
        <v>3</v>
      </c>
      <c r="G96" s="13">
        <f t="array" ref="G96">IFERROR(INDEX($C$1:$C$1109, SMALL(IF($D$1:$D$1109=$E$3,ROW($D$1:$D$1109)),ROW()-2),1),"")</f>
        <v>33.299999999999997</v>
      </c>
      <c r="H96" s="140">
        <f t="array" ref="H96">IFERROR(INDEX($B$1:$B$1109, SMALL(IF($D$1:$D$1109=$E$4,ROW($D$1:$D$1109)),ROW()-2),1),"")</f>
        <v>1.6</v>
      </c>
      <c r="I96" s="140">
        <f t="array" ref="I96">IFERROR(INDEX($C$1:$C$1109, SMALL(IF($D$1:$D$1109=$E$4,ROW($D$1:$D$1109)),ROW()-2),1),"")</f>
        <v>50.4</v>
      </c>
      <c r="J96" s="10">
        <f t="array" ref="J96">IFERROR(INDEX($B$1:$B$1109, SMALL(IF($D$1:$D$1109=$E$5,ROW($D$1:$D$1109)),ROW()-2),1),"")</f>
        <v>3.5</v>
      </c>
      <c r="K96" s="10">
        <f t="array" ref="K96">IFERROR(INDEX($C$1:$C$1109, SMALL(IF($D$1:$D$1109=$E$5,ROW($D$1:$D$1109)),ROW()-2),1),"")</f>
        <v>34.200000000000003</v>
      </c>
      <c r="L96" s="62"/>
      <c r="R96" s="13">
        <v>3</v>
      </c>
      <c r="S96" s="13">
        <v>33.299999999999997</v>
      </c>
      <c r="T96" s="140">
        <v>1.6</v>
      </c>
      <c r="U96" s="140">
        <v>50.4</v>
      </c>
      <c r="V96" s="10">
        <v>3.5</v>
      </c>
      <c r="W96" s="10">
        <v>34.200000000000003</v>
      </c>
    </row>
    <row r="97" spans="1:23" ht="15.75">
      <c r="A97" s="64">
        <f t="shared" ca="1" si="1"/>
        <v>0.3208097916127145</v>
      </c>
      <c r="B97" s="74">
        <v>3.7</v>
      </c>
      <c r="C97" s="71">
        <v>31.6</v>
      </c>
      <c r="D97" s="132">
        <f t="array" ref="D97">MOD(ROW(), 3) + 1</f>
        <v>2</v>
      </c>
      <c r="E97" s="64"/>
      <c r="F97" s="13">
        <f t="array" ref="F97">IFERROR(INDEX($B$1:$B$1109, SMALL(IF($D$1:$D$1109=$E$3,ROW($D$1:$D$1109)),ROW()-2),1),"")</f>
        <v>3.5</v>
      </c>
      <c r="G97" s="13">
        <f t="array" ref="G97">IFERROR(INDEX($C$1:$C$1109, SMALL(IF($D$1:$D$1109=$E$3,ROW($D$1:$D$1109)),ROW()-2),1),"")</f>
        <v>40.299999999999997</v>
      </c>
      <c r="H97" s="140">
        <f t="array" ref="H97">IFERROR(INDEX($B$1:$B$1109, SMALL(IF($D$1:$D$1109=$E$4,ROW($D$1:$D$1109)),ROW()-2),1),"")</f>
        <v>2</v>
      </c>
      <c r="I97" s="140">
        <f t="array" ref="I97">IFERROR(INDEX($C$1:$C$1109, SMALL(IF($D$1:$D$1109=$E$4,ROW($D$1:$D$1109)),ROW()-2),1),"")</f>
        <v>41.566099999999999</v>
      </c>
      <c r="J97" s="10">
        <f t="array" ref="J97">IFERROR(INDEX($B$1:$B$1109, SMALL(IF($D$1:$D$1109=$E$5,ROW($D$1:$D$1109)),ROW()-2),1),"")</f>
        <v>2</v>
      </c>
      <c r="K97" s="10">
        <f t="array" ref="K97">IFERROR(INDEX($C$1:$C$1109, SMALL(IF($D$1:$D$1109=$E$5,ROW($D$1:$D$1109)),ROW()-2),1),"")</f>
        <v>38.995899999999999</v>
      </c>
      <c r="L97" s="62"/>
      <c r="R97" s="13">
        <v>3.5</v>
      </c>
      <c r="S97" s="13">
        <v>40.299999999999997</v>
      </c>
      <c r="T97" s="140">
        <v>2</v>
      </c>
      <c r="U97" s="140">
        <v>41.566099999999999</v>
      </c>
      <c r="V97" s="10">
        <v>2</v>
      </c>
      <c r="W97" s="10">
        <v>38.995899999999999</v>
      </c>
    </row>
    <row r="98" spans="1:23" ht="15.75">
      <c r="A98" s="64">
        <f t="shared" ca="1" si="1"/>
        <v>0.24047335130588143</v>
      </c>
      <c r="B98" s="74">
        <v>5.3</v>
      </c>
      <c r="C98" s="71">
        <v>30.4</v>
      </c>
      <c r="D98" s="132">
        <f t="array" ref="D98">MOD(ROW(), 3) + 1</f>
        <v>3</v>
      </c>
      <c r="E98" s="64"/>
      <c r="F98" s="13">
        <f t="array" ref="F98">IFERROR(INDEX($B$1:$B$1109, SMALL(IF($D$1:$D$1109=$E$3,ROW($D$1:$D$1109)),ROW()-2),1),"")</f>
        <v>4.5999999999999996</v>
      </c>
      <c r="G98" s="13">
        <f t="array" ref="G98">IFERROR(INDEX($C$1:$C$1109, SMALL(IF($D$1:$D$1109=$E$3,ROW($D$1:$D$1109)),ROW()-2),1),"")</f>
        <v>30.299900000000001</v>
      </c>
      <c r="H98" s="140">
        <f t="array" ref="H98">IFERROR(INDEX($B$1:$B$1109, SMALL(IF($D$1:$D$1109=$E$4,ROW($D$1:$D$1109)),ROW()-2),1),"")</f>
        <v>3.8</v>
      </c>
      <c r="I98" s="140">
        <f t="array" ref="I98">IFERROR(INDEX($C$1:$C$1109, SMALL(IF($D$1:$D$1109=$E$4,ROW($D$1:$D$1109)),ROW()-2),1),"")</f>
        <v>28.2</v>
      </c>
      <c r="J98" s="10">
        <f t="array" ref="J98">IFERROR(INDEX($B$1:$B$1109, SMALL(IF($D$1:$D$1109=$E$5,ROW($D$1:$D$1109)),ROW()-2),1),"")</f>
        <v>4</v>
      </c>
      <c r="K98" s="10">
        <f t="array" ref="K98">IFERROR(INDEX($C$1:$C$1109, SMALL(IF($D$1:$D$1109=$E$5,ROW($D$1:$D$1109)),ROW()-2),1),"")</f>
        <v>27.3</v>
      </c>
      <c r="L98" s="62"/>
      <c r="R98" s="13">
        <v>4.5999999999999996</v>
      </c>
      <c r="S98" s="13">
        <v>30.299900000000001</v>
      </c>
      <c r="T98" s="140">
        <v>3.8</v>
      </c>
      <c r="U98" s="140">
        <v>28.2</v>
      </c>
      <c r="V98" s="10">
        <v>4</v>
      </c>
      <c r="W98" s="10">
        <v>27.3</v>
      </c>
    </row>
    <row r="99" spans="1:23" ht="15.75">
      <c r="A99" s="64">
        <f t="shared" ca="1" si="1"/>
        <v>0.56562041224272541</v>
      </c>
      <c r="B99" s="74">
        <v>3.7</v>
      </c>
      <c r="C99" s="71">
        <v>30.9</v>
      </c>
      <c r="D99" s="132">
        <f t="array" ref="D99">MOD(ROW(), 3) + 1</f>
        <v>1</v>
      </c>
      <c r="E99" s="64"/>
      <c r="F99" s="13">
        <f t="array" ref="F99">IFERROR(INDEX($B$1:$B$1109, SMALL(IF($D$1:$D$1109=$E$3,ROW($D$1:$D$1109)),ROW()-2),1),"")</f>
        <v>6.2</v>
      </c>
      <c r="G99" s="13">
        <f t="array" ref="G99">IFERROR(INDEX($C$1:$C$1109, SMALL(IF($D$1:$D$1109=$E$3,ROW($D$1:$D$1109)),ROW()-2),1),"")</f>
        <v>33.799999999999997</v>
      </c>
      <c r="H99" s="140">
        <f t="array" ref="H99">IFERROR(INDEX($B$1:$B$1109, SMALL(IF($D$1:$D$1109=$E$4,ROW($D$1:$D$1109)),ROW()-2),1),"")</f>
        <v>3.5</v>
      </c>
      <c r="I99" s="140">
        <f t="array" ref="I99">IFERROR(INDEX($C$1:$C$1109, SMALL(IF($D$1:$D$1109=$E$4,ROW($D$1:$D$1109)),ROW()-2),1),"")</f>
        <v>31.4</v>
      </c>
      <c r="J99" s="10">
        <f t="array" ref="J99">IFERROR(INDEX($B$1:$B$1109, SMALL(IF($D$1:$D$1109=$E$5,ROW($D$1:$D$1109)),ROW()-2),1),"")</f>
        <v>1.8</v>
      </c>
      <c r="K99" s="10">
        <f t="array" ref="K99">IFERROR(INDEX($C$1:$C$1109, SMALL(IF($D$1:$D$1109=$E$5,ROW($D$1:$D$1109)),ROW()-2),1),"")</f>
        <v>44.8</v>
      </c>
      <c r="L99" s="62"/>
      <c r="R99" s="13">
        <v>6.2</v>
      </c>
      <c r="S99" s="13">
        <v>33.799999999999997</v>
      </c>
      <c r="T99" s="140">
        <v>3.5</v>
      </c>
      <c r="U99" s="140">
        <v>31.4</v>
      </c>
      <c r="V99" s="10">
        <v>1.8</v>
      </c>
      <c r="W99" s="10">
        <v>44.8</v>
      </c>
    </row>
    <row r="100" spans="1:23" ht="15.75">
      <c r="A100" s="64">
        <f t="shared" ca="1" si="1"/>
        <v>0.67119142902118845</v>
      </c>
      <c r="B100" s="74">
        <v>2.4</v>
      </c>
      <c r="C100" s="71">
        <v>39.347999999999999</v>
      </c>
      <c r="D100" s="132">
        <f t="array" ref="D100">MOD(ROW(), 3) + 1</f>
        <v>2</v>
      </c>
      <c r="E100" s="64"/>
      <c r="F100" s="13">
        <f t="array" ref="F100">IFERROR(INDEX($B$1:$B$1109, SMALL(IF($D$1:$D$1109=$E$3,ROW($D$1:$D$1109)),ROW()-2),1),"")</f>
        <v>1.6</v>
      </c>
      <c r="G100" s="13">
        <f t="array" ref="G100">IFERROR(INDEX($C$1:$C$1109, SMALL(IF($D$1:$D$1109=$E$3,ROW($D$1:$D$1109)),ROW()-2),1),"")</f>
        <v>48.9</v>
      </c>
      <c r="H100" s="140">
        <f t="array" ref="H100">IFERROR(INDEX($B$1:$B$1109, SMALL(IF($D$1:$D$1109=$E$4,ROW($D$1:$D$1109)),ROW()-2),1),"")</f>
        <v>4</v>
      </c>
      <c r="I100" s="140">
        <f t="array" ref="I100">IFERROR(INDEX($C$1:$C$1109, SMALL(IF($D$1:$D$1109=$E$4,ROW($D$1:$D$1109)),ROW()-2),1),"")</f>
        <v>26.813700000000001</v>
      </c>
      <c r="J100" s="10">
        <f t="array" ref="J100">IFERROR(INDEX($B$1:$B$1109, SMALL(IF($D$1:$D$1109=$E$5,ROW($D$1:$D$1109)),ROW()-2),1),"")</f>
        <v>3.5</v>
      </c>
      <c r="K100" s="10">
        <f t="array" ref="K100">IFERROR(INDEX($C$1:$C$1109, SMALL(IF($D$1:$D$1109=$E$5,ROW($D$1:$D$1109)),ROW()-2),1),"")</f>
        <v>32.200000000000003</v>
      </c>
      <c r="L100" s="62"/>
      <c r="R100" s="13">
        <v>1.6</v>
      </c>
      <c r="S100" s="13">
        <v>48.9</v>
      </c>
      <c r="T100" s="140">
        <v>4</v>
      </c>
      <c r="U100" s="140">
        <v>26.813700000000001</v>
      </c>
      <c r="V100" s="10">
        <v>3.5</v>
      </c>
      <c r="W100" s="10">
        <v>32.200000000000003</v>
      </c>
    </row>
    <row r="101" spans="1:23" ht="15.75">
      <c r="A101" s="64">
        <f t="shared" ca="1" si="1"/>
        <v>0.42656529020958067</v>
      </c>
      <c r="B101" s="74">
        <v>5.9</v>
      </c>
      <c r="C101" s="71">
        <v>22.925799999999999</v>
      </c>
      <c r="D101" s="132">
        <f t="array" ref="D101">MOD(ROW(), 3) + 1</f>
        <v>3</v>
      </c>
      <c r="E101" s="64"/>
      <c r="F101" s="13">
        <f t="array" ref="F101">IFERROR(INDEX($B$1:$B$1109, SMALL(IF($D$1:$D$1109=$E$3,ROW($D$1:$D$1109)),ROW()-2),1),"")</f>
        <v>2.5</v>
      </c>
      <c r="G101" s="13">
        <f t="array" ref="G101">IFERROR(INDEX($C$1:$C$1109, SMALL(IF($D$1:$D$1109=$E$3,ROW($D$1:$D$1109)),ROW()-2),1),"")</f>
        <v>40.0169</v>
      </c>
      <c r="H101" s="140">
        <f t="array" ref="H101">IFERROR(INDEX($B$1:$B$1109, SMALL(IF($D$1:$D$1109=$E$4,ROW($D$1:$D$1109)),ROW()-2),1),"")</f>
        <v>5.3</v>
      </c>
      <c r="I101" s="140">
        <f t="array" ref="I101">IFERROR(INDEX($C$1:$C$1109, SMALL(IF($D$1:$D$1109=$E$4,ROW($D$1:$D$1109)),ROW()-2),1),"")</f>
        <v>22.299900000000001</v>
      </c>
      <c r="J101" s="10">
        <f t="array" ref="J101">IFERROR(INDEX($B$1:$B$1109, SMALL(IF($D$1:$D$1109=$E$5,ROW($D$1:$D$1109)),ROW()-2),1),"")</f>
        <v>3.6</v>
      </c>
      <c r="K101" s="10">
        <f t="array" ref="K101">IFERROR(INDEX($C$1:$C$1109, SMALL(IF($D$1:$D$1109=$E$5,ROW($D$1:$D$1109)),ROW()-2),1),"")</f>
        <v>35.1</v>
      </c>
      <c r="L101" s="62"/>
      <c r="R101" s="13">
        <v>2.5</v>
      </c>
      <c r="S101" s="13">
        <v>40.0169</v>
      </c>
      <c r="T101" s="140">
        <v>5.3</v>
      </c>
      <c r="U101" s="140">
        <v>22.299900000000001</v>
      </c>
      <c r="V101" s="10">
        <v>3.6</v>
      </c>
      <c r="W101" s="10">
        <v>35.1</v>
      </c>
    </row>
    <row r="102" spans="1:23" ht="15.75">
      <c r="A102" s="64">
        <f t="shared" ca="1" si="1"/>
        <v>0.30785793975511433</v>
      </c>
      <c r="B102" s="74">
        <v>5.6</v>
      </c>
      <c r="C102" s="71">
        <v>23.6</v>
      </c>
      <c r="D102" s="132">
        <f t="array" ref="D102">MOD(ROW(), 3) + 1</f>
        <v>1</v>
      </c>
      <c r="E102" s="64"/>
      <c r="F102" s="13">
        <f t="array" ref="F102">IFERROR(INDEX($B$1:$B$1109, SMALL(IF($D$1:$D$1109=$E$3,ROW($D$1:$D$1109)),ROW()-2),1),"")</f>
        <v>1.6</v>
      </c>
      <c r="G102" s="13">
        <f t="array" ref="G102">IFERROR(INDEX($C$1:$C$1109, SMALL(IF($D$1:$D$1109=$E$3,ROW($D$1:$D$1109)),ROW()-2),1),"")</f>
        <v>47.202500000000001</v>
      </c>
      <c r="H102" s="140">
        <f t="array" ref="H102">IFERROR(INDEX($B$1:$B$1109, SMALL(IF($D$1:$D$1109=$E$4,ROW($D$1:$D$1109)),ROW()-2),1),"")</f>
        <v>2.9</v>
      </c>
      <c r="I102" s="140">
        <f t="array" ref="I102">IFERROR(INDEX($C$1:$C$1109, SMALL(IF($D$1:$D$1109=$E$4,ROW($D$1:$D$1109)),ROW()-2),1),"")</f>
        <v>41.360799999999998</v>
      </c>
      <c r="J102" s="10">
        <f t="array" ref="J102">IFERROR(INDEX($B$1:$B$1109, SMALL(IF($D$1:$D$1109=$E$5,ROW($D$1:$D$1109)),ROW()-2),1),"")</f>
        <v>2</v>
      </c>
      <c r="K102" s="10">
        <f t="array" ref="K102">IFERROR(INDEX($C$1:$C$1109, SMALL(IF($D$1:$D$1109=$E$5,ROW($D$1:$D$1109)),ROW()-2),1),"")</f>
        <v>43.5</v>
      </c>
      <c r="L102" s="62"/>
      <c r="R102" s="13">
        <v>1.6</v>
      </c>
      <c r="S102" s="13">
        <v>47.202500000000001</v>
      </c>
      <c r="T102" s="140">
        <v>2.9</v>
      </c>
      <c r="U102" s="140">
        <v>41.360799999999998</v>
      </c>
      <c r="V102" s="10">
        <v>2</v>
      </c>
      <c r="W102" s="10">
        <v>43.5</v>
      </c>
    </row>
    <row r="103" spans="1:23" ht="15.75">
      <c r="A103" s="64">
        <f t="shared" ca="1" si="1"/>
        <v>0.18164253434679756</v>
      </c>
      <c r="B103" s="74">
        <v>2.2000000000000002</v>
      </c>
      <c r="C103" s="71">
        <v>44.999099999999999</v>
      </c>
      <c r="D103" s="132">
        <f t="array" ref="D103">MOD(ROW(), 3) + 1</f>
        <v>2</v>
      </c>
      <c r="E103" s="64"/>
      <c r="F103" s="13">
        <f t="array" ref="F103">IFERROR(INDEX($B$1:$B$1109, SMALL(IF($D$1:$D$1109=$E$3,ROW($D$1:$D$1109)),ROW()-2),1),"")</f>
        <v>4.5999999999999996</v>
      </c>
      <c r="G103" s="13">
        <f t="array" ref="G103">IFERROR(INDEX($C$1:$C$1109, SMALL(IF($D$1:$D$1109=$E$3,ROW($D$1:$D$1109)),ROW()-2),1),"")</f>
        <v>31.61</v>
      </c>
      <c r="H103" s="140">
        <f t="array" ref="H103">IFERROR(INDEX($B$1:$B$1109, SMALL(IF($D$1:$D$1109=$E$4,ROW($D$1:$D$1109)),ROW()-2),1),"")</f>
        <v>6.2</v>
      </c>
      <c r="I103" s="140">
        <f t="array" ref="I103">IFERROR(INDEX($C$1:$C$1109, SMALL(IF($D$1:$D$1109=$E$4,ROW($D$1:$D$1109)),ROW()-2),1),"")</f>
        <v>25.802600000000002</v>
      </c>
      <c r="J103" s="10">
        <f t="array" ref="J103">IFERROR(INDEX($B$1:$B$1109, SMALL(IF($D$1:$D$1109=$E$5,ROW($D$1:$D$1109)),ROW()-2),1),"")</f>
        <v>3</v>
      </c>
      <c r="K103" s="10">
        <f t="array" ref="K103">IFERROR(INDEX($C$1:$C$1109, SMALL(IF($D$1:$D$1109=$E$5,ROW($D$1:$D$1109)),ROW()-2),1),"")</f>
        <v>34.799999999999997</v>
      </c>
      <c r="L103" s="62"/>
      <c r="R103" s="13">
        <v>4.5999999999999996</v>
      </c>
      <c r="S103" s="13">
        <v>31.61</v>
      </c>
      <c r="T103" s="140">
        <v>6.2</v>
      </c>
      <c r="U103" s="140">
        <v>25.802600000000002</v>
      </c>
      <c r="V103" s="10">
        <v>3</v>
      </c>
      <c r="W103" s="10">
        <v>34.799999999999997</v>
      </c>
    </row>
    <row r="104" spans="1:23" ht="15.75">
      <c r="A104" s="64">
        <f t="shared" ca="1" si="1"/>
        <v>6.4177349445521115E-2</v>
      </c>
      <c r="B104" s="74">
        <v>2.4</v>
      </c>
      <c r="C104" s="71">
        <v>39.200000000000003</v>
      </c>
      <c r="D104" s="132">
        <f t="array" ref="D104">MOD(ROW(), 3) + 1</f>
        <v>3</v>
      </c>
      <c r="E104" s="64"/>
      <c r="F104" s="13">
        <f t="array" ref="F104">IFERROR(INDEX($B$1:$B$1109, SMALL(IF($D$1:$D$1109=$E$3,ROW($D$1:$D$1109)),ROW()-2),1),"")</f>
        <v>2</v>
      </c>
      <c r="G104" s="13">
        <f t="array" ref="G104">IFERROR(INDEX($C$1:$C$1109, SMALL(IF($D$1:$D$1109=$E$3,ROW($D$1:$D$1109)),ROW()-2),1),"")</f>
        <v>34.5</v>
      </c>
      <c r="H104" s="140">
        <f t="array" ref="H104">IFERROR(INDEX($B$1:$B$1109, SMALL(IF($D$1:$D$1109=$E$4,ROW($D$1:$D$1109)),ROW()-2),1),"")</f>
        <v>2.4</v>
      </c>
      <c r="I104" s="140">
        <f t="array" ref="I104">IFERROR(INDEX($C$1:$C$1109, SMALL(IF($D$1:$D$1109=$E$4,ROW($D$1:$D$1109)),ROW()-2),1),"")</f>
        <v>36.159599999999998</v>
      </c>
      <c r="J104" s="10">
        <f t="array" ref="J104">IFERROR(INDEX($B$1:$B$1109, SMALL(IF($D$1:$D$1109=$E$5,ROW($D$1:$D$1109)),ROW()-2),1),"")</f>
        <v>2.5</v>
      </c>
      <c r="K104" s="10">
        <f t="array" ref="K104">IFERROR(INDEX($C$1:$C$1109, SMALL(IF($D$1:$D$1109=$E$5,ROW($D$1:$D$1109)),ROW()-2),1),"")</f>
        <v>36.704700000000003</v>
      </c>
      <c r="L104" s="62"/>
      <c r="R104" s="13">
        <v>2</v>
      </c>
      <c r="S104" s="13">
        <v>34.5</v>
      </c>
      <c r="T104" s="140">
        <v>2.4</v>
      </c>
      <c r="U104" s="140">
        <v>36.159599999999998</v>
      </c>
      <c r="V104" s="10">
        <v>2.5</v>
      </c>
      <c r="W104" s="10">
        <v>36.704700000000003</v>
      </c>
    </row>
    <row r="105" spans="1:23" ht="15.75">
      <c r="A105" s="64">
        <f t="shared" ca="1" si="1"/>
        <v>2.7917250075932931E-2</v>
      </c>
      <c r="B105" s="74">
        <v>3.7</v>
      </c>
      <c r="C105" s="71">
        <v>27.2</v>
      </c>
      <c r="D105" s="132">
        <f t="array" ref="D105">MOD(ROW(), 3) + 1</f>
        <v>1</v>
      </c>
      <c r="E105" s="64"/>
      <c r="F105" s="13">
        <f t="array" ref="F105">IFERROR(INDEX($B$1:$B$1109, SMALL(IF($D$1:$D$1109=$E$3,ROW($D$1:$D$1109)),ROW()-2),1),"")</f>
        <v>2.4</v>
      </c>
      <c r="G105" s="13">
        <f t="array" ref="G105">IFERROR(INDEX($C$1:$C$1109, SMALL(IF($D$1:$D$1109=$E$3,ROW($D$1:$D$1109)),ROW()-2),1),"")</f>
        <v>44.6</v>
      </c>
      <c r="H105" s="140">
        <f t="array" ref="H105">IFERROR(INDEX($B$1:$B$1109, SMALL(IF($D$1:$D$1109=$E$4,ROW($D$1:$D$1109)),ROW()-2),1),"")</f>
        <v>5.5</v>
      </c>
      <c r="I105" s="140">
        <f t="array" ref="I105">IFERROR(INDEX($C$1:$C$1109, SMALL(IF($D$1:$D$1109=$E$4,ROW($D$1:$D$1109)),ROW()-2),1),"")</f>
        <v>24.6</v>
      </c>
      <c r="J105" s="10">
        <f t="array" ref="J105">IFERROR(INDEX($B$1:$B$1109, SMALL(IF($D$1:$D$1109=$E$5,ROW($D$1:$D$1109)),ROW()-2),1),"")</f>
        <v>2</v>
      </c>
      <c r="K105" s="10">
        <f t="array" ref="K105">IFERROR(INDEX($C$1:$C$1109, SMALL(IF($D$1:$D$1109=$E$5,ROW($D$1:$D$1109)),ROW()-2),1),"")</f>
        <v>44.707999999999998</v>
      </c>
      <c r="L105" s="62"/>
      <c r="R105" s="13">
        <v>2.4</v>
      </c>
      <c r="S105" s="13">
        <v>44.6</v>
      </c>
      <c r="T105" s="140">
        <v>5.5</v>
      </c>
      <c r="U105" s="140">
        <v>24.6</v>
      </c>
      <c r="V105" s="10">
        <v>2</v>
      </c>
      <c r="W105" s="10">
        <v>44.707999999999998</v>
      </c>
    </row>
    <row r="106" spans="1:23" ht="15.75">
      <c r="A106" s="64">
        <f t="shared" ca="1" si="1"/>
        <v>0.72065197704017037</v>
      </c>
      <c r="B106" s="74">
        <v>3.5</v>
      </c>
      <c r="C106" s="71">
        <v>30.2</v>
      </c>
      <c r="D106" s="132">
        <f t="array" ref="D106">MOD(ROW(), 3) + 1</f>
        <v>2</v>
      </c>
      <c r="E106" s="64"/>
      <c r="F106" s="13">
        <f t="array" ref="F106">IFERROR(INDEX($B$1:$B$1109, SMALL(IF($D$1:$D$1109=$E$3,ROW($D$1:$D$1109)),ROW()-2),1),"")</f>
        <v>2.5</v>
      </c>
      <c r="G106" s="13">
        <f t="array" ref="G106">IFERROR(INDEX($C$1:$C$1109, SMALL(IF($D$1:$D$1109=$E$3,ROW($D$1:$D$1109)),ROW()-2),1),"")</f>
        <v>32.910299999999999</v>
      </c>
      <c r="H106" s="140">
        <f t="array" ref="H106">IFERROR(INDEX($B$1:$B$1109, SMALL(IF($D$1:$D$1109=$E$4,ROW($D$1:$D$1109)),ROW()-2),1),"")</f>
        <v>6.6</v>
      </c>
      <c r="I106" s="140">
        <f t="array" ref="I106">IFERROR(INDEX($C$1:$C$1109, SMALL(IF($D$1:$D$1109=$E$4,ROW($D$1:$D$1109)),ROW()-2),1),"")</f>
        <v>27.3</v>
      </c>
      <c r="J106" s="10">
        <f t="array" ref="J106">IFERROR(INDEX($B$1:$B$1109, SMALL(IF($D$1:$D$1109=$E$5,ROW($D$1:$D$1109)),ROW()-2),1),"")</f>
        <v>5.3</v>
      </c>
      <c r="K106" s="10">
        <f t="array" ref="K106">IFERROR(INDEX($C$1:$C$1109, SMALL(IF($D$1:$D$1109=$E$5,ROW($D$1:$D$1109)),ROW()-2),1),"")</f>
        <v>26.6</v>
      </c>
      <c r="L106" s="62"/>
      <c r="R106" s="13">
        <v>2.5</v>
      </c>
      <c r="S106" s="13">
        <v>32.910299999999999</v>
      </c>
      <c r="T106" s="140">
        <v>6.6</v>
      </c>
      <c r="U106" s="140">
        <v>27.3</v>
      </c>
      <c r="V106" s="10">
        <v>5.3</v>
      </c>
      <c r="W106" s="10">
        <v>26.6</v>
      </c>
    </row>
    <row r="107" spans="1:23" ht="15.75">
      <c r="A107" s="64">
        <f t="shared" ca="1" si="1"/>
        <v>0.94409461549531204</v>
      </c>
      <c r="B107" s="74">
        <v>3.7</v>
      </c>
      <c r="C107" s="71">
        <v>30.5</v>
      </c>
      <c r="D107" s="132">
        <f t="array" ref="D107">MOD(ROW(), 3) + 1</f>
        <v>3</v>
      </c>
      <c r="E107" s="64"/>
      <c r="F107" s="13">
        <f t="array" ref="F107">IFERROR(INDEX($B$1:$B$1109, SMALL(IF($D$1:$D$1109=$E$3,ROW($D$1:$D$1109)),ROW()-2),1),"")</f>
        <v>3.8</v>
      </c>
      <c r="G107" s="13">
        <f t="array" ref="G107">IFERROR(INDEX($C$1:$C$1109, SMALL(IF($D$1:$D$1109=$E$3,ROW($D$1:$D$1109)),ROW()-2),1),"")</f>
        <v>33.200000000000003</v>
      </c>
      <c r="H107" s="140">
        <f t="array" ref="H107">IFERROR(INDEX($B$1:$B$1109, SMALL(IF($D$1:$D$1109=$E$4,ROW($D$1:$D$1109)),ROW()-2),1),"")</f>
        <v>2.4</v>
      </c>
      <c r="I107" s="140">
        <f t="array" ref="I107">IFERROR(INDEX($C$1:$C$1109, SMALL(IF($D$1:$D$1109=$E$4,ROW($D$1:$D$1109)),ROW()-2),1),"")</f>
        <v>44.4</v>
      </c>
      <c r="J107" s="10">
        <f t="array" ref="J107">IFERROR(INDEX($B$1:$B$1109, SMALL(IF($D$1:$D$1109=$E$5,ROW($D$1:$D$1109)),ROW()-2),1),"")</f>
        <v>2</v>
      </c>
      <c r="K107" s="10">
        <f t="array" ref="K107">IFERROR(INDEX($C$1:$C$1109, SMALL(IF($D$1:$D$1109=$E$5,ROW($D$1:$D$1109)),ROW()-2),1),"")</f>
        <v>40</v>
      </c>
      <c r="L107" s="62"/>
      <c r="R107" s="13">
        <v>3.8</v>
      </c>
      <c r="S107" s="13">
        <v>33.200000000000003</v>
      </c>
      <c r="T107" s="140">
        <v>2.4</v>
      </c>
      <c r="U107" s="140">
        <v>44.4</v>
      </c>
      <c r="V107" s="10">
        <v>2</v>
      </c>
      <c r="W107" s="10">
        <v>40</v>
      </c>
    </row>
    <row r="108" spans="1:23" ht="15.75">
      <c r="A108" s="64">
        <f t="shared" ca="1" si="1"/>
        <v>0.41878200882577754</v>
      </c>
      <c r="B108" s="74">
        <v>2.5</v>
      </c>
      <c r="C108" s="71">
        <v>39.571399999999997</v>
      </c>
      <c r="D108" s="132">
        <f t="array" ref="D108">MOD(ROW(), 3) + 1</f>
        <v>1</v>
      </c>
      <c r="E108" s="64"/>
      <c r="F108" s="13">
        <f t="array" ref="F108">IFERROR(INDEX($B$1:$B$1109, SMALL(IF($D$1:$D$1109=$E$3,ROW($D$1:$D$1109)),ROW()-2),1),"")</f>
        <v>2.5</v>
      </c>
      <c r="G108" s="13">
        <f t="array" ref="G108">IFERROR(INDEX($C$1:$C$1109, SMALL(IF($D$1:$D$1109=$E$3,ROW($D$1:$D$1109)),ROW()-2),1),"")</f>
        <v>45.672899999999998</v>
      </c>
      <c r="H108" s="140">
        <f t="array" ref="H108">IFERROR(INDEX($B$1:$B$1109, SMALL(IF($D$1:$D$1109=$E$4,ROW($D$1:$D$1109)),ROW()-2),1),"")</f>
        <v>4.5999999999999996</v>
      </c>
      <c r="I108" s="140">
        <f t="array" ref="I108">IFERROR(INDEX($C$1:$C$1109, SMALL(IF($D$1:$D$1109=$E$4,ROW($D$1:$D$1109)),ROW()-2),1),"")</f>
        <v>22.7</v>
      </c>
      <c r="J108" s="10">
        <f t="array" ref="J108">IFERROR(INDEX($B$1:$B$1109, SMALL(IF($D$1:$D$1109=$E$5,ROW($D$1:$D$1109)),ROW()-2),1),"")</f>
        <v>3.8</v>
      </c>
      <c r="K108" s="10">
        <f t="array" ref="K108">IFERROR(INDEX($C$1:$C$1109, SMALL(IF($D$1:$D$1109=$E$5,ROW($D$1:$D$1109)),ROW()-2),1),"")</f>
        <v>38.048400000000001</v>
      </c>
      <c r="L108" s="62"/>
      <c r="R108" s="13">
        <v>2.5</v>
      </c>
      <c r="S108" s="13">
        <v>45.672899999999998</v>
      </c>
      <c r="T108" s="140">
        <v>4.5999999999999996</v>
      </c>
      <c r="U108" s="140">
        <v>22.7</v>
      </c>
      <c r="V108" s="10">
        <v>3.8</v>
      </c>
      <c r="W108" s="10">
        <v>38.048400000000001</v>
      </c>
    </row>
    <row r="109" spans="1:23" ht="15.75">
      <c r="A109" s="64">
        <f t="shared" ca="1" si="1"/>
        <v>0.94172791925995314</v>
      </c>
      <c r="B109" s="74">
        <v>3.5</v>
      </c>
      <c r="C109" s="71">
        <v>34.5</v>
      </c>
      <c r="D109" s="132">
        <f t="array" ref="D109">MOD(ROW(), 3) + 1</f>
        <v>2</v>
      </c>
      <c r="E109" s="64"/>
      <c r="F109" s="13">
        <f t="array" ref="F109">IFERROR(INDEX($B$1:$B$1109, SMALL(IF($D$1:$D$1109=$E$3,ROW($D$1:$D$1109)),ROW()-2),1),"")</f>
        <v>2.4</v>
      </c>
      <c r="G109" s="13">
        <f t="array" ref="G109">IFERROR(INDEX($C$1:$C$1109, SMALL(IF($D$1:$D$1109=$E$3,ROW($D$1:$D$1109)),ROW()-2),1),"")</f>
        <v>38.6</v>
      </c>
      <c r="H109" s="140">
        <f t="array" ref="H109">IFERROR(INDEX($B$1:$B$1109, SMALL(IF($D$1:$D$1109=$E$4,ROW($D$1:$D$1109)),ROW()-2),1),"")</f>
        <v>6.2</v>
      </c>
      <c r="I109" s="140">
        <f t="array" ref="I109">IFERROR(INDEX($C$1:$C$1109, SMALL(IF($D$1:$D$1109=$E$4,ROW($D$1:$D$1109)),ROW()-2),1),"")</f>
        <v>35.799999999999997</v>
      </c>
      <c r="J109" s="10">
        <f t="array" ref="J109">IFERROR(INDEX($B$1:$B$1109, SMALL(IF($D$1:$D$1109=$E$5,ROW($D$1:$D$1109)),ROW()-2),1),"")</f>
        <v>5.3</v>
      </c>
      <c r="K109" s="10">
        <f t="array" ref="K109">IFERROR(INDEX($C$1:$C$1109, SMALL(IF($D$1:$D$1109=$E$5,ROW($D$1:$D$1109)),ROW()-2),1),"")</f>
        <v>22.9</v>
      </c>
      <c r="L109" s="62"/>
      <c r="R109" s="13">
        <v>2.4</v>
      </c>
      <c r="S109" s="13">
        <v>38.6</v>
      </c>
      <c r="T109" s="140">
        <v>6.2</v>
      </c>
      <c r="U109" s="140">
        <v>35.799999999999997</v>
      </c>
      <c r="V109" s="10">
        <v>5.3</v>
      </c>
      <c r="W109" s="10">
        <v>22.9</v>
      </c>
    </row>
    <row r="110" spans="1:23" ht="15.75">
      <c r="A110" s="64">
        <f t="shared" ca="1" si="1"/>
        <v>0.96064505259972377</v>
      </c>
      <c r="B110" s="74">
        <v>2.4</v>
      </c>
      <c r="C110" s="71">
        <v>38.6</v>
      </c>
      <c r="D110" s="132">
        <f t="array" ref="D110">MOD(ROW(), 3) + 1</f>
        <v>3</v>
      </c>
      <c r="E110" s="64"/>
      <c r="F110" s="13">
        <f t="array" ref="F110">IFERROR(INDEX($B$1:$B$1109, SMALL(IF($D$1:$D$1109=$E$3,ROW($D$1:$D$1109)),ROW()-2),1),"")</f>
        <v>5</v>
      </c>
      <c r="G110" s="13">
        <f t="array" ref="G110">IFERROR(INDEX($C$1:$C$1109, SMALL(IF($D$1:$D$1109=$E$3,ROW($D$1:$D$1109)),ROW()-2),1),"")</f>
        <v>23.227</v>
      </c>
      <c r="H110" s="140">
        <f t="array" ref="H110">IFERROR(INDEX($B$1:$B$1109, SMALL(IF($D$1:$D$1109=$E$4,ROW($D$1:$D$1109)),ROW()-2),1),"")</f>
        <v>3.7</v>
      </c>
      <c r="I110" s="140">
        <f t="array" ref="I110">IFERROR(INDEX($C$1:$C$1109, SMALL(IF($D$1:$D$1109=$E$4,ROW($D$1:$D$1109)),ROW()-2),1),"")</f>
        <v>36.9</v>
      </c>
      <c r="J110" s="10">
        <f t="array" ref="J110">IFERROR(INDEX($B$1:$B$1109, SMALL(IF($D$1:$D$1109=$E$5,ROW($D$1:$D$1109)),ROW()-2),1),"")</f>
        <v>3.5</v>
      </c>
      <c r="K110" s="10">
        <f t="array" ref="K110">IFERROR(INDEX($C$1:$C$1109, SMALL(IF($D$1:$D$1109=$E$5,ROW($D$1:$D$1109)),ROW()-2),1),"")</f>
        <v>34.6</v>
      </c>
      <c r="L110" s="62"/>
      <c r="R110" s="13">
        <v>5</v>
      </c>
      <c r="S110" s="13">
        <v>23.227</v>
      </c>
      <c r="T110" s="140">
        <v>3.7</v>
      </c>
      <c r="U110" s="140">
        <v>36.9</v>
      </c>
      <c r="V110" s="10">
        <v>3.5</v>
      </c>
      <c r="W110" s="10">
        <v>34.6</v>
      </c>
    </row>
    <row r="111" spans="1:23" ht="15.75">
      <c r="A111" s="64">
        <f t="shared" ca="1" si="1"/>
        <v>0.83897519890756211</v>
      </c>
      <c r="B111" s="74">
        <v>2.5</v>
      </c>
      <c r="C111" s="71">
        <v>40.6</v>
      </c>
      <c r="D111" s="132">
        <f t="array" ref="D111">MOD(ROW(), 3) + 1</f>
        <v>1</v>
      </c>
      <c r="E111" s="64"/>
      <c r="F111" s="13">
        <f t="array" ref="F111">IFERROR(INDEX($B$1:$B$1109, SMALL(IF($D$1:$D$1109=$E$3,ROW($D$1:$D$1109)),ROW()-2),1),"")</f>
        <v>3</v>
      </c>
      <c r="G111" s="13">
        <f t="array" ref="G111">IFERROR(INDEX($C$1:$C$1109, SMALL(IF($D$1:$D$1109=$E$3,ROW($D$1:$D$1109)),ROW()-2),1),"")</f>
        <v>32</v>
      </c>
      <c r="H111" s="140">
        <f t="array" ref="H111">IFERROR(INDEX($B$1:$B$1109, SMALL(IF($D$1:$D$1109=$E$4,ROW($D$1:$D$1109)),ROW()-2),1),"")</f>
        <v>3.5</v>
      </c>
      <c r="I111" s="140">
        <f t="array" ref="I111">IFERROR(INDEX($C$1:$C$1109, SMALL(IF($D$1:$D$1109=$E$4,ROW($D$1:$D$1109)),ROW()-2),1),"")</f>
        <v>33.700000000000003</v>
      </c>
      <c r="J111" s="10">
        <f t="array" ref="J111">IFERROR(INDEX($B$1:$B$1109, SMALL(IF($D$1:$D$1109=$E$5,ROW($D$1:$D$1109)),ROW()-2),1),"")</f>
        <v>2.2999999999999998</v>
      </c>
      <c r="K111" s="10">
        <f t="array" ref="K111">IFERROR(INDEX($C$1:$C$1109, SMALL(IF($D$1:$D$1109=$E$5,ROW($D$1:$D$1109)),ROW()-2),1),"")</f>
        <v>32.8232</v>
      </c>
      <c r="L111" s="62"/>
      <c r="R111" s="13">
        <v>3</v>
      </c>
      <c r="S111" s="13">
        <v>32</v>
      </c>
      <c r="T111" s="140">
        <v>3.5</v>
      </c>
      <c r="U111" s="140">
        <v>33.700000000000003</v>
      </c>
      <c r="V111" s="10">
        <v>2.2999999999999998</v>
      </c>
      <c r="W111" s="10">
        <v>32.8232</v>
      </c>
    </row>
    <row r="112" spans="1:23" ht="15.75">
      <c r="A112" s="64">
        <f t="shared" ca="1" si="1"/>
        <v>0.95836124099262554</v>
      </c>
      <c r="B112" s="74">
        <v>2.5</v>
      </c>
      <c r="C112" s="71">
        <v>31.8</v>
      </c>
      <c r="D112" s="132">
        <f t="array" ref="D112">MOD(ROW(), 3) + 1</f>
        <v>2</v>
      </c>
      <c r="E112" s="64"/>
      <c r="F112" s="13">
        <f t="array" ref="F112">IFERROR(INDEX($B$1:$B$1109, SMALL(IF($D$1:$D$1109=$E$3,ROW($D$1:$D$1109)),ROW()-2),1),"")</f>
        <v>2</v>
      </c>
      <c r="G112" s="13">
        <f t="array" ref="G112">IFERROR(INDEX($C$1:$C$1109, SMALL(IF($D$1:$D$1109=$E$3,ROW($D$1:$D$1109)),ROW()-2),1),"")</f>
        <v>50.9</v>
      </c>
      <c r="H112" s="140">
        <f t="array" ref="H112">IFERROR(INDEX($B$1:$B$1109, SMALL(IF($D$1:$D$1109=$E$4,ROW($D$1:$D$1109)),ROW()-2),1),"")</f>
        <v>1.6</v>
      </c>
      <c r="I112" s="140">
        <f t="array" ref="I112">IFERROR(INDEX($C$1:$C$1109, SMALL(IF($D$1:$D$1109=$E$4,ROW($D$1:$D$1109)),ROW()-2),1),"")</f>
        <v>43.5</v>
      </c>
      <c r="J112" s="10">
        <f t="array" ref="J112">IFERROR(INDEX($B$1:$B$1109, SMALL(IF($D$1:$D$1109=$E$5,ROW($D$1:$D$1109)),ROW()-2),1),"")</f>
        <v>3.8</v>
      </c>
      <c r="K112" s="10">
        <f t="array" ref="K112">IFERROR(INDEX($C$1:$C$1109, SMALL(IF($D$1:$D$1109=$E$5,ROW($D$1:$D$1109)),ROW()-2),1),"")</f>
        <v>36.012999999999998</v>
      </c>
      <c r="L112" s="62"/>
      <c r="R112" s="13">
        <v>2</v>
      </c>
      <c r="S112" s="13">
        <v>50.9</v>
      </c>
      <c r="T112" s="140">
        <v>1.6</v>
      </c>
      <c r="U112" s="140">
        <v>43.5</v>
      </c>
      <c r="V112" s="10">
        <v>3.8</v>
      </c>
      <c r="W112" s="10">
        <v>36.012999999999998</v>
      </c>
    </row>
    <row r="113" spans="1:23" ht="15.75">
      <c r="A113" s="64">
        <f t="shared" ca="1" si="1"/>
        <v>0.51802789035281493</v>
      </c>
      <c r="B113" s="74">
        <v>2</v>
      </c>
      <c r="C113" s="71">
        <v>37.798900000000003</v>
      </c>
      <c r="D113" s="132">
        <f t="array" ref="D113">MOD(ROW(), 3) + 1</f>
        <v>3</v>
      </c>
      <c r="E113" s="64"/>
      <c r="F113" s="13">
        <f t="array" ref="F113">IFERROR(INDEX($B$1:$B$1109, SMALL(IF($D$1:$D$1109=$E$3,ROW($D$1:$D$1109)),ROW()-2),1),"")</f>
        <v>3</v>
      </c>
      <c r="G113" s="13">
        <f t="array" ref="G113">IFERROR(INDEX($C$1:$C$1109, SMALL(IF($D$1:$D$1109=$E$3,ROW($D$1:$D$1109)),ROW()-2),1),"")</f>
        <v>31.3917</v>
      </c>
      <c r="H113" s="140">
        <f t="array" ref="H113">IFERROR(INDEX($B$1:$B$1109, SMALL(IF($D$1:$D$1109=$E$4,ROW($D$1:$D$1109)),ROW()-2),1),"")</f>
        <v>3.5</v>
      </c>
      <c r="I113" s="140">
        <f t="array" ref="I113">IFERROR(INDEX($C$1:$C$1109, SMALL(IF($D$1:$D$1109=$E$4,ROW($D$1:$D$1109)),ROW()-2),1),"")</f>
        <v>31.4</v>
      </c>
      <c r="J113" s="10">
        <f t="array" ref="J113">IFERROR(INDEX($B$1:$B$1109, SMALL(IF($D$1:$D$1109=$E$5,ROW($D$1:$D$1109)),ROW()-2),1),"")</f>
        <v>2.2000000000000002</v>
      </c>
      <c r="K113" s="10">
        <f t="array" ref="K113">IFERROR(INDEX($C$1:$C$1109, SMALL(IF($D$1:$D$1109=$E$5,ROW($D$1:$D$1109)),ROW()-2),1),"")</f>
        <v>44.999099999999999</v>
      </c>
      <c r="L113" s="62"/>
      <c r="R113" s="13">
        <v>3</v>
      </c>
      <c r="S113" s="13">
        <v>31.3917</v>
      </c>
      <c r="T113" s="140">
        <v>3.5</v>
      </c>
      <c r="U113" s="140">
        <v>31.4</v>
      </c>
      <c r="V113" s="10">
        <v>2.2000000000000002</v>
      </c>
      <c r="W113" s="10">
        <v>44.999099999999999</v>
      </c>
    </row>
    <row r="114" spans="1:23" ht="15.75">
      <c r="A114" s="64">
        <f t="shared" ca="1" si="1"/>
        <v>0.31165894606055411</v>
      </c>
      <c r="B114" s="74">
        <v>2.8</v>
      </c>
      <c r="C114" s="71">
        <v>37.118499999999997</v>
      </c>
      <c r="D114" s="132">
        <f t="array" ref="D114">MOD(ROW(), 3) + 1</f>
        <v>1</v>
      </c>
      <c r="E114" s="64"/>
      <c r="F114" s="13">
        <f t="array" ref="F114">IFERROR(INDEX($B$1:$B$1109, SMALL(IF($D$1:$D$1109=$E$3,ROW($D$1:$D$1109)),ROW()-2),1),"")</f>
        <v>4.2</v>
      </c>
      <c r="G114" s="13">
        <f t="array" ref="G114">IFERROR(INDEX($C$1:$C$1109, SMALL(IF($D$1:$D$1109=$E$3,ROW($D$1:$D$1109)),ROW()-2),1),"")</f>
        <v>31.5002</v>
      </c>
      <c r="H114" s="140">
        <f t="array" ref="H114">IFERROR(INDEX($B$1:$B$1109, SMALL(IF($D$1:$D$1109=$E$4,ROW($D$1:$D$1109)),ROW()-2),1),"")</f>
        <v>5.3</v>
      </c>
      <c r="I114" s="140">
        <f t="array" ref="I114">IFERROR(INDEX($C$1:$C$1109, SMALL(IF($D$1:$D$1109=$E$4,ROW($D$1:$D$1109)),ROW()-2),1),"")</f>
        <v>29</v>
      </c>
      <c r="J114" s="10">
        <f t="array" ref="J114">IFERROR(INDEX($B$1:$B$1109, SMALL(IF($D$1:$D$1109=$E$5,ROW($D$1:$D$1109)),ROW()-2),1),"")</f>
        <v>2.5</v>
      </c>
      <c r="K114" s="10">
        <f t="array" ref="K114">IFERROR(INDEX($C$1:$C$1109, SMALL(IF($D$1:$D$1109=$E$5,ROW($D$1:$D$1109)),ROW()-2),1),"")</f>
        <v>42.908000000000001</v>
      </c>
      <c r="L114" s="62"/>
      <c r="R114" s="13">
        <v>4.2</v>
      </c>
      <c r="S114" s="13">
        <v>31.5002</v>
      </c>
      <c r="T114" s="140">
        <v>5.3</v>
      </c>
      <c r="U114" s="140">
        <v>29</v>
      </c>
      <c r="V114" s="10">
        <v>2.5</v>
      </c>
      <c r="W114" s="10">
        <v>42.908000000000001</v>
      </c>
    </row>
    <row r="115" spans="1:23" ht="15.75">
      <c r="A115" s="64">
        <f t="shared" ca="1" si="1"/>
        <v>0.55666965663564749</v>
      </c>
      <c r="B115" s="74">
        <v>3.8</v>
      </c>
      <c r="C115" s="71">
        <v>35.359400000000001</v>
      </c>
      <c r="D115" s="132">
        <f t="array" ref="D115">MOD(ROW(), 3) + 1</f>
        <v>2</v>
      </c>
      <c r="E115" s="64"/>
      <c r="F115" s="13">
        <f t="array" ref="F115">IFERROR(INDEX($B$1:$B$1109, SMALL(IF($D$1:$D$1109=$E$3,ROW($D$1:$D$1109)),ROW()-2),1),"")</f>
        <v>1.8</v>
      </c>
      <c r="G115" s="13">
        <f t="array" ref="G115">IFERROR(INDEX($C$1:$C$1109, SMALL(IF($D$1:$D$1109=$E$3,ROW($D$1:$D$1109)),ROW()-2),1),"")</f>
        <v>50.5</v>
      </c>
      <c r="H115" s="140">
        <f t="array" ref="H115">IFERROR(INDEX($B$1:$B$1109, SMALL(IF($D$1:$D$1109=$E$4,ROW($D$1:$D$1109)),ROW()-2),1),"")</f>
        <v>6.1</v>
      </c>
      <c r="I115" s="140">
        <f t="array" ref="I115">IFERROR(INDEX($C$1:$C$1109, SMALL(IF($D$1:$D$1109=$E$4,ROW($D$1:$D$1109)),ROW()-2),1),"")</f>
        <v>20.9</v>
      </c>
      <c r="J115" s="10">
        <f t="array" ref="J115">IFERROR(INDEX($B$1:$B$1109, SMALL(IF($D$1:$D$1109=$E$5,ROW($D$1:$D$1109)),ROW()-2),1),"")</f>
        <v>2.5</v>
      </c>
      <c r="K115" s="10">
        <f t="array" ref="K115">IFERROR(INDEX($C$1:$C$1109, SMALL(IF($D$1:$D$1109=$E$5,ROW($D$1:$D$1109)),ROW()-2),1),"")</f>
        <v>37.9</v>
      </c>
      <c r="L115" s="62"/>
      <c r="R115" s="13">
        <v>1.8</v>
      </c>
      <c r="S115" s="13">
        <v>50.5</v>
      </c>
      <c r="T115" s="140">
        <v>6.1</v>
      </c>
      <c r="U115" s="140">
        <v>20.9</v>
      </c>
      <c r="V115" s="10">
        <v>2.5</v>
      </c>
      <c r="W115" s="10">
        <v>37.9</v>
      </c>
    </row>
    <row r="116" spans="1:23" ht="15.75">
      <c r="A116" s="64">
        <f t="shared" ca="1" si="1"/>
        <v>9.9350607231631027E-2</v>
      </c>
      <c r="B116" s="74">
        <v>3</v>
      </c>
      <c r="C116" s="71">
        <v>36.1</v>
      </c>
      <c r="D116" s="132">
        <f t="array" ref="D116">MOD(ROW(), 3) + 1</f>
        <v>3</v>
      </c>
      <c r="E116" s="64"/>
      <c r="F116" s="13">
        <f t="array" ref="F116">IFERROR(INDEX($B$1:$B$1109, SMALL(IF($D$1:$D$1109=$E$3,ROW($D$1:$D$1109)),ROW()-2),1),"")</f>
        <v>3.8</v>
      </c>
      <c r="G116" s="13">
        <f t="array" ref="G116">IFERROR(INDEX($C$1:$C$1109, SMALL(IF($D$1:$D$1109=$E$3,ROW($D$1:$D$1109)),ROW()-2),1),"")</f>
        <v>32.4</v>
      </c>
      <c r="H116" s="140">
        <f t="array" ref="H116">IFERROR(INDEX($B$1:$B$1109, SMALL(IF($D$1:$D$1109=$E$4,ROW($D$1:$D$1109)),ROW()-2),1),"")</f>
        <v>2.5</v>
      </c>
      <c r="I116" s="140">
        <f t="array" ref="I116">IFERROR(INDEX($C$1:$C$1109, SMALL(IF($D$1:$D$1109=$E$4,ROW($D$1:$D$1109)),ROW()-2),1),"")</f>
        <v>42.699800000000003</v>
      </c>
      <c r="J116" s="10">
        <f t="array" ref="J116">IFERROR(INDEX($B$1:$B$1109, SMALL(IF($D$1:$D$1109=$E$5,ROW($D$1:$D$1109)),ROW()-2),1),"")</f>
        <v>4.5</v>
      </c>
      <c r="K116" s="10">
        <f t="array" ref="K116">IFERROR(INDEX($C$1:$C$1109, SMALL(IF($D$1:$D$1109=$E$5,ROW($D$1:$D$1109)),ROW()-2),1),"")</f>
        <v>24.349900000000002</v>
      </c>
      <c r="L116" s="62"/>
      <c r="R116" s="13">
        <v>3.8</v>
      </c>
      <c r="S116" s="13">
        <v>32.4</v>
      </c>
      <c r="T116" s="140">
        <v>2.5</v>
      </c>
      <c r="U116" s="140">
        <v>42.699800000000003</v>
      </c>
      <c r="V116" s="10">
        <v>4.5</v>
      </c>
      <c r="W116" s="10">
        <v>24.349900000000002</v>
      </c>
    </row>
    <row r="117" spans="1:23" ht="15.75">
      <c r="A117" s="64">
        <f t="shared" ca="1" si="1"/>
        <v>0.93717709672305904</v>
      </c>
      <c r="B117" s="74">
        <v>5.6</v>
      </c>
      <c r="C117" s="71">
        <v>24.9815</v>
      </c>
      <c r="D117" s="132">
        <f t="array" ref="D117">MOD(ROW(), 3) + 1</f>
        <v>1</v>
      </c>
      <c r="E117" s="64"/>
      <c r="F117" s="13">
        <f t="array" ref="F117">IFERROR(INDEX($B$1:$B$1109, SMALL(IF($D$1:$D$1109=$E$3,ROW($D$1:$D$1109)),ROW()-2),1),"")</f>
        <v>3.2</v>
      </c>
      <c r="G117" s="13">
        <f t="array" ref="G117">IFERROR(INDEX($C$1:$C$1109, SMALL(IF($D$1:$D$1109=$E$3,ROW($D$1:$D$1109)),ROW()-2),1),"")</f>
        <v>36.4</v>
      </c>
      <c r="H117" s="140">
        <f t="array" ref="H117">IFERROR(INDEX($B$1:$B$1109, SMALL(IF($D$1:$D$1109=$E$4,ROW($D$1:$D$1109)),ROW()-2),1),"")</f>
        <v>1.5</v>
      </c>
      <c r="I117" s="140">
        <f t="array" ref="I117">IFERROR(INDEX($C$1:$C$1109, SMALL(IF($D$1:$D$1109=$E$4,ROW($D$1:$D$1109)),ROW()-2),1),"")</f>
        <v>49.3</v>
      </c>
      <c r="J117" s="10">
        <f t="array" ref="J117">IFERROR(INDEX($B$1:$B$1109, SMALL(IF($D$1:$D$1109=$E$5,ROW($D$1:$D$1109)),ROW()-2),1),"")</f>
        <v>6</v>
      </c>
      <c r="K117" s="10">
        <f t="array" ref="K117">IFERROR(INDEX($C$1:$C$1109, SMALL(IF($D$1:$D$1109=$E$5,ROW($D$1:$D$1109)),ROW()-2),1),"")</f>
        <v>30.5</v>
      </c>
      <c r="L117" s="62"/>
      <c r="R117" s="13">
        <v>3.2</v>
      </c>
      <c r="S117" s="13">
        <v>36.4</v>
      </c>
      <c r="T117" s="140">
        <v>1.5</v>
      </c>
      <c r="U117" s="140">
        <v>49.3</v>
      </c>
      <c r="V117" s="10">
        <v>6</v>
      </c>
      <c r="W117" s="10">
        <v>30.5</v>
      </c>
    </row>
    <row r="118" spans="1:23" ht="15.75">
      <c r="A118" s="64">
        <f t="shared" ca="1" si="1"/>
        <v>0.80730706921221473</v>
      </c>
      <c r="B118" s="74">
        <v>3.5</v>
      </c>
      <c r="C118" s="71">
        <v>36.6</v>
      </c>
      <c r="D118" s="132">
        <f t="array" ref="D118">MOD(ROW(), 3) + 1</f>
        <v>2</v>
      </c>
      <c r="E118" s="64"/>
      <c r="F118" s="13">
        <f t="array" ref="F118">IFERROR(INDEX($B$1:$B$1109, SMALL(IF($D$1:$D$1109=$E$3,ROW($D$1:$D$1109)),ROW()-2),1),"")</f>
        <v>5.4</v>
      </c>
      <c r="G118" s="13">
        <f t="array" ref="G118">IFERROR(INDEX($C$1:$C$1109, SMALL(IF($D$1:$D$1109=$E$3,ROW($D$1:$D$1109)),ROW()-2),1),"")</f>
        <v>23.898299999999999</v>
      </c>
      <c r="H118" s="140">
        <f t="array" ref="H118">IFERROR(INDEX($B$1:$B$1109, SMALL(IF($D$1:$D$1109=$E$4,ROW($D$1:$D$1109)),ROW()-2),1),"")</f>
        <v>3.6</v>
      </c>
      <c r="I118" s="140">
        <f t="array" ref="I118">IFERROR(INDEX($C$1:$C$1109, SMALL(IF($D$1:$D$1109=$E$4,ROW($D$1:$D$1109)),ROW()-2),1),"")</f>
        <v>35.242699999999999</v>
      </c>
      <c r="J118" s="10">
        <f t="array" ref="J118">IFERROR(INDEX($B$1:$B$1109, SMALL(IF($D$1:$D$1109=$E$5,ROW($D$1:$D$1109)),ROW()-2),1),"")</f>
        <v>3</v>
      </c>
      <c r="K118" s="10">
        <f t="array" ref="K118">IFERROR(INDEX($C$1:$C$1109, SMALL(IF($D$1:$D$1109=$E$5,ROW($D$1:$D$1109)),ROW()-2),1),"")</f>
        <v>38.7896</v>
      </c>
      <c r="L118" s="62"/>
      <c r="R118" s="13">
        <v>5.4</v>
      </c>
      <c r="S118" s="13">
        <v>23.898299999999999</v>
      </c>
      <c r="T118" s="140">
        <v>3.6</v>
      </c>
      <c r="U118" s="140">
        <v>35.242699999999999</v>
      </c>
      <c r="V118" s="10">
        <v>3</v>
      </c>
      <c r="W118" s="10">
        <v>38.7896</v>
      </c>
    </row>
    <row r="119" spans="1:23" ht="15.75">
      <c r="A119" s="64">
        <f t="shared" ca="1" si="1"/>
        <v>0.51346707910194778</v>
      </c>
      <c r="B119" s="74">
        <v>4.5999999999999996</v>
      </c>
      <c r="C119" s="71">
        <v>34.1</v>
      </c>
      <c r="D119" s="132">
        <f t="array" ref="D119">MOD(ROW(), 3) + 1</f>
        <v>3</v>
      </c>
      <c r="E119" s="64"/>
      <c r="F119" s="13">
        <f t="array" ref="F119">IFERROR(INDEX($B$1:$B$1109, SMALL(IF($D$1:$D$1109=$E$3,ROW($D$1:$D$1109)),ROW()-2),1),"")</f>
        <v>3</v>
      </c>
      <c r="G119" s="13">
        <f t="array" ref="G119">IFERROR(INDEX($C$1:$C$1109, SMALL(IF($D$1:$D$1109=$E$3,ROW($D$1:$D$1109)),ROW()-2),1),"")</f>
        <v>36.1</v>
      </c>
      <c r="H119" s="140">
        <f t="array" ref="H119">IFERROR(INDEX($B$1:$B$1109, SMALL(IF($D$1:$D$1109=$E$4,ROW($D$1:$D$1109)),ROW()-2),1),"")</f>
        <v>2</v>
      </c>
      <c r="I119" s="140">
        <f t="array" ref="I119">IFERROR(INDEX($C$1:$C$1109, SMALL(IF($D$1:$D$1109=$E$4,ROW($D$1:$D$1109)),ROW()-2),1),"")</f>
        <v>58.534999999999997</v>
      </c>
      <c r="J119" s="10">
        <f t="array" ref="J119">IFERROR(INDEX($B$1:$B$1109, SMALL(IF($D$1:$D$1109=$E$5,ROW($D$1:$D$1109)),ROW()-2),1),"")</f>
        <v>3</v>
      </c>
      <c r="K119" s="10">
        <f t="array" ref="K119">IFERROR(INDEX($C$1:$C$1109, SMALL(IF($D$1:$D$1109=$E$5,ROW($D$1:$D$1109)),ROW()-2),1),"")</f>
        <v>33.1</v>
      </c>
      <c r="L119" s="62"/>
      <c r="R119" s="13">
        <v>3</v>
      </c>
      <c r="S119" s="13">
        <v>36.1</v>
      </c>
      <c r="T119" s="140">
        <v>2</v>
      </c>
      <c r="U119" s="140">
        <v>58.534999999999997</v>
      </c>
      <c r="V119" s="10">
        <v>3</v>
      </c>
      <c r="W119" s="10">
        <v>33.1</v>
      </c>
    </row>
    <row r="120" spans="1:23" ht="15.75">
      <c r="A120" s="64">
        <f t="shared" ca="1" si="1"/>
        <v>0.73136481274290488</v>
      </c>
      <c r="B120" s="74">
        <v>6.2</v>
      </c>
      <c r="C120" s="71">
        <v>26</v>
      </c>
      <c r="D120" s="132">
        <f t="array" ref="D120">MOD(ROW(), 3) + 1</f>
        <v>1</v>
      </c>
      <c r="E120" s="64"/>
      <c r="F120" s="13">
        <f t="array" ref="F120">IFERROR(INDEX($B$1:$B$1109, SMALL(IF($D$1:$D$1109=$E$3,ROW($D$1:$D$1109)),ROW()-2),1),"")</f>
        <v>6</v>
      </c>
      <c r="G120" s="13">
        <f t="array" ref="G120">IFERROR(INDEX($C$1:$C$1109, SMALL(IF($D$1:$D$1109=$E$3,ROW($D$1:$D$1109)),ROW()-2),1),"")</f>
        <v>21.7</v>
      </c>
      <c r="H120" s="140">
        <f t="array" ref="H120">IFERROR(INDEX($B$1:$B$1109, SMALL(IF($D$1:$D$1109=$E$4,ROW($D$1:$D$1109)),ROW()-2),1),"")</f>
        <v>1.6</v>
      </c>
      <c r="I120" s="140">
        <f t="array" ref="I120">IFERROR(INDEX($C$1:$C$1109, SMALL(IF($D$1:$D$1109=$E$4,ROW($D$1:$D$1109)),ROW()-2),1),"")</f>
        <v>47.7592</v>
      </c>
      <c r="J120" s="10">
        <f t="array" ref="J120">IFERROR(INDEX($B$1:$B$1109, SMALL(IF($D$1:$D$1109=$E$5,ROW($D$1:$D$1109)),ROW()-2),1),"")</f>
        <v>5</v>
      </c>
      <c r="K120" s="10">
        <f t="array" ref="K120">IFERROR(INDEX($C$1:$C$1109, SMALL(IF($D$1:$D$1109=$E$5,ROW($D$1:$D$1109)),ROW()-2),1),"")</f>
        <v>29.7559</v>
      </c>
      <c r="L120" s="62"/>
      <c r="R120" s="13">
        <v>6</v>
      </c>
      <c r="S120" s="13">
        <v>21.7</v>
      </c>
      <c r="T120" s="140">
        <v>1.6</v>
      </c>
      <c r="U120" s="140">
        <v>47.7592</v>
      </c>
      <c r="V120" s="10">
        <v>5</v>
      </c>
      <c r="W120" s="10">
        <v>29.7559</v>
      </c>
    </row>
    <row r="121" spans="1:23" ht="15.75">
      <c r="A121" s="64">
        <f t="shared" ca="1" si="1"/>
        <v>0.62406158031988745</v>
      </c>
      <c r="B121" s="74">
        <v>3.7</v>
      </c>
      <c r="C121" s="71">
        <v>31.8217</v>
      </c>
      <c r="D121" s="132">
        <f t="array" ref="D121">MOD(ROW(), 3) + 1</f>
        <v>2</v>
      </c>
      <c r="E121" s="64"/>
      <c r="F121" s="13">
        <f t="array" ref="F121">IFERROR(INDEX($B$1:$B$1109, SMALL(IF($D$1:$D$1109=$E$3,ROW($D$1:$D$1109)),ROW()-2),1),"")</f>
        <v>2.5</v>
      </c>
      <c r="G121" s="13">
        <f t="array" ref="G121">IFERROR(INDEX($C$1:$C$1109, SMALL(IF($D$1:$D$1109=$E$3,ROW($D$1:$D$1109)),ROW()-2),1),"")</f>
        <v>46.8</v>
      </c>
      <c r="H121" s="140">
        <f t="array" ref="H121">IFERROR(INDEX($B$1:$B$1109, SMALL(IF($D$1:$D$1109=$E$4,ROW($D$1:$D$1109)),ROW()-2),1),"")</f>
        <v>3.2</v>
      </c>
      <c r="I121" s="140">
        <f t="array" ref="I121">IFERROR(INDEX($C$1:$C$1109, SMALL(IF($D$1:$D$1109=$E$4,ROW($D$1:$D$1109)),ROW()-2),1),"")</f>
        <v>30.7</v>
      </c>
      <c r="J121" s="10">
        <f t="array" ref="J121">IFERROR(INDEX($B$1:$B$1109, SMALL(IF($D$1:$D$1109=$E$5,ROW($D$1:$D$1109)),ROW()-2),1),"")</f>
        <v>2.5</v>
      </c>
      <c r="K121" s="10">
        <f t="array" ref="K121">IFERROR(INDEX($C$1:$C$1109, SMALL(IF($D$1:$D$1109=$E$5,ROW($D$1:$D$1109)),ROW()-2),1),"")</f>
        <v>37.070999999999998</v>
      </c>
      <c r="L121" s="62"/>
      <c r="R121" s="13">
        <v>2.5</v>
      </c>
      <c r="S121" s="13">
        <v>46.8</v>
      </c>
      <c r="T121" s="140">
        <v>3.2</v>
      </c>
      <c r="U121" s="140">
        <v>30.7</v>
      </c>
      <c r="V121" s="10">
        <v>2.5</v>
      </c>
      <c r="W121" s="10">
        <v>37.070999999999998</v>
      </c>
    </row>
    <row r="122" spans="1:23" ht="15.75">
      <c r="A122" s="64">
        <f t="shared" ca="1" si="1"/>
        <v>0.23033587557090729</v>
      </c>
      <c r="B122" s="74">
        <v>2</v>
      </c>
      <c r="C122" s="71">
        <v>35.299999999999997</v>
      </c>
      <c r="D122" s="132">
        <f t="array" ref="D122">MOD(ROW(), 3) + 1</f>
        <v>3</v>
      </c>
      <c r="E122" s="64"/>
      <c r="F122" s="13">
        <f t="array" ref="F122">IFERROR(INDEX($B$1:$B$1109, SMALL(IF($D$1:$D$1109=$E$3,ROW($D$1:$D$1109)),ROW()-2),1),"")</f>
        <v>2</v>
      </c>
      <c r="G122" s="13">
        <f t="array" ref="G122">IFERROR(INDEX($C$1:$C$1109, SMALL(IF($D$1:$D$1109=$E$3,ROW($D$1:$D$1109)),ROW()-2),1),"")</f>
        <v>40.239699999999999</v>
      </c>
      <c r="H122" s="140">
        <f t="array" ref="H122">IFERROR(INDEX($B$1:$B$1109, SMALL(IF($D$1:$D$1109=$E$4,ROW($D$1:$D$1109)),ROW()-2),1),"")</f>
        <v>3</v>
      </c>
      <c r="I122" s="140">
        <f t="array" ref="I122">IFERROR(INDEX($C$1:$C$1109, SMALL(IF($D$1:$D$1109=$E$4,ROW($D$1:$D$1109)),ROW()-2),1),"")</f>
        <v>36</v>
      </c>
      <c r="J122" s="10">
        <f t="array" ref="J122">IFERROR(INDEX($B$1:$B$1109, SMALL(IF($D$1:$D$1109=$E$5,ROW($D$1:$D$1109)),ROW()-2),1),"")</f>
        <v>4.5999999999999996</v>
      </c>
      <c r="K122" s="10">
        <f t="array" ref="K122">IFERROR(INDEX($C$1:$C$1109, SMALL(IF($D$1:$D$1109=$E$5,ROW($D$1:$D$1109)),ROW()-2),1),"")</f>
        <v>24.8718</v>
      </c>
      <c r="L122" s="62"/>
      <c r="R122" s="13">
        <v>2</v>
      </c>
      <c r="S122" s="13">
        <v>40.239699999999999</v>
      </c>
      <c r="T122" s="140">
        <v>3</v>
      </c>
      <c r="U122" s="140">
        <v>36</v>
      </c>
      <c r="V122" s="10">
        <v>4.5999999999999996</v>
      </c>
      <c r="W122" s="10">
        <v>24.8718</v>
      </c>
    </row>
    <row r="123" spans="1:23" ht="15.75">
      <c r="A123" s="64">
        <f t="shared" ca="1" si="1"/>
        <v>3.3357223342898368E-2</v>
      </c>
      <c r="B123" s="74">
        <v>2.5</v>
      </c>
      <c r="C123" s="71">
        <v>40.240900000000003</v>
      </c>
      <c r="D123" s="132">
        <f t="array" ref="D123">MOD(ROW(), 3) + 1</f>
        <v>1</v>
      </c>
      <c r="E123" s="64"/>
      <c r="F123" s="13">
        <f t="array" ref="F123">IFERROR(INDEX($B$1:$B$1109, SMALL(IF($D$1:$D$1109=$E$3,ROW($D$1:$D$1109)),ROW()-2),1),"")</f>
        <v>2.9</v>
      </c>
      <c r="G123" s="13">
        <f t="array" ref="G123">IFERROR(INDEX($C$1:$C$1109, SMALL(IF($D$1:$D$1109=$E$3,ROW($D$1:$D$1109)),ROW()-2),1),"")</f>
        <v>35.258200000000002</v>
      </c>
      <c r="H123" s="140">
        <f t="array" ref="H123">IFERROR(INDEX($B$1:$B$1109, SMALL(IF($D$1:$D$1109=$E$4,ROW($D$1:$D$1109)),ROW()-2),1),"")</f>
        <v>3</v>
      </c>
      <c r="I123" s="140">
        <f t="array" ref="I123">IFERROR(INDEX($C$1:$C$1109, SMALL(IF($D$1:$D$1109=$E$4,ROW($D$1:$D$1109)),ROW()-2),1),"")</f>
        <v>31.3</v>
      </c>
      <c r="J123" s="10">
        <f t="array" ref="J123">IFERROR(INDEX($B$1:$B$1109, SMALL(IF($D$1:$D$1109=$E$5,ROW($D$1:$D$1109)),ROW()-2),1),"")</f>
        <v>3.5</v>
      </c>
      <c r="K123" s="10">
        <f t="array" ref="K123">IFERROR(INDEX($C$1:$C$1109, SMALL(IF($D$1:$D$1109=$E$5,ROW($D$1:$D$1109)),ROW()-2),1),"")</f>
        <v>34.200000000000003</v>
      </c>
      <c r="L123" s="62"/>
      <c r="R123" s="13">
        <v>2.9</v>
      </c>
      <c r="S123" s="13">
        <v>35.258200000000002</v>
      </c>
      <c r="T123" s="140">
        <v>3</v>
      </c>
      <c r="U123" s="140">
        <v>31.3</v>
      </c>
      <c r="V123" s="10">
        <v>3.5</v>
      </c>
      <c r="W123" s="10">
        <v>34.200000000000003</v>
      </c>
    </row>
    <row r="124" spans="1:23" ht="15.75">
      <c r="A124" s="64">
        <f t="shared" ca="1" si="1"/>
        <v>0.64719361303646639</v>
      </c>
      <c r="B124" s="74">
        <v>2.2000000000000002</v>
      </c>
      <c r="C124" s="71">
        <v>51.9</v>
      </c>
      <c r="D124" s="132">
        <f t="array" ref="D124">MOD(ROW(), 3) + 1</f>
        <v>2</v>
      </c>
      <c r="E124" s="64"/>
      <c r="F124" s="13">
        <f t="array" ref="F124">IFERROR(INDEX($B$1:$B$1109, SMALL(IF($D$1:$D$1109=$E$3,ROW($D$1:$D$1109)),ROW()-2),1),"")</f>
        <v>3</v>
      </c>
      <c r="G124" s="13">
        <f t="array" ref="G124">IFERROR(INDEX($C$1:$C$1109, SMALL(IF($D$1:$D$1109=$E$3,ROW($D$1:$D$1109)),ROW()-2),1),"")</f>
        <v>38.169600000000003</v>
      </c>
      <c r="H124" s="140">
        <f t="array" ref="H124">IFERROR(INDEX($B$1:$B$1109, SMALL(IF($D$1:$D$1109=$E$4,ROW($D$1:$D$1109)),ROW()-2),1),"")</f>
        <v>2.4</v>
      </c>
      <c r="I124" s="140">
        <f t="array" ref="I124">IFERROR(INDEX($C$1:$C$1109, SMALL(IF($D$1:$D$1109=$E$4,ROW($D$1:$D$1109)),ROW()-2),1),"")</f>
        <v>44.8</v>
      </c>
      <c r="J124" s="10">
        <f t="array" ref="J124">IFERROR(INDEX($B$1:$B$1109, SMALL(IF($D$1:$D$1109=$E$5,ROW($D$1:$D$1109)),ROW()-2),1),"")</f>
        <v>6.2</v>
      </c>
      <c r="K124" s="10">
        <f t="array" ref="K124">IFERROR(INDEX($C$1:$C$1109, SMALL(IF($D$1:$D$1109=$E$5,ROW($D$1:$D$1109)),ROW()-2),1),"")</f>
        <v>24.9754</v>
      </c>
      <c r="L124" s="62"/>
      <c r="R124" s="13">
        <v>3</v>
      </c>
      <c r="S124" s="13">
        <v>38.169600000000003</v>
      </c>
      <c r="T124" s="140">
        <v>2.4</v>
      </c>
      <c r="U124" s="140">
        <v>44.8</v>
      </c>
      <c r="V124" s="10">
        <v>6.2</v>
      </c>
      <c r="W124" s="10">
        <v>24.9754</v>
      </c>
    </row>
    <row r="125" spans="1:23" ht="15.75">
      <c r="A125" s="64">
        <f t="shared" ca="1" si="1"/>
        <v>0.65234356906890512</v>
      </c>
      <c r="B125" s="74">
        <v>4.8</v>
      </c>
      <c r="C125" s="71">
        <v>25.56</v>
      </c>
      <c r="D125" s="132">
        <f t="array" ref="D125">MOD(ROW(), 3) + 1</f>
        <v>3</v>
      </c>
      <c r="E125" s="64"/>
      <c r="F125" s="13">
        <f t="array" ref="F125">IFERROR(INDEX($B$1:$B$1109, SMALL(IF($D$1:$D$1109=$E$3,ROW($D$1:$D$1109)),ROW()-2),1),"")</f>
        <v>6.1</v>
      </c>
      <c r="G125" s="13">
        <f t="array" ref="G125">IFERROR(INDEX($C$1:$C$1109, SMALL(IF($D$1:$D$1109=$E$3,ROW($D$1:$D$1109)),ROW()-2),1),"")</f>
        <v>26</v>
      </c>
      <c r="H125" s="140">
        <f t="array" ref="H125">IFERROR(INDEX($B$1:$B$1109, SMALL(IF($D$1:$D$1109=$E$4,ROW($D$1:$D$1109)),ROW()-2),1),"")</f>
        <v>2.4</v>
      </c>
      <c r="I125" s="140">
        <f t="array" ref="I125">IFERROR(INDEX($C$1:$C$1109, SMALL(IF($D$1:$D$1109=$E$4,ROW($D$1:$D$1109)),ROW()-2),1),"")</f>
        <v>42.3</v>
      </c>
      <c r="J125" s="10">
        <f t="array" ref="J125">IFERROR(INDEX($B$1:$B$1109, SMALL(IF($D$1:$D$1109=$E$5,ROW($D$1:$D$1109)),ROW()-2),1),"")</f>
        <v>3</v>
      </c>
      <c r="K125" s="10">
        <f t="array" ref="K125">IFERROR(INDEX($C$1:$C$1109, SMALL(IF($D$1:$D$1109=$E$5,ROW($D$1:$D$1109)),ROW()-2),1),"")</f>
        <v>34.7286</v>
      </c>
      <c r="L125" s="62"/>
      <c r="R125" s="13">
        <v>6.1</v>
      </c>
      <c r="S125" s="13">
        <v>26</v>
      </c>
      <c r="T125" s="140">
        <v>2.4</v>
      </c>
      <c r="U125" s="140">
        <v>42.3</v>
      </c>
      <c r="V125" s="10">
        <v>3</v>
      </c>
      <c r="W125" s="10">
        <v>34.7286</v>
      </c>
    </row>
    <row r="126" spans="1:23" ht="15.75">
      <c r="A126" s="64">
        <f t="shared" ca="1" si="1"/>
        <v>0.72002660002543817</v>
      </c>
      <c r="B126" s="74">
        <v>2.4</v>
      </c>
      <c r="C126" s="71">
        <v>33.6</v>
      </c>
      <c r="D126" s="132">
        <f t="array" ref="D126">MOD(ROW(), 3) + 1</f>
        <v>1</v>
      </c>
      <c r="E126" s="64"/>
      <c r="F126" s="13">
        <f t="array" ref="F126">IFERROR(INDEX($B$1:$B$1109, SMALL(IF($D$1:$D$1109=$E$3,ROW($D$1:$D$1109)),ROW()-2),1),"")</f>
        <v>2.4</v>
      </c>
      <c r="G126" s="13">
        <f t="array" ref="G126">IFERROR(INDEX($C$1:$C$1109, SMALL(IF($D$1:$D$1109=$E$3,ROW($D$1:$D$1109)),ROW()-2),1),"")</f>
        <v>34.700000000000003</v>
      </c>
      <c r="H126" s="140">
        <f t="array" ref="H126">IFERROR(INDEX($B$1:$B$1109, SMALL(IF($D$1:$D$1109=$E$4,ROW($D$1:$D$1109)),ROW()-2),1),"")</f>
        <v>3</v>
      </c>
      <c r="I126" s="140">
        <f t="array" ref="I126">IFERROR(INDEX($C$1:$C$1109, SMALL(IF($D$1:$D$1109=$E$4,ROW($D$1:$D$1109)),ROW()-2),1),"")</f>
        <v>34.285299999999999</v>
      </c>
      <c r="J126" s="10">
        <f t="array" ref="J126">IFERROR(INDEX($B$1:$B$1109, SMALL(IF($D$1:$D$1109=$E$5,ROW($D$1:$D$1109)),ROW()-2),1),"")</f>
        <v>3.3</v>
      </c>
      <c r="K126" s="10">
        <f t="array" ref="K126">IFERROR(INDEX($C$1:$C$1109, SMALL(IF($D$1:$D$1109=$E$5,ROW($D$1:$D$1109)),ROW()-2),1),"")</f>
        <v>33.098799999999997</v>
      </c>
      <c r="L126" s="62"/>
      <c r="R126" s="13">
        <v>2.4</v>
      </c>
      <c r="S126" s="13">
        <v>34.700000000000003</v>
      </c>
      <c r="T126" s="140">
        <v>3</v>
      </c>
      <c r="U126" s="140">
        <v>34.285299999999999</v>
      </c>
      <c r="V126" s="10">
        <v>3.3</v>
      </c>
      <c r="W126" s="10">
        <v>33.098799999999997</v>
      </c>
    </row>
    <row r="127" spans="1:23" ht="15.75">
      <c r="A127" s="64">
        <f t="shared" ca="1" si="1"/>
        <v>0.47273767467150118</v>
      </c>
      <c r="B127" s="74">
        <v>3.5</v>
      </c>
      <c r="C127" s="71">
        <v>37.4</v>
      </c>
      <c r="D127" s="132">
        <f t="array" ref="D127">MOD(ROW(), 3) + 1</f>
        <v>2</v>
      </c>
      <c r="E127" s="64"/>
      <c r="F127" s="13">
        <f t="array" ref="F127">IFERROR(INDEX($B$1:$B$1109, SMALL(IF($D$1:$D$1109=$E$3,ROW($D$1:$D$1109)),ROW()-2),1),"")</f>
        <v>3.6</v>
      </c>
      <c r="G127" s="13">
        <f t="array" ref="G127">IFERROR(INDEX($C$1:$C$1109, SMALL(IF($D$1:$D$1109=$E$3,ROW($D$1:$D$1109)),ROW()-2),1),"")</f>
        <v>28.1127</v>
      </c>
      <c r="H127" s="140">
        <f t="array" ref="H127">IFERROR(INDEX($B$1:$B$1109, SMALL(IF($D$1:$D$1109=$E$4,ROW($D$1:$D$1109)),ROW()-2),1),"")</f>
        <v>2.2000000000000002</v>
      </c>
      <c r="I127" s="140">
        <f t="array" ref="I127">IFERROR(INDEX($C$1:$C$1109, SMALL(IF($D$1:$D$1109=$E$4,ROW($D$1:$D$1109)),ROW()-2),1),"")</f>
        <v>46.8</v>
      </c>
      <c r="J127" s="10">
        <f t="array" ref="J127">IFERROR(INDEX($B$1:$B$1109, SMALL(IF($D$1:$D$1109=$E$5,ROW($D$1:$D$1109)),ROW()-2),1),"")</f>
        <v>5.9</v>
      </c>
      <c r="K127" s="10">
        <f t="array" ref="K127">IFERROR(INDEX($C$1:$C$1109, SMALL(IF($D$1:$D$1109=$E$5,ROW($D$1:$D$1109)),ROW()-2),1),"")</f>
        <v>26.620799999999999</v>
      </c>
      <c r="L127" s="62"/>
      <c r="R127" s="13">
        <v>3.6</v>
      </c>
      <c r="S127" s="13">
        <v>28.1127</v>
      </c>
      <c r="T127" s="140">
        <v>2.2000000000000002</v>
      </c>
      <c r="U127" s="140">
        <v>46.8</v>
      </c>
      <c r="V127" s="10">
        <v>5.9</v>
      </c>
      <c r="W127" s="10">
        <v>26.620799999999999</v>
      </c>
    </row>
    <row r="128" spans="1:23" ht="15.75">
      <c r="A128" s="64">
        <f t="shared" ca="1" si="1"/>
        <v>0.22264171731405202</v>
      </c>
      <c r="B128" s="74">
        <v>2.4</v>
      </c>
      <c r="C128" s="71">
        <v>43.2286</v>
      </c>
      <c r="D128" s="132">
        <f t="array" ref="D128">MOD(ROW(), 3) + 1</f>
        <v>3</v>
      </c>
      <c r="E128" s="64"/>
      <c r="F128" s="13">
        <f t="array" ref="F128">IFERROR(INDEX($B$1:$B$1109, SMALL(IF($D$1:$D$1109=$E$3,ROW($D$1:$D$1109)),ROW()-2),1),"")</f>
        <v>1.6</v>
      </c>
      <c r="G128" s="13">
        <f t="array" ref="G128">IFERROR(INDEX($C$1:$C$1109, SMALL(IF($D$1:$D$1109=$E$3,ROW($D$1:$D$1109)),ROW()-2),1),"")</f>
        <v>44.2</v>
      </c>
      <c r="H128" s="140">
        <f t="array" ref="H128">IFERROR(INDEX($B$1:$B$1109, SMALL(IF($D$1:$D$1109=$E$4,ROW($D$1:$D$1109)),ROW()-2),1),"")</f>
        <v>4.8</v>
      </c>
      <c r="I128" s="140">
        <f t="array" ref="I128">IFERROR(INDEX($C$1:$C$1109, SMALL(IF($D$1:$D$1109=$E$4,ROW($D$1:$D$1109)),ROW()-2),1),"")</f>
        <v>31.374700000000001</v>
      </c>
      <c r="J128" s="10">
        <f t="array" ref="J128">IFERROR(INDEX($B$1:$B$1109, SMALL(IF($D$1:$D$1109=$E$5,ROW($D$1:$D$1109)),ROW()-2),1),"")</f>
        <v>2.7</v>
      </c>
      <c r="K128" s="10">
        <f t="array" ref="K128">IFERROR(INDEX($C$1:$C$1109, SMALL(IF($D$1:$D$1109=$E$5,ROW($D$1:$D$1109)),ROW()-2),1),"")</f>
        <v>38.299999999999997</v>
      </c>
      <c r="L128" s="62"/>
      <c r="R128" s="13">
        <v>1.6</v>
      </c>
      <c r="S128" s="13">
        <v>44.2</v>
      </c>
      <c r="T128" s="140">
        <v>4.8</v>
      </c>
      <c r="U128" s="140">
        <v>31.374700000000001</v>
      </c>
      <c r="V128" s="10">
        <v>2.7</v>
      </c>
      <c r="W128" s="10">
        <v>38.299999999999997</v>
      </c>
    </row>
    <row r="129" spans="1:23" ht="15.75">
      <c r="A129" s="64">
        <f t="shared" ca="1" si="1"/>
        <v>8.3908402567985596E-2</v>
      </c>
      <c r="B129" s="74">
        <v>3.5</v>
      </c>
      <c r="C129" s="71">
        <v>31.3</v>
      </c>
      <c r="D129" s="132">
        <f t="array" ref="D129">MOD(ROW(), 3) + 1</f>
        <v>1</v>
      </c>
      <c r="E129" s="64"/>
      <c r="F129" s="13">
        <f t="array" ref="F129">IFERROR(INDEX($B$1:$B$1109, SMALL(IF($D$1:$D$1109=$E$3,ROW($D$1:$D$1109)),ROW()-2),1),"")</f>
        <v>2.4</v>
      </c>
      <c r="G129" s="13">
        <f t="array" ref="G129">IFERROR(INDEX($C$1:$C$1109, SMALL(IF($D$1:$D$1109=$E$3,ROW($D$1:$D$1109)),ROW()-2),1),"")</f>
        <v>39.299999999999997</v>
      </c>
      <c r="H129" s="140">
        <f t="array" ref="H129">IFERROR(INDEX($B$1:$B$1109, SMALL(IF($D$1:$D$1109=$E$4,ROW($D$1:$D$1109)),ROW()-2),1),"")</f>
        <v>3.7</v>
      </c>
      <c r="I129" s="140">
        <f t="array" ref="I129">IFERROR(INDEX($C$1:$C$1109, SMALL(IF($D$1:$D$1109=$E$4,ROW($D$1:$D$1109)),ROW()-2),1),"")</f>
        <v>25.2</v>
      </c>
      <c r="J129" s="10">
        <f t="array" ref="J129">IFERROR(INDEX($B$1:$B$1109, SMALL(IF($D$1:$D$1109=$E$5,ROW($D$1:$D$1109)),ROW()-2),1),"")</f>
        <v>2.2999999999999998</v>
      </c>
      <c r="K129" s="10">
        <f t="array" ref="K129">IFERROR(INDEX($C$1:$C$1109, SMALL(IF($D$1:$D$1109=$E$5,ROW($D$1:$D$1109)),ROW()-2),1),"")</f>
        <v>34.700000000000003</v>
      </c>
      <c r="L129" s="62"/>
      <c r="R129" s="13">
        <v>2.4</v>
      </c>
      <c r="S129" s="13">
        <v>39.299999999999997</v>
      </c>
      <c r="T129" s="140">
        <v>3.7</v>
      </c>
      <c r="U129" s="140">
        <v>25.2</v>
      </c>
      <c r="V129" s="10">
        <v>2.2999999999999998</v>
      </c>
      <c r="W129" s="10">
        <v>34.700000000000003</v>
      </c>
    </row>
    <row r="130" spans="1:23" ht="15.75">
      <c r="A130" s="64">
        <f t="shared" ca="1" si="1"/>
        <v>0.23943228903356872</v>
      </c>
      <c r="B130" s="74">
        <v>3.6</v>
      </c>
      <c r="C130" s="71">
        <v>32.1</v>
      </c>
      <c r="D130" s="132">
        <f t="array" ref="D130">MOD(ROW(), 3) + 1</f>
        <v>2</v>
      </c>
      <c r="E130" s="64"/>
      <c r="F130" s="13">
        <f t="array" ref="F130">IFERROR(INDEX($B$1:$B$1109, SMALL(IF($D$1:$D$1109=$E$3,ROW($D$1:$D$1109)),ROW()-2),1),"")</f>
        <v>4</v>
      </c>
      <c r="G130" s="13">
        <f t="array" ref="G130">IFERROR(INDEX($C$1:$C$1109, SMALL(IF($D$1:$D$1109=$E$3,ROW($D$1:$D$1109)),ROW()-2),1),"")</f>
        <v>25.753499999999999</v>
      </c>
      <c r="H130" s="140">
        <f t="array" ref="H130">IFERROR(INDEX($B$1:$B$1109, SMALL(IF($D$1:$D$1109=$E$4,ROW($D$1:$D$1109)),ROW()-2),1),"")</f>
        <v>2</v>
      </c>
      <c r="I130" s="140">
        <f t="array" ref="I130">IFERROR(INDEX($C$1:$C$1109, SMALL(IF($D$1:$D$1109=$E$4,ROW($D$1:$D$1109)),ROW()-2),1),"")</f>
        <v>37.5</v>
      </c>
      <c r="J130" s="10">
        <f t="array" ref="J130">IFERROR(INDEX($B$1:$B$1109, SMALL(IF($D$1:$D$1109=$E$5,ROW($D$1:$D$1109)),ROW()-2),1),"")</f>
        <v>3</v>
      </c>
      <c r="K130" s="10">
        <f t="array" ref="K130">IFERROR(INDEX($C$1:$C$1109, SMALL(IF($D$1:$D$1109=$E$5,ROW($D$1:$D$1109)),ROW()-2),1),"")</f>
        <v>35.708100000000002</v>
      </c>
      <c r="L130" s="62"/>
      <c r="R130" s="13">
        <v>4</v>
      </c>
      <c r="S130" s="13">
        <v>25.753499999999999</v>
      </c>
      <c r="T130" s="140">
        <v>2</v>
      </c>
      <c r="U130" s="140">
        <v>37.5</v>
      </c>
      <c r="V130" s="10">
        <v>3</v>
      </c>
      <c r="W130" s="10">
        <v>35.708100000000002</v>
      </c>
    </row>
    <row r="131" spans="1:23" ht="15.75">
      <c r="A131" s="64">
        <f t="shared" ref="A131:A194" ca="1" si="2">RAND()</f>
        <v>0.26380965388583633</v>
      </c>
      <c r="B131" s="74">
        <v>4</v>
      </c>
      <c r="C131" s="71">
        <v>27.736599999999999</v>
      </c>
      <c r="D131" s="132">
        <f t="array" ref="D131">MOD(ROW(), 3) + 1</f>
        <v>3</v>
      </c>
      <c r="E131" s="64"/>
      <c r="F131" s="13">
        <f t="array" ref="F131">IFERROR(INDEX($B$1:$B$1109, SMALL(IF($D$1:$D$1109=$E$3,ROW($D$1:$D$1109)),ROW()-2),1),"")</f>
        <v>5.7</v>
      </c>
      <c r="G131" s="13">
        <f t="array" ref="G131">IFERROR(INDEX($C$1:$C$1109, SMALL(IF($D$1:$D$1109=$E$3,ROW($D$1:$D$1109)),ROW()-2),1),"")</f>
        <v>21.1</v>
      </c>
      <c r="H131" s="140">
        <f t="array" ref="H131">IFERROR(INDEX($B$1:$B$1109, SMALL(IF($D$1:$D$1109=$E$4,ROW($D$1:$D$1109)),ROW()-2),1),"")</f>
        <v>4.4000000000000004</v>
      </c>
      <c r="I131" s="140">
        <f t="array" ref="I131">IFERROR(INDEX($C$1:$C$1109, SMALL(IF($D$1:$D$1109=$E$4,ROW($D$1:$D$1109)),ROW()-2),1),"")</f>
        <v>26.2</v>
      </c>
      <c r="J131" s="10">
        <f t="array" ref="J131">IFERROR(INDEX($B$1:$B$1109, SMALL(IF($D$1:$D$1109=$E$5,ROW($D$1:$D$1109)),ROW()-2),1),"")</f>
        <v>2.4</v>
      </c>
      <c r="K131" s="10">
        <f t="array" ref="K131">IFERROR(INDEX($C$1:$C$1109, SMALL(IF($D$1:$D$1109=$E$5,ROW($D$1:$D$1109)),ROW()-2),1),"")</f>
        <v>41.395899999999997</v>
      </c>
      <c r="L131" s="62"/>
      <c r="R131" s="13">
        <v>5.7</v>
      </c>
      <c r="S131" s="13">
        <v>21.1</v>
      </c>
      <c r="T131" s="140">
        <v>4.4000000000000004</v>
      </c>
      <c r="U131" s="140">
        <v>26.2</v>
      </c>
      <c r="V131" s="10">
        <v>2.4</v>
      </c>
      <c r="W131" s="10">
        <v>41.395899999999997</v>
      </c>
    </row>
    <row r="132" spans="1:23" ht="15.75">
      <c r="A132" s="64">
        <f t="shared" ca="1" si="2"/>
        <v>0.96794336823338878</v>
      </c>
      <c r="B132" s="74">
        <v>6.3</v>
      </c>
      <c r="C132" s="71">
        <v>24.7</v>
      </c>
      <c r="D132" s="132">
        <f t="array" ref="D132">MOD(ROW(), 3) + 1</f>
        <v>1</v>
      </c>
      <c r="E132" s="64"/>
      <c r="F132" s="13">
        <f t="array" ref="F132">IFERROR(INDEX($B$1:$B$1109, SMALL(IF($D$1:$D$1109=$E$3,ROW($D$1:$D$1109)),ROW()-2),1),"")</f>
        <v>3</v>
      </c>
      <c r="G132" s="13">
        <f t="array" ref="G132">IFERROR(INDEX($C$1:$C$1109, SMALL(IF($D$1:$D$1109=$E$3,ROW($D$1:$D$1109)),ROW()-2),1),"")</f>
        <v>36.558999999999997</v>
      </c>
      <c r="H132" s="140">
        <f t="array" ref="H132">IFERROR(INDEX($B$1:$B$1109, SMALL(IF($D$1:$D$1109=$E$4,ROW($D$1:$D$1109)),ROW()-2),1),"")</f>
        <v>2.5</v>
      </c>
      <c r="I132" s="140">
        <f t="array" ref="I132">IFERROR(INDEX($C$1:$C$1109, SMALL(IF($D$1:$D$1109=$E$4,ROW($D$1:$D$1109)),ROW()-2),1),"")</f>
        <v>40.799999999999997</v>
      </c>
      <c r="J132" s="10">
        <f t="array" ref="J132">IFERROR(INDEX($B$1:$B$1109, SMALL(IF($D$1:$D$1109=$E$5,ROW($D$1:$D$1109)),ROW()-2),1),"")</f>
        <v>5.2</v>
      </c>
      <c r="K132" s="10">
        <f t="array" ref="K132">IFERROR(INDEX($C$1:$C$1109, SMALL(IF($D$1:$D$1109=$E$5,ROW($D$1:$D$1109)),ROW()-2),1),"")</f>
        <v>25.4</v>
      </c>
      <c r="L132" s="62"/>
      <c r="R132" s="13">
        <v>3</v>
      </c>
      <c r="S132" s="13">
        <v>36.558999999999997</v>
      </c>
      <c r="T132" s="140">
        <v>2.5</v>
      </c>
      <c r="U132" s="140">
        <v>40.799999999999997</v>
      </c>
      <c r="V132" s="10">
        <v>5.2</v>
      </c>
      <c r="W132" s="10">
        <v>25.4</v>
      </c>
    </row>
    <row r="133" spans="1:23" ht="15.75">
      <c r="A133" s="64">
        <f t="shared" ca="1" si="2"/>
        <v>0.57416159150622503</v>
      </c>
      <c r="B133" s="74">
        <v>2.4</v>
      </c>
      <c r="C133" s="71">
        <v>45.1</v>
      </c>
      <c r="D133" s="132">
        <f t="array" ref="D133">MOD(ROW(), 3) + 1</f>
        <v>2</v>
      </c>
      <c r="E133" s="64"/>
      <c r="F133" s="13">
        <f t="array" ref="F133">IFERROR(INDEX($B$1:$B$1109, SMALL(IF($D$1:$D$1109=$E$3,ROW($D$1:$D$1109)),ROW()-2),1),"")</f>
        <v>3.7</v>
      </c>
      <c r="G133" s="13">
        <f t="array" ref="G133">IFERROR(INDEX($C$1:$C$1109, SMALL(IF($D$1:$D$1109=$E$3,ROW($D$1:$D$1109)),ROW()-2),1),"")</f>
        <v>25.1</v>
      </c>
      <c r="H133" s="140">
        <f t="array" ref="H133">IFERROR(INDEX($B$1:$B$1109, SMALL(IF($D$1:$D$1109=$E$4,ROW($D$1:$D$1109)),ROW()-2),1),"")</f>
        <v>3</v>
      </c>
      <c r="I133" s="140">
        <f t="array" ref="I133">IFERROR(INDEX($C$1:$C$1109, SMALL(IF($D$1:$D$1109=$E$4,ROW($D$1:$D$1109)),ROW()-2),1),"")</f>
        <v>34.548200000000001</v>
      </c>
      <c r="J133" s="10">
        <f t="array" ref="J133">IFERROR(INDEX($B$1:$B$1109, SMALL(IF($D$1:$D$1109=$E$5,ROW($D$1:$D$1109)),ROW()-2),1),"")</f>
        <v>4.5999999999999996</v>
      </c>
      <c r="K133" s="10">
        <f t="array" ref="K133">IFERROR(INDEX($C$1:$C$1109, SMALL(IF($D$1:$D$1109=$E$5,ROW($D$1:$D$1109)),ROW()-2),1),"")</f>
        <v>33.550899999999999</v>
      </c>
      <c r="L133" s="62"/>
      <c r="R133" s="13">
        <v>3.7</v>
      </c>
      <c r="S133" s="13">
        <v>25.1</v>
      </c>
      <c r="T133" s="140">
        <v>3</v>
      </c>
      <c r="U133" s="140">
        <v>34.548200000000001</v>
      </c>
      <c r="V133" s="10">
        <v>4.5999999999999996</v>
      </c>
      <c r="W133" s="10">
        <v>33.550899999999999</v>
      </c>
    </row>
    <row r="134" spans="1:23" ht="15.75">
      <c r="A134" s="64">
        <f t="shared" ca="1" si="2"/>
        <v>0.70260756784621903</v>
      </c>
      <c r="B134" s="74">
        <v>5</v>
      </c>
      <c r="C134" s="71">
        <v>30.802700000000002</v>
      </c>
      <c r="D134" s="132">
        <f t="array" ref="D134">MOD(ROW(), 3) + 1</f>
        <v>3</v>
      </c>
      <c r="E134" s="64"/>
      <c r="F134" s="13">
        <f t="array" ref="F134">IFERROR(INDEX($B$1:$B$1109, SMALL(IF($D$1:$D$1109=$E$3,ROW($D$1:$D$1109)),ROW()-2),1),"")</f>
        <v>3.5</v>
      </c>
      <c r="G134" s="13">
        <f t="array" ref="G134">IFERROR(INDEX($C$1:$C$1109, SMALL(IF($D$1:$D$1109=$E$3,ROW($D$1:$D$1109)),ROW()-2),1),"")</f>
        <v>35.349400000000003</v>
      </c>
      <c r="H134" s="140">
        <f t="array" ref="H134">IFERROR(INDEX($B$1:$B$1109, SMALL(IF($D$1:$D$1109=$E$4,ROW($D$1:$D$1109)),ROW()-2),1),"")</f>
        <v>2.5</v>
      </c>
      <c r="I134" s="140">
        <f t="array" ref="I134">IFERROR(INDEX($C$1:$C$1109, SMALL(IF($D$1:$D$1109=$E$4,ROW($D$1:$D$1109)),ROW()-2),1),"")</f>
        <v>39.6</v>
      </c>
      <c r="J134" s="10">
        <f t="array" ref="J134">IFERROR(INDEX($B$1:$B$1109, SMALL(IF($D$1:$D$1109=$E$5,ROW($D$1:$D$1109)),ROW()-2),1),"")</f>
        <v>3.5</v>
      </c>
      <c r="K134" s="10">
        <f t="array" ref="K134">IFERROR(INDEX($C$1:$C$1109, SMALL(IF($D$1:$D$1109=$E$5,ROW($D$1:$D$1109)),ROW()-2),1),"")</f>
        <v>31.9</v>
      </c>
      <c r="L134" s="62"/>
      <c r="R134" s="13">
        <v>3.5</v>
      </c>
      <c r="S134" s="13">
        <v>35.349400000000003</v>
      </c>
      <c r="T134" s="140">
        <v>2.5</v>
      </c>
      <c r="U134" s="140">
        <v>39.6</v>
      </c>
      <c r="V134" s="10">
        <v>3.5</v>
      </c>
      <c r="W134" s="10">
        <v>31.9</v>
      </c>
    </row>
    <row r="135" spans="1:23" ht="15.75">
      <c r="A135" s="64">
        <f t="shared" ca="1" si="2"/>
        <v>0.73858294530538016</v>
      </c>
      <c r="B135" s="74">
        <v>3.5</v>
      </c>
      <c r="C135" s="71">
        <v>33.200000000000003</v>
      </c>
      <c r="D135" s="132">
        <f t="array" ref="D135">MOD(ROW(), 3) + 1</f>
        <v>1</v>
      </c>
      <c r="E135" s="64"/>
      <c r="F135" s="13">
        <f t="array" ref="F135">IFERROR(INDEX($B$1:$B$1109, SMALL(IF($D$1:$D$1109=$E$3,ROW($D$1:$D$1109)),ROW()-2),1),"")</f>
        <v>5.5</v>
      </c>
      <c r="G135" s="13">
        <f t="array" ref="G135">IFERROR(INDEX($C$1:$C$1109, SMALL(IF($D$1:$D$1109=$E$3,ROW($D$1:$D$1109)),ROW()-2),1),"")</f>
        <v>21.4</v>
      </c>
      <c r="H135" s="140">
        <f t="array" ref="H135">IFERROR(INDEX($B$1:$B$1109, SMALL(IF($D$1:$D$1109=$E$4,ROW($D$1:$D$1109)),ROW()-2),1),"")</f>
        <v>4</v>
      </c>
      <c r="I135" s="140">
        <f t="array" ref="I135">IFERROR(INDEX($C$1:$C$1109, SMALL(IF($D$1:$D$1109=$E$4,ROW($D$1:$D$1109)),ROW()-2),1),"")</f>
        <v>27.8</v>
      </c>
      <c r="J135" s="10">
        <f t="array" ref="J135">IFERROR(INDEX($B$1:$B$1109, SMALL(IF($D$1:$D$1109=$E$5,ROW($D$1:$D$1109)),ROW()-2),1),"")</f>
        <v>3.5</v>
      </c>
      <c r="K135" s="10">
        <f t="array" ref="K135">IFERROR(INDEX($C$1:$C$1109, SMALL(IF($D$1:$D$1109=$E$5,ROW($D$1:$D$1109)),ROW()-2),1),"")</f>
        <v>29.9849</v>
      </c>
      <c r="L135" s="62"/>
      <c r="R135" s="13">
        <v>5.5</v>
      </c>
      <c r="S135" s="13">
        <v>21.4</v>
      </c>
      <c r="T135" s="140">
        <v>4</v>
      </c>
      <c r="U135" s="140">
        <v>27.8</v>
      </c>
      <c r="V135" s="10">
        <v>3.5</v>
      </c>
      <c r="W135" s="10">
        <v>29.9849</v>
      </c>
    </row>
    <row r="136" spans="1:23" ht="15.75">
      <c r="A136" s="64">
        <f t="shared" ca="1" si="2"/>
        <v>1.3011160081135231E-2</v>
      </c>
      <c r="B136" s="74">
        <v>5</v>
      </c>
      <c r="C136" s="71">
        <v>24.572199999999999</v>
      </c>
      <c r="D136" s="132">
        <f t="array" ref="D136">MOD(ROW(), 3) + 1</f>
        <v>2</v>
      </c>
      <c r="E136" s="64"/>
      <c r="F136" s="13">
        <f t="array" ref="F136">IFERROR(INDEX($B$1:$B$1109, SMALL(IF($D$1:$D$1109=$E$3,ROW($D$1:$D$1109)),ROW()-2),1),"")</f>
        <v>6.3</v>
      </c>
      <c r="G136" s="13">
        <f t="array" ref="G136">IFERROR(INDEX($C$1:$C$1109, SMALL(IF($D$1:$D$1109=$E$3,ROW($D$1:$D$1109)),ROW()-2),1),"")</f>
        <v>19.7</v>
      </c>
      <c r="H136" s="140">
        <f t="array" ref="H136">IFERROR(INDEX($B$1:$B$1109, SMALL(IF($D$1:$D$1109=$E$4,ROW($D$1:$D$1109)),ROW()-2),1),"")</f>
        <v>6.2</v>
      </c>
      <c r="I136" s="140">
        <f t="array" ref="I136">IFERROR(INDEX($C$1:$C$1109, SMALL(IF($D$1:$D$1109=$E$4,ROW($D$1:$D$1109)),ROW()-2),1),"")</f>
        <v>28.4</v>
      </c>
      <c r="J136" s="10">
        <f t="array" ref="J136">IFERROR(INDEX($B$1:$B$1109, SMALL(IF($D$1:$D$1109=$E$5,ROW($D$1:$D$1109)),ROW()-2),1),"")</f>
        <v>3.6</v>
      </c>
      <c r="K136" s="10">
        <f t="array" ref="K136">IFERROR(INDEX($C$1:$C$1109, SMALL(IF($D$1:$D$1109=$E$5,ROW($D$1:$D$1109)),ROW()-2),1),"")</f>
        <v>31.6</v>
      </c>
      <c r="L136" s="62"/>
      <c r="R136" s="13">
        <v>6.3</v>
      </c>
      <c r="S136" s="13">
        <v>19.7</v>
      </c>
      <c r="T136" s="140">
        <v>6.2</v>
      </c>
      <c r="U136" s="140">
        <v>28.4</v>
      </c>
      <c r="V136" s="10">
        <v>3.6</v>
      </c>
      <c r="W136" s="10">
        <v>31.6</v>
      </c>
    </row>
    <row r="137" spans="1:23" ht="15.75">
      <c r="A137" s="64">
        <f t="shared" ca="1" si="2"/>
        <v>0.62809442350730538</v>
      </c>
      <c r="B137" s="74">
        <v>6.8</v>
      </c>
      <c r="C137" s="71">
        <v>21.006</v>
      </c>
      <c r="D137" s="132">
        <f t="array" ref="D137">MOD(ROW(), 3) + 1</f>
        <v>3</v>
      </c>
      <c r="E137" s="64"/>
      <c r="F137" s="13">
        <f t="array" ref="F137">IFERROR(INDEX($B$1:$B$1109, SMALL(IF($D$1:$D$1109=$E$3,ROW($D$1:$D$1109)),ROW()-2),1),"")</f>
        <v>2</v>
      </c>
      <c r="G137" s="13">
        <f t="array" ref="G137">IFERROR(INDEX($C$1:$C$1109, SMALL(IF($D$1:$D$1109=$E$3,ROW($D$1:$D$1109)),ROW()-2),1),"")</f>
        <v>38</v>
      </c>
      <c r="H137" s="140">
        <f t="array" ref="H137">IFERROR(INDEX($B$1:$B$1109, SMALL(IF($D$1:$D$1109=$E$4,ROW($D$1:$D$1109)),ROW()-2),1),"")</f>
        <v>2</v>
      </c>
      <c r="I137" s="140">
        <f t="array" ref="I137">IFERROR(INDEX($C$1:$C$1109, SMALL(IF($D$1:$D$1109=$E$4,ROW($D$1:$D$1109)),ROW()-2),1),"")</f>
        <v>31.1</v>
      </c>
      <c r="J137" s="10">
        <f t="array" ref="J137">IFERROR(INDEX($B$1:$B$1109, SMALL(IF($D$1:$D$1109=$E$5,ROW($D$1:$D$1109)),ROW()-2),1),"")</f>
        <v>2.7</v>
      </c>
      <c r="K137" s="10">
        <f t="array" ref="K137">IFERROR(INDEX($C$1:$C$1109, SMALL(IF($D$1:$D$1109=$E$5,ROW($D$1:$D$1109)),ROW()-2),1),"")</f>
        <v>36.5</v>
      </c>
      <c r="L137" s="62"/>
      <c r="R137" s="13">
        <v>2</v>
      </c>
      <c r="S137" s="13">
        <v>38</v>
      </c>
      <c r="T137" s="140">
        <v>2</v>
      </c>
      <c r="U137" s="140">
        <v>31.1</v>
      </c>
      <c r="V137" s="10">
        <v>2.7</v>
      </c>
      <c r="W137" s="10">
        <v>36.5</v>
      </c>
    </row>
    <row r="138" spans="1:23" ht="15.75">
      <c r="A138" s="64">
        <f t="shared" ca="1" si="2"/>
        <v>0.6874126993176487</v>
      </c>
      <c r="B138" s="74">
        <v>4</v>
      </c>
      <c r="C138" s="71">
        <v>28.4</v>
      </c>
      <c r="D138" s="132">
        <f t="array" ref="D138">MOD(ROW(), 3) + 1</f>
        <v>1</v>
      </c>
      <c r="E138" s="64"/>
      <c r="F138" s="13">
        <f t="array" ref="F138">IFERROR(INDEX($B$1:$B$1109, SMALL(IF($D$1:$D$1109=$E$3,ROW($D$1:$D$1109)),ROW()-2),1),"")</f>
        <v>3</v>
      </c>
      <c r="G138" s="13">
        <f t="array" ref="G138">IFERROR(INDEX($C$1:$C$1109, SMALL(IF($D$1:$D$1109=$E$3,ROW($D$1:$D$1109)),ROW()-2),1),"")</f>
        <v>35</v>
      </c>
      <c r="H138" s="140">
        <f t="array" ref="H138">IFERROR(INDEX($B$1:$B$1109, SMALL(IF($D$1:$D$1109=$E$4,ROW($D$1:$D$1109)),ROW()-2),1),"")</f>
        <v>5.5</v>
      </c>
      <c r="I138" s="140">
        <f t="array" ref="I138">IFERROR(INDEX($C$1:$C$1109, SMALL(IF($D$1:$D$1109=$E$4,ROW($D$1:$D$1109)),ROW()-2),1),"")</f>
        <v>31.7</v>
      </c>
      <c r="J138" s="10">
        <f t="array" ref="J138">IFERROR(INDEX($B$1:$B$1109, SMALL(IF($D$1:$D$1109=$E$5,ROW($D$1:$D$1109)),ROW()-2),1),"")</f>
        <v>3.5</v>
      </c>
      <c r="K138" s="10">
        <f t="array" ref="K138">IFERROR(INDEX($C$1:$C$1109, SMALL(IF($D$1:$D$1109=$E$5,ROW($D$1:$D$1109)),ROW()-2),1),"")</f>
        <v>34.200000000000003</v>
      </c>
      <c r="L138" s="62"/>
      <c r="R138" s="13">
        <v>3</v>
      </c>
      <c r="S138" s="13">
        <v>35</v>
      </c>
      <c r="T138" s="140">
        <v>5.5</v>
      </c>
      <c r="U138" s="140">
        <v>31.7</v>
      </c>
      <c r="V138" s="10">
        <v>3.5</v>
      </c>
      <c r="W138" s="10">
        <v>34.200000000000003</v>
      </c>
    </row>
    <row r="139" spans="1:23" ht="15.75">
      <c r="A139" s="64">
        <f t="shared" ca="1" si="2"/>
        <v>0.13677450896213295</v>
      </c>
      <c r="B139" s="74">
        <v>5.3</v>
      </c>
      <c r="C139" s="71">
        <v>22.761900000000001</v>
      </c>
      <c r="D139" s="132">
        <f t="array" ref="D139">MOD(ROW(), 3) + 1</f>
        <v>2</v>
      </c>
      <c r="E139" s="64"/>
      <c r="F139" s="13">
        <f t="array" ref="F139">IFERROR(INDEX($B$1:$B$1109, SMALL(IF($D$1:$D$1109=$E$3,ROW($D$1:$D$1109)),ROW()-2),1),"")</f>
        <v>3.6</v>
      </c>
      <c r="G139" s="13">
        <f t="array" ref="G139">IFERROR(INDEX($C$1:$C$1109, SMALL(IF($D$1:$D$1109=$E$3,ROW($D$1:$D$1109)),ROW()-2),1),"")</f>
        <v>34.875399999999999</v>
      </c>
      <c r="H139" s="140">
        <f t="array" ref="H139">IFERROR(INDEX($B$1:$B$1109, SMALL(IF($D$1:$D$1109=$E$4,ROW($D$1:$D$1109)),ROW()-2),1),"")</f>
        <v>5.7</v>
      </c>
      <c r="I139" s="140">
        <f t="array" ref="I139">IFERROR(INDEX($C$1:$C$1109, SMALL(IF($D$1:$D$1109=$E$4,ROW($D$1:$D$1109)),ROW()-2),1),"")</f>
        <v>20.99</v>
      </c>
      <c r="J139" s="10">
        <f t="array" ref="J139">IFERROR(INDEX($B$1:$B$1109, SMALL(IF($D$1:$D$1109=$E$5,ROW($D$1:$D$1109)),ROW()-2),1),"")</f>
        <v>3.6</v>
      </c>
      <c r="K139" s="10">
        <f t="array" ref="K139">IFERROR(INDEX($C$1:$C$1109, SMALL(IF($D$1:$D$1109=$E$5,ROW($D$1:$D$1109)),ROW()-2),1),"")</f>
        <v>40</v>
      </c>
      <c r="L139" s="62"/>
      <c r="R139" s="13">
        <v>3.6</v>
      </c>
      <c r="S139" s="13">
        <v>34.875399999999999</v>
      </c>
      <c r="T139" s="140">
        <v>5.7</v>
      </c>
      <c r="U139" s="140">
        <v>20.99</v>
      </c>
      <c r="V139" s="10">
        <v>3.6</v>
      </c>
      <c r="W139" s="10">
        <v>40</v>
      </c>
    </row>
    <row r="140" spans="1:23" ht="15.75">
      <c r="A140" s="64">
        <f t="shared" ca="1" si="2"/>
        <v>0.12975089386432637</v>
      </c>
      <c r="B140" s="74">
        <v>2.4</v>
      </c>
      <c r="C140" s="71">
        <v>39.347999999999999</v>
      </c>
      <c r="D140" s="132">
        <f t="array" ref="D140">MOD(ROW(), 3) + 1</f>
        <v>3</v>
      </c>
      <c r="E140" s="64"/>
      <c r="F140" s="13">
        <f t="array" ref="F140">IFERROR(INDEX($B$1:$B$1109, SMALL(IF($D$1:$D$1109=$E$3,ROW($D$1:$D$1109)),ROW()-2),1),"")</f>
        <v>3.8</v>
      </c>
      <c r="G140" s="13">
        <f t="array" ref="G140">IFERROR(INDEX($C$1:$C$1109, SMALL(IF($D$1:$D$1109=$E$3,ROW($D$1:$D$1109)),ROW()-2),1),"")</f>
        <v>32.4</v>
      </c>
      <c r="H140" s="140">
        <f t="array" ref="H140">IFERROR(INDEX($B$1:$B$1109, SMALL(IF($D$1:$D$1109=$E$4,ROW($D$1:$D$1109)),ROW()-2),1),"")</f>
        <v>2.5</v>
      </c>
      <c r="I140" s="140">
        <f t="array" ref="I140">IFERROR(INDEX($C$1:$C$1109, SMALL(IF($D$1:$D$1109=$E$4,ROW($D$1:$D$1109)),ROW()-2),1),"")</f>
        <v>42.9</v>
      </c>
      <c r="J140" s="10">
        <f t="array" ref="J140">IFERROR(INDEX($B$1:$B$1109, SMALL(IF($D$1:$D$1109=$E$5,ROW($D$1:$D$1109)),ROW()-2),1),"")</f>
        <v>3.8</v>
      </c>
      <c r="K140" s="10">
        <f t="array" ref="K140">IFERROR(INDEX($C$1:$C$1109, SMALL(IF($D$1:$D$1109=$E$5,ROW($D$1:$D$1109)),ROW()-2),1),"")</f>
        <v>31.9</v>
      </c>
      <c r="L140" s="62"/>
      <c r="R140" s="13">
        <v>3.8</v>
      </c>
      <c r="S140" s="13">
        <v>32.4</v>
      </c>
      <c r="T140" s="140">
        <v>2.5</v>
      </c>
      <c r="U140" s="140">
        <v>42.9</v>
      </c>
      <c r="V140" s="10">
        <v>3.8</v>
      </c>
      <c r="W140" s="10">
        <v>31.9</v>
      </c>
    </row>
    <row r="141" spans="1:23" ht="15.75">
      <c r="A141" s="64">
        <f t="shared" ca="1" si="2"/>
        <v>0.78847023264175009</v>
      </c>
      <c r="B141" s="74">
        <v>2.4</v>
      </c>
      <c r="C141" s="71">
        <v>35.241799999999998</v>
      </c>
      <c r="D141" s="132">
        <f t="array" ref="D141">MOD(ROW(), 3) + 1</f>
        <v>1</v>
      </c>
      <c r="E141" s="64"/>
      <c r="F141" s="13">
        <f t="array" ref="F141">IFERROR(INDEX($B$1:$B$1109, SMALL(IF($D$1:$D$1109=$E$3,ROW($D$1:$D$1109)),ROW()-2),1),"")</f>
        <v>2.4</v>
      </c>
      <c r="G141" s="13">
        <f t="array" ref="G141">IFERROR(INDEX($C$1:$C$1109, SMALL(IF($D$1:$D$1109=$E$3,ROW($D$1:$D$1109)),ROW()-2),1),"")</f>
        <v>46.9</v>
      </c>
      <c r="H141" s="140">
        <f t="array" ref="H141">IFERROR(INDEX($B$1:$B$1109, SMALL(IF($D$1:$D$1109=$E$4,ROW($D$1:$D$1109)),ROW()-2),1),"")</f>
        <v>2.4</v>
      </c>
      <c r="I141" s="140">
        <f t="array" ref="I141">IFERROR(INDEX($C$1:$C$1109, SMALL(IF($D$1:$D$1109=$E$4,ROW($D$1:$D$1109)),ROW()-2),1),"")</f>
        <v>38.6</v>
      </c>
      <c r="J141" s="10">
        <f t="array" ref="J141">IFERROR(INDEX($B$1:$B$1109, SMALL(IF($D$1:$D$1109=$E$5,ROW($D$1:$D$1109)),ROW()-2),1),"")</f>
        <v>3.5</v>
      </c>
      <c r="K141" s="10">
        <f t="array" ref="K141">IFERROR(INDEX($C$1:$C$1109, SMALL(IF($D$1:$D$1109=$E$5,ROW($D$1:$D$1109)),ROW()-2),1),"")</f>
        <v>36.556399999999996</v>
      </c>
      <c r="L141" s="62"/>
      <c r="R141" s="13">
        <v>2.4</v>
      </c>
      <c r="S141" s="13">
        <v>46.9</v>
      </c>
      <c r="T141" s="140">
        <v>2.4</v>
      </c>
      <c r="U141" s="140">
        <v>38.6</v>
      </c>
      <c r="V141" s="10">
        <v>3.5</v>
      </c>
      <c r="W141" s="10">
        <v>36.556399999999996</v>
      </c>
    </row>
    <row r="142" spans="1:23" ht="15.75">
      <c r="A142" s="64">
        <f t="shared" ca="1" si="2"/>
        <v>0.50300422406555223</v>
      </c>
      <c r="B142" s="74">
        <v>5.7</v>
      </c>
      <c r="C142" s="71">
        <v>24.149100000000001</v>
      </c>
      <c r="D142" s="132">
        <f t="array" ref="D142">MOD(ROW(), 3) + 1</f>
        <v>2</v>
      </c>
      <c r="E142" s="64"/>
      <c r="F142" s="13">
        <f t="array" ref="F142">IFERROR(INDEX($B$1:$B$1109, SMALL(IF($D$1:$D$1109=$E$3,ROW($D$1:$D$1109)),ROW()-2),1),"")</f>
        <v>3.5</v>
      </c>
      <c r="G142" s="13">
        <f t="array" ref="G142">IFERROR(INDEX($C$1:$C$1109, SMALL(IF($D$1:$D$1109=$E$3,ROW($D$1:$D$1109)),ROW()-2),1),"")</f>
        <v>30.2</v>
      </c>
      <c r="H142" s="140">
        <f t="array" ref="H142">IFERROR(INDEX($B$1:$B$1109, SMALL(IF($D$1:$D$1109=$E$4,ROW($D$1:$D$1109)),ROW()-2),1),"")</f>
        <v>4.3</v>
      </c>
      <c r="I142" s="140">
        <f t="array" ref="I142">IFERROR(INDEX($C$1:$C$1109, SMALL(IF($D$1:$D$1109=$E$4,ROW($D$1:$D$1109)),ROW()-2),1),"")</f>
        <v>27.6</v>
      </c>
      <c r="J142" s="10">
        <f t="array" ref="J142">IFERROR(INDEX($B$1:$B$1109, SMALL(IF($D$1:$D$1109=$E$5,ROW($D$1:$D$1109)),ROW()-2),1),"")</f>
        <v>5.5</v>
      </c>
      <c r="K142" s="10">
        <f t="array" ref="K142">IFERROR(INDEX($C$1:$C$1109, SMALL(IF($D$1:$D$1109=$E$5,ROW($D$1:$D$1109)),ROW()-2),1),"")</f>
        <v>29</v>
      </c>
      <c r="L142" s="62"/>
      <c r="R142" s="13">
        <v>3.5</v>
      </c>
      <c r="S142" s="13">
        <v>30.2</v>
      </c>
      <c r="T142" s="140">
        <v>4.3</v>
      </c>
      <c r="U142" s="140">
        <v>27.6</v>
      </c>
      <c r="V142" s="10">
        <v>5.5</v>
      </c>
      <c r="W142" s="10">
        <v>29</v>
      </c>
    </row>
    <row r="143" spans="1:23" ht="15.75">
      <c r="A143" s="64">
        <f t="shared" ca="1" si="2"/>
        <v>0.63553796859522482</v>
      </c>
      <c r="B143" s="74">
        <v>3</v>
      </c>
      <c r="C143" s="71">
        <v>29.6</v>
      </c>
      <c r="D143" s="132">
        <f t="array" ref="D143">MOD(ROW(), 3) + 1</f>
        <v>3</v>
      </c>
      <c r="E143" s="64"/>
      <c r="F143" s="13">
        <f t="array" ref="F143">IFERROR(INDEX($B$1:$B$1109, SMALL(IF($D$1:$D$1109=$E$3,ROW($D$1:$D$1109)),ROW()-2),1),"")</f>
        <v>2</v>
      </c>
      <c r="G143" s="13">
        <f t="array" ref="G143">IFERROR(INDEX($C$1:$C$1109, SMALL(IF($D$1:$D$1109=$E$3,ROW($D$1:$D$1109)),ROW()-2),1),"")</f>
        <v>41.113199999999999</v>
      </c>
      <c r="H143" s="140">
        <f t="array" ref="H143">IFERROR(INDEX($B$1:$B$1109, SMALL(IF($D$1:$D$1109=$E$4,ROW($D$1:$D$1109)),ROW()-2),1),"")</f>
        <v>4.8</v>
      </c>
      <c r="I143" s="140">
        <f t="array" ref="I143">IFERROR(INDEX($C$1:$C$1109, SMALL(IF($D$1:$D$1109=$E$4,ROW($D$1:$D$1109)),ROW()-2),1),"")</f>
        <v>33.260300000000001</v>
      </c>
      <c r="J143" s="10">
        <f t="array" ref="J143">IFERROR(INDEX($B$1:$B$1109, SMALL(IF($D$1:$D$1109=$E$5,ROW($D$1:$D$1109)),ROW()-2),1),"")</f>
        <v>3.5</v>
      </c>
      <c r="K143" s="10">
        <f t="array" ref="K143">IFERROR(INDEX($C$1:$C$1109, SMALL(IF($D$1:$D$1109=$E$5,ROW($D$1:$D$1109)),ROW()-2),1),"")</f>
        <v>29.773399999999999</v>
      </c>
      <c r="L143" s="62"/>
      <c r="R143" s="13">
        <v>2</v>
      </c>
      <c r="S143" s="13">
        <v>41.113199999999999</v>
      </c>
      <c r="T143" s="140">
        <v>4.8</v>
      </c>
      <c r="U143" s="140">
        <v>33.260300000000001</v>
      </c>
      <c r="V143" s="10">
        <v>3.5</v>
      </c>
      <c r="W143" s="10">
        <v>29.773399999999999</v>
      </c>
    </row>
    <row r="144" spans="1:23" ht="15.75">
      <c r="A144" s="64">
        <f t="shared" ca="1" si="2"/>
        <v>0.80386478374533132</v>
      </c>
      <c r="B144" s="74">
        <v>2</v>
      </c>
      <c r="C144" s="71">
        <v>47.512900000000002</v>
      </c>
      <c r="D144" s="132">
        <f t="array" ref="D144">MOD(ROW(), 3) + 1</f>
        <v>1</v>
      </c>
      <c r="E144" s="64"/>
      <c r="F144" s="13">
        <f t="array" ref="F144">IFERROR(INDEX($B$1:$B$1109, SMALL(IF($D$1:$D$1109=$E$3,ROW($D$1:$D$1109)),ROW()-2),1),"")</f>
        <v>2.4</v>
      </c>
      <c r="G144" s="13">
        <f t="array" ref="G144">IFERROR(INDEX($C$1:$C$1109, SMALL(IF($D$1:$D$1109=$E$3,ROW($D$1:$D$1109)),ROW()-2),1),"")</f>
        <v>37.491100000000003</v>
      </c>
      <c r="H144" s="140">
        <f t="array" ref="H144">IFERROR(INDEX($B$1:$B$1109, SMALL(IF($D$1:$D$1109=$E$4,ROW($D$1:$D$1109)),ROW()-2),1),"")</f>
        <v>2.5</v>
      </c>
      <c r="I144" s="140">
        <f t="array" ref="I144">IFERROR(INDEX($C$1:$C$1109, SMALL(IF($D$1:$D$1109=$E$4,ROW($D$1:$D$1109)),ROW()-2),1),"")</f>
        <v>39.200000000000003</v>
      </c>
      <c r="J144" s="10">
        <f t="array" ref="J144">IFERROR(INDEX($B$1:$B$1109, SMALL(IF($D$1:$D$1109=$E$5,ROW($D$1:$D$1109)),ROW()-2),1),"")</f>
        <v>6.2</v>
      </c>
      <c r="K144" s="10">
        <f t="array" ref="K144">IFERROR(INDEX($C$1:$C$1109, SMALL(IF($D$1:$D$1109=$E$5,ROW($D$1:$D$1109)),ROW()-2),1),"")</f>
        <v>26</v>
      </c>
      <c r="L144" s="62"/>
      <c r="R144" s="13">
        <v>2.4</v>
      </c>
      <c r="S144" s="13">
        <v>37.491100000000003</v>
      </c>
      <c r="T144" s="140">
        <v>2.5</v>
      </c>
      <c r="U144" s="140">
        <v>39.200000000000003</v>
      </c>
      <c r="V144" s="10">
        <v>6.2</v>
      </c>
      <c r="W144" s="10">
        <v>26</v>
      </c>
    </row>
    <row r="145" spans="1:23" ht="15.75">
      <c r="A145" s="64">
        <f t="shared" ca="1" si="2"/>
        <v>9.2741576290863881E-2</v>
      </c>
      <c r="B145" s="74">
        <v>2</v>
      </c>
      <c r="C145" s="71">
        <v>58.534999999999997</v>
      </c>
      <c r="D145" s="132">
        <f t="array" ref="D145">MOD(ROW(), 3) + 1</f>
        <v>2</v>
      </c>
      <c r="E145" s="64"/>
      <c r="F145" s="13">
        <f t="array" ref="F145">IFERROR(INDEX($B$1:$B$1109, SMALL(IF($D$1:$D$1109=$E$3,ROW($D$1:$D$1109)),ROW()-2),1),"")</f>
        <v>3.6</v>
      </c>
      <c r="G145" s="13">
        <f t="array" ref="G145">IFERROR(INDEX($C$1:$C$1109, SMALL(IF($D$1:$D$1109=$E$3,ROW($D$1:$D$1109)),ROW()-2),1),"")</f>
        <v>36.756300000000003</v>
      </c>
      <c r="H145" s="140">
        <f t="array" ref="H145">IFERROR(INDEX($B$1:$B$1109, SMALL(IF($D$1:$D$1109=$E$4,ROW($D$1:$D$1109)),ROW()-2),1),"")</f>
        <v>3.6</v>
      </c>
      <c r="I145" s="140">
        <f t="array" ref="I145">IFERROR(INDEX($C$1:$C$1109, SMALL(IF($D$1:$D$1109=$E$4,ROW($D$1:$D$1109)),ROW()-2),1),"")</f>
        <v>32.6</v>
      </c>
      <c r="J145" s="10">
        <f t="array" ref="J145">IFERROR(INDEX($B$1:$B$1109, SMALL(IF($D$1:$D$1109=$E$5,ROW($D$1:$D$1109)),ROW()-2),1),"")</f>
        <v>3</v>
      </c>
      <c r="K145" s="10">
        <f t="array" ref="K145">IFERROR(INDEX($C$1:$C$1109, SMALL(IF($D$1:$D$1109=$E$5,ROW($D$1:$D$1109)),ROW()-2),1),"")</f>
        <v>37.9</v>
      </c>
      <c r="L145" s="62"/>
      <c r="R145" s="13">
        <v>3.6</v>
      </c>
      <c r="S145" s="13">
        <v>36.756300000000003</v>
      </c>
      <c r="T145" s="140">
        <v>3.6</v>
      </c>
      <c r="U145" s="140">
        <v>32.6</v>
      </c>
      <c r="V145" s="10">
        <v>3</v>
      </c>
      <c r="W145" s="10">
        <v>37.9</v>
      </c>
    </row>
    <row r="146" spans="1:23" ht="15.75">
      <c r="A146" s="64">
        <f t="shared" ca="1" si="2"/>
        <v>0.86816041879447814</v>
      </c>
      <c r="B146" s="74">
        <v>2.4</v>
      </c>
      <c r="C146" s="71">
        <v>37.071100000000001</v>
      </c>
      <c r="D146" s="132">
        <f t="array" ref="D146">MOD(ROW(), 3) + 1</f>
        <v>3</v>
      </c>
      <c r="E146" s="64"/>
      <c r="F146" s="13">
        <f t="array" ref="F146">IFERROR(INDEX($B$1:$B$1109, SMALL(IF($D$1:$D$1109=$E$3,ROW($D$1:$D$1109)),ROW()-2),1),"")</f>
        <v>4.3</v>
      </c>
      <c r="G146" s="13">
        <f t="array" ref="G146">IFERROR(INDEX($C$1:$C$1109, SMALL(IF($D$1:$D$1109=$E$3,ROW($D$1:$D$1109)),ROW()-2),1),"")</f>
        <v>26.1157</v>
      </c>
      <c r="H146" s="140">
        <f t="array" ref="H146">IFERROR(INDEX($B$1:$B$1109, SMALL(IF($D$1:$D$1109=$E$4,ROW($D$1:$D$1109)),ROW()-2),1),"")</f>
        <v>3.7</v>
      </c>
      <c r="I146" s="140">
        <f t="array" ref="I146">IFERROR(INDEX($C$1:$C$1109, SMALL(IF($D$1:$D$1109=$E$4,ROW($D$1:$D$1109)),ROW()-2),1),"")</f>
        <v>31.3858</v>
      </c>
      <c r="J146" s="10">
        <f t="array" ref="J146">IFERROR(INDEX($B$1:$B$1109, SMALL(IF($D$1:$D$1109=$E$5,ROW($D$1:$D$1109)),ROW()-2),1),"")</f>
        <v>2</v>
      </c>
      <c r="K146" s="10">
        <f t="array" ref="K146">IFERROR(INDEX($C$1:$C$1109, SMALL(IF($D$1:$D$1109=$E$5,ROW($D$1:$D$1109)),ROW()-2),1),"")</f>
        <v>40</v>
      </c>
      <c r="L146" s="62"/>
      <c r="R146" s="13">
        <v>4.3</v>
      </c>
      <c r="S146" s="13">
        <v>26.1157</v>
      </c>
      <c r="T146" s="140">
        <v>3.7</v>
      </c>
      <c r="U146" s="140">
        <v>31.3858</v>
      </c>
      <c r="V146" s="10">
        <v>2</v>
      </c>
      <c r="W146" s="10">
        <v>40</v>
      </c>
    </row>
    <row r="147" spans="1:23" ht="15.75">
      <c r="A147" s="64">
        <f t="shared" ca="1" si="2"/>
        <v>0.40387177035237276</v>
      </c>
      <c r="B147" s="74">
        <v>5.4</v>
      </c>
      <c r="C147" s="71">
        <v>27.0426</v>
      </c>
      <c r="D147" s="132">
        <f t="array" ref="D147">MOD(ROW(), 3) + 1</f>
        <v>1</v>
      </c>
      <c r="E147" s="64"/>
      <c r="F147" s="13">
        <f t="array" ref="F147">IFERROR(INDEX($B$1:$B$1109, SMALL(IF($D$1:$D$1109=$E$3,ROW($D$1:$D$1109)),ROW()-2),1),"")</f>
        <v>2</v>
      </c>
      <c r="G147" s="13">
        <f t="array" ref="G147">IFERROR(INDEX($C$1:$C$1109, SMALL(IF($D$1:$D$1109=$E$3,ROW($D$1:$D$1109)),ROW()-2),1),"")</f>
        <v>38</v>
      </c>
      <c r="H147" s="140">
        <f t="array" ref="H147">IFERROR(INDEX($B$1:$B$1109, SMALL(IF($D$1:$D$1109=$E$4,ROW($D$1:$D$1109)),ROW()-2),1),"")</f>
        <v>2.4</v>
      </c>
      <c r="I147" s="140">
        <f t="array" ref="I147">IFERROR(INDEX($C$1:$C$1109, SMALL(IF($D$1:$D$1109=$E$4,ROW($D$1:$D$1109)),ROW()-2),1),"")</f>
        <v>35.810299999999998</v>
      </c>
      <c r="J147" s="10">
        <f t="array" ref="J147">IFERROR(INDEX($B$1:$B$1109, SMALL(IF($D$1:$D$1109=$E$5,ROW($D$1:$D$1109)),ROW()-2),1),"")</f>
        <v>2</v>
      </c>
      <c r="K147" s="10">
        <f t="array" ref="K147">IFERROR(INDEX($C$1:$C$1109, SMALL(IF($D$1:$D$1109=$E$5,ROW($D$1:$D$1109)),ROW()-2),1),"")</f>
        <v>42.457900000000002</v>
      </c>
      <c r="L147" s="62"/>
      <c r="R147" s="13">
        <v>2</v>
      </c>
      <c r="S147" s="13">
        <v>38</v>
      </c>
      <c r="T147" s="140">
        <v>2.4</v>
      </c>
      <c r="U147" s="140">
        <v>35.810299999999998</v>
      </c>
      <c r="V147" s="10">
        <v>2</v>
      </c>
      <c r="W147" s="10">
        <v>42.457900000000002</v>
      </c>
    </row>
    <row r="148" spans="1:23" ht="15.75">
      <c r="A148" s="64">
        <f t="shared" ca="1" si="2"/>
        <v>0.86405869023852855</v>
      </c>
      <c r="B148" s="74">
        <v>3.5</v>
      </c>
      <c r="C148" s="71">
        <v>34.749400000000001</v>
      </c>
      <c r="D148" s="132">
        <f t="array" ref="D148">MOD(ROW(), 3) + 1</f>
        <v>2</v>
      </c>
      <c r="E148" s="64"/>
      <c r="F148" s="13">
        <f t="array" ref="F148">IFERROR(INDEX($B$1:$B$1109, SMALL(IF($D$1:$D$1109=$E$3,ROW($D$1:$D$1109)),ROW()-2),1),"")</f>
        <v>4</v>
      </c>
      <c r="G148" s="13">
        <f t="array" ref="G148">IFERROR(INDEX($C$1:$C$1109, SMALL(IF($D$1:$D$1109=$E$3,ROW($D$1:$D$1109)),ROW()-2),1),"")</f>
        <v>28.918199999999999</v>
      </c>
      <c r="H148" s="140">
        <f t="array" ref="H148">IFERROR(INDEX($B$1:$B$1109, SMALL(IF($D$1:$D$1109=$E$4,ROW($D$1:$D$1109)),ROW()-2),1),"")</f>
        <v>2.4</v>
      </c>
      <c r="I148" s="140">
        <f t="array" ref="I148">IFERROR(INDEX($C$1:$C$1109, SMALL(IF($D$1:$D$1109=$E$4,ROW($D$1:$D$1109)),ROW()-2),1),"")</f>
        <v>39.299999999999997</v>
      </c>
      <c r="J148" s="10">
        <f t="array" ref="J148">IFERROR(INDEX($B$1:$B$1109, SMALL(IF($D$1:$D$1109=$E$5,ROW($D$1:$D$1109)),ROW()-2),1),"")</f>
        <v>2.4</v>
      </c>
      <c r="K148" s="10">
        <f t="array" ref="K148">IFERROR(INDEX($C$1:$C$1109, SMALL(IF($D$1:$D$1109=$E$5,ROW($D$1:$D$1109)),ROW()-2),1),"")</f>
        <v>45.3</v>
      </c>
      <c r="L148" s="62"/>
      <c r="R148" s="13">
        <v>4</v>
      </c>
      <c r="S148" s="13">
        <v>28.918199999999999</v>
      </c>
      <c r="T148" s="140">
        <v>2.4</v>
      </c>
      <c r="U148" s="140">
        <v>39.299999999999997</v>
      </c>
      <c r="V148" s="10">
        <v>2.4</v>
      </c>
      <c r="W148" s="10">
        <v>45.3</v>
      </c>
    </row>
    <row r="149" spans="1:23" ht="15.75">
      <c r="A149" s="64">
        <f t="shared" ca="1" si="2"/>
        <v>0.99808369950697018</v>
      </c>
      <c r="B149" s="74">
        <v>2.7</v>
      </c>
      <c r="C149" s="71">
        <v>35.700000000000003</v>
      </c>
      <c r="D149" s="132">
        <f t="array" ref="D149">MOD(ROW(), 3) + 1</f>
        <v>3</v>
      </c>
      <c r="E149" s="64"/>
      <c r="F149" s="13">
        <f t="array" ref="F149">IFERROR(INDEX($B$1:$B$1109, SMALL(IF($D$1:$D$1109=$E$3,ROW($D$1:$D$1109)),ROW()-2),1),"")</f>
        <v>2.4</v>
      </c>
      <c r="G149" s="13">
        <f t="array" ref="G149">IFERROR(INDEX($C$1:$C$1109, SMALL(IF($D$1:$D$1109=$E$3,ROW($D$1:$D$1109)),ROW()-2),1),"")</f>
        <v>37.709800000000001</v>
      </c>
      <c r="H149" s="140">
        <f t="array" ref="H149">IFERROR(INDEX($B$1:$B$1109, SMALL(IF($D$1:$D$1109=$E$4,ROW($D$1:$D$1109)),ROW()-2),1),"")</f>
        <v>3</v>
      </c>
      <c r="I149" s="140">
        <f t="array" ref="I149">IFERROR(INDEX($C$1:$C$1109, SMALL(IF($D$1:$D$1109=$E$4,ROW($D$1:$D$1109)),ROW()-2),1),"")</f>
        <v>35.465499999999999</v>
      </c>
      <c r="J149" s="10">
        <f t="array" ref="J149">IFERROR(INDEX($B$1:$B$1109, SMALL(IF($D$1:$D$1109=$E$5,ROW($D$1:$D$1109)),ROW()-2),1),"")</f>
        <v>2</v>
      </c>
      <c r="K149" s="10">
        <f t="array" ref="K149">IFERROR(INDEX($C$1:$C$1109, SMALL(IF($D$1:$D$1109=$E$5,ROW($D$1:$D$1109)),ROW()-2),1),"")</f>
        <v>40.299999999999997</v>
      </c>
      <c r="L149" s="62"/>
      <c r="R149" s="13">
        <v>2.4</v>
      </c>
      <c r="S149" s="13">
        <v>37.709800000000001</v>
      </c>
      <c r="T149" s="140">
        <v>3</v>
      </c>
      <c r="U149" s="140">
        <v>35.465499999999999</v>
      </c>
      <c r="V149" s="10">
        <v>2</v>
      </c>
      <c r="W149" s="10">
        <v>40.299999999999997</v>
      </c>
    </row>
    <row r="150" spans="1:23" ht="15.75">
      <c r="A150" s="64">
        <f t="shared" ca="1" si="2"/>
        <v>0.90836654562507402</v>
      </c>
      <c r="B150" s="74">
        <v>2.5</v>
      </c>
      <c r="C150" s="71">
        <v>40.187600000000003</v>
      </c>
      <c r="D150" s="132">
        <f t="array" ref="D150">MOD(ROW(), 3) + 1</f>
        <v>1</v>
      </c>
      <c r="E150" s="64"/>
      <c r="F150" s="13">
        <f t="array" ref="F150">IFERROR(INDEX($B$1:$B$1109, SMALL(IF($D$1:$D$1109=$E$3,ROW($D$1:$D$1109)),ROW()-2),1),"")</f>
        <v>2.4</v>
      </c>
      <c r="G150" s="13">
        <f t="array" ref="G150">IFERROR(INDEX($C$1:$C$1109, SMALL(IF($D$1:$D$1109=$E$3,ROW($D$1:$D$1109)),ROW()-2),1),"")</f>
        <v>31.3</v>
      </c>
      <c r="H150" s="140">
        <f t="array" ref="H150">IFERROR(INDEX($B$1:$B$1109, SMALL(IF($D$1:$D$1109=$E$4,ROW($D$1:$D$1109)),ROW()-2),1),"")</f>
        <v>2</v>
      </c>
      <c r="I150" s="140">
        <f t="array" ref="I150">IFERROR(INDEX($C$1:$C$1109, SMALL(IF($D$1:$D$1109=$E$4,ROW($D$1:$D$1109)),ROW()-2),1),"")</f>
        <v>47.4</v>
      </c>
      <c r="J150" s="10">
        <f t="array" ref="J150">IFERROR(INDEX($B$1:$B$1109, SMALL(IF($D$1:$D$1109=$E$5,ROW($D$1:$D$1109)),ROW()-2),1),"")</f>
        <v>3.5</v>
      </c>
      <c r="K150" s="10">
        <f t="array" ref="K150">IFERROR(INDEX($C$1:$C$1109, SMALL(IF($D$1:$D$1109=$E$5,ROW($D$1:$D$1109)),ROW()-2),1),"")</f>
        <v>35.9</v>
      </c>
      <c r="L150" s="62"/>
      <c r="R150" s="13">
        <v>2.4</v>
      </c>
      <c r="S150" s="13">
        <v>31.3</v>
      </c>
      <c r="T150" s="140">
        <v>2</v>
      </c>
      <c r="U150" s="140">
        <v>47.4</v>
      </c>
      <c r="V150" s="10">
        <v>3.5</v>
      </c>
      <c r="W150" s="10">
        <v>35.9</v>
      </c>
    </row>
    <row r="151" spans="1:23" ht="15.75">
      <c r="A151" s="64">
        <f t="shared" ca="1" si="2"/>
        <v>0.85394772923952034</v>
      </c>
      <c r="B151" s="74">
        <v>5.7</v>
      </c>
      <c r="C151" s="71">
        <v>26</v>
      </c>
      <c r="D151" s="132">
        <f t="array" ref="D151">MOD(ROW(), 3) + 1</f>
        <v>2</v>
      </c>
      <c r="E151" s="64"/>
      <c r="F151" s="13">
        <f t="array" ref="F151">IFERROR(INDEX($B$1:$B$1109, SMALL(IF($D$1:$D$1109=$E$3,ROW($D$1:$D$1109)),ROW()-2),1),"")</f>
        <v>1.8</v>
      </c>
      <c r="G151" s="13">
        <f t="array" ref="G151">IFERROR(INDEX($C$1:$C$1109, SMALL(IF($D$1:$D$1109=$E$3,ROW($D$1:$D$1109)),ROW()-2),1),"")</f>
        <v>44.2</v>
      </c>
      <c r="H151" s="140">
        <f t="array" ref="H151">IFERROR(INDEX($B$1:$B$1109, SMALL(IF($D$1:$D$1109=$E$4,ROW($D$1:$D$1109)),ROW()-2),1),"")</f>
        <v>2.4</v>
      </c>
      <c r="I151" s="140">
        <f t="array" ref="I151">IFERROR(INDEX($C$1:$C$1109, SMALL(IF($D$1:$D$1109=$E$4,ROW($D$1:$D$1109)),ROW()-2),1),"")</f>
        <v>36.700000000000003</v>
      </c>
      <c r="J151" s="10">
        <f t="array" ref="J151">IFERROR(INDEX($B$1:$B$1109, SMALL(IF($D$1:$D$1109=$E$5,ROW($D$1:$D$1109)),ROW()-2),1),"")</f>
        <v>2.5</v>
      </c>
      <c r="K151" s="10">
        <f t="array" ref="K151">IFERROR(INDEX($C$1:$C$1109, SMALL(IF($D$1:$D$1109=$E$5,ROW($D$1:$D$1109)),ROW()-2),1),"")</f>
        <v>38.6</v>
      </c>
      <c r="L151" s="62"/>
      <c r="R151" s="13">
        <v>1.8</v>
      </c>
      <c r="S151" s="13">
        <v>44.2</v>
      </c>
      <c r="T151" s="140">
        <v>2.4</v>
      </c>
      <c r="U151" s="140">
        <v>36.700000000000003</v>
      </c>
      <c r="V151" s="10">
        <v>2.5</v>
      </c>
      <c r="W151" s="10">
        <v>38.6</v>
      </c>
    </row>
    <row r="152" spans="1:23" ht="15.75">
      <c r="A152" s="64">
        <f t="shared" ca="1" si="2"/>
        <v>8.6196222179890314E-2</v>
      </c>
      <c r="B152" s="74">
        <v>2.4</v>
      </c>
      <c r="C152" s="71">
        <v>46.8</v>
      </c>
      <c r="D152" s="132">
        <f t="array" ref="D152">MOD(ROW(), 3) + 1</f>
        <v>3</v>
      </c>
      <c r="E152" s="64"/>
      <c r="F152" s="13">
        <f t="array" ref="F152">IFERROR(INDEX($B$1:$B$1109, SMALL(IF($D$1:$D$1109=$E$3,ROW($D$1:$D$1109)),ROW()-2),1),"")</f>
        <v>3</v>
      </c>
      <c r="G152" s="13">
        <f t="array" ref="G152">IFERROR(INDEX($C$1:$C$1109, SMALL(IF($D$1:$D$1109=$E$3,ROW($D$1:$D$1109)),ROW()-2),1),"")</f>
        <v>34.7288</v>
      </c>
      <c r="H152" s="140">
        <f t="array" ref="H152">IFERROR(INDEX($B$1:$B$1109, SMALL(IF($D$1:$D$1109=$E$4,ROW($D$1:$D$1109)),ROW()-2),1),"")</f>
        <v>2.5</v>
      </c>
      <c r="I152" s="140">
        <f t="array" ref="I152">IFERROR(INDEX($C$1:$C$1109, SMALL(IF($D$1:$D$1109=$E$4,ROW($D$1:$D$1109)),ROW()-2),1),"")</f>
        <v>35.922600000000003</v>
      </c>
      <c r="J152" s="10">
        <f t="array" ref="J152">IFERROR(INDEX($B$1:$B$1109, SMALL(IF($D$1:$D$1109=$E$5,ROW($D$1:$D$1109)),ROW()-2),1),"")</f>
        <v>3.5</v>
      </c>
      <c r="K152" s="10">
        <f t="array" ref="K152">IFERROR(INDEX($C$1:$C$1109, SMALL(IF($D$1:$D$1109=$E$5,ROW($D$1:$D$1109)),ROW()-2),1),"")</f>
        <v>36.410200000000003</v>
      </c>
      <c r="L152" s="62"/>
      <c r="R152" s="13">
        <v>3</v>
      </c>
      <c r="S152" s="13">
        <v>34.7288</v>
      </c>
      <c r="T152" s="140">
        <v>2.5</v>
      </c>
      <c r="U152" s="140">
        <v>35.922600000000003</v>
      </c>
      <c r="V152" s="10">
        <v>3.5</v>
      </c>
      <c r="W152" s="10">
        <v>36.410200000000003</v>
      </c>
    </row>
    <row r="153" spans="1:23" ht="15.75">
      <c r="A153" s="64">
        <f t="shared" ca="1" si="2"/>
        <v>0.66420820619311005</v>
      </c>
      <c r="B153" s="74">
        <v>4.5999999999999996</v>
      </c>
      <c r="C153" s="71">
        <v>27.106100000000001</v>
      </c>
      <c r="D153" s="132">
        <f t="array" ref="D153">MOD(ROW(), 3) + 1</f>
        <v>1</v>
      </c>
      <c r="E153" s="64"/>
      <c r="F153" s="13">
        <f t="array" ref="F153">IFERROR(INDEX($B$1:$B$1109, SMALL(IF($D$1:$D$1109=$E$3,ROW($D$1:$D$1109)),ROW()-2),1),"")</f>
        <v>2.7</v>
      </c>
      <c r="G153" s="13">
        <f t="array" ref="G153">IFERROR(INDEX($C$1:$C$1109, SMALL(IF($D$1:$D$1109=$E$3,ROW($D$1:$D$1109)),ROW()-2),1),"")</f>
        <v>40.6</v>
      </c>
      <c r="H153" s="140">
        <f t="array" ref="H153">IFERROR(INDEX($B$1:$B$1109, SMALL(IF($D$1:$D$1109=$E$4,ROW($D$1:$D$1109)),ROW()-2),1),"")</f>
        <v>6.3</v>
      </c>
      <c r="I153" s="140">
        <f t="array" ref="I153">IFERROR(INDEX($C$1:$C$1109, SMALL(IF($D$1:$D$1109=$E$4,ROW($D$1:$D$1109)),ROW()-2),1),"")</f>
        <v>24.8202</v>
      </c>
      <c r="J153" s="10">
        <f t="array" ref="J153">IFERROR(INDEX($B$1:$B$1109, SMALL(IF($D$1:$D$1109=$E$5,ROW($D$1:$D$1109)),ROW()-2),1),"")</f>
        <v>2.5</v>
      </c>
      <c r="K153" s="10">
        <f t="array" ref="K153">IFERROR(INDEX($C$1:$C$1109, SMALL(IF($D$1:$D$1109=$E$5,ROW($D$1:$D$1109)),ROW()-2),1),"")</f>
        <v>39.700000000000003</v>
      </c>
      <c r="L153" s="62"/>
      <c r="R153" s="13">
        <v>2.7</v>
      </c>
      <c r="S153" s="13">
        <v>40.6</v>
      </c>
      <c r="T153" s="140">
        <v>6.3</v>
      </c>
      <c r="U153" s="140">
        <v>24.8202</v>
      </c>
      <c r="V153" s="10">
        <v>2.5</v>
      </c>
      <c r="W153" s="10">
        <v>39.700000000000003</v>
      </c>
    </row>
    <row r="154" spans="1:23" ht="15.75">
      <c r="A154" s="64">
        <f t="shared" ca="1" si="2"/>
        <v>0.21901479825914127</v>
      </c>
      <c r="B154" s="74">
        <v>2.4</v>
      </c>
      <c r="C154" s="71">
        <v>45.1</v>
      </c>
      <c r="D154" s="132">
        <f t="array" ref="D154">MOD(ROW(), 3) + 1</f>
        <v>2</v>
      </c>
      <c r="E154" s="64"/>
      <c r="F154" s="13">
        <f t="array" ref="F154">IFERROR(INDEX($B$1:$B$1109, SMALL(IF($D$1:$D$1109=$E$3,ROW($D$1:$D$1109)),ROW()-2),1),"")</f>
        <v>2.4</v>
      </c>
      <c r="G154" s="13">
        <f t="array" ref="G154">IFERROR(INDEX($C$1:$C$1109, SMALL(IF($D$1:$D$1109=$E$3,ROW($D$1:$D$1109)),ROW()-2),1),"")</f>
        <v>41.699800000000003</v>
      </c>
      <c r="H154" s="140">
        <f t="array" ref="H154">IFERROR(INDEX($B$1:$B$1109, SMALL(IF($D$1:$D$1109=$E$4,ROW($D$1:$D$1109)),ROW()-2),1),"")</f>
        <v>4</v>
      </c>
      <c r="I154" s="140">
        <f t="array" ref="I154">IFERROR(INDEX($C$1:$C$1109, SMALL(IF($D$1:$D$1109=$E$4,ROW($D$1:$D$1109)),ROW()-2),1),"")</f>
        <v>27.9711</v>
      </c>
      <c r="J154" s="10">
        <f t="array" ref="J154">IFERROR(INDEX($B$1:$B$1109, SMALL(IF($D$1:$D$1109=$E$5,ROW($D$1:$D$1109)),ROW()-2),1),"")</f>
        <v>3</v>
      </c>
      <c r="K154" s="10">
        <f t="array" ref="K154">IFERROR(INDEX($C$1:$C$1109, SMALL(IF($D$1:$D$1109=$E$5,ROW($D$1:$D$1109)),ROW()-2),1),"")</f>
        <v>36.154800000000002</v>
      </c>
      <c r="L154" s="62"/>
      <c r="R154" s="13">
        <v>2.4</v>
      </c>
      <c r="S154" s="13">
        <v>41.699800000000003</v>
      </c>
      <c r="T154" s="140">
        <v>4</v>
      </c>
      <c r="U154" s="140">
        <v>27.9711</v>
      </c>
      <c r="V154" s="10">
        <v>3</v>
      </c>
      <c r="W154" s="10">
        <v>36.154800000000002</v>
      </c>
    </row>
    <row r="155" spans="1:23" ht="15.75">
      <c r="A155" s="64">
        <f t="shared" ca="1" si="2"/>
        <v>0.18334435176310326</v>
      </c>
      <c r="B155" s="74">
        <v>3.5</v>
      </c>
      <c r="C155" s="71">
        <v>33.5</v>
      </c>
      <c r="D155" s="132">
        <f t="array" ref="D155">MOD(ROW(), 3) + 1</f>
        <v>3</v>
      </c>
      <c r="E155" s="64"/>
      <c r="F155" s="13">
        <f t="array" ref="F155">IFERROR(INDEX($B$1:$B$1109, SMALL(IF($D$1:$D$1109=$E$3,ROW($D$1:$D$1109)),ROW()-2),1),"")</f>
        <v>3.5</v>
      </c>
      <c r="G155" s="13">
        <f t="array" ref="G155">IFERROR(INDEX($C$1:$C$1109, SMALL(IF($D$1:$D$1109=$E$3,ROW($D$1:$D$1109)),ROW()-2),1),"")</f>
        <v>33.5</v>
      </c>
      <c r="H155" s="140">
        <f t="array" ref="H155">IFERROR(INDEX($B$1:$B$1109, SMALL(IF($D$1:$D$1109=$E$4,ROW($D$1:$D$1109)),ROW()-2),1),"")</f>
        <v>3.8</v>
      </c>
      <c r="I155" s="140">
        <f t="array" ref="I155">IFERROR(INDEX($C$1:$C$1109, SMALL(IF($D$1:$D$1109=$E$4,ROW($D$1:$D$1109)),ROW()-2),1),"")</f>
        <v>34.255000000000003</v>
      </c>
      <c r="J155" s="10">
        <f t="array" ref="J155">IFERROR(INDEX($B$1:$B$1109, SMALL(IF($D$1:$D$1109=$E$5,ROW($D$1:$D$1109)),ROW()-2),1),"")</f>
        <v>2.5</v>
      </c>
      <c r="K155" s="10">
        <f t="array" ref="K155">IFERROR(INDEX($C$1:$C$1109, SMALL(IF($D$1:$D$1109=$E$5,ROW($D$1:$D$1109)),ROW()-2),1),"")</f>
        <v>42.9</v>
      </c>
      <c r="L155" s="62"/>
      <c r="R155" s="13">
        <v>3.5</v>
      </c>
      <c r="S155" s="13">
        <v>33.5</v>
      </c>
      <c r="T155" s="140">
        <v>3.8</v>
      </c>
      <c r="U155" s="140">
        <v>34.255000000000003</v>
      </c>
      <c r="V155" s="10">
        <v>2.5</v>
      </c>
      <c r="W155" s="10">
        <v>42.9</v>
      </c>
    </row>
    <row r="156" spans="1:23" ht="15.75">
      <c r="A156" s="64">
        <f t="shared" ca="1" si="2"/>
        <v>0.89559876533778893</v>
      </c>
      <c r="B156" s="74">
        <v>3.5</v>
      </c>
      <c r="C156" s="71">
        <v>41.2</v>
      </c>
      <c r="D156" s="132">
        <f t="array" ref="D156">MOD(ROW(), 3) + 1</f>
        <v>1</v>
      </c>
      <c r="E156" s="64"/>
      <c r="F156" s="13">
        <f t="array" ref="F156">IFERROR(INDEX($B$1:$B$1109, SMALL(IF($D$1:$D$1109=$E$3,ROW($D$1:$D$1109)),ROW()-2),1),"")</f>
        <v>1.8</v>
      </c>
      <c r="G156" s="13">
        <f t="array" ref="G156">IFERROR(INDEX($C$1:$C$1109, SMALL(IF($D$1:$D$1109=$E$3,ROW($D$1:$D$1109)),ROW()-2),1),"")</f>
        <v>41.798999999999999</v>
      </c>
      <c r="H156" s="140">
        <f t="array" ref="H156">IFERROR(INDEX($B$1:$B$1109, SMALL(IF($D$1:$D$1109=$E$4,ROW($D$1:$D$1109)),ROW()-2),1),"")</f>
        <v>2.2000000000000002</v>
      </c>
      <c r="I156" s="140">
        <f t="array" ref="I156">IFERROR(INDEX($C$1:$C$1109, SMALL(IF($D$1:$D$1109=$E$4,ROW($D$1:$D$1109)),ROW()-2),1),"")</f>
        <v>51.9</v>
      </c>
      <c r="J156" s="10">
        <f t="array" ref="J156">IFERROR(INDEX($B$1:$B$1109, SMALL(IF($D$1:$D$1109=$E$5,ROW($D$1:$D$1109)),ROW()-2),1),"")</f>
        <v>3.5</v>
      </c>
      <c r="K156" s="10">
        <f t="array" ref="K156">IFERROR(INDEX($C$1:$C$1109, SMALL(IF($D$1:$D$1109=$E$5,ROW($D$1:$D$1109)),ROW()-2),1),"")</f>
        <v>39.799999999999997</v>
      </c>
      <c r="L156" s="62"/>
      <c r="R156" s="13">
        <v>1.8</v>
      </c>
      <c r="S156" s="13">
        <v>41.798999999999999</v>
      </c>
      <c r="T156" s="140">
        <v>2.2000000000000002</v>
      </c>
      <c r="U156" s="140">
        <v>51.9</v>
      </c>
      <c r="V156" s="10">
        <v>3.5</v>
      </c>
      <c r="W156" s="10">
        <v>39.799999999999997</v>
      </c>
    </row>
    <row r="157" spans="1:23" ht="15.75">
      <c r="A157" s="64">
        <f t="shared" ca="1" si="2"/>
        <v>5.8616940657431282E-2</v>
      </c>
      <c r="B157" s="74">
        <v>1.3</v>
      </c>
      <c r="C157" s="71">
        <v>62.267400000000002</v>
      </c>
      <c r="D157" s="132">
        <f t="array" ref="D157">MOD(ROW(), 3) + 1</f>
        <v>2</v>
      </c>
      <c r="E157" s="64"/>
      <c r="F157" s="13">
        <f t="array" ref="F157">IFERROR(INDEX($B$1:$B$1109, SMALL(IF($D$1:$D$1109=$E$3,ROW($D$1:$D$1109)),ROW()-2),1),"")</f>
        <v>2</v>
      </c>
      <c r="G157" s="13">
        <f t="array" ref="G157">IFERROR(INDEX($C$1:$C$1109, SMALL(IF($D$1:$D$1109=$E$3,ROW($D$1:$D$1109)),ROW()-2),1),"")</f>
        <v>49.3</v>
      </c>
      <c r="H157" s="140">
        <f t="array" ref="H157">IFERROR(INDEX($B$1:$B$1109, SMALL(IF($D$1:$D$1109=$E$4,ROW($D$1:$D$1109)),ROW()-2),1),"")</f>
        <v>3.5</v>
      </c>
      <c r="I157" s="140">
        <f t="array" ref="I157">IFERROR(INDEX($C$1:$C$1109, SMALL(IF($D$1:$D$1109=$E$4,ROW($D$1:$D$1109)),ROW()-2),1),"")</f>
        <v>35.5</v>
      </c>
      <c r="J157" s="10">
        <f t="array" ref="J157">IFERROR(INDEX($B$1:$B$1109, SMALL(IF($D$1:$D$1109=$E$5,ROW($D$1:$D$1109)),ROW()-2),1),"")</f>
        <v>2.4</v>
      </c>
      <c r="K157" s="10">
        <f t="array" ref="K157">IFERROR(INDEX($C$1:$C$1109, SMALL(IF($D$1:$D$1109=$E$5,ROW($D$1:$D$1109)),ROW()-2),1),"")</f>
        <v>41.6</v>
      </c>
      <c r="L157" s="62"/>
      <c r="R157" s="13">
        <v>2</v>
      </c>
      <c r="S157" s="13">
        <v>49.3</v>
      </c>
      <c r="T157" s="140">
        <v>3.5</v>
      </c>
      <c r="U157" s="140">
        <v>35.5</v>
      </c>
      <c r="V157" s="10">
        <v>2.4</v>
      </c>
      <c r="W157" s="10">
        <v>41.6</v>
      </c>
    </row>
    <row r="158" spans="1:23" ht="15.75">
      <c r="A158" s="64">
        <f t="shared" ca="1" si="2"/>
        <v>0.37720150658239804</v>
      </c>
      <c r="B158" s="74">
        <v>3</v>
      </c>
      <c r="C158" s="71">
        <v>34.285299999999999</v>
      </c>
      <c r="D158" s="132">
        <f t="array" ref="D158">MOD(ROW(), 3) + 1</f>
        <v>3</v>
      </c>
      <c r="E158" s="64"/>
      <c r="F158" s="13">
        <f t="array" ref="F158">IFERROR(INDEX($B$1:$B$1109, SMALL(IF($D$1:$D$1109=$E$3,ROW($D$1:$D$1109)),ROW()-2),1),"")</f>
        <v>2.7</v>
      </c>
      <c r="G158" s="13">
        <f t="array" ref="G158">IFERROR(INDEX($C$1:$C$1109, SMALL(IF($D$1:$D$1109=$E$3,ROW($D$1:$D$1109)),ROW()-2),1),"")</f>
        <v>39.799999999999997</v>
      </c>
      <c r="H158" s="140">
        <f t="array" ref="H158">IFERROR(INDEX($B$1:$B$1109, SMALL(IF($D$1:$D$1109=$E$4,ROW($D$1:$D$1109)),ROW()-2),1),"")</f>
        <v>5.3</v>
      </c>
      <c r="I158" s="140">
        <f t="array" ref="I158">IFERROR(INDEX($C$1:$C$1109, SMALL(IF($D$1:$D$1109=$E$4,ROW($D$1:$D$1109)),ROW()-2),1),"")</f>
        <v>23.299900000000001</v>
      </c>
      <c r="J158" s="10">
        <f t="array" ref="J158">IFERROR(INDEX($B$1:$B$1109, SMALL(IF($D$1:$D$1109=$E$5,ROW($D$1:$D$1109)),ROW()-2),1),"")</f>
        <v>2.5</v>
      </c>
      <c r="K158" s="10">
        <f t="array" ref="K158">IFERROR(INDEX($C$1:$C$1109, SMALL(IF($D$1:$D$1109=$E$5,ROW($D$1:$D$1109)),ROW()-2),1),"")</f>
        <v>40.200000000000003</v>
      </c>
      <c r="L158" s="62"/>
      <c r="R158" s="13">
        <v>2.7</v>
      </c>
      <c r="S158" s="13">
        <v>39.799999999999997</v>
      </c>
      <c r="T158" s="140">
        <v>5.3</v>
      </c>
      <c r="U158" s="140">
        <v>23.299900000000001</v>
      </c>
      <c r="V158" s="10">
        <v>2.5</v>
      </c>
      <c r="W158" s="10">
        <v>40.200000000000003</v>
      </c>
    </row>
    <row r="159" spans="1:23" ht="15.75">
      <c r="A159" s="64">
        <f t="shared" ca="1" si="2"/>
        <v>0.84674862074564694</v>
      </c>
      <c r="B159" s="74">
        <v>3</v>
      </c>
      <c r="C159" s="71">
        <v>34.7286</v>
      </c>
      <c r="D159" s="132">
        <f t="array" ref="D159">MOD(ROW(), 3) + 1</f>
        <v>1</v>
      </c>
      <c r="E159" s="64"/>
      <c r="F159" s="13">
        <f t="array" ref="F159">IFERROR(INDEX($B$1:$B$1109, SMALL(IF($D$1:$D$1109=$E$3,ROW($D$1:$D$1109)),ROW()-2),1),"")</f>
        <v>3.5</v>
      </c>
      <c r="G159" s="13">
        <f t="array" ref="G159">IFERROR(INDEX($C$1:$C$1109, SMALL(IF($D$1:$D$1109=$E$3,ROW($D$1:$D$1109)),ROW()-2),1),"")</f>
        <v>38.299999999999997</v>
      </c>
      <c r="H159" s="140">
        <f t="array" ref="H159">IFERROR(INDEX($B$1:$B$1109, SMALL(IF($D$1:$D$1109=$E$4,ROW($D$1:$D$1109)),ROW()-2),1),"")</f>
        <v>6</v>
      </c>
      <c r="I159" s="140">
        <f t="array" ref="I159">IFERROR(INDEX($C$1:$C$1109, SMALL(IF($D$1:$D$1109=$E$4,ROW($D$1:$D$1109)),ROW()-2),1),"")</f>
        <v>30.5</v>
      </c>
      <c r="J159" s="10">
        <f t="array" ref="J159">IFERROR(INDEX($B$1:$B$1109, SMALL(IF($D$1:$D$1109=$E$5,ROW($D$1:$D$1109)),ROW()-2),1),"")</f>
        <v>2</v>
      </c>
      <c r="K159" s="10">
        <f t="array" ref="K159">IFERROR(INDEX($C$1:$C$1109, SMALL(IF($D$1:$D$1109=$E$5,ROW($D$1:$D$1109)),ROW()-2),1),"")</f>
        <v>42</v>
      </c>
      <c r="L159" s="62"/>
      <c r="R159" s="13">
        <v>3.5</v>
      </c>
      <c r="S159" s="13">
        <v>38.299999999999997</v>
      </c>
      <c r="T159" s="140">
        <v>6</v>
      </c>
      <c r="U159" s="140">
        <v>30.5</v>
      </c>
      <c r="V159" s="10">
        <v>2</v>
      </c>
      <c r="W159" s="10">
        <v>42</v>
      </c>
    </row>
    <row r="160" spans="1:23" ht="15.75">
      <c r="A160" s="64">
        <f t="shared" ca="1" si="2"/>
        <v>0.81425117651289625</v>
      </c>
      <c r="B160" s="74">
        <v>3.4</v>
      </c>
      <c r="C160" s="71">
        <v>36.729900000000001</v>
      </c>
      <c r="D160" s="132">
        <f t="array" ref="D160">MOD(ROW(), 3) + 1</f>
        <v>2</v>
      </c>
      <c r="E160" s="64"/>
      <c r="F160" s="13">
        <f t="array" ref="F160">IFERROR(INDEX($B$1:$B$1109, SMALL(IF($D$1:$D$1109=$E$3,ROW($D$1:$D$1109)),ROW()-2),1),"")</f>
        <v>6.2</v>
      </c>
      <c r="G160" s="13">
        <f t="array" ref="G160">IFERROR(INDEX($C$1:$C$1109, SMALL(IF($D$1:$D$1109=$E$3,ROW($D$1:$D$1109)),ROW()-2),1),"")</f>
        <v>27.4</v>
      </c>
      <c r="H160" s="140">
        <f t="array" ref="H160">IFERROR(INDEX($B$1:$B$1109, SMALL(IF($D$1:$D$1109=$E$4,ROW($D$1:$D$1109)),ROW()-2),1),"")</f>
        <v>6.2</v>
      </c>
      <c r="I160" s="140">
        <f t="array" ref="I160">IFERROR(INDEX($C$1:$C$1109, SMALL(IF($D$1:$D$1109=$E$4,ROW($D$1:$D$1109)),ROW()-2),1),"")</f>
        <v>28.4</v>
      </c>
      <c r="J160" s="10">
        <f t="array" ref="J160">IFERROR(INDEX($B$1:$B$1109, SMALL(IF($D$1:$D$1109=$E$5,ROW($D$1:$D$1109)),ROW()-2),1),"")</f>
        <v>2.5</v>
      </c>
      <c r="K160" s="10">
        <f t="array" ref="K160">IFERROR(INDEX($C$1:$C$1109, SMALL(IF($D$1:$D$1109=$E$5,ROW($D$1:$D$1109)),ROW()-2),1),"")</f>
        <v>39.200000000000003</v>
      </c>
      <c r="L160" s="62"/>
      <c r="R160" s="13">
        <v>6.2</v>
      </c>
      <c r="S160" s="13">
        <v>27.4</v>
      </c>
      <c r="T160" s="140">
        <v>6.2</v>
      </c>
      <c r="U160" s="140">
        <v>28.4</v>
      </c>
      <c r="V160" s="10">
        <v>2.5</v>
      </c>
      <c r="W160" s="10">
        <v>39.200000000000003</v>
      </c>
    </row>
    <row r="161" spans="1:23" ht="15.75">
      <c r="A161" s="64">
        <f t="shared" ca="1" si="2"/>
        <v>0.50448074037195212</v>
      </c>
      <c r="B161" s="74">
        <v>2.5</v>
      </c>
      <c r="C161" s="71">
        <v>38.4</v>
      </c>
      <c r="D161" s="132">
        <f t="array" ref="D161">MOD(ROW(), 3) + 1</f>
        <v>3</v>
      </c>
      <c r="E161" s="64"/>
      <c r="F161" s="13">
        <f t="array" ref="F161">IFERROR(INDEX($B$1:$B$1109, SMALL(IF($D$1:$D$1109=$E$3,ROW($D$1:$D$1109)),ROW()-2),1),"")</f>
        <v>3.6</v>
      </c>
      <c r="G161" s="13">
        <f t="array" ref="G161">IFERROR(INDEX($C$1:$C$1109, SMALL(IF($D$1:$D$1109=$E$3,ROW($D$1:$D$1109)),ROW()-2),1),"")</f>
        <v>37.200000000000003</v>
      </c>
      <c r="H161" s="140">
        <f t="array" ref="H161">IFERROR(INDEX($B$1:$B$1109, SMALL(IF($D$1:$D$1109=$E$4,ROW($D$1:$D$1109)),ROW()-2),1),"")</f>
        <v>3</v>
      </c>
      <c r="I161" s="140">
        <f t="array" ref="I161">IFERROR(INDEX($C$1:$C$1109, SMALL(IF($D$1:$D$1109=$E$4,ROW($D$1:$D$1109)),ROW()-2),1),"")</f>
        <v>35.9</v>
      </c>
      <c r="J161" s="10">
        <f t="array" ref="J161">IFERROR(INDEX($B$1:$B$1109, SMALL(IF($D$1:$D$1109=$E$5,ROW($D$1:$D$1109)),ROW()-2),1),"")</f>
        <v>3.7</v>
      </c>
      <c r="K161" s="10">
        <f t="array" ref="K161">IFERROR(INDEX($C$1:$C$1109, SMALL(IF($D$1:$D$1109=$E$5,ROW($D$1:$D$1109)),ROW()-2),1),"")</f>
        <v>30.5</v>
      </c>
      <c r="L161" s="62"/>
      <c r="R161" s="13">
        <v>3.6</v>
      </c>
      <c r="S161" s="13">
        <v>37.200000000000003</v>
      </c>
      <c r="T161" s="140">
        <v>3</v>
      </c>
      <c r="U161" s="140">
        <v>35.9</v>
      </c>
      <c r="V161" s="10">
        <v>3.7</v>
      </c>
      <c r="W161" s="10">
        <v>30.5</v>
      </c>
    </row>
    <row r="162" spans="1:23" ht="15.75">
      <c r="A162" s="64">
        <f t="shared" ca="1" si="2"/>
        <v>0.90686638997839064</v>
      </c>
      <c r="B162" s="74">
        <v>1.6</v>
      </c>
      <c r="C162" s="71">
        <v>44.571399999999997</v>
      </c>
      <c r="D162" s="132">
        <f t="array" ref="D162">MOD(ROW(), 3) + 1</f>
        <v>1</v>
      </c>
      <c r="E162" s="64"/>
      <c r="F162" s="13">
        <f t="array" ref="F162">IFERROR(INDEX($B$1:$B$1109, SMALL(IF($D$1:$D$1109=$E$3,ROW($D$1:$D$1109)),ROW()-2),1),"")</f>
        <v>1</v>
      </c>
      <c r="G162" s="13">
        <f t="array" ref="G162">IFERROR(INDEX($C$1:$C$1109, SMALL(IF($D$1:$D$1109=$E$3,ROW($D$1:$D$1109)),ROW()-2),1),"")</f>
        <v>57.8</v>
      </c>
      <c r="H162" s="140">
        <f t="array" ref="H162">IFERROR(INDEX($B$1:$B$1109, SMALL(IF($D$1:$D$1109=$E$4,ROW($D$1:$D$1109)),ROW()-2),1),"")</f>
        <v>2</v>
      </c>
      <c r="I162" s="140">
        <f t="array" ref="I162">IFERROR(INDEX($C$1:$C$1109, SMALL(IF($D$1:$D$1109=$E$4,ROW($D$1:$D$1109)),ROW()-2),1),"")</f>
        <v>30.6</v>
      </c>
      <c r="J162" s="10">
        <f t="array" ref="J162">IFERROR(INDEX($B$1:$B$1109, SMALL(IF($D$1:$D$1109=$E$5,ROW($D$1:$D$1109)),ROW()-2),1),"")</f>
        <v>3</v>
      </c>
      <c r="K162" s="10">
        <f t="array" ref="K162">IFERROR(INDEX($C$1:$C$1109, SMALL(IF($D$1:$D$1109=$E$5,ROW($D$1:$D$1109)),ROW()-2),1),"")</f>
        <v>35.708100000000002</v>
      </c>
      <c r="L162" s="62"/>
      <c r="R162" s="13">
        <v>1</v>
      </c>
      <c r="S162" s="13">
        <v>57.8</v>
      </c>
      <c r="T162" s="140">
        <v>2</v>
      </c>
      <c r="U162" s="140">
        <v>30.6</v>
      </c>
      <c r="V162" s="10">
        <v>3</v>
      </c>
      <c r="W162" s="10">
        <v>35.708100000000002</v>
      </c>
    </row>
    <row r="163" spans="1:23" ht="15.75">
      <c r="A163" s="64">
        <f t="shared" ca="1" si="2"/>
        <v>0.43001825063333743</v>
      </c>
      <c r="B163" s="74">
        <v>3</v>
      </c>
      <c r="C163" s="71">
        <v>35.708100000000002</v>
      </c>
      <c r="D163" s="132">
        <f t="array" ref="D163">MOD(ROW(), 3) + 1</f>
        <v>2</v>
      </c>
      <c r="E163" s="64"/>
      <c r="F163" s="13">
        <f t="array" ref="F163">IFERROR(INDEX($B$1:$B$1109, SMALL(IF($D$1:$D$1109=$E$3,ROW($D$1:$D$1109)),ROW()-2),1),"")</f>
        <v>2.5</v>
      </c>
      <c r="G163" s="13">
        <f t="array" ref="G163">IFERROR(INDEX($C$1:$C$1109, SMALL(IF($D$1:$D$1109=$E$3,ROW($D$1:$D$1109)),ROW()-2),1),"")</f>
        <v>38.6</v>
      </c>
      <c r="H163" s="140">
        <f t="array" ref="H163">IFERROR(INDEX($B$1:$B$1109, SMALL(IF($D$1:$D$1109=$E$4,ROW($D$1:$D$1109)),ROW()-2),1),"")</f>
        <v>3</v>
      </c>
      <c r="I163" s="140">
        <f t="array" ref="I163">IFERROR(INDEX($C$1:$C$1109, SMALL(IF($D$1:$D$1109=$E$4,ROW($D$1:$D$1109)),ROW()-2),1),"")</f>
        <v>35.708100000000002</v>
      </c>
      <c r="J163" s="10">
        <f t="array" ref="J163">IFERROR(INDEX($B$1:$B$1109, SMALL(IF($D$1:$D$1109=$E$5,ROW($D$1:$D$1109)),ROW()-2),1),"")</f>
        <v>3.7</v>
      </c>
      <c r="K163" s="10">
        <f t="array" ref="K163">IFERROR(INDEX($C$1:$C$1109, SMALL(IF($D$1:$D$1109=$E$5,ROW($D$1:$D$1109)),ROW()-2),1),"")</f>
        <v>34.730499999999999</v>
      </c>
      <c r="L163" s="62"/>
      <c r="R163" s="13">
        <v>2.5</v>
      </c>
      <c r="S163" s="13">
        <v>38.6</v>
      </c>
      <c r="T163" s="140">
        <v>3</v>
      </c>
      <c r="U163" s="140">
        <v>35.708100000000002</v>
      </c>
      <c r="V163" s="10">
        <v>3.7</v>
      </c>
      <c r="W163" s="10">
        <v>34.730499999999999</v>
      </c>
    </row>
    <row r="164" spans="1:23" ht="15.75">
      <c r="A164" s="64">
        <f t="shared" ca="1" si="2"/>
        <v>0.30316339356278332</v>
      </c>
      <c r="B164" s="74">
        <v>3.5</v>
      </c>
      <c r="C164" s="71">
        <v>28.7</v>
      </c>
      <c r="D164" s="132">
        <f t="array" ref="D164">MOD(ROW(), 3) + 1</f>
        <v>3</v>
      </c>
      <c r="E164" s="64"/>
      <c r="F164" s="13">
        <f t="array" ref="F164">IFERROR(INDEX($B$1:$B$1109, SMALL(IF($D$1:$D$1109=$E$3,ROW($D$1:$D$1109)),ROW()-2),1),"")</f>
        <v>5.5</v>
      </c>
      <c r="G164" s="13">
        <f t="array" ref="G164">IFERROR(INDEX($C$1:$C$1109, SMALL(IF($D$1:$D$1109=$E$3,ROW($D$1:$D$1109)),ROW()-2),1),"")</f>
        <v>30.8</v>
      </c>
      <c r="H164" s="140">
        <f t="array" ref="H164">IFERROR(INDEX($B$1:$B$1109, SMALL(IF($D$1:$D$1109=$E$4,ROW($D$1:$D$1109)),ROW()-2),1),"")</f>
        <v>2.9</v>
      </c>
      <c r="I164" s="140">
        <f t="array" ref="I164">IFERROR(INDEX($C$1:$C$1109, SMALL(IF($D$1:$D$1109=$E$4,ROW($D$1:$D$1109)),ROW()-2),1),"")</f>
        <v>34.299999999999997</v>
      </c>
      <c r="J164" s="10">
        <f t="array" ref="J164">IFERROR(INDEX($B$1:$B$1109, SMALL(IF($D$1:$D$1109=$E$5,ROW($D$1:$D$1109)),ROW()-2),1),"")</f>
        <v>2.5</v>
      </c>
      <c r="K164" s="10">
        <f t="array" ref="K164">IFERROR(INDEX($C$1:$C$1109, SMALL(IF($D$1:$D$1109=$E$5,ROW($D$1:$D$1109)),ROW()-2),1),"")</f>
        <v>31.8</v>
      </c>
      <c r="L164" s="62"/>
      <c r="R164" s="13">
        <v>5.5</v>
      </c>
      <c r="S164" s="13">
        <v>30.8</v>
      </c>
      <c r="T164" s="140">
        <v>2.9</v>
      </c>
      <c r="U164" s="140">
        <v>34.299999999999997</v>
      </c>
      <c r="V164" s="10">
        <v>2.5</v>
      </c>
      <c r="W164" s="10">
        <v>31.8</v>
      </c>
    </row>
    <row r="165" spans="1:23" ht="15.75">
      <c r="A165" s="64">
        <f t="shared" ca="1" si="2"/>
        <v>0.13112285099009835</v>
      </c>
      <c r="B165" s="74">
        <v>3.5</v>
      </c>
      <c r="C165" s="71">
        <v>37.6</v>
      </c>
      <c r="D165" s="132">
        <f t="array" ref="D165">MOD(ROW(), 3) + 1</f>
        <v>1</v>
      </c>
      <c r="E165" s="64"/>
      <c r="F165" s="13">
        <f t="array" ref="F165">IFERROR(INDEX($B$1:$B$1109, SMALL(IF($D$1:$D$1109=$E$3,ROW($D$1:$D$1109)),ROW()-2),1),"")</f>
        <v>5.2</v>
      </c>
      <c r="G165" s="13">
        <f t="array" ref="G165">IFERROR(INDEX($C$1:$C$1109, SMALL(IF($D$1:$D$1109=$E$3,ROW($D$1:$D$1109)),ROW()-2),1),"")</f>
        <v>22.6</v>
      </c>
      <c r="H165" s="140">
        <f t="array" ref="H165">IFERROR(INDEX($B$1:$B$1109, SMALL(IF($D$1:$D$1109=$E$4,ROW($D$1:$D$1109)),ROW()-2),1),"")</f>
        <v>4</v>
      </c>
      <c r="I165" s="140">
        <f t="array" ref="I165">IFERROR(INDEX($C$1:$C$1109, SMALL(IF($D$1:$D$1109=$E$4,ROW($D$1:$D$1109)),ROW()-2),1),"")</f>
        <v>28.654900000000001</v>
      </c>
      <c r="J165" s="10">
        <f t="array" ref="J165">IFERROR(INDEX($B$1:$B$1109, SMALL(IF($D$1:$D$1109=$E$5,ROW($D$1:$D$1109)),ROW()-2),1),"")</f>
        <v>5.3</v>
      </c>
      <c r="K165" s="10">
        <f t="array" ref="K165">IFERROR(INDEX($C$1:$C$1109, SMALL(IF($D$1:$D$1109=$E$5,ROW($D$1:$D$1109)),ROW()-2),1),"")</f>
        <v>22.9</v>
      </c>
      <c r="L165" s="62"/>
      <c r="R165" s="13">
        <v>5.2</v>
      </c>
      <c r="S165" s="13">
        <v>22.6</v>
      </c>
      <c r="T165" s="140">
        <v>4</v>
      </c>
      <c r="U165" s="140">
        <v>28.654900000000001</v>
      </c>
      <c r="V165" s="10">
        <v>5.3</v>
      </c>
      <c r="W165" s="10">
        <v>22.9</v>
      </c>
    </row>
    <row r="166" spans="1:23" ht="15.75">
      <c r="A166" s="64">
        <f t="shared" ca="1" si="2"/>
        <v>0.48277556010568767</v>
      </c>
      <c r="B166" s="74">
        <v>3.5</v>
      </c>
      <c r="C166" s="71">
        <v>33.9</v>
      </c>
      <c r="D166" s="132">
        <f t="array" ref="D166">MOD(ROW(), 3) + 1</f>
        <v>2</v>
      </c>
      <c r="E166" s="64"/>
      <c r="F166" s="13">
        <f t="array" ref="F166">IFERROR(INDEX($B$1:$B$1109, SMALL(IF($D$1:$D$1109=$E$3,ROW($D$1:$D$1109)),ROW()-2),1),"")</f>
        <v>5.4</v>
      </c>
      <c r="G166" s="13">
        <f t="array" ref="G166">IFERROR(INDEX($C$1:$C$1109, SMALL(IF($D$1:$D$1109=$E$3,ROW($D$1:$D$1109)),ROW()-2),1),"")</f>
        <v>24.793900000000001</v>
      </c>
      <c r="H166" s="140">
        <f t="array" ref="H166">IFERROR(INDEX($B$1:$B$1109, SMALL(IF($D$1:$D$1109=$E$4,ROW($D$1:$D$1109)),ROW()-2),1),"")</f>
        <v>4.5999999999999996</v>
      </c>
      <c r="I166" s="140">
        <f t="array" ref="I166">IFERROR(INDEX($C$1:$C$1109, SMALL(IF($D$1:$D$1109=$E$4,ROW($D$1:$D$1109)),ROW()-2),1),"")</f>
        <v>31.9</v>
      </c>
      <c r="J166" s="10">
        <f t="array" ref="J166">IFERROR(INDEX($B$1:$B$1109, SMALL(IF($D$1:$D$1109=$E$5,ROW($D$1:$D$1109)),ROW()-2),1),"")</f>
        <v>5.5</v>
      </c>
      <c r="K166" s="10">
        <f t="array" ref="K166">IFERROR(INDEX($C$1:$C$1109, SMALL(IF($D$1:$D$1109=$E$5,ROW($D$1:$D$1109)),ROW()-2),1),"")</f>
        <v>29.3</v>
      </c>
      <c r="L166" s="62"/>
      <c r="R166" s="13">
        <v>5.4</v>
      </c>
      <c r="S166" s="13">
        <v>24.793900000000001</v>
      </c>
      <c r="T166" s="140">
        <v>4.5999999999999996</v>
      </c>
      <c r="U166" s="140">
        <v>31.9</v>
      </c>
      <c r="V166" s="10">
        <v>5.5</v>
      </c>
      <c r="W166" s="10">
        <v>29.3</v>
      </c>
    </row>
    <row r="167" spans="1:23" ht="15.75">
      <c r="A167" s="64">
        <f t="shared" ca="1" si="2"/>
        <v>0.95681055521613811</v>
      </c>
      <c r="B167" s="74">
        <v>3</v>
      </c>
      <c r="C167" s="71">
        <v>35.267800000000001</v>
      </c>
      <c r="D167" s="132">
        <f t="array" ref="D167">MOD(ROW(), 3) + 1</f>
        <v>3</v>
      </c>
      <c r="E167" s="64"/>
      <c r="F167" s="13">
        <f t="array" ref="F167">IFERROR(INDEX($B$1:$B$1109, SMALL(IF($D$1:$D$1109=$E$3,ROW($D$1:$D$1109)),ROW()-2),1),"")</f>
        <v>4.2</v>
      </c>
      <c r="G167" s="13">
        <f t="array" ref="G167">IFERROR(INDEX($C$1:$C$1109, SMALL(IF($D$1:$D$1109=$E$3,ROW($D$1:$D$1109)),ROW()-2),1),"")</f>
        <v>25.045100000000001</v>
      </c>
      <c r="H167" s="140">
        <f t="array" ref="H167">IFERROR(INDEX($B$1:$B$1109, SMALL(IF($D$1:$D$1109=$E$4,ROW($D$1:$D$1109)),ROW()-2),1),"")</f>
        <v>2.4</v>
      </c>
      <c r="I167" s="140">
        <f t="array" ref="I167">IFERROR(INDEX($C$1:$C$1109, SMALL(IF($D$1:$D$1109=$E$4,ROW($D$1:$D$1109)),ROW()-2),1),"")</f>
        <v>46.9</v>
      </c>
      <c r="J167" s="10">
        <f t="array" ref="J167">IFERROR(INDEX($B$1:$B$1109, SMALL(IF($D$1:$D$1109=$E$5,ROW($D$1:$D$1109)),ROW()-2),1),"")</f>
        <v>3</v>
      </c>
      <c r="K167" s="10">
        <f t="array" ref="K167">IFERROR(INDEX($C$1:$C$1109, SMALL(IF($D$1:$D$1109=$E$5,ROW($D$1:$D$1109)),ROW()-2),1),"")</f>
        <v>37.9</v>
      </c>
      <c r="L167" s="62"/>
      <c r="R167" s="13">
        <v>4.2</v>
      </c>
      <c r="S167" s="13">
        <v>25.045100000000001</v>
      </c>
      <c r="T167" s="140">
        <v>2.4</v>
      </c>
      <c r="U167" s="140">
        <v>46.9</v>
      </c>
      <c r="V167" s="10">
        <v>3</v>
      </c>
      <c r="W167" s="10">
        <v>37.9</v>
      </c>
    </row>
    <row r="168" spans="1:23" ht="15.75">
      <c r="A168" s="64">
        <f t="shared" ca="1" si="2"/>
        <v>0.92568081722533091</v>
      </c>
      <c r="B168" s="74">
        <v>4</v>
      </c>
      <c r="C168" s="71">
        <v>30</v>
      </c>
      <c r="D168" s="132">
        <f t="array" ref="D168">MOD(ROW(), 3) + 1</f>
        <v>1</v>
      </c>
      <c r="E168" s="64"/>
      <c r="F168" s="13">
        <f t="array" ref="F168">IFERROR(INDEX($B$1:$B$1109, SMALL(IF($D$1:$D$1109=$E$3,ROW($D$1:$D$1109)),ROW()-2),1),"")</f>
        <v>3</v>
      </c>
      <c r="G168" s="13">
        <f t="array" ref="G168">IFERROR(INDEX($C$1:$C$1109, SMALL(IF($D$1:$D$1109=$E$3,ROW($D$1:$D$1109)),ROW()-2),1),"")</f>
        <v>34</v>
      </c>
      <c r="H168" s="140">
        <f t="array" ref="H168">IFERROR(INDEX($B$1:$B$1109, SMALL(IF($D$1:$D$1109=$E$4,ROW($D$1:$D$1109)),ROW()-2),1),"")</f>
        <v>2.5</v>
      </c>
      <c r="I168" s="140">
        <f t="array" ref="I168">IFERROR(INDEX($C$1:$C$1109, SMALL(IF($D$1:$D$1109=$E$4,ROW($D$1:$D$1109)),ROW()-2),1),"")</f>
        <v>40.081600000000002</v>
      </c>
      <c r="J168" s="10">
        <f t="array" ref="J168">IFERROR(INDEX($B$1:$B$1109, SMALL(IF($D$1:$D$1109=$E$5,ROW($D$1:$D$1109)),ROW()-2),1),"")</f>
        <v>3.6</v>
      </c>
      <c r="K168" s="10">
        <f t="array" ref="K168">IFERROR(INDEX($C$1:$C$1109, SMALL(IF($D$1:$D$1109=$E$5,ROW($D$1:$D$1109)),ROW()-2),1),"")</f>
        <v>26.1066</v>
      </c>
      <c r="L168" s="62"/>
      <c r="R168" s="13">
        <v>3</v>
      </c>
      <c r="S168" s="13">
        <v>34</v>
      </c>
      <c r="T168" s="140">
        <v>2.5</v>
      </c>
      <c r="U168" s="140">
        <v>40.081600000000002</v>
      </c>
      <c r="V168" s="10">
        <v>3.6</v>
      </c>
      <c r="W168" s="10">
        <v>26.1066</v>
      </c>
    </row>
    <row r="169" spans="1:23" ht="15.75">
      <c r="A169" s="64">
        <f t="shared" ca="1" si="2"/>
        <v>0.13822387530116786</v>
      </c>
      <c r="B169" s="74">
        <v>4.4000000000000004</v>
      </c>
      <c r="C169" s="71">
        <v>24.9</v>
      </c>
      <c r="D169" s="132">
        <f t="array" ref="D169">MOD(ROW(), 3) + 1</f>
        <v>2</v>
      </c>
      <c r="E169" s="64"/>
      <c r="F169" s="13">
        <f t="array" ref="F169">IFERROR(INDEX($B$1:$B$1109, SMALL(IF($D$1:$D$1109=$E$3,ROW($D$1:$D$1109)),ROW()-2),1),"")</f>
        <v>4.2</v>
      </c>
      <c r="G169" s="13">
        <f t="array" ref="G169">IFERROR(INDEX($C$1:$C$1109, SMALL(IF($D$1:$D$1109=$E$3,ROW($D$1:$D$1109)),ROW()-2),1),"")</f>
        <v>31.5002</v>
      </c>
      <c r="H169" s="140">
        <f t="array" ref="H169">IFERROR(INDEX($B$1:$B$1109, SMALL(IF($D$1:$D$1109=$E$4,ROW($D$1:$D$1109)),ROW()-2),1),"")</f>
        <v>3.7</v>
      </c>
      <c r="I169" s="140">
        <f t="array" ref="I169">IFERROR(INDEX($C$1:$C$1109, SMALL(IF($D$1:$D$1109=$E$4,ROW($D$1:$D$1109)),ROW()-2),1),"")</f>
        <v>37.064999999999998</v>
      </c>
      <c r="J169" s="10">
        <f t="array" ref="J169">IFERROR(INDEX($B$1:$B$1109, SMALL(IF($D$1:$D$1109=$E$5,ROW($D$1:$D$1109)),ROW()-2),1),"")</f>
        <v>2</v>
      </c>
      <c r="K169" s="10">
        <f t="array" ref="K169">IFERROR(INDEX($C$1:$C$1109, SMALL(IF($D$1:$D$1109=$E$5,ROW($D$1:$D$1109)),ROW()-2),1),"")</f>
        <v>37.5</v>
      </c>
      <c r="L169" s="62"/>
      <c r="R169" s="13">
        <v>4.2</v>
      </c>
      <c r="S169" s="13">
        <v>31.5002</v>
      </c>
      <c r="T169" s="140">
        <v>3.7</v>
      </c>
      <c r="U169" s="140">
        <v>37.064999999999998</v>
      </c>
      <c r="V169" s="10">
        <v>2</v>
      </c>
      <c r="W169" s="10">
        <v>37.5</v>
      </c>
    </row>
    <row r="170" spans="1:23" ht="15.75">
      <c r="A170" s="64">
        <f t="shared" ca="1" si="2"/>
        <v>1.151323755248379E-2</v>
      </c>
      <c r="B170" s="74">
        <v>2.5</v>
      </c>
      <c r="C170" s="71">
        <v>40.4</v>
      </c>
      <c r="D170" s="132">
        <f t="array" ref="D170">MOD(ROW(), 3) + 1</f>
        <v>3</v>
      </c>
      <c r="E170" s="64"/>
      <c r="F170" s="13">
        <f t="array" ref="F170">IFERROR(INDEX($B$1:$B$1109, SMALL(IF($D$1:$D$1109=$E$3,ROW($D$1:$D$1109)),ROW()-2),1),"")</f>
        <v>4.2</v>
      </c>
      <c r="G170" s="13">
        <f t="array" ref="G170">IFERROR(INDEX($C$1:$C$1109, SMALL(IF($D$1:$D$1109=$E$3,ROW($D$1:$D$1109)),ROW()-2),1),"")</f>
        <v>29.3</v>
      </c>
      <c r="H170" s="140">
        <f t="array" ref="H170">IFERROR(INDEX($B$1:$B$1109, SMALL(IF($D$1:$D$1109=$E$4,ROW($D$1:$D$1109)),ROW()-2),1),"")</f>
        <v>5.6</v>
      </c>
      <c r="I170" s="140">
        <f t="array" ref="I170">IFERROR(INDEX($C$1:$C$1109, SMALL(IF($D$1:$D$1109=$E$4,ROW($D$1:$D$1109)),ROW()-2),1),"")</f>
        <v>23.061</v>
      </c>
      <c r="J170" s="10">
        <f t="array" ref="J170">IFERROR(INDEX($B$1:$B$1109, SMALL(IF($D$1:$D$1109=$E$5,ROW($D$1:$D$1109)),ROW()-2),1),"")</f>
        <v>6.7</v>
      </c>
      <c r="K170" s="10">
        <f t="array" ref="K170">IFERROR(INDEX($C$1:$C$1109, SMALL(IF($D$1:$D$1109=$E$5,ROW($D$1:$D$1109)),ROW()-2),1),"")</f>
        <v>24.2</v>
      </c>
      <c r="L170" s="62"/>
      <c r="R170" s="13">
        <v>4.2</v>
      </c>
      <c r="S170" s="13">
        <v>29.3</v>
      </c>
      <c r="T170" s="140">
        <v>5.6</v>
      </c>
      <c r="U170" s="140">
        <v>23.061</v>
      </c>
      <c r="V170" s="10">
        <v>6.7</v>
      </c>
      <c r="W170" s="10">
        <v>24.2</v>
      </c>
    </row>
    <row r="171" spans="1:23" ht="15.75">
      <c r="A171" s="64">
        <f t="shared" ca="1" si="2"/>
        <v>0.50114137545429693</v>
      </c>
      <c r="B171" s="74">
        <v>3</v>
      </c>
      <c r="C171" s="71">
        <v>32.1</v>
      </c>
      <c r="D171" s="132">
        <f t="array" ref="D171">MOD(ROW(), 3) + 1</f>
        <v>1</v>
      </c>
      <c r="E171" s="64"/>
      <c r="F171" s="13">
        <f t="array" ref="F171">IFERROR(INDEX($B$1:$B$1109, SMALL(IF($D$1:$D$1109=$E$3,ROW($D$1:$D$1109)),ROW()-2),1),"")</f>
        <v>4.8</v>
      </c>
      <c r="G171" s="13">
        <f t="array" ref="G171">IFERROR(INDEX($C$1:$C$1109, SMALL(IF($D$1:$D$1109=$E$3,ROW($D$1:$D$1109)),ROW()-2),1),"")</f>
        <v>32.026299999999999</v>
      </c>
      <c r="H171" s="140">
        <f t="array" ref="H171">IFERROR(INDEX($B$1:$B$1109, SMALL(IF($D$1:$D$1109=$E$4,ROW($D$1:$D$1109)),ROW()-2),1),"")</f>
        <v>4</v>
      </c>
      <c r="I171" s="140">
        <f t="array" ref="I171">IFERROR(INDEX($C$1:$C$1109, SMALL(IF($D$1:$D$1109=$E$4,ROW($D$1:$D$1109)),ROW()-2),1),"")</f>
        <v>29.2</v>
      </c>
      <c r="J171" s="10">
        <f t="array" ref="J171">IFERROR(INDEX($B$1:$B$1109, SMALL(IF($D$1:$D$1109=$E$5,ROW($D$1:$D$1109)),ROW()-2),1),"")</f>
        <v>3.5</v>
      </c>
      <c r="K171" s="10">
        <f t="array" ref="K171">IFERROR(INDEX($C$1:$C$1109, SMALL(IF($D$1:$D$1109=$E$5,ROW($D$1:$D$1109)),ROW()-2),1),"")</f>
        <v>33</v>
      </c>
      <c r="L171" s="62"/>
      <c r="R171" s="13">
        <v>4.8</v>
      </c>
      <c r="S171" s="13">
        <v>32.026299999999999</v>
      </c>
      <c r="T171" s="140">
        <v>4</v>
      </c>
      <c r="U171" s="140">
        <v>29.2</v>
      </c>
      <c r="V171" s="10">
        <v>3.5</v>
      </c>
      <c r="W171" s="10">
        <v>33</v>
      </c>
    </row>
    <row r="172" spans="1:23" ht="15.75">
      <c r="A172" s="64">
        <f t="shared" ca="1" si="2"/>
        <v>0.97201323235599435</v>
      </c>
      <c r="B172" s="74">
        <v>3.7</v>
      </c>
      <c r="C172" s="71">
        <v>25.1</v>
      </c>
      <c r="D172" s="132">
        <f t="array" ref="D172">MOD(ROW(), 3) + 1</f>
        <v>2</v>
      </c>
      <c r="E172" s="64"/>
      <c r="F172" s="13">
        <f t="array" ref="F172">IFERROR(INDEX($B$1:$B$1109, SMALL(IF($D$1:$D$1109=$E$3,ROW($D$1:$D$1109)),ROW()-2),1),"")</f>
        <v>3</v>
      </c>
      <c r="G172" s="13">
        <f t="array" ref="G172">IFERROR(INDEX($C$1:$C$1109, SMALL(IF($D$1:$D$1109=$E$3,ROW($D$1:$D$1109)),ROW()-2),1),"")</f>
        <v>36.798000000000002</v>
      </c>
      <c r="H172" s="140">
        <f t="array" ref="H172">IFERROR(INDEX($B$1:$B$1109, SMALL(IF($D$1:$D$1109=$E$4,ROW($D$1:$D$1109)),ROW()-2),1),"")</f>
        <v>3.7</v>
      </c>
      <c r="I172" s="140">
        <f t="array" ref="I172">IFERROR(INDEX($C$1:$C$1109, SMALL(IF($D$1:$D$1109=$E$4,ROW($D$1:$D$1109)),ROW()-2),1),"")</f>
        <v>28.8</v>
      </c>
      <c r="J172" s="10">
        <f t="array" ref="J172">IFERROR(INDEX($B$1:$B$1109, SMALL(IF($D$1:$D$1109=$E$5,ROW($D$1:$D$1109)),ROW()-2),1),"")</f>
        <v>3.6</v>
      </c>
      <c r="K172" s="10">
        <f t="array" ref="K172">IFERROR(INDEX($C$1:$C$1109, SMALL(IF($D$1:$D$1109=$E$5,ROW($D$1:$D$1109)),ROW()-2),1),"")</f>
        <v>37.200000000000003</v>
      </c>
      <c r="L172" s="62"/>
      <c r="R172" s="13">
        <v>3</v>
      </c>
      <c r="S172" s="13">
        <v>36.798000000000002</v>
      </c>
      <c r="T172" s="140">
        <v>3.7</v>
      </c>
      <c r="U172" s="140">
        <v>28.8</v>
      </c>
      <c r="V172" s="10">
        <v>3.6</v>
      </c>
      <c r="W172" s="10">
        <v>37.200000000000003</v>
      </c>
    </row>
    <row r="173" spans="1:23" ht="15.75">
      <c r="A173" s="64">
        <f t="shared" ca="1" si="2"/>
        <v>0.44170524270329792</v>
      </c>
      <c r="B173" s="74">
        <v>5.7</v>
      </c>
      <c r="C173" s="71">
        <v>25.617899999999999</v>
      </c>
      <c r="D173" s="132">
        <f t="array" ref="D173">MOD(ROW(), 3) + 1</f>
        <v>3</v>
      </c>
      <c r="E173" s="64"/>
      <c r="F173" s="13">
        <f t="array" ref="F173">IFERROR(INDEX($B$1:$B$1109, SMALL(IF($D$1:$D$1109=$E$3,ROW($D$1:$D$1109)),ROW()-2),1),"")</f>
        <v>2</v>
      </c>
      <c r="G173" s="13">
        <f t="array" ref="G173">IFERROR(INDEX($C$1:$C$1109, SMALL(IF($D$1:$D$1109=$E$3,ROW($D$1:$D$1109)),ROW()-2),1),"")</f>
        <v>42</v>
      </c>
      <c r="H173" s="140">
        <f t="array" ref="H173">IFERROR(INDEX($B$1:$B$1109, SMALL(IF($D$1:$D$1109=$E$4,ROW($D$1:$D$1109)),ROW()-2),1),"")</f>
        <v>2.4</v>
      </c>
      <c r="I173" s="140">
        <f t="array" ref="I173">IFERROR(INDEX($C$1:$C$1109, SMALL(IF($D$1:$D$1109=$E$4,ROW($D$1:$D$1109)),ROW()-2),1),"")</f>
        <v>39.299999999999997</v>
      </c>
      <c r="J173" s="10">
        <f t="array" ref="J173">IFERROR(INDEX($B$1:$B$1109, SMALL(IF($D$1:$D$1109=$E$5,ROW($D$1:$D$1109)),ROW()-2),1),"")</f>
        <v>2</v>
      </c>
      <c r="K173" s="10">
        <f t="array" ref="K173">IFERROR(INDEX($C$1:$C$1109, SMALL(IF($D$1:$D$1109=$E$5,ROW($D$1:$D$1109)),ROW()-2),1),"")</f>
        <v>38.462699999999998</v>
      </c>
      <c r="L173" s="62"/>
      <c r="R173" s="13">
        <v>2</v>
      </c>
      <c r="S173" s="13">
        <v>42</v>
      </c>
      <c r="T173" s="140">
        <v>2.4</v>
      </c>
      <c r="U173" s="140">
        <v>39.299999999999997</v>
      </c>
      <c r="V173" s="10">
        <v>2</v>
      </c>
      <c r="W173" s="10">
        <v>38.462699999999998</v>
      </c>
    </row>
    <row r="174" spans="1:23" ht="15.75">
      <c r="A174" s="64">
        <f t="shared" ca="1" si="2"/>
        <v>0.40931017289618876</v>
      </c>
      <c r="B174" s="74">
        <v>4.2</v>
      </c>
      <c r="C174" s="71">
        <v>26.881699999999999</v>
      </c>
      <c r="D174" s="132">
        <f t="array" ref="D174">MOD(ROW(), 3) + 1</f>
        <v>1</v>
      </c>
      <c r="E174" s="64"/>
      <c r="F174" s="13">
        <f t="array" ref="F174">IFERROR(INDEX($B$1:$B$1109, SMALL(IF($D$1:$D$1109=$E$3,ROW($D$1:$D$1109)),ROW()-2),1),"")</f>
        <v>1.6</v>
      </c>
      <c r="G174" s="13">
        <f t="array" ref="G174">IFERROR(INDEX($C$1:$C$1109, SMALL(IF($D$1:$D$1109=$E$3,ROW($D$1:$D$1109)),ROW()-2),1),"")</f>
        <v>51.655500000000004</v>
      </c>
      <c r="H174" s="140">
        <f t="array" ref="H174">IFERROR(INDEX($B$1:$B$1109, SMALL(IF($D$1:$D$1109=$E$4,ROW($D$1:$D$1109)),ROW()-2),1),"")</f>
        <v>2.9</v>
      </c>
      <c r="I174" s="140">
        <f t="array" ref="I174">IFERROR(INDEX($C$1:$C$1109, SMALL(IF($D$1:$D$1109=$E$4,ROW($D$1:$D$1109)),ROW()-2),1),"")</f>
        <v>34.1</v>
      </c>
      <c r="J174" s="10">
        <f t="array" ref="J174">IFERROR(INDEX($B$1:$B$1109, SMALL(IF($D$1:$D$1109=$E$5,ROW($D$1:$D$1109)),ROW()-2),1),"")</f>
        <v>3</v>
      </c>
      <c r="K174" s="10">
        <f t="array" ref="K174">IFERROR(INDEX($C$1:$C$1109, SMALL(IF($D$1:$D$1109=$E$5,ROW($D$1:$D$1109)),ROW()-2),1),"")</f>
        <v>34.9</v>
      </c>
      <c r="L174" s="62"/>
      <c r="R174" s="13">
        <v>1.6</v>
      </c>
      <c r="S174" s="13">
        <v>51.655500000000004</v>
      </c>
      <c r="T174" s="140">
        <v>2.9</v>
      </c>
      <c r="U174" s="140">
        <v>34.1</v>
      </c>
      <c r="V174" s="10">
        <v>3</v>
      </c>
      <c r="W174" s="10">
        <v>34.9</v>
      </c>
    </row>
    <row r="175" spans="1:23" ht="15.75">
      <c r="A175" s="64">
        <f t="shared" ca="1" si="2"/>
        <v>0.63497355523415311</v>
      </c>
      <c r="B175" s="74">
        <v>3.6</v>
      </c>
      <c r="C175" s="71">
        <v>35.6</v>
      </c>
      <c r="D175" s="132">
        <f t="array" ref="D175">MOD(ROW(), 3) + 1</f>
        <v>2</v>
      </c>
      <c r="E175" s="64"/>
      <c r="F175" s="13">
        <f t="array" ref="F175">IFERROR(INDEX($B$1:$B$1109, SMALL(IF($D$1:$D$1109=$E$3,ROW($D$1:$D$1109)),ROW()-2),1),"")</f>
        <v>3</v>
      </c>
      <c r="G175" s="13">
        <f t="array" ref="G175">IFERROR(INDEX($C$1:$C$1109, SMALL(IF($D$1:$D$1109=$E$3,ROW($D$1:$D$1109)),ROW()-2),1),"")</f>
        <v>36.154800000000002</v>
      </c>
      <c r="H175" s="140">
        <f t="array" ref="H175">IFERROR(INDEX($B$1:$B$1109, SMALL(IF($D$1:$D$1109=$E$4,ROW($D$1:$D$1109)),ROW()-2),1),"")</f>
        <v>6.2</v>
      </c>
      <c r="I175" s="140">
        <f t="array" ref="I175">IFERROR(INDEX($C$1:$C$1109, SMALL(IF($D$1:$D$1109=$E$4,ROW($D$1:$D$1109)),ROW()-2),1),"")</f>
        <v>27.1</v>
      </c>
      <c r="J175" s="10">
        <f t="array" ref="J175">IFERROR(INDEX($B$1:$B$1109, SMALL(IF($D$1:$D$1109=$E$5,ROW($D$1:$D$1109)),ROW()-2),1),"")</f>
        <v>2.2000000000000002</v>
      </c>
      <c r="K175" s="10">
        <f t="array" ref="K175">IFERROR(INDEX($C$1:$C$1109, SMALL(IF($D$1:$D$1109=$E$5,ROW($D$1:$D$1109)),ROW()-2),1),"")</f>
        <v>51.9</v>
      </c>
      <c r="L175" s="62"/>
      <c r="R175" s="13">
        <v>3</v>
      </c>
      <c r="S175" s="13">
        <v>36.154800000000002</v>
      </c>
      <c r="T175" s="140">
        <v>6.2</v>
      </c>
      <c r="U175" s="140">
        <v>27.1</v>
      </c>
      <c r="V175" s="10">
        <v>2.2000000000000002</v>
      </c>
      <c r="W175" s="10">
        <v>51.9</v>
      </c>
    </row>
    <row r="176" spans="1:23" ht="15.75">
      <c r="A176" s="64">
        <f t="shared" ca="1" si="2"/>
        <v>0.62335328943096424</v>
      </c>
      <c r="B176" s="74">
        <v>3.6</v>
      </c>
      <c r="C176" s="71">
        <v>40.4</v>
      </c>
      <c r="D176" s="132">
        <f t="array" ref="D176">MOD(ROW(), 3) + 1</f>
        <v>3</v>
      </c>
      <c r="E176" s="64"/>
      <c r="F176" s="13">
        <f t="array" ref="F176">IFERROR(INDEX($B$1:$B$1109, SMALL(IF($D$1:$D$1109=$E$3,ROW($D$1:$D$1109)),ROW()-2),1),"")</f>
        <v>2.4</v>
      </c>
      <c r="G176" s="13">
        <f t="array" ref="G176">IFERROR(INDEX($C$1:$C$1109, SMALL(IF($D$1:$D$1109=$E$3,ROW($D$1:$D$1109)),ROW()-2),1),"")</f>
        <v>33.6</v>
      </c>
      <c r="H176" s="140">
        <f t="array" ref="H176">IFERROR(INDEX($B$1:$B$1109, SMALL(IF($D$1:$D$1109=$E$4,ROW($D$1:$D$1109)),ROW()-2),1),"")</f>
        <v>6.8</v>
      </c>
      <c r="I176" s="140">
        <f t="array" ref="I176">IFERROR(INDEX($C$1:$C$1109, SMALL(IF($D$1:$D$1109=$E$4,ROW($D$1:$D$1109)),ROW()-2),1),"")</f>
        <v>21.006</v>
      </c>
      <c r="J176" s="10">
        <f t="array" ref="J176">IFERROR(INDEX($B$1:$B$1109, SMALL(IF($D$1:$D$1109=$E$5,ROW($D$1:$D$1109)),ROW()-2),1),"")</f>
        <v>3.5</v>
      </c>
      <c r="K176" s="10">
        <f t="array" ref="K176">IFERROR(INDEX($C$1:$C$1109, SMALL(IF($D$1:$D$1109=$E$5,ROW($D$1:$D$1109)),ROW()-2),1),"")</f>
        <v>38.299999999999997</v>
      </c>
      <c r="L176" s="62"/>
      <c r="R176" s="13">
        <v>2.4</v>
      </c>
      <c r="S176" s="13">
        <v>33.6</v>
      </c>
      <c r="T176" s="140">
        <v>6.8</v>
      </c>
      <c r="U176" s="140">
        <v>21.006</v>
      </c>
      <c r="V176" s="10">
        <v>3.5</v>
      </c>
      <c r="W176" s="10">
        <v>38.299999999999997</v>
      </c>
    </row>
    <row r="177" spans="1:23" ht="15.75">
      <c r="A177" s="64">
        <f t="shared" ca="1" si="2"/>
        <v>0.42945554750624171</v>
      </c>
      <c r="B177" s="74">
        <v>4.8</v>
      </c>
      <c r="C177" s="71">
        <v>26.228300000000001</v>
      </c>
      <c r="D177" s="132">
        <f t="array" ref="D177">MOD(ROW(), 3) + 1</f>
        <v>1</v>
      </c>
      <c r="E177" s="64"/>
      <c r="F177" s="13">
        <f t="array" ref="F177">IFERROR(INDEX($B$1:$B$1109, SMALL(IF($D$1:$D$1109=$E$3,ROW($D$1:$D$1109)),ROW()-2),1),"")</f>
        <v>6</v>
      </c>
      <c r="G177" s="13">
        <f t="array" ref="G177">IFERROR(INDEX($C$1:$C$1109, SMALL(IF($D$1:$D$1109=$E$3,ROW($D$1:$D$1109)),ROW()-2),1),"")</f>
        <v>23.1</v>
      </c>
      <c r="H177" s="140">
        <f t="array" ref="H177">IFERROR(INDEX($B$1:$B$1109, SMALL(IF($D$1:$D$1109=$E$4,ROW($D$1:$D$1109)),ROW()-2),1),"")</f>
        <v>2.4</v>
      </c>
      <c r="I177" s="140">
        <f t="array" ref="I177">IFERROR(INDEX($C$1:$C$1109, SMALL(IF($D$1:$D$1109=$E$4,ROW($D$1:$D$1109)),ROW()-2),1),"")</f>
        <v>39.200000000000003</v>
      </c>
      <c r="J177" s="10">
        <f t="array" ref="J177">IFERROR(INDEX($B$1:$B$1109, SMALL(IF($D$1:$D$1109=$E$5,ROW($D$1:$D$1109)),ROW()-2),1),"")</f>
        <v>2.7</v>
      </c>
      <c r="K177" s="10">
        <f t="array" ref="K177">IFERROR(INDEX($C$1:$C$1109, SMALL(IF($D$1:$D$1109=$E$5,ROW($D$1:$D$1109)),ROW()-2),1),"")</f>
        <v>38.299999999999997</v>
      </c>
      <c r="L177" s="62"/>
      <c r="R177" s="13">
        <v>6</v>
      </c>
      <c r="S177" s="13">
        <v>23.1</v>
      </c>
      <c r="T177" s="140">
        <v>2.4</v>
      </c>
      <c r="U177" s="140">
        <v>39.200000000000003</v>
      </c>
      <c r="V177" s="10">
        <v>2.7</v>
      </c>
      <c r="W177" s="10">
        <v>38.299999999999997</v>
      </c>
    </row>
    <row r="178" spans="1:23" ht="15.75">
      <c r="A178" s="64">
        <f t="shared" ca="1" si="2"/>
        <v>0.8701783646995167</v>
      </c>
      <c r="B178" s="74">
        <v>5</v>
      </c>
      <c r="C178" s="71">
        <v>23.618200000000002</v>
      </c>
      <c r="D178" s="132">
        <f t="array" ref="D178">MOD(ROW(), 3) + 1</f>
        <v>2</v>
      </c>
      <c r="E178" s="64"/>
      <c r="F178" s="13">
        <f t="array" ref="F178">IFERROR(INDEX($B$1:$B$1109, SMALL(IF($D$1:$D$1109=$E$3,ROW($D$1:$D$1109)),ROW()-2),1),"")</f>
        <v>2</v>
      </c>
      <c r="G178" s="13">
        <f t="array" ref="G178">IFERROR(INDEX($C$1:$C$1109, SMALL(IF($D$1:$D$1109=$E$3,ROW($D$1:$D$1109)),ROW()-2),1),"")</f>
        <v>41.315600000000003</v>
      </c>
      <c r="H178" s="140">
        <f t="array" ref="H178">IFERROR(INDEX($B$1:$B$1109, SMALL(IF($D$1:$D$1109=$E$4,ROW($D$1:$D$1109)),ROW()-2),1),"")</f>
        <v>6.2</v>
      </c>
      <c r="I178" s="140">
        <f t="array" ref="I178">IFERROR(INDEX($C$1:$C$1109, SMALL(IF($D$1:$D$1109=$E$4,ROW($D$1:$D$1109)),ROW()-2),1),"")</f>
        <v>26.1</v>
      </c>
      <c r="J178" s="10">
        <f t="array" ref="J178">IFERROR(INDEX($B$1:$B$1109, SMALL(IF($D$1:$D$1109=$E$5,ROW($D$1:$D$1109)),ROW()-2),1),"")</f>
        <v>1.5</v>
      </c>
      <c r="K178" s="10">
        <f t="array" ref="K178">IFERROR(INDEX($C$1:$C$1109, SMALL(IF($D$1:$D$1109=$E$5,ROW($D$1:$D$1109)),ROW()-2),1),"")</f>
        <v>46.2622</v>
      </c>
      <c r="L178" s="62"/>
      <c r="R178" s="13">
        <v>2</v>
      </c>
      <c r="S178" s="13">
        <v>41.315600000000003</v>
      </c>
      <c r="T178" s="140">
        <v>6.2</v>
      </c>
      <c r="U178" s="140">
        <v>26.1</v>
      </c>
      <c r="V178" s="10">
        <v>1.5</v>
      </c>
      <c r="W178" s="10">
        <v>46.2622</v>
      </c>
    </row>
    <row r="179" spans="1:23" ht="15.75">
      <c r="A179" s="64">
        <f t="shared" ca="1" si="2"/>
        <v>0.17103370036719923</v>
      </c>
      <c r="B179" s="74">
        <v>3.5</v>
      </c>
      <c r="C179" s="71">
        <v>37.349899999999998</v>
      </c>
      <c r="D179" s="132">
        <f t="array" ref="D179">MOD(ROW(), 3) + 1</f>
        <v>3</v>
      </c>
      <c r="E179" s="64"/>
      <c r="F179" s="13">
        <f t="array" ref="F179">IFERROR(INDEX($B$1:$B$1109, SMALL(IF($D$1:$D$1109=$E$3,ROW($D$1:$D$1109)),ROW()-2),1),"")</f>
        <v>4.2</v>
      </c>
      <c r="G179" s="13">
        <f t="array" ref="G179">IFERROR(INDEX($C$1:$C$1109, SMALL(IF($D$1:$D$1109=$E$3,ROW($D$1:$D$1109)),ROW()-2),1),"")</f>
        <v>34.485500000000002</v>
      </c>
      <c r="H179" s="140">
        <f t="array" ref="H179">IFERROR(INDEX($B$1:$B$1109, SMALL(IF($D$1:$D$1109=$E$4,ROW($D$1:$D$1109)),ROW()-2),1),"")</f>
        <v>3.7</v>
      </c>
      <c r="I179" s="140">
        <f t="array" ref="I179">IFERROR(INDEX($C$1:$C$1109, SMALL(IF($D$1:$D$1109=$E$4,ROW($D$1:$D$1109)),ROW()-2),1),"")</f>
        <v>28.5</v>
      </c>
      <c r="J179" s="10">
        <f t="array" ref="J179">IFERROR(INDEX($B$1:$B$1109, SMALL(IF($D$1:$D$1109=$E$5,ROW($D$1:$D$1109)),ROW()-2),1),"")</f>
        <v>5.7</v>
      </c>
      <c r="K179" s="10">
        <f t="array" ref="K179">IFERROR(INDEX($C$1:$C$1109, SMALL(IF($D$1:$D$1109=$E$5,ROW($D$1:$D$1109)),ROW()-2),1),"")</f>
        <v>24.220600000000001</v>
      </c>
      <c r="L179" s="62"/>
      <c r="R179" s="13">
        <v>4.2</v>
      </c>
      <c r="S179" s="13">
        <v>34.485500000000002</v>
      </c>
      <c r="T179" s="140">
        <v>3.7</v>
      </c>
      <c r="U179" s="140">
        <v>28.5</v>
      </c>
      <c r="V179" s="10">
        <v>5.7</v>
      </c>
      <c r="W179" s="10">
        <v>24.220600000000001</v>
      </c>
    </row>
    <row r="180" spans="1:23" ht="15.75">
      <c r="A180" s="64">
        <f t="shared" ca="1" si="2"/>
        <v>0.98528168256602489</v>
      </c>
      <c r="B180" s="74">
        <v>3</v>
      </c>
      <c r="C180" s="71">
        <v>38.7896</v>
      </c>
      <c r="D180" s="132">
        <f t="array" ref="D180">MOD(ROW(), 3) + 1</f>
        <v>1</v>
      </c>
      <c r="E180" s="64"/>
      <c r="F180" s="13">
        <f t="array" ref="F180">IFERROR(INDEX($B$1:$B$1109, SMALL(IF($D$1:$D$1109=$E$3,ROW($D$1:$D$1109)),ROW()-2),1),"")</f>
        <v>5.7</v>
      </c>
      <c r="G180" s="13">
        <f t="array" ref="G180">IFERROR(INDEX($C$1:$C$1109, SMALL(IF($D$1:$D$1109=$E$3,ROW($D$1:$D$1109)),ROW()-2),1),"")</f>
        <v>25.555099999999999</v>
      </c>
      <c r="H180" s="140">
        <f t="array" ref="H180">IFERROR(INDEX($B$1:$B$1109, SMALL(IF($D$1:$D$1109=$E$4,ROW($D$1:$D$1109)),ROW()-2),1),"")</f>
        <v>3.2</v>
      </c>
      <c r="I180" s="140">
        <f t="array" ref="I180">IFERROR(INDEX($C$1:$C$1109, SMALL(IF($D$1:$D$1109=$E$4,ROW($D$1:$D$1109)),ROW()-2),1),"")</f>
        <v>33.762799999999999</v>
      </c>
      <c r="J180" s="10">
        <f t="array" ref="J180">IFERROR(INDEX($B$1:$B$1109, SMALL(IF($D$1:$D$1109=$E$5,ROW($D$1:$D$1109)),ROW()-2),1),"")</f>
        <v>4.5999999999999996</v>
      </c>
      <c r="K180" s="10">
        <f t="array" ref="K180">IFERROR(INDEX($C$1:$C$1109, SMALL(IF($D$1:$D$1109=$E$5,ROW($D$1:$D$1109)),ROW()-2),1),"")</f>
        <v>28.3</v>
      </c>
      <c r="L180" s="62"/>
      <c r="R180" s="13">
        <v>5.7</v>
      </c>
      <c r="S180" s="13">
        <v>25.555099999999999</v>
      </c>
      <c r="T180" s="140">
        <v>3.2</v>
      </c>
      <c r="U180" s="140">
        <v>33.762799999999999</v>
      </c>
      <c r="V180" s="10">
        <v>4.5999999999999996</v>
      </c>
      <c r="W180" s="10">
        <v>28.3</v>
      </c>
    </row>
    <row r="181" spans="1:23" ht="15.75">
      <c r="A181" s="64">
        <f t="shared" ca="1" si="2"/>
        <v>0.61092411048716133</v>
      </c>
      <c r="B181" s="74">
        <v>4.8</v>
      </c>
      <c r="C181" s="71">
        <v>23.577999999999999</v>
      </c>
      <c r="D181" s="132">
        <f t="array" ref="D181">MOD(ROW(), 3) + 1</f>
        <v>2</v>
      </c>
      <c r="E181" s="64"/>
      <c r="F181" s="13">
        <f t="array" ref="F181">IFERROR(INDEX($B$1:$B$1109, SMALL(IF($D$1:$D$1109=$E$3,ROW($D$1:$D$1109)),ROW()-2),1),"")</f>
        <v>3.7</v>
      </c>
      <c r="G181" s="13">
        <f t="array" ref="G181">IFERROR(INDEX($C$1:$C$1109, SMALL(IF($D$1:$D$1109=$E$3,ROW($D$1:$D$1109)),ROW()-2),1),"")</f>
        <v>26.6</v>
      </c>
      <c r="H181" s="140">
        <f t="array" ref="H181">IFERROR(INDEX($B$1:$B$1109, SMALL(IF($D$1:$D$1109=$E$4,ROW($D$1:$D$1109)),ROW()-2),1),"")</f>
        <v>3.6</v>
      </c>
      <c r="I181" s="140">
        <f t="array" ref="I181">IFERROR(INDEX($C$1:$C$1109, SMALL(IF($D$1:$D$1109=$E$4,ROW($D$1:$D$1109)),ROW()-2),1),"")</f>
        <v>37.690800000000003</v>
      </c>
      <c r="J181" s="10">
        <f t="array" ref="J181">IFERROR(INDEX($B$1:$B$1109, SMALL(IF($D$1:$D$1109=$E$5,ROW($D$1:$D$1109)),ROW()-2),1),"")</f>
        <v>3.5</v>
      </c>
      <c r="K181" s="10">
        <f t="array" ref="K181">IFERROR(INDEX($C$1:$C$1109, SMALL(IF($D$1:$D$1109=$E$5,ROW($D$1:$D$1109)),ROW()-2),1),"")</f>
        <v>31.708200000000001</v>
      </c>
      <c r="L181" s="62"/>
      <c r="R181" s="13">
        <v>3.7</v>
      </c>
      <c r="S181" s="13">
        <v>26.6</v>
      </c>
      <c r="T181" s="140">
        <v>3.6</v>
      </c>
      <c r="U181" s="140">
        <v>37.690800000000003</v>
      </c>
      <c r="V181" s="10">
        <v>3.5</v>
      </c>
      <c r="W181" s="10">
        <v>31.708200000000001</v>
      </c>
    </row>
    <row r="182" spans="1:23" ht="15.75">
      <c r="A182" s="64">
        <f t="shared" ca="1" si="2"/>
        <v>0.69290293711040507</v>
      </c>
      <c r="B182" s="74">
        <v>2.5</v>
      </c>
      <c r="C182" s="71">
        <v>40.6</v>
      </c>
      <c r="D182" s="132">
        <f t="array" ref="D182">MOD(ROW(), 3) + 1</f>
        <v>3</v>
      </c>
      <c r="E182" s="64"/>
      <c r="F182" s="13">
        <f t="array" ref="F182">IFERROR(INDEX($B$1:$B$1109, SMALL(IF($D$1:$D$1109=$E$3,ROW($D$1:$D$1109)),ROW()-2),1),"")</f>
        <v>3</v>
      </c>
      <c r="G182" s="13">
        <f t="array" ref="G182">IFERROR(INDEX($C$1:$C$1109, SMALL(IF($D$1:$D$1109=$E$3,ROW($D$1:$D$1109)),ROW()-2),1),"")</f>
        <v>35.460599999999999</v>
      </c>
      <c r="H182" s="140">
        <f t="array" ref="H182">IFERROR(INDEX($B$1:$B$1109, SMALL(IF($D$1:$D$1109=$E$4,ROW($D$1:$D$1109)),ROW()-2),1),"")</f>
        <v>2.9</v>
      </c>
      <c r="I182" s="140">
        <f t="array" ref="I182">IFERROR(INDEX($C$1:$C$1109, SMALL(IF($D$1:$D$1109=$E$4,ROW($D$1:$D$1109)),ROW()-2),1),"")</f>
        <v>35.323700000000002</v>
      </c>
      <c r="J182" s="10">
        <f t="array" ref="J182">IFERROR(INDEX($B$1:$B$1109, SMALL(IF($D$1:$D$1109=$E$5,ROW($D$1:$D$1109)),ROW()-2),1),"")</f>
        <v>3.8</v>
      </c>
      <c r="K182" s="10">
        <f t="array" ref="K182">IFERROR(INDEX($C$1:$C$1109, SMALL(IF($D$1:$D$1109=$E$5,ROW($D$1:$D$1109)),ROW()-2),1),"")</f>
        <v>33.235700000000001</v>
      </c>
      <c r="L182" s="62"/>
      <c r="R182" s="13">
        <v>3</v>
      </c>
      <c r="S182" s="13">
        <v>35.460599999999999</v>
      </c>
      <c r="T182" s="140">
        <v>2.9</v>
      </c>
      <c r="U182" s="140">
        <v>35.323700000000002</v>
      </c>
      <c r="V182" s="10">
        <v>3.8</v>
      </c>
      <c r="W182" s="10">
        <v>33.235700000000001</v>
      </c>
    </row>
    <row r="183" spans="1:23" ht="15.75">
      <c r="A183" s="64">
        <f t="shared" ca="1" si="2"/>
        <v>0.65818899841829392</v>
      </c>
      <c r="B183" s="74">
        <v>3.5</v>
      </c>
      <c r="C183" s="71">
        <v>34.200000000000003</v>
      </c>
      <c r="D183" s="132">
        <f t="array" ref="D183">MOD(ROW(), 3) + 1</f>
        <v>1</v>
      </c>
      <c r="E183" s="64"/>
      <c r="F183" s="13">
        <f t="array" ref="F183">IFERROR(INDEX($B$1:$B$1109, SMALL(IF($D$1:$D$1109=$E$3,ROW($D$1:$D$1109)),ROW()-2),1),"")</f>
        <v>3</v>
      </c>
      <c r="G183" s="13">
        <f t="array" ref="G183">IFERROR(INDEX($C$1:$C$1109, SMALL(IF($D$1:$D$1109=$E$3,ROW($D$1:$D$1109)),ROW()-2),1),"")</f>
        <v>38.169600000000003</v>
      </c>
      <c r="H183" s="140">
        <f t="array" ref="H183">IFERROR(INDEX($B$1:$B$1109, SMALL(IF($D$1:$D$1109=$E$4,ROW($D$1:$D$1109)),ROW()-2),1),"")</f>
        <v>2.5</v>
      </c>
      <c r="I183" s="140">
        <f t="array" ref="I183">IFERROR(INDEX($C$1:$C$1109, SMALL(IF($D$1:$D$1109=$E$4,ROW($D$1:$D$1109)),ROW()-2),1),"")</f>
        <v>38.029899999999998</v>
      </c>
      <c r="J183" s="10">
        <f t="array" ref="J183">IFERROR(INDEX($B$1:$B$1109, SMALL(IF($D$1:$D$1109=$E$5,ROW($D$1:$D$1109)),ROW()-2),1),"")</f>
        <v>3.7</v>
      </c>
      <c r="K183" s="10">
        <f t="array" ref="K183">IFERROR(INDEX($C$1:$C$1109, SMALL(IF($D$1:$D$1109=$E$5,ROW($D$1:$D$1109)),ROW()-2),1),"")</f>
        <v>31.6</v>
      </c>
      <c r="L183" s="62"/>
      <c r="R183" s="13">
        <v>3</v>
      </c>
      <c r="S183" s="13">
        <v>38.169600000000003</v>
      </c>
      <c r="T183" s="140">
        <v>2.5</v>
      </c>
      <c r="U183" s="140">
        <v>38.029899999999998</v>
      </c>
      <c r="V183" s="10">
        <v>3.7</v>
      </c>
      <c r="W183" s="10">
        <v>31.6</v>
      </c>
    </row>
    <row r="184" spans="1:23" ht="15.75">
      <c r="A184" s="64">
        <f t="shared" ca="1" si="2"/>
        <v>0.41844064785037371</v>
      </c>
      <c r="B184" s="74">
        <v>4.5999999999999996</v>
      </c>
      <c r="C184" s="71">
        <v>29</v>
      </c>
      <c r="D184" s="132">
        <f t="array" ref="D184">MOD(ROW(), 3) + 1</f>
        <v>2</v>
      </c>
      <c r="E184" s="64"/>
      <c r="F184" s="13">
        <f t="array" ref="F184">IFERROR(INDEX($B$1:$B$1109, SMALL(IF($D$1:$D$1109=$E$3,ROW($D$1:$D$1109)),ROW()-2),1),"")</f>
        <v>3.8</v>
      </c>
      <c r="G184" s="13">
        <f t="array" ref="G184">IFERROR(INDEX($C$1:$C$1109, SMALL(IF($D$1:$D$1109=$E$3,ROW($D$1:$D$1109)),ROW()-2),1),"")</f>
        <v>34.514800000000001</v>
      </c>
      <c r="H184" s="140">
        <f t="array" ref="H184">IFERROR(INDEX($B$1:$B$1109, SMALL(IF($D$1:$D$1109=$E$4,ROW($D$1:$D$1109)),ROW()-2),1),"")</f>
        <v>3.5</v>
      </c>
      <c r="I184" s="140">
        <f t="array" ref="I184">IFERROR(INDEX($C$1:$C$1109, SMALL(IF($D$1:$D$1109=$E$4,ROW($D$1:$D$1109)),ROW()-2),1),"")</f>
        <v>28.668299999999999</v>
      </c>
      <c r="J184" s="10">
        <f t="array" ref="J184">IFERROR(INDEX($B$1:$B$1109, SMALL(IF($D$1:$D$1109=$E$5,ROW($D$1:$D$1109)),ROW()-2),1),"")</f>
        <v>4</v>
      </c>
      <c r="K184" s="10">
        <f t="array" ref="K184">IFERROR(INDEX($C$1:$C$1109, SMALL(IF($D$1:$D$1109=$E$5,ROW($D$1:$D$1109)),ROW()-2),1),"")</f>
        <v>25.753499999999999</v>
      </c>
      <c r="L184" s="62"/>
      <c r="R184" s="13">
        <v>3.8</v>
      </c>
      <c r="S184" s="13">
        <v>34.514800000000001</v>
      </c>
      <c r="T184" s="140">
        <v>3.5</v>
      </c>
      <c r="U184" s="140">
        <v>28.668299999999999</v>
      </c>
      <c r="V184" s="10">
        <v>4</v>
      </c>
      <c r="W184" s="10">
        <v>25.753499999999999</v>
      </c>
    </row>
    <row r="185" spans="1:23" ht="15.75">
      <c r="A185" s="64">
        <f t="shared" ca="1" si="2"/>
        <v>0.91826410557022076</v>
      </c>
      <c r="B185" s="74">
        <v>4.2</v>
      </c>
      <c r="C185" s="71">
        <v>24.6</v>
      </c>
      <c r="D185" s="132">
        <f t="array" ref="D185">MOD(ROW(), 3) + 1</f>
        <v>3</v>
      </c>
      <c r="E185" s="64"/>
      <c r="F185" s="13">
        <f t="array" ref="F185">IFERROR(INDEX($B$1:$B$1109, SMALL(IF($D$1:$D$1109=$E$3,ROW($D$1:$D$1109)),ROW()-2),1),"")</f>
        <v>2.4</v>
      </c>
      <c r="G185" s="13">
        <f t="array" ref="G185">IFERROR(INDEX($C$1:$C$1109, SMALL(IF($D$1:$D$1109=$E$3,ROW($D$1:$D$1109)),ROW()-2),1),"")</f>
        <v>38.700000000000003</v>
      </c>
      <c r="H185" s="140">
        <f t="array" ref="H185">IFERROR(INDEX($B$1:$B$1109, SMALL(IF($D$1:$D$1109=$E$4,ROW($D$1:$D$1109)),ROW()-2),1),"")</f>
        <v>8.4</v>
      </c>
      <c r="I185" s="140">
        <f t="array" ref="I185">IFERROR(INDEX($C$1:$C$1109, SMALL(IF($D$1:$D$1109=$E$4,ROW($D$1:$D$1109)),ROW()-2),1),"")</f>
        <v>30</v>
      </c>
      <c r="J185" s="10">
        <f t="array" ref="J185">IFERROR(INDEX($B$1:$B$1109, SMALL(IF($D$1:$D$1109=$E$5,ROW($D$1:$D$1109)),ROW()-2),1),"")</f>
        <v>5.7</v>
      </c>
      <c r="K185" s="10">
        <f t="array" ref="K185">IFERROR(INDEX($C$1:$C$1109, SMALL(IF($D$1:$D$1109=$E$5,ROW($D$1:$D$1109)),ROW()-2),1),"")</f>
        <v>31.9</v>
      </c>
      <c r="L185" s="62"/>
      <c r="R185" s="13">
        <v>2.4</v>
      </c>
      <c r="S185" s="13">
        <v>38.700000000000003</v>
      </c>
      <c r="T185" s="140">
        <v>8.4</v>
      </c>
      <c r="U185" s="140">
        <v>30</v>
      </c>
      <c r="V185" s="10">
        <v>5.7</v>
      </c>
      <c r="W185" s="10">
        <v>31.9</v>
      </c>
    </row>
    <row r="186" spans="1:23" ht="15.75">
      <c r="A186" s="64">
        <f t="shared" ca="1" si="2"/>
        <v>0.40264778819649616</v>
      </c>
      <c r="B186" s="74">
        <v>2</v>
      </c>
      <c r="C186" s="71">
        <v>33.299999999999997</v>
      </c>
      <c r="D186" s="132">
        <f t="array" ref="D186">MOD(ROW(), 3) + 1</f>
        <v>1</v>
      </c>
      <c r="E186" s="64"/>
      <c r="F186" s="13">
        <f t="array" ref="F186">IFERROR(INDEX($B$1:$B$1109, SMALL(IF($D$1:$D$1109=$E$3,ROW($D$1:$D$1109)),ROW()-2),1),"")</f>
        <v>4.4000000000000004</v>
      </c>
      <c r="G186" s="13">
        <f t="array" ref="G186">IFERROR(INDEX($C$1:$C$1109, SMALL(IF($D$1:$D$1109=$E$3,ROW($D$1:$D$1109)),ROW()-2),1),"")</f>
        <v>30.8</v>
      </c>
      <c r="H186" s="140">
        <f t="array" ref="H186">IFERROR(INDEX($B$1:$B$1109, SMALL(IF($D$1:$D$1109=$E$4,ROW($D$1:$D$1109)),ROW()-2),1),"")</f>
        <v>2</v>
      </c>
      <c r="I186" s="140">
        <f t="array" ref="I186">IFERROR(INDEX($C$1:$C$1109, SMALL(IF($D$1:$D$1109=$E$4,ROW($D$1:$D$1109)),ROW()-2),1),"")</f>
        <v>40.5</v>
      </c>
      <c r="J186" s="10">
        <f t="array" ref="J186">IFERROR(INDEX($B$1:$B$1109, SMALL(IF($D$1:$D$1109=$E$5,ROW($D$1:$D$1109)),ROW()-2),1),"")</f>
        <v>3.6</v>
      </c>
      <c r="K186" s="10">
        <f t="array" ref="K186">IFERROR(INDEX($C$1:$C$1109, SMALL(IF($D$1:$D$1109=$E$5,ROW($D$1:$D$1109)),ROW()-2),1),"")</f>
        <v>31.6</v>
      </c>
      <c r="L186" s="62"/>
      <c r="R186" s="13">
        <v>4.4000000000000004</v>
      </c>
      <c r="S186" s="13">
        <v>30.8</v>
      </c>
      <c r="T186" s="140">
        <v>2</v>
      </c>
      <c r="U186" s="140">
        <v>40.5</v>
      </c>
      <c r="V186" s="10">
        <v>3.6</v>
      </c>
      <c r="W186" s="10">
        <v>31.6</v>
      </c>
    </row>
    <row r="187" spans="1:23" ht="15.75">
      <c r="A187" s="64">
        <f t="shared" ca="1" si="2"/>
        <v>0.72068881155000053</v>
      </c>
      <c r="B187" s="74">
        <v>2.4</v>
      </c>
      <c r="C187" s="71">
        <v>41.699800000000003</v>
      </c>
      <c r="D187" s="132">
        <f t="array" ref="D187">MOD(ROW(), 3) + 1</f>
        <v>2</v>
      </c>
      <c r="E187" s="64"/>
      <c r="F187" s="13">
        <f t="array" ref="F187">IFERROR(INDEX($B$1:$B$1109, SMALL(IF($D$1:$D$1109=$E$3,ROW($D$1:$D$1109)),ROW()-2),1),"")</f>
        <v>5.3</v>
      </c>
      <c r="G187" s="13">
        <f t="array" ref="G187">IFERROR(INDEX($C$1:$C$1109, SMALL(IF($D$1:$D$1109=$E$3,ROW($D$1:$D$1109)),ROW()-2),1),"")</f>
        <v>28.993500000000001</v>
      </c>
      <c r="H187" s="140">
        <f t="array" ref="H187">IFERROR(INDEX($B$1:$B$1109, SMALL(IF($D$1:$D$1109=$E$4,ROW($D$1:$D$1109)),ROW()-2),1),"")</f>
        <v>2.5</v>
      </c>
      <c r="I187" s="140">
        <f t="array" ref="I187">IFERROR(INDEX($C$1:$C$1109, SMALL(IF($D$1:$D$1109=$E$4,ROW($D$1:$D$1109)),ROW()-2),1),"")</f>
        <v>35.922600000000003</v>
      </c>
      <c r="J187" s="10">
        <f t="array" ref="J187">IFERROR(INDEX($B$1:$B$1109, SMALL(IF($D$1:$D$1109=$E$5,ROW($D$1:$D$1109)),ROW()-2),1),"")</f>
        <v>2</v>
      </c>
      <c r="K187" s="10">
        <f t="array" ref="K187">IFERROR(INDEX($C$1:$C$1109, SMALL(IF($D$1:$D$1109=$E$5,ROW($D$1:$D$1109)),ROW()-2),1),"")</f>
        <v>42.6</v>
      </c>
      <c r="L187" s="62"/>
      <c r="R187" s="13">
        <v>5.3</v>
      </c>
      <c r="S187" s="13">
        <v>28.993500000000001</v>
      </c>
      <c r="T187" s="140">
        <v>2.5</v>
      </c>
      <c r="U187" s="140">
        <v>35.922600000000003</v>
      </c>
      <c r="V187" s="10">
        <v>2</v>
      </c>
      <c r="W187" s="10">
        <v>42.6</v>
      </c>
    </row>
    <row r="188" spans="1:23" ht="15.75">
      <c r="A188" s="64">
        <f t="shared" ca="1" si="2"/>
        <v>0.38234773001580302</v>
      </c>
      <c r="B188" s="74">
        <v>5.6</v>
      </c>
      <c r="C188" s="71">
        <v>24.149100000000001</v>
      </c>
      <c r="D188" s="132">
        <f t="array" ref="D188">MOD(ROW(), 3) + 1</f>
        <v>3</v>
      </c>
      <c r="E188" s="64"/>
      <c r="F188" s="13">
        <f t="array" ref="F188">IFERROR(INDEX($B$1:$B$1109, SMALL(IF($D$1:$D$1109=$E$3,ROW($D$1:$D$1109)),ROW()-2),1),"")</f>
        <v>3.7</v>
      </c>
      <c r="G188" s="13">
        <f t="array" ref="G188">IFERROR(INDEX($C$1:$C$1109, SMALL(IF($D$1:$D$1109=$E$3,ROW($D$1:$D$1109)),ROW()-2),1),"")</f>
        <v>28.5</v>
      </c>
      <c r="H188" s="140">
        <f t="array" ref="H188">IFERROR(INDEX($B$1:$B$1109, SMALL(IF($D$1:$D$1109=$E$4,ROW($D$1:$D$1109)),ROW()-2),1),"")</f>
        <v>3</v>
      </c>
      <c r="I188" s="140">
        <f t="array" ref="I188">IFERROR(INDEX($C$1:$C$1109, SMALL(IF($D$1:$D$1109=$E$4,ROW($D$1:$D$1109)),ROW()-2),1),"")</f>
        <v>38.299999999999997</v>
      </c>
      <c r="J188" s="10">
        <f t="array" ref="J188">IFERROR(INDEX($B$1:$B$1109, SMALL(IF($D$1:$D$1109=$E$5,ROW($D$1:$D$1109)),ROW()-2),1),"")</f>
        <v>4.8</v>
      </c>
      <c r="K188" s="10">
        <f t="array" ref="K188">IFERROR(INDEX($C$1:$C$1109, SMALL(IF($D$1:$D$1109=$E$5,ROW($D$1:$D$1109)),ROW()-2),1),"")</f>
        <v>31.374700000000001</v>
      </c>
      <c r="L188" s="62"/>
      <c r="R188" s="13">
        <v>3.7</v>
      </c>
      <c r="S188" s="13">
        <v>28.5</v>
      </c>
      <c r="T188" s="140">
        <v>3</v>
      </c>
      <c r="U188" s="140">
        <v>38.299999999999997</v>
      </c>
      <c r="V188" s="10">
        <v>4.8</v>
      </c>
      <c r="W188" s="10">
        <v>31.374700000000001</v>
      </c>
    </row>
    <row r="189" spans="1:23" ht="15.75">
      <c r="A189" s="64">
        <f t="shared" ca="1" si="2"/>
        <v>0.28245408951931317</v>
      </c>
      <c r="B189" s="74">
        <v>2.9</v>
      </c>
      <c r="C189" s="71">
        <v>37.329599999999999</v>
      </c>
      <c r="D189" s="132">
        <f t="array" ref="D189">MOD(ROW(), 3) + 1</f>
        <v>1</v>
      </c>
      <c r="E189" s="64"/>
      <c r="F189" s="13">
        <f t="array" ref="F189">IFERROR(INDEX($B$1:$B$1109, SMALL(IF($D$1:$D$1109=$E$3,ROW($D$1:$D$1109)),ROW()-2),1),"")</f>
        <v>4</v>
      </c>
      <c r="G189" s="13">
        <f t="array" ref="G189">IFERROR(INDEX($C$1:$C$1109, SMALL(IF($D$1:$D$1109=$E$3,ROW($D$1:$D$1109)),ROW()-2),1),"")</f>
        <v>28.0488</v>
      </c>
      <c r="H189" s="140">
        <f t="array" ref="H189">IFERROR(INDEX($B$1:$B$1109, SMALL(IF($D$1:$D$1109=$E$4,ROW($D$1:$D$1109)),ROW()-2),1),"")</f>
        <v>5.3</v>
      </c>
      <c r="I189" s="140">
        <f t="array" ref="I189">IFERROR(INDEX($C$1:$C$1109, SMALL(IF($D$1:$D$1109=$E$4,ROW($D$1:$D$1109)),ROW()-2),1),"")</f>
        <v>22.9</v>
      </c>
      <c r="J189" s="10">
        <f t="array" ref="J189">IFERROR(INDEX($B$1:$B$1109, SMALL(IF($D$1:$D$1109=$E$5,ROW($D$1:$D$1109)),ROW()-2),1),"")</f>
        <v>5.2</v>
      </c>
      <c r="K189" s="10">
        <f t="array" ref="K189">IFERROR(INDEX($C$1:$C$1109, SMALL(IF($D$1:$D$1109=$E$5,ROW($D$1:$D$1109)),ROW()-2),1),"")</f>
        <v>24.8</v>
      </c>
      <c r="L189" s="62"/>
      <c r="R189" s="13">
        <v>4</v>
      </c>
      <c r="S189" s="13">
        <v>28.0488</v>
      </c>
      <c r="T189" s="140">
        <v>5.3</v>
      </c>
      <c r="U189" s="140">
        <v>22.9</v>
      </c>
      <c r="V189" s="10">
        <v>5.2</v>
      </c>
      <c r="W189" s="10">
        <v>24.8</v>
      </c>
    </row>
    <row r="190" spans="1:23" ht="15.75">
      <c r="A190" s="64">
        <f t="shared" ca="1" si="2"/>
        <v>0.37845326475362151</v>
      </c>
      <c r="B190" s="74">
        <v>5.7</v>
      </c>
      <c r="C190" s="71">
        <v>34.5</v>
      </c>
      <c r="D190" s="132">
        <f t="array" ref="D190">MOD(ROW(), 3) + 1</f>
        <v>2</v>
      </c>
      <c r="E190" s="64"/>
      <c r="F190" s="13">
        <f t="array" ref="F190">IFERROR(INDEX($B$1:$B$1109, SMALL(IF($D$1:$D$1109=$E$3,ROW($D$1:$D$1109)),ROW()-2),1),"")</f>
        <v>3</v>
      </c>
      <c r="G190" s="13">
        <f t="array" ref="G190">IFERROR(INDEX($C$1:$C$1109, SMALL(IF($D$1:$D$1109=$E$3,ROW($D$1:$D$1109)),ROW()-2),1),"")</f>
        <v>38.169600000000003</v>
      </c>
      <c r="H190" s="140">
        <f t="array" ref="H190">IFERROR(INDEX($B$1:$B$1109, SMALL(IF($D$1:$D$1109=$E$4,ROW($D$1:$D$1109)),ROW()-2),1),"")</f>
        <v>3.7</v>
      </c>
      <c r="I190" s="140">
        <f t="array" ref="I190">IFERROR(INDEX($C$1:$C$1109, SMALL(IF($D$1:$D$1109=$E$4,ROW($D$1:$D$1109)),ROW()-2),1),"")</f>
        <v>34.823500000000003</v>
      </c>
      <c r="J190" s="10">
        <f t="array" ref="J190">IFERROR(INDEX($B$1:$B$1109, SMALL(IF($D$1:$D$1109=$E$5,ROW($D$1:$D$1109)),ROW()-2),1),"")</f>
        <v>2.9</v>
      </c>
      <c r="K190" s="10">
        <f t="array" ref="K190">IFERROR(INDEX($C$1:$C$1109, SMALL(IF($D$1:$D$1109=$E$5,ROW($D$1:$D$1109)),ROW()-2),1),"")</f>
        <v>34.179600000000001</v>
      </c>
      <c r="L190" s="62"/>
      <c r="R190" s="13">
        <v>3</v>
      </c>
      <c r="S190" s="13">
        <v>38.169600000000003</v>
      </c>
      <c r="T190" s="140">
        <v>3.7</v>
      </c>
      <c r="U190" s="140">
        <v>34.823500000000003</v>
      </c>
      <c r="V190" s="10">
        <v>2.9</v>
      </c>
      <c r="W190" s="10">
        <v>34.179600000000001</v>
      </c>
    </row>
    <row r="191" spans="1:23" ht="15.75">
      <c r="A191" s="64">
        <f t="shared" ca="1" si="2"/>
        <v>0.69393330520452789</v>
      </c>
      <c r="B191" s="74">
        <v>3.5</v>
      </c>
      <c r="C191" s="71">
        <v>30.5</v>
      </c>
      <c r="D191" s="132">
        <f t="array" ref="D191">MOD(ROW(), 3) + 1</f>
        <v>3</v>
      </c>
      <c r="E191" s="64"/>
      <c r="F191" s="13">
        <f t="array" ref="F191">IFERROR(INDEX($B$1:$B$1109, SMALL(IF($D$1:$D$1109=$E$3,ROW($D$1:$D$1109)),ROW()-2),1),"")</f>
        <v>1.8</v>
      </c>
      <c r="G191" s="13">
        <f t="array" ref="G191">IFERROR(INDEX($C$1:$C$1109, SMALL(IF($D$1:$D$1109=$E$3,ROW($D$1:$D$1109)),ROW()-2),1),"")</f>
        <v>47.5</v>
      </c>
      <c r="H191" s="140">
        <f t="array" ref="H191">IFERROR(INDEX($B$1:$B$1109, SMALL(IF($D$1:$D$1109=$E$4,ROW($D$1:$D$1109)),ROW()-2),1),"")</f>
        <v>3.8</v>
      </c>
      <c r="I191" s="140">
        <f t="array" ref="I191">IFERROR(INDEX($C$1:$C$1109, SMALL(IF($D$1:$D$1109=$E$4,ROW($D$1:$D$1109)),ROW()-2),1),"")</f>
        <v>36.934699999999999</v>
      </c>
      <c r="J191" s="10">
        <f t="array" ref="J191">IFERROR(INDEX($B$1:$B$1109, SMALL(IF($D$1:$D$1109=$E$5,ROW($D$1:$D$1109)),ROW()-2),1),"")</f>
        <v>2.4</v>
      </c>
      <c r="K191" s="10">
        <f t="array" ref="K191">IFERROR(INDEX($C$1:$C$1109, SMALL(IF($D$1:$D$1109=$E$5,ROW($D$1:$D$1109)),ROW()-2),1),"")</f>
        <v>33.5</v>
      </c>
      <c r="L191" s="62"/>
      <c r="R191" s="13">
        <v>1.8</v>
      </c>
      <c r="S191" s="13">
        <v>47.5</v>
      </c>
      <c r="T191" s="140">
        <v>3.8</v>
      </c>
      <c r="U191" s="140">
        <v>36.934699999999999</v>
      </c>
      <c r="V191" s="10">
        <v>2.4</v>
      </c>
      <c r="W191" s="10">
        <v>33.5</v>
      </c>
    </row>
    <row r="192" spans="1:23" ht="15.75">
      <c r="A192" s="64">
        <f t="shared" ca="1" si="2"/>
        <v>0.37482377554093393</v>
      </c>
      <c r="B192" s="74">
        <v>5.5</v>
      </c>
      <c r="C192" s="71">
        <v>23.9</v>
      </c>
      <c r="D192" s="132">
        <f t="array" ref="D192">MOD(ROW(), 3) + 1</f>
        <v>1</v>
      </c>
      <c r="E192" s="64"/>
      <c r="F192" s="13">
        <f t="array" ref="F192">IFERROR(INDEX($B$1:$B$1109, SMALL(IF($D$1:$D$1109=$E$3,ROW($D$1:$D$1109)),ROW()-2),1),"")</f>
        <v>3.5</v>
      </c>
      <c r="G192" s="13">
        <f t="array" ref="G192">IFERROR(INDEX($C$1:$C$1109, SMALL(IF($D$1:$D$1109=$E$3,ROW($D$1:$D$1109)),ROW()-2),1),"")</f>
        <v>34.700000000000003</v>
      </c>
      <c r="H192" s="140">
        <f t="array" ref="H192">IFERROR(INDEX($B$1:$B$1109, SMALL(IF($D$1:$D$1109=$E$4,ROW($D$1:$D$1109)),ROW()-2),1),"")</f>
        <v>6.5</v>
      </c>
      <c r="I192" s="140">
        <f t="array" ref="I192">IFERROR(INDEX($C$1:$C$1109, SMALL(IF($D$1:$D$1109=$E$4,ROW($D$1:$D$1109)),ROW()-2),1),"")</f>
        <v>17.5</v>
      </c>
      <c r="J192" s="10">
        <f t="array" ref="J192">IFERROR(INDEX($B$1:$B$1109, SMALL(IF($D$1:$D$1109=$E$5,ROW($D$1:$D$1109)),ROW()-2),1),"")</f>
        <v>2.9</v>
      </c>
      <c r="K192" s="10">
        <f t="array" ref="K192">IFERROR(INDEX($C$1:$C$1109, SMALL(IF($D$1:$D$1109=$E$5,ROW($D$1:$D$1109)),ROW()-2),1),"")</f>
        <v>34.151400000000002</v>
      </c>
      <c r="L192" s="62"/>
      <c r="R192" s="13">
        <v>3.5</v>
      </c>
      <c r="S192" s="13">
        <v>34.700000000000003</v>
      </c>
      <c r="T192" s="140">
        <v>6.5</v>
      </c>
      <c r="U192" s="140">
        <v>17.5</v>
      </c>
      <c r="V192" s="10">
        <v>2.9</v>
      </c>
      <c r="W192" s="10">
        <v>34.151400000000002</v>
      </c>
    </row>
    <row r="193" spans="1:23" ht="15.75">
      <c r="A193" s="64">
        <f t="shared" ca="1" si="2"/>
        <v>0.25848166118230709</v>
      </c>
      <c r="B193" s="74">
        <v>2.9</v>
      </c>
      <c r="C193" s="71">
        <v>37.329599999999999</v>
      </c>
      <c r="D193" s="132">
        <f t="array" ref="D193">MOD(ROW(), 3) + 1</f>
        <v>2</v>
      </c>
      <c r="E193" s="64"/>
      <c r="F193" s="13">
        <f t="array" ref="F193">IFERROR(INDEX($B$1:$B$1109, SMALL(IF($D$1:$D$1109=$E$3,ROW($D$1:$D$1109)),ROW()-2),1),"")</f>
        <v>2.5</v>
      </c>
      <c r="G193" s="13">
        <f t="array" ref="G193">IFERROR(INDEX($C$1:$C$1109, SMALL(IF($D$1:$D$1109=$E$3,ROW($D$1:$D$1109)),ROW()-2),1),"")</f>
        <v>42.921500000000002</v>
      </c>
      <c r="H193" s="140">
        <f t="array" ref="H193">IFERROR(INDEX($B$1:$B$1109, SMALL(IF($D$1:$D$1109=$E$4,ROW($D$1:$D$1109)),ROW()-2),1),"")</f>
        <v>6</v>
      </c>
      <c r="I193" s="140">
        <f t="array" ref="I193">IFERROR(INDEX($C$1:$C$1109, SMALL(IF($D$1:$D$1109=$E$4,ROW($D$1:$D$1109)),ROW()-2),1),"")</f>
        <v>30.299900000000001</v>
      </c>
      <c r="J193" s="10">
        <f t="array" ref="J193">IFERROR(INDEX($B$1:$B$1109, SMALL(IF($D$1:$D$1109=$E$5,ROW($D$1:$D$1109)),ROW()-2),1),"")</f>
        <v>4.5999999999999996</v>
      </c>
      <c r="K193" s="10">
        <f t="array" ref="K193">IFERROR(INDEX($C$1:$C$1109, SMALL(IF($D$1:$D$1109=$E$5,ROW($D$1:$D$1109)),ROW()-2),1),"")</f>
        <v>26.229500000000002</v>
      </c>
      <c r="L193" s="62"/>
      <c r="R193" s="13">
        <v>2.5</v>
      </c>
      <c r="S193" s="13">
        <v>42.921500000000002</v>
      </c>
      <c r="T193" s="140">
        <v>6</v>
      </c>
      <c r="U193" s="140">
        <v>30.299900000000001</v>
      </c>
      <c r="V193" s="10">
        <v>4.5999999999999996</v>
      </c>
      <c r="W193" s="10">
        <v>26.229500000000002</v>
      </c>
    </row>
    <row r="194" spans="1:23" ht="15.75">
      <c r="A194" s="64">
        <f t="shared" ca="1" si="2"/>
        <v>0.93318363020780359</v>
      </c>
      <c r="B194" s="74">
        <v>2</v>
      </c>
      <c r="C194" s="71">
        <v>38.512</v>
      </c>
      <c r="D194" s="132">
        <f t="array" ref="D194">MOD(ROW(), 3) + 1</f>
        <v>3</v>
      </c>
      <c r="E194" s="64"/>
      <c r="F194" s="13">
        <f t="array" ref="F194">IFERROR(INDEX($B$1:$B$1109, SMALL(IF($D$1:$D$1109=$E$3,ROW($D$1:$D$1109)),ROW()-2),1),"")</f>
        <v>4.8</v>
      </c>
      <c r="G194" s="13">
        <f t="array" ref="G194">IFERROR(INDEX($C$1:$C$1109, SMALL(IF($D$1:$D$1109=$E$3,ROW($D$1:$D$1109)),ROW()-2),1),"")</f>
        <v>28.8</v>
      </c>
      <c r="H194" s="140">
        <f t="array" ref="H194">IFERROR(INDEX($B$1:$B$1109, SMALL(IF($D$1:$D$1109=$E$4,ROW($D$1:$D$1109)),ROW()-2),1),"")</f>
        <v>5.9</v>
      </c>
      <c r="I194" s="140">
        <f t="array" ref="I194">IFERROR(INDEX($C$1:$C$1109, SMALL(IF($D$1:$D$1109=$E$4,ROW($D$1:$D$1109)),ROW()-2),1),"")</f>
        <v>27.2408</v>
      </c>
      <c r="J194" s="10">
        <f t="array" ref="J194">IFERROR(INDEX($B$1:$B$1109, SMALL(IF($D$1:$D$1109=$E$5,ROW($D$1:$D$1109)),ROW()-2),1),"")</f>
        <v>2</v>
      </c>
      <c r="K194" s="10">
        <f t="array" ref="K194">IFERROR(INDEX($C$1:$C$1109, SMALL(IF($D$1:$D$1109=$E$5,ROW($D$1:$D$1109)),ROW()-2),1),"")</f>
        <v>43.1</v>
      </c>
      <c r="L194" s="62"/>
      <c r="R194" s="13">
        <v>4.8</v>
      </c>
      <c r="S194" s="13">
        <v>28.8</v>
      </c>
      <c r="T194" s="140">
        <v>5.9</v>
      </c>
      <c r="U194" s="140">
        <v>27.2408</v>
      </c>
      <c r="V194" s="10">
        <v>2</v>
      </c>
      <c r="W194" s="10">
        <v>43.1</v>
      </c>
    </row>
    <row r="195" spans="1:23" ht="15.75">
      <c r="A195" s="64">
        <f t="shared" ref="A195:A258" ca="1" si="3">RAND()</f>
        <v>0.5987073331325099</v>
      </c>
      <c r="B195" s="74">
        <v>6</v>
      </c>
      <c r="C195" s="71">
        <v>21.4</v>
      </c>
      <c r="D195" s="132">
        <f t="array" ref="D195">MOD(ROW(), 3) + 1</f>
        <v>1</v>
      </c>
      <c r="E195" s="64"/>
      <c r="F195" s="13">
        <f t="array" ref="F195">IFERROR(INDEX($B$1:$B$1109, SMALL(IF($D$1:$D$1109=$E$3,ROW($D$1:$D$1109)),ROW()-2),1),"")</f>
        <v>5.7</v>
      </c>
      <c r="G195" s="13">
        <f t="array" ref="G195">IFERROR(INDEX($C$1:$C$1109, SMALL(IF($D$1:$D$1109=$E$3,ROW($D$1:$D$1109)),ROW()-2),1),"")</f>
        <v>31.9</v>
      </c>
      <c r="H195" s="140">
        <f t="array" ref="H195">IFERROR(INDEX($B$1:$B$1109, SMALL(IF($D$1:$D$1109=$E$4,ROW($D$1:$D$1109)),ROW()-2),1),"")</f>
        <v>3</v>
      </c>
      <c r="I195" s="140">
        <f t="array" ref="I195">IFERROR(INDEX($C$1:$C$1109, SMALL(IF($D$1:$D$1109=$E$4,ROW($D$1:$D$1109)),ROW()-2),1),"")</f>
        <v>32.954799999999999</v>
      </c>
      <c r="J195" s="10">
        <f t="array" ref="J195">IFERROR(INDEX($B$1:$B$1109, SMALL(IF($D$1:$D$1109=$E$5,ROW($D$1:$D$1109)),ROW()-2),1),"")</f>
        <v>4.8</v>
      </c>
      <c r="K195" s="10">
        <f t="array" ref="K195">IFERROR(INDEX($C$1:$C$1109, SMALL(IF($D$1:$D$1109=$E$5,ROW($D$1:$D$1109)),ROW()-2),1),"")</f>
        <v>26.212499999999999</v>
      </c>
      <c r="L195" s="62"/>
      <c r="R195" s="13">
        <v>5.7</v>
      </c>
      <c r="S195" s="13">
        <v>31.9</v>
      </c>
      <c r="T195" s="140">
        <v>3</v>
      </c>
      <c r="U195" s="140">
        <v>32.954799999999999</v>
      </c>
      <c r="V195" s="10">
        <v>4.8</v>
      </c>
      <c r="W195" s="10">
        <v>26.212499999999999</v>
      </c>
    </row>
    <row r="196" spans="1:23" ht="15.75">
      <c r="A196" s="64">
        <f t="shared" ca="1" si="3"/>
        <v>0.8163083404773197</v>
      </c>
      <c r="B196" s="74">
        <v>3.6</v>
      </c>
      <c r="C196" s="71">
        <v>37.690800000000003</v>
      </c>
      <c r="D196" s="132">
        <f t="array" ref="D196">MOD(ROW(), 3) + 1</f>
        <v>2</v>
      </c>
      <c r="E196" s="64"/>
      <c r="F196" s="13">
        <f t="array" ref="F196">IFERROR(INDEX($B$1:$B$1109, SMALL(IF($D$1:$D$1109=$E$3,ROW($D$1:$D$1109)),ROW()-2),1),"")</f>
        <v>2.2000000000000002</v>
      </c>
      <c r="G196" s="13">
        <f t="array" ref="G196">IFERROR(INDEX($C$1:$C$1109, SMALL(IF($D$1:$D$1109=$E$3,ROW($D$1:$D$1109)),ROW()-2),1),"")</f>
        <v>46.8</v>
      </c>
      <c r="H196" s="140">
        <f t="array" ref="H196">IFERROR(INDEX($B$1:$B$1109, SMALL(IF($D$1:$D$1109=$E$4,ROW($D$1:$D$1109)),ROW()-2),1),"")</f>
        <v>3.5</v>
      </c>
      <c r="I196" s="140">
        <f t="array" ref="I196">IFERROR(INDEX($C$1:$C$1109, SMALL(IF($D$1:$D$1109=$E$4,ROW($D$1:$D$1109)),ROW()-2),1),"")</f>
        <v>34.6</v>
      </c>
      <c r="J196" s="10">
        <f t="array" ref="J196">IFERROR(INDEX($B$1:$B$1109, SMALL(IF($D$1:$D$1109=$E$5,ROW($D$1:$D$1109)),ROW()-2),1),"")</f>
        <v>3.8</v>
      </c>
      <c r="K196" s="10">
        <f t="array" ref="K196">IFERROR(INDEX($C$1:$C$1109, SMALL(IF($D$1:$D$1109=$E$5,ROW($D$1:$D$1109)),ROW()-2),1),"")</f>
        <v>29.0307</v>
      </c>
      <c r="L196" s="62"/>
      <c r="R196" s="13">
        <v>2.2000000000000002</v>
      </c>
      <c r="S196" s="13">
        <v>46.8</v>
      </c>
      <c r="T196" s="140">
        <v>3.5</v>
      </c>
      <c r="U196" s="140">
        <v>34.6</v>
      </c>
      <c r="V196" s="10">
        <v>3.8</v>
      </c>
      <c r="W196" s="10">
        <v>29.0307</v>
      </c>
    </row>
    <row r="197" spans="1:23" ht="15.75">
      <c r="A197" s="64">
        <f t="shared" ca="1" si="3"/>
        <v>0.22677575676644202</v>
      </c>
      <c r="B197" s="74">
        <v>4.5999999999999996</v>
      </c>
      <c r="C197" s="71">
        <v>28.4633</v>
      </c>
      <c r="D197" s="132">
        <f t="array" ref="D197">MOD(ROW(), 3) + 1</f>
        <v>3</v>
      </c>
      <c r="E197" s="64"/>
      <c r="F197" s="13">
        <f t="array" ref="F197">IFERROR(INDEX($B$1:$B$1109, SMALL(IF($D$1:$D$1109=$E$3,ROW($D$1:$D$1109)),ROW()-2),1),"")</f>
        <v>2.4</v>
      </c>
      <c r="G197" s="13">
        <f t="array" ref="G197">IFERROR(INDEX($C$1:$C$1109, SMALL(IF($D$1:$D$1109=$E$3,ROW($D$1:$D$1109)),ROW()-2),1),"")</f>
        <v>40.1</v>
      </c>
      <c r="H197" s="140">
        <f t="array" ref="H197">IFERROR(INDEX($B$1:$B$1109, SMALL(IF($D$1:$D$1109=$E$4,ROW($D$1:$D$1109)),ROW()-2),1),"")</f>
        <v>3.8</v>
      </c>
      <c r="I197" s="140">
        <f t="array" ref="I197">IFERROR(INDEX($C$1:$C$1109, SMALL(IF($D$1:$D$1109=$E$4,ROW($D$1:$D$1109)),ROW()-2),1),"")</f>
        <v>34.255000000000003</v>
      </c>
      <c r="J197" s="10">
        <f t="array" ref="J197">IFERROR(INDEX($B$1:$B$1109, SMALL(IF($D$1:$D$1109=$E$5,ROW($D$1:$D$1109)),ROW()-2),1),"")</f>
        <v>2.4</v>
      </c>
      <c r="K197" s="10">
        <f t="array" ref="K197">IFERROR(INDEX($C$1:$C$1109, SMALL(IF($D$1:$D$1109=$E$5,ROW($D$1:$D$1109)),ROW()-2),1),"")</f>
        <v>47.408099999999997</v>
      </c>
      <c r="L197" s="62"/>
      <c r="R197" s="13">
        <v>2.4</v>
      </c>
      <c r="S197" s="13">
        <v>40.1</v>
      </c>
      <c r="T197" s="140">
        <v>3.8</v>
      </c>
      <c r="U197" s="140">
        <v>34.255000000000003</v>
      </c>
      <c r="V197" s="10">
        <v>2.4</v>
      </c>
      <c r="W197" s="10">
        <v>47.408099999999997</v>
      </c>
    </row>
    <row r="198" spans="1:23" ht="15.75">
      <c r="A198" s="64">
        <f t="shared" ca="1" si="3"/>
        <v>0.63505840839269712</v>
      </c>
      <c r="B198" s="74">
        <v>3.7</v>
      </c>
      <c r="C198" s="71">
        <v>35.2288</v>
      </c>
      <c r="D198" s="132">
        <f t="array" ref="D198">MOD(ROW(), 3) + 1</f>
        <v>1</v>
      </c>
      <c r="E198" s="64"/>
      <c r="F198" s="13">
        <f t="array" ref="F198">IFERROR(INDEX($B$1:$B$1109, SMALL(IF($D$1:$D$1109=$E$3,ROW($D$1:$D$1109)),ROW()-2),1),"")</f>
        <v>2.5</v>
      </c>
      <c r="G198" s="13">
        <f t="array" ref="G198">IFERROR(INDEX($C$1:$C$1109, SMALL(IF($D$1:$D$1109=$E$3,ROW($D$1:$D$1109)),ROW()-2),1),"")</f>
        <v>44.736499999999999</v>
      </c>
      <c r="H198" s="140">
        <f t="array" ref="H198">IFERROR(INDEX($B$1:$B$1109, SMALL(IF($D$1:$D$1109=$E$4,ROW($D$1:$D$1109)),ROW()-2),1),"")</f>
        <v>3.5</v>
      </c>
      <c r="I198" s="140">
        <f t="array" ref="I198">IFERROR(INDEX($C$1:$C$1109, SMALL(IF($D$1:$D$1109=$E$4,ROW($D$1:$D$1109)),ROW()-2),1),"")</f>
        <v>30.6</v>
      </c>
      <c r="J198" s="10">
        <f t="array" ref="J198">IFERROR(INDEX($B$1:$B$1109, SMALL(IF($D$1:$D$1109=$E$5,ROW($D$1:$D$1109)),ROW()-2),1),"")</f>
        <v>3</v>
      </c>
      <c r="K198" s="10">
        <f t="array" ref="K198">IFERROR(INDEX($C$1:$C$1109, SMALL(IF($D$1:$D$1109=$E$5,ROW($D$1:$D$1109)),ROW()-2),1),"")</f>
        <v>36.1</v>
      </c>
      <c r="L198" s="62"/>
      <c r="R198" s="13">
        <v>2.5</v>
      </c>
      <c r="S198" s="13">
        <v>44.736499999999999</v>
      </c>
      <c r="T198" s="140">
        <v>3.5</v>
      </c>
      <c r="U198" s="140">
        <v>30.6</v>
      </c>
      <c r="V198" s="10">
        <v>3</v>
      </c>
      <c r="W198" s="10">
        <v>36.1</v>
      </c>
    </row>
    <row r="199" spans="1:23" ht="15.75">
      <c r="A199" s="64">
        <f t="shared" ca="1" si="3"/>
        <v>0.63558775574144288</v>
      </c>
      <c r="B199" s="74">
        <v>3</v>
      </c>
      <c r="C199" s="71">
        <v>35.460599999999999</v>
      </c>
      <c r="D199" s="132">
        <f t="array" ref="D199">MOD(ROW(), 3) + 1</f>
        <v>2</v>
      </c>
      <c r="E199" s="64"/>
      <c r="F199" s="13">
        <f t="array" ref="F199">IFERROR(INDEX($B$1:$B$1109, SMALL(IF($D$1:$D$1109=$E$3,ROW($D$1:$D$1109)),ROW()-2),1),"")</f>
        <v>2.4</v>
      </c>
      <c r="G199" s="13">
        <f t="array" ref="G199">IFERROR(INDEX($C$1:$C$1109, SMALL(IF($D$1:$D$1109=$E$3,ROW($D$1:$D$1109)),ROW()-2),1),"")</f>
        <v>32.276499999999999</v>
      </c>
      <c r="H199" s="140">
        <f t="array" ref="H199">IFERROR(INDEX($B$1:$B$1109, SMALL(IF($D$1:$D$1109=$E$4,ROW($D$1:$D$1109)),ROW()-2),1),"")</f>
        <v>5.3</v>
      </c>
      <c r="I199" s="140">
        <f t="array" ref="I199">IFERROR(INDEX($C$1:$C$1109, SMALL(IF($D$1:$D$1109=$E$4,ROW($D$1:$D$1109)),ROW()-2),1),"")</f>
        <v>22.299900000000001</v>
      </c>
      <c r="J199" s="10">
        <f t="array" ref="J199">IFERROR(INDEX($B$1:$B$1109, SMALL(IF($D$1:$D$1109=$E$5,ROW($D$1:$D$1109)),ROW()-2),1),"")</f>
        <v>5</v>
      </c>
      <c r="K199" s="10">
        <f t="array" ref="K199">IFERROR(INDEX($C$1:$C$1109, SMALL(IF($D$1:$D$1109=$E$5,ROW($D$1:$D$1109)),ROW()-2),1),"")</f>
        <v>23.820399999999999</v>
      </c>
      <c r="L199" s="62"/>
      <c r="R199" s="13">
        <v>2.4</v>
      </c>
      <c r="S199" s="13">
        <v>32.276499999999999</v>
      </c>
      <c r="T199" s="140">
        <v>5.3</v>
      </c>
      <c r="U199" s="140">
        <v>22.299900000000001</v>
      </c>
      <c r="V199" s="10">
        <v>5</v>
      </c>
      <c r="W199" s="10">
        <v>23.820399999999999</v>
      </c>
    </row>
    <row r="200" spans="1:23" ht="15.75">
      <c r="A200" s="64">
        <f t="shared" ca="1" si="3"/>
        <v>0.58979784790762957</v>
      </c>
      <c r="B200" s="74">
        <v>2</v>
      </c>
      <c r="C200" s="71">
        <v>40.400300000000001</v>
      </c>
      <c r="D200" s="132">
        <f t="array" ref="D200">MOD(ROW(), 3) + 1</f>
        <v>3</v>
      </c>
      <c r="E200" s="64"/>
      <c r="F200" s="13">
        <f t="array" ref="F200">IFERROR(INDEX($B$1:$B$1109, SMALL(IF($D$1:$D$1109=$E$3,ROW($D$1:$D$1109)),ROW()-2),1),"")</f>
        <v>3.2</v>
      </c>
      <c r="G200" s="13">
        <f t="array" ref="G200">IFERROR(INDEX($C$1:$C$1109, SMALL(IF($D$1:$D$1109=$E$3,ROW($D$1:$D$1109)),ROW()-2),1),"")</f>
        <v>38.9</v>
      </c>
      <c r="H200" s="140">
        <f t="array" ref="H200">IFERROR(INDEX($B$1:$B$1109, SMALL(IF($D$1:$D$1109=$E$4,ROW($D$1:$D$1109)),ROW()-2),1),"")</f>
        <v>2.4</v>
      </c>
      <c r="I200" s="140">
        <f t="array" ref="I200">IFERROR(INDEX($C$1:$C$1109, SMALL(IF($D$1:$D$1109=$E$4,ROW($D$1:$D$1109)),ROW()-2),1),"")</f>
        <v>36.4</v>
      </c>
      <c r="J200" s="10">
        <f t="array" ref="J200">IFERROR(INDEX($B$1:$B$1109, SMALL(IF($D$1:$D$1109=$E$5,ROW($D$1:$D$1109)),ROW()-2),1),"")</f>
        <v>3.3</v>
      </c>
      <c r="K200" s="10">
        <f t="array" ref="K200">IFERROR(INDEX($C$1:$C$1109, SMALL(IF($D$1:$D$1109=$E$5,ROW($D$1:$D$1109)),ROW()-2),1),"")</f>
        <v>36.200000000000003</v>
      </c>
      <c r="L200" s="62"/>
      <c r="R200" s="13">
        <v>3.2</v>
      </c>
      <c r="S200" s="13">
        <v>38.9</v>
      </c>
      <c r="T200" s="140">
        <v>2.4</v>
      </c>
      <c r="U200" s="140">
        <v>36.4</v>
      </c>
      <c r="V200" s="10">
        <v>3.3</v>
      </c>
      <c r="W200" s="10">
        <v>36.200000000000003</v>
      </c>
    </row>
    <row r="201" spans="1:23" ht="15.75">
      <c r="A201" s="64">
        <f t="shared" ca="1" si="3"/>
        <v>0.2064628662946606</v>
      </c>
      <c r="B201" s="74">
        <v>4</v>
      </c>
      <c r="C201" s="71">
        <v>28.6</v>
      </c>
      <c r="D201" s="132">
        <f t="array" ref="D201">MOD(ROW(), 3) + 1</f>
        <v>1</v>
      </c>
      <c r="E201" s="64"/>
      <c r="F201" s="13">
        <f t="array" ref="F201">IFERROR(INDEX($B$1:$B$1109, SMALL(IF($D$1:$D$1109=$E$3,ROW($D$1:$D$1109)),ROW()-2),1),"")</f>
        <v>3.5</v>
      </c>
      <c r="G201" s="13">
        <f t="array" ref="G201">IFERROR(INDEX($C$1:$C$1109, SMALL(IF($D$1:$D$1109=$E$3,ROW($D$1:$D$1109)),ROW()-2),1),"")</f>
        <v>38.0169</v>
      </c>
      <c r="H201" s="140">
        <f t="array" ref="H201">IFERROR(INDEX($B$1:$B$1109, SMALL(IF($D$1:$D$1109=$E$4,ROW($D$1:$D$1109)),ROW()-2),1),"")</f>
        <v>2.4</v>
      </c>
      <c r="I201" s="140">
        <f t="array" ref="I201">IFERROR(INDEX($C$1:$C$1109, SMALL(IF($D$1:$D$1109=$E$4,ROW($D$1:$D$1109)),ROW()-2),1),"")</f>
        <v>37</v>
      </c>
      <c r="J201" s="10">
        <f t="array" ref="J201">IFERROR(INDEX($B$1:$B$1109, SMALL(IF($D$1:$D$1109=$E$5,ROW($D$1:$D$1109)),ROW()-2),1),"")</f>
        <v>2</v>
      </c>
      <c r="K201" s="10">
        <f t="array" ref="K201">IFERROR(INDEX($C$1:$C$1109, SMALL(IF($D$1:$D$1109=$E$5,ROW($D$1:$D$1109)),ROW()-2),1),"")</f>
        <v>37.1</v>
      </c>
      <c r="L201" s="62"/>
      <c r="R201" s="13">
        <v>3.5</v>
      </c>
      <c r="S201" s="13">
        <v>38.0169</v>
      </c>
      <c r="T201" s="140">
        <v>2.4</v>
      </c>
      <c r="U201" s="140">
        <v>37</v>
      </c>
      <c r="V201" s="10">
        <v>2</v>
      </c>
      <c r="W201" s="10">
        <v>37.1</v>
      </c>
    </row>
    <row r="202" spans="1:23" ht="15.75">
      <c r="A202" s="64">
        <f t="shared" ca="1" si="3"/>
        <v>0.29987861323404097</v>
      </c>
      <c r="B202" s="74">
        <v>5.7</v>
      </c>
      <c r="C202" s="71">
        <v>24.5</v>
      </c>
      <c r="D202" s="132">
        <f t="array" ref="D202">MOD(ROW(), 3) + 1</f>
        <v>2</v>
      </c>
      <c r="E202" s="64"/>
      <c r="F202" s="13">
        <f t="array" ref="F202">IFERROR(INDEX($B$1:$B$1109, SMALL(IF($D$1:$D$1109=$E$3,ROW($D$1:$D$1109)),ROW()-2),1),"")</f>
        <v>2.4</v>
      </c>
      <c r="G202" s="13">
        <f t="array" ref="G202">IFERROR(INDEX($C$1:$C$1109, SMALL(IF($D$1:$D$1109=$E$3,ROW($D$1:$D$1109)),ROW()-2),1),"")</f>
        <v>43.291600000000003</v>
      </c>
      <c r="H202" s="140">
        <f t="array" ref="H202">IFERROR(INDEX($B$1:$B$1109, SMALL(IF($D$1:$D$1109=$E$4,ROW($D$1:$D$1109)),ROW()-2),1),"")</f>
        <v>3.5</v>
      </c>
      <c r="I202" s="140">
        <f t="array" ref="I202">IFERROR(INDEX($C$1:$C$1109, SMALL(IF($D$1:$D$1109=$E$4,ROW($D$1:$D$1109)),ROW()-2),1),"")</f>
        <v>31.5</v>
      </c>
      <c r="J202" s="10">
        <f t="array" ref="J202">IFERROR(INDEX($B$1:$B$1109, SMALL(IF($D$1:$D$1109=$E$5,ROW($D$1:$D$1109)),ROW()-2),1),"")</f>
        <v>3.8</v>
      </c>
      <c r="K202" s="10">
        <f t="array" ref="K202">IFERROR(INDEX($C$1:$C$1109, SMALL(IF($D$1:$D$1109=$E$5,ROW($D$1:$D$1109)),ROW()-2),1),"")</f>
        <v>26.9</v>
      </c>
      <c r="L202" s="62"/>
      <c r="R202" s="13">
        <v>2.4</v>
      </c>
      <c r="S202" s="13">
        <v>43.291600000000003</v>
      </c>
      <c r="T202" s="140">
        <v>3.5</v>
      </c>
      <c r="U202" s="140">
        <v>31.5</v>
      </c>
      <c r="V202" s="10">
        <v>3.8</v>
      </c>
      <c r="W202" s="10">
        <v>26.9</v>
      </c>
    </row>
    <row r="203" spans="1:23" ht="15.75">
      <c r="A203" s="64">
        <f t="shared" ca="1" si="3"/>
        <v>0.94332546083934832</v>
      </c>
      <c r="B203" s="74">
        <v>4.7</v>
      </c>
      <c r="C203" s="71">
        <v>24.5</v>
      </c>
      <c r="D203" s="132">
        <f t="array" ref="D203">MOD(ROW(), 3) + 1</f>
        <v>3</v>
      </c>
      <c r="E203" s="64"/>
      <c r="F203" s="13">
        <f t="array" ref="F203">IFERROR(INDEX($B$1:$B$1109, SMALL(IF($D$1:$D$1109=$E$3,ROW($D$1:$D$1109)),ROW()-2),1),"")</f>
        <v>1.8</v>
      </c>
      <c r="G203" s="13">
        <f t="array" ref="G203">IFERROR(INDEX($C$1:$C$1109, SMALL(IF($D$1:$D$1109=$E$3,ROW($D$1:$D$1109)),ROW()-2),1),"")</f>
        <v>43.260899999999999</v>
      </c>
      <c r="H203" s="140">
        <f t="array" ref="H203">IFERROR(INDEX($B$1:$B$1109, SMALL(IF($D$1:$D$1109=$E$4,ROW($D$1:$D$1109)),ROW()-2),1),"")</f>
        <v>2.4</v>
      </c>
      <c r="I203" s="140">
        <f t="array" ref="I203">IFERROR(INDEX($C$1:$C$1109, SMALL(IF($D$1:$D$1109=$E$4,ROW($D$1:$D$1109)),ROW()-2),1),"")</f>
        <v>44.6</v>
      </c>
      <c r="J203" s="10">
        <f t="array" ref="J203">IFERROR(INDEX($B$1:$B$1109, SMALL(IF($D$1:$D$1109=$E$5,ROW($D$1:$D$1109)),ROW()-2),1),"")</f>
        <v>1.6</v>
      </c>
      <c r="K203" s="10">
        <f t="array" ref="K203">IFERROR(INDEX($C$1:$C$1109, SMALL(IF($D$1:$D$1109=$E$5,ROW($D$1:$D$1109)),ROW()-2),1),"")</f>
        <v>47.9</v>
      </c>
      <c r="L203" s="62"/>
      <c r="R203" s="13">
        <v>1.8</v>
      </c>
      <c r="S203" s="13">
        <v>43.260899999999999</v>
      </c>
      <c r="T203" s="140">
        <v>2.4</v>
      </c>
      <c r="U203" s="140">
        <v>44.6</v>
      </c>
      <c r="V203" s="10">
        <v>1.6</v>
      </c>
      <c r="W203" s="10">
        <v>47.9</v>
      </c>
    </row>
    <row r="204" spans="1:23" ht="15.75">
      <c r="A204" s="64">
        <f t="shared" ca="1" si="3"/>
        <v>0.40844985395852229</v>
      </c>
      <c r="B204" s="74">
        <v>2.4</v>
      </c>
      <c r="C204" s="71">
        <v>40.832099999999997</v>
      </c>
      <c r="D204" s="132">
        <f t="array" ref="D204">MOD(ROW(), 3) + 1</f>
        <v>1</v>
      </c>
      <c r="E204" s="64"/>
      <c r="F204" s="13">
        <f t="array" ref="F204">IFERROR(INDEX($B$1:$B$1109, SMALL(IF($D$1:$D$1109=$E$3,ROW($D$1:$D$1109)),ROW()-2),1),"")</f>
        <v>5.6</v>
      </c>
      <c r="G204" s="13">
        <f t="array" ref="G204">IFERROR(INDEX($C$1:$C$1109, SMALL(IF($D$1:$D$1109=$E$3,ROW($D$1:$D$1109)),ROW()-2),1),"")</f>
        <v>24.299600000000002</v>
      </c>
      <c r="H204" s="140">
        <f t="array" ref="H204">IFERROR(INDEX($B$1:$B$1109, SMALL(IF($D$1:$D$1109=$E$4,ROW($D$1:$D$1109)),ROW()-2),1),"")</f>
        <v>4.8</v>
      </c>
      <c r="I204" s="140">
        <f t="array" ref="I204">IFERROR(INDEX($C$1:$C$1109, SMALL(IF($D$1:$D$1109=$E$4,ROW($D$1:$D$1109)),ROW()-2),1),"")</f>
        <v>26.794599999999999</v>
      </c>
      <c r="J204" s="10">
        <f t="array" ref="J204">IFERROR(INDEX($B$1:$B$1109, SMALL(IF($D$1:$D$1109=$E$5,ROW($D$1:$D$1109)),ROW()-2),1),"")</f>
        <v>3</v>
      </c>
      <c r="K204" s="10">
        <f t="array" ref="K204">IFERROR(INDEX($C$1:$C$1109, SMALL(IF($D$1:$D$1109=$E$5,ROW($D$1:$D$1109)),ROW()-2),1),"")</f>
        <v>35.465499999999999</v>
      </c>
      <c r="L204" s="62"/>
      <c r="R204" s="13">
        <v>5.6</v>
      </c>
      <c r="S204" s="13">
        <v>24.299600000000002</v>
      </c>
      <c r="T204" s="140">
        <v>4.8</v>
      </c>
      <c r="U204" s="140">
        <v>26.794599999999999</v>
      </c>
      <c r="V204" s="10">
        <v>3</v>
      </c>
      <c r="W204" s="10">
        <v>35.465499999999999</v>
      </c>
    </row>
    <row r="205" spans="1:23" ht="15.75">
      <c r="A205" s="64">
        <f t="shared" ca="1" si="3"/>
        <v>0.33322745846290414</v>
      </c>
      <c r="B205" s="74">
        <v>3</v>
      </c>
      <c r="C205" s="71">
        <v>35.288699999999999</v>
      </c>
      <c r="D205" s="132">
        <f t="array" ref="D205">MOD(ROW(), 3) + 1</f>
        <v>2</v>
      </c>
      <c r="E205" s="64"/>
      <c r="F205" s="13">
        <f t="array" ref="F205">IFERROR(INDEX($B$1:$B$1109, SMALL(IF($D$1:$D$1109=$E$3,ROW($D$1:$D$1109)),ROW()-2),1),"")</f>
        <v>1.6</v>
      </c>
      <c r="G205" s="13">
        <f t="array" ref="G205">IFERROR(INDEX($C$1:$C$1109, SMALL(IF($D$1:$D$1109=$E$3,ROW($D$1:$D$1109)),ROW()-2),1),"")</f>
        <v>48.9</v>
      </c>
      <c r="H205" s="140">
        <f t="array" ref="H205">IFERROR(INDEX($B$1:$B$1109, SMALL(IF($D$1:$D$1109=$E$4,ROW($D$1:$D$1109)),ROW()-2),1),"")</f>
        <v>2</v>
      </c>
      <c r="I205" s="140">
        <f t="array" ref="I205">IFERROR(INDEX($C$1:$C$1109, SMALL(IF($D$1:$D$1109=$E$4,ROW($D$1:$D$1109)),ROW()-2),1),"")</f>
        <v>33.4</v>
      </c>
      <c r="J205" s="10">
        <f t="array" ref="J205">IFERROR(INDEX($B$1:$B$1109, SMALL(IF($D$1:$D$1109=$E$5,ROW($D$1:$D$1109)),ROW()-2),1),"")</f>
        <v>3</v>
      </c>
      <c r="K205" s="10">
        <f t="array" ref="K205">IFERROR(INDEX($C$1:$C$1109, SMALL(IF($D$1:$D$1109=$E$5,ROW($D$1:$D$1109)),ROW()-2),1),"")</f>
        <v>34.4</v>
      </c>
      <c r="L205" s="62"/>
      <c r="R205" s="13">
        <v>1.6</v>
      </c>
      <c r="S205" s="13">
        <v>48.9</v>
      </c>
      <c r="T205" s="140">
        <v>2</v>
      </c>
      <c r="U205" s="140">
        <v>33.4</v>
      </c>
      <c r="V205" s="10">
        <v>3</v>
      </c>
      <c r="W205" s="10">
        <v>34.4</v>
      </c>
    </row>
    <row r="206" spans="1:23" ht="15.75">
      <c r="A206" s="64">
        <f t="shared" ca="1" si="3"/>
        <v>0.44050077248763231</v>
      </c>
      <c r="B206" s="74">
        <v>2.5</v>
      </c>
      <c r="C206" s="71">
        <v>51.6</v>
      </c>
      <c r="D206" s="132">
        <f t="array" ref="D206">MOD(ROW(), 3) + 1</f>
        <v>3</v>
      </c>
      <c r="E206" s="64"/>
      <c r="F206" s="13">
        <f t="array" ref="F206">IFERROR(INDEX($B$1:$B$1109, SMALL(IF($D$1:$D$1109=$E$3,ROW($D$1:$D$1109)),ROW()-2),1),"")</f>
        <v>5</v>
      </c>
      <c r="G206" s="13">
        <f t="array" ref="G206">IFERROR(INDEX($C$1:$C$1109, SMALL(IF($D$1:$D$1109=$E$3,ROW($D$1:$D$1109)),ROW()-2),1),"")</f>
        <v>31.073599999999999</v>
      </c>
      <c r="H206" s="140">
        <f t="array" ref="H206">IFERROR(INDEX($B$1:$B$1109, SMALL(IF($D$1:$D$1109=$E$4,ROW($D$1:$D$1109)),ROW()-2),1),"")</f>
        <v>5.3</v>
      </c>
      <c r="I206" s="140">
        <f t="array" ref="I206">IFERROR(INDEX($C$1:$C$1109, SMALL(IF($D$1:$D$1109=$E$4,ROW($D$1:$D$1109)),ROW()-2),1),"")</f>
        <v>22.9</v>
      </c>
      <c r="J206" s="10">
        <f t="array" ref="J206">IFERROR(INDEX($B$1:$B$1109, SMALL(IF($D$1:$D$1109=$E$5,ROW($D$1:$D$1109)),ROW()-2),1),"")</f>
        <v>2.5</v>
      </c>
      <c r="K206" s="10">
        <f t="array" ref="K206">IFERROR(INDEX($C$1:$C$1109, SMALL(IF($D$1:$D$1109=$E$5,ROW($D$1:$D$1109)),ROW()-2),1),"")</f>
        <v>30.2</v>
      </c>
      <c r="L206" s="62"/>
      <c r="R206" s="13">
        <v>5</v>
      </c>
      <c r="S206" s="13">
        <v>31.073599999999999</v>
      </c>
      <c r="T206" s="140">
        <v>5.3</v>
      </c>
      <c r="U206" s="140">
        <v>22.9</v>
      </c>
      <c r="V206" s="10">
        <v>2.5</v>
      </c>
      <c r="W206" s="10">
        <v>30.2</v>
      </c>
    </row>
    <row r="207" spans="1:23" ht="15.75">
      <c r="A207" s="64">
        <f t="shared" ca="1" si="3"/>
        <v>0.13177437521263691</v>
      </c>
      <c r="B207" s="74">
        <v>2.5</v>
      </c>
      <c r="C207" s="71">
        <v>47.649299999999997</v>
      </c>
      <c r="D207" s="132">
        <f t="array" ref="D207">MOD(ROW(), 3) + 1</f>
        <v>1</v>
      </c>
      <c r="E207" s="64"/>
      <c r="F207" s="13">
        <f t="array" ref="F207">IFERROR(INDEX($B$1:$B$1109, SMALL(IF($D$1:$D$1109=$E$3,ROW($D$1:$D$1109)),ROW()-2),1),"")</f>
        <v>5.3</v>
      </c>
      <c r="G207" s="13">
        <f t="array" ref="G207">IFERROR(INDEX($C$1:$C$1109, SMALL(IF($D$1:$D$1109=$E$3,ROW($D$1:$D$1109)),ROW()-2),1),"")</f>
        <v>27.9</v>
      </c>
      <c r="H207" s="140">
        <f t="array" ref="H207">IFERROR(INDEX($B$1:$B$1109, SMALL(IF($D$1:$D$1109=$E$4,ROW($D$1:$D$1109)),ROW()-2),1),"")</f>
        <v>5.7</v>
      </c>
      <c r="I207" s="140">
        <f t="array" ref="I207">IFERROR(INDEX($C$1:$C$1109, SMALL(IF($D$1:$D$1109=$E$4,ROW($D$1:$D$1109)),ROW()-2),1),"")</f>
        <v>34.5</v>
      </c>
      <c r="J207" s="10">
        <f t="array" ref="J207">IFERROR(INDEX($B$1:$B$1109, SMALL(IF($D$1:$D$1109=$E$5,ROW($D$1:$D$1109)),ROW()-2),1),"")</f>
        <v>3.5</v>
      </c>
      <c r="K207" s="10">
        <f t="array" ref="K207">IFERROR(INDEX($C$1:$C$1109, SMALL(IF($D$1:$D$1109=$E$5,ROW($D$1:$D$1109)),ROW()-2),1),"")</f>
        <v>30.549900000000001</v>
      </c>
      <c r="L207" s="62"/>
      <c r="R207" s="13">
        <v>5.3</v>
      </c>
      <c r="S207" s="13">
        <v>27.9</v>
      </c>
      <c r="T207" s="140">
        <v>5.7</v>
      </c>
      <c r="U207" s="140">
        <v>34.5</v>
      </c>
      <c r="V207" s="10">
        <v>3.5</v>
      </c>
      <c r="W207" s="10">
        <v>30.549900000000001</v>
      </c>
    </row>
    <row r="208" spans="1:23" ht="15.75">
      <c r="A208" s="64">
        <f t="shared" ca="1" si="3"/>
        <v>0.14318681752553841</v>
      </c>
      <c r="B208" s="74">
        <v>2</v>
      </c>
      <c r="C208" s="71">
        <v>46.362900000000003</v>
      </c>
      <c r="D208" s="132">
        <f t="array" ref="D208">MOD(ROW(), 3) + 1</f>
        <v>2</v>
      </c>
      <c r="E208" s="64"/>
      <c r="F208" s="13">
        <f t="array" ref="F208">IFERROR(INDEX($B$1:$B$1109, SMALL(IF($D$1:$D$1109=$E$3,ROW($D$1:$D$1109)),ROW()-2),1),"")</f>
        <v>4.5999999999999996</v>
      </c>
      <c r="G208" s="13">
        <f t="array" ref="G208">IFERROR(INDEX($C$1:$C$1109, SMALL(IF($D$1:$D$1109=$E$3,ROW($D$1:$D$1109)),ROW()-2),1),"")</f>
        <v>28.0212</v>
      </c>
      <c r="H208" s="140">
        <f t="array" ref="H208">IFERROR(INDEX($B$1:$B$1109, SMALL(IF($D$1:$D$1109=$E$4,ROW($D$1:$D$1109)),ROW()-2),1),"")</f>
        <v>2</v>
      </c>
      <c r="I208" s="140">
        <f t="array" ref="I208">IFERROR(INDEX($C$1:$C$1109, SMALL(IF($D$1:$D$1109=$E$4,ROW($D$1:$D$1109)),ROW()-2),1),"")</f>
        <v>41.521000000000001</v>
      </c>
      <c r="J208" s="10">
        <f t="array" ref="J208">IFERROR(INDEX($B$1:$B$1109, SMALL(IF($D$1:$D$1109=$E$5,ROW($D$1:$D$1109)),ROW()-2),1),"")</f>
        <v>5</v>
      </c>
      <c r="K208" s="10">
        <f t="array" ref="K208">IFERROR(INDEX($C$1:$C$1109, SMALL(IF($D$1:$D$1109=$E$5,ROW($D$1:$D$1109)),ROW()-2),1),"")</f>
        <v>23.574300000000001</v>
      </c>
      <c r="L208" s="62"/>
      <c r="R208" s="13">
        <v>4.5999999999999996</v>
      </c>
      <c r="S208" s="13">
        <v>28.0212</v>
      </c>
      <c r="T208" s="140">
        <v>2</v>
      </c>
      <c r="U208" s="140">
        <v>41.521000000000001</v>
      </c>
      <c r="V208" s="10">
        <v>5</v>
      </c>
      <c r="W208" s="10">
        <v>23.574300000000001</v>
      </c>
    </row>
    <row r="209" spans="1:23" ht="15.75">
      <c r="A209" s="64">
        <f t="shared" ca="1" si="3"/>
        <v>0.77853277159632006</v>
      </c>
      <c r="B209" s="74">
        <v>5.3</v>
      </c>
      <c r="C209" s="71">
        <v>28.993500000000001</v>
      </c>
      <c r="D209" s="132">
        <f t="array" ref="D209">MOD(ROW(), 3) + 1</f>
        <v>3</v>
      </c>
      <c r="E209" s="64"/>
      <c r="F209" s="13">
        <f t="array" ref="F209">IFERROR(INDEX($B$1:$B$1109, SMALL(IF($D$1:$D$1109=$E$3,ROW($D$1:$D$1109)),ROW()-2),1),"")</f>
        <v>3.5</v>
      </c>
      <c r="G209" s="13">
        <f t="array" ref="G209">IFERROR(INDEX($C$1:$C$1109, SMALL(IF($D$1:$D$1109=$E$3,ROW($D$1:$D$1109)),ROW()-2),1),"")</f>
        <v>32.4</v>
      </c>
      <c r="H209" s="140">
        <f t="array" ref="H209">IFERROR(INDEX($B$1:$B$1109, SMALL(IF($D$1:$D$1109=$E$4,ROW($D$1:$D$1109)),ROW()-2),1),"")</f>
        <v>2.7</v>
      </c>
      <c r="I209" s="140">
        <f t="array" ref="I209">IFERROR(INDEX($C$1:$C$1109, SMALL(IF($D$1:$D$1109=$E$4,ROW($D$1:$D$1109)),ROW()-2),1),"")</f>
        <v>38.700000000000003</v>
      </c>
      <c r="J209" s="10">
        <f t="array" ref="J209">IFERROR(INDEX($B$1:$B$1109, SMALL(IF($D$1:$D$1109=$E$5,ROW($D$1:$D$1109)),ROW()-2),1),"")</f>
        <v>4</v>
      </c>
      <c r="K209" s="10">
        <f t="array" ref="K209">IFERROR(INDEX($C$1:$C$1109, SMALL(IF($D$1:$D$1109=$E$5,ROW($D$1:$D$1109)),ROW()-2),1),"")</f>
        <v>30</v>
      </c>
      <c r="L209" s="62"/>
      <c r="R209" s="13">
        <v>3.5</v>
      </c>
      <c r="S209" s="13">
        <v>32.4</v>
      </c>
      <c r="T209" s="140">
        <v>2.7</v>
      </c>
      <c r="U209" s="140">
        <v>38.700000000000003</v>
      </c>
      <c r="V209" s="10">
        <v>4</v>
      </c>
      <c r="W209" s="10">
        <v>30</v>
      </c>
    </row>
    <row r="210" spans="1:23" ht="15.75">
      <c r="A210" s="64">
        <f t="shared" ca="1" si="3"/>
        <v>5.0759706710844954E-2</v>
      </c>
      <c r="B210" s="74">
        <v>3</v>
      </c>
      <c r="C210" s="71">
        <v>38.7896</v>
      </c>
      <c r="D210" s="132">
        <f t="array" ref="D210">MOD(ROW(), 3) + 1</f>
        <v>1</v>
      </c>
      <c r="E210" s="64"/>
      <c r="F210" s="13">
        <f t="array" ref="F210">IFERROR(INDEX($B$1:$B$1109, SMALL(IF($D$1:$D$1109=$E$3,ROW($D$1:$D$1109)),ROW()-2),1),"")</f>
        <v>4.5999999999999996</v>
      </c>
      <c r="G210" s="13">
        <f t="array" ref="G210">IFERROR(INDEX($C$1:$C$1109, SMALL(IF($D$1:$D$1109=$E$3,ROW($D$1:$D$1109)),ROW()-2),1),"")</f>
        <v>33.799999999999997</v>
      </c>
      <c r="H210" s="140">
        <f t="array" ref="H210">IFERROR(INDEX($B$1:$B$1109, SMALL(IF($D$1:$D$1109=$E$4,ROW($D$1:$D$1109)),ROW()-2),1),"")</f>
        <v>3.5</v>
      </c>
      <c r="I210" s="140">
        <f t="array" ref="I210">IFERROR(INDEX($C$1:$C$1109, SMALL(IF($D$1:$D$1109=$E$4,ROW($D$1:$D$1109)),ROW()-2),1),"")</f>
        <v>35.749400000000001</v>
      </c>
      <c r="J210" s="10">
        <f t="array" ref="J210">IFERROR(INDEX($B$1:$B$1109, SMALL(IF($D$1:$D$1109=$E$5,ROW($D$1:$D$1109)),ROW()-2),1),"")</f>
        <v>3</v>
      </c>
      <c r="K210" s="10">
        <f t="array" ref="K210">IFERROR(INDEX($C$1:$C$1109, SMALL(IF($D$1:$D$1109=$E$5,ROW($D$1:$D$1109)),ROW()-2),1),"")</f>
        <v>33.629600000000003</v>
      </c>
      <c r="L210" s="62"/>
      <c r="R210" s="13">
        <v>4.5999999999999996</v>
      </c>
      <c r="S210" s="13">
        <v>33.799999999999997</v>
      </c>
      <c r="T210" s="140">
        <v>3.5</v>
      </c>
      <c r="U210" s="140">
        <v>35.749400000000001</v>
      </c>
      <c r="V210" s="10">
        <v>3</v>
      </c>
      <c r="W210" s="10">
        <v>33.629600000000003</v>
      </c>
    </row>
    <row r="211" spans="1:23" ht="15.75">
      <c r="A211" s="64">
        <f t="shared" ca="1" si="3"/>
        <v>0.43045339720602349</v>
      </c>
      <c r="B211" s="74">
        <v>5.4</v>
      </c>
      <c r="C211" s="71">
        <v>30.4</v>
      </c>
      <c r="D211" s="132">
        <f t="array" ref="D211">MOD(ROW(), 3) + 1</f>
        <v>2</v>
      </c>
      <c r="E211" s="64"/>
      <c r="F211" s="13">
        <f t="array" ref="F211">IFERROR(INDEX($B$1:$B$1109, SMALL(IF($D$1:$D$1109=$E$3,ROW($D$1:$D$1109)),ROW()-2),1),"")</f>
        <v>4.5999999999999996</v>
      </c>
      <c r="G211" s="13">
        <f t="array" ref="G211">IFERROR(INDEX($C$1:$C$1109, SMALL(IF($D$1:$D$1109=$E$3,ROW($D$1:$D$1109)),ROW()-2),1),"")</f>
        <v>33.305199999999999</v>
      </c>
      <c r="H211" s="140">
        <f t="array" ref="H211">IFERROR(INDEX($B$1:$B$1109, SMALL(IF($D$1:$D$1109=$E$4,ROW($D$1:$D$1109)),ROW()-2),1),"")</f>
        <v>3.6</v>
      </c>
      <c r="I211" s="140">
        <f t="array" ref="I211">IFERROR(INDEX($C$1:$C$1109, SMALL(IF($D$1:$D$1109=$E$4,ROW($D$1:$D$1109)),ROW()-2),1),"")</f>
        <v>37.200000000000003</v>
      </c>
      <c r="J211" s="10">
        <f t="array" ref="J211">IFERROR(INDEX($B$1:$B$1109, SMALL(IF($D$1:$D$1109=$E$5,ROW($D$1:$D$1109)),ROW()-2),1),"")</f>
        <v>6.5</v>
      </c>
      <c r="K211" s="10">
        <f t="array" ref="K211">IFERROR(INDEX($C$1:$C$1109, SMALL(IF($D$1:$D$1109=$E$5,ROW($D$1:$D$1109)),ROW()-2),1),"")</f>
        <v>17.5</v>
      </c>
      <c r="L211" s="62"/>
      <c r="R211" s="13">
        <v>4.5999999999999996</v>
      </c>
      <c r="S211" s="13">
        <v>33.305199999999999</v>
      </c>
      <c r="T211" s="140">
        <v>3.6</v>
      </c>
      <c r="U211" s="140">
        <v>37.200000000000003</v>
      </c>
      <c r="V211" s="10">
        <v>6.5</v>
      </c>
      <c r="W211" s="10">
        <v>17.5</v>
      </c>
    </row>
    <row r="212" spans="1:23" ht="15.75">
      <c r="A212" s="64">
        <f t="shared" ca="1" si="3"/>
        <v>0.13141897245745171</v>
      </c>
      <c r="B212" s="74">
        <v>5.3</v>
      </c>
      <c r="C212" s="71">
        <v>28.993500000000001</v>
      </c>
      <c r="D212" s="132">
        <f t="array" ref="D212">MOD(ROW(), 3) + 1</f>
        <v>3</v>
      </c>
      <c r="E212" s="64"/>
      <c r="F212" s="13">
        <f t="array" ref="F212">IFERROR(INDEX($B$1:$B$1109, SMALL(IF($D$1:$D$1109=$E$3,ROW($D$1:$D$1109)),ROW()-2),1),"")</f>
        <v>2.2000000000000002</v>
      </c>
      <c r="G212" s="13">
        <f t="array" ref="G212">IFERROR(INDEX($C$1:$C$1109, SMALL(IF($D$1:$D$1109=$E$3,ROW($D$1:$D$1109)),ROW()-2),1),"")</f>
        <v>46.8</v>
      </c>
      <c r="H212" s="140">
        <f t="array" ref="H212">IFERROR(INDEX($B$1:$B$1109, SMALL(IF($D$1:$D$1109=$E$4,ROW($D$1:$D$1109)),ROW()-2),1),"")</f>
        <v>3.7</v>
      </c>
      <c r="I212" s="140">
        <f t="array" ref="I212">IFERROR(INDEX($C$1:$C$1109, SMALL(IF($D$1:$D$1109=$E$4,ROW($D$1:$D$1109)),ROW()-2),1),"")</f>
        <v>30.5</v>
      </c>
      <c r="J212" s="10">
        <f t="array" ref="J212">IFERROR(INDEX($B$1:$B$1109, SMALL(IF($D$1:$D$1109=$E$5,ROW($D$1:$D$1109)),ROW()-2),1),"")</f>
        <v>5.5</v>
      </c>
      <c r="K212" s="10">
        <f t="array" ref="K212">IFERROR(INDEX($C$1:$C$1109, SMALL(IF($D$1:$D$1109=$E$5,ROW($D$1:$D$1109)),ROW()-2),1),"")</f>
        <v>23.2</v>
      </c>
      <c r="L212" s="62"/>
      <c r="R212" s="13">
        <v>2.2000000000000002</v>
      </c>
      <c r="S212" s="13">
        <v>46.8</v>
      </c>
      <c r="T212" s="140">
        <v>3.7</v>
      </c>
      <c r="U212" s="140">
        <v>30.5</v>
      </c>
      <c r="V212" s="10">
        <v>5.5</v>
      </c>
      <c r="W212" s="10">
        <v>23.2</v>
      </c>
    </row>
    <row r="213" spans="1:23" ht="15.75">
      <c r="A213" s="64">
        <f t="shared" ca="1" si="3"/>
        <v>0.95266323076779524</v>
      </c>
      <c r="B213" s="74">
        <v>2.4</v>
      </c>
      <c r="C213" s="71">
        <v>34.299999999999997</v>
      </c>
      <c r="D213" s="132">
        <f t="array" ref="D213">MOD(ROW(), 3) + 1</f>
        <v>1</v>
      </c>
      <c r="E213" s="64"/>
      <c r="F213" s="13">
        <f t="array" ref="F213">IFERROR(INDEX($B$1:$B$1109, SMALL(IF($D$1:$D$1109=$E$3,ROW($D$1:$D$1109)),ROW()-2),1),"")</f>
        <v>6</v>
      </c>
      <c r="G213" s="13">
        <f t="array" ref="G213">IFERROR(INDEX($C$1:$C$1109, SMALL(IF($D$1:$D$1109=$E$3,ROW($D$1:$D$1109)),ROW()-2),1),"")</f>
        <v>24.4</v>
      </c>
      <c r="H213" s="140">
        <f t="array" ref="H213">IFERROR(INDEX($B$1:$B$1109, SMALL(IF($D$1:$D$1109=$E$4,ROW($D$1:$D$1109)),ROW()-2),1),"")</f>
        <v>2</v>
      </c>
      <c r="I213" s="140">
        <f t="array" ref="I213">IFERROR(INDEX($C$1:$C$1109, SMALL(IF($D$1:$D$1109=$E$4,ROW($D$1:$D$1109)),ROW()-2),1),"")</f>
        <v>41.521000000000001</v>
      </c>
      <c r="J213" s="10">
        <f t="array" ref="J213">IFERROR(INDEX($B$1:$B$1109, SMALL(IF($D$1:$D$1109=$E$5,ROW($D$1:$D$1109)),ROW()-2),1),"")</f>
        <v>2.4</v>
      </c>
      <c r="K213" s="10">
        <f t="array" ref="K213">IFERROR(INDEX($C$1:$C$1109, SMALL(IF($D$1:$D$1109=$E$5,ROW($D$1:$D$1109)),ROW()-2),1),"")</f>
        <v>41.5</v>
      </c>
      <c r="L213" s="62"/>
      <c r="R213" s="13">
        <v>6</v>
      </c>
      <c r="S213" s="13">
        <v>24.4</v>
      </c>
      <c r="T213" s="140">
        <v>2</v>
      </c>
      <c r="U213" s="140">
        <v>41.521000000000001</v>
      </c>
      <c r="V213" s="10">
        <v>2.4</v>
      </c>
      <c r="W213" s="10">
        <v>41.5</v>
      </c>
    </row>
    <row r="214" spans="1:23" ht="15.75">
      <c r="A214" s="64">
        <f t="shared" ca="1" si="3"/>
        <v>0.39595006286666046</v>
      </c>
      <c r="B214" s="74">
        <v>2.4</v>
      </c>
      <c r="C214" s="71">
        <v>46.9</v>
      </c>
      <c r="D214" s="132">
        <f t="array" ref="D214">MOD(ROW(), 3) + 1</f>
        <v>2</v>
      </c>
      <c r="E214" s="64"/>
      <c r="F214" s="13">
        <f t="array" ref="F214">IFERROR(INDEX($B$1:$B$1109, SMALL(IF($D$1:$D$1109=$E$3,ROW($D$1:$D$1109)),ROW()-2),1),"")</f>
        <v>2.5</v>
      </c>
      <c r="G214" s="13">
        <f t="array" ref="G214">IFERROR(INDEX($C$1:$C$1109, SMALL(IF($D$1:$D$1109=$E$3,ROW($D$1:$D$1109)),ROW()-2),1),"")</f>
        <v>32.910299999999999</v>
      </c>
      <c r="H214" s="140">
        <f t="array" ref="H214">IFERROR(INDEX($B$1:$B$1109, SMALL(IF($D$1:$D$1109=$E$4,ROW($D$1:$D$1109)),ROW()-2),1),"")</f>
        <v>5.5</v>
      </c>
      <c r="I214" s="140">
        <f t="array" ref="I214">IFERROR(INDEX($C$1:$C$1109, SMALL(IF($D$1:$D$1109=$E$4,ROW($D$1:$D$1109)),ROW()-2),1),"")</f>
        <v>32</v>
      </c>
      <c r="J214" s="10">
        <f t="array" ref="J214">IFERROR(INDEX($B$1:$B$1109, SMALL(IF($D$1:$D$1109=$E$5,ROW($D$1:$D$1109)),ROW()-2),1),"")</f>
        <v>3.7</v>
      </c>
      <c r="K214" s="10">
        <f t="array" ref="K214">IFERROR(INDEX($C$1:$C$1109, SMALL(IF($D$1:$D$1109=$E$5,ROW($D$1:$D$1109)),ROW()-2),1),"")</f>
        <v>28.7</v>
      </c>
      <c r="L214" s="62"/>
      <c r="R214" s="13">
        <v>2.5</v>
      </c>
      <c r="S214" s="13">
        <v>32.910299999999999</v>
      </c>
      <c r="T214" s="140">
        <v>5.5</v>
      </c>
      <c r="U214" s="140">
        <v>32</v>
      </c>
      <c r="V214" s="10">
        <v>3.7</v>
      </c>
      <c r="W214" s="10">
        <v>28.7</v>
      </c>
    </row>
    <row r="215" spans="1:23" ht="15.75">
      <c r="A215" s="64">
        <f t="shared" ca="1" si="3"/>
        <v>0.64272284989455952</v>
      </c>
      <c r="B215" s="74">
        <v>2.2000000000000002</v>
      </c>
      <c r="C215" s="71">
        <v>42.399099999999997</v>
      </c>
      <c r="D215" s="132">
        <f t="array" ref="D215">MOD(ROW(), 3) + 1</f>
        <v>3</v>
      </c>
      <c r="E215" s="64"/>
      <c r="F215" s="13">
        <f t="array" ref="F215">IFERROR(INDEX($B$1:$B$1109, SMALL(IF($D$1:$D$1109=$E$3,ROW($D$1:$D$1109)),ROW()-2),1),"")</f>
        <v>3.5</v>
      </c>
      <c r="G215" s="13">
        <f t="array" ref="G215">IFERROR(INDEX($C$1:$C$1109, SMALL(IF($D$1:$D$1109=$E$3,ROW($D$1:$D$1109)),ROW()-2),1),"")</f>
        <v>36.4</v>
      </c>
      <c r="H215" s="140">
        <f t="array" ref="H215">IFERROR(INDEX($B$1:$B$1109, SMALL(IF($D$1:$D$1109=$E$4,ROW($D$1:$D$1109)),ROW()-2),1),"")</f>
        <v>6.1</v>
      </c>
      <c r="I215" s="140">
        <f t="array" ref="I215">IFERROR(INDEX($C$1:$C$1109, SMALL(IF($D$1:$D$1109=$E$4,ROW($D$1:$D$1109)),ROW()-2),1),"")</f>
        <v>30.1</v>
      </c>
      <c r="J215" s="10">
        <f t="array" ref="J215">IFERROR(INDEX($B$1:$B$1109, SMALL(IF($D$1:$D$1109=$E$5,ROW($D$1:$D$1109)),ROW()-2),1),"")</f>
        <v>3</v>
      </c>
      <c r="K215" s="10">
        <f t="array" ref="K215">IFERROR(INDEX($C$1:$C$1109, SMALL(IF($D$1:$D$1109=$E$5,ROW($D$1:$D$1109)),ROW()-2),1),"")</f>
        <v>33.1</v>
      </c>
      <c r="L215" s="62"/>
      <c r="R215" s="13">
        <v>3.5</v>
      </c>
      <c r="S215" s="13">
        <v>36.4</v>
      </c>
      <c r="T215" s="140">
        <v>6.1</v>
      </c>
      <c r="U215" s="140">
        <v>30.1</v>
      </c>
      <c r="V215" s="10">
        <v>3</v>
      </c>
      <c r="W215" s="10">
        <v>33.1</v>
      </c>
    </row>
    <row r="216" spans="1:23" ht="15.75">
      <c r="A216" s="64">
        <f t="shared" ca="1" si="3"/>
        <v>0.17986009973113304</v>
      </c>
      <c r="B216" s="74">
        <v>1.8</v>
      </c>
      <c r="C216" s="71">
        <v>37.002800000000001</v>
      </c>
      <c r="D216" s="132">
        <f t="array" ref="D216">MOD(ROW(), 3) + 1</f>
        <v>1</v>
      </c>
      <c r="E216" s="64"/>
      <c r="F216" s="13">
        <f t="array" ref="F216">IFERROR(INDEX($B$1:$B$1109, SMALL(IF($D$1:$D$1109=$E$3,ROW($D$1:$D$1109)),ROW()-2),1),"")</f>
        <v>4</v>
      </c>
      <c r="G216" s="13">
        <f t="array" ref="G216">IFERROR(INDEX($C$1:$C$1109, SMALL(IF($D$1:$D$1109=$E$3,ROW($D$1:$D$1109)),ROW()-2),1),"")</f>
        <v>27.9711</v>
      </c>
      <c r="H216" s="140">
        <f t="array" ref="H216">IFERROR(INDEX($B$1:$B$1109, SMALL(IF($D$1:$D$1109=$E$4,ROW($D$1:$D$1109)),ROW()-2),1),"")</f>
        <v>2.4</v>
      </c>
      <c r="I216" s="140">
        <f t="array" ref="I216">IFERROR(INDEX($C$1:$C$1109, SMALL(IF($D$1:$D$1109=$E$4,ROW($D$1:$D$1109)),ROW()-2),1),"")</f>
        <v>39.204099999999997</v>
      </c>
      <c r="J216" s="10">
        <f t="array" ref="J216">IFERROR(INDEX($B$1:$B$1109, SMALL(IF($D$1:$D$1109=$E$5,ROW($D$1:$D$1109)),ROW()-2),1),"")</f>
        <v>2.5</v>
      </c>
      <c r="K216" s="10">
        <f t="array" ref="K216">IFERROR(INDEX($C$1:$C$1109, SMALL(IF($D$1:$D$1109=$E$5,ROW($D$1:$D$1109)),ROW()-2),1),"")</f>
        <v>37.799999999999997</v>
      </c>
      <c r="L216" s="62"/>
      <c r="R216" s="13">
        <v>4</v>
      </c>
      <c r="S216" s="13">
        <v>27.9711</v>
      </c>
      <c r="T216" s="140">
        <v>2.4</v>
      </c>
      <c r="U216" s="140">
        <v>39.204099999999997</v>
      </c>
      <c r="V216" s="10">
        <v>2.5</v>
      </c>
      <c r="W216" s="10">
        <v>37.799999999999997</v>
      </c>
    </row>
    <row r="217" spans="1:23" ht="15.75">
      <c r="A217" s="64">
        <f t="shared" ca="1" si="3"/>
        <v>0.42264301796731973</v>
      </c>
      <c r="B217" s="74">
        <v>2.5</v>
      </c>
      <c r="C217" s="71">
        <v>46.6</v>
      </c>
      <c r="D217" s="132">
        <f t="array" ref="D217">MOD(ROW(), 3) + 1</f>
        <v>2</v>
      </c>
      <c r="E217" s="64"/>
      <c r="F217" s="13">
        <f t="array" ref="F217">IFERROR(INDEX($B$1:$B$1109, SMALL(IF($D$1:$D$1109=$E$3,ROW($D$1:$D$1109)),ROW()-2),1),"")</f>
        <v>2</v>
      </c>
      <c r="G217" s="13">
        <f t="array" ref="G217">IFERROR(INDEX($C$1:$C$1109, SMALL(IF($D$1:$D$1109=$E$3,ROW($D$1:$D$1109)),ROW()-2),1),"")</f>
        <v>43.541400000000003</v>
      </c>
      <c r="H217" s="140">
        <f t="array" ref="H217">IFERROR(INDEX($B$1:$B$1109, SMALL(IF($D$1:$D$1109=$E$4,ROW($D$1:$D$1109)),ROW()-2),1),"")</f>
        <v>4.8</v>
      </c>
      <c r="I217" s="140">
        <f t="array" ref="I217">IFERROR(INDEX($C$1:$C$1109, SMALL(IF($D$1:$D$1109=$E$4,ROW($D$1:$D$1109)),ROW()-2),1),"")</f>
        <v>25.7761</v>
      </c>
      <c r="J217" s="10">
        <f t="array" ref="J217">IFERROR(INDEX($B$1:$B$1109, SMALL(IF($D$1:$D$1109=$E$5,ROW($D$1:$D$1109)),ROW()-2),1),"")</f>
        <v>3.5</v>
      </c>
      <c r="K217" s="10">
        <f t="array" ref="K217">IFERROR(INDEX($C$1:$C$1109, SMALL(IF($D$1:$D$1109=$E$5,ROW($D$1:$D$1109)),ROW()-2),1),"")</f>
        <v>40.299999999999997</v>
      </c>
      <c r="L217" s="62"/>
      <c r="R217" s="13">
        <v>2</v>
      </c>
      <c r="S217" s="13">
        <v>43.541400000000003</v>
      </c>
      <c r="T217" s="140">
        <v>4.8</v>
      </c>
      <c r="U217" s="140">
        <v>25.7761</v>
      </c>
      <c r="V217" s="10">
        <v>3.5</v>
      </c>
      <c r="W217" s="10">
        <v>40.299999999999997</v>
      </c>
    </row>
    <row r="218" spans="1:23" ht="15.75">
      <c r="A218" s="64">
        <f t="shared" ca="1" si="3"/>
        <v>0.83246519513779804</v>
      </c>
      <c r="B218" s="74">
        <v>2.5</v>
      </c>
      <c r="C218" s="71">
        <v>42.9</v>
      </c>
      <c r="D218" s="132">
        <f t="array" ref="D218">MOD(ROW(), 3) + 1</f>
        <v>3</v>
      </c>
      <c r="E218" s="64"/>
      <c r="F218" s="13">
        <f t="array" ref="F218">IFERROR(INDEX($B$1:$B$1109, SMALL(IF($D$1:$D$1109=$E$3,ROW($D$1:$D$1109)),ROW()-2),1),"")</f>
        <v>5.4</v>
      </c>
      <c r="G218" s="13">
        <f t="array" ref="G218">IFERROR(INDEX($C$1:$C$1109, SMALL(IF($D$1:$D$1109=$E$3,ROW($D$1:$D$1109)),ROW()-2),1),"")</f>
        <v>20.7</v>
      </c>
      <c r="H218" s="140">
        <f t="array" ref="H218">IFERROR(INDEX($B$1:$B$1109, SMALL(IF($D$1:$D$1109=$E$4,ROW($D$1:$D$1109)),ROW()-2),1),"")</f>
        <v>2.2000000000000002</v>
      </c>
      <c r="I218" s="140">
        <f t="array" ref="I218">IFERROR(INDEX($C$1:$C$1109, SMALL(IF($D$1:$D$1109=$E$4,ROW($D$1:$D$1109)),ROW()-2),1),"")</f>
        <v>51.9</v>
      </c>
      <c r="J218" s="10">
        <f t="array" ref="J218">IFERROR(INDEX($B$1:$B$1109, SMALL(IF($D$1:$D$1109=$E$5,ROW($D$1:$D$1109)),ROW()-2),1),"")</f>
        <v>3.6</v>
      </c>
      <c r="K218" s="10">
        <f t="array" ref="K218">IFERROR(INDEX($C$1:$C$1109, SMALL(IF($D$1:$D$1109=$E$5,ROW($D$1:$D$1109)),ROW()-2),1),"")</f>
        <v>31.6</v>
      </c>
      <c r="L218" s="62"/>
      <c r="R218" s="13">
        <v>5.4</v>
      </c>
      <c r="S218" s="13">
        <v>20.7</v>
      </c>
      <c r="T218" s="140">
        <v>2.2000000000000002</v>
      </c>
      <c r="U218" s="140">
        <v>51.9</v>
      </c>
      <c r="V218" s="10">
        <v>3.6</v>
      </c>
      <c r="W218" s="10">
        <v>31.6</v>
      </c>
    </row>
    <row r="219" spans="1:23" ht="15.75">
      <c r="A219" s="64">
        <f t="shared" ca="1" si="3"/>
        <v>0.12944481278345377</v>
      </c>
      <c r="B219" s="74">
        <v>2.4</v>
      </c>
      <c r="C219" s="71">
        <v>34.1</v>
      </c>
      <c r="D219" s="132">
        <f t="array" ref="D219">MOD(ROW(), 3) + 1</f>
        <v>1</v>
      </c>
      <c r="E219" s="64"/>
      <c r="F219" s="13">
        <f t="array" ref="F219">IFERROR(INDEX($B$1:$B$1109, SMALL(IF($D$1:$D$1109=$E$3,ROW($D$1:$D$1109)),ROW()-2),1),"")</f>
        <v>2.7</v>
      </c>
      <c r="G219" s="13">
        <f t="array" ref="G219">IFERROR(INDEX($C$1:$C$1109, SMALL(IF($D$1:$D$1109=$E$3,ROW($D$1:$D$1109)),ROW()-2),1),"")</f>
        <v>31.3</v>
      </c>
      <c r="H219" s="140">
        <f t="array" ref="H219">IFERROR(INDEX($B$1:$B$1109, SMALL(IF($D$1:$D$1109=$E$4,ROW($D$1:$D$1109)),ROW()-2),1),"")</f>
        <v>2.2000000000000002</v>
      </c>
      <c r="I219" s="140">
        <f t="array" ref="I219">IFERROR(INDEX($C$1:$C$1109, SMALL(IF($D$1:$D$1109=$E$4,ROW($D$1:$D$1109)),ROW()-2),1),"")</f>
        <v>51.9</v>
      </c>
      <c r="J219" s="10">
        <f t="array" ref="J219">IFERROR(INDEX($B$1:$B$1109, SMALL(IF($D$1:$D$1109=$E$5,ROW($D$1:$D$1109)),ROW()-2),1),"")</f>
        <v>2.4</v>
      </c>
      <c r="K219" s="10">
        <f t="array" ref="K219">IFERROR(INDEX($C$1:$C$1109, SMALL(IF($D$1:$D$1109=$E$5,ROW($D$1:$D$1109)),ROW()-2),1),"")</f>
        <v>41.9</v>
      </c>
      <c r="L219" s="62"/>
      <c r="R219" s="13">
        <v>2.7</v>
      </c>
      <c r="S219" s="13">
        <v>31.3</v>
      </c>
      <c r="T219" s="140">
        <v>2.2000000000000002</v>
      </c>
      <c r="U219" s="140">
        <v>51.9</v>
      </c>
      <c r="V219" s="10">
        <v>2.4</v>
      </c>
      <c r="W219" s="10">
        <v>41.9</v>
      </c>
    </row>
    <row r="220" spans="1:23" ht="15.75">
      <c r="A220" s="64">
        <f t="shared" ca="1" si="3"/>
        <v>1.8262883742343194E-2</v>
      </c>
      <c r="B220" s="74">
        <v>2.5</v>
      </c>
      <c r="C220" s="71">
        <v>37.057400000000001</v>
      </c>
      <c r="D220" s="132">
        <f t="array" ref="D220">MOD(ROW(), 3) + 1</f>
        <v>2</v>
      </c>
      <c r="E220" s="64"/>
      <c r="F220" s="13">
        <f t="array" ref="F220">IFERROR(INDEX($B$1:$B$1109, SMALL(IF($D$1:$D$1109=$E$3,ROW($D$1:$D$1109)),ROW()-2),1),"")</f>
        <v>3</v>
      </c>
      <c r="G220" s="13">
        <f t="array" ref="G220">IFERROR(INDEX($C$1:$C$1109, SMALL(IF($D$1:$D$1109=$E$3,ROW($D$1:$D$1109)),ROW()-2),1),"")</f>
        <v>29.789200000000001</v>
      </c>
      <c r="H220" s="140">
        <f t="array" ref="H220">IFERROR(INDEX($B$1:$B$1109, SMALL(IF($D$1:$D$1109=$E$4,ROW($D$1:$D$1109)),ROW()-2),1),"")</f>
        <v>4.5999999999999996</v>
      </c>
      <c r="I220" s="140">
        <f t="array" ref="I220">IFERROR(INDEX($C$1:$C$1109, SMALL(IF($D$1:$D$1109=$E$4,ROW($D$1:$D$1109)),ROW()-2),1),"")</f>
        <v>25.229800000000001</v>
      </c>
      <c r="J220" s="10">
        <f t="array" ref="J220">IFERROR(INDEX($B$1:$B$1109, SMALL(IF($D$1:$D$1109=$E$5,ROW($D$1:$D$1109)),ROW()-2),1),"")</f>
        <v>2.5</v>
      </c>
      <c r="K220" s="10">
        <f t="array" ref="K220">IFERROR(INDEX($C$1:$C$1109, SMALL(IF($D$1:$D$1109=$E$5,ROW($D$1:$D$1109)),ROW()-2),1),"")</f>
        <v>31.7</v>
      </c>
      <c r="L220" s="62"/>
      <c r="R220" s="13">
        <v>3</v>
      </c>
      <c r="S220" s="13">
        <v>29.789200000000001</v>
      </c>
      <c r="T220" s="140">
        <v>4.5999999999999996</v>
      </c>
      <c r="U220" s="140">
        <v>25.229800000000001</v>
      </c>
      <c r="V220" s="10">
        <v>2.5</v>
      </c>
      <c r="W220" s="10">
        <v>31.7</v>
      </c>
    </row>
    <row r="221" spans="1:23" ht="15.75">
      <c r="A221" s="64">
        <f t="shared" ca="1" si="3"/>
        <v>0.64536498438531464</v>
      </c>
      <c r="B221" s="74">
        <v>2.5</v>
      </c>
      <c r="C221" s="71">
        <v>37.9</v>
      </c>
      <c r="D221" s="132">
        <f t="array" ref="D221">MOD(ROW(), 3) + 1</f>
        <v>3</v>
      </c>
      <c r="E221" s="64"/>
      <c r="F221" s="13">
        <f t="array" ref="F221">IFERROR(INDEX($B$1:$B$1109, SMALL(IF($D$1:$D$1109=$E$3,ROW($D$1:$D$1109)),ROW()-2),1),"")</f>
        <v>2.9</v>
      </c>
      <c r="G221" s="13">
        <f t="array" ref="G221">IFERROR(INDEX($C$1:$C$1109, SMALL(IF($D$1:$D$1109=$E$3,ROW($D$1:$D$1109)),ROW()-2),1),"")</f>
        <v>35.5</v>
      </c>
      <c r="H221" s="140">
        <f t="array" ref="H221">IFERROR(INDEX($B$1:$B$1109, SMALL(IF($D$1:$D$1109=$E$4,ROW($D$1:$D$1109)),ROW()-2),1),"")</f>
        <v>3.5</v>
      </c>
      <c r="I221" s="140">
        <f t="array" ref="I221">IFERROR(INDEX($C$1:$C$1109, SMALL(IF($D$1:$D$1109=$E$4,ROW($D$1:$D$1109)),ROW()-2),1),"")</f>
        <v>29.2</v>
      </c>
      <c r="J221" s="10">
        <f t="array" ref="J221">IFERROR(INDEX($B$1:$B$1109, SMALL(IF($D$1:$D$1109=$E$5,ROW($D$1:$D$1109)),ROW()-2),1),"")</f>
        <v>3.5</v>
      </c>
      <c r="K221" s="10">
        <f t="array" ref="K221">IFERROR(INDEX($C$1:$C$1109, SMALL(IF($D$1:$D$1109=$E$5,ROW($D$1:$D$1109)),ROW()-2),1),"")</f>
        <v>38.719299999999997</v>
      </c>
      <c r="L221" s="62"/>
      <c r="R221" s="13">
        <v>2.9</v>
      </c>
      <c r="S221" s="13">
        <v>35.5</v>
      </c>
      <c r="T221" s="140">
        <v>3.5</v>
      </c>
      <c r="U221" s="140">
        <v>29.2</v>
      </c>
      <c r="V221" s="10">
        <v>3.5</v>
      </c>
      <c r="W221" s="10">
        <v>38.719299999999997</v>
      </c>
    </row>
    <row r="222" spans="1:23" ht="15.75">
      <c r="A222" s="64">
        <f t="shared" ca="1" si="3"/>
        <v>0.83345519528734169</v>
      </c>
      <c r="B222" s="74">
        <v>4.5999999999999996</v>
      </c>
      <c r="C222" s="71">
        <v>26.782900000000001</v>
      </c>
      <c r="D222" s="132">
        <f t="array" ref="D222">MOD(ROW(), 3) + 1</f>
        <v>1</v>
      </c>
      <c r="E222" s="64"/>
      <c r="F222" s="13">
        <f t="array" ref="F222">IFERROR(INDEX($B$1:$B$1109, SMALL(IF($D$1:$D$1109=$E$3,ROW($D$1:$D$1109)),ROW()-2),1),"")</f>
        <v>3.6</v>
      </c>
      <c r="G222" s="13">
        <f t="array" ref="G222">IFERROR(INDEX($C$1:$C$1109, SMALL(IF($D$1:$D$1109=$E$3,ROW($D$1:$D$1109)),ROW()-2),1),"")</f>
        <v>34.270800000000001</v>
      </c>
      <c r="H222" s="140">
        <f t="array" ref="H222">IFERROR(INDEX($B$1:$B$1109, SMALL(IF($D$1:$D$1109=$E$4,ROW($D$1:$D$1109)),ROW()-2),1),"")</f>
        <v>5.3</v>
      </c>
      <c r="I222" s="140">
        <f t="array" ref="I222">IFERROR(INDEX($C$1:$C$1109, SMALL(IF($D$1:$D$1109=$E$4,ROW($D$1:$D$1109)),ROW()-2),1),"")</f>
        <v>30.4</v>
      </c>
      <c r="J222" s="10">
        <f t="array" ref="J222">IFERROR(INDEX($B$1:$B$1109, SMALL(IF($D$1:$D$1109=$E$5,ROW($D$1:$D$1109)),ROW()-2),1),"")</f>
        <v>2.5</v>
      </c>
      <c r="K222" s="10">
        <f t="array" ref="K222">IFERROR(INDEX($C$1:$C$1109, SMALL(IF($D$1:$D$1109=$E$5,ROW($D$1:$D$1109)),ROW()-2),1),"")</f>
        <v>40.193100000000001</v>
      </c>
      <c r="L222" s="62"/>
      <c r="R222" s="13">
        <v>3.6</v>
      </c>
      <c r="S222" s="13">
        <v>34.270800000000001</v>
      </c>
      <c r="T222" s="140">
        <v>5.3</v>
      </c>
      <c r="U222" s="140">
        <v>30.4</v>
      </c>
      <c r="V222" s="10">
        <v>2.5</v>
      </c>
      <c r="W222" s="10">
        <v>40.193100000000001</v>
      </c>
    </row>
    <row r="223" spans="1:23" ht="15.75">
      <c r="A223" s="64">
        <f t="shared" ca="1" si="3"/>
        <v>0.45887230960282244</v>
      </c>
      <c r="B223" s="74">
        <v>4.7</v>
      </c>
      <c r="C223" s="71">
        <v>25.609400000000001</v>
      </c>
      <c r="D223" s="132">
        <f t="array" ref="D223">MOD(ROW(), 3) + 1</f>
        <v>2</v>
      </c>
      <c r="E223" s="64"/>
      <c r="F223" s="13">
        <f t="array" ref="F223">IFERROR(INDEX($B$1:$B$1109, SMALL(IF($D$1:$D$1109=$E$3,ROW($D$1:$D$1109)),ROW()-2),1),"")</f>
        <v>2</v>
      </c>
      <c r="G223" s="13">
        <f t="array" ref="G223">IFERROR(INDEX($C$1:$C$1109, SMALL(IF($D$1:$D$1109=$E$3,ROW($D$1:$D$1109)),ROW()-2),1),"")</f>
        <v>42.774299999999997</v>
      </c>
      <c r="H223" s="140">
        <f t="array" ref="H223">IFERROR(INDEX($B$1:$B$1109, SMALL(IF($D$1:$D$1109=$E$4,ROW($D$1:$D$1109)),ROW()-2),1),"")</f>
        <v>2</v>
      </c>
      <c r="I223" s="140">
        <f t="array" ref="I223">IFERROR(INDEX($C$1:$C$1109, SMALL(IF($D$1:$D$1109=$E$4,ROW($D$1:$D$1109)),ROW()-2),1),"")</f>
        <v>60.1</v>
      </c>
      <c r="J223" s="10">
        <f t="array" ref="J223">IFERROR(INDEX($B$1:$B$1109, SMALL(IF($D$1:$D$1109=$E$5,ROW($D$1:$D$1109)),ROW()-2),1),"")</f>
        <v>3.5</v>
      </c>
      <c r="K223" s="10">
        <f t="array" ref="K223">IFERROR(INDEX($C$1:$C$1109, SMALL(IF($D$1:$D$1109=$E$5,ROW($D$1:$D$1109)),ROW()-2),1),"")</f>
        <v>34.700000000000003</v>
      </c>
      <c r="L223" s="62"/>
      <c r="R223" s="13">
        <v>2</v>
      </c>
      <c r="S223" s="13">
        <v>42.774299999999997</v>
      </c>
      <c r="T223" s="140">
        <v>2</v>
      </c>
      <c r="U223" s="140">
        <v>60.1</v>
      </c>
      <c r="V223" s="10">
        <v>3.5</v>
      </c>
      <c r="W223" s="10">
        <v>34.700000000000003</v>
      </c>
    </row>
    <row r="224" spans="1:23" ht="15.75">
      <c r="A224" s="64">
        <f t="shared" ca="1" si="3"/>
        <v>0.25666960839126496</v>
      </c>
      <c r="B224" s="74">
        <v>3.5</v>
      </c>
      <c r="C224" s="71">
        <v>36.556399999999996</v>
      </c>
      <c r="D224" s="132">
        <f t="array" ref="D224">MOD(ROW(), 3) + 1</f>
        <v>3</v>
      </c>
      <c r="E224" s="64"/>
      <c r="F224" s="13">
        <f t="array" ref="F224">IFERROR(INDEX($B$1:$B$1109, SMALL(IF($D$1:$D$1109=$E$3,ROW($D$1:$D$1109)),ROW()-2),1),"")</f>
        <v>6.2</v>
      </c>
      <c r="G224" s="13">
        <f t="array" ref="G224">IFERROR(INDEX($C$1:$C$1109, SMALL(IF($D$1:$D$1109=$E$3,ROW($D$1:$D$1109)),ROW()-2),1),"")</f>
        <v>28.4</v>
      </c>
      <c r="H224" s="140">
        <f t="array" ref="H224">IFERROR(INDEX($B$1:$B$1109, SMALL(IF($D$1:$D$1109=$E$4,ROW($D$1:$D$1109)),ROW()-2),1),"")</f>
        <v>3.6</v>
      </c>
      <c r="I224" s="140">
        <f t="array" ref="I224">IFERROR(INDEX($C$1:$C$1109, SMALL(IF($D$1:$D$1109=$E$4,ROW($D$1:$D$1109)),ROW()-2),1),"")</f>
        <v>34.270800000000001</v>
      </c>
      <c r="J224" s="10">
        <f t="array" ref="J224">IFERROR(INDEX($B$1:$B$1109, SMALL(IF($D$1:$D$1109=$E$5,ROW($D$1:$D$1109)),ROW()-2),1),"")</f>
        <v>4.4000000000000004</v>
      </c>
      <c r="K224" s="10">
        <f t="array" ref="K224">IFERROR(INDEX($C$1:$C$1109, SMALL(IF($D$1:$D$1109=$E$5,ROW($D$1:$D$1109)),ROW()-2),1),"")</f>
        <v>30.172599999999999</v>
      </c>
      <c r="L224" s="62"/>
      <c r="R224" s="13">
        <v>6.2</v>
      </c>
      <c r="S224" s="13">
        <v>28.4</v>
      </c>
      <c r="T224" s="140">
        <v>3.6</v>
      </c>
      <c r="U224" s="140">
        <v>34.270800000000001</v>
      </c>
      <c r="V224" s="10">
        <v>4.4000000000000004</v>
      </c>
      <c r="W224" s="10">
        <v>30.172599999999999</v>
      </c>
    </row>
    <row r="225" spans="1:23" ht="15.75">
      <c r="A225" s="64">
        <f t="shared" ca="1" si="3"/>
        <v>0.2598950047622206</v>
      </c>
      <c r="B225" s="74">
        <v>5.7</v>
      </c>
      <c r="C225" s="71">
        <v>25.4</v>
      </c>
      <c r="D225" s="132">
        <f t="array" ref="D225">MOD(ROW(), 3) + 1</f>
        <v>1</v>
      </c>
      <c r="E225" s="64"/>
      <c r="F225" s="13">
        <f t="array" ref="F225">IFERROR(INDEX($B$1:$B$1109, SMALL(IF($D$1:$D$1109=$E$3,ROW($D$1:$D$1109)),ROW()-2),1),"")</f>
        <v>1</v>
      </c>
      <c r="G225" s="13">
        <f t="array" ref="G225">IFERROR(INDEX($C$1:$C$1109, SMALL(IF($D$1:$D$1109=$E$3,ROW($D$1:$D$1109)),ROW()-2),1),"")</f>
        <v>57.8</v>
      </c>
      <c r="H225" s="140">
        <f t="array" ref="H225">IFERROR(INDEX($B$1:$B$1109, SMALL(IF($D$1:$D$1109=$E$4,ROW($D$1:$D$1109)),ROW()-2),1),"")</f>
        <v>4</v>
      </c>
      <c r="I225" s="140">
        <f t="array" ref="I225">IFERROR(INDEX($C$1:$C$1109, SMALL(IF($D$1:$D$1109=$E$4,ROW($D$1:$D$1109)),ROW()-2),1),"")</f>
        <v>30.9375</v>
      </c>
      <c r="J225" s="10">
        <f t="array" ref="J225">IFERROR(INDEX($B$1:$B$1109, SMALL(IF($D$1:$D$1109=$E$5,ROW($D$1:$D$1109)),ROW()-2),1),"")</f>
        <v>4</v>
      </c>
      <c r="K225" s="10">
        <f t="array" ref="K225">IFERROR(INDEX($C$1:$C$1109, SMALL(IF($D$1:$D$1109=$E$5,ROW($D$1:$D$1109)),ROW()-2),1),"")</f>
        <v>28.5</v>
      </c>
      <c r="L225" s="62"/>
      <c r="R225" s="13">
        <v>1</v>
      </c>
      <c r="S225" s="13">
        <v>57.8</v>
      </c>
      <c r="T225" s="140">
        <v>4</v>
      </c>
      <c r="U225" s="140">
        <v>30.9375</v>
      </c>
      <c r="V225" s="10">
        <v>4</v>
      </c>
      <c r="W225" s="10">
        <v>28.5</v>
      </c>
    </row>
    <row r="226" spans="1:23" ht="15.75">
      <c r="A226" s="64">
        <f t="shared" ca="1" si="3"/>
        <v>0.52719585335424735</v>
      </c>
      <c r="B226" s="74">
        <v>5.3</v>
      </c>
      <c r="C226" s="71">
        <v>24.299900000000001</v>
      </c>
      <c r="D226" s="132">
        <f t="array" ref="D226">MOD(ROW(), 3) + 1</f>
        <v>2</v>
      </c>
      <c r="E226" s="64"/>
      <c r="F226" s="13">
        <f t="array" ref="F226">IFERROR(INDEX($B$1:$B$1109, SMALL(IF($D$1:$D$1109=$E$3,ROW($D$1:$D$1109)),ROW()-2),1),"")</f>
        <v>2</v>
      </c>
      <c r="G226" s="13">
        <f t="array" ref="G226">IFERROR(INDEX($C$1:$C$1109, SMALL(IF($D$1:$D$1109=$E$3,ROW($D$1:$D$1109)),ROW()-2),1),"")</f>
        <v>43.1</v>
      </c>
      <c r="H226" s="140">
        <f t="array" ref="H226">IFERROR(INDEX($B$1:$B$1109, SMALL(IF($D$1:$D$1109=$E$4,ROW($D$1:$D$1109)),ROW()-2),1),"")</f>
        <v>2.7</v>
      </c>
      <c r="I226" s="140">
        <f t="array" ref="I226">IFERROR(INDEX($C$1:$C$1109, SMALL(IF($D$1:$D$1109=$E$4,ROW($D$1:$D$1109)),ROW()-2),1),"")</f>
        <v>31.7</v>
      </c>
      <c r="J226" s="10">
        <f t="array" ref="J226">IFERROR(INDEX($B$1:$B$1109, SMALL(IF($D$1:$D$1109=$E$5,ROW($D$1:$D$1109)),ROW()-2),1),"")</f>
        <v>2</v>
      </c>
      <c r="K226" s="10">
        <f t="array" ref="K226">IFERROR(INDEX($C$1:$C$1109, SMALL(IF($D$1:$D$1109=$E$5,ROW($D$1:$D$1109)),ROW()-2),1),"")</f>
        <v>60.1</v>
      </c>
      <c r="L226" s="62"/>
      <c r="R226" s="13">
        <v>2</v>
      </c>
      <c r="S226" s="13">
        <v>43.1</v>
      </c>
      <c r="T226" s="140">
        <v>2.7</v>
      </c>
      <c r="U226" s="140">
        <v>31.7</v>
      </c>
      <c r="V226" s="10">
        <v>2</v>
      </c>
      <c r="W226" s="10">
        <v>60.1</v>
      </c>
    </row>
    <row r="227" spans="1:23" ht="15.75">
      <c r="A227" s="64">
        <f t="shared" ca="1" si="3"/>
        <v>0.17136738852901157</v>
      </c>
      <c r="B227" s="74">
        <v>2.2000000000000002</v>
      </c>
      <c r="C227" s="71">
        <v>51.9</v>
      </c>
      <c r="D227" s="132">
        <f t="array" ref="D227">MOD(ROW(), 3) + 1</f>
        <v>3</v>
      </c>
      <c r="E227" s="64"/>
      <c r="F227" s="13">
        <f t="array" ref="F227">IFERROR(INDEX($B$1:$B$1109, SMALL(IF($D$1:$D$1109=$E$3,ROW($D$1:$D$1109)),ROW()-2),1),"")</f>
        <v>3.5</v>
      </c>
      <c r="G227" s="13">
        <f t="array" ref="G227">IFERROR(INDEX($C$1:$C$1109, SMALL(IF($D$1:$D$1109=$E$3,ROW($D$1:$D$1109)),ROW()-2),1),"")</f>
        <v>41.2</v>
      </c>
      <c r="H227" s="140">
        <f t="array" ref="H227">IFERROR(INDEX($B$1:$B$1109, SMALL(IF($D$1:$D$1109=$E$4,ROW($D$1:$D$1109)),ROW()-2),1),"")</f>
        <v>2.4</v>
      </c>
      <c r="I227" s="140">
        <f t="array" ref="I227">IFERROR(INDEX($C$1:$C$1109, SMALL(IF($D$1:$D$1109=$E$4,ROW($D$1:$D$1109)),ROW()-2),1),"")</f>
        <v>34.700000000000003</v>
      </c>
      <c r="J227" s="10">
        <f t="array" ref="J227">IFERROR(INDEX($B$1:$B$1109, SMALL(IF($D$1:$D$1109=$E$5,ROW($D$1:$D$1109)),ROW()-2),1),"")</f>
        <v>5</v>
      </c>
      <c r="K227" s="10">
        <f t="array" ref="K227">IFERROR(INDEX($C$1:$C$1109, SMALL(IF($D$1:$D$1109=$E$5,ROW($D$1:$D$1109)),ROW()-2),1),"")</f>
        <v>32.088799999999999</v>
      </c>
      <c r="L227" s="62"/>
      <c r="R227" s="13">
        <v>3.5</v>
      </c>
      <c r="S227" s="13">
        <v>41.2</v>
      </c>
      <c r="T227" s="140">
        <v>2.4</v>
      </c>
      <c r="U227" s="140">
        <v>34.700000000000003</v>
      </c>
      <c r="V227" s="10">
        <v>5</v>
      </c>
      <c r="W227" s="10">
        <v>32.088799999999999</v>
      </c>
    </row>
    <row r="228" spans="1:23" ht="15.75">
      <c r="A228" s="64">
        <f t="shared" ca="1" si="3"/>
        <v>0.83562644008089582</v>
      </c>
      <c r="B228" s="74">
        <v>2.5</v>
      </c>
      <c r="C228" s="71">
        <v>40.4</v>
      </c>
      <c r="D228" s="132">
        <f t="array" ref="D228">MOD(ROW(), 3) + 1</f>
        <v>1</v>
      </c>
      <c r="E228" s="64"/>
      <c r="F228" s="13">
        <f t="array" ref="F228">IFERROR(INDEX($B$1:$B$1109, SMALL(IF($D$1:$D$1109=$E$3,ROW($D$1:$D$1109)),ROW()-2),1),"")</f>
        <v>3.2</v>
      </c>
      <c r="G228" s="13">
        <f t="array" ref="G228">IFERROR(INDEX($C$1:$C$1109, SMALL(IF($D$1:$D$1109=$E$3,ROW($D$1:$D$1109)),ROW()-2),1),"")</f>
        <v>30.492599999999999</v>
      </c>
      <c r="H228" s="140">
        <f t="array" ref="H228">IFERROR(INDEX($B$1:$B$1109, SMALL(IF($D$1:$D$1109=$E$4,ROW($D$1:$D$1109)),ROW()-2),1),"")</f>
        <v>3.5</v>
      </c>
      <c r="I228" s="140">
        <f t="array" ref="I228">IFERROR(INDEX($C$1:$C$1109, SMALL(IF($D$1:$D$1109=$E$4,ROW($D$1:$D$1109)),ROW()-2),1),"")</f>
        <v>34.792700000000004</v>
      </c>
      <c r="J228" s="10">
        <f t="array" ref="J228">IFERROR(INDEX($B$1:$B$1109, SMALL(IF($D$1:$D$1109=$E$5,ROW($D$1:$D$1109)),ROW()-2),1),"")</f>
        <v>1.6</v>
      </c>
      <c r="K228" s="10">
        <f t="array" ref="K228">IFERROR(INDEX($C$1:$C$1109, SMALL(IF($D$1:$D$1109=$E$5,ROW($D$1:$D$1109)),ROW()-2),1),"")</f>
        <v>50.820500000000003</v>
      </c>
      <c r="L228" s="62"/>
      <c r="R228" s="13">
        <v>3.2</v>
      </c>
      <c r="S228" s="13">
        <v>30.492599999999999</v>
      </c>
      <c r="T228" s="140">
        <v>3.5</v>
      </c>
      <c r="U228" s="140">
        <v>34.792700000000004</v>
      </c>
      <c r="V228" s="10">
        <v>1.6</v>
      </c>
      <c r="W228" s="10">
        <v>50.820500000000003</v>
      </c>
    </row>
    <row r="229" spans="1:23" ht="15.75">
      <c r="A229" s="64">
        <f t="shared" ca="1" si="3"/>
        <v>6.3809930013082328E-2</v>
      </c>
      <c r="B229" s="74">
        <v>4</v>
      </c>
      <c r="C229" s="71">
        <v>35.200000000000003</v>
      </c>
      <c r="D229" s="132">
        <f t="array" ref="D229">MOD(ROW(), 3) + 1</f>
        <v>2</v>
      </c>
      <c r="E229" s="64"/>
      <c r="F229" s="13">
        <f t="array" ref="F229">IFERROR(INDEX($B$1:$B$1109, SMALL(IF($D$1:$D$1109=$E$3,ROW($D$1:$D$1109)),ROW()-2),1),"")</f>
        <v>3.5</v>
      </c>
      <c r="G229" s="13">
        <f t="array" ref="G229">IFERROR(INDEX($C$1:$C$1109, SMALL(IF($D$1:$D$1109=$E$3,ROW($D$1:$D$1109)),ROW()-2),1),"")</f>
        <v>32.1</v>
      </c>
      <c r="H229" s="140">
        <f t="array" ref="H229">IFERROR(INDEX($B$1:$B$1109, SMALL(IF($D$1:$D$1109=$E$4,ROW($D$1:$D$1109)),ROW()-2),1),"")</f>
        <v>2</v>
      </c>
      <c r="I229" s="140">
        <f t="array" ref="I229">IFERROR(INDEX($C$1:$C$1109, SMALL(IF($D$1:$D$1109=$E$4,ROW($D$1:$D$1109)),ROW()-2),1),"")</f>
        <v>42.8</v>
      </c>
      <c r="J229" s="10">
        <f t="array" ref="J229">IFERROR(INDEX($B$1:$B$1109, SMALL(IF($D$1:$D$1109=$E$5,ROW($D$1:$D$1109)),ROW()-2),1),"")</f>
        <v>3</v>
      </c>
      <c r="K229" s="10">
        <f t="array" ref="K229">IFERROR(INDEX($C$1:$C$1109, SMALL(IF($D$1:$D$1109=$E$5,ROW($D$1:$D$1109)),ROW()-2),1),"")</f>
        <v>39.493699999999997</v>
      </c>
      <c r="L229" s="62"/>
      <c r="R229" s="13">
        <v>3.5</v>
      </c>
      <c r="S229" s="13">
        <v>32.1</v>
      </c>
      <c r="T229" s="140">
        <v>2</v>
      </c>
      <c r="U229" s="140">
        <v>42.8</v>
      </c>
      <c r="V229" s="10">
        <v>3</v>
      </c>
      <c r="W229" s="10">
        <v>39.493699999999997</v>
      </c>
    </row>
    <row r="230" spans="1:23" ht="15.75">
      <c r="A230" s="64">
        <f t="shared" ca="1" si="3"/>
        <v>0.43985361440293858</v>
      </c>
      <c r="B230" s="74">
        <v>2.4</v>
      </c>
      <c r="C230" s="71">
        <v>44.344000000000001</v>
      </c>
      <c r="D230" s="132">
        <f t="array" ref="D230">MOD(ROW(), 3) + 1</f>
        <v>3</v>
      </c>
      <c r="E230" s="64"/>
      <c r="F230" s="13">
        <f t="array" ref="F230">IFERROR(INDEX($B$1:$B$1109, SMALL(IF($D$1:$D$1109=$E$3,ROW($D$1:$D$1109)),ROW()-2),1),"")</f>
        <v>2</v>
      </c>
      <c r="G230" s="13">
        <f t="array" ref="G230">IFERROR(INDEX($C$1:$C$1109, SMALL(IF($D$1:$D$1109=$E$3,ROW($D$1:$D$1109)),ROW()-2),1),"")</f>
        <v>42.575000000000003</v>
      </c>
      <c r="H230" s="140">
        <f t="array" ref="H230">IFERROR(INDEX($B$1:$B$1109, SMALL(IF($D$1:$D$1109=$E$4,ROW($D$1:$D$1109)),ROW()-2),1),"")</f>
        <v>2</v>
      </c>
      <c r="I230" s="140">
        <f t="array" ref="I230">IFERROR(INDEX($C$1:$C$1109, SMALL(IF($D$1:$D$1109=$E$4,ROW($D$1:$D$1109)),ROW()-2),1),"")</f>
        <v>37.798900000000003</v>
      </c>
      <c r="J230" s="10">
        <f t="array" ref="J230">IFERROR(INDEX($B$1:$B$1109, SMALL(IF($D$1:$D$1109=$E$5,ROW($D$1:$D$1109)),ROW()-2),1),"")</f>
        <v>3.5</v>
      </c>
      <c r="K230" s="10">
        <f t="array" ref="K230">IFERROR(INDEX($C$1:$C$1109, SMALL(IF($D$1:$D$1109=$E$5,ROW($D$1:$D$1109)),ROW()-2),1),"")</f>
        <v>34.9</v>
      </c>
      <c r="L230" s="62"/>
      <c r="R230" s="13">
        <v>2</v>
      </c>
      <c r="S230" s="13">
        <v>42.575000000000003</v>
      </c>
      <c r="T230" s="140">
        <v>2</v>
      </c>
      <c r="U230" s="140">
        <v>37.798900000000003</v>
      </c>
      <c r="V230" s="10">
        <v>3.5</v>
      </c>
      <c r="W230" s="10">
        <v>34.9</v>
      </c>
    </row>
    <row r="231" spans="1:23" ht="15.75">
      <c r="A231" s="64">
        <f t="shared" ca="1" si="3"/>
        <v>7.195776026361056E-2</v>
      </c>
      <c r="B231" s="74">
        <v>4</v>
      </c>
      <c r="C231" s="71">
        <v>28.3</v>
      </c>
      <c r="D231" s="132">
        <f t="array" ref="D231">MOD(ROW(), 3) + 1</f>
        <v>1</v>
      </c>
      <c r="E231" s="64"/>
      <c r="F231" s="13">
        <f t="array" ref="F231">IFERROR(INDEX($B$1:$B$1109, SMALL(IF($D$1:$D$1109=$E$3,ROW($D$1:$D$1109)),ROW()-2),1),"")</f>
        <v>3.5</v>
      </c>
      <c r="G231" s="13">
        <f t="array" ref="G231">IFERROR(INDEX($C$1:$C$1109, SMALL(IF($D$1:$D$1109=$E$3,ROW($D$1:$D$1109)),ROW()-2),1),"")</f>
        <v>33.1</v>
      </c>
      <c r="H231" s="140">
        <f t="array" ref="H231">IFERROR(INDEX($B$1:$B$1109, SMALL(IF($D$1:$D$1109=$E$4,ROW($D$1:$D$1109)),ROW()-2),1),"")</f>
        <v>4</v>
      </c>
      <c r="I231" s="140">
        <f t="array" ref="I231">IFERROR(INDEX($C$1:$C$1109, SMALL(IF($D$1:$D$1109=$E$4,ROW($D$1:$D$1109)),ROW()-2),1),"")</f>
        <v>28.4</v>
      </c>
      <c r="J231" s="10">
        <f t="array" ref="J231">IFERROR(INDEX($B$1:$B$1109, SMALL(IF($D$1:$D$1109=$E$5,ROW($D$1:$D$1109)),ROW()-2),1),"")</f>
        <v>6</v>
      </c>
      <c r="K231" s="10">
        <f t="array" ref="K231">IFERROR(INDEX($C$1:$C$1109, SMALL(IF($D$1:$D$1109=$E$5,ROW($D$1:$D$1109)),ROW()-2),1),"")</f>
        <v>23.2715</v>
      </c>
      <c r="L231" s="62"/>
      <c r="R231" s="13">
        <v>3.5</v>
      </c>
      <c r="S231" s="13">
        <v>33.1</v>
      </c>
      <c r="T231" s="140">
        <v>4</v>
      </c>
      <c r="U231" s="140">
        <v>28.4</v>
      </c>
      <c r="V231" s="10">
        <v>6</v>
      </c>
      <c r="W231" s="10">
        <v>23.2715</v>
      </c>
    </row>
    <row r="232" spans="1:23" ht="15.75">
      <c r="A232" s="64">
        <f t="shared" ca="1" si="3"/>
        <v>0.97366356575076241</v>
      </c>
      <c r="B232" s="74">
        <v>2</v>
      </c>
      <c r="C232" s="71">
        <v>38.499699999999997</v>
      </c>
      <c r="D232" s="132">
        <f t="array" ref="D232">MOD(ROW(), 3) + 1</f>
        <v>2</v>
      </c>
      <c r="E232" s="64"/>
      <c r="F232" s="13">
        <f t="array" ref="F232">IFERROR(INDEX($B$1:$B$1109, SMALL(IF($D$1:$D$1109=$E$3,ROW($D$1:$D$1109)),ROW()-2),1),"")</f>
        <v>2.5</v>
      </c>
      <c r="G232" s="13">
        <f t="array" ref="G232">IFERROR(INDEX($C$1:$C$1109, SMALL(IF($D$1:$D$1109=$E$3,ROW($D$1:$D$1109)),ROW()-2),1),"")</f>
        <v>36.290100000000002</v>
      </c>
      <c r="H232" s="140">
        <f t="array" ref="H232">IFERROR(INDEX($B$1:$B$1109, SMALL(IF($D$1:$D$1109=$E$4,ROW($D$1:$D$1109)),ROW()-2),1),"")</f>
        <v>3.5</v>
      </c>
      <c r="I232" s="140">
        <f t="array" ref="I232">IFERROR(INDEX($C$1:$C$1109, SMALL(IF($D$1:$D$1109=$E$4,ROW($D$1:$D$1109)),ROW()-2),1),"")</f>
        <v>35.5</v>
      </c>
      <c r="J232" s="10">
        <f t="array" ref="J232">IFERROR(INDEX($B$1:$B$1109, SMALL(IF($D$1:$D$1109=$E$5,ROW($D$1:$D$1109)),ROW()-2),1),"")</f>
        <v>2.7</v>
      </c>
      <c r="K232" s="10">
        <f t="array" ref="K232">IFERROR(INDEX($C$1:$C$1109, SMALL(IF($D$1:$D$1109=$E$5,ROW($D$1:$D$1109)),ROW()-2),1),"")</f>
        <v>36.146299999999997</v>
      </c>
      <c r="L232" s="62"/>
      <c r="R232" s="13">
        <v>2.5</v>
      </c>
      <c r="S232" s="13">
        <v>36.290100000000002</v>
      </c>
      <c r="T232" s="140">
        <v>3.5</v>
      </c>
      <c r="U232" s="140">
        <v>35.5</v>
      </c>
      <c r="V232" s="10">
        <v>2.7</v>
      </c>
      <c r="W232" s="10">
        <v>36.146299999999997</v>
      </c>
    </row>
    <row r="233" spans="1:23" ht="15.75">
      <c r="A233" s="64">
        <f t="shared" ca="1" si="3"/>
        <v>0.26758796239676708</v>
      </c>
      <c r="B233" s="74">
        <v>5.3</v>
      </c>
      <c r="C233" s="71">
        <v>29.3645</v>
      </c>
      <c r="D233" s="132">
        <f t="array" ref="D233">MOD(ROW(), 3) + 1</f>
        <v>3</v>
      </c>
      <c r="E233" s="64"/>
      <c r="F233" s="13">
        <f t="array" ref="F233">IFERROR(INDEX($B$1:$B$1109, SMALL(IF($D$1:$D$1109=$E$3,ROW($D$1:$D$1109)),ROW()-2),1),"")</f>
        <v>2</v>
      </c>
      <c r="G233" s="13">
        <f t="array" ref="G233">IFERROR(INDEX($C$1:$C$1109, SMALL(IF($D$1:$D$1109=$E$3,ROW($D$1:$D$1109)),ROW()-2),1),"")</f>
        <v>46.438699999999997</v>
      </c>
      <c r="H233" s="140">
        <f t="array" ref="H233">IFERROR(INDEX($B$1:$B$1109, SMALL(IF($D$1:$D$1109=$E$4,ROW($D$1:$D$1109)),ROW()-2),1),"")</f>
        <v>3.2</v>
      </c>
      <c r="I233" s="140">
        <f t="array" ref="I233">IFERROR(INDEX($C$1:$C$1109, SMALL(IF($D$1:$D$1109=$E$4,ROW($D$1:$D$1109)),ROW()-2),1),"")</f>
        <v>30.492599999999999</v>
      </c>
      <c r="J233" s="10">
        <f t="array" ref="J233">IFERROR(INDEX($B$1:$B$1109, SMALL(IF($D$1:$D$1109=$E$5,ROW($D$1:$D$1109)),ROW()-2),1),"")</f>
        <v>5.4</v>
      </c>
      <c r="K233" s="10">
        <f t="array" ref="K233">IFERROR(INDEX($C$1:$C$1109, SMALL(IF($D$1:$D$1109=$E$5,ROW($D$1:$D$1109)),ROW()-2),1),"")</f>
        <v>27</v>
      </c>
      <c r="L233" s="62"/>
      <c r="R233" s="13">
        <v>2</v>
      </c>
      <c r="S233" s="13">
        <v>46.438699999999997</v>
      </c>
      <c r="T233" s="140">
        <v>3.2</v>
      </c>
      <c r="U233" s="140">
        <v>30.492599999999999</v>
      </c>
      <c r="V233" s="10">
        <v>5.4</v>
      </c>
      <c r="W233" s="10">
        <v>27</v>
      </c>
    </row>
    <row r="234" spans="1:23" ht="15.75">
      <c r="A234" s="64">
        <f t="shared" ca="1" si="3"/>
        <v>0.4153744586992042</v>
      </c>
      <c r="B234" s="74">
        <v>2.4</v>
      </c>
      <c r="C234" s="71">
        <v>42.214599999999997</v>
      </c>
      <c r="D234" s="132">
        <f t="array" ref="D234">MOD(ROW(), 3) + 1</f>
        <v>1</v>
      </c>
      <c r="E234" s="64"/>
      <c r="F234" s="13">
        <f t="array" ref="F234">IFERROR(INDEX($B$1:$B$1109, SMALL(IF($D$1:$D$1109=$E$3,ROW($D$1:$D$1109)),ROW()-2),1),"")</f>
        <v>5.7</v>
      </c>
      <c r="G234" s="13">
        <f t="array" ref="G234">IFERROR(INDEX($C$1:$C$1109, SMALL(IF($D$1:$D$1109=$E$3,ROW($D$1:$D$1109)),ROW()-2),1),"")</f>
        <v>24.749099999999999</v>
      </c>
      <c r="H234" s="140">
        <f t="array" ref="H234">IFERROR(INDEX($B$1:$B$1109, SMALL(IF($D$1:$D$1109=$E$4,ROW($D$1:$D$1109)),ROW()-2),1),"")</f>
        <v>4</v>
      </c>
      <c r="I234" s="140">
        <f t="array" ref="I234">IFERROR(INDEX($C$1:$C$1109, SMALL(IF($D$1:$D$1109=$E$4,ROW($D$1:$D$1109)),ROW()-2),1),"")</f>
        <v>27.8</v>
      </c>
      <c r="J234" s="10">
        <f t="array" ref="J234">IFERROR(INDEX($B$1:$B$1109, SMALL(IF($D$1:$D$1109=$E$5,ROW($D$1:$D$1109)),ROW()-2),1),"")</f>
        <v>3.8</v>
      </c>
      <c r="K234" s="10">
        <f t="array" ref="K234">IFERROR(INDEX($C$1:$C$1109, SMALL(IF($D$1:$D$1109=$E$5,ROW($D$1:$D$1109)),ROW()-2),1),"")</f>
        <v>26.563199999999998</v>
      </c>
      <c r="L234" s="62"/>
      <c r="R234" s="13">
        <v>5.7</v>
      </c>
      <c r="S234" s="13">
        <v>24.749099999999999</v>
      </c>
      <c r="T234" s="140">
        <v>4</v>
      </c>
      <c r="U234" s="140">
        <v>27.8</v>
      </c>
      <c r="V234" s="10">
        <v>3.8</v>
      </c>
      <c r="W234" s="10">
        <v>26.563199999999998</v>
      </c>
    </row>
    <row r="235" spans="1:23" ht="15.75">
      <c r="A235" s="64">
        <f t="shared" ca="1" si="3"/>
        <v>0.37598897615938198</v>
      </c>
      <c r="B235" s="74">
        <v>6</v>
      </c>
      <c r="C235" s="71">
        <v>30.5</v>
      </c>
      <c r="D235" s="132">
        <f t="array" ref="D235">MOD(ROW(), 3) + 1</f>
        <v>2</v>
      </c>
      <c r="E235" s="64"/>
      <c r="F235" s="13">
        <f t="array" ref="F235">IFERROR(INDEX($B$1:$B$1109, SMALL(IF($D$1:$D$1109=$E$3,ROW($D$1:$D$1109)),ROW()-2),1),"")</f>
        <v>1.8</v>
      </c>
      <c r="G235" s="13">
        <f t="array" ref="G235">IFERROR(INDEX($C$1:$C$1109, SMALL(IF($D$1:$D$1109=$E$3,ROW($D$1:$D$1109)),ROW()-2),1),"")</f>
        <v>69.6404</v>
      </c>
      <c r="H235" s="140">
        <f t="array" ref="H235">IFERROR(INDEX($B$1:$B$1109, SMALL(IF($D$1:$D$1109=$E$4,ROW($D$1:$D$1109)),ROW()-2),1),"")</f>
        <v>2.9</v>
      </c>
      <c r="I235" s="140">
        <f t="array" ref="I235">IFERROR(INDEX($C$1:$C$1109, SMALL(IF($D$1:$D$1109=$E$4,ROW($D$1:$D$1109)),ROW()-2),1),"")</f>
        <v>34.1</v>
      </c>
      <c r="J235" s="10">
        <f t="array" ref="J235">IFERROR(INDEX($B$1:$B$1109, SMALL(IF($D$1:$D$1109=$E$5,ROW($D$1:$D$1109)),ROW()-2),1),"")</f>
        <v>5.3</v>
      </c>
      <c r="K235" s="10">
        <f t="array" ref="K235">IFERROR(INDEX($C$1:$C$1109, SMALL(IF($D$1:$D$1109=$E$5,ROW($D$1:$D$1109)),ROW()-2),1),"")</f>
        <v>27.9</v>
      </c>
      <c r="L235" s="62"/>
      <c r="R235" s="13">
        <v>1.8</v>
      </c>
      <c r="S235" s="13">
        <v>69.6404</v>
      </c>
      <c r="T235" s="140">
        <v>2.9</v>
      </c>
      <c r="U235" s="140">
        <v>34.1</v>
      </c>
      <c r="V235" s="10">
        <v>5.3</v>
      </c>
      <c r="W235" s="10">
        <v>27.9</v>
      </c>
    </row>
    <row r="236" spans="1:23" ht="15.75">
      <c r="A236" s="64">
        <f t="shared" ca="1" si="3"/>
        <v>0.39758421524060639</v>
      </c>
      <c r="B236" s="74">
        <v>2</v>
      </c>
      <c r="C236" s="71">
        <v>42.3461</v>
      </c>
      <c r="D236" s="132">
        <f t="array" ref="D236">MOD(ROW(), 3) + 1</f>
        <v>3</v>
      </c>
      <c r="E236" s="64"/>
      <c r="F236" s="13">
        <f t="array" ref="F236">IFERROR(INDEX($B$1:$B$1109, SMALL(IF($D$1:$D$1109=$E$3,ROW($D$1:$D$1109)),ROW()-2),1),"")</f>
        <v>1.8</v>
      </c>
      <c r="G236" s="13">
        <f t="array" ref="G236">IFERROR(INDEX($C$1:$C$1109, SMALL(IF($D$1:$D$1109=$E$3,ROW($D$1:$D$1109)),ROW()-2),1),"")</f>
        <v>44.7393</v>
      </c>
      <c r="H236" s="140">
        <f t="array" ref="H236">IFERROR(INDEX($B$1:$B$1109, SMALL(IF($D$1:$D$1109=$E$4,ROW($D$1:$D$1109)),ROW()-2),1),"")</f>
        <v>5.7</v>
      </c>
      <c r="I236" s="140">
        <f t="array" ref="I236">IFERROR(INDEX($C$1:$C$1109, SMALL(IF($D$1:$D$1109=$E$4,ROW($D$1:$D$1109)),ROW()-2),1),"")</f>
        <v>23.999300000000002</v>
      </c>
      <c r="J236" s="10">
        <f t="array" ref="J236">IFERROR(INDEX($B$1:$B$1109, SMALL(IF($D$1:$D$1109=$E$5,ROW($D$1:$D$1109)),ROW()-2),1),"")</f>
        <v>2.5</v>
      </c>
      <c r="K236" s="10">
        <f t="array" ref="K236">IFERROR(INDEX($C$1:$C$1109, SMALL(IF($D$1:$D$1109=$E$5,ROW($D$1:$D$1109)),ROW()-2),1),"")</f>
        <v>40.200000000000003</v>
      </c>
      <c r="L236" s="62"/>
      <c r="R236" s="13">
        <v>1.8</v>
      </c>
      <c r="S236" s="13">
        <v>44.7393</v>
      </c>
      <c r="T236" s="140">
        <v>5.7</v>
      </c>
      <c r="U236" s="140">
        <v>23.999300000000002</v>
      </c>
      <c r="V236" s="10">
        <v>2.5</v>
      </c>
      <c r="W236" s="10">
        <v>40.200000000000003</v>
      </c>
    </row>
    <row r="237" spans="1:23" ht="15.75">
      <c r="A237" s="64">
        <f t="shared" ca="1" si="3"/>
        <v>0.21904071706828043</v>
      </c>
      <c r="B237" s="74">
        <v>4.7</v>
      </c>
      <c r="C237" s="71">
        <v>25.6</v>
      </c>
      <c r="D237" s="132">
        <f t="array" ref="D237">MOD(ROW(), 3) + 1</f>
        <v>1</v>
      </c>
      <c r="E237" s="64"/>
      <c r="F237" s="13">
        <f t="array" ref="F237">IFERROR(INDEX($B$1:$B$1109, SMALL(IF($D$1:$D$1109=$E$3,ROW($D$1:$D$1109)),ROW()-2),1),"")</f>
        <v>2</v>
      </c>
      <c r="G237" s="13">
        <f t="array" ref="G237">IFERROR(INDEX($C$1:$C$1109, SMALL(IF($D$1:$D$1109=$E$3,ROW($D$1:$D$1109)),ROW()-2),1),"")</f>
        <v>47.296399999999998</v>
      </c>
      <c r="H237" s="140">
        <f t="array" ref="H237">IFERROR(INDEX($B$1:$B$1109, SMALL(IF($D$1:$D$1109=$E$4,ROW($D$1:$D$1109)),ROW()-2),1),"")</f>
        <v>2</v>
      </c>
      <c r="I237" s="140">
        <f t="array" ref="I237">IFERROR(INDEX($C$1:$C$1109, SMALL(IF($D$1:$D$1109=$E$4,ROW($D$1:$D$1109)),ROW()-2),1),"")</f>
        <v>41.2</v>
      </c>
      <c r="J237" s="10">
        <f t="array" ref="J237">IFERROR(INDEX($B$1:$B$1109, SMALL(IF($D$1:$D$1109=$E$5,ROW($D$1:$D$1109)),ROW()-2),1),"")</f>
        <v>4</v>
      </c>
      <c r="K237" s="10">
        <f t="array" ref="K237">IFERROR(INDEX($C$1:$C$1109, SMALL(IF($D$1:$D$1109=$E$5,ROW($D$1:$D$1109)),ROW()-2),1),"")</f>
        <v>26.2</v>
      </c>
      <c r="L237" s="62"/>
      <c r="R237" s="13">
        <v>2</v>
      </c>
      <c r="S237" s="13">
        <v>47.296399999999998</v>
      </c>
      <c r="T237" s="140">
        <v>2</v>
      </c>
      <c r="U237" s="140">
        <v>41.2</v>
      </c>
      <c r="V237" s="10">
        <v>4</v>
      </c>
      <c r="W237" s="10">
        <v>26.2</v>
      </c>
    </row>
    <row r="238" spans="1:23" ht="15.75">
      <c r="A238" s="64">
        <f t="shared" ca="1" si="3"/>
        <v>0.83686148405786998</v>
      </c>
      <c r="B238" s="74">
        <v>3</v>
      </c>
      <c r="C238" s="71">
        <v>36.798000000000002</v>
      </c>
      <c r="D238" s="132">
        <f t="array" ref="D238">MOD(ROW(), 3) + 1</f>
        <v>2</v>
      </c>
      <c r="E238" s="64"/>
      <c r="F238" s="13">
        <f t="array" ref="F238">IFERROR(INDEX($B$1:$B$1109, SMALL(IF($D$1:$D$1109=$E$3,ROW($D$1:$D$1109)),ROW()-2),1),"")</f>
        <v>3.5</v>
      </c>
      <c r="G238" s="13">
        <f t="array" ref="G238">IFERROR(INDEX($C$1:$C$1109, SMALL(IF($D$1:$D$1109=$E$3,ROW($D$1:$D$1109)),ROW()-2),1),"")</f>
        <v>41.2</v>
      </c>
      <c r="H238" s="140">
        <f t="array" ref="H238">IFERROR(INDEX($B$1:$B$1109, SMALL(IF($D$1:$D$1109=$E$4,ROW($D$1:$D$1109)),ROW()-2),1),"")</f>
        <v>5.3</v>
      </c>
      <c r="I238" s="140">
        <f t="array" ref="I238">IFERROR(INDEX($C$1:$C$1109, SMALL(IF($D$1:$D$1109=$E$4,ROW($D$1:$D$1109)),ROW()-2),1),"")</f>
        <v>26.6</v>
      </c>
      <c r="J238" s="10">
        <f t="array" ref="J238">IFERROR(INDEX($B$1:$B$1109, SMALL(IF($D$1:$D$1109=$E$5,ROW($D$1:$D$1109)),ROW()-2),1),"")</f>
        <v>2</v>
      </c>
      <c r="K238" s="10">
        <f t="array" ref="K238">IFERROR(INDEX($C$1:$C$1109, SMALL(IF($D$1:$D$1109=$E$5,ROW($D$1:$D$1109)),ROW()-2),1),"")</f>
        <v>60.1</v>
      </c>
      <c r="L238" s="62"/>
      <c r="R238" s="13">
        <v>3.5</v>
      </c>
      <c r="S238" s="13">
        <v>41.2</v>
      </c>
      <c r="T238" s="140">
        <v>5.3</v>
      </c>
      <c r="U238" s="140">
        <v>26.6</v>
      </c>
      <c r="V238" s="10">
        <v>2</v>
      </c>
      <c r="W238" s="10">
        <v>60.1</v>
      </c>
    </row>
    <row r="239" spans="1:23" ht="15.75">
      <c r="A239" s="64">
        <f t="shared" ca="1" si="3"/>
        <v>0.8144024607879875</v>
      </c>
      <c r="B239" s="74">
        <v>2</v>
      </c>
      <c r="C239" s="71">
        <v>43</v>
      </c>
      <c r="D239" s="132">
        <f t="array" ref="D239">MOD(ROW(), 3) + 1</f>
        <v>3</v>
      </c>
      <c r="E239" s="64"/>
      <c r="F239" s="13">
        <f t="array" ref="F239">IFERROR(INDEX($B$1:$B$1109, SMALL(IF($D$1:$D$1109=$E$3,ROW($D$1:$D$1109)),ROW()-2),1),"")</f>
        <v>4</v>
      </c>
      <c r="G239" s="13">
        <f t="array" ref="G239">IFERROR(INDEX($C$1:$C$1109, SMALL(IF($D$1:$D$1109=$E$3,ROW($D$1:$D$1109)),ROW()-2),1),"")</f>
        <v>26.6538</v>
      </c>
      <c r="H239" s="140">
        <f t="array" ref="H239">IFERROR(INDEX($B$1:$B$1109, SMALL(IF($D$1:$D$1109=$E$4,ROW($D$1:$D$1109)),ROW()-2),1),"")</f>
        <v>2.4</v>
      </c>
      <c r="I239" s="140">
        <f t="array" ref="I239">IFERROR(INDEX($C$1:$C$1109, SMALL(IF($D$1:$D$1109=$E$4,ROW($D$1:$D$1109)),ROW()-2),1),"")</f>
        <v>40.299999999999997</v>
      </c>
      <c r="J239" s="10">
        <f t="array" ref="J239">IFERROR(INDEX($B$1:$B$1109, SMALL(IF($D$1:$D$1109=$E$5,ROW($D$1:$D$1109)),ROW()-2),1),"")</f>
        <v>1.5</v>
      </c>
      <c r="K239" s="10">
        <f t="array" ref="K239">IFERROR(INDEX($C$1:$C$1109, SMALL(IF($D$1:$D$1109=$E$5,ROW($D$1:$D$1109)),ROW()-2),1),"")</f>
        <v>48.862200000000001</v>
      </c>
      <c r="L239" s="62"/>
      <c r="R239" s="13">
        <v>4</v>
      </c>
      <c r="S239" s="13">
        <v>26.6538</v>
      </c>
      <c r="T239" s="140">
        <v>2.4</v>
      </c>
      <c r="U239" s="140">
        <v>40.299999999999997</v>
      </c>
      <c r="V239" s="10">
        <v>1.5</v>
      </c>
      <c r="W239" s="10">
        <v>48.862200000000001</v>
      </c>
    </row>
    <row r="240" spans="1:23" ht="15.75">
      <c r="A240" s="64">
        <f t="shared" ca="1" si="3"/>
        <v>0.75627638426518629</v>
      </c>
      <c r="B240" s="74">
        <v>5.9</v>
      </c>
      <c r="C240" s="71">
        <v>23.6523</v>
      </c>
      <c r="D240" s="132">
        <f t="array" ref="D240">MOD(ROW(), 3) + 1</f>
        <v>1</v>
      </c>
      <c r="E240" s="64"/>
      <c r="F240" s="13">
        <f t="array" ref="F240">IFERROR(INDEX($B$1:$B$1109, SMALL(IF($D$1:$D$1109=$E$3,ROW($D$1:$D$1109)),ROW()-2),1),"")</f>
        <v>2</v>
      </c>
      <c r="G240" s="13">
        <f t="array" ref="G240">IFERROR(INDEX($C$1:$C$1109, SMALL(IF($D$1:$D$1109=$E$3,ROW($D$1:$D$1109)),ROW()-2),1),"")</f>
        <v>36.200000000000003</v>
      </c>
      <c r="H240" s="140">
        <f t="array" ref="H240">IFERROR(INDEX($B$1:$B$1109, SMALL(IF($D$1:$D$1109=$E$4,ROW($D$1:$D$1109)),ROW()-2),1),"")</f>
        <v>2</v>
      </c>
      <c r="I240" s="140">
        <f t="array" ref="I240">IFERROR(INDEX($C$1:$C$1109, SMALL(IF($D$1:$D$1109=$E$4,ROW($D$1:$D$1109)),ROW()-2),1),"")</f>
        <v>38</v>
      </c>
      <c r="J240" s="10">
        <f t="array" ref="J240">IFERROR(INDEX($B$1:$B$1109, SMALL(IF($D$1:$D$1109=$E$5,ROW($D$1:$D$1109)),ROW()-2),1),"")</f>
        <v>4</v>
      </c>
      <c r="K240" s="10">
        <f t="array" ref="K240">IFERROR(INDEX($C$1:$C$1109, SMALL(IF($D$1:$D$1109=$E$5,ROW($D$1:$D$1109)),ROW()-2),1),"")</f>
        <v>26.384599999999999</v>
      </c>
      <c r="L240" s="62"/>
      <c r="R240" s="13">
        <v>2</v>
      </c>
      <c r="S240" s="13">
        <v>36.200000000000003</v>
      </c>
      <c r="T240" s="140">
        <v>2</v>
      </c>
      <c r="U240" s="140">
        <v>38</v>
      </c>
      <c r="V240" s="10">
        <v>4</v>
      </c>
      <c r="W240" s="10">
        <v>26.384599999999999</v>
      </c>
    </row>
    <row r="241" spans="1:23" ht="15.75">
      <c r="A241" s="64">
        <f t="shared" ca="1" si="3"/>
        <v>0.8529392603122582</v>
      </c>
      <c r="B241" s="74">
        <v>3</v>
      </c>
      <c r="C241" s="71">
        <v>35.460599999999999</v>
      </c>
      <c r="D241" s="132">
        <f t="array" ref="D241">MOD(ROW(), 3) + 1</f>
        <v>2</v>
      </c>
      <c r="E241" s="64"/>
      <c r="F241" s="13">
        <f t="array" ref="F241">IFERROR(INDEX($B$1:$B$1109, SMALL(IF($D$1:$D$1109=$E$3,ROW($D$1:$D$1109)),ROW()-2),1),"")</f>
        <v>3.2</v>
      </c>
      <c r="G241" s="13">
        <f t="array" ref="G241">IFERROR(INDEX($C$1:$C$1109, SMALL(IF($D$1:$D$1109=$E$3,ROW($D$1:$D$1109)),ROW()-2),1),"")</f>
        <v>36.4</v>
      </c>
      <c r="H241" s="140">
        <f t="array" ref="H241">IFERROR(INDEX($B$1:$B$1109, SMALL(IF($D$1:$D$1109=$E$4,ROW($D$1:$D$1109)),ROW()-2),1),"")</f>
        <v>3.6</v>
      </c>
      <c r="I241" s="140">
        <f t="array" ref="I241">IFERROR(INDEX($C$1:$C$1109, SMALL(IF($D$1:$D$1109=$E$4,ROW($D$1:$D$1109)),ROW()-2),1),"")</f>
        <v>33</v>
      </c>
      <c r="J241" s="10">
        <f t="array" ref="J241">IFERROR(INDEX($B$1:$B$1109, SMALL(IF($D$1:$D$1109=$E$5,ROW($D$1:$D$1109)),ROW()-2),1),"")</f>
        <v>3</v>
      </c>
      <c r="K241" s="10">
        <f t="array" ref="K241">IFERROR(INDEX($C$1:$C$1109, SMALL(IF($D$1:$D$1109=$E$5,ROW($D$1:$D$1109)),ROW()-2),1),"")</f>
        <v>35.5</v>
      </c>
      <c r="L241" s="62"/>
      <c r="R241" s="13">
        <v>3.2</v>
      </c>
      <c r="S241" s="13">
        <v>36.4</v>
      </c>
      <c r="T241" s="140">
        <v>3.6</v>
      </c>
      <c r="U241" s="140">
        <v>33</v>
      </c>
      <c r="V241" s="10">
        <v>3</v>
      </c>
      <c r="W241" s="10">
        <v>35.5</v>
      </c>
    </row>
    <row r="242" spans="1:23" ht="15.75">
      <c r="A242" s="64">
        <f t="shared" ca="1" si="3"/>
        <v>1.786013038978751E-2</v>
      </c>
      <c r="B242" s="74">
        <v>2.5</v>
      </c>
      <c r="C242" s="71">
        <v>47.649299999999997</v>
      </c>
      <c r="D242" s="132">
        <f t="array" ref="D242">MOD(ROW(), 3) + 1</f>
        <v>3</v>
      </c>
      <c r="E242" s="64"/>
      <c r="F242" s="13">
        <f t="array" ref="F242">IFERROR(INDEX($B$1:$B$1109, SMALL(IF($D$1:$D$1109=$E$3,ROW($D$1:$D$1109)),ROW()-2),1),"")</f>
        <v>3.8</v>
      </c>
      <c r="G242" s="13">
        <f t="array" ref="G242">IFERROR(INDEX($C$1:$C$1109, SMALL(IF($D$1:$D$1109=$E$3,ROW($D$1:$D$1109)),ROW()-2),1),"")</f>
        <v>34.514800000000001</v>
      </c>
      <c r="H242" s="140">
        <f t="array" ref="H242">IFERROR(INDEX($B$1:$B$1109, SMALL(IF($D$1:$D$1109=$E$4,ROW($D$1:$D$1109)),ROW()-2),1),"")</f>
        <v>2</v>
      </c>
      <c r="I242" s="140">
        <f t="array" ref="I242">IFERROR(INDEX($C$1:$C$1109, SMALL(IF($D$1:$D$1109=$E$4,ROW($D$1:$D$1109)),ROW()-2),1),"")</f>
        <v>43.541400000000003</v>
      </c>
      <c r="J242" s="10">
        <f t="array" ref="J242">IFERROR(INDEX($B$1:$B$1109, SMALL(IF($D$1:$D$1109=$E$5,ROW($D$1:$D$1109)),ROW()-2),1),"")</f>
        <v>2.4</v>
      </c>
      <c r="K242" s="10">
        <f t="array" ref="K242">IFERROR(INDEX($C$1:$C$1109, SMALL(IF($D$1:$D$1109=$E$5,ROW($D$1:$D$1109)),ROW()-2),1),"")</f>
        <v>37.6</v>
      </c>
      <c r="L242" s="62"/>
      <c r="R242" s="13">
        <v>3.8</v>
      </c>
      <c r="S242" s="13">
        <v>34.514800000000001</v>
      </c>
      <c r="T242" s="140">
        <v>2</v>
      </c>
      <c r="U242" s="140">
        <v>43.541400000000003</v>
      </c>
      <c r="V242" s="10">
        <v>2.4</v>
      </c>
      <c r="W242" s="10">
        <v>37.6</v>
      </c>
    </row>
    <row r="243" spans="1:23" ht="15.75">
      <c r="A243" s="64">
        <f t="shared" ca="1" si="3"/>
        <v>0.98647738230167115</v>
      </c>
      <c r="B243" s="74">
        <v>3.5</v>
      </c>
      <c r="C243" s="71">
        <v>34</v>
      </c>
      <c r="D243" s="132">
        <f t="array" ref="D243">MOD(ROW(), 3) + 1</f>
        <v>1</v>
      </c>
      <c r="E243" s="64"/>
      <c r="F243" s="13">
        <f t="array" ref="F243">IFERROR(INDEX($B$1:$B$1109, SMALL(IF($D$1:$D$1109=$E$3,ROW($D$1:$D$1109)),ROW()-2),1),"")</f>
        <v>3.8</v>
      </c>
      <c r="G243" s="13">
        <f t="array" ref="G243">IFERROR(INDEX($C$1:$C$1109, SMALL(IF($D$1:$D$1109=$E$3,ROW($D$1:$D$1109)),ROW()-2),1),"")</f>
        <v>36.934699999999999</v>
      </c>
      <c r="H243" s="140">
        <f t="array" ref="H243">IFERROR(INDEX($B$1:$B$1109, SMALL(IF($D$1:$D$1109=$E$4,ROW($D$1:$D$1109)),ROW()-2),1),"")</f>
        <v>3</v>
      </c>
      <c r="I243" s="140">
        <f t="array" ref="I243">IFERROR(INDEX($C$1:$C$1109, SMALL(IF($D$1:$D$1109=$E$4,ROW($D$1:$D$1109)),ROW()-2),1),"")</f>
        <v>38.169600000000003</v>
      </c>
      <c r="J243" s="10">
        <f t="array" ref="J243">IFERROR(INDEX($B$1:$B$1109, SMALL(IF($D$1:$D$1109=$E$5,ROW($D$1:$D$1109)),ROW()-2),1),"")</f>
        <v>3.7</v>
      </c>
      <c r="K243" s="10">
        <f t="array" ref="K243">IFERROR(INDEX($C$1:$C$1109, SMALL(IF($D$1:$D$1109=$E$5,ROW($D$1:$D$1109)),ROW()-2),1),"")</f>
        <v>34.4</v>
      </c>
      <c r="L243" s="62"/>
      <c r="R243" s="13">
        <v>3.8</v>
      </c>
      <c r="S243" s="13">
        <v>36.934699999999999</v>
      </c>
      <c r="T243" s="140">
        <v>3</v>
      </c>
      <c r="U243" s="140">
        <v>38.169600000000003</v>
      </c>
      <c r="V243" s="10">
        <v>3.7</v>
      </c>
      <c r="W243" s="10">
        <v>34.4</v>
      </c>
    </row>
    <row r="244" spans="1:23" ht="15.75">
      <c r="A244" s="64">
        <f t="shared" ca="1" si="3"/>
        <v>0.58757675690603672</v>
      </c>
      <c r="B244" s="74">
        <v>3.6</v>
      </c>
      <c r="C244" s="71">
        <v>33</v>
      </c>
      <c r="D244" s="132">
        <f t="array" ref="D244">MOD(ROW(), 3) + 1</f>
        <v>2</v>
      </c>
      <c r="E244" s="64"/>
      <c r="F244" s="13">
        <f t="array" ref="F244">IFERROR(INDEX($B$1:$B$1109, SMALL(IF($D$1:$D$1109=$E$3,ROW($D$1:$D$1109)),ROW()-2),1),"")</f>
        <v>2.4</v>
      </c>
      <c r="G244" s="13">
        <f t="array" ref="G244">IFERROR(INDEX($C$1:$C$1109, SMALL(IF($D$1:$D$1109=$E$3,ROW($D$1:$D$1109)),ROW()-2),1),"")</f>
        <v>35.587699999999998</v>
      </c>
      <c r="H244" s="140">
        <f t="array" ref="H244">IFERROR(INDEX($B$1:$B$1109, SMALL(IF($D$1:$D$1109=$E$4,ROW($D$1:$D$1109)),ROW()-2),1),"")</f>
        <v>5.9</v>
      </c>
      <c r="I244" s="140">
        <f t="array" ref="I244">IFERROR(INDEX($C$1:$C$1109, SMALL(IF($D$1:$D$1109=$E$4,ROW($D$1:$D$1109)),ROW()-2),1),"")</f>
        <v>24.6983</v>
      </c>
      <c r="J244" s="10">
        <f t="array" ref="J244">IFERROR(INDEX($B$1:$B$1109, SMALL(IF($D$1:$D$1109=$E$5,ROW($D$1:$D$1109)),ROW()-2),1),"")</f>
        <v>2.5</v>
      </c>
      <c r="K244" s="10">
        <f t="array" ref="K244">IFERROR(INDEX($C$1:$C$1109, SMALL(IF($D$1:$D$1109=$E$5,ROW($D$1:$D$1109)),ROW()-2),1),"")</f>
        <v>30.168800000000001</v>
      </c>
      <c r="L244" s="62"/>
      <c r="R244" s="13">
        <v>2.4</v>
      </c>
      <c r="S244" s="13">
        <v>35.587699999999998</v>
      </c>
      <c r="T244" s="140">
        <v>5.9</v>
      </c>
      <c r="U244" s="140">
        <v>24.6983</v>
      </c>
      <c r="V244" s="10">
        <v>2.5</v>
      </c>
      <c r="W244" s="10">
        <v>30.168800000000001</v>
      </c>
    </row>
    <row r="245" spans="1:23" ht="15.75">
      <c r="A245" s="64">
        <f t="shared" ca="1" si="3"/>
        <v>0.22553369520730193</v>
      </c>
      <c r="B245" s="74">
        <v>1.3</v>
      </c>
      <c r="C245" s="71">
        <v>61.2</v>
      </c>
      <c r="D245" s="132">
        <f t="array" ref="D245">MOD(ROW(), 3) + 1</f>
        <v>3</v>
      </c>
      <c r="E245" s="64"/>
      <c r="F245" s="13">
        <f t="array" ref="F245">IFERROR(INDEX($B$1:$B$1109, SMALL(IF($D$1:$D$1109=$E$3,ROW($D$1:$D$1109)),ROW()-2),1),"")</f>
        <v>3.4</v>
      </c>
      <c r="G245" s="13">
        <f t="array" ref="G245">IFERROR(INDEX($C$1:$C$1109, SMALL(IF($D$1:$D$1109=$E$3,ROW($D$1:$D$1109)),ROW()-2),1),"")</f>
        <v>36.729900000000001</v>
      </c>
      <c r="H245" s="140">
        <f t="array" ref="H245">IFERROR(INDEX($B$1:$B$1109, SMALL(IF($D$1:$D$1109=$E$4,ROW($D$1:$D$1109)),ROW()-2),1),"")</f>
        <v>2.7</v>
      </c>
      <c r="I245" s="140">
        <f t="array" ref="I245">IFERROR(INDEX($C$1:$C$1109, SMALL(IF($D$1:$D$1109=$E$4,ROW($D$1:$D$1109)),ROW()-2),1),"")</f>
        <v>35.429099999999998</v>
      </c>
      <c r="J245" s="10">
        <f t="array" ref="J245">IFERROR(INDEX($B$1:$B$1109, SMALL(IF($D$1:$D$1109=$E$5,ROW($D$1:$D$1109)),ROW()-2),1),"")</f>
        <v>4</v>
      </c>
      <c r="K245" s="10">
        <f t="array" ref="K245">IFERROR(INDEX($C$1:$C$1109, SMALL(IF($D$1:$D$1109=$E$5,ROW($D$1:$D$1109)),ROW()-2),1),"")</f>
        <v>30.2</v>
      </c>
      <c r="L245" s="62"/>
      <c r="R245" s="13">
        <v>3.4</v>
      </c>
      <c r="S245" s="13">
        <v>36.729900000000001</v>
      </c>
      <c r="T245" s="140">
        <v>2.7</v>
      </c>
      <c r="U245" s="140">
        <v>35.429099999999998</v>
      </c>
      <c r="V245" s="10">
        <v>4</v>
      </c>
      <c r="W245" s="10">
        <v>30.2</v>
      </c>
    </row>
    <row r="246" spans="1:23" ht="15.75">
      <c r="A246" s="64">
        <f t="shared" ca="1" si="3"/>
        <v>0.68552644462074697</v>
      </c>
      <c r="B246" s="74">
        <v>5</v>
      </c>
      <c r="C246" s="71">
        <v>24.7928</v>
      </c>
      <c r="D246" s="132">
        <f t="array" ref="D246">MOD(ROW(), 3) + 1</f>
        <v>1</v>
      </c>
      <c r="E246" s="64"/>
      <c r="F246" s="13">
        <f t="array" ref="F246">IFERROR(INDEX($B$1:$B$1109, SMALL(IF($D$1:$D$1109=$E$3,ROW($D$1:$D$1109)),ROW()-2),1),"")</f>
        <v>3</v>
      </c>
      <c r="G246" s="13">
        <f t="array" ref="G246">IFERROR(INDEX($C$1:$C$1109, SMALL(IF($D$1:$D$1109=$E$3,ROW($D$1:$D$1109)),ROW()-2),1),"")</f>
        <v>34.7288</v>
      </c>
      <c r="H246" s="140">
        <f t="array" ref="H246">IFERROR(INDEX($B$1:$B$1109, SMALL(IF($D$1:$D$1109=$E$4,ROW($D$1:$D$1109)),ROW()-2),1),"")</f>
        <v>1.3</v>
      </c>
      <c r="I246" s="140">
        <f t="array" ref="I246">IFERROR(INDEX($C$1:$C$1109, SMALL(IF($D$1:$D$1109=$E$4,ROW($D$1:$D$1109)),ROW()-2),1),"")</f>
        <v>65</v>
      </c>
      <c r="J246" s="10">
        <f t="array" ref="J246">IFERROR(INDEX($B$1:$B$1109, SMALL(IF($D$1:$D$1109=$E$5,ROW($D$1:$D$1109)),ROW()-2),1),"")</f>
        <v>3.7</v>
      </c>
      <c r="K246" s="10">
        <f t="array" ref="K246">IFERROR(INDEX($C$1:$C$1109, SMALL(IF($D$1:$D$1109=$E$5,ROW($D$1:$D$1109)),ROW()-2),1),"")</f>
        <v>35.161999999999999</v>
      </c>
      <c r="L246" s="62"/>
      <c r="R246" s="13">
        <v>3</v>
      </c>
      <c r="S246" s="13">
        <v>34.7288</v>
      </c>
      <c r="T246" s="140">
        <v>1.3</v>
      </c>
      <c r="U246" s="140">
        <v>65</v>
      </c>
      <c r="V246" s="10">
        <v>3.7</v>
      </c>
      <c r="W246" s="10">
        <v>35.161999999999999</v>
      </c>
    </row>
    <row r="247" spans="1:23" ht="15.75">
      <c r="A247" s="64">
        <f t="shared" ca="1" si="3"/>
        <v>0.4338795992066905</v>
      </c>
      <c r="B247" s="74">
        <v>6.2</v>
      </c>
      <c r="C247" s="71">
        <v>25.799900000000001</v>
      </c>
      <c r="D247" s="132">
        <f t="array" ref="D247">MOD(ROW(), 3) + 1</f>
        <v>2</v>
      </c>
      <c r="E247" s="64"/>
      <c r="F247" s="13">
        <f t="array" ref="F247">IFERROR(INDEX($B$1:$B$1109, SMALL(IF($D$1:$D$1109=$E$3,ROW($D$1:$D$1109)),ROW()-2),1),"")</f>
        <v>3.8</v>
      </c>
      <c r="G247" s="13">
        <f t="array" ref="G247">IFERROR(INDEX($C$1:$C$1109, SMALL(IF($D$1:$D$1109=$E$3,ROW($D$1:$D$1109)),ROW()-2),1),"")</f>
        <v>31.1</v>
      </c>
      <c r="H247" s="140">
        <f t="array" ref="H247">IFERROR(INDEX($B$1:$B$1109, SMALL(IF($D$1:$D$1109=$E$4,ROW($D$1:$D$1109)),ROW()-2),1),"")</f>
        <v>4</v>
      </c>
      <c r="I247" s="140">
        <f t="array" ref="I247">IFERROR(INDEX($C$1:$C$1109, SMALL(IF($D$1:$D$1109=$E$4,ROW($D$1:$D$1109)),ROW()-2),1),"")</f>
        <v>28.4</v>
      </c>
      <c r="J247" s="10">
        <f t="array" ref="J247">IFERROR(INDEX($B$1:$B$1109, SMALL(IF($D$1:$D$1109=$E$5,ROW($D$1:$D$1109)),ROW()-2),1),"")</f>
        <v>1.6</v>
      </c>
      <c r="K247" s="10">
        <f t="array" ref="K247">IFERROR(INDEX($C$1:$C$1109, SMALL(IF($D$1:$D$1109=$E$5,ROW($D$1:$D$1109)),ROW()-2),1),"")</f>
        <v>48.2</v>
      </c>
      <c r="L247" s="62"/>
      <c r="R247" s="13">
        <v>3.8</v>
      </c>
      <c r="S247" s="13">
        <v>31.1</v>
      </c>
      <c r="T247" s="140">
        <v>4</v>
      </c>
      <c r="U247" s="140">
        <v>28.4</v>
      </c>
      <c r="V247" s="10">
        <v>1.6</v>
      </c>
      <c r="W247" s="10">
        <v>48.2</v>
      </c>
    </row>
    <row r="248" spans="1:23" ht="15.75">
      <c r="A248" s="64">
        <f t="shared" ca="1" si="3"/>
        <v>0.47197787800181601</v>
      </c>
      <c r="B248" s="74">
        <v>2</v>
      </c>
      <c r="C248" s="71">
        <v>41.521000000000001</v>
      </c>
      <c r="D248" s="132">
        <f t="array" ref="D248">MOD(ROW(), 3) + 1</f>
        <v>3</v>
      </c>
      <c r="E248" s="62"/>
      <c r="F248" s="13">
        <f t="array" ref="F248">IFERROR(INDEX($B$1:$B$1109, SMALL(IF($D$1:$D$1109=$E$3,ROW($D$1:$D$1109)),ROW()-2),1),"")</f>
        <v>3</v>
      </c>
      <c r="G248" s="13">
        <f t="array" ref="G248">IFERROR(INDEX($C$1:$C$1109, SMALL(IF($D$1:$D$1109=$E$3,ROW($D$1:$D$1109)),ROW()-2),1),"")</f>
        <v>39.710299999999997</v>
      </c>
      <c r="H248" s="140">
        <f t="array" ref="H248">IFERROR(INDEX($B$1:$B$1109, SMALL(IF($D$1:$D$1109=$E$4,ROW($D$1:$D$1109)),ROW()-2),1),"")</f>
        <v>2.2999999999999998</v>
      </c>
      <c r="I248" s="140">
        <f t="array" ref="I248">IFERROR(INDEX($C$1:$C$1109, SMALL(IF($D$1:$D$1109=$E$4,ROW($D$1:$D$1109)),ROW()-2),1),"")</f>
        <v>37.700000000000003</v>
      </c>
      <c r="J248" s="10">
        <f t="array" ref="J248">IFERROR(INDEX($B$1:$B$1109, SMALL(IF($D$1:$D$1109=$E$5,ROW($D$1:$D$1109)),ROW()-2),1),"")</f>
        <v>4</v>
      </c>
      <c r="K248" s="10">
        <f t="array" ref="K248">IFERROR(INDEX($C$1:$C$1109, SMALL(IF($D$1:$D$1109=$E$5,ROW($D$1:$D$1109)),ROW()-2),1),"")</f>
        <v>27.589400000000001</v>
      </c>
      <c r="L248" s="62"/>
      <c r="R248" s="13">
        <v>3</v>
      </c>
      <c r="S248" s="13">
        <v>39.710299999999997</v>
      </c>
      <c r="T248" s="140">
        <v>2.2999999999999998</v>
      </c>
      <c r="U248" s="140">
        <v>37.700000000000003</v>
      </c>
      <c r="V248" s="10">
        <v>4</v>
      </c>
      <c r="W248" s="10">
        <v>27.589400000000001</v>
      </c>
    </row>
    <row r="249" spans="1:23" ht="15.75">
      <c r="A249" s="64">
        <f t="shared" ca="1" si="3"/>
        <v>0.49810736582271142</v>
      </c>
      <c r="B249" s="74">
        <v>3.5</v>
      </c>
      <c r="C249" s="71">
        <v>36.087600000000002</v>
      </c>
      <c r="D249" s="132">
        <f t="array" ref="D249">MOD(ROW(), 3) + 1</f>
        <v>1</v>
      </c>
      <c r="F249" s="13">
        <f t="array" ref="F249">IFERROR(INDEX($B$1:$B$1109, SMALL(IF($D$1:$D$1109=$E$3,ROW($D$1:$D$1109)),ROW()-2),1),"")</f>
        <v>5.7</v>
      </c>
      <c r="G249" s="13">
        <f t="array" ref="G249">IFERROR(INDEX($C$1:$C$1109, SMALL(IF($D$1:$D$1109=$E$3,ROW($D$1:$D$1109)),ROW()-2),1),"")</f>
        <v>27.1</v>
      </c>
      <c r="H249" s="140">
        <f t="array" ref="H249">IFERROR(INDEX($B$1:$B$1109, SMALL(IF($D$1:$D$1109=$E$4,ROW($D$1:$D$1109)),ROW()-2),1),"")</f>
        <v>3.5</v>
      </c>
      <c r="I249" s="140">
        <f t="array" ref="I249">IFERROR(INDEX($C$1:$C$1109, SMALL(IF($D$1:$D$1109=$E$4,ROW($D$1:$D$1109)),ROW()-2),1),"")</f>
        <v>27.8</v>
      </c>
      <c r="J249" s="10">
        <f t="array" ref="J249">IFERROR(INDEX($B$1:$B$1109, SMALL(IF($D$1:$D$1109=$E$5,ROW($D$1:$D$1109)),ROW()-2),1),"")</f>
        <v>1.6</v>
      </c>
      <c r="K249" s="10">
        <f t="array" ref="K249">IFERROR(INDEX($C$1:$C$1109, SMALL(IF($D$1:$D$1109=$E$5,ROW($D$1:$D$1109)),ROW()-2),1),"")</f>
        <v>48.318800000000003</v>
      </c>
      <c r="L249" s="62"/>
      <c r="R249" s="13">
        <v>5.7</v>
      </c>
      <c r="S249" s="13">
        <v>27.1</v>
      </c>
      <c r="T249" s="140">
        <v>3.5</v>
      </c>
      <c r="U249" s="140">
        <v>27.8</v>
      </c>
      <c r="V249" s="10">
        <v>1.6</v>
      </c>
      <c r="W249" s="10">
        <v>48.318800000000003</v>
      </c>
    </row>
    <row r="250" spans="1:23" ht="15.75">
      <c r="A250" s="64">
        <f t="shared" ca="1" si="3"/>
        <v>0.68839368453703298</v>
      </c>
      <c r="B250" s="74">
        <v>3.2</v>
      </c>
      <c r="C250" s="71">
        <v>36.200000000000003</v>
      </c>
      <c r="D250" s="132">
        <f t="array" ref="D250">MOD(ROW(), 3) + 1</f>
        <v>2</v>
      </c>
      <c r="F250" s="13">
        <f t="array" ref="F250">IFERROR(INDEX($B$1:$B$1109, SMALL(IF($D$1:$D$1109=$E$3,ROW($D$1:$D$1109)),ROW()-2),1),"")</f>
        <v>2</v>
      </c>
      <c r="G250" s="13">
        <f t="array" ref="G250">IFERROR(INDEX($C$1:$C$1109, SMALL(IF($D$1:$D$1109=$E$3,ROW($D$1:$D$1109)),ROW()-2),1),"")</f>
        <v>40.6</v>
      </c>
      <c r="H250" s="140">
        <f t="array" ref="H250">IFERROR(INDEX($B$1:$B$1109, SMALL(IF($D$1:$D$1109=$E$4,ROW($D$1:$D$1109)),ROW()-2),1),"")</f>
        <v>3.6</v>
      </c>
      <c r="I250" s="140">
        <f t="array" ref="I250">IFERROR(INDEX($C$1:$C$1109, SMALL(IF($D$1:$D$1109=$E$4,ROW($D$1:$D$1109)),ROW()-2),1),"")</f>
        <v>34.875399999999999</v>
      </c>
      <c r="J250" s="10">
        <f t="array" ref="J250">IFERROR(INDEX($B$1:$B$1109, SMALL(IF($D$1:$D$1109=$E$5,ROW($D$1:$D$1109)),ROW()-2),1),"")</f>
        <v>2.4</v>
      </c>
      <c r="K250" s="10">
        <f t="array" ref="K250">IFERROR(INDEX($C$1:$C$1109, SMALL(IF($D$1:$D$1109=$E$5,ROW($D$1:$D$1109)),ROW()-2),1),"")</f>
        <v>40.370600000000003</v>
      </c>
      <c r="R250" s="13">
        <v>2</v>
      </c>
      <c r="S250" s="13">
        <v>40.6</v>
      </c>
      <c r="T250" s="140">
        <v>3.6</v>
      </c>
      <c r="U250" s="140">
        <v>34.875399999999999</v>
      </c>
      <c r="V250" s="10">
        <v>2.4</v>
      </c>
      <c r="W250" s="10">
        <v>40.370600000000003</v>
      </c>
    </row>
    <row r="251" spans="1:23" ht="15.75">
      <c r="A251" s="64">
        <f t="shared" ca="1" si="3"/>
        <v>0.19222921777372515</v>
      </c>
      <c r="B251" s="74">
        <v>3.7</v>
      </c>
      <c r="C251" s="71">
        <v>31.411200000000001</v>
      </c>
      <c r="D251" s="132">
        <f t="array" ref="D251">MOD(ROW(), 3) + 1</f>
        <v>3</v>
      </c>
      <c r="F251" s="13">
        <f t="array" ref="F251">IFERROR(INDEX($B$1:$B$1109, SMALL(IF($D$1:$D$1109=$E$3,ROW($D$1:$D$1109)),ROW()-2),1),"")</f>
        <v>2.4</v>
      </c>
      <c r="G251" s="13">
        <f t="array" ref="G251">IFERROR(INDEX($C$1:$C$1109, SMALL(IF($D$1:$D$1109=$E$3,ROW($D$1:$D$1109)),ROW()-2),1),"")</f>
        <v>44.6</v>
      </c>
      <c r="H251" s="140">
        <f t="array" ref="H251">IFERROR(INDEX($B$1:$B$1109, SMALL(IF($D$1:$D$1109=$E$4,ROW($D$1:$D$1109)),ROW()-2),1),"")</f>
        <v>5.5</v>
      </c>
      <c r="I251" s="140">
        <f t="array" ref="I251">IFERROR(INDEX($C$1:$C$1109, SMALL(IF($D$1:$D$1109=$E$4,ROW($D$1:$D$1109)),ROW()-2),1),"")</f>
        <v>32.299999999999997</v>
      </c>
      <c r="J251" s="10">
        <f t="array" ref="J251">IFERROR(INDEX($B$1:$B$1109, SMALL(IF($D$1:$D$1109=$E$5,ROW($D$1:$D$1109)),ROW()-2),1),"")</f>
        <v>4.5999999999999996</v>
      </c>
      <c r="K251" s="10">
        <f t="array" ref="K251">IFERROR(INDEX($C$1:$C$1109, SMALL(IF($D$1:$D$1109=$E$5,ROW($D$1:$D$1109)),ROW()-2),1),"")</f>
        <v>29.9</v>
      </c>
      <c r="R251" s="13">
        <v>2.4</v>
      </c>
      <c r="S251" s="13">
        <v>44.6</v>
      </c>
      <c r="T251" s="140">
        <v>5.5</v>
      </c>
      <c r="U251" s="140">
        <v>32.299999999999997</v>
      </c>
      <c r="V251" s="10">
        <v>4.5999999999999996</v>
      </c>
      <c r="W251" s="10">
        <v>29.9</v>
      </c>
    </row>
    <row r="252" spans="1:23" ht="15.75">
      <c r="A252" s="64">
        <f t="shared" ca="1" si="3"/>
        <v>0.48678306085092993</v>
      </c>
      <c r="B252" s="74">
        <v>4</v>
      </c>
      <c r="C252" s="71">
        <v>27.785699999999999</v>
      </c>
      <c r="D252" s="132">
        <f t="array" ref="D252">MOD(ROW(), 3) + 1</f>
        <v>1</v>
      </c>
      <c r="F252" s="13">
        <f t="array" ref="F252">IFERROR(INDEX($B$1:$B$1109, SMALL(IF($D$1:$D$1109=$E$3,ROW($D$1:$D$1109)),ROW()-2),1),"")</f>
        <v>2</v>
      </c>
      <c r="G252" s="13">
        <f t="array" ref="G252">IFERROR(INDEX($C$1:$C$1109, SMALL(IF($D$1:$D$1109=$E$3,ROW($D$1:$D$1109)),ROW()-2),1),"")</f>
        <v>42.774299999999997</v>
      </c>
      <c r="H252" s="140">
        <f t="array" ref="H252">IFERROR(INDEX($B$1:$B$1109, SMALL(IF($D$1:$D$1109=$E$4,ROW($D$1:$D$1109)),ROW()-2),1),"")</f>
        <v>1.6</v>
      </c>
      <c r="I252" s="140">
        <f t="array" ref="I252">IFERROR(INDEX($C$1:$C$1109, SMALL(IF($D$1:$D$1109=$E$4,ROW($D$1:$D$1109)),ROW()-2),1),"")</f>
        <v>46.5047</v>
      </c>
      <c r="J252" s="10">
        <f t="array" ref="J252">IFERROR(INDEX($B$1:$B$1109, SMALL(IF($D$1:$D$1109=$E$5,ROW($D$1:$D$1109)),ROW()-2),1),"")</f>
        <v>2</v>
      </c>
      <c r="K252" s="10">
        <f t="array" ref="K252">IFERROR(INDEX($C$1:$C$1109, SMALL(IF($D$1:$D$1109=$E$5,ROW($D$1:$D$1109)),ROW()-2),1),"")</f>
        <v>48.2</v>
      </c>
      <c r="R252" s="13">
        <v>2</v>
      </c>
      <c r="S252" s="13">
        <v>42.774299999999997</v>
      </c>
      <c r="T252" s="140">
        <v>1.6</v>
      </c>
      <c r="U252" s="140">
        <v>46.5047</v>
      </c>
      <c r="V252" s="10">
        <v>2</v>
      </c>
      <c r="W252" s="10">
        <v>48.2</v>
      </c>
    </row>
    <row r="253" spans="1:23" ht="15.75">
      <c r="A253" s="64">
        <f t="shared" ca="1" si="3"/>
        <v>0.35261925976255371</v>
      </c>
      <c r="B253" s="74">
        <v>1.6</v>
      </c>
      <c r="C253" s="71">
        <v>46.5047</v>
      </c>
      <c r="D253" s="132">
        <f t="array" ref="D253">MOD(ROW(), 3) + 1</f>
        <v>2</v>
      </c>
      <c r="F253" s="13">
        <f t="array" ref="F253">IFERROR(INDEX($B$1:$B$1109, SMALL(IF($D$1:$D$1109=$E$3,ROW($D$1:$D$1109)),ROW()-2),1),"")</f>
        <v>6.7</v>
      </c>
      <c r="G253" s="13">
        <f t="array" ref="G253">IFERROR(INDEX($C$1:$C$1109, SMALL(IF($D$1:$D$1109=$E$3,ROW($D$1:$D$1109)),ROW()-2),1),"")</f>
        <v>24.2</v>
      </c>
      <c r="H253" s="140">
        <f t="array" ref="H253">IFERROR(INDEX($B$1:$B$1109, SMALL(IF($D$1:$D$1109=$E$4,ROW($D$1:$D$1109)),ROW()-2),1),"")</f>
        <v>4.5</v>
      </c>
      <c r="I253" s="140">
        <f t="array" ref="I253">IFERROR(INDEX($C$1:$C$1109, SMALL(IF($D$1:$D$1109=$E$4,ROW($D$1:$D$1109)),ROW()-2),1),"")</f>
        <v>29.6</v>
      </c>
      <c r="J253" s="10">
        <f t="array" ref="J253">IFERROR(INDEX($B$1:$B$1109, SMALL(IF($D$1:$D$1109=$E$5,ROW($D$1:$D$1109)),ROW()-2),1),"")</f>
        <v>1.8</v>
      </c>
      <c r="K253" s="10">
        <f t="array" ref="K253">IFERROR(INDEX($C$1:$C$1109, SMALL(IF($D$1:$D$1109=$E$5,ROW($D$1:$D$1109)),ROW()-2),1),"")</f>
        <v>46.9</v>
      </c>
      <c r="R253" s="13">
        <v>6.7</v>
      </c>
      <c r="S253" s="13">
        <v>24.2</v>
      </c>
      <c r="T253" s="140">
        <v>4.5</v>
      </c>
      <c r="U253" s="140">
        <v>29.6</v>
      </c>
      <c r="V253" s="10">
        <v>1.8</v>
      </c>
      <c r="W253" s="10">
        <v>46.9</v>
      </c>
    </row>
    <row r="254" spans="1:23" ht="15.75">
      <c r="A254" s="64">
        <f t="shared" ca="1" si="3"/>
        <v>0.46551670013190383</v>
      </c>
      <c r="B254" s="74">
        <v>5.3</v>
      </c>
      <c r="C254" s="71">
        <v>27.9</v>
      </c>
      <c r="D254" s="132">
        <f t="array" ref="D254">MOD(ROW(), 3) + 1</f>
        <v>3</v>
      </c>
      <c r="F254" s="13">
        <f t="array" ref="F254">IFERROR(INDEX($B$1:$B$1109, SMALL(IF($D$1:$D$1109=$E$3,ROW($D$1:$D$1109)),ROW()-2),1),"")</f>
        <v>4.5999999999999996</v>
      </c>
      <c r="G254" s="13">
        <f t="array" ref="G254">IFERROR(INDEX($C$1:$C$1109, SMALL(IF($D$1:$D$1109=$E$3,ROW($D$1:$D$1109)),ROW()-2),1),"")</f>
        <v>26.662199999999999</v>
      </c>
      <c r="H254" s="140">
        <f t="array" ref="H254">IFERROR(INDEX($B$1:$B$1109, SMALL(IF($D$1:$D$1109=$E$4,ROW($D$1:$D$1109)),ROW()-2),1),"")</f>
        <v>3.6</v>
      </c>
      <c r="I254" s="140">
        <f t="array" ref="I254">IFERROR(INDEX($C$1:$C$1109, SMALL(IF($D$1:$D$1109=$E$4,ROW($D$1:$D$1109)),ROW()-2),1),"")</f>
        <v>33.200000000000003</v>
      </c>
      <c r="J254" s="10">
        <f t="array" ref="J254">IFERROR(INDEX($B$1:$B$1109, SMALL(IF($D$1:$D$1109=$E$5,ROW($D$1:$D$1109)),ROW()-2),1),"")</f>
        <v>4.4000000000000004</v>
      </c>
      <c r="K254" s="10">
        <f t="array" ref="K254">IFERROR(INDEX($C$1:$C$1109, SMALL(IF($D$1:$D$1109=$E$5,ROW($D$1:$D$1109)),ROW()-2),1),"")</f>
        <v>30.953700000000001</v>
      </c>
      <c r="R254" s="13">
        <v>4.5999999999999996</v>
      </c>
      <c r="S254" s="13">
        <v>26.662199999999999</v>
      </c>
      <c r="T254" s="140">
        <v>3.6</v>
      </c>
      <c r="U254" s="140">
        <v>33.200000000000003</v>
      </c>
      <c r="V254" s="10">
        <v>4.4000000000000004</v>
      </c>
      <c r="W254" s="10">
        <v>30.953700000000001</v>
      </c>
    </row>
    <row r="255" spans="1:23" ht="15.75">
      <c r="A255" s="64">
        <f t="shared" ca="1" si="3"/>
        <v>0.73580649907970563</v>
      </c>
      <c r="B255" s="74">
        <v>3</v>
      </c>
      <c r="C255" s="71">
        <v>33</v>
      </c>
      <c r="D255" s="132">
        <f t="array" ref="D255">MOD(ROW(), 3) + 1</f>
        <v>1</v>
      </c>
      <c r="F255" s="13">
        <f t="array" ref="F255">IFERROR(INDEX($B$1:$B$1109, SMALL(IF($D$1:$D$1109=$E$3,ROW($D$1:$D$1109)),ROW()-2),1),"")</f>
        <v>6</v>
      </c>
      <c r="G255" s="13">
        <f t="array" ref="G255">IFERROR(INDEX($C$1:$C$1109, SMALL(IF($D$1:$D$1109=$E$3,ROW($D$1:$D$1109)),ROW()-2),1),"")</f>
        <v>30.299900000000001</v>
      </c>
      <c r="H255" s="140">
        <f t="array" ref="H255">IFERROR(INDEX($B$1:$B$1109, SMALL(IF($D$1:$D$1109=$E$4,ROW($D$1:$D$1109)),ROW()-2),1),"")</f>
        <v>5.5</v>
      </c>
      <c r="I255" s="140">
        <f t="array" ref="I255">IFERROR(INDEX($C$1:$C$1109, SMALL(IF($D$1:$D$1109=$E$4,ROW($D$1:$D$1109)),ROW()-2),1),"")</f>
        <v>23.9</v>
      </c>
      <c r="J255" s="10">
        <f t="array" ref="J255">IFERROR(INDEX($B$1:$B$1109, SMALL(IF($D$1:$D$1109=$E$5,ROW($D$1:$D$1109)),ROW()-2),1),"")</f>
        <v>2.9</v>
      </c>
      <c r="K255" s="10">
        <f t="array" ref="K255">IFERROR(INDEX($C$1:$C$1109, SMALL(IF($D$1:$D$1109=$E$5,ROW($D$1:$D$1109)),ROW()-2),1),"")</f>
        <v>32.4</v>
      </c>
      <c r="R255" s="13">
        <v>6</v>
      </c>
      <c r="S255" s="13">
        <v>30.299900000000001</v>
      </c>
      <c r="T255" s="140">
        <v>5.5</v>
      </c>
      <c r="U255" s="140">
        <v>23.9</v>
      </c>
      <c r="V255" s="10">
        <v>2.9</v>
      </c>
      <c r="W255" s="10">
        <v>32.4</v>
      </c>
    </row>
    <row r="256" spans="1:23" ht="15.75">
      <c r="A256" s="64">
        <f t="shared" ca="1" si="3"/>
        <v>0.2954142331184777</v>
      </c>
      <c r="B256" s="74">
        <v>3.8</v>
      </c>
      <c r="C256" s="71">
        <v>26.163</v>
      </c>
      <c r="D256" s="132">
        <f t="array" ref="D256">MOD(ROW(), 3) + 1</f>
        <v>2</v>
      </c>
      <c r="F256" s="13">
        <f t="array" ref="F256">IFERROR(INDEX($B$1:$B$1109, SMALL(IF($D$1:$D$1109=$E$3,ROW($D$1:$D$1109)),ROW()-2),1),"")</f>
        <v>2.5</v>
      </c>
      <c r="G256" s="13">
        <f t="array" ref="G256">IFERROR(INDEX($C$1:$C$1109, SMALL(IF($D$1:$D$1109=$E$3,ROW($D$1:$D$1109)),ROW()-2),1),"")</f>
        <v>37.070999999999998</v>
      </c>
      <c r="H256" s="140">
        <f t="array" ref="H256">IFERROR(INDEX($B$1:$B$1109, SMALL(IF($D$1:$D$1109=$E$4,ROW($D$1:$D$1109)),ROW()-2),1),"")</f>
        <v>4.5999999999999996</v>
      </c>
      <c r="I256" s="140">
        <f t="array" ref="I256">IFERROR(INDEX($C$1:$C$1109, SMALL(IF($D$1:$D$1109=$E$4,ROW($D$1:$D$1109)),ROW()-2),1),"")</f>
        <v>26.662199999999999</v>
      </c>
      <c r="J256" s="10">
        <f t="array" ref="J256">IFERROR(INDEX($B$1:$B$1109, SMALL(IF($D$1:$D$1109=$E$5,ROW($D$1:$D$1109)),ROW()-2),1),"")</f>
        <v>5</v>
      </c>
      <c r="K256" s="10">
        <f t="array" ref="K256">IFERROR(INDEX($C$1:$C$1109, SMALL(IF($D$1:$D$1109=$E$5,ROW($D$1:$D$1109)),ROW()-2),1),"")</f>
        <v>30.337800000000001</v>
      </c>
      <c r="R256" s="13">
        <v>2.5</v>
      </c>
      <c r="S256" s="13">
        <v>37.070999999999998</v>
      </c>
      <c r="T256" s="140">
        <v>4.5999999999999996</v>
      </c>
      <c r="U256" s="140">
        <v>26.662199999999999</v>
      </c>
      <c r="V256" s="10">
        <v>5</v>
      </c>
      <c r="W256" s="10">
        <v>30.337800000000001</v>
      </c>
    </row>
    <row r="257" spans="1:23" ht="15.75">
      <c r="A257" s="64">
        <f t="shared" ca="1" si="3"/>
        <v>0.12340911965599954</v>
      </c>
      <c r="B257" s="74">
        <v>3</v>
      </c>
      <c r="C257" s="71">
        <v>35.267800000000001</v>
      </c>
      <c r="D257" s="132">
        <f t="array" ref="D257">MOD(ROW(), 3) + 1</f>
        <v>3</v>
      </c>
      <c r="F257" s="13">
        <f t="array" ref="F257">IFERROR(INDEX($B$1:$B$1109, SMALL(IF($D$1:$D$1109=$E$3,ROW($D$1:$D$1109)),ROW()-2),1),"")</f>
        <v>5.7</v>
      </c>
      <c r="G257" s="13">
        <f t="array" ref="G257">IFERROR(INDEX($C$1:$C$1109, SMALL(IF($D$1:$D$1109=$E$3,ROW($D$1:$D$1109)),ROW()-2),1),"")</f>
        <v>21.7</v>
      </c>
      <c r="H257" s="140">
        <f t="array" ref="H257">IFERROR(INDEX($B$1:$B$1109, SMALL(IF($D$1:$D$1109=$E$4,ROW($D$1:$D$1109)),ROW()-2),1),"")</f>
        <v>3</v>
      </c>
      <c r="I257" s="140">
        <f t="array" ref="I257">IFERROR(INDEX($C$1:$C$1109, SMALL(IF($D$1:$D$1109=$E$4,ROW($D$1:$D$1109)),ROW()-2),1),"")</f>
        <v>34.7288</v>
      </c>
      <c r="J257" s="10">
        <f t="array" ref="J257">IFERROR(INDEX($B$1:$B$1109, SMALL(IF($D$1:$D$1109=$E$5,ROW($D$1:$D$1109)),ROW()-2),1),"")</f>
        <v>4.8</v>
      </c>
      <c r="K257" s="10">
        <f t="array" ref="K257">IFERROR(INDEX($C$1:$C$1109, SMALL(IF($D$1:$D$1109=$E$5,ROW($D$1:$D$1109)),ROW()-2),1),"")</f>
        <v>24.153400000000001</v>
      </c>
      <c r="R257" s="13">
        <v>5.7</v>
      </c>
      <c r="S257" s="13">
        <v>21.7</v>
      </c>
      <c r="T257" s="140">
        <v>3</v>
      </c>
      <c r="U257" s="140">
        <v>34.7288</v>
      </c>
      <c r="V257" s="10">
        <v>4.8</v>
      </c>
      <c r="W257" s="10">
        <v>24.153400000000001</v>
      </c>
    </row>
    <row r="258" spans="1:23" ht="15.75">
      <c r="A258" s="64">
        <f t="shared" ca="1" si="3"/>
        <v>0.89971306753833324</v>
      </c>
      <c r="B258" s="74">
        <v>3.7</v>
      </c>
      <c r="C258" s="71">
        <v>34.583199999999998</v>
      </c>
      <c r="D258" s="132">
        <f t="array" ref="D258">MOD(ROW(), 3) + 1</f>
        <v>1</v>
      </c>
      <c r="F258" s="13">
        <f t="array" ref="F258">IFERROR(INDEX($B$1:$B$1109, SMALL(IF($D$1:$D$1109=$E$3,ROW($D$1:$D$1109)),ROW()-2),1),"")</f>
        <v>3</v>
      </c>
      <c r="G258" s="13">
        <f t="array" ref="G258">IFERROR(INDEX($C$1:$C$1109, SMALL(IF($D$1:$D$1109=$E$3,ROW($D$1:$D$1109)),ROW()-2),1),"")</f>
        <v>35.799999999999997</v>
      </c>
      <c r="H258" s="140">
        <f t="array" ref="H258">IFERROR(INDEX($B$1:$B$1109, SMALL(IF($D$1:$D$1109=$E$4,ROW($D$1:$D$1109)),ROW()-2),1),"")</f>
        <v>1.3</v>
      </c>
      <c r="I258" s="140">
        <f t="array" ref="I258">IFERROR(INDEX($C$1:$C$1109, SMALL(IF($D$1:$D$1109=$E$4,ROW($D$1:$D$1109)),ROW()-2),1),"")</f>
        <v>30.2</v>
      </c>
      <c r="J258" s="10">
        <f t="array" ref="J258">IFERROR(INDEX($B$1:$B$1109, SMALL(IF($D$1:$D$1109=$E$5,ROW($D$1:$D$1109)),ROW()-2),1),"")</f>
        <v>1.6</v>
      </c>
      <c r="K258" s="10">
        <f t="array" ref="K258">IFERROR(INDEX($C$1:$C$1109, SMALL(IF($D$1:$D$1109=$E$5,ROW($D$1:$D$1109)),ROW()-2),1),"")</f>
        <v>44.571399999999997</v>
      </c>
      <c r="R258" s="13">
        <v>3</v>
      </c>
      <c r="S258" s="13">
        <v>35.799999999999997</v>
      </c>
      <c r="T258" s="140">
        <v>1.3</v>
      </c>
      <c r="U258" s="140">
        <v>30.2</v>
      </c>
      <c r="V258" s="10">
        <v>1.6</v>
      </c>
      <c r="W258" s="10">
        <v>44.571399999999997</v>
      </c>
    </row>
    <row r="259" spans="1:23" ht="15.75">
      <c r="A259" s="64">
        <f t="shared" ref="A259:A322" ca="1" si="4">RAND()</f>
        <v>0.15179975637897447</v>
      </c>
      <c r="B259" s="74">
        <v>3.5</v>
      </c>
      <c r="C259" s="71">
        <v>37.4</v>
      </c>
      <c r="D259" s="132">
        <f t="array" ref="D259">MOD(ROW(), 3) + 1</f>
        <v>2</v>
      </c>
      <c r="F259" s="13">
        <f t="array" ref="F259">IFERROR(INDEX($B$1:$B$1109, SMALL(IF($D$1:$D$1109=$E$3,ROW($D$1:$D$1109)),ROW()-2),1),"")</f>
        <v>1.8</v>
      </c>
      <c r="G259" s="13">
        <f t="array" ref="G259">IFERROR(INDEX($C$1:$C$1109, SMALL(IF($D$1:$D$1109=$E$3,ROW($D$1:$D$1109)),ROW()-2),1),"")</f>
        <v>43.7</v>
      </c>
      <c r="H259" s="140">
        <f t="array" ref="H259">IFERROR(INDEX($B$1:$B$1109, SMALL(IF($D$1:$D$1109=$E$4,ROW($D$1:$D$1109)),ROW()-2),1),"")</f>
        <v>3.5</v>
      </c>
      <c r="I259" s="140">
        <f t="array" ref="I259">IFERROR(INDEX($C$1:$C$1109, SMALL(IF($D$1:$D$1109=$E$4,ROW($D$1:$D$1109)),ROW()-2),1),"")</f>
        <v>34.5</v>
      </c>
      <c r="J259" s="10">
        <f t="array" ref="J259">IFERROR(INDEX($B$1:$B$1109, SMALL(IF($D$1:$D$1109=$E$5,ROW($D$1:$D$1109)),ROW()-2),1),"")</f>
        <v>1.6</v>
      </c>
      <c r="K259" s="10">
        <f t="array" ref="K259">IFERROR(INDEX($C$1:$C$1109, SMALL(IF($D$1:$D$1109=$E$5,ROW($D$1:$D$1109)),ROW()-2),1),"")</f>
        <v>50.2669</v>
      </c>
      <c r="R259" s="13">
        <v>1.8</v>
      </c>
      <c r="S259" s="13">
        <v>43.7</v>
      </c>
      <c r="T259" s="140">
        <v>3.5</v>
      </c>
      <c r="U259" s="140">
        <v>34.5</v>
      </c>
      <c r="V259" s="10">
        <v>1.6</v>
      </c>
      <c r="W259" s="10">
        <v>50.2669</v>
      </c>
    </row>
    <row r="260" spans="1:23" ht="15.75">
      <c r="A260" s="64">
        <f t="shared" ca="1" si="4"/>
        <v>0.43837762995686458</v>
      </c>
      <c r="B260" s="74">
        <v>2</v>
      </c>
      <c r="C260" s="71">
        <v>41.566099999999999</v>
      </c>
      <c r="D260" s="132">
        <f t="array" ref="D260">MOD(ROW(), 3) + 1</f>
        <v>3</v>
      </c>
      <c r="F260" s="13">
        <f t="array" ref="F260">IFERROR(INDEX($B$1:$B$1109, SMALL(IF($D$1:$D$1109=$E$3,ROW($D$1:$D$1109)),ROW()-2),1),"")</f>
        <v>4</v>
      </c>
      <c r="G260" s="13">
        <f t="array" ref="G260">IFERROR(INDEX($C$1:$C$1109, SMALL(IF($D$1:$D$1109=$E$3,ROW($D$1:$D$1109)),ROW()-2),1),"")</f>
        <v>26.82</v>
      </c>
      <c r="H260" s="140">
        <f t="array" ref="H260">IFERROR(INDEX($B$1:$B$1109, SMALL(IF($D$1:$D$1109=$E$4,ROW($D$1:$D$1109)),ROW()-2),1),"")</f>
        <v>2.2999999999999998</v>
      </c>
      <c r="I260" s="140">
        <f t="array" ref="I260">IFERROR(INDEX($C$1:$C$1109, SMALL(IF($D$1:$D$1109=$E$4,ROW($D$1:$D$1109)),ROW()-2),1),"")</f>
        <v>34.4</v>
      </c>
      <c r="J260" s="10">
        <f t="array" ref="J260">IFERROR(INDEX($B$1:$B$1109, SMALL(IF($D$1:$D$1109=$E$5,ROW($D$1:$D$1109)),ROW()-2),1),"")</f>
        <v>3</v>
      </c>
      <c r="K260" s="10">
        <f t="array" ref="K260">IFERROR(INDEX($C$1:$C$1109, SMALL(IF($D$1:$D$1109=$E$5,ROW($D$1:$D$1109)),ROW()-2),1),"")</f>
        <v>35.460599999999999</v>
      </c>
      <c r="R260" s="13">
        <v>4</v>
      </c>
      <c r="S260" s="13">
        <v>26.82</v>
      </c>
      <c r="T260" s="140">
        <v>2.2999999999999998</v>
      </c>
      <c r="U260" s="140">
        <v>34.4</v>
      </c>
      <c r="V260" s="10">
        <v>3</v>
      </c>
      <c r="W260" s="10">
        <v>35.460599999999999</v>
      </c>
    </row>
    <row r="261" spans="1:23" ht="15.75">
      <c r="A261" s="64">
        <f t="shared" ca="1" si="4"/>
        <v>0.57002641596327952</v>
      </c>
      <c r="B261" s="74">
        <v>2.4</v>
      </c>
      <c r="C261" s="71">
        <v>43.003500000000003</v>
      </c>
      <c r="D261" s="132">
        <f t="array" ref="D261">MOD(ROW(), 3) + 1</f>
        <v>1</v>
      </c>
      <c r="F261" s="13">
        <f t="array" ref="F261">IFERROR(INDEX($B$1:$B$1109, SMALL(IF($D$1:$D$1109=$E$3,ROW($D$1:$D$1109)),ROW()-2),1),"")</f>
        <v>3.6</v>
      </c>
      <c r="G261" s="13">
        <f t="array" ref="G261">IFERROR(INDEX($C$1:$C$1109, SMALL(IF($D$1:$D$1109=$E$3,ROW($D$1:$D$1109)),ROW()-2),1),"")</f>
        <v>33</v>
      </c>
      <c r="H261" s="140">
        <f t="array" ref="H261">IFERROR(INDEX($B$1:$B$1109, SMALL(IF($D$1:$D$1109=$E$4,ROW($D$1:$D$1109)),ROW()-2),1),"")</f>
        <v>3.7</v>
      </c>
      <c r="I261" s="140">
        <f t="array" ref="I261">IFERROR(INDEX($C$1:$C$1109, SMALL(IF($D$1:$D$1109=$E$4,ROW($D$1:$D$1109)),ROW()-2),1),"")</f>
        <v>27.5</v>
      </c>
      <c r="J261" s="10">
        <f t="array" ref="J261">IFERROR(INDEX($B$1:$B$1109, SMALL(IF($D$1:$D$1109=$E$5,ROW($D$1:$D$1109)),ROW()-2),1),"")</f>
        <v>3.5</v>
      </c>
      <c r="K261" s="10">
        <f t="array" ref="K261">IFERROR(INDEX($C$1:$C$1109, SMALL(IF($D$1:$D$1109=$E$5,ROW($D$1:$D$1109)),ROW()-2),1),"")</f>
        <v>25.8</v>
      </c>
      <c r="R261" s="13">
        <v>3.6</v>
      </c>
      <c r="S261" s="13">
        <v>33</v>
      </c>
      <c r="T261" s="140">
        <v>3.7</v>
      </c>
      <c r="U261" s="140">
        <v>27.5</v>
      </c>
      <c r="V261" s="10">
        <v>3.5</v>
      </c>
      <c r="W261" s="10">
        <v>25.8</v>
      </c>
    </row>
    <row r="262" spans="1:23" ht="15.75">
      <c r="A262" s="64">
        <f t="shared" ca="1" si="4"/>
        <v>0.7615563490846804</v>
      </c>
      <c r="B262" s="74">
        <v>6.3</v>
      </c>
      <c r="C262" s="71">
        <v>27.1158</v>
      </c>
      <c r="D262" s="132">
        <f t="array" ref="D262">MOD(ROW(), 3) + 1</f>
        <v>2</v>
      </c>
      <c r="F262" s="13">
        <f t="array" ref="F262">IFERROR(INDEX($B$1:$B$1109, SMALL(IF($D$1:$D$1109=$E$3,ROW($D$1:$D$1109)),ROW()-2),1),"")</f>
        <v>2.2999999999999998</v>
      </c>
      <c r="G262" s="13">
        <f t="array" ref="G262">IFERROR(INDEX($C$1:$C$1109, SMALL(IF($D$1:$D$1109=$E$3,ROW($D$1:$D$1109)),ROW()-2),1),"")</f>
        <v>31.7</v>
      </c>
      <c r="H262" s="140">
        <f t="array" ref="H262">IFERROR(INDEX($B$1:$B$1109, SMALL(IF($D$1:$D$1109=$E$4,ROW($D$1:$D$1109)),ROW()-2),1),"")</f>
        <v>5</v>
      </c>
      <c r="I262" s="140">
        <f t="array" ref="I262">IFERROR(INDEX($C$1:$C$1109, SMALL(IF($D$1:$D$1109=$E$4,ROW($D$1:$D$1109)),ROW()-2),1),"")</f>
        <v>30.3</v>
      </c>
      <c r="J262" s="10">
        <f t="array" ref="J262">IFERROR(INDEX($B$1:$B$1109, SMALL(IF($D$1:$D$1109=$E$5,ROW($D$1:$D$1109)),ROW()-2),1),"")</f>
        <v>3.8</v>
      </c>
      <c r="K262" s="10">
        <f t="array" ref="K262">IFERROR(INDEX($C$1:$C$1109, SMALL(IF($D$1:$D$1109=$E$5,ROW($D$1:$D$1109)),ROW()-2),1),"")</f>
        <v>37.076900000000002</v>
      </c>
      <c r="R262" s="13">
        <v>2.2999999999999998</v>
      </c>
      <c r="S262" s="13">
        <v>31.7</v>
      </c>
      <c r="T262" s="140">
        <v>5</v>
      </c>
      <c r="U262" s="140">
        <v>30.3</v>
      </c>
      <c r="V262" s="10">
        <v>3.8</v>
      </c>
      <c r="W262" s="10">
        <v>37.076900000000002</v>
      </c>
    </row>
    <row r="263" spans="1:23" ht="15.75">
      <c r="A263" s="64">
        <f t="shared" ca="1" si="4"/>
        <v>0.80294960613121802</v>
      </c>
      <c r="B263" s="74">
        <v>4.5999999999999996</v>
      </c>
      <c r="C263" s="71">
        <v>26.548400000000001</v>
      </c>
      <c r="D263" s="132">
        <f t="array" ref="D263">MOD(ROW(), 3) + 1</f>
        <v>3</v>
      </c>
      <c r="F263" s="13">
        <f t="array" ref="F263">IFERROR(INDEX($B$1:$B$1109, SMALL(IF($D$1:$D$1109=$E$3,ROW($D$1:$D$1109)),ROW()-2),1),"")</f>
        <v>2</v>
      </c>
      <c r="G263" s="13">
        <f t="array" ref="G263">IFERROR(INDEX($C$1:$C$1109, SMALL(IF($D$1:$D$1109=$E$3,ROW($D$1:$D$1109)),ROW()-2),1),"")</f>
        <v>37.5</v>
      </c>
      <c r="H263" s="140">
        <f t="array" ref="H263">IFERROR(INDEX($B$1:$B$1109, SMALL(IF($D$1:$D$1109=$E$4,ROW($D$1:$D$1109)),ROW()-2),1),"")</f>
        <v>2.4</v>
      </c>
      <c r="I263" s="140">
        <f t="array" ref="I263">IFERROR(INDEX($C$1:$C$1109, SMALL(IF($D$1:$D$1109=$E$4,ROW($D$1:$D$1109)),ROW()-2),1),"")</f>
        <v>39.347999999999999</v>
      </c>
      <c r="J263" s="10">
        <f t="array" ref="J263">IFERROR(INDEX($B$1:$B$1109, SMALL(IF($D$1:$D$1109=$E$5,ROW($D$1:$D$1109)),ROW()-2),1),"")</f>
        <v>2.4</v>
      </c>
      <c r="K263" s="10">
        <f t="array" ref="K263">IFERROR(INDEX($C$1:$C$1109, SMALL(IF($D$1:$D$1109=$E$5,ROW($D$1:$D$1109)),ROW()-2),1),"")</f>
        <v>42.6</v>
      </c>
      <c r="R263" s="13">
        <v>2</v>
      </c>
      <c r="S263" s="13">
        <v>37.5</v>
      </c>
      <c r="T263" s="140">
        <v>2.4</v>
      </c>
      <c r="U263" s="140">
        <v>39.347999999999999</v>
      </c>
      <c r="V263" s="10">
        <v>2.4</v>
      </c>
      <c r="W263" s="10">
        <v>42.6</v>
      </c>
    </row>
    <row r="264" spans="1:23" ht="15.75">
      <c r="A264" s="64">
        <f t="shared" ca="1" si="4"/>
        <v>0.79121425776826315</v>
      </c>
      <c r="B264" s="74">
        <v>2.4</v>
      </c>
      <c r="C264" s="71">
        <v>35.299999999999997</v>
      </c>
      <c r="D264" s="132">
        <f t="array" ref="D264">MOD(ROW(), 3) + 1</f>
        <v>1</v>
      </c>
      <c r="F264" s="13">
        <f t="array" ref="F264">IFERROR(INDEX($B$1:$B$1109, SMALL(IF($D$1:$D$1109=$E$3,ROW($D$1:$D$1109)),ROW()-2),1),"")</f>
        <v>2.7</v>
      </c>
      <c r="G264" s="13">
        <f t="array" ref="G264">IFERROR(INDEX($C$1:$C$1109, SMALL(IF($D$1:$D$1109=$E$3,ROW($D$1:$D$1109)),ROW()-2),1),"")</f>
        <v>35.9</v>
      </c>
      <c r="H264" s="140">
        <f t="array" ref="H264">IFERROR(INDEX($B$1:$B$1109, SMALL(IF($D$1:$D$1109=$E$4,ROW($D$1:$D$1109)),ROW()-2),1),"")</f>
        <v>2</v>
      </c>
      <c r="I264" s="140">
        <f t="array" ref="I264">IFERROR(INDEX($C$1:$C$1109, SMALL(IF($D$1:$D$1109=$E$4,ROW($D$1:$D$1109)),ROW()-2),1),"")</f>
        <v>42.575000000000003</v>
      </c>
      <c r="J264" s="10">
        <f t="array" ref="J264">IFERROR(INDEX($B$1:$B$1109, SMALL(IF($D$1:$D$1109=$E$5,ROW($D$1:$D$1109)),ROW()-2),1),"")</f>
        <v>3.6</v>
      </c>
      <c r="K264" s="10">
        <f t="array" ref="K264">IFERROR(INDEX($C$1:$C$1109, SMALL(IF($D$1:$D$1109=$E$5,ROW($D$1:$D$1109)),ROW()-2),1),"")</f>
        <v>33</v>
      </c>
      <c r="R264" s="13">
        <v>2.7</v>
      </c>
      <c r="S264" s="13">
        <v>35.9</v>
      </c>
      <c r="T264" s="140">
        <v>2</v>
      </c>
      <c r="U264" s="140">
        <v>42.575000000000003</v>
      </c>
      <c r="V264" s="10">
        <v>3.6</v>
      </c>
      <c r="W264" s="10">
        <v>33</v>
      </c>
    </row>
    <row r="265" spans="1:23" ht="15.75">
      <c r="A265" s="64">
        <f t="shared" ca="1" si="4"/>
        <v>0.48914155470052256</v>
      </c>
      <c r="B265" s="74">
        <v>6.2</v>
      </c>
      <c r="C265" s="71">
        <v>28.4</v>
      </c>
      <c r="D265" s="132">
        <f t="array" ref="D265">MOD(ROW(), 3) + 1</f>
        <v>2</v>
      </c>
      <c r="F265" s="13">
        <f t="array" ref="F265">IFERROR(INDEX($B$1:$B$1109, SMALL(IF($D$1:$D$1109=$E$3,ROW($D$1:$D$1109)),ROW()-2),1),"")</f>
        <v>2</v>
      </c>
      <c r="G265" s="13">
        <f t="array" ref="G265">IFERROR(INDEX($C$1:$C$1109, SMALL(IF($D$1:$D$1109=$E$3,ROW($D$1:$D$1109)),ROW()-2),1),"")</f>
        <v>34.1</v>
      </c>
      <c r="H265" s="140">
        <f t="array" ref="H265">IFERROR(INDEX($B$1:$B$1109, SMALL(IF($D$1:$D$1109=$E$4,ROW($D$1:$D$1109)),ROW()-2),1),"")</f>
        <v>2.5</v>
      </c>
      <c r="I265" s="140">
        <f t="array" ref="I265">IFERROR(INDEX($C$1:$C$1109, SMALL(IF($D$1:$D$1109=$E$4,ROW($D$1:$D$1109)),ROW()-2),1),"")</f>
        <v>39.200000000000003</v>
      </c>
      <c r="J265" s="10">
        <f t="array" ref="J265">IFERROR(INDEX($B$1:$B$1109, SMALL(IF($D$1:$D$1109=$E$5,ROW($D$1:$D$1109)),ROW()-2),1),"")</f>
        <v>3.5</v>
      </c>
      <c r="K265" s="10">
        <f t="array" ref="K265">IFERROR(INDEX($C$1:$C$1109, SMALL(IF($D$1:$D$1109=$E$5,ROW($D$1:$D$1109)),ROW()-2),1),"")</f>
        <v>31.947500000000002</v>
      </c>
      <c r="R265" s="13">
        <v>2</v>
      </c>
      <c r="S265" s="13">
        <v>34.1</v>
      </c>
      <c r="T265" s="140">
        <v>2.5</v>
      </c>
      <c r="U265" s="140">
        <v>39.200000000000003</v>
      </c>
      <c r="V265" s="10">
        <v>3.5</v>
      </c>
      <c r="W265" s="10">
        <v>31.947500000000002</v>
      </c>
    </row>
    <row r="266" spans="1:23" ht="15.75">
      <c r="A266" s="64">
        <f t="shared" ca="1" si="4"/>
        <v>0.50821219884350111</v>
      </c>
      <c r="B266" s="74">
        <v>5.3</v>
      </c>
      <c r="C266" s="71">
        <v>26.6</v>
      </c>
      <c r="D266" s="132">
        <f t="array" ref="D266">MOD(ROW(), 3) + 1</f>
        <v>3</v>
      </c>
      <c r="F266" s="13">
        <f t="array" ref="F266">IFERROR(INDEX($B$1:$B$1109, SMALL(IF($D$1:$D$1109=$E$3,ROW($D$1:$D$1109)),ROW()-2),1),"")</f>
        <v>3.6</v>
      </c>
      <c r="G266" s="13">
        <f t="array" ref="G266">IFERROR(INDEX($C$1:$C$1109, SMALL(IF($D$1:$D$1109=$E$3,ROW($D$1:$D$1109)),ROW()-2),1),"")</f>
        <v>38.1</v>
      </c>
      <c r="H266" s="140">
        <f t="array" ref="H266">IFERROR(INDEX($B$1:$B$1109, SMALL(IF($D$1:$D$1109=$E$4,ROW($D$1:$D$1109)),ROW()-2),1),"")</f>
        <v>4</v>
      </c>
      <c r="I266" s="140">
        <f t="array" ref="I266">IFERROR(INDEX($C$1:$C$1109, SMALL(IF($D$1:$D$1109=$E$4,ROW($D$1:$D$1109)),ROW()-2),1),"")</f>
        <v>27.1846</v>
      </c>
      <c r="J266" s="10">
        <f t="array" ref="J266">IFERROR(INDEX($B$1:$B$1109, SMALL(IF($D$1:$D$1109=$E$5,ROW($D$1:$D$1109)),ROW()-2),1),"")</f>
        <v>2.2999999999999998</v>
      </c>
      <c r="K266" s="10">
        <f t="array" ref="K266">IFERROR(INDEX($C$1:$C$1109, SMALL(IF($D$1:$D$1109=$E$5,ROW($D$1:$D$1109)),ROW()-2),1),"")</f>
        <v>39.200000000000003</v>
      </c>
      <c r="R266" s="13">
        <v>3.6</v>
      </c>
      <c r="S266" s="13">
        <v>38.1</v>
      </c>
      <c r="T266" s="140">
        <v>4</v>
      </c>
      <c r="U266" s="140">
        <v>27.1846</v>
      </c>
      <c r="V266" s="10">
        <v>2.2999999999999998</v>
      </c>
      <c r="W266" s="10">
        <v>39.200000000000003</v>
      </c>
    </row>
    <row r="267" spans="1:23" ht="15.75">
      <c r="A267" s="64">
        <f t="shared" ca="1" si="4"/>
        <v>1.799629971392358E-2</v>
      </c>
      <c r="B267" s="74">
        <v>6</v>
      </c>
      <c r="C267" s="71">
        <v>30.299900000000001</v>
      </c>
      <c r="D267" s="132">
        <f t="array" ref="D267">MOD(ROW(), 3) + 1</f>
        <v>1</v>
      </c>
      <c r="F267" s="13">
        <f t="array" ref="F267">IFERROR(INDEX($B$1:$B$1109, SMALL(IF($D$1:$D$1109=$E$3,ROW($D$1:$D$1109)),ROW()-2),1),"")</f>
        <v>5.4</v>
      </c>
      <c r="G267" s="13">
        <f t="array" ref="G267">IFERROR(INDEX($C$1:$C$1109, SMALL(IF($D$1:$D$1109=$E$3,ROW($D$1:$D$1109)),ROW()-2),1),"")</f>
        <v>27</v>
      </c>
      <c r="H267" s="140">
        <f t="array" ref="H267">IFERROR(INDEX($B$1:$B$1109, SMALL(IF($D$1:$D$1109=$E$4,ROW($D$1:$D$1109)),ROW()-2),1),"")</f>
        <v>3.5</v>
      </c>
      <c r="I267" s="140">
        <f t="array" ref="I267">IFERROR(INDEX($C$1:$C$1109, SMALL(IF($D$1:$D$1109=$E$4,ROW($D$1:$D$1109)),ROW()-2),1),"")</f>
        <v>34.200000000000003</v>
      </c>
      <c r="J267" s="10">
        <f t="array" ref="J267">IFERROR(INDEX($B$1:$B$1109, SMALL(IF($D$1:$D$1109=$E$5,ROW($D$1:$D$1109)),ROW()-2),1),"")</f>
        <v>2.9</v>
      </c>
      <c r="K267" s="10">
        <f t="array" ref="K267">IFERROR(INDEX($C$1:$C$1109, SMALL(IF($D$1:$D$1109=$E$5,ROW($D$1:$D$1109)),ROW()-2),1),"")</f>
        <v>41.360799999999998</v>
      </c>
      <c r="R267" s="13">
        <v>5.4</v>
      </c>
      <c r="S267" s="13">
        <v>27</v>
      </c>
      <c r="T267" s="140">
        <v>3.5</v>
      </c>
      <c r="U267" s="140">
        <v>34.200000000000003</v>
      </c>
      <c r="V267" s="10">
        <v>2.9</v>
      </c>
      <c r="W267" s="10">
        <v>41.360799999999998</v>
      </c>
    </row>
    <row r="268" spans="1:23" ht="15.75">
      <c r="A268" s="64">
        <f t="shared" ca="1" si="4"/>
        <v>0.55140718458255744</v>
      </c>
      <c r="B268" s="74">
        <v>3.3</v>
      </c>
      <c r="C268" s="71">
        <v>34.998899999999999</v>
      </c>
      <c r="D268" s="132">
        <f t="array" ref="D268">MOD(ROW(), 3) + 1</f>
        <v>2</v>
      </c>
      <c r="F268" s="13">
        <f t="array" ref="F268">IFERROR(INDEX($B$1:$B$1109, SMALL(IF($D$1:$D$1109=$E$3,ROW($D$1:$D$1109)),ROW()-2),1),"")</f>
        <v>2.4</v>
      </c>
      <c r="G268" s="13">
        <f t="array" ref="G268">IFERROR(INDEX($C$1:$C$1109, SMALL(IF($D$1:$D$1109=$E$3,ROW($D$1:$D$1109)),ROW()-2),1),"")</f>
        <v>34.283099999999997</v>
      </c>
      <c r="H268" s="140">
        <f t="array" ref="H268">IFERROR(INDEX($B$1:$B$1109, SMALL(IF($D$1:$D$1109=$E$4,ROW($D$1:$D$1109)),ROW()-2),1),"")</f>
        <v>3.8</v>
      </c>
      <c r="I268" s="140">
        <f t="array" ref="I268">IFERROR(INDEX($C$1:$C$1109, SMALL(IF($D$1:$D$1109=$E$4,ROW($D$1:$D$1109)),ROW()-2),1),"")</f>
        <v>34.514800000000001</v>
      </c>
      <c r="J268" s="10">
        <f t="array" ref="J268">IFERROR(INDEX($B$1:$B$1109, SMALL(IF($D$1:$D$1109=$E$5,ROW($D$1:$D$1109)),ROW()-2),1),"")</f>
        <v>2</v>
      </c>
      <c r="K268" s="10">
        <f t="array" ref="K268">IFERROR(INDEX($C$1:$C$1109, SMALL(IF($D$1:$D$1109=$E$5,ROW($D$1:$D$1109)),ROW()-2),1),"")</f>
        <v>35</v>
      </c>
      <c r="R268" s="13">
        <v>2.4</v>
      </c>
      <c r="S268" s="13">
        <v>34.283099999999997</v>
      </c>
      <c r="T268" s="140">
        <v>3.8</v>
      </c>
      <c r="U268" s="140">
        <v>34.514800000000001</v>
      </c>
      <c r="V268" s="10">
        <v>2</v>
      </c>
      <c r="W268" s="10">
        <v>35</v>
      </c>
    </row>
    <row r="269" spans="1:23" ht="15.75">
      <c r="A269" s="64">
        <f t="shared" ca="1" si="4"/>
        <v>0.29113999035922167</v>
      </c>
      <c r="B269" s="74">
        <v>3</v>
      </c>
      <c r="C269" s="71">
        <v>38.7896</v>
      </c>
      <c r="D269" s="132">
        <f t="array" ref="D269">MOD(ROW(), 3) + 1</f>
        <v>3</v>
      </c>
      <c r="F269" s="13">
        <f t="array" ref="F269">IFERROR(INDEX($B$1:$B$1109, SMALL(IF($D$1:$D$1109=$E$3,ROW($D$1:$D$1109)),ROW()-2),1),"")</f>
        <v>5.6</v>
      </c>
      <c r="G269" s="13">
        <f t="array" ref="G269">IFERROR(INDEX($C$1:$C$1109, SMALL(IF($D$1:$D$1109=$E$3,ROW($D$1:$D$1109)),ROW()-2),1),"")</f>
        <v>25.008900000000001</v>
      </c>
      <c r="H269" s="140">
        <f t="array" ref="H269">IFERROR(INDEX($B$1:$B$1109, SMALL(IF($D$1:$D$1109=$E$4,ROW($D$1:$D$1109)),ROW()-2),1),"")</f>
        <v>1.6</v>
      </c>
      <c r="I269" s="140">
        <f t="array" ref="I269">IFERROR(INDEX($C$1:$C$1109, SMALL(IF($D$1:$D$1109=$E$4,ROW($D$1:$D$1109)),ROW()-2),1),"")</f>
        <v>46.5047</v>
      </c>
      <c r="J269" s="10">
        <f t="array" ref="J269">IFERROR(INDEX($B$1:$B$1109, SMALL(IF($D$1:$D$1109=$E$5,ROW($D$1:$D$1109)),ROW()-2),1),"")</f>
        <v>3.5</v>
      </c>
      <c r="K269" s="10">
        <f t="array" ref="K269">IFERROR(INDEX($C$1:$C$1109, SMALL(IF($D$1:$D$1109=$E$5,ROW($D$1:$D$1109)),ROW()-2),1),"")</f>
        <v>28.2</v>
      </c>
      <c r="R269" s="13">
        <v>5.6</v>
      </c>
      <c r="S269" s="13">
        <v>25.008900000000001</v>
      </c>
      <c r="T269" s="140">
        <v>1.6</v>
      </c>
      <c r="U269" s="140">
        <v>46.5047</v>
      </c>
      <c r="V269" s="10">
        <v>3.5</v>
      </c>
      <c r="W269" s="10">
        <v>28.2</v>
      </c>
    </row>
    <row r="270" spans="1:23" ht="15.75">
      <c r="A270" s="64">
        <f t="shared" ca="1" si="4"/>
        <v>2.4632056713297379E-3</v>
      </c>
      <c r="B270" s="74">
        <v>5.5</v>
      </c>
      <c r="C270" s="71">
        <v>20.100000000000001</v>
      </c>
      <c r="D270" s="132">
        <f t="array" ref="D270">MOD(ROW(), 3) + 1</f>
        <v>1</v>
      </c>
      <c r="F270" s="13">
        <f t="array" ref="F270">IFERROR(INDEX($B$1:$B$1109, SMALL(IF($D$1:$D$1109=$E$3,ROW($D$1:$D$1109)),ROW()-2),1),"")</f>
        <v>2.5</v>
      </c>
      <c r="G270" s="13">
        <f t="array" ref="G270">IFERROR(INDEX($C$1:$C$1109, SMALL(IF($D$1:$D$1109=$E$3,ROW($D$1:$D$1109)),ROW()-2),1),"")</f>
        <v>35.922600000000003</v>
      </c>
      <c r="H270" s="140">
        <f t="array" ref="H270">IFERROR(INDEX($B$1:$B$1109, SMALL(IF($D$1:$D$1109=$E$4,ROW($D$1:$D$1109)),ROW()-2),1),"")</f>
        <v>3.6</v>
      </c>
      <c r="I270" s="140">
        <f t="array" ref="I270">IFERROR(INDEX($C$1:$C$1109, SMALL(IF($D$1:$D$1109=$E$4,ROW($D$1:$D$1109)),ROW()-2),1),"")</f>
        <v>33.5</v>
      </c>
      <c r="J270" s="10">
        <f t="array" ref="J270">IFERROR(INDEX($B$1:$B$1109, SMALL(IF($D$1:$D$1109=$E$5,ROW($D$1:$D$1109)),ROW()-2),1),"")</f>
        <v>3.7</v>
      </c>
      <c r="K270" s="10">
        <f t="array" ref="K270">IFERROR(INDEX($C$1:$C$1109, SMALL(IF($D$1:$D$1109=$E$5,ROW($D$1:$D$1109)),ROW()-2),1),"")</f>
        <v>29.799900000000001</v>
      </c>
      <c r="R270" s="13">
        <v>2.5</v>
      </c>
      <c r="S270" s="13">
        <v>35.922600000000003</v>
      </c>
      <c r="T270" s="140">
        <v>3.6</v>
      </c>
      <c r="U270" s="140">
        <v>33.5</v>
      </c>
      <c r="V270" s="10">
        <v>3.7</v>
      </c>
      <c r="W270" s="10">
        <v>29.799900000000001</v>
      </c>
    </row>
    <row r="271" spans="1:23" ht="15.75">
      <c r="A271" s="64">
        <f t="shared" ca="1" si="4"/>
        <v>0.39379008754004918</v>
      </c>
      <c r="B271" s="74">
        <v>6</v>
      </c>
      <c r="C271" s="71">
        <v>23.2715</v>
      </c>
      <c r="D271" s="132">
        <f t="array" ref="D271">MOD(ROW(), 3) + 1</f>
        <v>2</v>
      </c>
      <c r="F271" s="13">
        <f t="array" ref="F271">IFERROR(INDEX($B$1:$B$1109, SMALL(IF($D$1:$D$1109=$E$3,ROW($D$1:$D$1109)),ROW()-2),1),"")</f>
        <v>7</v>
      </c>
      <c r="G271" s="13">
        <f t="array" ref="G271">IFERROR(INDEX($C$1:$C$1109, SMALL(IF($D$1:$D$1109=$E$3,ROW($D$1:$D$1109)),ROW()-2),1),"")</f>
        <v>33.700000000000003</v>
      </c>
      <c r="H271" s="140">
        <f t="array" ref="H271">IFERROR(INDEX($B$1:$B$1109, SMALL(IF($D$1:$D$1109=$E$4,ROW($D$1:$D$1109)),ROW()-2),1),"")</f>
        <v>2.5</v>
      </c>
      <c r="I271" s="140">
        <f t="array" ref="I271">IFERROR(INDEX($C$1:$C$1109, SMALL(IF($D$1:$D$1109=$E$4,ROW($D$1:$D$1109)),ROW()-2),1),"")</f>
        <v>40.0169</v>
      </c>
      <c r="J271" s="10">
        <f t="array" ref="J271">IFERROR(INDEX($B$1:$B$1109, SMALL(IF($D$1:$D$1109=$E$5,ROW($D$1:$D$1109)),ROW()-2),1),"")</f>
        <v>3.5</v>
      </c>
      <c r="K271" s="10">
        <f t="array" ref="K271">IFERROR(INDEX($C$1:$C$1109, SMALL(IF($D$1:$D$1109=$E$5,ROW($D$1:$D$1109)),ROW()-2),1),"")</f>
        <v>35</v>
      </c>
      <c r="R271" s="13">
        <v>7</v>
      </c>
      <c r="S271" s="13">
        <v>33.700000000000003</v>
      </c>
      <c r="T271" s="140">
        <v>2.5</v>
      </c>
      <c r="U271" s="140">
        <v>40.0169</v>
      </c>
      <c r="V271" s="10">
        <v>3.5</v>
      </c>
      <c r="W271" s="10">
        <v>35</v>
      </c>
    </row>
    <row r="272" spans="1:23" ht="15.75">
      <c r="A272" s="64">
        <f t="shared" ca="1" si="4"/>
        <v>0.34382018663705793</v>
      </c>
      <c r="B272" s="74">
        <v>2</v>
      </c>
      <c r="C272" s="71">
        <v>58.534999999999997</v>
      </c>
      <c r="D272" s="132">
        <f t="array" ref="D272">MOD(ROW(), 3) + 1</f>
        <v>3</v>
      </c>
      <c r="F272" s="13">
        <f t="array" ref="F272">IFERROR(INDEX($B$1:$B$1109, SMALL(IF($D$1:$D$1109=$E$3,ROW($D$1:$D$1109)),ROW()-2),1),"")</f>
        <v>6</v>
      </c>
      <c r="G272" s="13">
        <f t="array" ref="G272">IFERROR(INDEX($C$1:$C$1109, SMALL(IF($D$1:$D$1109=$E$3,ROW($D$1:$D$1109)),ROW()-2),1),"")</f>
        <v>23.8</v>
      </c>
      <c r="H272" s="140">
        <f t="array" ref="H272">IFERROR(INDEX($B$1:$B$1109, SMALL(IF($D$1:$D$1109=$E$4,ROW($D$1:$D$1109)),ROW()-2),1),"")</f>
        <v>5</v>
      </c>
      <c r="I272" s="140">
        <f t="array" ref="I272">IFERROR(INDEX($C$1:$C$1109, SMALL(IF($D$1:$D$1109=$E$4,ROW($D$1:$D$1109)),ROW()-2),1),"")</f>
        <v>25.508199999999999</v>
      </c>
      <c r="J272" s="10">
        <f t="array" ref="J272">IFERROR(INDEX($B$1:$B$1109, SMALL(IF($D$1:$D$1109=$E$5,ROW($D$1:$D$1109)),ROW()-2),1),"")</f>
        <v>3</v>
      </c>
      <c r="K272" s="10">
        <f t="array" ref="K272">IFERROR(INDEX($C$1:$C$1109, SMALL(IF($D$1:$D$1109=$E$5,ROW($D$1:$D$1109)),ROW()-2),1),"")</f>
        <v>34.5</v>
      </c>
      <c r="R272" s="13">
        <v>6</v>
      </c>
      <c r="S272" s="13">
        <v>23.8</v>
      </c>
      <c r="T272" s="140">
        <v>5</v>
      </c>
      <c r="U272" s="140">
        <v>25.508199999999999</v>
      </c>
      <c r="V272" s="10">
        <v>3</v>
      </c>
      <c r="W272" s="10">
        <v>34.5</v>
      </c>
    </row>
    <row r="273" spans="1:23" ht="15.75">
      <c r="A273" s="64">
        <f t="shared" ca="1" si="4"/>
        <v>0.88583861575367862</v>
      </c>
      <c r="B273" s="74">
        <v>1.3</v>
      </c>
      <c r="C273" s="71">
        <v>32.1</v>
      </c>
      <c r="D273" s="132">
        <f t="array" ref="D273">MOD(ROW(), 3) + 1</f>
        <v>1</v>
      </c>
      <c r="F273" s="13">
        <f t="array" ref="F273">IFERROR(INDEX($B$1:$B$1109, SMALL(IF($D$1:$D$1109=$E$3,ROW($D$1:$D$1109)),ROW()-2),1),"")</f>
        <v>3.4</v>
      </c>
      <c r="G273" s="13">
        <f t="array" ref="G273">IFERROR(INDEX($C$1:$C$1109, SMALL(IF($D$1:$D$1109=$E$3,ROW($D$1:$D$1109)),ROW()-2),1),"")</f>
        <v>40.997799999999998</v>
      </c>
      <c r="H273" s="140">
        <f t="array" ref="H273">IFERROR(INDEX($B$1:$B$1109, SMALL(IF($D$1:$D$1109=$E$4,ROW($D$1:$D$1109)),ROW()-2),1),"")</f>
        <v>5.6</v>
      </c>
      <c r="I273" s="140">
        <f t="array" ref="I273">IFERROR(INDEX($C$1:$C$1109, SMALL(IF($D$1:$D$1109=$E$4,ROW($D$1:$D$1109)),ROW()-2),1),"")</f>
        <v>24.2</v>
      </c>
      <c r="J273" s="10">
        <f t="array" ref="J273">IFERROR(INDEX($B$1:$B$1109, SMALL(IF($D$1:$D$1109=$E$5,ROW($D$1:$D$1109)),ROW()-2),1),"")</f>
        <v>2</v>
      </c>
      <c r="K273" s="10">
        <f t="array" ref="K273">IFERROR(INDEX($C$1:$C$1109, SMALL(IF($D$1:$D$1109=$E$5,ROW($D$1:$D$1109)),ROW()-2),1),"")</f>
        <v>34.700000000000003</v>
      </c>
      <c r="R273" s="13">
        <v>3.4</v>
      </c>
      <c r="S273" s="13">
        <v>40.997799999999998</v>
      </c>
      <c r="T273" s="140">
        <v>5.6</v>
      </c>
      <c r="U273" s="140">
        <v>24.2</v>
      </c>
      <c r="V273" s="10">
        <v>2</v>
      </c>
      <c r="W273" s="10">
        <v>34.700000000000003</v>
      </c>
    </row>
    <row r="274" spans="1:23" ht="15.75">
      <c r="A274" s="64">
        <f t="shared" ca="1" si="4"/>
        <v>0.47930255409475508</v>
      </c>
      <c r="B274" s="74">
        <v>2.4</v>
      </c>
      <c r="C274" s="71">
        <v>31.9</v>
      </c>
      <c r="D274" s="132">
        <f t="array" ref="D274">MOD(ROW(), 3) + 1</f>
        <v>2</v>
      </c>
      <c r="F274" s="13">
        <f t="array" ref="F274">IFERROR(INDEX($B$1:$B$1109, SMALL(IF($D$1:$D$1109=$E$3,ROW($D$1:$D$1109)),ROW()-2),1),"")</f>
        <v>2.5</v>
      </c>
      <c r="G274" s="13">
        <f t="array" ref="G274">IFERROR(INDEX($C$1:$C$1109, SMALL(IF($D$1:$D$1109=$E$3,ROW($D$1:$D$1109)),ROW()-2),1),"")</f>
        <v>34.143500000000003</v>
      </c>
      <c r="H274" s="140">
        <f t="array" ref="H274">IFERROR(INDEX($B$1:$B$1109, SMALL(IF($D$1:$D$1109=$E$4,ROW($D$1:$D$1109)),ROW()-2),1),"")</f>
        <v>3.7</v>
      </c>
      <c r="I274" s="140">
        <f t="array" ref="I274">IFERROR(INDEX($C$1:$C$1109, SMALL(IF($D$1:$D$1109=$E$4,ROW($D$1:$D$1109)),ROW()-2),1),"")</f>
        <v>35.161999999999999</v>
      </c>
      <c r="J274" s="10">
        <f t="array" ref="J274">IFERROR(INDEX($B$1:$B$1109, SMALL(IF($D$1:$D$1109=$E$5,ROW($D$1:$D$1109)),ROW()-2),1),"")</f>
        <v>2</v>
      </c>
      <c r="K274" s="10">
        <f t="array" ref="K274">IFERROR(INDEX($C$1:$C$1109, SMALL(IF($D$1:$D$1109=$E$5,ROW($D$1:$D$1109)),ROW()-2),1),"")</f>
        <v>41.8</v>
      </c>
      <c r="R274" s="13">
        <v>2.5</v>
      </c>
      <c r="S274" s="13">
        <v>34.143500000000003</v>
      </c>
      <c r="T274" s="140">
        <v>3.7</v>
      </c>
      <c r="U274" s="140">
        <v>35.161999999999999</v>
      </c>
      <c r="V274" s="10">
        <v>2</v>
      </c>
      <c r="W274" s="10">
        <v>41.8</v>
      </c>
    </row>
    <row r="275" spans="1:23" ht="15.75">
      <c r="A275" s="64">
        <f t="shared" ca="1" si="4"/>
        <v>0.34707103447752019</v>
      </c>
      <c r="B275" s="74">
        <v>2.4</v>
      </c>
      <c r="C275" s="71">
        <v>48.2</v>
      </c>
      <c r="D275" s="132">
        <f t="array" ref="D275">MOD(ROW(), 3) + 1</f>
        <v>3</v>
      </c>
      <c r="F275" s="13">
        <f t="array" ref="F275">IFERROR(INDEX($B$1:$B$1109, SMALL(IF($D$1:$D$1109=$E$3,ROW($D$1:$D$1109)),ROW()-2),1),"")</f>
        <v>3.2</v>
      </c>
      <c r="G275" s="13">
        <f t="array" ref="G275">IFERROR(INDEX($C$1:$C$1109, SMALL(IF($D$1:$D$1109=$E$3,ROW($D$1:$D$1109)),ROW()-2),1),"")</f>
        <v>29.743099999999998</v>
      </c>
      <c r="H275" s="140">
        <f t="array" ref="H275">IFERROR(INDEX($B$1:$B$1109, SMALL(IF($D$1:$D$1109=$E$4,ROW($D$1:$D$1109)),ROW()-2),1),"")</f>
        <v>4.5999999999999996</v>
      </c>
      <c r="I275" s="140">
        <f t="array" ref="I275">IFERROR(INDEX($C$1:$C$1109, SMALL(IF($D$1:$D$1109=$E$4,ROW($D$1:$D$1109)),ROW()-2),1),"")</f>
        <v>33.305199999999999</v>
      </c>
      <c r="J275" s="10">
        <f t="array" ref="J275">IFERROR(INDEX($B$1:$B$1109, SMALL(IF($D$1:$D$1109=$E$5,ROW($D$1:$D$1109)),ROW()-2),1),"")</f>
        <v>6.2</v>
      </c>
      <c r="K275" s="10">
        <f t="array" ref="K275">IFERROR(INDEX($C$1:$C$1109, SMALL(IF($D$1:$D$1109=$E$5,ROW($D$1:$D$1109)),ROW()-2),1),"")</f>
        <v>34.349299999999999</v>
      </c>
      <c r="R275" s="13">
        <v>3.2</v>
      </c>
      <c r="S275" s="13">
        <v>29.743099999999998</v>
      </c>
      <c r="T275" s="140">
        <v>4.5999999999999996</v>
      </c>
      <c r="U275" s="140">
        <v>33.305199999999999</v>
      </c>
      <c r="V275" s="10">
        <v>6.2</v>
      </c>
      <c r="W275" s="10">
        <v>34.349299999999999</v>
      </c>
    </row>
    <row r="276" spans="1:23" ht="15.75">
      <c r="A276" s="64">
        <f t="shared" ca="1" si="4"/>
        <v>0.62811616426786554</v>
      </c>
      <c r="B276" s="74">
        <v>2.4</v>
      </c>
      <c r="C276" s="71">
        <v>43.3</v>
      </c>
      <c r="D276" s="132">
        <f t="array" ref="D276">MOD(ROW(), 3) + 1</f>
        <v>1</v>
      </c>
      <c r="F276" s="13">
        <f t="array" ref="F276">IFERROR(INDEX($B$1:$B$1109, SMALL(IF($D$1:$D$1109=$E$3,ROW($D$1:$D$1109)),ROW()-2),1),"")</f>
        <v>3.7</v>
      </c>
      <c r="G276" s="13">
        <f t="array" ref="G276">IFERROR(INDEX($C$1:$C$1109, SMALL(IF($D$1:$D$1109=$E$3,ROW($D$1:$D$1109)),ROW()-2),1),"")</f>
        <v>31.6</v>
      </c>
      <c r="H276" s="140">
        <f t="array" ref="H276">IFERROR(INDEX($B$1:$B$1109, SMALL(IF($D$1:$D$1109=$E$4,ROW($D$1:$D$1109)),ROW()-2),1),"")</f>
        <v>5.6</v>
      </c>
      <c r="I276" s="140">
        <f t="array" ref="I276">IFERROR(INDEX($C$1:$C$1109, SMALL(IF($D$1:$D$1109=$E$4,ROW($D$1:$D$1109)),ROW()-2),1),"")</f>
        <v>24.192399999999999</v>
      </c>
      <c r="J276" s="10">
        <f t="array" ref="J276">IFERROR(INDEX($B$1:$B$1109, SMALL(IF($D$1:$D$1109=$E$5,ROW($D$1:$D$1109)),ROW()-2),1),"")</f>
        <v>2.4</v>
      </c>
      <c r="K276" s="10">
        <f t="array" ref="K276">IFERROR(INDEX($C$1:$C$1109, SMALL(IF($D$1:$D$1109=$E$5,ROW($D$1:$D$1109)),ROW()-2),1),"")</f>
        <v>39.200000000000003</v>
      </c>
      <c r="R276" s="13">
        <v>3.7</v>
      </c>
      <c r="S276" s="13">
        <v>31.6</v>
      </c>
      <c r="T276" s="140">
        <v>5.6</v>
      </c>
      <c r="U276" s="140">
        <v>24.192399999999999</v>
      </c>
      <c r="V276" s="10">
        <v>2.4</v>
      </c>
      <c r="W276" s="10">
        <v>39.200000000000003</v>
      </c>
    </row>
    <row r="277" spans="1:23" ht="15.75">
      <c r="A277" s="64">
        <f t="shared" ca="1" si="4"/>
        <v>6.9427963020619821E-2</v>
      </c>
      <c r="B277" s="74">
        <v>4.5999999999999996</v>
      </c>
      <c r="C277" s="71">
        <v>29.14</v>
      </c>
      <c r="D277" s="132">
        <f t="array" ref="D277">MOD(ROW(), 3) + 1</f>
        <v>2</v>
      </c>
      <c r="F277" s="13">
        <f t="array" ref="F277">IFERROR(INDEX($B$1:$B$1109, SMALL(IF($D$1:$D$1109=$E$3,ROW($D$1:$D$1109)),ROW()-2),1),"")</f>
        <v>3</v>
      </c>
      <c r="G277" s="13">
        <f t="array" ref="G277">IFERROR(INDEX($C$1:$C$1109, SMALL(IF($D$1:$D$1109=$E$3,ROW($D$1:$D$1109)),ROW()-2),1),"")</f>
        <v>38.299999999999997</v>
      </c>
      <c r="H277" s="140">
        <f t="array" ref="H277">IFERROR(INDEX($B$1:$B$1109, SMALL(IF($D$1:$D$1109=$E$4,ROW($D$1:$D$1109)),ROW()-2),1),"")</f>
        <v>3</v>
      </c>
      <c r="I277" s="140">
        <f t="array" ref="I277">IFERROR(INDEX($C$1:$C$1109, SMALL(IF($D$1:$D$1109=$E$4,ROW($D$1:$D$1109)),ROW()-2),1),"")</f>
        <v>34.285299999999999</v>
      </c>
      <c r="J277" s="10">
        <f t="array" ref="J277">IFERROR(INDEX($B$1:$B$1109, SMALL(IF($D$1:$D$1109=$E$5,ROW($D$1:$D$1109)),ROW()-2),1),"")</f>
        <v>4</v>
      </c>
      <c r="K277" s="10">
        <f t="array" ref="K277">IFERROR(INDEX($C$1:$C$1109, SMALL(IF($D$1:$D$1109=$E$5,ROW($D$1:$D$1109)),ROW()-2),1),"")</f>
        <v>35.200000000000003</v>
      </c>
      <c r="R277" s="13">
        <v>3</v>
      </c>
      <c r="S277" s="13">
        <v>38.299999999999997</v>
      </c>
      <c r="T277" s="140">
        <v>3</v>
      </c>
      <c r="U277" s="140">
        <v>34.285299999999999</v>
      </c>
      <c r="V277" s="10">
        <v>4</v>
      </c>
      <c r="W277" s="10">
        <v>35.200000000000003</v>
      </c>
    </row>
    <row r="278" spans="1:23" ht="15.75">
      <c r="A278" s="64">
        <f t="shared" ca="1" si="4"/>
        <v>0.25413351053155198</v>
      </c>
      <c r="B278" s="74">
        <v>3.5</v>
      </c>
      <c r="C278" s="71">
        <v>37.6</v>
      </c>
      <c r="D278" s="132">
        <f t="array" ref="D278">MOD(ROW(), 3) + 1</f>
        <v>3</v>
      </c>
      <c r="F278" s="13">
        <f t="array" ref="F278">IFERROR(INDEX($B$1:$B$1109, SMALL(IF($D$1:$D$1109=$E$3,ROW($D$1:$D$1109)),ROW()-2),1),"")</f>
        <v>3.5</v>
      </c>
      <c r="G278" s="13">
        <f t="array" ref="G278">IFERROR(INDEX($C$1:$C$1109, SMALL(IF($D$1:$D$1109=$E$3,ROW($D$1:$D$1109)),ROW()-2),1),"")</f>
        <v>36.200000000000003</v>
      </c>
      <c r="H278" s="140">
        <f t="array" ref="H278">IFERROR(INDEX($B$1:$B$1109, SMALL(IF($D$1:$D$1109=$E$4,ROW($D$1:$D$1109)),ROW()-2),1),"")</f>
        <v>8</v>
      </c>
      <c r="I278" s="140">
        <f t="array" ref="I278">IFERROR(INDEX($C$1:$C$1109, SMALL(IF($D$1:$D$1109=$E$4,ROW($D$1:$D$1109)),ROW()-2),1),"")</f>
        <v>17.8</v>
      </c>
      <c r="J278" s="10">
        <f t="array" ref="J278">IFERROR(INDEX($B$1:$B$1109, SMALL(IF($D$1:$D$1109=$E$5,ROW($D$1:$D$1109)),ROW()-2),1),"")</f>
        <v>2.4</v>
      </c>
      <c r="K278" s="10">
        <f t="array" ref="K278">IFERROR(INDEX($C$1:$C$1109, SMALL(IF($D$1:$D$1109=$E$5,ROW($D$1:$D$1109)),ROW()-2),1),"")</f>
        <v>41.9</v>
      </c>
      <c r="R278" s="13">
        <v>3.5</v>
      </c>
      <c r="S278" s="13">
        <v>36.200000000000003</v>
      </c>
      <c r="T278" s="140">
        <v>8</v>
      </c>
      <c r="U278" s="140">
        <v>17.8</v>
      </c>
      <c r="V278" s="10">
        <v>2.4</v>
      </c>
      <c r="W278" s="10">
        <v>41.9</v>
      </c>
    </row>
    <row r="279" spans="1:23" ht="15.75">
      <c r="A279" s="64">
        <f t="shared" ca="1" si="4"/>
        <v>0.23708329548368656</v>
      </c>
      <c r="B279" s="74">
        <v>3</v>
      </c>
      <c r="C279" s="71">
        <v>38.7896</v>
      </c>
      <c r="D279" s="132">
        <f t="array" ref="D279">MOD(ROW(), 3) + 1</f>
        <v>1</v>
      </c>
      <c r="F279" s="13">
        <f t="array" ref="F279">IFERROR(INDEX($B$1:$B$1109, SMALL(IF($D$1:$D$1109=$E$3,ROW($D$1:$D$1109)),ROW()-2),1),"")</f>
        <v>3.6</v>
      </c>
      <c r="G279" s="13">
        <f t="array" ref="G279">IFERROR(INDEX($C$1:$C$1109, SMALL(IF($D$1:$D$1109=$E$3,ROW($D$1:$D$1109)),ROW()-2),1),"")</f>
        <v>36.439500000000002</v>
      </c>
      <c r="H279" s="140">
        <f t="array" ref="H279">IFERROR(INDEX($B$1:$B$1109, SMALL(IF($D$1:$D$1109=$E$4,ROW($D$1:$D$1109)),ROW()-2),1),"")</f>
        <v>4.5999999999999996</v>
      </c>
      <c r="I279" s="140">
        <f t="array" ref="I279">IFERROR(INDEX($C$1:$C$1109, SMALL(IF($D$1:$D$1109=$E$4,ROW($D$1:$D$1109)),ROW()-2),1),"")</f>
        <v>33.550899999999999</v>
      </c>
      <c r="J279" s="10">
        <f t="array" ref="J279">IFERROR(INDEX($B$1:$B$1109, SMALL(IF($D$1:$D$1109=$E$5,ROW($D$1:$D$1109)),ROW()-2),1),"")</f>
        <v>4.7</v>
      </c>
      <c r="K279" s="10">
        <f t="array" ref="K279">IFERROR(INDEX($C$1:$C$1109, SMALL(IF($D$1:$D$1109=$E$5,ROW($D$1:$D$1109)),ROW()-2),1),"")</f>
        <v>26.560400000000001</v>
      </c>
      <c r="R279" s="13">
        <v>3.6</v>
      </c>
      <c r="S279" s="13">
        <v>36.439500000000002</v>
      </c>
      <c r="T279" s="140">
        <v>4.5999999999999996</v>
      </c>
      <c r="U279" s="140">
        <v>33.550899999999999</v>
      </c>
      <c r="V279" s="10">
        <v>4.7</v>
      </c>
      <c r="W279" s="10">
        <v>26.560400000000001</v>
      </c>
    </row>
    <row r="280" spans="1:23" ht="15.75">
      <c r="A280" s="64">
        <f t="shared" ca="1" si="4"/>
        <v>0.83030685086655065</v>
      </c>
      <c r="B280" s="74">
        <v>4.8</v>
      </c>
      <c r="C280" s="71">
        <v>26.388000000000002</v>
      </c>
      <c r="D280" s="132">
        <f t="array" ref="D280">MOD(ROW(), 3) + 1</f>
        <v>2</v>
      </c>
      <c r="F280" s="13">
        <f t="array" ref="F280">IFERROR(INDEX($B$1:$B$1109, SMALL(IF($D$1:$D$1109=$E$3,ROW($D$1:$D$1109)),ROW()-2),1),"")</f>
        <v>4</v>
      </c>
      <c r="G280" s="13">
        <f t="array" ref="G280">IFERROR(INDEX($C$1:$C$1109, SMALL(IF($D$1:$D$1109=$E$3,ROW($D$1:$D$1109)),ROW()-2),1),"")</f>
        <v>27.3704</v>
      </c>
      <c r="H280" s="140">
        <f t="array" ref="H280">IFERROR(INDEX($B$1:$B$1109, SMALL(IF($D$1:$D$1109=$E$4,ROW($D$1:$D$1109)),ROW()-2),1),"")</f>
        <v>2</v>
      </c>
      <c r="I280" s="140">
        <f t="array" ref="I280">IFERROR(INDEX($C$1:$C$1109, SMALL(IF($D$1:$D$1109=$E$4,ROW($D$1:$D$1109)),ROW()-2),1),"")</f>
        <v>39.7256</v>
      </c>
      <c r="J280" s="10">
        <f t="array" ref="J280">IFERROR(INDEX($B$1:$B$1109, SMALL(IF($D$1:$D$1109=$E$5,ROW($D$1:$D$1109)),ROW()-2),1),"")</f>
        <v>3</v>
      </c>
      <c r="K280" s="10">
        <f t="array" ref="K280">IFERROR(INDEX($C$1:$C$1109, SMALL(IF($D$1:$D$1109=$E$5,ROW($D$1:$D$1109)),ROW()-2),1),"")</f>
        <v>35.883099999999999</v>
      </c>
      <c r="R280" s="13">
        <v>4</v>
      </c>
      <c r="S280" s="13">
        <v>27.3704</v>
      </c>
      <c r="T280" s="140">
        <v>2</v>
      </c>
      <c r="U280" s="140">
        <v>39.7256</v>
      </c>
      <c r="V280" s="10">
        <v>3</v>
      </c>
      <c r="W280" s="10">
        <v>35.883099999999999</v>
      </c>
    </row>
    <row r="281" spans="1:23" ht="15.75">
      <c r="A281" s="64">
        <f t="shared" ca="1" si="4"/>
        <v>0.77450249680496197</v>
      </c>
      <c r="B281" s="74">
        <v>1.6</v>
      </c>
      <c r="C281" s="71">
        <v>42.1</v>
      </c>
      <c r="D281" s="132">
        <f t="array" ref="D281">MOD(ROW(), 3) + 1</f>
        <v>3</v>
      </c>
      <c r="F281" s="13">
        <f t="array" ref="F281">IFERROR(INDEX($B$1:$B$1109, SMALL(IF($D$1:$D$1109=$E$3,ROW($D$1:$D$1109)),ROW()-2),1),"")</f>
        <v>5</v>
      </c>
      <c r="G281" s="13">
        <f t="array" ref="G281">IFERROR(INDEX($C$1:$C$1109, SMALL(IF($D$1:$D$1109=$E$3,ROW($D$1:$D$1109)),ROW()-2),1),"")</f>
        <v>29.7559</v>
      </c>
      <c r="H281" s="140">
        <f t="array" ref="H281">IFERROR(INDEX($B$1:$B$1109, SMALL(IF($D$1:$D$1109=$E$4,ROW($D$1:$D$1109)),ROW()-2),1),"")</f>
        <v>4</v>
      </c>
      <c r="I281" s="140">
        <f t="array" ref="I281">IFERROR(INDEX($C$1:$C$1109, SMALL(IF($D$1:$D$1109=$E$4,ROW($D$1:$D$1109)),ROW()-2),1),"")</f>
        <v>32.756799999999998</v>
      </c>
      <c r="J281" s="10">
        <f t="array" ref="J281">IFERROR(INDEX($B$1:$B$1109, SMALL(IF($D$1:$D$1109=$E$5,ROW($D$1:$D$1109)),ROW()-2),1),"")</f>
        <v>1.6</v>
      </c>
      <c r="K281" s="10">
        <f t="array" ref="K281">IFERROR(INDEX($C$1:$C$1109, SMALL(IF($D$1:$D$1109=$E$5,ROW($D$1:$D$1109)),ROW()-2),1),"")</f>
        <v>47.202500000000001</v>
      </c>
      <c r="R281" s="13">
        <v>5</v>
      </c>
      <c r="S281" s="13">
        <v>29.7559</v>
      </c>
      <c r="T281" s="140">
        <v>4</v>
      </c>
      <c r="U281" s="140">
        <v>32.756799999999998</v>
      </c>
      <c r="V281" s="10">
        <v>1.6</v>
      </c>
      <c r="W281" s="10">
        <v>47.202500000000001</v>
      </c>
    </row>
    <row r="282" spans="1:23" ht="15.75">
      <c r="A282" s="64">
        <f t="shared" ca="1" si="4"/>
        <v>0.44304154334051626</v>
      </c>
      <c r="B282" s="74">
        <v>3</v>
      </c>
      <c r="C282" s="71">
        <v>33.299999999999997</v>
      </c>
      <c r="D282" s="132">
        <f t="array" ref="D282">MOD(ROW(), 3) + 1</f>
        <v>1</v>
      </c>
      <c r="F282" s="13">
        <f t="array" ref="F282">IFERROR(INDEX($B$1:$B$1109, SMALL(IF($D$1:$D$1109=$E$3,ROW($D$1:$D$1109)),ROW()-2),1),"")</f>
        <v>4</v>
      </c>
      <c r="G282" s="13">
        <f t="array" ref="G282">IFERROR(INDEX($C$1:$C$1109, SMALL(IF($D$1:$D$1109=$E$3,ROW($D$1:$D$1109)),ROW()-2),1),"")</f>
        <v>31.4</v>
      </c>
      <c r="H282" s="140">
        <f t="array" ref="H282">IFERROR(INDEX($B$1:$B$1109, SMALL(IF($D$1:$D$1109=$E$4,ROW($D$1:$D$1109)),ROW()-2),1),"")</f>
        <v>3.3</v>
      </c>
      <c r="I282" s="140">
        <f t="array" ref="I282">IFERROR(INDEX($C$1:$C$1109, SMALL(IF($D$1:$D$1109=$E$4,ROW($D$1:$D$1109)),ROW()-2),1),"")</f>
        <v>33.098799999999997</v>
      </c>
      <c r="J282" s="10">
        <f t="array" ref="J282">IFERROR(INDEX($B$1:$B$1109, SMALL(IF($D$1:$D$1109=$E$5,ROW($D$1:$D$1109)),ROW()-2),1),"")</f>
        <v>3.5</v>
      </c>
      <c r="K282" s="10">
        <f t="array" ref="K282">IFERROR(INDEX($C$1:$C$1109, SMALL(IF($D$1:$D$1109=$E$5,ROW($D$1:$D$1109)),ROW()-2),1),"")</f>
        <v>34.700000000000003</v>
      </c>
      <c r="R282" s="13">
        <v>4</v>
      </c>
      <c r="S282" s="13">
        <v>31.4</v>
      </c>
      <c r="T282" s="140">
        <v>3.3</v>
      </c>
      <c r="U282" s="140">
        <v>33.098799999999997</v>
      </c>
      <c r="V282" s="10">
        <v>3.5</v>
      </c>
      <c r="W282" s="10">
        <v>34.700000000000003</v>
      </c>
    </row>
    <row r="283" spans="1:23" ht="15.75">
      <c r="A283" s="64">
        <f t="shared" ca="1" si="4"/>
        <v>0.60594564684793228</v>
      </c>
      <c r="B283" s="74">
        <v>1.6</v>
      </c>
      <c r="C283" s="71">
        <v>50.4</v>
      </c>
      <c r="D283" s="132">
        <f t="array" ref="D283">MOD(ROW(), 3) + 1</f>
        <v>2</v>
      </c>
      <c r="F283" s="13">
        <f t="array" ref="F283">IFERROR(INDEX($B$1:$B$1109, SMALL(IF($D$1:$D$1109=$E$3,ROW($D$1:$D$1109)),ROW()-2),1),"")</f>
        <v>2</v>
      </c>
      <c r="G283" s="13">
        <f t="array" ref="G283">IFERROR(INDEX($C$1:$C$1109, SMALL(IF($D$1:$D$1109=$E$3,ROW($D$1:$D$1109)),ROW()-2),1),"")</f>
        <v>41.707799999999999</v>
      </c>
      <c r="H283" s="140">
        <f t="array" ref="H283">IFERROR(INDEX($B$1:$B$1109, SMALL(IF($D$1:$D$1109=$E$4,ROW($D$1:$D$1109)),ROW()-2),1),"")</f>
        <v>2.5</v>
      </c>
      <c r="I283" s="140">
        <f t="array" ref="I283">IFERROR(INDEX($C$1:$C$1109, SMALL(IF($D$1:$D$1109=$E$4,ROW($D$1:$D$1109)),ROW()-2),1),"")</f>
        <v>36.030700000000003</v>
      </c>
      <c r="J283" s="10">
        <f t="array" ref="J283">IFERROR(INDEX($B$1:$B$1109, SMALL(IF($D$1:$D$1109=$E$5,ROW($D$1:$D$1109)),ROW()-2),1),"")</f>
        <v>3.8</v>
      </c>
      <c r="K283" s="10">
        <f t="array" ref="K283">IFERROR(INDEX($C$1:$C$1109, SMALL(IF($D$1:$D$1109=$E$5,ROW($D$1:$D$1109)),ROW()-2),1),"")</f>
        <v>38.299999999999997</v>
      </c>
      <c r="R283" s="13">
        <v>2</v>
      </c>
      <c r="S283" s="13">
        <v>41.707799999999999</v>
      </c>
      <c r="T283" s="140">
        <v>2.5</v>
      </c>
      <c r="U283" s="140">
        <v>36.030700000000003</v>
      </c>
      <c r="V283" s="10">
        <v>3.8</v>
      </c>
      <c r="W283" s="10">
        <v>38.299999999999997</v>
      </c>
    </row>
    <row r="284" spans="1:23" ht="15.75">
      <c r="A284" s="64">
        <f t="shared" ca="1" si="4"/>
        <v>0.17559383918935245</v>
      </c>
      <c r="B284" s="74">
        <v>3.5</v>
      </c>
      <c r="C284" s="71">
        <v>34.200000000000003</v>
      </c>
      <c r="D284" s="132">
        <f t="array" ref="D284">MOD(ROW(), 3) + 1</f>
        <v>3</v>
      </c>
      <c r="F284" s="13">
        <f t="array" ref="F284">IFERROR(INDEX($B$1:$B$1109, SMALL(IF($D$1:$D$1109=$E$3,ROW($D$1:$D$1109)),ROW()-2),1),"")</f>
        <v>4</v>
      </c>
      <c r="G284" s="13">
        <f t="array" ref="G284">IFERROR(INDEX($C$1:$C$1109, SMALL(IF($D$1:$D$1109=$E$3,ROW($D$1:$D$1109)),ROW()-2),1),"")</f>
        <v>27.234000000000002</v>
      </c>
      <c r="H284" s="140">
        <f t="array" ref="H284">IFERROR(INDEX($B$1:$B$1109, SMALL(IF($D$1:$D$1109=$E$4,ROW($D$1:$D$1109)),ROW()-2),1),"")</f>
        <v>3.6</v>
      </c>
      <c r="I284" s="140">
        <f t="array" ref="I284">IFERROR(INDEX($C$1:$C$1109, SMALL(IF($D$1:$D$1109=$E$4,ROW($D$1:$D$1109)),ROW()-2),1),"")</f>
        <v>34.875399999999999</v>
      </c>
      <c r="J284" s="10">
        <f t="array" ref="J284">IFERROR(INDEX($B$1:$B$1109, SMALL(IF($D$1:$D$1109=$E$5,ROW($D$1:$D$1109)),ROW()-2),1),"")</f>
        <v>5</v>
      </c>
      <c r="K284" s="10">
        <f t="array" ref="K284">IFERROR(INDEX($C$1:$C$1109, SMALL(IF($D$1:$D$1109=$E$5,ROW($D$1:$D$1109)),ROW()-2),1),"")</f>
        <v>23.227</v>
      </c>
      <c r="R284" s="13">
        <v>4</v>
      </c>
      <c r="S284" s="13">
        <v>27.234000000000002</v>
      </c>
      <c r="T284" s="140">
        <v>3.6</v>
      </c>
      <c r="U284" s="140">
        <v>34.875399999999999</v>
      </c>
      <c r="V284" s="10">
        <v>5</v>
      </c>
      <c r="W284" s="10">
        <v>23.227</v>
      </c>
    </row>
    <row r="285" spans="1:23" ht="15.75">
      <c r="A285" s="64">
        <f t="shared" ca="1" si="4"/>
        <v>0.92582590888153771</v>
      </c>
      <c r="B285" s="74">
        <v>3.5</v>
      </c>
      <c r="C285" s="71">
        <v>40.299999999999997</v>
      </c>
      <c r="D285" s="132">
        <f t="array" ref="D285">MOD(ROW(), 3) + 1</f>
        <v>1</v>
      </c>
      <c r="F285" s="13">
        <f t="array" ref="F285">IFERROR(INDEX($B$1:$B$1109, SMALL(IF($D$1:$D$1109=$E$3,ROW($D$1:$D$1109)),ROW()-2),1),"")</f>
        <v>6.5</v>
      </c>
      <c r="G285" s="13">
        <f t="array" ref="G285">IFERROR(INDEX($C$1:$C$1109, SMALL(IF($D$1:$D$1109=$E$3,ROW($D$1:$D$1109)),ROW()-2),1),"")</f>
        <v>19.899999999999999</v>
      </c>
      <c r="H285" s="140">
        <f t="array" ref="H285">IFERROR(INDEX($B$1:$B$1109, SMALL(IF($D$1:$D$1109=$E$4,ROW($D$1:$D$1109)),ROW()-2),1),"")</f>
        <v>2.5</v>
      </c>
      <c r="I285" s="140">
        <f t="array" ref="I285">IFERROR(INDEX($C$1:$C$1109, SMALL(IF($D$1:$D$1109=$E$4,ROW($D$1:$D$1109)),ROW()-2),1),"")</f>
        <v>38.6</v>
      </c>
      <c r="J285" s="10">
        <f t="array" ref="J285">IFERROR(INDEX($B$1:$B$1109, SMALL(IF($D$1:$D$1109=$E$5,ROW($D$1:$D$1109)),ROW()-2),1),"")</f>
        <v>4.5999999999999996</v>
      </c>
      <c r="K285" s="10">
        <f t="array" ref="K285">IFERROR(INDEX($C$1:$C$1109, SMALL(IF($D$1:$D$1109=$E$5,ROW($D$1:$D$1109)),ROW()-2),1),"")</f>
        <v>34.049900000000001</v>
      </c>
      <c r="R285" s="13">
        <v>6.5</v>
      </c>
      <c r="S285" s="13">
        <v>19.899999999999999</v>
      </c>
      <c r="T285" s="140">
        <v>2.5</v>
      </c>
      <c r="U285" s="140">
        <v>38.6</v>
      </c>
      <c r="V285" s="10">
        <v>4.5999999999999996</v>
      </c>
      <c r="W285" s="10">
        <v>34.049900000000001</v>
      </c>
    </row>
    <row r="286" spans="1:23" ht="15.75">
      <c r="A286" s="64">
        <f t="shared" ca="1" si="4"/>
        <v>0.85918303888881553</v>
      </c>
      <c r="B286" s="74">
        <v>2</v>
      </c>
      <c r="C286" s="71">
        <v>41.566099999999999</v>
      </c>
      <c r="D286" s="132">
        <f t="array" ref="D286">MOD(ROW(), 3) + 1</f>
        <v>2</v>
      </c>
      <c r="F286" s="13">
        <f t="array" ref="F286">IFERROR(INDEX($B$1:$B$1109, SMALL(IF($D$1:$D$1109=$E$3,ROW($D$1:$D$1109)),ROW()-2),1),"")</f>
        <v>4.7</v>
      </c>
      <c r="G286" s="13">
        <f t="array" ref="G286">IFERROR(INDEX($C$1:$C$1109, SMALL(IF($D$1:$D$1109=$E$3,ROW($D$1:$D$1109)),ROW()-2),1),"")</f>
        <v>26.702200000000001</v>
      </c>
      <c r="H286" s="140">
        <f t="array" ref="H286">IFERROR(INDEX($B$1:$B$1109, SMALL(IF($D$1:$D$1109=$E$4,ROW($D$1:$D$1109)),ROW()-2),1),"")</f>
        <v>2.5</v>
      </c>
      <c r="I286" s="140">
        <f t="array" ref="I286">IFERROR(INDEX($C$1:$C$1109, SMALL(IF($D$1:$D$1109=$E$4,ROW($D$1:$D$1109)),ROW()-2),1),"")</f>
        <v>40.4</v>
      </c>
      <c r="J286" s="10">
        <f t="array" ref="J286">IFERROR(INDEX($B$1:$B$1109, SMALL(IF($D$1:$D$1109=$E$5,ROW($D$1:$D$1109)),ROW()-2),1),"")</f>
        <v>5.3</v>
      </c>
      <c r="K286" s="10">
        <f t="array" ref="K286">IFERROR(INDEX($C$1:$C$1109, SMALL(IF($D$1:$D$1109=$E$5,ROW($D$1:$D$1109)),ROW()-2),1),"")</f>
        <v>27.9</v>
      </c>
      <c r="R286" s="13">
        <v>4.7</v>
      </c>
      <c r="S286" s="13">
        <v>26.702200000000001</v>
      </c>
      <c r="T286" s="140">
        <v>2.5</v>
      </c>
      <c r="U286" s="140">
        <v>40.4</v>
      </c>
      <c r="V286" s="10">
        <v>5.3</v>
      </c>
      <c r="W286" s="10">
        <v>27.9</v>
      </c>
    </row>
    <row r="287" spans="1:23" ht="15.75">
      <c r="A287" s="64">
        <f t="shared" ca="1" si="4"/>
        <v>0.2923452183158477</v>
      </c>
      <c r="B287" s="74">
        <v>2</v>
      </c>
      <c r="C287" s="71">
        <v>38.995899999999999</v>
      </c>
      <c r="D287" s="132">
        <f t="array" ref="D287">MOD(ROW(), 3) + 1</f>
        <v>3</v>
      </c>
      <c r="F287" s="13">
        <f t="array" ref="F287">IFERROR(INDEX($B$1:$B$1109, SMALL(IF($D$1:$D$1109=$E$3,ROW($D$1:$D$1109)),ROW()-2),1),"")</f>
        <v>3.6</v>
      </c>
      <c r="G287" s="13">
        <f t="array" ref="G287">IFERROR(INDEX($C$1:$C$1109, SMALL(IF($D$1:$D$1109=$E$3,ROW($D$1:$D$1109)),ROW()-2),1),"")</f>
        <v>29.5</v>
      </c>
      <c r="H287" s="140">
        <f t="array" ref="H287">IFERROR(INDEX($B$1:$B$1109, SMALL(IF($D$1:$D$1109=$E$4,ROW($D$1:$D$1109)),ROW()-2),1),"")</f>
        <v>6.5</v>
      </c>
      <c r="I287" s="140">
        <f t="array" ref="I287">IFERROR(INDEX($C$1:$C$1109, SMALL(IF($D$1:$D$1109=$E$4,ROW($D$1:$D$1109)),ROW()-2),1),"")</f>
        <v>19.899999999999999</v>
      </c>
      <c r="J287" s="10">
        <f t="array" ref="J287">IFERROR(INDEX($B$1:$B$1109, SMALL(IF($D$1:$D$1109=$E$5,ROW($D$1:$D$1109)),ROW()-2),1),"")</f>
        <v>3.2</v>
      </c>
      <c r="K287" s="10">
        <f t="array" ref="K287">IFERROR(INDEX($C$1:$C$1109, SMALL(IF($D$1:$D$1109=$E$5,ROW($D$1:$D$1109)),ROW()-2),1),"")</f>
        <v>36.4</v>
      </c>
      <c r="R287" s="13">
        <v>3.6</v>
      </c>
      <c r="S287" s="13">
        <v>29.5</v>
      </c>
      <c r="T287" s="140">
        <v>6.5</v>
      </c>
      <c r="U287" s="140">
        <v>19.899999999999999</v>
      </c>
      <c r="V287" s="10">
        <v>3.2</v>
      </c>
      <c r="W287" s="10">
        <v>36.4</v>
      </c>
    </row>
    <row r="288" spans="1:23" ht="15.75">
      <c r="A288" s="64">
        <f t="shared" ca="1" si="4"/>
        <v>0.99223148200476108</v>
      </c>
      <c r="B288" s="74">
        <v>4.5999999999999996</v>
      </c>
      <c r="C288" s="71">
        <v>30.299900000000001</v>
      </c>
      <c r="D288" s="132">
        <f t="array" ref="D288">MOD(ROW(), 3) + 1</f>
        <v>1</v>
      </c>
      <c r="F288" s="13">
        <f t="array" ref="F288">IFERROR(INDEX($B$1:$B$1109, SMALL(IF($D$1:$D$1109=$E$3,ROW($D$1:$D$1109)),ROW()-2),1),"")</f>
        <v>2.2999999999999998</v>
      </c>
      <c r="G288" s="13">
        <f t="array" ref="G288">IFERROR(INDEX($C$1:$C$1109, SMALL(IF($D$1:$D$1109=$E$3,ROW($D$1:$D$1109)),ROW()-2),1),"")</f>
        <v>34.700000000000003</v>
      </c>
      <c r="H288" s="140">
        <f t="array" ref="H288">IFERROR(INDEX($B$1:$B$1109, SMALL(IF($D$1:$D$1109=$E$4,ROW($D$1:$D$1109)),ROW()-2),1),"")</f>
        <v>3</v>
      </c>
      <c r="I288" s="140">
        <f t="array" ref="I288">IFERROR(INDEX($C$1:$C$1109, SMALL(IF($D$1:$D$1109=$E$4,ROW($D$1:$D$1109)),ROW()-2),1),"")</f>
        <v>34.4</v>
      </c>
      <c r="J288" s="10">
        <f t="array" ref="J288">IFERROR(INDEX($B$1:$B$1109, SMALL(IF($D$1:$D$1109=$E$5,ROW($D$1:$D$1109)),ROW()-2),1),"")</f>
        <v>4.7</v>
      </c>
      <c r="K288" s="10">
        <f t="array" ref="K288">IFERROR(INDEX($C$1:$C$1109, SMALL(IF($D$1:$D$1109=$E$5,ROW($D$1:$D$1109)),ROW()-2),1),"")</f>
        <v>23.8</v>
      </c>
      <c r="R288" s="13">
        <v>2.2999999999999998</v>
      </c>
      <c r="S288" s="13">
        <v>34.700000000000003</v>
      </c>
      <c r="T288" s="140">
        <v>3</v>
      </c>
      <c r="U288" s="140">
        <v>34.4</v>
      </c>
      <c r="V288" s="10">
        <v>4.7</v>
      </c>
      <c r="W288" s="10">
        <v>23.8</v>
      </c>
    </row>
    <row r="289" spans="1:23" ht="15.75">
      <c r="A289" s="64">
        <f t="shared" ca="1" si="4"/>
        <v>0.4103758362811939</v>
      </c>
      <c r="B289" s="74">
        <v>3.8</v>
      </c>
      <c r="C289" s="71">
        <v>28.2</v>
      </c>
      <c r="D289" s="132">
        <f t="array" ref="D289">MOD(ROW(), 3) + 1</f>
        <v>2</v>
      </c>
      <c r="F289" s="13">
        <f t="array" ref="F289">IFERROR(INDEX($B$1:$B$1109, SMALL(IF($D$1:$D$1109=$E$3,ROW($D$1:$D$1109)),ROW()-2),1),"")</f>
        <v>2.4</v>
      </c>
      <c r="G289" s="13">
        <f t="array" ref="G289">IFERROR(INDEX($C$1:$C$1109, SMALL(IF($D$1:$D$1109=$E$3,ROW($D$1:$D$1109)),ROW()-2),1),"")</f>
        <v>38.200000000000003</v>
      </c>
      <c r="H289" s="140">
        <f t="array" ref="H289">IFERROR(INDEX($B$1:$B$1109, SMALL(IF($D$1:$D$1109=$E$4,ROW($D$1:$D$1109)),ROW()-2),1),"")</f>
        <v>4</v>
      </c>
      <c r="I289" s="140">
        <f t="array" ref="I289">IFERROR(INDEX($C$1:$C$1109, SMALL(IF($D$1:$D$1109=$E$4,ROW($D$1:$D$1109)),ROW()-2),1),"")</f>
        <v>25.753499999999999</v>
      </c>
      <c r="J289" s="10">
        <f t="array" ref="J289">IFERROR(INDEX($B$1:$B$1109, SMALL(IF($D$1:$D$1109=$E$5,ROW($D$1:$D$1109)),ROW()-2),1),"")</f>
        <v>6.2</v>
      </c>
      <c r="K289" s="10">
        <f t="array" ref="K289">IFERROR(INDEX($C$1:$C$1109, SMALL(IF($D$1:$D$1109=$E$5,ROW($D$1:$D$1109)),ROW()-2),1),"")</f>
        <v>35.200000000000003</v>
      </c>
      <c r="R289" s="13">
        <v>2.4</v>
      </c>
      <c r="S289" s="13">
        <v>38.200000000000003</v>
      </c>
      <c r="T289" s="140">
        <v>4</v>
      </c>
      <c r="U289" s="140">
        <v>25.753499999999999</v>
      </c>
      <c r="V289" s="10">
        <v>6.2</v>
      </c>
      <c r="W289" s="10">
        <v>35.200000000000003</v>
      </c>
    </row>
    <row r="290" spans="1:23" ht="15.75">
      <c r="A290" s="64">
        <f t="shared" ca="1" si="4"/>
        <v>0.91106495751025618</v>
      </c>
      <c r="B290" s="74">
        <v>4</v>
      </c>
      <c r="C290" s="71">
        <v>27.3</v>
      </c>
      <c r="D290" s="132">
        <f t="array" ref="D290">MOD(ROW(), 3) + 1</f>
        <v>3</v>
      </c>
      <c r="F290" s="13">
        <f t="array" ref="F290">IFERROR(INDEX($B$1:$B$1109, SMALL(IF($D$1:$D$1109=$E$3,ROW($D$1:$D$1109)),ROW()-2),1),"")</f>
        <v>5.3</v>
      </c>
      <c r="G290" s="13">
        <f t="array" ref="G290">IFERROR(INDEX($C$1:$C$1109, SMALL(IF($D$1:$D$1109=$E$3,ROW($D$1:$D$1109)),ROW()-2),1),"")</f>
        <v>28.993500000000001</v>
      </c>
      <c r="H290" s="140">
        <f t="array" ref="H290">IFERROR(INDEX($B$1:$B$1109, SMALL(IF($D$1:$D$1109=$E$4,ROW($D$1:$D$1109)),ROW()-2),1),"")</f>
        <v>3.2</v>
      </c>
      <c r="I290" s="140">
        <f t="array" ref="I290">IFERROR(INDEX($C$1:$C$1109, SMALL(IF($D$1:$D$1109=$E$4,ROW($D$1:$D$1109)),ROW()-2),1),"")</f>
        <v>29.7</v>
      </c>
      <c r="J290" s="10">
        <f t="array" ref="J290">IFERROR(INDEX($B$1:$B$1109, SMALL(IF($D$1:$D$1109=$E$5,ROW($D$1:$D$1109)),ROW()-2),1),"")</f>
        <v>5</v>
      </c>
      <c r="K290" s="10">
        <f t="array" ref="K290">IFERROR(INDEX($C$1:$C$1109, SMALL(IF($D$1:$D$1109=$E$5,ROW($D$1:$D$1109)),ROW()-2),1),"")</f>
        <v>24.0505</v>
      </c>
      <c r="R290" s="13">
        <v>5.3</v>
      </c>
      <c r="S290" s="13">
        <v>28.993500000000001</v>
      </c>
      <c r="T290" s="140">
        <v>3.2</v>
      </c>
      <c r="U290" s="140">
        <v>29.7</v>
      </c>
      <c r="V290" s="10">
        <v>5</v>
      </c>
      <c r="W290" s="10">
        <v>24.0505</v>
      </c>
    </row>
    <row r="291" spans="1:23" ht="15.75">
      <c r="A291" s="64">
        <f t="shared" ca="1" si="4"/>
        <v>8.3150436712541853E-2</v>
      </c>
      <c r="B291" s="74">
        <v>6.2</v>
      </c>
      <c r="C291" s="71">
        <v>33.799999999999997</v>
      </c>
      <c r="D291" s="132">
        <f t="array" ref="D291">MOD(ROW(), 3) + 1</f>
        <v>1</v>
      </c>
      <c r="F291" s="13">
        <f t="array" ref="F291">IFERROR(INDEX($B$1:$B$1109, SMALL(IF($D$1:$D$1109=$E$3,ROW($D$1:$D$1109)),ROW()-2),1),"")</f>
        <v>4.4000000000000004</v>
      </c>
      <c r="G291" s="13">
        <f t="array" ref="G291">IFERROR(INDEX($C$1:$C$1109, SMALL(IF($D$1:$D$1109=$E$3,ROW($D$1:$D$1109)),ROW()-2),1),"")</f>
        <v>26.6</v>
      </c>
      <c r="H291" s="140">
        <f t="array" ref="H291">IFERROR(INDEX($B$1:$B$1109, SMALL(IF($D$1:$D$1109=$E$4,ROW($D$1:$D$1109)),ROW()-2),1),"")</f>
        <v>3.8</v>
      </c>
      <c r="I291" s="140">
        <f t="array" ref="I291">IFERROR(INDEX($C$1:$C$1109, SMALL(IF($D$1:$D$1109=$E$4,ROW($D$1:$D$1109)),ROW()-2),1),"")</f>
        <v>31.9</v>
      </c>
      <c r="J291" s="10">
        <f t="array" ref="J291">IFERROR(INDEX($B$1:$B$1109, SMALL(IF($D$1:$D$1109=$E$5,ROW($D$1:$D$1109)),ROW()-2),1),"")</f>
        <v>2.5</v>
      </c>
      <c r="K291" s="10">
        <f t="array" ref="K291">IFERROR(INDEX($C$1:$C$1109, SMALL(IF($D$1:$D$1109=$E$5,ROW($D$1:$D$1109)),ROW()-2),1),"")</f>
        <v>37.057400000000001</v>
      </c>
      <c r="R291" s="13">
        <v>4.4000000000000004</v>
      </c>
      <c r="S291" s="13">
        <v>26.6</v>
      </c>
      <c r="T291" s="140">
        <v>3.8</v>
      </c>
      <c r="U291" s="140">
        <v>31.9</v>
      </c>
      <c r="V291" s="10">
        <v>2.5</v>
      </c>
      <c r="W291" s="10">
        <v>37.057400000000001</v>
      </c>
    </row>
    <row r="292" spans="1:23" ht="15.75">
      <c r="A292" s="64">
        <f t="shared" ca="1" si="4"/>
        <v>0.80623500136118798</v>
      </c>
      <c r="B292" s="74">
        <v>3.5</v>
      </c>
      <c r="C292" s="71">
        <v>31.4</v>
      </c>
      <c r="D292" s="132">
        <f t="array" ref="D292">MOD(ROW(), 3) + 1</f>
        <v>2</v>
      </c>
      <c r="F292" s="13">
        <f t="array" ref="F292">IFERROR(INDEX($B$1:$B$1109, SMALL(IF($D$1:$D$1109=$E$3,ROW($D$1:$D$1109)),ROW()-2),1),"")</f>
        <v>2.4</v>
      </c>
      <c r="G292" s="13">
        <f t="array" ref="G292">IFERROR(INDEX($C$1:$C$1109, SMALL(IF($D$1:$D$1109=$E$3,ROW($D$1:$D$1109)),ROW()-2),1),"")</f>
        <v>35</v>
      </c>
      <c r="H292" s="140">
        <f t="array" ref="H292">IFERROR(INDEX($B$1:$B$1109, SMALL(IF($D$1:$D$1109=$E$4,ROW($D$1:$D$1109)),ROW()-2),1),"")</f>
        <v>3.5</v>
      </c>
      <c r="I292" s="140">
        <f t="array" ref="I292">IFERROR(INDEX($C$1:$C$1109, SMALL(IF($D$1:$D$1109=$E$4,ROW($D$1:$D$1109)),ROW()-2),1),"")</f>
        <v>37.9499</v>
      </c>
      <c r="J292" s="10">
        <f t="array" ref="J292">IFERROR(INDEX($B$1:$B$1109, SMALL(IF($D$1:$D$1109=$E$5,ROW($D$1:$D$1109)),ROW()-2),1),"")</f>
        <v>4.2</v>
      </c>
      <c r="K292" s="10">
        <f t="array" ref="K292">IFERROR(INDEX($C$1:$C$1109, SMALL(IF($D$1:$D$1109=$E$5,ROW($D$1:$D$1109)),ROW()-2),1),"")</f>
        <v>31.5002</v>
      </c>
      <c r="R292" s="13">
        <v>2.4</v>
      </c>
      <c r="S292" s="13">
        <v>35</v>
      </c>
      <c r="T292" s="140">
        <v>3.5</v>
      </c>
      <c r="U292" s="140">
        <v>37.9499</v>
      </c>
      <c r="V292" s="10">
        <v>4.2</v>
      </c>
      <c r="W292" s="10">
        <v>31.5002</v>
      </c>
    </row>
    <row r="293" spans="1:23" ht="15.75">
      <c r="A293" s="64">
        <f t="shared" ca="1" si="4"/>
        <v>0.82661101421152461</v>
      </c>
      <c r="B293" s="74">
        <v>1.8</v>
      </c>
      <c r="C293" s="71">
        <v>44.8</v>
      </c>
      <c r="D293" s="132">
        <f t="array" ref="D293">MOD(ROW(), 3) + 1</f>
        <v>3</v>
      </c>
      <c r="F293" s="13">
        <f t="array" ref="F293">IFERROR(INDEX($B$1:$B$1109, SMALL(IF($D$1:$D$1109=$E$3,ROW($D$1:$D$1109)),ROW()-2),1),"")</f>
        <v>3.8</v>
      </c>
      <c r="G293" s="13">
        <f t="array" ref="G293">IFERROR(INDEX($C$1:$C$1109, SMALL(IF($D$1:$D$1109=$E$3,ROW($D$1:$D$1109)),ROW()-2),1),"")</f>
        <v>33.200000000000003</v>
      </c>
      <c r="H293" s="140">
        <f t="array" ref="H293">IFERROR(INDEX($B$1:$B$1109, SMALL(IF($D$1:$D$1109=$E$4,ROW($D$1:$D$1109)),ROW()-2),1),"")</f>
        <v>4.5999999999999996</v>
      </c>
      <c r="I293" s="140">
        <f t="array" ref="I293">IFERROR(INDEX($C$1:$C$1109, SMALL(IF($D$1:$D$1109=$E$4,ROW($D$1:$D$1109)),ROW()-2),1),"")</f>
        <v>32.110900000000001</v>
      </c>
      <c r="J293" s="10">
        <f t="array" ref="J293">IFERROR(INDEX($B$1:$B$1109, SMALL(IF($D$1:$D$1109=$E$5,ROW($D$1:$D$1109)),ROW()-2),1),"")</f>
        <v>5.3</v>
      </c>
      <c r="K293" s="10">
        <f t="array" ref="K293">IFERROR(INDEX($C$1:$C$1109, SMALL(IF($D$1:$D$1109=$E$5,ROW($D$1:$D$1109)),ROW()-2),1),"")</f>
        <v>22.761900000000001</v>
      </c>
      <c r="R293" s="13">
        <v>3.8</v>
      </c>
      <c r="S293" s="13">
        <v>33.200000000000003</v>
      </c>
      <c r="T293" s="140">
        <v>4.5999999999999996</v>
      </c>
      <c r="U293" s="140">
        <v>32.110900000000001</v>
      </c>
      <c r="V293" s="10">
        <v>5.3</v>
      </c>
      <c r="W293" s="10">
        <v>22.761900000000001</v>
      </c>
    </row>
    <row r="294" spans="1:23" ht="15.75">
      <c r="A294" s="64">
        <f t="shared" ca="1" si="4"/>
        <v>0.58051090268357131</v>
      </c>
      <c r="B294" s="74">
        <v>1.6</v>
      </c>
      <c r="C294" s="71">
        <v>48.9</v>
      </c>
      <c r="D294" s="132">
        <f t="array" ref="D294">MOD(ROW(), 3) + 1</f>
        <v>1</v>
      </c>
      <c r="F294" s="13">
        <f t="array" ref="F294">IFERROR(INDEX($B$1:$B$1109, SMALL(IF($D$1:$D$1109=$E$3,ROW($D$1:$D$1109)),ROW()-2),1),"")</f>
        <v>2.7</v>
      </c>
      <c r="G294" s="13">
        <f t="array" ref="G294">IFERROR(INDEX($C$1:$C$1109, SMALL(IF($D$1:$D$1109=$E$3,ROW($D$1:$D$1109)),ROW()-2),1),"")</f>
        <v>35.700000000000003</v>
      </c>
      <c r="H294" s="140">
        <f t="array" ref="H294">IFERROR(INDEX($B$1:$B$1109, SMALL(IF($D$1:$D$1109=$E$4,ROW($D$1:$D$1109)),ROW()-2),1),"")</f>
        <v>2</v>
      </c>
      <c r="I294" s="140">
        <f t="array" ref="I294">IFERROR(INDEX($C$1:$C$1109, SMALL(IF($D$1:$D$1109=$E$4,ROW($D$1:$D$1109)),ROW()-2),1),"")</f>
        <v>37</v>
      </c>
      <c r="J294" s="10">
        <f t="array" ref="J294">IFERROR(INDEX($B$1:$B$1109, SMALL(IF($D$1:$D$1109=$E$5,ROW($D$1:$D$1109)),ROW()-2),1),"")</f>
        <v>4.5999999999999996</v>
      </c>
      <c r="K294" s="10">
        <f t="array" ref="K294">IFERROR(INDEX($C$1:$C$1109, SMALL(IF($D$1:$D$1109=$E$5,ROW($D$1:$D$1109)),ROW()-2),1),"")</f>
        <v>34.200000000000003</v>
      </c>
      <c r="R294" s="13">
        <v>2.7</v>
      </c>
      <c r="S294" s="13">
        <v>35.700000000000003</v>
      </c>
      <c r="T294" s="140">
        <v>2</v>
      </c>
      <c r="U294" s="140">
        <v>37</v>
      </c>
      <c r="V294" s="10">
        <v>4.5999999999999996</v>
      </c>
      <c r="W294" s="10">
        <v>34.200000000000003</v>
      </c>
    </row>
    <row r="295" spans="1:23" ht="15.75">
      <c r="A295" s="64">
        <f t="shared" ca="1" si="4"/>
        <v>6.4799169791881939E-2</v>
      </c>
      <c r="B295" s="74">
        <v>4</v>
      </c>
      <c r="C295" s="71">
        <v>26.813700000000001</v>
      </c>
      <c r="D295" s="132">
        <f t="array" ref="D295">MOD(ROW(), 3) + 1</f>
        <v>2</v>
      </c>
      <c r="F295" s="13">
        <f t="array" ref="F295">IFERROR(INDEX($B$1:$B$1109, SMALL(IF($D$1:$D$1109=$E$3,ROW($D$1:$D$1109)),ROW()-2),1),"")</f>
        <v>2</v>
      </c>
      <c r="G295" s="13">
        <f t="array" ref="G295">IFERROR(INDEX($C$1:$C$1109, SMALL(IF($D$1:$D$1109=$E$3,ROW($D$1:$D$1109)),ROW()-2),1),"")</f>
        <v>47.327800000000003</v>
      </c>
      <c r="H295" s="140">
        <f t="array" ref="H295">IFERROR(INDEX($B$1:$B$1109, SMALL(IF($D$1:$D$1109=$E$4,ROW($D$1:$D$1109)),ROW()-2),1),"")</f>
        <v>3</v>
      </c>
      <c r="I295" s="140">
        <f t="array" ref="I295">IFERROR(INDEX($C$1:$C$1109, SMALL(IF($D$1:$D$1109=$E$4,ROW($D$1:$D$1109)),ROW()-2),1),"")</f>
        <v>39.710299999999997</v>
      </c>
      <c r="J295" s="10">
        <f t="array" ref="J295">IFERROR(INDEX($B$1:$B$1109, SMALL(IF($D$1:$D$1109=$E$5,ROW($D$1:$D$1109)),ROW()-2),1),"")</f>
        <v>2.4</v>
      </c>
      <c r="K295" s="10">
        <f t="array" ref="K295">IFERROR(INDEX($C$1:$C$1109, SMALL(IF($D$1:$D$1109=$E$5,ROW($D$1:$D$1109)),ROW()-2),1),"")</f>
        <v>40.200000000000003</v>
      </c>
      <c r="R295" s="13">
        <v>2</v>
      </c>
      <c r="S295" s="13">
        <v>47.327800000000003</v>
      </c>
      <c r="T295" s="140">
        <v>3</v>
      </c>
      <c r="U295" s="140">
        <v>39.710299999999997</v>
      </c>
      <c r="V295" s="10">
        <v>2.4</v>
      </c>
      <c r="W295" s="10">
        <v>40.200000000000003</v>
      </c>
    </row>
    <row r="296" spans="1:23" ht="15.75">
      <c r="A296" s="64">
        <f t="shared" ca="1" si="4"/>
        <v>0.16233601793355945</v>
      </c>
      <c r="B296" s="74">
        <v>3.5</v>
      </c>
      <c r="C296" s="71">
        <v>32.200000000000003</v>
      </c>
      <c r="D296" s="132">
        <f t="array" ref="D296">MOD(ROW(), 3) + 1</f>
        <v>3</v>
      </c>
      <c r="F296" s="13">
        <f t="array" ref="F296">IFERROR(INDEX($B$1:$B$1109, SMALL(IF($D$1:$D$1109=$E$3,ROW($D$1:$D$1109)),ROW()-2),1),"")</f>
        <v>4.8</v>
      </c>
      <c r="G296" s="13">
        <f t="array" ref="G296">IFERROR(INDEX($C$1:$C$1109, SMALL(IF($D$1:$D$1109=$E$3,ROW($D$1:$D$1109)),ROW()-2),1),"")</f>
        <v>25.7761</v>
      </c>
      <c r="H296" s="140">
        <f t="array" ref="H296">IFERROR(INDEX($B$1:$B$1109, SMALL(IF($D$1:$D$1109=$E$4,ROW($D$1:$D$1109)),ROW()-2),1),"")</f>
        <v>1.6</v>
      </c>
      <c r="I296" s="140">
        <f t="array" ref="I296">IFERROR(INDEX($C$1:$C$1109, SMALL(IF($D$1:$D$1109=$E$4,ROW($D$1:$D$1109)),ROW()-2),1),"")</f>
        <v>51.655500000000004</v>
      </c>
      <c r="J296" s="10">
        <f t="array" ref="J296">IFERROR(INDEX($B$1:$B$1109, SMALL(IF($D$1:$D$1109=$E$5,ROW($D$1:$D$1109)),ROW()-2),1),"")</f>
        <v>1.6</v>
      </c>
      <c r="K296" s="10">
        <f t="array" ref="K296">IFERROR(INDEX($C$1:$C$1109, SMALL(IF($D$1:$D$1109=$E$5,ROW($D$1:$D$1109)),ROW()-2),1),"")</f>
        <v>47.7592</v>
      </c>
      <c r="R296" s="13">
        <v>4.8</v>
      </c>
      <c r="S296" s="13">
        <v>25.7761</v>
      </c>
      <c r="T296" s="140">
        <v>1.6</v>
      </c>
      <c r="U296" s="140">
        <v>51.655500000000004</v>
      </c>
      <c r="V296" s="10">
        <v>1.6</v>
      </c>
      <c r="W296" s="10">
        <v>47.7592</v>
      </c>
    </row>
    <row r="297" spans="1:23" ht="15.75">
      <c r="A297" s="64">
        <f t="shared" ca="1" si="4"/>
        <v>0.45169555227914748</v>
      </c>
      <c r="B297" s="74">
        <v>2.5</v>
      </c>
      <c r="C297" s="71">
        <v>40.0169</v>
      </c>
      <c r="D297" s="132">
        <f t="array" ref="D297">MOD(ROW(), 3) + 1</f>
        <v>1</v>
      </c>
      <c r="F297" s="13">
        <f t="array" ref="F297">IFERROR(INDEX($B$1:$B$1109, SMALL(IF($D$1:$D$1109=$E$3,ROW($D$1:$D$1109)),ROW()-2),1),"")</f>
        <v>2.4</v>
      </c>
      <c r="G297" s="13">
        <f t="array" ref="G297">IFERROR(INDEX($C$1:$C$1109, SMALL(IF($D$1:$D$1109=$E$3,ROW($D$1:$D$1109)),ROW()-2),1),"")</f>
        <v>42.3947</v>
      </c>
      <c r="H297" s="140">
        <f t="array" ref="H297">IFERROR(INDEX($B$1:$B$1109, SMALL(IF($D$1:$D$1109=$E$4,ROW($D$1:$D$1109)),ROW()-2),1),"")</f>
        <v>5.3</v>
      </c>
      <c r="I297" s="140">
        <f t="array" ref="I297">IFERROR(INDEX($C$1:$C$1109, SMALL(IF($D$1:$D$1109=$E$4,ROW($D$1:$D$1109)),ROW()-2),1),"")</f>
        <v>29.370799999999999</v>
      </c>
      <c r="J297" s="10">
        <f t="array" ref="J297">IFERROR(INDEX($B$1:$B$1109, SMALL(IF($D$1:$D$1109=$E$5,ROW($D$1:$D$1109)),ROW()-2),1),"")</f>
        <v>3.7</v>
      </c>
      <c r="K297" s="10">
        <f t="array" ref="K297">IFERROR(INDEX($C$1:$C$1109, SMALL(IF($D$1:$D$1109=$E$5,ROW($D$1:$D$1109)),ROW()-2),1),"")</f>
        <v>34.299999999999997</v>
      </c>
      <c r="R297" s="13">
        <v>2.4</v>
      </c>
      <c r="S297" s="13">
        <v>42.3947</v>
      </c>
      <c r="T297" s="140">
        <v>5.3</v>
      </c>
      <c r="U297" s="140">
        <v>29.370799999999999</v>
      </c>
      <c r="V297" s="10">
        <v>3.7</v>
      </c>
      <c r="W297" s="10">
        <v>34.299999999999997</v>
      </c>
    </row>
    <row r="298" spans="1:23" ht="15.75">
      <c r="A298" s="64">
        <f t="shared" ca="1" si="4"/>
        <v>0.95000048192474273</v>
      </c>
      <c r="B298" s="74">
        <v>5.3</v>
      </c>
      <c r="C298" s="71">
        <v>22.299900000000001</v>
      </c>
      <c r="D298" s="132">
        <f t="array" ref="D298">MOD(ROW(), 3) + 1</f>
        <v>2</v>
      </c>
      <c r="F298" s="13">
        <f t="array" ref="F298">IFERROR(INDEX($B$1:$B$1109, SMALL(IF($D$1:$D$1109=$E$3,ROW($D$1:$D$1109)),ROW()-2),1),"")</f>
        <v>5.2</v>
      </c>
      <c r="G298" s="13">
        <f t="array" ref="G298">IFERROR(INDEX($C$1:$C$1109, SMALL(IF($D$1:$D$1109=$E$3,ROW($D$1:$D$1109)),ROW()-2),1),"")</f>
        <v>24</v>
      </c>
      <c r="H298" s="140">
        <f t="array" ref="H298">IFERROR(INDEX($B$1:$B$1109, SMALL(IF($D$1:$D$1109=$E$4,ROW($D$1:$D$1109)),ROW()-2),1),"")</f>
        <v>2.4</v>
      </c>
      <c r="I298" s="140">
        <f t="array" ref="I298">IFERROR(INDEX($C$1:$C$1109, SMALL(IF($D$1:$D$1109=$E$4,ROW($D$1:$D$1109)),ROW()-2),1),"")</f>
        <v>38.599499999999999</v>
      </c>
      <c r="J298" s="10">
        <f t="array" ref="J298">IFERROR(INDEX($B$1:$B$1109, SMALL(IF($D$1:$D$1109=$E$5,ROW($D$1:$D$1109)),ROW()-2),1),"")</f>
        <v>2.2000000000000002</v>
      </c>
      <c r="K298" s="10">
        <f t="array" ref="K298">IFERROR(INDEX($C$1:$C$1109, SMALL(IF($D$1:$D$1109=$E$5,ROW($D$1:$D$1109)),ROW()-2),1),"")</f>
        <v>46.8</v>
      </c>
      <c r="R298" s="13">
        <v>5.2</v>
      </c>
      <c r="S298" s="13">
        <v>24</v>
      </c>
      <c r="T298" s="140">
        <v>2.4</v>
      </c>
      <c r="U298" s="140">
        <v>38.599499999999999</v>
      </c>
      <c r="V298" s="10">
        <v>2.2000000000000002</v>
      </c>
      <c r="W298" s="10">
        <v>46.8</v>
      </c>
    </row>
    <row r="299" spans="1:23" ht="15.75">
      <c r="A299" s="64">
        <f t="shared" ca="1" si="4"/>
        <v>0.84368222252412961</v>
      </c>
      <c r="B299" s="74">
        <v>3.6</v>
      </c>
      <c r="C299" s="71">
        <v>35.1</v>
      </c>
      <c r="D299" s="132">
        <f t="array" ref="D299">MOD(ROW(), 3) + 1</f>
        <v>3</v>
      </c>
      <c r="F299" s="13">
        <f t="array" ref="F299">IFERROR(INDEX($B$1:$B$1109, SMALL(IF($D$1:$D$1109=$E$3,ROW($D$1:$D$1109)),ROW()-2),1),"")</f>
        <v>3.5</v>
      </c>
      <c r="G299" s="13">
        <f t="array" ref="G299">IFERROR(INDEX($C$1:$C$1109, SMALL(IF($D$1:$D$1109=$E$3,ROW($D$1:$D$1109)),ROW()-2),1),"")</f>
        <v>38.034700000000001</v>
      </c>
      <c r="H299" s="140">
        <f t="array" ref="H299">IFERROR(INDEX($B$1:$B$1109, SMALL(IF($D$1:$D$1109=$E$4,ROW($D$1:$D$1109)),ROW()-2),1),"")</f>
        <v>3.4</v>
      </c>
      <c r="I299" s="140">
        <f t="array" ref="I299">IFERROR(INDEX($C$1:$C$1109, SMALL(IF($D$1:$D$1109=$E$4,ROW($D$1:$D$1109)),ROW()-2),1),"")</f>
        <v>40.997799999999998</v>
      </c>
      <c r="J299" s="10">
        <f t="array" ref="J299">IFERROR(INDEX($B$1:$B$1109, SMALL(IF($D$1:$D$1109=$E$5,ROW($D$1:$D$1109)),ROW()-2),1),"")</f>
        <v>3</v>
      </c>
      <c r="K299" s="10">
        <f t="array" ref="K299">IFERROR(INDEX($C$1:$C$1109, SMALL(IF($D$1:$D$1109=$E$5,ROW($D$1:$D$1109)),ROW()-2),1),"")</f>
        <v>33.722900000000003</v>
      </c>
      <c r="R299" s="13">
        <v>3.5</v>
      </c>
      <c r="S299" s="13">
        <v>38.034700000000001</v>
      </c>
      <c r="T299" s="140">
        <v>3.4</v>
      </c>
      <c r="U299" s="140">
        <v>40.997799999999998</v>
      </c>
      <c r="V299" s="10">
        <v>3</v>
      </c>
      <c r="W299" s="10">
        <v>33.722900000000003</v>
      </c>
    </row>
    <row r="300" spans="1:23" ht="15.75">
      <c r="A300" s="64">
        <f t="shared" ca="1" si="4"/>
        <v>0.61788656569743872</v>
      </c>
      <c r="B300" s="74">
        <v>1.6</v>
      </c>
      <c r="C300" s="71">
        <v>47.202500000000001</v>
      </c>
      <c r="D300" s="132">
        <f t="array" ref="D300">MOD(ROW(), 3) + 1</f>
        <v>1</v>
      </c>
      <c r="F300" s="13">
        <f t="array" ref="F300">IFERROR(INDEX($B$1:$B$1109, SMALL(IF($D$1:$D$1109=$E$3,ROW($D$1:$D$1109)),ROW()-2),1),"")</f>
        <v>4.5999999999999996</v>
      </c>
      <c r="G300" s="13">
        <f t="array" ref="G300">IFERROR(INDEX($C$1:$C$1109, SMALL(IF($D$1:$D$1109=$E$3,ROW($D$1:$D$1109)),ROW()-2),1),"")</f>
        <v>32.149900000000002</v>
      </c>
      <c r="H300" s="140">
        <f t="array" ref="H300">IFERROR(INDEX($B$1:$B$1109, SMALL(IF($D$1:$D$1109=$E$4,ROW($D$1:$D$1109)),ROW()-2),1),"")</f>
        <v>2.2999999999999998</v>
      </c>
      <c r="I300" s="140">
        <f t="array" ref="I300">IFERROR(INDEX($C$1:$C$1109, SMALL(IF($D$1:$D$1109=$E$4,ROW($D$1:$D$1109)),ROW()-2),1),"")</f>
        <v>38.1</v>
      </c>
      <c r="J300" s="10">
        <f t="array" ref="J300">IFERROR(INDEX($B$1:$B$1109, SMALL(IF($D$1:$D$1109=$E$5,ROW($D$1:$D$1109)),ROW()-2),1),"")</f>
        <v>2.4</v>
      </c>
      <c r="K300" s="10">
        <f t="array" ref="K300">IFERROR(INDEX($C$1:$C$1109, SMALL(IF($D$1:$D$1109=$E$5,ROW($D$1:$D$1109)),ROW()-2),1),"")</f>
        <v>37.221800000000002</v>
      </c>
      <c r="R300" s="13">
        <v>4.5999999999999996</v>
      </c>
      <c r="S300" s="13">
        <v>32.149900000000002</v>
      </c>
      <c r="T300" s="140">
        <v>2.2999999999999998</v>
      </c>
      <c r="U300" s="140">
        <v>38.1</v>
      </c>
      <c r="V300" s="10">
        <v>2.4</v>
      </c>
      <c r="W300" s="10">
        <v>37.221800000000002</v>
      </c>
    </row>
    <row r="301" spans="1:23" ht="15.75">
      <c r="A301" s="64">
        <f t="shared" ca="1" si="4"/>
        <v>1.0021309016529201E-2</v>
      </c>
      <c r="B301" s="74">
        <v>2.9</v>
      </c>
      <c r="C301" s="71">
        <v>41.360799999999998</v>
      </c>
      <c r="D301" s="132">
        <f t="array" ref="D301">MOD(ROW(), 3) + 1</f>
        <v>2</v>
      </c>
      <c r="F301" s="13">
        <f t="array" ref="F301">IFERROR(INDEX($B$1:$B$1109, SMALL(IF($D$1:$D$1109=$E$3,ROW($D$1:$D$1109)),ROW()-2),1),"")</f>
        <v>3</v>
      </c>
      <c r="G301" s="13">
        <f t="array" ref="G301">IFERROR(INDEX($C$1:$C$1109, SMALL(IF($D$1:$D$1109=$E$3,ROW($D$1:$D$1109)),ROW()-2),1),"")</f>
        <v>38.7896</v>
      </c>
      <c r="H301" s="140">
        <f t="array" ref="H301">IFERROR(INDEX($B$1:$B$1109, SMALL(IF($D$1:$D$1109=$E$4,ROW($D$1:$D$1109)),ROW()-2),1),"")</f>
        <v>2</v>
      </c>
      <c r="I301" s="140">
        <f t="array" ref="I301">IFERROR(INDEX($C$1:$C$1109, SMALL(IF($D$1:$D$1109=$E$4,ROW($D$1:$D$1109)),ROW()-2),1),"")</f>
        <v>41.9</v>
      </c>
      <c r="J301" s="10">
        <f t="array" ref="J301">IFERROR(INDEX($B$1:$B$1109, SMALL(IF($D$1:$D$1109=$E$5,ROW($D$1:$D$1109)),ROW()-2),1),"")</f>
        <v>6.2</v>
      </c>
      <c r="K301" s="10">
        <f t="array" ref="K301">IFERROR(INDEX($C$1:$C$1109, SMALL(IF($D$1:$D$1109=$E$5,ROW($D$1:$D$1109)),ROW()-2),1),"")</f>
        <v>26.1</v>
      </c>
      <c r="R301" s="13">
        <v>3</v>
      </c>
      <c r="S301" s="13">
        <v>38.7896</v>
      </c>
      <c r="T301" s="140">
        <v>2</v>
      </c>
      <c r="U301" s="140">
        <v>41.9</v>
      </c>
      <c r="V301" s="10">
        <v>6.2</v>
      </c>
      <c r="W301" s="10">
        <v>26.1</v>
      </c>
    </row>
    <row r="302" spans="1:23" ht="15.75">
      <c r="A302" s="64">
        <f t="shared" ca="1" si="4"/>
        <v>0.49024893663231983</v>
      </c>
      <c r="B302" s="74">
        <v>2</v>
      </c>
      <c r="C302" s="71">
        <v>43.5</v>
      </c>
      <c r="D302" s="132">
        <f t="array" ref="D302">MOD(ROW(), 3) + 1</f>
        <v>3</v>
      </c>
      <c r="F302" s="13">
        <f t="array" ref="F302">IFERROR(INDEX($B$1:$B$1109, SMALL(IF($D$1:$D$1109=$E$3,ROW($D$1:$D$1109)),ROW()-2),1),"")</f>
        <v>2.7</v>
      </c>
      <c r="G302" s="13">
        <f t="array" ref="G302">IFERROR(INDEX($C$1:$C$1109, SMALL(IF($D$1:$D$1109=$E$3,ROW($D$1:$D$1109)),ROW()-2),1),"")</f>
        <v>32.700000000000003</v>
      </c>
      <c r="H302" s="140">
        <f t="array" ref="H302">IFERROR(INDEX($B$1:$B$1109, SMALL(IF($D$1:$D$1109=$E$4,ROW($D$1:$D$1109)),ROW()-2),1),"")</f>
        <v>6</v>
      </c>
      <c r="I302" s="140">
        <f t="array" ref="I302">IFERROR(INDEX($C$1:$C$1109, SMALL(IF($D$1:$D$1109=$E$4,ROW($D$1:$D$1109)),ROW()-2),1),"")</f>
        <v>23.4</v>
      </c>
      <c r="J302" s="10">
        <f t="array" ref="J302">IFERROR(INDEX($B$1:$B$1109, SMALL(IF($D$1:$D$1109=$E$5,ROW($D$1:$D$1109)),ROW()-2),1),"")</f>
        <v>4.5999999999999996</v>
      </c>
      <c r="K302" s="10">
        <f t="array" ref="K302">IFERROR(INDEX($C$1:$C$1109, SMALL(IF($D$1:$D$1109=$E$5,ROW($D$1:$D$1109)),ROW()-2),1),"")</f>
        <v>31.9</v>
      </c>
      <c r="R302" s="13">
        <v>2.7</v>
      </c>
      <c r="S302" s="13">
        <v>32.700000000000003</v>
      </c>
      <c r="T302" s="140">
        <v>6</v>
      </c>
      <c r="U302" s="140">
        <v>23.4</v>
      </c>
      <c r="V302" s="10">
        <v>4.5999999999999996</v>
      </c>
      <c r="W302" s="10">
        <v>31.9</v>
      </c>
    </row>
    <row r="303" spans="1:23" ht="15.75">
      <c r="A303" s="64">
        <f t="shared" ca="1" si="4"/>
        <v>0.23412412001481775</v>
      </c>
      <c r="B303" s="74">
        <v>4.5999999999999996</v>
      </c>
      <c r="C303" s="71">
        <v>31.61</v>
      </c>
      <c r="D303" s="132">
        <f t="array" ref="D303">MOD(ROW(), 3) + 1</f>
        <v>1</v>
      </c>
      <c r="F303" s="13">
        <f t="array" ref="F303">IFERROR(INDEX($B$1:$B$1109, SMALL(IF($D$1:$D$1109=$E$3,ROW($D$1:$D$1109)),ROW()-2),1),"")</f>
        <v>2.5</v>
      </c>
      <c r="G303" s="13">
        <f t="array" ref="G303">IFERROR(INDEX($C$1:$C$1109, SMALL(IF($D$1:$D$1109=$E$3,ROW($D$1:$D$1109)),ROW()-2),1),"")</f>
        <v>38.377800000000001</v>
      </c>
      <c r="H303" s="140">
        <f t="array" ref="H303">IFERROR(INDEX($B$1:$B$1109, SMALL(IF($D$1:$D$1109=$E$4,ROW($D$1:$D$1109)),ROW()-2),1),"")</f>
        <v>3</v>
      </c>
      <c r="I303" s="140">
        <f t="array" ref="I303">IFERROR(INDEX($C$1:$C$1109, SMALL(IF($D$1:$D$1109=$E$4,ROW($D$1:$D$1109)),ROW()-2),1),"")</f>
        <v>35.540399999999998</v>
      </c>
      <c r="J303" s="10">
        <f t="array" ref="J303">IFERROR(INDEX($B$1:$B$1109, SMALL(IF($D$1:$D$1109=$E$5,ROW($D$1:$D$1109)),ROW()-2),1),"")</f>
        <v>2.2999999999999998</v>
      </c>
      <c r="K303" s="10">
        <f t="array" ref="K303">IFERROR(INDEX($C$1:$C$1109, SMALL(IF($D$1:$D$1109=$E$5,ROW($D$1:$D$1109)),ROW()-2),1),"")</f>
        <v>31.9</v>
      </c>
      <c r="R303" s="13">
        <v>2.5</v>
      </c>
      <c r="S303" s="13">
        <v>38.377800000000001</v>
      </c>
      <c r="T303" s="140">
        <v>3</v>
      </c>
      <c r="U303" s="140">
        <v>35.540399999999998</v>
      </c>
      <c r="V303" s="10">
        <v>2.2999999999999998</v>
      </c>
      <c r="W303" s="10">
        <v>31.9</v>
      </c>
    </row>
    <row r="304" spans="1:23" ht="15.75">
      <c r="A304" s="64">
        <f t="shared" ca="1" si="4"/>
        <v>0.8616187783418896</v>
      </c>
      <c r="B304" s="74">
        <v>6.2</v>
      </c>
      <c r="C304" s="71">
        <v>25.802600000000002</v>
      </c>
      <c r="D304" s="132">
        <f t="array" ref="D304">MOD(ROW(), 3) + 1</f>
        <v>2</v>
      </c>
      <c r="F304" s="13">
        <f t="array" ref="F304">IFERROR(INDEX($B$1:$B$1109, SMALL(IF($D$1:$D$1109=$E$3,ROW($D$1:$D$1109)),ROW()-2),1),"")</f>
        <v>2</v>
      </c>
      <c r="G304" s="13">
        <f t="array" ref="G304">IFERROR(INDEX($C$1:$C$1109, SMALL(IF($D$1:$D$1109=$E$3,ROW($D$1:$D$1109)),ROW()-2),1),"")</f>
        <v>37.5</v>
      </c>
      <c r="H304" s="140">
        <f t="array" ref="H304">IFERROR(INDEX($B$1:$B$1109, SMALL(IF($D$1:$D$1109=$E$4,ROW($D$1:$D$1109)),ROW()-2),1),"")</f>
        <v>1.8</v>
      </c>
      <c r="I304" s="140">
        <f t="array" ref="I304">IFERROR(INDEX($C$1:$C$1109, SMALL(IF($D$1:$D$1109=$E$4,ROW($D$1:$D$1109)),ROW()-2),1),"")</f>
        <v>37.619999999999997</v>
      </c>
      <c r="J304" s="10">
        <f t="array" ref="J304">IFERROR(INDEX($B$1:$B$1109, SMALL(IF($D$1:$D$1109=$E$5,ROW($D$1:$D$1109)),ROW()-2),1),"")</f>
        <v>6.2</v>
      </c>
      <c r="K304" s="10">
        <f t="array" ref="K304">IFERROR(INDEX($C$1:$C$1109, SMALL(IF($D$1:$D$1109=$E$5,ROW($D$1:$D$1109)),ROW()-2),1),"")</f>
        <v>26</v>
      </c>
      <c r="R304" s="13">
        <v>2</v>
      </c>
      <c r="S304" s="13">
        <v>37.5</v>
      </c>
      <c r="T304" s="140">
        <v>1.8</v>
      </c>
      <c r="U304" s="140">
        <v>37.619999999999997</v>
      </c>
      <c r="V304" s="10">
        <v>6.2</v>
      </c>
      <c r="W304" s="10">
        <v>26</v>
      </c>
    </row>
    <row r="305" spans="1:23" ht="15.75">
      <c r="A305" s="64">
        <f t="shared" ca="1" si="4"/>
        <v>0.90274183447093725</v>
      </c>
      <c r="B305" s="74">
        <v>3</v>
      </c>
      <c r="C305" s="71">
        <v>34.799999999999997</v>
      </c>
      <c r="D305" s="132">
        <f t="array" ref="D305">MOD(ROW(), 3) + 1</f>
        <v>3</v>
      </c>
      <c r="F305" s="13">
        <f t="array" ref="F305">IFERROR(INDEX($B$1:$B$1109, SMALL(IF($D$1:$D$1109=$E$3,ROW($D$1:$D$1109)),ROW()-2),1),"")</f>
        <v>3</v>
      </c>
      <c r="G305" s="13">
        <f t="array" ref="G305">IFERROR(INDEX($C$1:$C$1109, SMALL(IF($D$1:$D$1109=$E$3,ROW($D$1:$D$1109)),ROW()-2),1),"")</f>
        <v>34.548200000000001</v>
      </c>
      <c r="H305" s="140">
        <f t="array" ref="H305">IFERROR(INDEX($B$1:$B$1109, SMALL(IF($D$1:$D$1109=$E$4,ROW($D$1:$D$1109)),ROW()-2),1),"")</f>
        <v>5.6</v>
      </c>
      <c r="I305" s="140">
        <f t="array" ref="I305">IFERROR(INDEX($C$1:$C$1109, SMALL(IF($D$1:$D$1109=$E$4,ROW($D$1:$D$1109)),ROW()-2),1),"")</f>
        <v>25.1952</v>
      </c>
      <c r="J305" s="10">
        <f t="array" ref="J305">IFERROR(INDEX($B$1:$B$1109, SMALL(IF($D$1:$D$1109=$E$5,ROW($D$1:$D$1109)),ROW()-2),1),"")</f>
        <v>4.3</v>
      </c>
      <c r="K305" s="10">
        <f t="array" ref="K305">IFERROR(INDEX($C$1:$C$1109, SMALL(IF($D$1:$D$1109=$E$5,ROW($D$1:$D$1109)),ROW()-2),1),"")</f>
        <v>27.6</v>
      </c>
      <c r="R305" s="13">
        <v>3</v>
      </c>
      <c r="S305" s="13">
        <v>34.548200000000001</v>
      </c>
      <c r="T305" s="140">
        <v>5.6</v>
      </c>
      <c r="U305" s="140">
        <v>25.1952</v>
      </c>
      <c r="V305" s="10">
        <v>4.3</v>
      </c>
      <c r="W305" s="10">
        <v>27.6</v>
      </c>
    </row>
    <row r="306" spans="1:23" ht="15.75">
      <c r="A306" s="64">
        <f t="shared" ca="1" si="4"/>
        <v>0.89532328932217176</v>
      </c>
      <c r="B306" s="74">
        <v>2</v>
      </c>
      <c r="C306" s="71">
        <v>34.5</v>
      </c>
      <c r="D306" s="132">
        <f t="array" ref="D306">MOD(ROW(), 3) + 1</f>
        <v>1</v>
      </c>
      <c r="F306" s="13">
        <f t="array" ref="F306">IFERROR(INDEX($B$1:$B$1109, SMALL(IF($D$1:$D$1109=$E$3,ROW($D$1:$D$1109)),ROW()-2),1),"")</f>
        <v>6.3</v>
      </c>
      <c r="G306" s="13">
        <f t="array" ref="G306">IFERROR(INDEX($C$1:$C$1109, SMALL(IF($D$1:$D$1109=$E$3,ROW($D$1:$D$1109)),ROW()-2),1),"")</f>
        <v>24.6</v>
      </c>
      <c r="H306" s="140">
        <f t="array" ref="H306">IFERROR(INDEX($B$1:$B$1109, SMALL(IF($D$1:$D$1109=$E$4,ROW($D$1:$D$1109)),ROW()-2),1),"")</f>
        <v>4.8</v>
      </c>
      <c r="I306" s="140">
        <f t="array" ref="I306">IFERROR(INDEX($C$1:$C$1109, SMALL(IF($D$1:$D$1109=$E$4,ROW($D$1:$D$1109)),ROW()-2),1),"")</f>
        <v>33.260300000000001</v>
      </c>
      <c r="J306" s="10">
        <f t="array" ref="J306">IFERROR(INDEX($B$1:$B$1109, SMALL(IF($D$1:$D$1109=$E$5,ROW($D$1:$D$1109)),ROW()-2),1),"")</f>
        <v>3.7</v>
      </c>
      <c r="K306" s="10">
        <f t="array" ref="K306">IFERROR(INDEX($C$1:$C$1109, SMALL(IF($D$1:$D$1109=$E$5,ROW($D$1:$D$1109)),ROW()-2),1),"")</f>
        <v>27</v>
      </c>
      <c r="R306" s="13">
        <v>6.3</v>
      </c>
      <c r="S306" s="13">
        <v>24.6</v>
      </c>
      <c r="T306" s="140">
        <v>4.8</v>
      </c>
      <c r="U306" s="140">
        <v>33.260300000000001</v>
      </c>
      <c r="V306" s="10">
        <v>3.7</v>
      </c>
      <c r="W306" s="10">
        <v>27</v>
      </c>
    </row>
    <row r="307" spans="1:23" ht="15.75">
      <c r="A307" s="64">
        <f t="shared" ca="1" si="4"/>
        <v>0.91494984159635107</v>
      </c>
      <c r="B307" s="74">
        <v>2.4</v>
      </c>
      <c r="C307" s="71">
        <v>36.159599999999998</v>
      </c>
      <c r="D307" s="132">
        <f t="array" ref="D307">MOD(ROW(), 3) + 1</f>
        <v>2</v>
      </c>
      <c r="F307" s="13">
        <f t="array" ref="F307">IFERROR(INDEX($B$1:$B$1109, SMALL(IF($D$1:$D$1109=$E$3,ROW($D$1:$D$1109)),ROW()-2),1),"")</f>
        <v>2.7</v>
      </c>
      <c r="G307" s="13">
        <f t="array" ref="G307">IFERROR(INDEX($C$1:$C$1109, SMALL(IF($D$1:$D$1109=$E$3,ROW($D$1:$D$1109)),ROW()-2),1),"")</f>
        <v>30.3</v>
      </c>
      <c r="H307" s="140">
        <f t="array" ref="H307">IFERROR(INDEX($B$1:$B$1109, SMALL(IF($D$1:$D$1109=$E$4,ROW($D$1:$D$1109)),ROW()-2),1),"")</f>
        <v>1.6</v>
      </c>
      <c r="I307" s="140">
        <f t="array" ref="I307">IFERROR(INDEX($C$1:$C$1109, SMALL(IF($D$1:$D$1109=$E$4,ROW($D$1:$D$1109)),ROW()-2),1),"")</f>
        <v>47.202500000000001</v>
      </c>
      <c r="J307" s="10">
        <f t="array" ref="J307">IFERROR(INDEX($B$1:$B$1109, SMALL(IF($D$1:$D$1109=$E$5,ROW($D$1:$D$1109)),ROW()-2),1),"")</f>
        <v>6.2</v>
      </c>
      <c r="K307" s="10">
        <f t="array" ref="K307">IFERROR(INDEX($C$1:$C$1109, SMALL(IF($D$1:$D$1109=$E$5,ROW($D$1:$D$1109)),ROW()-2),1),"")</f>
        <v>27.4</v>
      </c>
      <c r="R307" s="13">
        <v>2.7</v>
      </c>
      <c r="S307" s="13">
        <v>30.3</v>
      </c>
      <c r="T307" s="140">
        <v>1.6</v>
      </c>
      <c r="U307" s="140">
        <v>47.202500000000001</v>
      </c>
      <c r="V307" s="10">
        <v>6.2</v>
      </c>
      <c r="W307" s="10">
        <v>27.4</v>
      </c>
    </row>
    <row r="308" spans="1:23" ht="15.75">
      <c r="A308" s="64">
        <f t="shared" ca="1" si="4"/>
        <v>0.19767926343014397</v>
      </c>
      <c r="B308" s="74">
        <v>2.5</v>
      </c>
      <c r="C308" s="71">
        <v>36.704700000000003</v>
      </c>
      <c r="D308" s="132">
        <f t="array" ref="D308">MOD(ROW(), 3) + 1</f>
        <v>3</v>
      </c>
      <c r="F308" s="13">
        <f t="array" ref="F308">IFERROR(INDEX($B$1:$B$1109, SMALL(IF($D$1:$D$1109=$E$3,ROW($D$1:$D$1109)),ROW()-2),1),"")</f>
        <v>2.5</v>
      </c>
      <c r="G308" s="13">
        <f t="array" ref="G308">IFERROR(INDEX($C$1:$C$1109, SMALL(IF($D$1:$D$1109=$E$3,ROW($D$1:$D$1109)),ROW()-2),1),"")</f>
        <v>34.6</v>
      </c>
      <c r="H308" s="140">
        <f t="array" ref="H308">IFERROR(INDEX($B$1:$B$1109, SMALL(IF($D$1:$D$1109=$E$4,ROW($D$1:$D$1109)),ROW()-2),1),"")</f>
        <v>3.9</v>
      </c>
      <c r="I308" s="140">
        <f t="array" ref="I308">IFERROR(INDEX($C$1:$C$1109, SMALL(IF($D$1:$D$1109=$E$4,ROW($D$1:$D$1109)),ROW()-2),1),"")</f>
        <v>36.6</v>
      </c>
      <c r="J308" s="10">
        <f t="array" ref="J308">IFERROR(INDEX($B$1:$B$1109, SMALL(IF($D$1:$D$1109=$E$5,ROW($D$1:$D$1109)),ROW()-2),1),"")</f>
        <v>2.4</v>
      </c>
      <c r="K308" s="10">
        <f t="array" ref="K308">IFERROR(INDEX($C$1:$C$1109, SMALL(IF($D$1:$D$1109=$E$5,ROW($D$1:$D$1109)),ROW()-2),1),"")</f>
        <v>33.6</v>
      </c>
      <c r="R308" s="13">
        <v>2.5</v>
      </c>
      <c r="S308" s="13">
        <v>34.6</v>
      </c>
      <c r="T308" s="140">
        <v>3.9</v>
      </c>
      <c r="U308" s="140">
        <v>36.6</v>
      </c>
      <c r="V308" s="10">
        <v>2.4</v>
      </c>
      <c r="W308" s="10">
        <v>33.6</v>
      </c>
    </row>
    <row r="309" spans="1:23" ht="15.75">
      <c r="A309" s="64">
        <f t="shared" ca="1" si="4"/>
        <v>0.83815875550428487</v>
      </c>
      <c r="B309" s="74">
        <v>2.4</v>
      </c>
      <c r="C309" s="71">
        <v>44.6</v>
      </c>
      <c r="D309" s="132">
        <f t="array" ref="D309">MOD(ROW(), 3) + 1</f>
        <v>1</v>
      </c>
      <c r="F309" s="13">
        <f t="array" ref="F309">IFERROR(INDEX($B$1:$B$1109, SMALL(IF($D$1:$D$1109=$E$3,ROW($D$1:$D$1109)),ROW()-2),1),"")</f>
        <v>3</v>
      </c>
      <c r="G309" s="13">
        <f t="array" ref="G309">IFERROR(INDEX($C$1:$C$1109, SMALL(IF($D$1:$D$1109=$E$3,ROW($D$1:$D$1109)),ROW()-2),1),"")</f>
        <v>33.200000000000003</v>
      </c>
      <c r="H309" s="140">
        <f t="array" ref="H309">IFERROR(INDEX($B$1:$B$1109, SMALL(IF($D$1:$D$1109=$E$4,ROW($D$1:$D$1109)),ROW()-2),1),"")</f>
        <v>3</v>
      </c>
      <c r="I309" s="140">
        <f t="array" ref="I309">IFERROR(INDEX($C$1:$C$1109, SMALL(IF($D$1:$D$1109=$E$4,ROW($D$1:$D$1109)),ROW()-2),1),"")</f>
        <v>36.154800000000002</v>
      </c>
      <c r="J309" s="10">
        <f t="array" ref="J309">IFERROR(INDEX($B$1:$B$1109, SMALL(IF($D$1:$D$1109=$E$5,ROW($D$1:$D$1109)),ROW()-2),1),"")</f>
        <v>3.5</v>
      </c>
      <c r="K309" s="10">
        <f t="array" ref="K309">IFERROR(INDEX($C$1:$C$1109, SMALL(IF($D$1:$D$1109=$E$5,ROW($D$1:$D$1109)),ROW()-2),1),"")</f>
        <v>36.799999999999997</v>
      </c>
      <c r="R309" s="13">
        <v>3</v>
      </c>
      <c r="S309" s="13">
        <v>33.200000000000003</v>
      </c>
      <c r="T309" s="140">
        <v>3</v>
      </c>
      <c r="U309" s="140">
        <v>36.154800000000002</v>
      </c>
      <c r="V309" s="10">
        <v>3.5</v>
      </c>
      <c r="W309" s="10">
        <v>36.799999999999997</v>
      </c>
    </row>
    <row r="310" spans="1:23" ht="15.75">
      <c r="A310" s="64">
        <f t="shared" ca="1" si="4"/>
        <v>0.69362158915842365</v>
      </c>
      <c r="B310" s="74">
        <v>5.5</v>
      </c>
      <c r="C310" s="71">
        <v>24.6</v>
      </c>
      <c r="D310" s="132">
        <f t="array" ref="D310">MOD(ROW(), 3) + 1</f>
        <v>2</v>
      </c>
      <c r="F310" s="13">
        <f t="array" ref="F310">IFERROR(INDEX($B$1:$B$1109, SMALL(IF($D$1:$D$1109=$E$3,ROW($D$1:$D$1109)),ROW()-2),1),"")</f>
        <v>3.8</v>
      </c>
      <c r="G310" s="13">
        <f t="array" ref="G310">IFERROR(INDEX($C$1:$C$1109, SMALL(IF($D$1:$D$1109=$E$3,ROW($D$1:$D$1109)),ROW()-2),1),"")</f>
        <v>31.9</v>
      </c>
      <c r="H310" s="140">
        <f t="array" ref="H310">IFERROR(INDEX($B$1:$B$1109, SMALL(IF($D$1:$D$1109=$E$4,ROW($D$1:$D$1109)),ROW()-2),1),"")</f>
        <v>6.1</v>
      </c>
      <c r="I310" s="140">
        <f t="array" ref="I310">IFERROR(INDEX($C$1:$C$1109, SMALL(IF($D$1:$D$1109=$E$4,ROW($D$1:$D$1109)),ROW()-2),1),"")</f>
        <v>26</v>
      </c>
      <c r="J310" s="10">
        <f t="array" ref="J310">IFERROR(INDEX($B$1:$B$1109, SMALL(IF($D$1:$D$1109=$E$5,ROW($D$1:$D$1109)),ROW()-2),1),"")</f>
        <v>3.8</v>
      </c>
      <c r="K310" s="10">
        <f t="array" ref="K310">IFERROR(INDEX($C$1:$C$1109, SMALL(IF($D$1:$D$1109=$E$5,ROW($D$1:$D$1109)),ROW()-2),1),"")</f>
        <v>29.5</v>
      </c>
      <c r="R310" s="13">
        <v>3.8</v>
      </c>
      <c r="S310" s="13">
        <v>31.9</v>
      </c>
      <c r="T310" s="140">
        <v>6.1</v>
      </c>
      <c r="U310" s="140">
        <v>26</v>
      </c>
      <c r="V310" s="10">
        <v>3.8</v>
      </c>
      <c r="W310" s="10">
        <v>29.5</v>
      </c>
    </row>
    <row r="311" spans="1:23" ht="15.75">
      <c r="A311" s="64">
        <f t="shared" ca="1" si="4"/>
        <v>0.64583199418198423</v>
      </c>
      <c r="B311" s="74">
        <v>2</v>
      </c>
      <c r="C311" s="71">
        <v>44.707999999999998</v>
      </c>
      <c r="D311" s="132">
        <f t="array" ref="D311">MOD(ROW(), 3) + 1</f>
        <v>3</v>
      </c>
      <c r="F311" s="13">
        <f t="array" ref="F311">IFERROR(INDEX($B$1:$B$1109, SMALL(IF($D$1:$D$1109=$E$3,ROW($D$1:$D$1109)),ROW()-2),1),"")</f>
        <v>3.5</v>
      </c>
      <c r="G311" s="13">
        <f t="array" ref="G311">IFERROR(INDEX($C$1:$C$1109, SMALL(IF($D$1:$D$1109=$E$3,ROW($D$1:$D$1109)),ROW()-2),1),"")</f>
        <v>32.407600000000002</v>
      </c>
      <c r="H311" s="140">
        <f t="array" ref="H311">IFERROR(INDEX($B$1:$B$1109, SMALL(IF($D$1:$D$1109=$E$4,ROW($D$1:$D$1109)),ROW()-2),1),"")</f>
        <v>4.2</v>
      </c>
      <c r="I311" s="140">
        <f t="array" ref="I311">IFERROR(INDEX($C$1:$C$1109, SMALL(IF($D$1:$D$1109=$E$4,ROW($D$1:$D$1109)),ROW()-2),1),"")</f>
        <v>24.183700000000002</v>
      </c>
      <c r="J311" s="10">
        <f t="array" ref="J311">IFERROR(INDEX($B$1:$B$1109, SMALL(IF($D$1:$D$1109=$E$5,ROW($D$1:$D$1109)),ROW()-2),1),"")</f>
        <v>4</v>
      </c>
      <c r="K311" s="10">
        <f t="array" ref="K311">IFERROR(INDEX($C$1:$C$1109, SMALL(IF($D$1:$D$1109=$E$5,ROW($D$1:$D$1109)),ROW()-2),1),"")</f>
        <v>29.9</v>
      </c>
      <c r="R311" s="13">
        <v>3.5</v>
      </c>
      <c r="S311" s="13">
        <v>32.407600000000002</v>
      </c>
      <c r="T311" s="140">
        <v>4.2</v>
      </c>
      <c r="U311" s="140">
        <v>24.183700000000002</v>
      </c>
      <c r="V311" s="10">
        <v>4</v>
      </c>
      <c r="W311" s="10">
        <v>29.9</v>
      </c>
    </row>
    <row r="312" spans="1:23" ht="15.75">
      <c r="A312" s="64">
        <f t="shared" ca="1" si="4"/>
        <v>0.42868240607595498</v>
      </c>
      <c r="B312" s="74">
        <v>2.5</v>
      </c>
      <c r="C312" s="71">
        <v>32.910299999999999</v>
      </c>
      <c r="D312" s="132">
        <f t="array" ref="D312">MOD(ROW(), 3) + 1</f>
        <v>1</v>
      </c>
      <c r="F312" s="13">
        <f t="array" ref="F312">IFERROR(INDEX($B$1:$B$1109, SMALL(IF($D$1:$D$1109=$E$3,ROW($D$1:$D$1109)),ROW()-2),1),"")</f>
        <v>2.4</v>
      </c>
      <c r="G312" s="13">
        <f t="array" ref="G312">IFERROR(INDEX($C$1:$C$1109, SMALL(IF($D$1:$D$1109=$E$3,ROW($D$1:$D$1109)),ROW()-2),1),"")</f>
        <v>40.299999999999997</v>
      </c>
      <c r="H312" s="140">
        <f t="array" ref="H312">IFERROR(INDEX($B$1:$B$1109, SMALL(IF($D$1:$D$1109=$E$4,ROW($D$1:$D$1109)),ROW()-2),1),"")</f>
        <v>3</v>
      </c>
      <c r="I312" s="140">
        <f t="array" ref="I312">IFERROR(INDEX($C$1:$C$1109, SMALL(IF($D$1:$D$1109=$E$4,ROW($D$1:$D$1109)),ROW()-2),1),"")</f>
        <v>51.1</v>
      </c>
      <c r="J312" s="10">
        <f t="array" ref="J312">IFERROR(INDEX($B$1:$B$1109, SMALL(IF($D$1:$D$1109=$E$5,ROW($D$1:$D$1109)),ROW()-2),1),"")</f>
        <v>1.5</v>
      </c>
      <c r="K312" s="10">
        <f t="array" ref="K312">IFERROR(INDEX($C$1:$C$1109, SMALL(IF($D$1:$D$1109=$E$5,ROW($D$1:$D$1109)),ROW()-2),1),"")</f>
        <v>47.4</v>
      </c>
      <c r="R312" s="13">
        <v>2.4</v>
      </c>
      <c r="S312" s="13">
        <v>40.299999999999997</v>
      </c>
      <c r="T312" s="140">
        <v>3</v>
      </c>
      <c r="U312" s="140">
        <v>51.1</v>
      </c>
      <c r="V312" s="10">
        <v>1.5</v>
      </c>
      <c r="W312" s="10">
        <v>47.4</v>
      </c>
    </row>
    <row r="313" spans="1:23" ht="15.75">
      <c r="A313" s="64">
        <f t="shared" ca="1" si="4"/>
        <v>0.19609183247129702</v>
      </c>
      <c r="B313" s="74">
        <v>6.6</v>
      </c>
      <c r="C313" s="71">
        <v>27.3</v>
      </c>
      <c r="D313" s="132">
        <f t="array" ref="D313">MOD(ROW(), 3) + 1</f>
        <v>2</v>
      </c>
      <c r="F313" s="13">
        <f t="array" ref="F313">IFERROR(INDEX($B$1:$B$1109, SMALL(IF($D$1:$D$1109=$E$3,ROW($D$1:$D$1109)),ROW()-2),1),"")</f>
        <v>4.5999999999999996</v>
      </c>
      <c r="G313" s="13">
        <f t="array" ref="G313">IFERROR(INDEX($C$1:$C$1109, SMALL(IF($D$1:$D$1109=$E$3,ROW($D$1:$D$1109)),ROW()-2),1),"")</f>
        <v>26.662199999999999</v>
      </c>
      <c r="H313" s="140">
        <f t="array" ref="H313">IFERROR(INDEX($B$1:$B$1109, SMALL(IF($D$1:$D$1109=$E$4,ROW($D$1:$D$1109)),ROW()-2),1),"")</f>
        <v>3.8</v>
      </c>
      <c r="I313" s="140">
        <f t="array" ref="I313">IFERROR(INDEX($C$1:$C$1109, SMALL(IF($D$1:$D$1109=$E$4,ROW($D$1:$D$1109)),ROW()-2),1),"")</f>
        <v>35.359400000000001</v>
      </c>
      <c r="J313" s="10">
        <f t="array" ref="J313">IFERROR(INDEX($B$1:$B$1109, SMALL(IF($D$1:$D$1109=$E$5,ROW($D$1:$D$1109)),ROW()-2),1),"")</f>
        <v>3.8</v>
      </c>
      <c r="K313" s="10">
        <f t="array" ref="K313">IFERROR(INDEX($C$1:$C$1109, SMALL(IF($D$1:$D$1109=$E$5,ROW($D$1:$D$1109)),ROW()-2),1),"")</f>
        <v>32.5</v>
      </c>
      <c r="R313" s="13">
        <v>4.5999999999999996</v>
      </c>
      <c r="S313" s="13">
        <v>26.662199999999999</v>
      </c>
      <c r="T313" s="140">
        <v>3.8</v>
      </c>
      <c r="U313" s="140">
        <v>35.359400000000001</v>
      </c>
      <c r="V313" s="10">
        <v>3.8</v>
      </c>
      <c r="W313" s="10">
        <v>32.5</v>
      </c>
    </row>
    <row r="314" spans="1:23" ht="15.75">
      <c r="A314" s="64">
        <f t="shared" ca="1" si="4"/>
        <v>0.41123348454257469</v>
      </c>
      <c r="B314" s="74">
        <v>5.3</v>
      </c>
      <c r="C314" s="71">
        <v>26.6</v>
      </c>
      <c r="D314" s="132">
        <f t="array" ref="D314">MOD(ROW(), 3) + 1</f>
        <v>3</v>
      </c>
      <c r="F314" s="13">
        <f t="array" ref="F314">IFERROR(INDEX($B$1:$B$1109, SMALL(IF($D$1:$D$1109=$E$3,ROW($D$1:$D$1109)),ROW()-2),1),"")</f>
        <v>1.8</v>
      </c>
      <c r="G314" s="13">
        <f t="array" ref="G314">IFERROR(INDEX($C$1:$C$1109, SMALL(IF($D$1:$D$1109=$E$3,ROW($D$1:$D$1109)),ROW()-2),1),"")</f>
        <v>48.6</v>
      </c>
      <c r="H314" s="140">
        <f t="array" ref="H314">IFERROR(INDEX($B$1:$B$1109, SMALL(IF($D$1:$D$1109=$E$4,ROW($D$1:$D$1109)),ROW()-2),1),"")</f>
        <v>2.9</v>
      </c>
      <c r="I314" s="140">
        <f t="array" ref="I314">IFERROR(INDEX($C$1:$C$1109, SMALL(IF($D$1:$D$1109=$E$4,ROW($D$1:$D$1109)),ROW()-2),1),"")</f>
        <v>34.299999999999997</v>
      </c>
      <c r="J314" s="10">
        <f t="array" ref="J314">IFERROR(INDEX($B$1:$B$1109, SMALL(IF($D$1:$D$1109=$E$5,ROW($D$1:$D$1109)),ROW()-2),1),"")</f>
        <v>3</v>
      </c>
      <c r="K314" s="10">
        <f t="array" ref="K314">IFERROR(INDEX($C$1:$C$1109, SMALL(IF($D$1:$D$1109=$E$5,ROW($D$1:$D$1109)),ROW()-2),1),"")</f>
        <v>29.789200000000001</v>
      </c>
      <c r="R314" s="13">
        <v>1.8</v>
      </c>
      <c r="S314" s="13">
        <v>48.6</v>
      </c>
      <c r="T314" s="140">
        <v>2.9</v>
      </c>
      <c r="U314" s="140">
        <v>34.299999999999997</v>
      </c>
      <c r="V314" s="10">
        <v>3</v>
      </c>
      <c r="W314" s="10">
        <v>29.789200000000001</v>
      </c>
    </row>
    <row r="315" spans="1:23" ht="15.75">
      <c r="A315" s="64">
        <f t="shared" ca="1" si="4"/>
        <v>1.3909994346287036E-2</v>
      </c>
      <c r="B315" s="74">
        <v>3.8</v>
      </c>
      <c r="C315" s="71">
        <v>33.200000000000003</v>
      </c>
      <c r="D315" s="132">
        <f t="array" ref="D315">MOD(ROW(), 3) + 1</f>
        <v>1</v>
      </c>
      <c r="F315" s="13">
        <f t="array" ref="F315">IFERROR(INDEX($B$1:$B$1109, SMALL(IF($D$1:$D$1109=$E$3,ROW($D$1:$D$1109)),ROW()-2),1),"")</f>
        <v>2</v>
      </c>
      <c r="G315" s="13">
        <f t="array" ref="G315">IFERROR(INDEX($C$1:$C$1109, SMALL(IF($D$1:$D$1109=$E$3,ROW($D$1:$D$1109)),ROW()-2),1),"")</f>
        <v>41.0456</v>
      </c>
      <c r="H315" s="140">
        <f t="array" ref="H315">IFERROR(INDEX($B$1:$B$1109, SMALL(IF($D$1:$D$1109=$E$4,ROW($D$1:$D$1109)),ROW()-2),1),"")</f>
        <v>3</v>
      </c>
      <c r="I315" s="140">
        <f t="array" ref="I315">IFERROR(INDEX($C$1:$C$1109, SMALL(IF($D$1:$D$1109=$E$4,ROW($D$1:$D$1109)),ROW()-2),1),"")</f>
        <v>33.6</v>
      </c>
      <c r="J315" s="10">
        <f t="array" ref="J315">IFERROR(INDEX($B$1:$B$1109, SMALL(IF($D$1:$D$1109=$E$5,ROW($D$1:$D$1109)),ROW()-2),1),"")</f>
        <v>4.4000000000000004</v>
      </c>
      <c r="K315" s="10">
        <f t="array" ref="K315">IFERROR(INDEX($C$1:$C$1109, SMALL(IF($D$1:$D$1109=$E$5,ROW($D$1:$D$1109)),ROW()-2),1),"")</f>
        <v>27.7</v>
      </c>
      <c r="R315" s="13">
        <v>2</v>
      </c>
      <c r="S315" s="13">
        <v>41.0456</v>
      </c>
      <c r="T315" s="140">
        <v>3</v>
      </c>
      <c r="U315" s="140">
        <v>33.6</v>
      </c>
      <c r="V315" s="10">
        <v>4.4000000000000004</v>
      </c>
      <c r="W315" s="10">
        <v>27.7</v>
      </c>
    </row>
    <row r="316" spans="1:23" ht="15.75">
      <c r="A316" s="64">
        <f t="shared" ca="1" si="4"/>
        <v>0.77190256851044003</v>
      </c>
      <c r="B316" s="74">
        <v>2.4</v>
      </c>
      <c r="C316" s="71">
        <v>44.4</v>
      </c>
      <c r="D316" s="132">
        <f t="array" ref="D316">MOD(ROW(), 3) + 1</f>
        <v>2</v>
      </c>
      <c r="F316" s="13">
        <f t="array" ref="F316">IFERROR(INDEX($B$1:$B$1109, SMALL(IF($D$1:$D$1109=$E$3,ROW($D$1:$D$1109)),ROW()-2),1),"")</f>
        <v>2.4</v>
      </c>
      <c r="G316" s="13">
        <f t="array" ref="G316">IFERROR(INDEX($C$1:$C$1109, SMALL(IF($D$1:$D$1109=$E$3,ROW($D$1:$D$1109)),ROW()-2),1),"")</f>
        <v>38.957500000000003</v>
      </c>
      <c r="H316" s="140">
        <f t="array" ref="H316">IFERROR(INDEX($B$1:$B$1109, SMALL(IF($D$1:$D$1109=$E$4,ROW($D$1:$D$1109)),ROW()-2),1),"")</f>
        <v>6.7</v>
      </c>
      <c r="I316" s="140">
        <f t="array" ref="I316">IFERROR(INDEX($C$1:$C$1109, SMALL(IF($D$1:$D$1109=$E$4,ROW($D$1:$D$1109)),ROW()-2),1),"")</f>
        <v>24.2</v>
      </c>
      <c r="J316" s="10">
        <f t="array" ref="J316">IFERROR(INDEX($B$1:$B$1109, SMALL(IF($D$1:$D$1109=$E$5,ROW($D$1:$D$1109)),ROW()-2),1),"")</f>
        <v>2</v>
      </c>
      <c r="K316" s="10">
        <f t="array" ref="K316">IFERROR(INDEX($C$1:$C$1109, SMALL(IF($D$1:$D$1109=$E$5,ROW($D$1:$D$1109)),ROW()-2),1),"")</f>
        <v>38.462699999999998</v>
      </c>
      <c r="R316" s="13">
        <v>2.4</v>
      </c>
      <c r="S316" s="13">
        <v>38.957500000000003</v>
      </c>
      <c r="T316" s="140">
        <v>6.7</v>
      </c>
      <c r="U316" s="140">
        <v>24.2</v>
      </c>
      <c r="V316" s="10">
        <v>2</v>
      </c>
      <c r="W316" s="10">
        <v>38.462699999999998</v>
      </c>
    </row>
    <row r="317" spans="1:23" ht="15.75">
      <c r="A317" s="64">
        <f t="shared" ca="1" si="4"/>
        <v>0.90464618028589239</v>
      </c>
      <c r="B317" s="74">
        <v>2</v>
      </c>
      <c r="C317" s="71">
        <v>40</v>
      </c>
      <c r="D317" s="132">
        <f t="array" ref="D317">MOD(ROW(), 3) + 1</f>
        <v>3</v>
      </c>
      <c r="F317" s="13">
        <f t="array" ref="F317">IFERROR(INDEX($B$1:$B$1109, SMALL(IF($D$1:$D$1109=$E$3,ROW($D$1:$D$1109)),ROW()-2),1),"")</f>
        <v>3</v>
      </c>
      <c r="G317" s="13">
        <f t="array" ref="G317">IFERROR(INDEX($C$1:$C$1109, SMALL(IF($D$1:$D$1109=$E$3,ROW($D$1:$D$1109)),ROW()-2),1),"")</f>
        <v>34.781799999999997</v>
      </c>
      <c r="H317" s="140">
        <f t="array" ref="H317">IFERROR(INDEX($B$1:$B$1109, SMALL(IF($D$1:$D$1109=$E$4,ROW($D$1:$D$1109)),ROW()-2),1),"")</f>
        <v>4.7</v>
      </c>
      <c r="I317" s="140">
        <f t="array" ref="I317">IFERROR(INDEX($C$1:$C$1109, SMALL(IF($D$1:$D$1109=$E$4,ROW($D$1:$D$1109)),ROW()-2),1),"")</f>
        <v>28.0198</v>
      </c>
      <c r="J317" s="10">
        <f t="array" ref="J317">IFERROR(INDEX($B$1:$B$1109, SMALL(IF($D$1:$D$1109=$E$5,ROW($D$1:$D$1109)),ROW()-2),1),"")</f>
        <v>4.3</v>
      </c>
      <c r="K317" s="10">
        <f t="array" ref="K317">IFERROR(INDEX($C$1:$C$1109, SMALL(IF($D$1:$D$1109=$E$5,ROW($D$1:$D$1109)),ROW()-2),1),"")</f>
        <v>27.8522</v>
      </c>
      <c r="R317" s="13">
        <v>3</v>
      </c>
      <c r="S317" s="13">
        <v>34.781799999999997</v>
      </c>
      <c r="T317" s="140">
        <v>4.7</v>
      </c>
      <c r="U317" s="140">
        <v>28.0198</v>
      </c>
      <c r="V317" s="10">
        <v>4.3</v>
      </c>
      <c r="W317" s="10">
        <v>27.8522</v>
      </c>
    </row>
    <row r="318" spans="1:23" ht="15.75">
      <c r="A318" s="64">
        <f t="shared" ca="1" si="4"/>
        <v>0.39632027866143216</v>
      </c>
      <c r="B318" s="74">
        <v>2.5</v>
      </c>
      <c r="C318" s="71">
        <v>45.672899999999998</v>
      </c>
      <c r="D318" s="132">
        <f t="array" ref="D318">MOD(ROW(), 3) + 1</f>
        <v>1</v>
      </c>
      <c r="F318" s="13">
        <f t="array" ref="F318">IFERROR(INDEX($B$1:$B$1109, SMALL(IF($D$1:$D$1109=$E$3,ROW($D$1:$D$1109)),ROW()-2),1),"")</f>
        <v>2.5</v>
      </c>
      <c r="G318" s="13">
        <f t="array" ref="G318">IFERROR(INDEX($C$1:$C$1109, SMALL(IF($D$1:$D$1109=$E$3,ROW($D$1:$D$1109)),ROW()-2),1),"")</f>
        <v>40.8247</v>
      </c>
      <c r="H318" s="140">
        <f t="array" ref="H318">IFERROR(INDEX($B$1:$B$1109, SMALL(IF($D$1:$D$1109=$E$4,ROW($D$1:$D$1109)),ROW()-2),1),"")</f>
        <v>3</v>
      </c>
      <c r="I318" s="140">
        <f t="array" ref="I318">IFERROR(INDEX($C$1:$C$1109, SMALL(IF($D$1:$D$1109=$E$4,ROW($D$1:$D$1109)),ROW()-2),1),"")</f>
        <v>35.540399999999998</v>
      </c>
      <c r="J318" s="10">
        <f t="array" ref="J318">IFERROR(INDEX($B$1:$B$1109, SMALL(IF($D$1:$D$1109=$E$5,ROW($D$1:$D$1109)),ROW()-2),1),"")</f>
        <v>3.5</v>
      </c>
      <c r="K318" s="10">
        <f t="array" ref="K318">IFERROR(INDEX($C$1:$C$1109, SMALL(IF($D$1:$D$1109=$E$5,ROW($D$1:$D$1109)),ROW()-2),1),"")</f>
        <v>35</v>
      </c>
      <c r="R318" s="13">
        <v>2.5</v>
      </c>
      <c r="S318" s="13">
        <v>40.8247</v>
      </c>
      <c r="T318" s="140">
        <v>3</v>
      </c>
      <c r="U318" s="140">
        <v>35.540399999999998</v>
      </c>
      <c r="V318" s="10">
        <v>3.5</v>
      </c>
      <c r="W318" s="10">
        <v>35</v>
      </c>
    </row>
    <row r="319" spans="1:23" ht="15.75">
      <c r="A319" s="64">
        <f t="shared" ca="1" si="4"/>
        <v>0.58539325628504957</v>
      </c>
      <c r="B319" s="74">
        <v>4.5999999999999996</v>
      </c>
      <c r="C319" s="71">
        <v>22.7</v>
      </c>
      <c r="D319" s="132">
        <f t="array" ref="D319">MOD(ROW(), 3) + 1</f>
        <v>2</v>
      </c>
      <c r="F319" s="13">
        <f t="array" ref="F319">IFERROR(INDEX($B$1:$B$1109, SMALL(IF($D$1:$D$1109=$E$3,ROW($D$1:$D$1109)),ROW()-2),1),"")</f>
        <v>2</v>
      </c>
      <c r="G319" s="13">
        <f t="array" ref="G319">IFERROR(INDEX($C$1:$C$1109, SMALL(IF($D$1:$D$1109=$E$3,ROW($D$1:$D$1109)),ROW()-2),1),"")</f>
        <v>34.9</v>
      </c>
      <c r="H319" s="140">
        <f t="array" ref="H319">IFERROR(INDEX($B$1:$B$1109, SMALL(IF($D$1:$D$1109=$E$4,ROW($D$1:$D$1109)),ROW()-2),1),"")</f>
        <v>4.5999999999999996</v>
      </c>
      <c r="I319" s="140">
        <f t="array" ref="I319">IFERROR(INDEX($C$1:$C$1109, SMALL(IF($D$1:$D$1109=$E$4,ROW($D$1:$D$1109)),ROW()-2),1),"")</f>
        <v>28.4</v>
      </c>
      <c r="J319" s="10">
        <f t="array" ref="J319">IFERROR(INDEX($B$1:$B$1109, SMALL(IF($D$1:$D$1109=$E$5,ROW($D$1:$D$1109)),ROW()-2),1),"")</f>
        <v>5.3</v>
      </c>
      <c r="K319" s="10">
        <f t="array" ref="K319">IFERROR(INDEX($C$1:$C$1109, SMALL(IF($D$1:$D$1109=$E$5,ROW($D$1:$D$1109)),ROW()-2),1),"")</f>
        <v>23.299900000000001</v>
      </c>
      <c r="R319" s="13">
        <v>2</v>
      </c>
      <c r="S319" s="13">
        <v>34.9</v>
      </c>
      <c r="T319" s="140">
        <v>4.5999999999999996</v>
      </c>
      <c r="U319" s="140">
        <v>28.4</v>
      </c>
      <c r="V319" s="10">
        <v>5.3</v>
      </c>
      <c r="W319" s="10">
        <v>23.299900000000001</v>
      </c>
    </row>
    <row r="320" spans="1:23" ht="15.75">
      <c r="A320" s="64">
        <f t="shared" ca="1" si="4"/>
        <v>0.20897958769189651</v>
      </c>
      <c r="B320" s="74">
        <v>3.8</v>
      </c>
      <c r="C320" s="71">
        <v>38.048400000000001</v>
      </c>
      <c r="D320" s="132">
        <f t="array" ref="D320">MOD(ROW(), 3) + 1</f>
        <v>3</v>
      </c>
      <c r="F320" s="13">
        <f t="array" ref="F320">IFERROR(INDEX($B$1:$B$1109, SMALL(IF($D$1:$D$1109=$E$3,ROW($D$1:$D$1109)),ROW()-2),1),"")</f>
        <v>6.2</v>
      </c>
      <c r="G320" s="13">
        <f t="array" ref="G320">IFERROR(INDEX($C$1:$C$1109, SMALL(IF($D$1:$D$1109=$E$3,ROW($D$1:$D$1109)),ROW()-2),1),"")</f>
        <v>26.299900000000001</v>
      </c>
      <c r="H320" s="140">
        <f t="array" ref="H320">IFERROR(INDEX($B$1:$B$1109, SMALL(IF($D$1:$D$1109=$E$4,ROW($D$1:$D$1109)),ROW()-2),1),"")</f>
        <v>3.5</v>
      </c>
      <c r="I320" s="140">
        <f t="array" ref="I320">IFERROR(INDEX($C$1:$C$1109, SMALL(IF($D$1:$D$1109=$E$4,ROW($D$1:$D$1109)),ROW()-2),1),"")</f>
        <v>36.200000000000003</v>
      </c>
      <c r="J320" s="10">
        <f t="array" ref="J320">IFERROR(INDEX($B$1:$B$1109, SMALL(IF($D$1:$D$1109=$E$5,ROW($D$1:$D$1109)),ROW()-2),1),"")</f>
        <v>5.2</v>
      </c>
      <c r="K320" s="10">
        <f t="array" ref="K320">IFERROR(INDEX($C$1:$C$1109, SMALL(IF($D$1:$D$1109=$E$5,ROW($D$1:$D$1109)),ROW()-2),1),"")</f>
        <v>23.9</v>
      </c>
      <c r="R320" s="13">
        <v>6.2</v>
      </c>
      <c r="S320" s="13">
        <v>26.299900000000001</v>
      </c>
      <c r="T320" s="140">
        <v>3.5</v>
      </c>
      <c r="U320" s="140">
        <v>36.200000000000003</v>
      </c>
      <c r="V320" s="10">
        <v>5.2</v>
      </c>
      <c r="W320" s="10">
        <v>23.9</v>
      </c>
    </row>
    <row r="321" spans="1:23" ht="15.75">
      <c r="A321" s="64">
        <f t="shared" ca="1" si="4"/>
        <v>0.28732514218796867</v>
      </c>
      <c r="B321" s="74">
        <v>2.4</v>
      </c>
      <c r="C321" s="71">
        <v>38.6</v>
      </c>
      <c r="D321" s="132">
        <f t="array" ref="D321">MOD(ROW(), 3) + 1</f>
        <v>1</v>
      </c>
      <c r="F321" s="13">
        <f t="array" ref="F321">IFERROR(INDEX($B$1:$B$1109, SMALL(IF($D$1:$D$1109=$E$3,ROW($D$1:$D$1109)),ROW()-2),1),"")</f>
        <v>2.5</v>
      </c>
      <c r="G321" s="13">
        <f t="array" ref="G321">IFERROR(INDEX($C$1:$C$1109, SMALL(IF($D$1:$D$1109=$E$3,ROW($D$1:$D$1109)),ROW()-2),1),"")</f>
        <v>37.070999999999998</v>
      </c>
      <c r="H321" s="140">
        <f t="array" ref="H321">IFERROR(INDEX($B$1:$B$1109, SMALL(IF($D$1:$D$1109=$E$4,ROW($D$1:$D$1109)),ROW()-2),1),"")</f>
        <v>6</v>
      </c>
      <c r="I321" s="140">
        <f t="array" ref="I321">IFERROR(INDEX($C$1:$C$1109, SMALL(IF($D$1:$D$1109=$E$4,ROW($D$1:$D$1109)),ROW()-2),1),"")</f>
        <v>30.5</v>
      </c>
      <c r="J321" s="10">
        <f t="array" ref="J321">IFERROR(INDEX($B$1:$B$1109, SMALL(IF($D$1:$D$1109=$E$5,ROW($D$1:$D$1109)),ROW()-2),1),"")</f>
        <v>4.3</v>
      </c>
      <c r="K321" s="10">
        <f t="array" ref="K321">IFERROR(INDEX($C$1:$C$1109, SMALL(IF($D$1:$D$1109=$E$5,ROW($D$1:$D$1109)),ROW()-2),1),"")</f>
        <v>27.805499999999999</v>
      </c>
      <c r="R321" s="13">
        <v>2.5</v>
      </c>
      <c r="S321" s="13">
        <v>37.070999999999998</v>
      </c>
      <c r="T321" s="140">
        <v>6</v>
      </c>
      <c r="U321" s="140">
        <v>30.5</v>
      </c>
      <c r="V321" s="10">
        <v>4.3</v>
      </c>
      <c r="W321" s="10">
        <v>27.805499999999999</v>
      </c>
    </row>
    <row r="322" spans="1:23" ht="15.75">
      <c r="A322" s="64">
        <f t="shared" ca="1" si="4"/>
        <v>8.869345371516435E-2</v>
      </c>
      <c r="B322" s="74">
        <v>6.2</v>
      </c>
      <c r="C322" s="71">
        <v>35.799999999999997</v>
      </c>
      <c r="D322" s="132">
        <f t="array" ref="D322">MOD(ROW(), 3) + 1</f>
        <v>2</v>
      </c>
      <c r="F322" s="13">
        <f t="array" ref="F322">IFERROR(INDEX($B$1:$B$1109, SMALL(IF($D$1:$D$1109=$E$3,ROW($D$1:$D$1109)),ROW()-2),1),"")</f>
        <v>6.5</v>
      </c>
      <c r="G322" s="13">
        <f t="array" ref="G322">IFERROR(INDEX($C$1:$C$1109, SMALL(IF($D$1:$D$1109=$E$3,ROW($D$1:$D$1109)),ROW()-2),1),"")</f>
        <v>19.899999999999999</v>
      </c>
      <c r="H322" s="140">
        <f t="array" ref="H322">IFERROR(INDEX($B$1:$B$1109, SMALL(IF($D$1:$D$1109=$E$4,ROW($D$1:$D$1109)),ROW()-2),1),"")</f>
        <v>2.5</v>
      </c>
      <c r="I322" s="140">
        <f t="array" ref="I322">IFERROR(INDEX($C$1:$C$1109, SMALL(IF($D$1:$D$1109=$E$4,ROW($D$1:$D$1109)),ROW()-2),1),"")</f>
        <v>43.8</v>
      </c>
      <c r="J322" s="10">
        <f t="array" ref="J322">IFERROR(INDEX($B$1:$B$1109, SMALL(IF($D$1:$D$1109=$E$5,ROW($D$1:$D$1109)),ROW()-2),1),"")</f>
        <v>2.4</v>
      </c>
      <c r="K322" s="10">
        <f t="array" ref="K322">IFERROR(INDEX($C$1:$C$1109, SMALL(IF($D$1:$D$1109=$E$5,ROW($D$1:$D$1109)),ROW()-2),1),"")</f>
        <v>38.876899999999999</v>
      </c>
      <c r="R322" s="13">
        <v>6.5</v>
      </c>
      <c r="S322" s="13">
        <v>19.899999999999999</v>
      </c>
      <c r="T322" s="140">
        <v>2.5</v>
      </c>
      <c r="U322" s="140">
        <v>43.8</v>
      </c>
      <c r="V322" s="10">
        <v>2.4</v>
      </c>
      <c r="W322" s="10">
        <v>38.876899999999999</v>
      </c>
    </row>
    <row r="323" spans="1:23" ht="15.75">
      <c r="A323" s="64">
        <f t="shared" ref="A323:A386" ca="1" si="5">RAND()</f>
        <v>0.33933000839201122</v>
      </c>
      <c r="B323" s="74">
        <v>5.3</v>
      </c>
      <c r="C323" s="71">
        <v>22.9</v>
      </c>
      <c r="D323" s="132">
        <f t="array" ref="D323">MOD(ROW(), 3) + 1</f>
        <v>3</v>
      </c>
      <c r="F323" s="13">
        <f t="array" ref="F323">IFERROR(INDEX($B$1:$B$1109, SMALL(IF($D$1:$D$1109=$E$3,ROW($D$1:$D$1109)),ROW()-2),1),"")</f>
        <v>3</v>
      </c>
      <c r="G323" s="13">
        <f t="array" ref="G323">IFERROR(INDEX($C$1:$C$1109, SMALL(IF($D$1:$D$1109=$E$3,ROW($D$1:$D$1109)),ROW()-2),1),"")</f>
        <v>36.154800000000002</v>
      </c>
      <c r="H323" s="140">
        <f t="array" ref="H323">IFERROR(INDEX($B$1:$B$1109, SMALL(IF($D$1:$D$1109=$E$4,ROW($D$1:$D$1109)),ROW()-2),1),"")</f>
        <v>3.5</v>
      </c>
      <c r="I323" s="140">
        <f t="array" ref="I323">IFERROR(INDEX($C$1:$C$1109, SMALL(IF($D$1:$D$1109=$E$4,ROW($D$1:$D$1109)),ROW()-2),1),"")</f>
        <v>39.799999999999997</v>
      </c>
      <c r="J323" s="10">
        <f t="array" ref="J323">IFERROR(INDEX($B$1:$B$1109, SMALL(IF($D$1:$D$1109=$E$5,ROW($D$1:$D$1109)),ROW()-2),1),"")</f>
        <v>3.8</v>
      </c>
      <c r="K323" s="10">
        <f t="array" ref="K323">IFERROR(INDEX($C$1:$C$1109, SMALL(IF($D$1:$D$1109=$E$5,ROW($D$1:$D$1109)),ROW()-2),1),"")</f>
        <v>28.5532</v>
      </c>
      <c r="R323" s="13">
        <v>3</v>
      </c>
      <c r="S323" s="13">
        <v>36.154800000000002</v>
      </c>
      <c r="T323" s="140">
        <v>3.5</v>
      </c>
      <c r="U323" s="140">
        <v>39.799999999999997</v>
      </c>
      <c r="V323" s="10">
        <v>3.8</v>
      </c>
      <c r="W323" s="10">
        <v>28.5532</v>
      </c>
    </row>
    <row r="324" spans="1:23" ht="15.75">
      <c r="A324" s="64">
        <f t="shared" ca="1" si="5"/>
        <v>0.12126568395391013</v>
      </c>
      <c r="B324" s="74">
        <v>5</v>
      </c>
      <c r="C324" s="71">
        <v>23.227</v>
      </c>
      <c r="D324" s="132">
        <f t="array" ref="D324">MOD(ROW(), 3) + 1</f>
        <v>1</v>
      </c>
      <c r="F324" s="13">
        <f t="array" ref="F324">IFERROR(INDEX($B$1:$B$1109, SMALL(IF($D$1:$D$1109=$E$3,ROW($D$1:$D$1109)),ROW()-2),1),"")</f>
        <v>5.3</v>
      </c>
      <c r="G324" s="13">
        <f t="array" ref="G324">IFERROR(INDEX($C$1:$C$1109, SMALL(IF($D$1:$D$1109=$E$3,ROW($D$1:$D$1109)),ROW()-2),1),"")</f>
        <v>29.020499999999998</v>
      </c>
      <c r="H324" s="140">
        <f t="array" ref="H324">IFERROR(INDEX($B$1:$B$1109, SMALL(IF($D$1:$D$1109=$E$4,ROW($D$1:$D$1109)),ROW()-2),1),"")</f>
        <v>6</v>
      </c>
      <c r="I324" s="140">
        <f t="array" ref="I324">IFERROR(INDEX($C$1:$C$1109, SMALL(IF($D$1:$D$1109=$E$4,ROW($D$1:$D$1109)),ROW()-2),1),"")</f>
        <v>26.749500000000001</v>
      </c>
      <c r="J324" s="10">
        <f t="array" ref="J324">IFERROR(INDEX($B$1:$B$1109, SMALL(IF($D$1:$D$1109=$E$5,ROW($D$1:$D$1109)),ROW()-2),1),"")</f>
        <v>4.8</v>
      </c>
      <c r="K324" s="10">
        <f t="array" ref="K324">IFERROR(INDEX($C$1:$C$1109, SMALL(IF($D$1:$D$1109=$E$5,ROW($D$1:$D$1109)),ROW()-2),1),"")</f>
        <v>25.7761</v>
      </c>
      <c r="R324" s="13">
        <v>5.3</v>
      </c>
      <c r="S324" s="13">
        <v>29.020499999999998</v>
      </c>
      <c r="T324" s="140">
        <v>6</v>
      </c>
      <c r="U324" s="140">
        <v>26.749500000000001</v>
      </c>
      <c r="V324" s="10">
        <v>4.8</v>
      </c>
      <c r="W324" s="10">
        <v>25.7761</v>
      </c>
    </row>
    <row r="325" spans="1:23" ht="15.75">
      <c r="A325" s="64">
        <f t="shared" ca="1" si="5"/>
        <v>0.76967304657064617</v>
      </c>
      <c r="B325" s="74">
        <v>3.7</v>
      </c>
      <c r="C325" s="71">
        <v>36.9</v>
      </c>
      <c r="D325" s="132">
        <f t="array" ref="D325">MOD(ROW(), 3) + 1</f>
        <v>2</v>
      </c>
      <c r="F325" s="13">
        <f t="array" ref="F325">IFERROR(INDEX($B$1:$B$1109, SMALL(IF($D$1:$D$1109=$E$3,ROW($D$1:$D$1109)),ROW()-2),1),"")</f>
        <v>2.5</v>
      </c>
      <c r="G325" s="13">
        <f t="array" ref="G325">IFERROR(INDEX($C$1:$C$1109, SMALL(IF($D$1:$D$1109=$E$3,ROW($D$1:$D$1109)),ROW()-2),1),"")</f>
        <v>32.910299999999999</v>
      </c>
      <c r="H325" s="140">
        <f t="array" ref="H325">IFERROR(INDEX($B$1:$B$1109, SMALL(IF($D$1:$D$1109=$E$4,ROW($D$1:$D$1109)),ROW()-2),1),"")</f>
        <v>2.4</v>
      </c>
      <c r="I325" s="140">
        <f t="array" ref="I325">IFERROR(INDEX($C$1:$C$1109, SMALL(IF($D$1:$D$1109=$E$4,ROW($D$1:$D$1109)),ROW()-2),1),"")</f>
        <v>38.700000000000003</v>
      </c>
      <c r="J325" s="10">
        <f t="array" ref="J325">IFERROR(INDEX($B$1:$B$1109, SMALL(IF($D$1:$D$1109=$E$5,ROW($D$1:$D$1109)),ROW()-2),1),"")</f>
        <v>2</v>
      </c>
      <c r="K325" s="10">
        <f t="array" ref="K325">IFERROR(INDEX($C$1:$C$1109, SMALL(IF($D$1:$D$1109=$E$5,ROW($D$1:$D$1109)),ROW()-2),1),"")</f>
        <v>40.234499999999997</v>
      </c>
      <c r="R325" s="13">
        <v>2.5</v>
      </c>
      <c r="S325" s="13">
        <v>32.910299999999999</v>
      </c>
      <c r="T325" s="140">
        <v>2.4</v>
      </c>
      <c r="U325" s="140">
        <v>38.700000000000003</v>
      </c>
      <c r="V325" s="10">
        <v>2</v>
      </c>
      <c r="W325" s="10">
        <v>40.234499999999997</v>
      </c>
    </row>
    <row r="326" spans="1:23" ht="15.75">
      <c r="A326" s="64">
        <f t="shared" ca="1" si="5"/>
        <v>0.91271346706371137</v>
      </c>
      <c r="B326" s="74">
        <v>3.5</v>
      </c>
      <c r="C326" s="71">
        <v>34.6</v>
      </c>
      <c r="D326" s="132">
        <f t="array" ref="D326">MOD(ROW(), 3) + 1</f>
        <v>3</v>
      </c>
      <c r="F326" s="13">
        <f t="array" ref="F326">IFERROR(INDEX($B$1:$B$1109, SMALL(IF($D$1:$D$1109=$E$3,ROW($D$1:$D$1109)),ROW()-2),1),"")</f>
        <v>3.7</v>
      </c>
      <c r="G326" s="13">
        <f t="array" ref="G326">IFERROR(INDEX($C$1:$C$1109, SMALL(IF($D$1:$D$1109=$E$3,ROW($D$1:$D$1109)),ROW()-2),1),"")</f>
        <v>35.980200000000004</v>
      </c>
      <c r="H326" s="140">
        <f t="array" ref="H326">IFERROR(INDEX($B$1:$B$1109, SMALL(IF($D$1:$D$1109=$E$4,ROW($D$1:$D$1109)),ROW()-2),1),"")</f>
        <v>2.4</v>
      </c>
      <c r="I326" s="140">
        <f t="array" ref="I326">IFERROR(INDEX($C$1:$C$1109, SMALL(IF($D$1:$D$1109=$E$4,ROW($D$1:$D$1109)),ROW()-2),1),"")</f>
        <v>41.695999999999998</v>
      </c>
      <c r="J326" s="10">
        <f t="array" ref="J326">IFERROR(INDEX($B$1:$B$1109, SMALL(IF($D$1:$D$1109=$E$5,ROW($D$1:$D$1109)),ROW()-2),1),"")</f>
        <v>5.3</v>
      </c>
      <c r="K326" s="10">
        <f t="array" ref="K326">IFERROR(INDEX($C$1:$C$1109, SMALL(IF($D$1:$D$1109=$E$5,ROW($D$1:$D$1109)),ROW()-2),1),"")</f>
        <v>23.299900000000001</v>
      </c>
      <c r="R326" s="13">
        <v>3.7</v>
      </c>
      <c r="S326" s="13">
        <v>35.980200000000004</v>
      </c>
      <c r="T326" s="140">
        <v>2.4</v>
      </c>
      <c r="U326" s="140">
        <v>41.695999999999998</v>
      </c>
      <c r="V326" s="10">
        <v>5.3</v>
      </c>
      <c r="W326" s="10">
        <v>23.299900000000001</v>
      </c>
    </row>
    <row r="327" spans="1:23" ht="15.75">
      <c r="A327" s="64">
        <f t="shared" ca="1" si="5"/>
        <v>0.25040405094304274</v>
      </c>
      <c r="B327" s="74">
        <v>3</v>
      </c>
      <c r="C327" s="71">
        <v>32</v>
      </c>
      <c r="D327" s="132">
        <f t="array" ref="D327">MOD(ROW(), 3) + 1</f>
        <v>1</v>
      </c>
      <c r="F327" s="13">
        <f t="array" ref="F327">IFERROR(INDEX($B$1:$B$1109, SMALL(IF($D$1:$D$1109=$E$3,ROW($D$1:$D$1109)),ROW()-2),1),"")</f>
        <v>2</v>
      </c>
      <c r="G327" s="13">
        <f t="array" ref="G327">IFERROR(INDEX($C$1:$C$1109, SMALL(IF($D$1:$D$1109=$E$3,ROW($D$1:$D$1109)),ROW()-2),1),"")</f>
        <v>41.799799999999998</v>
      </c>
      <c r="H327" s="140">
        <f t="array" ref="H327">IFERROR(INDEX($B$1:$B$1109, SMALL(IF($D$1:$D$1109=$E$4,ROW($D$1:$D$1109)),ROW()-2),1),"")</f>
        <v>4.4000000000000004</v>
      </c>
      <c r="I327" s="140">
        <f t="array" ref="I327">IFERROR(INDEX($C$1:$C$1109, SMALL(IF($D$1:$D$1109=$E$4,ROW($D$1:$D$1109)),ROW()-2),1),"")</f>
        <v>23.152100000000001</v>
      </c>
      <c r="J327" s="10">
        <f t="array" ref="J327">IFERROR(INDEX($B$1:$B$1109, SMALL(IF($D$1:$D$1109=$E$5,ROW($D$1:$D$1109)),ROW()-2),1),"")</f>
        <v>5.5</v>
      </c>
      <c r="K327" s="10">
        <f t="array" ref="K327">IFERROR(INDEX($C$1:$C$1109, SMALL(IF($D$1:$D$1109=$E$5,ROW($D$1:$D$1109)),ROW()-2),1),"")</f>
        <v>29.2</v>
      </c>
      <c r="R327" s="13">
        <v>2</v>
      </c>
      <c r="S327" s="13">
        <v>41.799799999999998</v>
      </c>
      <c r="T327" s="140">
        <v>4.4000000000000004</v>
      </c>
      <c r="U327" s="140">
        <v>23.152100000000001</v>
      </c>
      <c r="V327" s="10">
        <v>5.5</v>
      </c>
      <c r="W327" s="10">
        <v>29.2</v>
      </c>
    </row>
    <row r="328" spans="1:23" ht="15.75">
      <c r="A328" s="64">
        <f t="shared" ca="1" si="5"/>
        <v>2.1546838592209516E-2</v>
      </c>
      <c r="B328" s="74">
        <v>3.5</v>
      </c>
      <c r="C328" s="71">
        <v>33.700000000000003</v>
      </c>
      <c r="D328" s="132">
        <f t="array" ref="D328">MOD(ROW(), 3) + 1</f>
        <v>2</v>
      </c>
      <c r="F328" s="13">
        <f t="array" ref="F328">IFERROR(INDEX($B$1:$B$1109, SMALL(IF($D$1:$D$1109=$E$3,ROW($D$1:$D$1109)),ROW()-2),1),"")</f>
        <v>2.5</v>
      </c>
      <c r="G328" s="13">
        <f t="array" ref="G328">IFERROR(INDEX($C$1:$C$1109, SMALL(IF($D$1:$D$1109=$E$3,ROW($D$1:$D$1109)),ROW()-2),1),"")</f>
        <v>34.143500000000003</v>
      </c>
      <c r="H328" s="140">
        <f t="array" ref="H328">IFERROR(INDEX($B$1:$B$1109, SMALL(IF($D$1:$D$1109=$E$4,ROW($D$1:$D$1109)),ROW()-2),1),"")</f>
        <v>2.4</v>
      </c>
      <c r="I328" s="140">
        <f t="array" ref="I328">IFERROR(INDEX($C$1:$C$1109, SMALL(IF($D$1:$D$1109=$E$4,ROW($D$1:$D$1109)),ROW()-2),1),"")</f>
        <v>43.104300000000002</v>
      </c>
      <c r="J328" s="10">
        <f t="array" ref="J328">IFERROR(INDEX($B$1:$B$1109, SMALL(IF($D$1:$D$1109=$E$5,ROW($D$1:$D$1109)),ROW()-2),1),"")</f>
        <v>2.4</v>
      </c>
      <c r="K328" s="10">
        <f t="array" ref="K328">IFERROR(INDEX($C$1:$C$1109, SMALL(IF($D$1:$D$1109=$E$5,ROW($D$1:$D$1109)),ROW()-2),1),"")</f>
        <v>42.8</v>
      </c>
      <c r="R328" s="13">
        <v>2.5</v>
      </c>
      <c r="S328" s="13">
        <v>34.143500000000003</v>
      </c>
      <c r="T328" s="140">
        <v>2.4</v>
      </c>
      <c r="U328" s="140">
        <v>43.104300000000002</v>
      </c>
      <c r="V328" s="10">
        <v>2.4</v>
      </c>
      <c r="W328" s="10">
        <v>42.8</v>
      </c>
    </row>
    <row r="329" spans="1:23" ht="15.75">
      <c r="A329" s="64">
        <f t="shared" ca="1" si="5"/>
        <v>7.3961977173245264E-2</v>
      </c>
      <c r="B329" s="74">
        <v>2.2999999999999998</v>
      </c>
      <c r="C329" s="71">
        <v>32.8232</v>
      </c>
      <c r="D329" s="132">
        <f t="array" ref="D329">MOD(ROW(), 3) + 1</f>
        <v>3</v>
      </c>
      <c r="F329" s="13">
        <f t="array" ref="F329">IFERROR(INDEX($B$1:$B$1109, SMALL(IF($D$1:$D$1109=$E$3,ROW($D$1:$D$1109)),ROW()-2),1),"")</f>
        <v>2</v>
      </c>
      <c r="G329" s="13">
        <f t="array" ref="G329">IFERROR(INDEX($C$1:$C$1109, SMALL(IF($D$1:$D$1109=$E$3,ROW($D$1:$D$1109)),ROW()-2),1),"")</f>
        <v>46.624000000000002</v>
      </c>
      <c r="H329" s="140">
        <f t="array" ref="H329">IFERROR(INDEX($B$1:$B$1109, SMALL(IF($D$1:$D$1109=$E$4,ROW($D$1:$D$1109)),ROW()-2),1),"")</f>
        <v>4</v>
      </c>
      <c r="I329" s="140">
        <f t="array" ref="I329">IFERROR(INDEX($C$1:$C$1109, SMALL(IF($D$1:$D$1109=$E$4,ROW($D$1:$D$1109)),ROW()-2),1),"")</f>
        <v>35.200000000000003</v>
      </c>
      <c r="J329" s="10">
        <f t="array" ref="J329">IFERROR(INDEX($B$1:$B$1109, SMALL(IF($D$1:$D$1109=$E$5,ROW($D$1:$D$1109)),ROW()-2),1),"")</f>
        <v>3.5</v>
      </c>
      <c r="K329" s="10">
        <f t="array" ref="K329">IFERROR(INDEX($C$1:$C$1109, SMALL(IF($D$1:$D$1109=$E$5,ROW($D$1:$D$1109)),ROW()-2),1),"")</f>
        <v>39.9</v>
      </c>
      <c r="R329" s="13">
        <v>2</v>
      </c>
      <c r="S329" s="13">
        <v>46.624000000000002</v>
      </c>
      <c r="T329" s="140">
        <v>4</v>
      </c>
      <c r="U329" s="140">
        <v>35.200000000000003</v>
      </c>
      <c r="V329" s="10">
        <v>3.5</v>
      </c>
      <c r="W329" s="10">
        <v>39.9</v>
      </c>
    </row>
    <row r="330" spans="1:23" ht="15.75">
      <c r="A330" s="64">
        <f t="shared" ca="1" si="5"/>
        <v>0.40373864239832147</v>
      </c>
      <c r="B330" s="74">
        <v>2</v>
      </c>
      <c r="C330" s="71">
        <v>50.9</v>
      </c>
      <c r="D330" s="132">
        <f t="array" ref="D330">MOD(ROW(), 3) + 1</f>
        <v>1</v>
      </c>
      <c r="F330" s="13">
        <f t="array" ref="F330">IFERROR(INDEX($B$1:$B$1109, SMALL(IF($D$1:$D$1109=$E$3,ROW($D$1:$D$1109)),ROW()-2),1),"")</f>
        <v>1.8</v>
      </c>
      <c r="G330" s="13">
        <f t="array" ref="G330">IFERROR(INDEX($C$1:$C$1109, SMALL(IF($D$1:$D$1109=$E$3,ROW($D$1:$D$1109)),ROW()-2),1),"")</f>
        <v>51.191499999999998</v>
      </c>
      <c r="H330" s="140">
        <f t="array" ref="H330">IFERROR(INDEX($B$1:$B$1109, SMALL(IF($D$1:$D$1109=$E$4,ROW($D$1:$D$1109)),ROW()-2),1),"")</f>
        <v>3.5</v>
      </c>
      <c r="I330" s="140">
        <f t="array" ref="I330">IFERROR(INDEX($C$1:$C$1109, SMALL(IF($D$1:$D$1109=$E$4,ROW($D$1:$D$1109)),ROW()-2),1),"")</f>
        <v>33.299999999999997</v>
      </c>
      <c r="J330" s="10">
        <f t="array" ref="J330">IFERROR(INDEX($B$1:$B$1109, SMALL(IF($D$1:$D$1109=$E$5,ROW($D$1:$D$1109)),ROW()-2),1),"")</f>
        <v>3.5</v>
      </c>
      <c r="K330" s="10">
        <f t="array" ref="K330">IFERROR(INDEX($C$1:$C$1109, SMALL(IF($D$1:$D$1109=$E$5,ROW($D$1:$D$1109)),ROW()-2),1),"")</f>
        <v>27.3</v>
      </c>
      <c r="R330" s="13">
        <v>1.8</v>
      </c>
      <c r="S330" s="13">
        <v>51.191499999999998</v>
      </c>
      <c r="T330" s="140">
        <v>3.5</v>
      </c>
      <c r="U330" s="140">
        <v>33.299999999999997</v>
      </c>
      <c r="V330" s="10">
        <v>3.5</v>
      </c>
      <c r="W330" s="10">
        <v>27.3</v>
      </c>
    </row>
    <row r="331" spans="1:23" ht="15.75">
      <c r="A331" s="64">
        <f t="shared" ca="1" si="5"/>
        <v>0.88950570915912919</v>
      </c>
      <c r="B331" s="74">
        <v>1.6</v>
      </c>
      <c r="C331" s="71">
        <v>43.5</v>
      </c>
      <c r="D331" s="132">
        <f t="array" ref="D331">MOD(ROW(), 3) + 1</f>
        <v>2</v>
      </c>
      <c r="F331" s="13">
        <f t="array" ref="F331">IFERROR(INDEX($B$1:$B$1109, SMALL(IF($D$1:$D$1109=$E$3,ROW($D$1:$D$1109)),ROW()-2),1),"")</f>
        <v>4</v>
      </c>
      <c r="G331" s="13">
        <f t="array" ref="G331">IFERROR(INDEX($C$1:$C$1109, SMALL(IF($D$1:$D$1109=$E$3,ROW($D$1:$D$1109)),ROW()-2),1),"")</f>
        <v>29.4</v>
      </c>
      <c r="H331" s="140">
        <f t="array" ref="H331">IFERROR(INDEX($B$1:$B$1109, SMALL(IF($D$1:$D$1109=$E$4,ROW($D$1:$D$1109)),ROW()-2),1),"")</f>
        <v>2</v>
      </c>
      <c r="I331" s="140">
        <f t="array" ref="I331">IFERROR(INDEX($C$1:$C$1109, SMALL(IF($D$1:$D$1109=$E$4,ROW($D$1:$D$1109)),ROW()-2),1),"")</f>
        <v>39.7256</v>
      </c>
      <c r="J331" s="10">
        <f t="array" ref="J331">IFERROR(INDEX($B$1:$B$1109, SMALL(IF($D$1:$D$1109=$E$5,ROW($D$1:$D$1109)),ROW()-2),1),"")</f>
        <v>5.7</v>
      </c>
      <c r="K331" s="10">
        <f t="array" ref="K331">IFERROR(INDEX($C$1:$C$1109, SMALL(IF($D$1:$D$1109=$E$5,ROW($D$1:$D$1109)),ROW()-2),1),"")</f>
        <v>27.1</v>
      </c>
      <c r="R331" s="13">
        <v>4</v>
      </c>
      <c r="S331" s="13">
        <v>29.4</v>
      </c>
      <c r="T331" s="140">
        <v>2</v>
      </c>
      <c r="U331" s="140">
        <v>39.7256</v>
      </c>
      <c r="V331" s="10">
        <v>5.7</v>
      </c>
      <c r="W331" s="10">
        <v>27.1</v>
      </c>
    </row>
    <row r="332" spans="1:23" ht="15.75">
      <c r="A332" s="64">
        <f t="shared" ca="1" si="5"/>
        <v>0.64912366344564665</v>
      </c>
      <c r="B332" s="74">
        <v>3.8</v>
      </c>
      <c r="C332" s="71">
        <v>36.012999999999998</v>
      </c>
      <c r="D332" s="132">
        <f t="array" ref="D332">MOD(ROW(), 3) + 1</f>
        <v>3</v>
      </c>
      <c r="F332" s="13">
        <f t="array" ref="F332">IFERROR(INDEX($B$1:$B$1109, SMALL(IF($D$1:$D$1109=$E$3,ROW($D$1:$D$1109)),ROW()-2),1),"")</f>
        <v>2.5</v>
      </c>
      <c r="G332" s="13">
        <f t="array" ref="G332">IFERROR(INDEX($C$1:$C$1109, SMALL(IF($D$1:$D$1109=$E$3,ROW($D$1:$D$1109)),ROW()-2),1),"")</f>
        <v>44.2</v>
      </c>
      <c r="H332" s="140">
        <f t="array" ref="H332">IFERROR(INDEX($B$1:$B$1109, SMALL(IF($D$1:$D$1109=$E$4,ROW($D$1:$D$1109)),ROW()-2),1),"")</f>
        <v>3.7</v>
      </c>
      <c r="I332" s="140">
        <f t="array" ref="I332">IFERROR(INDEX($C$1:$C$1109, SMALL(IF($D$1:$D$1109=$E$4,ROW($D$1:$D$1109)),ROW()-2),1),"")</f>
        <v>37.064999999999998</v>
      </c>
      <c r="J332" s="10">
        <f t="array" ref="J332">IFERROR(INDEX($B$1:$B$1109, SMALL(IF($D$1:$D$1109=$E$5,ROW($D$1:$D$1109)),ROW()-2),1),"")</f>
        <v>5.6</v>
      </c>
      <c r="K332" s="10">
        <f t="array" ref="K332">IFERROR(INDEX($C$1:$C$1109, SMALL(IF($D$1:$D$1109=$E$5,ROW($D$1:$D$1109)),ROW()-2),1),"")</f>
        <v>24.947700000000001</v>
      </c>
      <c r="R332" s="13">
        <v>2.5</v>
      </c>
      <c r="S332" s="13">
        <v>44.2</v>
      </c>
      <c r="T332" s="140">
        <v>3.7</v>
      </c>
      <c r="U332" s="140">
        <v>37.064999999999998</v>
      </c>
      <c r="V332" s="10">
        <v>5.6</v>
      </c>
      <c r="W332" s="10">
        <v>24.947700000000001</v>
      </c>
    </row>
    <row r="333" spans="1:23" ht="15.75">
      <c r="A333" s="64">
        <f t="shared" ca="1" si="5"/>
        <v>0.82598747434526876</v>
      </c>
      <c r="B333" s="74">
        <v>3</v>
      </c>
      <c r="C333" s="71">
        <v>31.3917</v>
      </c>
      <c r="D333" s="132">
        <f t="array" ref="D333">MOD(ROW(), 3) + 1</f>
        <v>1</v>
      </c>
      <c r="F333" s="13">
        <f t="array" ref="F333">IFERROR(INDEX($B$1:$B$1109, SMALL(IF($D$1:$D$1109=$E$3,ROW($D$1:$D$1109)),ROW()-2),1),"")</f>
        <v>5.5</v>
      </c>
      <c r="G333" s="13">
        <f t="array" ref="G333">IFERROR(INDEX($C$1:$C$1109, SMALL(IF($D$1:$D$1109=$E$3,ROW($D$1:$D$1109)),ROW()-2),1),"")</f>
        <v>33</v>
      </c>
      <c r="H333" s="140">
        <f t="array" ref="H333">IFERROR(INDEX($B$1:$B$1109, SMALL(IF($D$1:$D$1109=$E$4,ROW($D$1:$D$1109)),ROW()-2),1),"")</f>
        <v>2.5</v>
      </c>
      <c r="I333" s="140">
        <f t="array" ref="I333">IFERROR(INDEX($C$1:$C$1109, SMALL(IF($D$1:$D$1109=$E$4,ROW($D$1:$D$1109)),ROW()-2),1),"")</f>
        <v>44.2</v>
      </c>
      <c r="J333" s="10">
        <f t="array" ref="J333">IFERROR(INDEX($B$1:$B$1109, SMALL(IF($D$1:$D$1109=$E$5,ROW($D$1:$D$1109)),ROW()-2),1),"")</f>
        <v>4.3</v>
      </c>
      <c r="K333" s="10">
        <f t="array" ref="K333">IFERROR(INDEX($C$1:$C$1109, SMALL(IF($D$1:$D$1109=$E$5,ROW($D$1:$D$1109)),ROW()-2),1),"")</f>
        <v>24.1937</v>
      </c>
      <c r="R333" s="13">
        <v>5.5</v>
      </c>
      <c r="S333" s="13">
        <v>33</v>
      </c>
      <c r="T333" s="140">
        <v>2.5</v>
      </c>
      <c r="U333" s="140">
        <v>44.2</v>
      </c>
      <c r="V333" s="10">
        <v>4.3</v>
      </c>
      <c r="W333" s="10">
        <v>24.1937</v>
      </c>
    </row>
    <row r="334" spans="1:23" ht="15.75">
      <c r="A334" s="64">
        <f t="shared" ca="1" si="5"/>
        <v>0.40633216751109136</v>
      </c>
      <c r="B334" s="74">
        <v>3.5</v>
      </c>
      <c r="C334" s="71">
        <v>31.4</v>
      </c>
      <c r="D334" s="132">
        <f t="array" ref="D334">MOD(ROW(), 3) + 1</f>
        <v>2</v>
      </c>
      <c r="F334" s="13">
        <f t="array" ref="F334">IFERROR(INDEX($B$1:$B$1109, SMALL(IF($D$1:$D$1109=$E$3,ROW($D$1:$D$1109)),ROW()-2),1),"")</f>
        <v>6</v>
      </c>
      <c r="G334" s="13">
        <f t="array" ref="G334">IFERROR(INDEX($C$1:$C$1109, SMALL(IF($D$1:$D$1109=$E$3,ROW($D$1:$D$1109)),ROW()-2),1),"")</f>
        <v>30.299900000000001</v>
      </c>
      <c r="H334" s="140">
        <f t="array" ref="H334">IFERROR(INDEX($B$1:$B$1109, SMALL(IF($D$1:$D$1109=$E$4,ROW($D$1:$D$1109)),ROW()-2),1),"")</f>
        <v>3.6</v>
      </c>
      <c r="I334" s="140">
        <f t="array" ref="I334">IFERROR(INDEX($C$1:$C$1109, SMALL(IF($D$1:$D$1109=$E$4,ROW($D$1:$D$1109)),ROW()-2),1),"")</f>
        <v>35.242699999999999</v>
      </c>
      <c r="J334" s="10">
        <f t="array" ref="J334">IFERROR(INDEX($B$1:$B$1109, SMALL(IF($D$1:$D$1109=$E$5,ROW($D$1:$D$1109)),ROW()-2),1),"")</f>
        <v>1.6</v>
      </c>
      <c r="K334" s="10">
        <f t="array" ref="K334">IFERROR(INDEX($C$1:$C$1109, SMALL(IF($D$1:$D$1109=$E$5,ROW($D$1:$D$1109)),ROW()-2),1),"")</f>
        <v>52</v>
      </c>
      <c r="R334" s="13">
        <v>6</v>
      </c>
      <c r="S334" s="13">
        <v>30.299900000000001</v>
      </c>
      <c r="T334" s="140">
        <v>3.6</v>
      </c>
      <c r="U334" s="140">
        <v>35.242699999999999</v>
      </c>
      <c r="V334" s="10">
        <v>1.6</v>
      </c>
      <c r="W334" s="10">
        <v>52</v>
      </c>
    </row>
    <row r="335" spans="1:23" ht="15.75">
      <c r="A335" s="64">
        <f t="shared" ca="1" si="5"/>
        <v>0.55987773878463842</v>
      </c>
      <c r="B335" s="74">
        <v>2.2000000000000002</v>
      </c>
      <c r="C335" s="71">
        <v>44.999099999999999</v>
      </c>
      <c r="D335" s="132">
        <f t="array" ref="D335">MOD(ROW(), 3) + 1</f>
        <v>3</v>
      </c>
      <c r="F335" s="13">
        <f t="array" ref="F335">IFERROR(INDEX($B$1:$B$1109, SMALL(IF($D$1:$D$1109=$E$3,ROW($D$1:$D$1109)),ROW()-2),1),"")</f>
        <v>4.7</v>
      </c>
      <c r="G335" s="13">
        <f t="array" ref="G335">IFERROR(INDEX($C$1:$C$1109, SMALL(IF($D$1:$D$1109=$E$3,ROW($D$1:$D$1109)),ROW()-2),1),"")</f>
        <v>25.6</v>
      </c>
      <c r="H335" s="140">
        <f t="array" ref="H335">IFERROR(INDEX($B$1:$B$1109, SMALL(IF($D$1:$D$1109=$E$4,ROW($D$1:$D$1109)),ROW()-2),1),"")</f>
        <v>3.2</v>
      </c>
      <c r="I335" s="140">
        <f t="array" ref="I335">IFERROR(INDEX($C$1:$C$1109, SMALL(IF($D$1:$D$1109=$E$4,ROW($D$1:$D$1109)),ROW()-2),1),"")</f>
        <v>32.274700000000003</v>
      </c>
      <c r="J335" s="10">
        <f t="array" ref="J335">IFERROR(INDEX($B$1:$B$1109, SMALL(IF($D$1:$D$1109=$E$5,ROW($D$1:$D$1109)),ROW()-2),1),"")</f>
        <v>3.5</v>
      </c>
      <c r="K335" s="10">
        <f t="array" ref="K335">IFERROR(INDEX($C$1:$C$1109, SMALL(IF($D$1:$D$1109=$E$5,ROW($D$1:$D$1109)),ROW()-2),1),"")</f>
        <v>31.496099999999998</v>
      </c>
      <c r="R335" s="13">
        <v>4.7</v>
      </c>
      <c r="S335" s="13">
        <v>25.6</v>
      </c>
      <c r="T335" s="140">
        <v>3.2</v>
      </c>
      <c r="U335" s="140">
        <v>32.274700000000003</v>
      </c>
      <c r="V335" s="10">
        <v>3.5</v>
      </c>
      <c r="W335" s="10">
        <v>31.496099999999998</v>
      </c>
    </row>
    <row r="336" spans="1:23" ht="15.75">
      <c r="A336" s="64">
        <f t="shared" ca="1" si="5"/>
        <v>0.61723289447821006</v>
      </c>
      <c r="B336" s="74">
        <v>4.2</v>
      </c>
      <c r="C336" s="71">
        <v>31.5002</v>
      </c>
      <c r="D336" s="132">
        <f t="array" ref="D336">MOD(ROW(), 3) + 1</f>
        <v>1</v>
      </c>
      <c r="F336" s="13">
        <f t="array" ref="F336">IFERROR(INDEX($B$1:$B$1109, SMALL(IF($D$1:$D$1109=$E$3,ROW($D$1:$D$1109)),ROW()-2),1),"")</f>
        <v>3.5</v>
      </c>
      <c r="G336" s="13">
        <f t="array" ref="G336">IFERROR(INDEX($C$1:$C$1109, SMALL(IF($D$1:$D$1109=$E$3,ROW($D$1:$D$1109)),ROW()-2),1),"")</f>
        <v>37.6</v>
      </c>
      <c r="H336" s="140">
        <f t="array" ref="H336">IFERROR(INDEX($B$1:$B$1109, SMALL(IF($D$1:$D$1109=$E$4,ROW($D$1:$D$1109)),ROW()-2),1),"")</f>
        <v>1.6</v>
      </c>
      <c r="I336" s="140">
        <f t="array" ref="I336">IFERROR(INDEX($C$1:$C$1109, SMALL(IF($D$1:$D$1109=$E$4,ROW($D$1:$D$1109)),ROW()-2),1),"")</f>
        <v>48.9</v>
      </c>
      <c r="J336" s="10">
        <f t="array" ref="J336">IFERROR(INDEX($B$1:$B$1109, SMALL(IF($D$1:$D$1109=$E$5,ROW($D$1:$D$1109)),ROW()-2),1),"")</f>
        <v>1.6</v>
      </c>
      <c r="K336" s="10">
        <f t="array" ref="K336">IFERROR(INDEX($C$1:$C$1109, SMALL(IF($D$1:$D$1109=$E$5,ROW($D$1:$D$1109)),ROW()-2),1),"")</f>
        <v>47.7592</v>
      </c>
      <c r="R336" s="13">
        <v>3.5</v>
      </c>
      <c r="S336" s="13">
        <v>37.6</v>
      </c>
      <c r="T336" s="140">
        <v>1.6</v>
      </c>
      <c r="U336" s="140">
        <v>48.9</v>
      </c>
      <c r="V336" s="10">
        <v>1.6</v>
      </c>
      <c r="W336" s="10">
        <v>47.7592</v>
      </c>
    </row>
    <row r="337" spans="1:23" ht="15.75">
      <c r="A337" s="64">
        <f t="shared" ca="1" si="5"/>
        <v>9.1777410942763926E-2</v>
      </c>
      <c r="B337" s="74">
        <v>5.3</v>
      </c>
      <c r="C337" s="71">
        <v>29</v>
      </c>
      <c r="D337" s="132">
        <f t="array" ref="D337">MOD(ROW(), 3) + 1</f>
        <v>2</v>
      </c>
      <c r="F337" s="13">
        <f t="array" ref="F337">IFERROR(INDEX($B$1:$B$1109, SMALL(IF($D$1:$D$1109=$E$3,ROW($D$1:$D$1109)),ROW()-2),1),"")</f>
        <v>5.3</v>
      </c>
      <c r="G337" s="13">
        <f t="array" ref="G337">IFERROR(INDEX($C$1:$C$1109, SMALL(IF($D$1:$D$1109=$E$3,ROW($D$1:$D$1109)),ROW()-2),1),"")</f>
        <v>28.993500000000001</v>
      </c>
      <c r="H337" s="140">
        <f t="array" ref="H337">IFERROR(INDEX($B$1:$B$1109, SMALL(IF($D$1:$D$1109=$E$4,ROW($D$1:$D$1109)),ROW()-2),1),"")</f>
        <v>6.2</v>
      </c>
      <c r="I337" s="140">
        <f t="array" ref="I337">IFERROR(INDEX($C$1:$C$1109, SMALL(IF($D$1:$D$1109=$E$4,ROW($D$1:$D$1109)),ROW()-2),1),"")</f>
        <v>25.799900000000001</v>
      </c>
      <c r="J337" s="10">
        <f t="array" ref="J337">IFERROR(INDEX($B$1:$B$1109, SMALL(IF($D$1:$D$1109=$E$5,ROW($D$1:$D$1109)),ROW()-2),1),"")</f>
        <v>4.2</v>
      </c>
      <c r="K337" s="10">
        <f t="array" ref="K337">IFERROR(INDEX($C$1:$C$1109, SMALL(IF($D$1:$D$1109=$E$5,ROW($D$1:$D$1109)),ROW()-2),1),"")</f>
        <v>31</v>
      </c>
      <c r="R337" s="13">
        <v>5.3</v>
      </c>
      <c r="S337" s="13">
        <v>28.993500000000001</v>
      </c>
      <c r="T337" s="140">
        <v>6.2</v>
      </c>
      <c r="U337" s="140">
        <v>25.799900000000001</v>
      </c>
      <c r="V337" s="10">
        <v>4.2</v>
      </c>
      <c r="W337" s="10">
        <v>31</v>
      </c>
    </row>
    <row r="338" spans="1:23" ht="15.75">
      <c r="A338" s="64">
        <f t="shared" ca="1" si="5"/>
        <v>0.19902741855170292</v>
      </c>
      <c r="B338" s="74">
        <v>2.5</v>
      </c>
      <c r="C338" s="71">
        <v>42.908000000000001</v>
      </c>
      <c r="D338" s="132">
        <f t="array" ref="D338">MOD(ROW(), 3) + 1</f>
        <v>3</v>
      </c>
      <c r="F338" s="13">
        <f t="array" ref="F338">IFERROR(INDEX($B$1:$B$1109, SMALL(IF($D$1:$D$1109=$E$3,ROW($D$1:$D$1109)),ROW()-2),1),"")</f>
        <v>2</v>
      </c>
      <c r="G338" s="13">
        <f t="array" ref="G338">IFERROR(INDEX($C$1:$C$1109, SMALL(IF($D$1:$D$1109=$E$3,ROW($D$1:$D$1109)),ROW()-2),1),"")</f>
        <v>42</v>
      </c>
      <c r="H338" s="140">
        <f t="array" ref="H338">IFERROR(INDEX($B$1:$B$1109, SMALL(IF($D$1:$D$1109=$E$4,ROW($D$1:$D$1109)),ROW()-2),1),"")</f>
        <v>3</v>
      </c>
      <c r="I338" s="140">
        <f t="array" ref="I338">IFERROR(INDEX($C$1:$C$1109, SMALL(IF($D$1:$D$1109=$E$4,ROW($D$1:$D$1109)),ROW()-2),1),"")</f>
        <v>39.710299999999997</v>
      </c>
      <c r="J338" s="10">
        <f t="array" ref="J338">IFERROR(INDEX($B$1:$B$1109, SMALL(IF($D$1:$D$1109=$E$5,ROW($D$1:$D$1109)),ROW()-2),1),"")</f>
        <v>2.4</v>
      </c>
      <c r="K338" s="10">
        <f t="array" ref="K338">IFERROR(INDEX($C$1:$C$1109, SMALL(IF($D$1:$D$1109=$E$5,ROW($D$1:$D$1109)),ROW()-2),1),"")</f>
        <v>41.585799999999999</v>
      </c>
      <c r="R338" s="13">
        <v>2</v>
      </c>
      <c r="S338" s="13">
        <v>42</v>
      </c>
      <c r="T338" s="140">
        <v>3</v>
      </c>
      <c r="U338" s="140">
        <v>39.710299999999997</v>
      </c>
      <c r="V338" s="10">
        <v>2.4</v>
      </c>
      <c r="W338" s="10">
        <v>41.585799999999999</v>
      </c>
    </row>
    <row r="339" spans="1:23" ht="15.75">
      <c r="A339" s="64">
        <f t="shared" ca="1" si="5"/>
        <v>0.30079279278387305</v>
      </c>
      <c r="B339" s="74">
        <v>1.8</v>
      </c>
      <c r="C339" s="71">
        <v>50.5</v>
      </c>
      <c r="D339" s="132">
        <f t="array" ref="D339">MOD(ROW(), 3) + 1</f>
        <v>1</v>
      </c>
      <c r="F339" s="13">
        <f t="array" ref="F339">IFERROR(INDEX($B$1:$B$1109, SMALL(IF($D$1:$D$1109=$E$3,ROW($D$1:$D$1109)),ROW()-2),1),"")</f>
        <v>3.6</v>
      </c>
      <c r="G339" s="13">
        <f t="array" ref="G339">IFERROR(INDEX($C$1:$C$1109, SMALL(IF($D$1:$D$1109=$E$3,ROW($D$1:$D$1109)),ROW()-2),1),"")</f>
        <v>40</v>
      </c>
      <c r="H339" s="140">
        <f t="array" ref="H339">IFERROR(INDEX($B$1:$B$1109, SMALL(IF($D$1:$D$1109=$E$4,ROW($D$1:$D$1109)),ROW()-2),1),"")</f>
        <v>3.7</v>
      </c>
      <c r="I339" s="140">
        <f t="array" ref="I339">IFERROR(INDEX($C$1:$C$1109, SMALL(IF($D$1:$D$1109=$E$4,ROW($D$1:$D$1109)),ROW()-2),1),"")</f>
        <v>29.799900000000001</v>
      </c>
      <c r="J339" s="10">
        <f t="array" ref="J339">IFERROR(INDEX($B$1:$B$1109, SMALL(IF($D$1:$D$1109=$E$5,ROW($D$1:$D$1109)),ROW()-2),1),"")</f>
        <v>2.4</v>
      </c>
      <c r="K339" s="10">
        <f t="array" ref="K339">IFERROR(INDEX($C$1:$C$1109, SMALL(IF($D$1:$D$1109=$E$5,ROW($D$1:$D$1109)),ROW()-2),1),"")</f>
        <v>42.6</v>
      </c>
      <c r="R339" s="13">
        <v>3.6</v>
      </c>
      <c r="S339" s="13">
        <v>40</v>
      </c>
      <c r="T339" s="140">
        <v>3.7</v>
      </c>
      <c r="U339" s="140">
        <v>29.799900000000001</v>
      </c>
      <c r="V339" s="10">
        <v>2.4</v>
      </c>
      <c r="W339" s="10">
        <v>42.6</v>
      </c>
    </row>
    <row r="340" spans="1:23" ht="15.75">
      <c r="A340" s="64">
        <f t="shared" ca="1" si="5"/>
        <v>0.19625865145122834</v>
      </c>
      <c r="B340" s="74">
        <v>6.1</v>
      </c>
      <c r="C340" s="71">
        <v>20.9</v>
      </c>
      <c r="D340" s="132">
        <f t="array" ref="D340">MOD(ROW(), 3) + 1</f>
        <v>2</v>
      </c>
      <c r="F340" s="13">
        <f t="array" ref="F340">IFERROR(INDEX($B$1:$B$1109, SMALL(IF($D$1:$D$1109=$E$3,ROW($D$1:$D$1109)),ROW()-2),1),"")</f>
        <v>3.9</v>
      </c>
      <c r="G340" s="13">
        <f t="array" ref="G340">IFERROR(INDEX($C$1:$C$1109, SMALL(IF($D$1:$D$1109=$E$3,ROW($D$1:$D$1109)),ROW()-2),1),"")</f>
        <v>37.299999999999997</v>
      </c>
      <c r="H340" s="140">
        <f t="array" ref="H340">IFERROR(INDEX($B$1:$B$1109, SMALL(IF($D$1:$D$1109=$E$4,ROW($D$1:$D$1109)),ROW()-2),1),"")</f>
        <v>3.6</v>
      </c>
      <c r="I340" s="140">
        <f t="array" ref="I340">IFERROR(INDEX($C$1:$C$1109, SMALL(IF($D$1:$D$1109=$E$4,ROW($D$1:$D$1109)),ROW()-2),1),"")</f>
        <v>34.9</v>
      </c>
      <c r="J340" s="10">
        <f t="array" ref="J340">IFERROR(INDEX($B$1:$B$1109, SMALL(IF($D$1:$D$1109=$E$5,ROW($D$1:$D$1109)),ROW()-2),1),"")</f>
        <v>2.5</v>
      </c>
      <c r="K340" s="10">
        <f t="array" ref="K340">IFERROR(INDEX($C$1:$C$1109, SMALL(IF($D$1:$D$1109=$E$5,ROW($D$1:$D$1109)),ROW()-2),1),"")</f>
        <v>42.908000000000001</v>
      </c>
      <c r="R340" s="13">
        <v>3.9</v>
      </c>
      <c r="S340" s="13">
        <v>37.299999999999997</v>
      </c>
      <c r="T340" s="140">
        <v>3.6</v>
      </c>
      <c r="U340" s="140">
        <v>34.9</v>
      </c>
      <c r="V340" s="10">
        <v>2.5</v>
      </c>
      <c r="W340" s="10">
        <v>42.908000000000001</v>
      </c>
    </row>
    <row r="341" spans="1:23" ht="15.75">
      <c r="A341" s="64">
        <f t="shared" ca="1" si="5"/>
        <v>0.53887653183125928</v>
      </c>
      <c r="B341" s="74">
        <v>2.5</v>
      </c>
      <c r="C341" s="71">
        <v>37.9</v>
      </c>
      <c r="D341" s="132">
        <f t="array" ref="D341">MOD(ROW(), 3) + 1</f>
        <v>3</v>
      </c>
      <c r="F341" s="13">
        <f t="array" ref="F341">IFERROR(INDEX($B$1:$B$1109, SMALL(IF($D$1:$D$1109=$E$3,ROW($D$1:$D$1109)),ROW()-2),1),"")</f>
        <v>2.9</v>
      </c>
      <c r="G341" s="13">
        <f t="array" ref="G341">IFERROR(INDEX($C$1:$C$1109, SMALL(IF($D$1:$D$1109=$E$3,ROW($D$1:$D$1109)),ROW()-2),1),"")</f>
        <v>32.4</v>
      </c>
      <c r="H341" s="140">
        <f t="array" ref="H341">IFERROR(INDEX($B$1:$B$1109, SMALL(IF($D$1:$D$1109=$E$4,ROW($D$1:$D$1109)),ROW()-2),1),"")</f>
        <v>4.5999999999999996</v>
      </c>
      <c r="I341" s="140">
        <f t="array" ref="I341">IFERROR(INDEX($C$1:$C$1109, SMALL(IF($D$1:$D$1109=$E$4,ROW($D$1:$D$1109)),ROW()-2),1),"")</f>
        <v>31.9</v>
      </c>
      <c r="J341" s="10">
        <f t="array" ref="J341">IFERROR(INDEX($B$1:$B$1109, SMALL(IF($D$1:$D$1109=$E$5,ROW($D$1:$D$1109)),ROW()-2),1),"")</f>
        <v>4</v>
      </c>
      <c r="K341" s="10">
        <f t="array" ref="K341">IFERROR(INDEX($C$1:$C$1109, SMALL(IF($D$1:$D$1109=$E$5,ROW($D$1:$D$1109)),ROW()-2),1),"")</f>
        <v>25.3</v>
      </c>
      <c r="R341" s="13">
        <v>2.9</v>
      </c>
      <c r="S341" s="13">
        <v>32.4</v>
      </c>
      <c r="T341" s="140">
        <v>4.5999999999999996</v>
      </c>
      <c r="U341" s="140">
        <v>31.9</v>
      </c>
      <c r="V341" s="10">
        <v>4</v>
      </c>
      <c r="W341" s="10">
        <v>25.3</v>
      </c>
    </row>
    <row r="342" spans="1:23" ht="15.75">
      <c r="A342" s="64">
        <f t="shared" ca="1" si="5"/>
        <v>0.81968306693045534</v>
      </c>
      <c r="B342" s="74">
        <v>3.8</v>
      </c>
      <c r="C342" s="71">
        <v>32.4</v>
      </c>
      <c r="D342" s="132">
        <f t="array" ref="D342">MOD(ROW(), 3) + 1</f>
        <v>1</v>
      </c>
      <c r="F342" s="13">
        <f t="array" ref="F342">IFERROR(INDEX($B$1:$B$1109, SMALL(IF($D$1:$D$1109=$E$3,ROW($D$1:$D$1109)),ROW()-2),1),"")</f>
        <v>2.4</v>
      </c>
      <c r="G342" s="13">
        <f t="array" ref="G342">IFERROR(INDEX($C$1:$C$1109, SMALL(IF($D$1:$D$1109=$E$3,ROW($D$1:$D$1109)),ROW()-2),1),"")</f>
        <v>46.8</v>
      </c>
      <c r="H342" s="140">
        <f t="array" ref="H342">IFERROR(INDEX($B$1:$B$1109, SMALL(IF($D$1:$D$1109=$E$4,ROW($D$1:$D$1109)),ROW()-2),1),"")</f>
        <v>3.8</v>
      </c>
      <c r="I342" s="140">
        <f t="array" ref="I342">IFERROR(INDEX($C$1:$C$1109, SMALL(IF($D$1:$D$1109=$E$4,ROW($D$1:$D$1109)),ROW()-2),1),"")</f>
        <v>29.2986</v>
      </c>
      <c r="J342" s="10">
        <f t="array" ref="J342">IFERROR(INDEX($B$1:$B$1109, SMALL(IF($D$1:$D$1109=$E$5,ROW($D$1:$D$1109)),ROW()-2),1),"")</f>
        <v>4.3</v>
      </c>
      <c r="K342" s="10">
        <f t="array" ref="K342">IFERROR(INDEX($C$1:$C$1109, SMALL(IF($D$1:$D$1109=$E$5,ROW($D$1:$D$1109)),ROW()-2),1),"")</f>
        <v>24.1937</v>
      </c>
      <c r="R342" s="13">
        <v>2.4</v>
      </c>
      <c r="S342" s="13">
        <v>46.8</v>
      </c>
      <c r="T342" s="140">
        <v>3.8</v>
      </c>
      <c r="U342" s="140">
        <v>29.2986</v>
      </c>
      <c r="V342" s="10">
        <v>4.3</v>
      </c>
      <c r="W342" s="10">
        <v>24.1937</v>
      </c>
    </row>
    <row r="343" spans="1:23" ht="15.75">
      <c r="A343" s="64">
        <f t="shared" ca="1" si="5"/>
        <v>4.512525871491857E-2</v>
      </c>
      <c r="B343" s="74">
        <v>2.5</v>
      </c>
      <c r="C343" s="71">
        <v>42.699800000000003</v>
      </c>
      <c r="D343" s="132">
        <f t="array" ref="D343">MOD(ROW(), 3) + 1</f>
        <v>2</v>
      </c>
      <c r="F343" s="13">
        <f t="array" ref="F343">IFERROR(INDEX($B$1:$B$1109, SMALL(IF($D$1:$D$1109=$E$3,ROW($D$1:$D$1109)),ROW()-2),1),"")</f>
        <v>5.2</v>
      </c>
      <c r="G343" s="13">
        <f t="array" ref="G343">IFERROR(INDEX($C$1:$C$1109, SMALL(IF($D$1:$D$1109=$E$3,ROW($D$1:$D$1109)),ROW()-2),1),"")</f>
        <v>26.7</v>
      </c>
      <c r="H343" s="140">
        <f t="array" ref="H343">IFERROR(INDEX($B$1:$B$1109, SMALL(IF($D$1:$D$1109=$E$4,ROW($D$1:$D$1109)),ROW()-2),1),"")</f>
        <v>2.4</v>
      </c>
      <c r="I343" s="140">
        <f t="array" ref="I343">IFERROR(INDEX($C$1:$C$1109, SMALL(IF($D$1:$D$1109=$E$4,ROW($D$1:$D$1109)),ROW()-2),1),"")</f>
        <v>34.251300000000001</v>
      </c>
      <c r="J343" s="10">
        <f t="array" ref="J343">IFERROR(INDEX($B$1:$B$1109, SMALL(IF($D$1:$D$1109=$E$5,ROW($D$1:$D$1109)),ROW()-2),1),"")</f>
        <v>2.4</v>
      </c>
      <c r="K343" s="10">
        <f t="array" ref="K343">IFERROR(INDEX($C$1:$C$1109, SMALL(IF($D$1:$D$1109=$E$5,ROW($D$1:$D$1109)),ROW()-2),1),"")</f>
        <v>43.5</v>
      </c>
      <c r="R343" s="13">
        <v>5.2</v>
      </c>
      <c r="S343" s="13">
        <v>26.7</v>
      </c>
      <c r="T343" s="140">
        <v>2.4</v>
      </c>
      <c r="U343" s="140">
        <v>34.251300000000001</v>
      </c>
      <c r="V343" s="10">
        <v>2.4</v>
      </c>
      <c r="W343" s="10">
        <v>43.5</v>
      </c>
    </row>
    <row r="344" spans="1:23" ht="15.75">
      <c r="A344" s="64">
        <f t="shared" ca="1" si="5"/>
        <v>0.38298648140614577</v>
      </c>
      <c r="B344" s="74">
        <v>4.5</v>
      </c>
      <c r="C344" s="71">
        <v>24.349900000000002</v>
      </c>
      <c r="D344" s="132">
        <f t="array" ref="D344">MOD(ROW(), 3) + 1</f>
        <v>3</v>
      </c>
      <c r="F344" s="13">
        <f t="array" ref="F344">IFERROR(INDEX($B$1:$B$1109, SMALL(IF($D$1:$D$1109=$E$3,ROW($D$1:$D$1109)),ROW()-2),1),"")</f>
        <v>3</v>
      </c>
      <c r="G344" s="13">
        <f t="array" ref="G344">IFERROR(INDEX($C$1:$C$1109, SMALL(IF($D$1:$D$1109=$E$3,ROW($D$1:$D$1109)),ROW()-2),1),"")</f>
        <v>35.731099999999998</v>
      </c>
      <c r="H344" s="140">
        <f t="array" ref="H344">IFERROR(INDEX($B$1:$B$1109, SMALL(IF($D$1:$D$1109=$E$4,ROW($D$1:$D$1109)),ROW()-2),1),"")</f>
        <v>5.7</v>
      </c>
      <c r="I344" s="140">
        <f t="array" ref="I344">IFERROR(INDEX($C$1:$C$1109, SMALL(IF($D$1:$D$1109=$E$4,ROW($D$1:$D$1109)),ROW()-2),1),"")</f>
        <v>21.3</v>
      </c>
      <c r="J344" s="10">
        <f t="array" ref="J344">IFERROR(INDEX($B$1:$B$1109, SMALL(IF($D$1:$D$1109=$E$5,ROW($D$1:$D$1109)),ROW()-2),1),"")</f>
        <v>3.6</v>
      </c>
      <c r="K344" s="10">
        <f t="array" ref="K344">IFERROR(INDEX($C$1:$C$1109, SMALL(IF($D$1:$D$1109=$E$5,ROW($D$1:$D$1109)),ROW()-2),1),"")</f>
        <v>40</v>
      </c>
      <c r="R344" s="13">
        <v>3</v>
      </c>
      <c r="S344" s="13">
        <v>35.731099999999998</v>
      </c>
      <c r="T344" s="140">
        <v>5.7</v>
      </c>
      <c r="U344" s="140">
        <v>21.3</v>
      </c>
      <c r="V344" s="10">
        <v>3.6</v>
      </c>
      <c r="W344" s="10">
        <v>40</v>
      </c>
    </row>
    <row r="345" spans="1:23" ht="15.75">
      <c r="A345" s="64">
        <f t="shared" ca="1" si="5"/>
        <v>0.24290753310363888</v>
      </c>
      <c r="B345" s="74">
        <v>3.2</v>
      </c>
      <c r="C345" s="71">
        <v>36.4</v>
      </c>
      <c r="D345" s="132">
        <f t="array" ref="D345">MOD(ROW(), 3) + 1</f>
        <v>1</v>
      </c>
      <c r="F345" s="13">
        <f t="array" ref="F345">IFERROR(INDEX($B$1:$B$1109, SMALL(IF($D$1:$D$1109=$E$3,ROW($D$1:$D$1109)),ROW()-2),1),"")</f>
        <v>2.4</v>
      </c>
      <c r="G345" s="13">
        <f t="array" ref="G345">IFERROR(INDEX($C$1:$C$1109, SMALL(IF($D$1:$D$1109=$E$3,ROW($D$1:$D$1109)),ROW()-2),1),"")</f>
        <v>33.6</v>
      </c>
      <c r="H345" s="140">
        <f t="array" ref="H345">IFERROR(INDEX($B$1:$B$1109, SMALL(IF($D$1:$D$1109=$E$4,ROW($D$1:$D$1109)),ROW()-2),1),"")</f>
        <v>2</v>
      </c>
      <c r="I345" s="140">
        <f t="array" ref="I345">IFERROR(INDEX($C$1:$C$1109, SMALL(IF($D$1:$D$1109=$E$4,ROW($D$1:$D$1109)),ROW()-2),1),"")</f>
        <v>38.870199999999997</v>
      </c>
      <c r="J345" s="10">
        <f t="array" ref="J345">IFERROR(INDEX($B$1:$B$1109, SMALL(IF($D$1:$D$1109=$E$5,ROW($D$1:$D$1109)),ROW()-2),1),"")</f>
        <v>2.4</v>
      </c>
      <c r="K345" s="10">
        <f t="array" ref="K345">IFERROR(INDEX($C$1:$C$1109, SMALL(IF($D$1:$D$1109=$E$5,ROW($D$1:$D$1109)),ROW()-2),1),"")</f>
        <v>40.279600000000002</v>
      </c>
      <c r="R345" s="13">
        <v>2.4</v>
      </c>
      <c r="S345" s="13">
        <v>33.6</v>
      </c>
      <c r="T345" s="140">
        <v>2</v>
      </c>
      <c r="U345" s="140">
        <v>38.870199999999997</v>
      </c>
      <c r="V345" s="10">
        <v>2.4</v>
      </c>
      <c r="W345" s="10">
        <v>40.279600000000002</v>
      </c>
    </row>
    <row r="346" spans="1:23" ht="15.75">
      <c r="A346" s="64">
        <f t="shared" ca="1" si="5"/>
        <v>0.68531382172043021</v>
      </c>
      <c r="B346" s="74">
        <v>1.5</v>
      </c>
      <c r="C346" s="71">
        <v>49.3</v>
      </c>
      <c r="D346" s="132">
        <f t="array" ref="D346">MOD(ROW(), 3) + 1</f>
        <v>2</v>
      </c>
      <c r="F346" s="13">
        <f t="array" ref="F346">IFERROR(INDEX($B$1:$B$1109, SMALL(IF($D$1:$D$1109=$E$3,ROW($D$1:$D$1109)),ROW()-2),1),"")</f>
        <v>3.8</v>
      </c>
      <c r="G346" s="13">
        <f t="array" ref="G346">IFERROR(INDEX($C$1:$C$1109, SMALL(IF($D$1:$D$1109=$E$3,ROW($D$1:$D$1109)),ROW()-2),1),"")</f>
        <v>29.809899999999999</v>
      </c>
      <c r="H346" s="140">
        <f t="array" ref="H346">IFERROR(INDEX($B$1:$B$1109, SMALL(IF($D$1:$D$1109=$E$4,ROW($D$1:$D$1109)),ROW()-2),1),"")</f>
        <v>3.5</v>
      </c>
      <c r="I346" s="140">
        <f t="array" ref="I346">IFERROR(INDEX($C$1:$C$1109, SMALL(IF($D$1:$D$1109=$E$4,ROW($D$1:$D$1109)),ROW()-2),1),"")</f>
        <v>35.5</v>
      </c>
      <c r="J346" s="10">
        <f t="array" ref="J346">IFERROR(INDEX($B$1:$B$1109, SMALL(IF($D$1:$D$1109=$E$5,ROW($D$1:$D$1109)),ROW()-2),1),"")</f>
        <v>5.3</v>
      </c>
      <c r="K346" s="10">
        <f t="array" ref="K346">IFERROR(INDEX($C$1:$C$1109, SMALL(IF($D$1:$D$1109=$E$5,ROW($D$1:$D$1109)),ROW()-2),1),"")</f>
        <v>24.299900000000001</v>
      </c>
      <c r="R346" s="13">
        <v>3.8</v>
      </c>
      <c r="S346" s="13">
        <v>29.809899999999999</v>
      </c>
      <c r="T346" s="140">
        <v>3.5</v>
      </c>
      <c r="U346" s="140">
        <v>35.5</v>
      </c>
      <c r="V346" s="10">
        <v>5.3</v>
      </c>
      <c r="W346" s="10">
        <v>24.299900000000001</v>
      </c>
    </row>
    <row r="347" spans="1:23" ht="15.75">
      <c r="A347" s="64">
        <f t="shared" ca="1" si="5"/>
        <v>0.31452451500375722</v>
      </c>
      <c r="B347" s="74">
        <v>6</v>
      </c>
      <c r="C347" s="71">
        <v>30.5</v>
      </c>
      <c r="D347" s="132">
        <f t="array" ref="D347">MOD(ROW(), 3) + 1</f>
        <v>3</v>
      </c>
      <c r="F347" s="13">
        <f t="array" ref="F347">IFERROR(INDEX($B$1:$B$1109, SMALL(IF($D$1:$D$1109=$E$3,ROW($D$1:$D$1109)),ROW()-2),1),"")</f>
        <v>3.5</v>
      </c>
      <c r="G347" s="13">
        <f t="array" ref="G347">IFERROR(INDEX($C$1:$C$1109, SMALL(IF($D$1:$D$1109=$E$3,ROW($D$1:$D$1109)),ROW()-2),1),"")</f>
        <v>32.348999999999997</v>
      </c>
      <c r="H347" s="140">
        <f t="array" ref="H347">IFERROR(INDEX($B$1:$B$1109, SMALL(IF($D$1:$D$1109=$E$4,ROW($D$1:$D$1109)),ROW()-2),1),"")</f>
        <v>5.7</v>
      </c>
      <c r="I347" s="140">
        <f t="array" ref="I347">IFERROR(INDEX($C$1:$C$1109, SMALL(IF($D$1:$D$1109=$E$4,ROW($D$1:$D$1109)),ROW()-2),1),"")</f>
        <v>23.431799999999999</v>
      </c>
      <c r="J347" s="10">
        <f t="array" ref="J347">IFERROR(INDEX($B$1:$B$1109, SMALL(IF($D$1:$D$1109=$E$5,ROW($D$1:$D$1109)),ROW()-2),1),"")</f>
        <v>3.8</v>
      </c>
      <c r="K347" s="10">
        <f t="array" ref="K347">IFERROR(INDEX($C$1:$C$1109, SMALL(IF($D$1:$D$1109=$E$5,ROW($D$1:$D$1109)),ROW()-2),1),"")</f>
        <v>37.076900000000002</v>
      </c>
      <c r="R347" s="13">
        <v>3.5</v>
      </c>
      <c r="S347" s="13">
        <v>32.348999999999997</v>
      </c>
      <c r="T347" s="140">
        <v>5.7</v>
      </c>
      <c r="U347" s="140">
        <v>23.431799999999999</v>
      </c>
      <c r="V347" s="10">
        <v>3.8</v>
      </c>
      <c r="W347" s="10">
        <v>37.076900000000002</v>
      </c>
    </row>
    <row r="348" spans="1:23" ht="15.75">
      <c r="A348" s="64">
        <f t="shared" ca="1" si="5"/>
        <v>0.21736242398957195</v>
      </c>
      <c r="B348" s="74">
        <v>5.4</v>
      </c>
      <c r="C348" s="71">
        <v>23.898299999999999</v>
      </c>
      <c r="D348" s="132">
        <f t="array" ref="D348">MOD(ROW(), 3) + 1</f>
        <v>1</v>
      </c>
      <c r="F348" s="13">
        <f t="array" ref="F348">IFERROR(INDEX($B$1:$B$1109, SMALL(IF($D$1:$D$1109=$E$3,ROW($D$1:$D$1109)),ROW()-2),1),"")</f>
        <v>3.8</v>
      </c>
      <c r="G348" s="13">
        <f t="array" ref="G348">IFERROR(INDEX($C$1:$C$1109, SMALL(IF($D$1:$D$1109=$E$3,ROW($D$1:$D$1109)),ROW()-2),1),"")</f>
        <v>34.6</v>
      </c>
      <c r="H348" s="140">
        <f t="array" ref="H348">IFERROR(INDEX($B$1:$B$1109, SMALL(IF($D$1:$D$1109=$E$4,ROW($D$1:$D$1109)),ROW()-2),1),"")</f>
        <v>2.4</v>
      </c>
      <c r="I348" s="140">
        <f t="array" ref="I348">IFERROR(INDEX($C$1:$C$1109, SMALL(IF($D$1:$D$1109=$E$4,ROW($D$1:$D$1109)),ROW()-2),1),"")</f>
        <v>38.6</v>
      </c>
      <c r="J348" s="10">
        <f t="array" ref="J348">IFERROR(INDEX($B$1:$B$1109, SMALL(IF($D$1:$D$1109=$E$5,ROW($D$1:$D$1109)),ROW()-2),1),"")</f>
        <v>3.5</v>
      </c>
      <c r="K348" s="10">
        <f t="array" ref="K348">IFERROR(INDEX($C$1:$C$1109, SMALL(IF($D$1:$D$1109=$E$5,ROW($D$1:$D$1109)),ROW()-2),1),"")</f>
        <v>37.6</v>
      </c>
      <c r="R348" s="13">
        <v>3.8</v>
      </c>
      <c r="S348" s="13">
        <v>34.6</v>
      </c>
      <c r="T348" s="140">
        <v>2.4</v>
      </c>
      <c r="U348" s="140">
        <v>38.6</v>
      </c>
      <c r="V348" s="10">
        <v>3.5</v>
      </c>
      <c r="W348" s="10">
        <v>37.6</v>
      </c>
    </row>
    <row r="349" spans="1:23" ht="15.75">
      <c r="A349" s="64">
        <f t="shared" ca="1" si="5"/>
        <v>3.3499782924477861E-2</v>
      </c>
      <c r="B349" s="74">
        <v>3.6</v>
      </c>
      <c r="C349" s="71">
        <v>35.242699999999999</v>
      </c>
      <c r="D349" s="132">
        <f t="array" ref="D349">MOD(ROW(), 3) + 1</f>
        <v>2</v>
      </c>
      <c r="F349" s="13">
        <f t="array" ref="F349">IFERROR(INDEX($B$1:$B$1109, SMALL(IF($D$1:$D$1109=$E$3,ROW($D$1:$D$1109)),ROW()-2),1),"")</f>
        <v>2.5</v>
      </c>
      <c r="G349" s="13">
        <f t="array" ref="G349">IFERROR(INDEX($C$1:$C$1109, SMALL(IF($D$1:$D$1109=$E$3,ROW($D$1:$D$1109)),ROW()-2),1),"")</f>
        <v>37.9</v>
      </c>
      <c r="H349" s="140">
        <f t="array" ref="H349">IFERROR(INDEX($B$1:$B$1109, SMALL(IF($D$1:$D$1109=$E$4,ROW($D$1:$D$1109)),ROW()-2),1),"")</f>
        <v>4.4000000000000004</v>
      </c>
      <c r="I349" s="140">
        <f t="array" ref="I349">IFERROR(INDEX($C$1:$C$1109, SMALL(IF($D$1:$D$1109=$E$4,ROW($D$1:$D$1109)),ROW()-2),1),"")</f>
        <v>23.152100000000001</v>
      </c>
      <c r="J349" s="10">
        <f t="array" ref="J349">IFERROR(INDEX($B$1:$B$1109, SMALL(IF($D$1:$D$1109=$E$5,ROW($D$1:$D$1109)),ROW()-2),1),"")</f>
        <v>2</v>
      </c>
      <c r="K349" s="10">
        <f t="array" ref="K349">IFERROR(INDEX($C$1:$C$1109, SMALL(IF($D$1:$D$1109=$E$5,ROW($D$1:$D$1109)),ROW()-2),1),"")</f>
        <v>41.521000000000001</v>
      </c>
      <c r="R349" s="13">
        <v>2.5</v>
      </c>
      <c r="S349" s="13">
        <v>37.9</v>
      </c>
      <c r="T349" s="140">
        <v>4.4000000000000004</v>
      </c>
      <c r="U349" s="140">
        <v>23.152100000000001</v>
      </c>
      <c r="V349" s="10">
        <v>2</v>
      </c>
      <c r="W349" s="10">
        <v>41.521000000000001</v>
      </c>
    </row>
    <row r="350" spans="1:23" ht="15.75">
      <c r="A350" s="64">
        <f t="shared" ca="1" si="5"/>
        <v>0.16139849516267857</v>
      </c>
      <c r="B350" s="74">
        <v>3</v>
      </c>
      <c r="C350" s="71">
        <v>38.7896</v>
      </c>
      <c r="D350" s="132">
        <f t="array" ref="D350">MOD(ROW(), 3) + 1</f>
        <v>3</v>
      </c>
      <c r="F350" s="13">
        <f t="array" ref="F350">IFERROR(INDEX($B$1:$B$1109, SMALL(IF($D$1:$D$1109=$E$3,ROW($D$1:$D$1109)),ROW()-2),1),"")</f>
        <v>3.8</v>
      </c>
      <c r="G350" s="13">
        <f t="array" ref="G350">IFERROR(INDEX($C$1:$C$1109, SMALL(IF($D$1:$D$1109=$E$3,ROW($D$1:$D$1109)),ROW()-2),1),"")</f>
        <v>33.848199999999999</v>
      </c>
      <c r="H350" s="140">
        <f t="array" ref="H350">IFERROR(INDEX($B$1:$B$1109, SMALL(IF($D$1:$D$1109=$E$4,ROW($D$1:$D$1109)),ROW()-2),1),"")</f>
        <v>3</v>
      </c>
      <c r="I350" s="140">
        <f t="array" ref="I350">IFERROR(INDEX($C$1:$C$1109, SMALL(IF($D$1:$D$1109=$E$4,ROW($D$1:$D$1109)),ROW()-2),1),"")</f>
        <v>31.3917</v>
      </c>
      <c r="J350" s="10">
        <f t="array" ref="J350">IFERROR(INDEX($B$1:$B$1109, SMALL(IF($D$1:$D$1109=$E$5,ROW($D$1:$D$1109)),ROW()-2),1),"")</f>
        <v>3.8</v>
      </c>
      <c r="K350" s="10">
        <f t="array" ref="K350">IFERROR(INDEX($C$1:$C$1109, SMALL(IF($D$1:$D$1109=$E$5,ROW($D$1:$D$1109)),ROW()-2),1),"")</f>
        <v>36.4</v>
      </c>
      <c r="R350" s="13">
        <v>3.8</v>
      </c>
      <c r="S350" s="13">
        <v>33.848199999999999</v>
      </c>
      <c r="T350" s="140">
        <v>3</v>
      </c>
      <c r="U350" s="140">
        <v>31.3917</v>
      </c>
      <c r="V350" s="10">
        <v>3.8</v>
      </c>
      <c r="W350" s="10">
        <v>36.4</v>
      </c>
    </row>
    <row r="351" spans="1:23" ht="15.75">
      <c r="A351" s="64">
        <f t="shared" ca="1" si="5"/>
        <v>0.83103477820872029</v>
      </c>
      <c r="B351" s="74">
        <v>3</v>
      </c>
      <c r="C351" s="71">
        <v>36.1</v>
      </c>
      <c r="D351" s="132">
        <f t="array" ref="D351">MOD(ROW(), 3) + 1</f>
        <v>1</v>
      </c>
      <c r="F351" s="13">
        <f t="array" ref="F351">IFERROR(INDEX($B$1:$B$1109, SMALL(IF($D$1:$D$1109=$E$3,ROW($D$1:$D$1109)),ROW()-2),1),"")</f>
        <v>3.7</v>
      </c>
      <c r="G351" s="13">
        <f t="array" ref="G351">IFERROR(INDEX($C$1:$C$1109, SMALL(IF($D$1:$D$1109=$E$3,ROW($D$1:$D$1109)),ROW()-2),1),"")</f>
        <v>29.799900000000001</v>
      </c>
      <c r="H351" s="140">
        <f t="array" ref="H351">IFERROR(INDEX($B$1:$B$1109, SMALL(IF($D$1:$D$1109=$E$4,ROW($D$1:$D$1109)),ROW()-2),1),"")</f>
        <v>1.8</v>
      </c>
      <c r="I351" s="140">
        <f t="array" ref="I351">IFERROR(INDEX($C$1:$C$1109, SMALL(IF($D$1:$D$1109=$E$4,ROW($D$1:$D$1109)),ROW()-2),1),"")</f>
        <v>44.9</v>
      </c>
      <c r="J351" s="10">
        <f t="array" ref="J351">IFERROR(INDEX($B$1:$B$1109, SMALL(IF($D$1:$D$1109=$E$5,ROW($D$1:$D$1109)),ROW()-2),1),"")</f>
        <v>2</v>
      </c>
      <c r="K351" s="10">
        <f t="array" ref="K351">IFERROR(INDEX($C$1:$C$1109, SMALL(IF($D$1:$D$1109=$E$5,ROW($D$1:$D$1109)),ROW()-2),1),"")</f>
        <v>42</v>
      </c>
      <c r="R351" s="13">
        <v>3.7</v>
      </c>
      <c r="S351" s="13">
        <v>29.799900000000001</v>
      </c>
      <c r="T351" s="140">
        <v>1.8</v>
      </c>
      <c r="U351" s="140">
        <v>44.9</v>
      </c>
      <c r="V351" s="10">
        <v>2</v>
      </c>
      <c r="W351" s="10">
        <v>42</v>
      </c>
    </row>
    <row r="352" spans="1:23" ht="15.75">
      <c r="A352" s="64">
        <f t="shared" ca="1" si="5"/>
        <v>0.21228983017456415</v>
      </c>
      <c r="B352" s="74">
        <v>2</v>
      </c>
      <c r="C352" s="71">
        <v>58.534999999999997</v>
      </c>
      <c r="D352" s="132">
        <f t="array" ref="D352">MOD(ROW(), 3) + 1</f>
        <v>2</v>
      </c>
      <c r="F352" s="13">
        <f t="array" ref="F352">IFERROR(INDEX($B$1:$B$1109, SMALL(IF($D$1:$D$1109=$E$3,ROW($D$1:$D$1109)),ROW()-2),1),"")</f>
        <v>3.8</v>
      </c>
      <c r="G352" s="13">
        <f t="array" ref="G352">IFERROR(INDEX($C$1:$C$1109, SMALL(IF($D$1:$D$1109=$E$3,ROW($D$1:$D$1109)),ROW()-2),1),"")</f>
        <v>33.848199999999999</v>
      </c>
      <c r="H352" s="140">
        <f t="array" ref="H352">IFERROR(INDEX($B$1:$B$1109, SMALL(IF($D$1:$D$1109=$E$4,ROW($D$1:$D$1109)),ROW()-2),1),"")</f>
        <v>5</v>
      </c>
      <c r="I352" s="140">
        <f t="array" ref="I352">IFERROR(INDEX($C$1:$C$1109, SMALL(IF($D$1:$D$1109=$E$4,ROW($D$1:$D$1109)),ROW()-2),1),"")</f>
        <v>32.880800000000001</v>
      </c>
      <c r="J352" s="10">
        <f t="array" ref="J352">IFERROR(INDEX($B$1:$B$1109, SMALL(IF($D$1:$D$1109=$E$5,ROW($D$1:$D$1109)),ROW()-2),1),"")</f>
        <v>3.7</v>
      </c>
      <c r="K352" s="10">
        <f t="array" ref="K352">IFERROR(INDEX($C$1:$C$1109, SMALL(IF($D$1:$D$1109=$E$5,ROW($D$1:$D$1109)),ROW()-2),1),"")</f>
        <v>32.974800000000002</v>
      </c>
      <c r="R352" s="13">
        <v>3.8</v>
      </c>
      <c r="S352" s="13">
        <v>33.848199999999999</v>
      </c>
      <c r="T352" s="140">
        <v>5</v>
      </c>
      <c r="U352" s="140">
        <v>32.880800000000001</v>
      </c>
      <c r="V352" s="10">
        <v>3.7</v>
      </c>
      <c r="W352" s="10">
        <v>32.974800000000002</v>
      </c>
    </row>
    <row r="353" spans="1:23" ht="15.75">
      <c r="A353" s="64">
        <f t="shared" ca="1" si="5"/>
        <v>0.59367394480564917</v>
      </c>
      <c r="B353" s="74">
        <v>3</v>
      </c>
      <c r="C353" s="71">
        <v>33.1</v>
      </c>
      <c r="D353" s="132">
        <f t="array" ref="D353">MOD(ROW(), 3) + 1</f>
        <v>3</v>
      </c>
      <c r="F353" s="13">
        <f t="array" ref="F353">IFERROR(INDEX($B$1:$B$1109, SMALL(IF($D$1:$D$1109=$E$3,ROW($D$1:$D$1109)),ROW()-2),1),"")</f>
        <v>3.5</v>
      </c>
      <c r="G353" s="13">
        <f t="array" ref="G353">IFERROR(INDEX($C$1:$C$1109, SMALL(IF($D$1:$D$1109=$E$3,ROW($D$1:$D$1109)),ROW()-2),1),"")</f>
        <v>33.793700000000001</v>
      </c>
      <c r="H353" s="140">
        <f t="array" ref="H353">IFERROR(INDEX($B$1:$B$1109, SMALL(IF($D$1:$D$1109=$E$4,ROW($D$1:$D$1109)),ROW()-2),1),"")</f>
        <v>3.5</v>
      </c>
      <c r="I353" s="140">
        <f t="array" ref="I353">IFERROR(INDEX($C$1:$C$1109, SMALL(IF($D$1:$D$1109=$E$4,ROW($D$1:$D$1109)),ROW()-2),1),"")</f>
        <v>37.962800000000001</v>
      </c>
      <c r="J353" s="10">
        <f t="array" ref="J353">IFERROR(INDEX($B$1:$B$1109, SMALL(IF($D$1:$D$1109=$E$5,ROW($D$1:$D$1109)),ROW()-2),1),"")</f>
        <v>3</v>
      </c>
      <c r="K353" s="10">
        <f t="array" ref="K353">IFERROR(INDEX($C$1:$C$1109, SMALL(IF($D$1:$D$1109=$E$5,ROW($D$1:$D$1109)),ROW()-2),1),"")</f>
        <v>32.5289</v>
      </c>
      <c r="R353" s="13">
        <v>3.5</v>
      </c>
      <c r="S353" s="13">
        <v>33.793700000000001</v>
      </c>
      <c r="T353" s="140">
        <v>3.5</v>
      </c>
      <c r="U353" s="140">
        <v>37.962800000000001</v>
      </c>
      <c r="V353" s="10">
        <v>3</v>
      </c>
      <c r="W353" s="10">
        <v>32.5289</v>
      </c>
    </row>
    <row r="354" spans="1:23" ht="15.75">
      <c r="A354" s="64">
        <f t="shared" ca="1" si="5"/>
        <v>0.94647969371572516</v>
      </c>
      <c r="B354" s="74">
        <v>6</v>
      </c>
      <c r="C354" s="71">
        <v>21.7</v>
      </c>
      <c r="D354" s="132">
        <f t="array" ref="D354">MOD(ROW(), 3) + 1</f>
        <v>1</v>
      </c>
      <c r="F354" s="13">
        <f t="array" ref="F354">IFERROR(INDEX($B$1:$B$1109, SMALL(IF($D$1:$D$1109=$E$3,ROW($D$1:$D$1109)),ROW()-2),1),"")</f>
        <v>3.7</v>
      </c>
      <c r="G354" s="13">
        <f t="array" ref="G354">IFERROR(INDEX($C$1:$C$1109, SMALL(IF($D$1:$D$1109=$E$3,ROW($D$1:$D$1109)),ROW()-2),1),"")</f>
        <v>29.799900000000001</v>
      </c>
      <c r="H354" s="140">
        <f t="array" ref="H354">IFERROR(INDEX($B$1:$B$1109, SMALL(IF($D$1:$D$1109=$E$4,ROW($D$1:$D$1109)),ROW()-2),1),"")</f>
        <v>2</v>
      </c>
      <c r="I354" s="140">
        <f t="array" ref="I354">IFERROR(INDEX($C$1:$C$1109, SMALL(IF($D$1:$D$1109=$E$4,ROW($D$1:$D$1109)),ROW()-2),1),"")</f>
        <v>45.190100000000001</v>
      </c>
      <c r="J354" s="10">
        <f t="array" ref="J354">IFERROR(INDEX($B$1:$B$1109, SMALL(IF($D$1:$D$1109=$E$5,ROW($D$1:$D$1109)),ROW()-2),1),"")</f>
        <v>3.7</v>
      </c>
      <c r="K354" s="10">
        <f t="array" ref="K354">IFERROR(INDEX($C$1:$C$1109, SMALL(IF($D$1:$D$1109=$E$5,ROW($D$1:$D$1109)),ROW()-2),1),"")</f>
        <v>24.4</v>
      </c>
      <c r="R354" s="13">
        <v>3.7</v>
      </c>
      <c r="S354" s="13">
        <v>29.799900000000001</v>
      </c>
      <c r="T354" s="140">
        <v>2</v>
      </c>
      <c r="U354" s="140">
        <v>45.190100000000001</v>
      </c>
      <c r="V354" s="10">
        <v>3.7</v>
      </c>
      <c r="W354" s="10">
        <v>24.4</v>
      </c>
    </row>
    <row r="355" spans="1:23" ht="15.75">
      <c r="A355" s="64">
        <f t="shared" ca="1" si="5"/>
        <v>0.66557953458524666</v>
      </c>
      <c r="B355" s="74">
        <v>1.6</v>
      </c>
      <c r="C355" s="71">
        <v>47.7592</v>
      </c>
      <c r="D355" s="132">
        <f t="array" ref="D355">MOD(ROW(), 3) + 1</f>
        <v>2</v>
      </c>
      <c r="F355" s="13">
        <f t="array" ref="F355">IFERROR(INDEX($B$1:$B$1109, SMALL(IF($D$1:$D$1109=$E$3,ROW($D$1:$D$1109)),ROW()-2),1),"")</f>
        <v>3.5</v>
      </c>
      <c r="G355" s="13">
        <f t="array" ref="G355">IFERROR(INDEX($C$1:$C$1109, SMALL(IF($D$1:$D$1109=$E$3,ROW($D$1:$D$1109)),ROW()-2),1),"")</f>
        <v>28.7</v>
      </c>
      <c r="H355" s="140">
        <f t="array" ref="H355">IFERROR(INDEX($B$1:$B$1109, SMALL(IF($D$1:$D$1109=$E$4,ROW($D$1:$D$1109)),ROW()-2),1),"")</f>
        <v>3.6</v>
      </c>
      <c r="I355" s="140">
        <f t="array" ref="I355">IFERROR(INDEX($C$1:$C$1109, SMALL(IF($D$1:$D$1109=$E$4,ROW($D$1:$D$1109)),ROW()-2),1),"")</f>
        <v>35.6</v>
      </c>
      <c r="J355" s="10">
        <f t="array" ref="J355">IFERROR(INDEX($B$1:$B$1109, SMALL(IF($D$1:$D$1109=$E$5,ROW($D$1:$D$1109)),ROW()-2),1),"")</f>
        <v>3.3</v>
      </c>
      <c r="K355" s="10">
        <f t="array" ref="K355">IFERROR(INDEX($C$1:$C$1109, SMALL(IF($D$1:$D$1109=$E$5,ROW($D$1:$D$1109)),ROW()-2),1),"")</f>
        <v>40.1</v>
      </c>
      <c r="R355" s="13">
        <v>3.5</v>
      </c>
      <c r="S355" s="13">
        <v>28.7</v>
      </c>
      <c r="T355" s="140">
        <v>3.6</v>
      </c>
      <c r="U355" s="140">
        <v>35.6</v>
      </c>
      <c r="V355" s="10">
        <v>3.3</v>
      </c>
      <c r="W355" s="10">
        <v>40.1</v>
      </c>
    </row>
    <row r="356" spans="1:23" ht="15.75">
      <c r="A356" s="64">
        <f t="shared" ca="1" si="5"/>
        <v>0.43279519258069155</v>
      </c>
      <c r="B356" s="74">
        <v>5</v>
      </c>
      <c r="C356" s="71">
        <v>29.7559</v>
      </c>
      <c r="D356" s="132">
        <f t="array" ref="D356">MOD(ROW(), 3) + 1</f>
        <v>3</v>
      </c>
      <c r="F356" s="13">
        <f t="array" ref="F356">IFERROR(INDEX($B$1:$B$1109, SMALL(IF($D$1:$D$1109=$E$3,ROW($D$1:$D$1109)),ROW()-2),1),"")</f>
        <v>3.7</v>
      </c>
      <c r="G356" s="13">
        <f t="array" ref="G356">IFERROR(INDEX($C$1:$C$1109, SMALL(IF($D$1:$D$1109=$E$3,ROW($D$1:$D$1109)),ROW()-2),1),"")</f>
        <v>34.9</v>
      </c>
      <c r="H356" s="140">
        <f t="array" ref="H356">IFERROR(INDEX($B$1:$B$1109, SMALL(IF($D$1:$D$1109=$E$4,ROW($D$1:$D$1109)),ROW()-2),1),"")</f>
        <v>4.5999999999999996</v>
      </c>
      <c r="I356" s="140">
        <f t="array" ref="I356">IFERROR(INDEX($C$1:$C$1109, SMALL(IF($D$1:$D$1109=$E$4,ROW($D$1:$D$1109)),ROW()-2),1),"")</f>
        <v>29</v>
      </c>
      <c r="J356" s="10">
        <f t="array" ref="J356">IFERROR(INDEX($B$1:$B$1109, SMALL(IF($D$1:$D$1109=$E$5,ROW($D$1:$D$1109)),ROW()-2),1),"")</f>
        <v>4.5999999999999996</v>
      </c>
      <c r="K356" s="10">
        <f t="array" ref="K356">IFERROR(INDEX($C$1:$C$1109, SMALL(IF($D$1:$D$1109=$E$5,ROW($D$1:$D$1109)),ROW()-2),1),"")</f>
        <v>24.5</v>
      </c>
      <c r="R356" s="13">
        <v>3.7</v>
      </c>
      <c r="S356" s="13">
        <v>34.9</v>
      </c>
      <c r="T356" s="140">
        <v>4.5999999999999996</v>
      </c>
      <c r="U356" s="140">
        <v>29</v>
      </c>
      <c r="V356" s="10">
        <v>4.5999999999999996</v>
      </c>
      <c r="W356" s="10">
        <v>24.5</v>
      </c>
    </row>
    <row r="357" spans="1:23" ht="15.75">
      <c r="A357" s="64">
        <f t="shared" ca="1" si="5"/>
        <v>0.62532322804220553</v>
      </c>
      <c r="B357" s="74">
        <v>2.5</v>
      </c>
      <c r="C357" s="71">
        <v>46.8</v>
      </c>
      <c r="D357" s="132">
        <f t="array" ref="D357">MOD(ROW(), 3) + 1</f>
        <v>1</v>
      </c>
      <c r="F357" s="13">
        <f t="array" ref="F357">IFERROR(INDEX($B$1:$B$1109, SMALL(IF($D$1:$D$1109=$E$3,ROW($D$1:$D$1109)),ROW()-2),1),"")</f>
        <v>5</v>
      </c>
      <c r="G357" s="13">
        <f t="array" ref="G357">IFERROR(INDEX($C$1:$C$1109, SMALL(IF($D$1:$D$1109=$E$3,ROW($D$1:$D$1109)),ROW()-2),1),"")</f>
        <v>32.670099999999998</v>
      </c>
      <c r="H357" s="140">
        <f t="array" ref="H357">IFERROR(INDEX($B$1:$B$1109, SMALL(IF($D$1:$D$1109=$E$4,ROW($D$1:$D$1109)),ROW()-2),1),"")</f>
        <v>2.8</v>
      </c>
      <c r="I357" s="140">
        <f t="array" ref="I357">IFERROR(INDEX($C$1:$C$1109, SMALL(IF($D$1:$D$1109=$E$4,ROW($D$1:$D$1109)),ROW()-2),1),"")</f>
        <v>30.299299999999999</v>
      </c>
      <c r="J357" s="10">
        <f t="array" ref="J357">IFERROR(INDEX($B$1:$B$1109, SMALL(IF($D$1:$D$1109=$E$5,ROW($D$1:$D$1109)),ROW()-2),1),"")</f>
        <v>3.6</v>
      </c>
      <c r="K357" s="10">
        <f t="array" ref="K357">IFERROR(INDEX($C$1:$C$1109, SMALL(IF($D$1:$D$1109=$E$5,ROW($D$1:$D$1109)),ROW()-2),1),"")</f>
        <v>35.6</v>
      </c>
      <c r="R357" s="13">
        <v>5</v>
      </c>
      <c r="S357" s="13">
        <v>32.670099999999998</v>
      </c>
      <c r="T357" s="140">
        <v>2.8</v>
      </c>
      <c r="U357" s="140">
        <v>30.299299999999999</v>
      </c>
      <c r="V357" s="10">
        <v>3.6</v>
      </c>
      <c r="W357" s="10">
        <v>35.6</v>
      </c>
    </row>
    <row r="358" spans="1:23" ht="15.75">
      <c r="A358" s="64">
        <f t="shared" ca="1" si="5"/>
        <v>7.4892797266819966E-2</v>
      </c>
      <c r="B358" s="74">
        <v>3.2</v>
      </c>
      <c r="C358" s="71">
        <v>30.7</v>
      </c>
      <c r="D358" s="132">
        <f t="array" ref="D358">MOD(ROW(), 3) + 1</f>
        <v>2</v>
      </c>
      <c r="F358" s="13">
        <f t="array" ref="F358">IFERROR(INDEX($B$1:$B$1109, SMALL(IF($D$1:$D$1109=$E$3,ROW($D$1:$D$1109)),ROW()-2),1),"")</f>
        <v>5.7</v>
      </c>
      <c r="G358" s="13">
        <f t="array" ref="G358">IFERROR(INDEX($C$1:$C$1109, SMALL(IF($D$1:$D$1109=$E$3,ROW($D$1:$D$1109)),ROW()-2),1),"")</f>
        <v>27.1</v>
      </c>
      <c r="H358" s="140">
        <f t="array" ref="H358">IFERROR(INDEX($B$1:$B$1109, SMALL(IF($D$1:$D$1109=$E$4,ROW($D$1:$D$1109)),ROW()-2),1),"")</f>
        <v>2.4</v>
      </c>
      <c r="I358" s="140">
        <f t="array" ref="I358">IFERROR(INDEX($C$1:$C$1109, SMALL(IF($D$1:$D$1109=$E$4,ROW($D$1:$D$1109)),ROW()-2),1),"")</f>
        <v>40.1</v>
      </c>
      <c r="J358" s="10">
        <f t="array" ref="J358">IFERROR(INDEX($B$1:$B$1109, SMALL(IF($D$1:$D$1109=$E$5,ROW($D$1:$D$1109)),ROW()-2),1),"")</f>
        <v>1.8</v>
      </c>
      <c r="K358" s="10">
        <f t="array" ref="K358">IFERROR(INDEX($C$1:$C$1109, SMALL(IF($D$1:$D$1109=$E$5,ROW($D$1:$D$1109)),ROW()-2),1),"")</f>
        <v>48.4</v>
      </c>
      <c r="R358" s="13">
        <v>5.7</v>
      </c>
      <c r="S358" s="13">
        <v>27.1</v>
      </c>
      <c r="T358" s="140">
        <v>2.4</v>
      </c>
      <c r="U358" s="140">
        <v>40.1</v>
      </c>
      <c r="V358" s="10">
        <v>1.8</v>
      </c>
      <c r="W358" s="10">
        <v>48.4</v>
      </c>
    </row>
    <row r="359" spans="1:23" ht="15.75">
      <c r="A359" s="64">
        <f t="shared" ca="1" si="5"/>
        <v>0.54086155711031303</v>
      </c>
      <c r="B359" s="74">
        <v>2.5</v>
      </c>
      <c r="C359" s="71">
        <v>37.070999999999998</v>
      </c>
      <c r="D359" s="132">
        <f t="array" ref="D359">MOD(ROW(), 3) + 1</f>
        <v>3</v>
      </c>
      <c r="F359" s="13">
        <f t="array" ref="F359">IFERROR(INDEX($B$1:$B$1109, SMALL(IF($D$1:$D$1109=$E$3,ROW($D$1:$D$1109)),ROW()-2),1),"")</f>
        <v>3.5</v>
      </c>
      <c r="G359" s="13">
        <f t="array" ref="G359">IFERROR(INDEX($C$1:$C$1109, SMALL(IF($D$1:$D$1109=$E$3,ROW($D$1:$D$1109)),ROW()-2),1),"")</f>
        <v>39.0959</v>
      </c>
      <c r="H359" s="140">
        <f t="array" ref="H359">IFERROR(INDEX($B$1:$B$1109, SMALL(IF($D$1:$D$1109=$E$4,ROW($D$1:$D$1109)),ROW()-2),1),"")</f>
        <v>3.5</v>
      </c>
      <c r="I359" s="140">
        <f t="array" ref="I359">IFERROR(INDEX($C$1:$C$1109, SMALL(IF($D$1:$D$1109=$E$4,ROW($D$1:$D$1109)),ROW()-2),1),"")</f>
        <v>33.200000000000003</v>
      </c>
      <c r="J359" s="10">
        <f t="array" ref="J359">IFERROR(INDEX($B$1:$B$1109, SMALL(IF($D$1:$D$1109=$E$5,ROW($D$1:$D$1109)),ROW()-2),1),"")</f>
        <v>6.1</v>
      </c>
      <c r="K359" s="10">
        <f t="array" ref="K359">IFERROR(INDEX($C$1:$C$1109, SMALL(IF($D$1:$D$1109=$E$5,ROW($D$1:$D$1109)),ROW()-2),1),"")</f>
        <v>26</v>
      </c>
      <c r="R359" s="13">
        <v>3.5</v>
      </c>
      <c r="S359" s="13">
        <v>39.0959</v>
      </c>
      <c r="T359" s="140">
        <v>3.5</v>
      </c>
      <c r="U359" s="140">
        <v>33.200000000000003</v>
      </c>
      <c r="V359" s="10">
        <v>6.1</v>
      </c>
      <c r="W359" s="10">
        <v>26</v>
      </c>
    </row>
    <row r="360" spans="1:23" ht="15.75">
      <c r="A360" s="64">
        <f t="shared" ca="1" si="5"/>
        <v>0.60676068179026821</v>
      </c>
      <c r="B360" s="74">
        <v>2</v>
      </c>
      <c r="C360" s="71">
        <v>40.239699999999999</v>
      </c>
      <c r="D360" s="132">
        <f t="array" ref="D360">MOD(ROW(), 3) + 1</f>
        <v>1</v>
      </c>
      <c r="F360" s="13">
        <f t="array" ref="F360">IFERROR(INDEX($B$1:$B$1109, SMALL(IF($D$1:$D$1109=$E$3,ROW($D$1:$D$1109)),ROW()-2),1),"")</f>
        <v>4.5999999999999996</v>
      </c>
      <c r="G360" s="13">
        <f t="array" ref="G360">IFERROR(INDEX($C$1:$C$1109, SMALL(IF($D$1:$D$1109=$E$3,ROW($D$1:$D$1109)),ROW()-2),1),"")</f>
        <v>33.305199999999999</v>
      </c>
      <c r="H360" s="140">
        <f t="array" ref="H360">IFERROR(INDEX($B$1:$B$1109, SMALL(IF($D$1:$D$1109=$E$4,ROW($D$1:$D$1109)),ROW()-2),1),"")</f>
        <v>3.5</v>
      </c>
      <c r="I360" s="140">
        <f t="array" ref="I360">IFERROR(INDEX($C$1:$C$1109, SMALL(IF($D$1:$D$1109=$E$4,ROW($D$1:$D$1109)),ROW()-2),1),"")</f>
        <v>37.4</v>
      </c>
      <c r="J360" s="10">
        <f t="array" ref="J360">IFERROR(INDEX($B$1:$B$1109, SMALL(IF($D$1:$D$1109=$E$5,ROW($D$1:$D$1109)),ROW()-2),1),"")</f>
        <v>5</v>
      </c>
      <c r="K360" s="10">
        <f t="array" ref="K360">IFERROR(INDEX($C$1:$C$1109, SMALL(IF($D$1:$D$1109=$E$5,ROW($D$1:$D$1109)),ROW()-2),1),"")</f>
        <v>27.251100000000001</v>
      </c>
      <c r="R360" s="13">
        <v>4.5999999999999996</v>
      </c>
      <c r="S360" s="13">
        <v>33.305199999999999</v>
      </c>
      <c r="T360" s="140">
        <v>3.5</v>
      </c>
      <c r="U360" s="140">
        <v>37.4</v>
      </c>
      <c r="V360" s="10">
        <v>5</v>
      </c>
      <c r="W360" s="10">
        <v>27.251100000000001</v>
      </c>
    </row>
    <row r="361" spans="1:23" ht="15.75">
      <c r="A361" s="64">
        <f t="shared" ca="1" si="5"/>
        <v>0.63572595183012626</v>
      </c>
      <c r="B361" s="74">
        <v>3</v>
      </c>
      <c r="C361" s="71">
        <v>36</v>
      </c>
      <c r="D361" s="132">
        <f t="array" ref="D361">MOD(ROW(), 3) + 1</f>
        <v>2</v>
      </c>
      <c r="F361" s="13">
        <f t="array" ref="F361">IFERROR(INDEX($B$1:$B$1109, SMALL(IF($D$1:$D$1109=$E$3,ROW($D$1:$D$1109)),ROW()-2),1),"")</f>
        <v>4</v>
      </c>
      <c r="G361" s="13">
        <f t="array" ref="G361">IFERROR(INDEX($C$1:$C$1109, SMALL(IF($D$1:$D$1109=$E$3,ROW($D$1:$D$1109)),ROW()-2),1),"")</f>
        <v>27.566500000000001</v>
      </c>
      <c r="H361" s="140">
        <f t="array" ref="H361">IFERROR(INDEX($B$1:$B$1109, SMALL(IF($D$1:$D$1109=$E$4,ROW($D$1:$D$1109)),ROW()-2),1),"")</f>
        <v>3.6</v>
      </c>
      <c r="I361" s="140">
        <f t="array" ref="I361">IFERROR(INDEX($C$1:$C$1109, SMALL(IF($D$1:$D$1109=$E$4,ROW($D$1:$D$1109)),ROW()-2),1),"")</f>
        <v>26.1066</v>
      </c>
      <c r="J361" s="10">
        <f t="array" ref="J361">IFERROR(INDEX($B$1:$B$1109, SMALL(IF($D$1:$D$1109=$E$5,ROW($D$1:$D$1109)),ROW()-2),1),"")</f>
        <v>3.7</v>
      </c>
      <c r="K361" s="10">
        <f t="array" ref="K361">IFERROR(INDEX($C$1:$C$1109, SMALL(IF($D$1:$D$1109=$E$5,ROW($D$1:$D$1109)),ROW()-2),1),"")</f>
        <v>25.2</v>
      </c>
      <c r="R361" s="13">
        <v>4</v>
      </c>
      <c r="S361" s="13">
        <v>27.566500000000001</v>
      </c>
      <c r="T361" s="140">
        <v>3.6</v>
      </c>
      <c r="U361" s="140">
        <v>26.1066</v>
      </c>
      <c r="V361" s="10">
        <v>3.7</v>
      </c>
      <c r="W361" s="10">
        <v>25.2</v>
      </c>
    </row>
    <row r="362" spans="1:23" ht="15.75">
      <c r="A362" s="64">
        <f t="shared" ca="1" si="5"/>
        <v>0.74220386812631756</v>
      </c>
      <c r="B362" s="74">
        <v>4.5999999999999996</v>
      </c>
      <c r="C362" s="71">
        <v>24.8718</v>
      </c>
      <c r="D362" s="132">
        <f t="array" ref="D362">MOD(ROW(), 3) + 1</f>
        <v>3</v>
      </c>
      <c r="F362" s="13">
        <f t="array" ref="F362">IFERROR(INDEX($B$1:$B$1109, SMALL(IF($D$1:$D$1109=$E$3,ROW($D$1:$D$1109)),ROW()-2),1),"")</f>
        <v>5.2</v>
      </c>
      <c r="G362" s="13">
        <f t="array" ref="G362">IFERROR(INDEX($C$1:$C$1109, SMALL(IF($D$1:$D$1109=$E$3,ROW($D$1:$D$1109)),ROW()-2),1),"")</f>
        <v>25.4</v>
      </c>
      <c r="H362" s="140">
        <f t="array" ref="H362">IFERROR(INDEX($B$1:$B$1109, SMALL(IF($D$1:$D$1109=$E$4,ROW($D$1:$D$1109)),ROW()-2),1),"")</f>
        <v>3</v>
      </c>
      <c r="I362" s="140">
        <f t="array" ref="I362">IFERROR(INDEX($C$1:$C$1109, SMALL(IF($D$1:$D$1109=$E$4,ROW($D$1:$D$1109)),ROW()-2),1),"")</f>
        <v>31.5</v>
      </c>
      <c r="J362" s="10">
        <f t="array" ref="J362">IFERROR(INDEX($B$1:$B$1109, SMALL(IF($D$1:$D$1109=$E$5,ROW($D$1:$D$1109)),ROW()-2),1),"")</f>
        <v>2.5</v>
      </c>
      <c r="K362" s="10">
        <f t="array" ref="K362">IFERROR(INDEX($C$1:$C$1109, SMALL(IF($D$1:$D$1109=$E$5,ROW($D$1:$D$1109)),ROW()-2),1),"")</f>
        <v>40.6</v>
      </c>
      <c r="R362" s="13">
        <v>5.2</v>
      </c>
      <c r="S362" s="13">
        <v>25.4</v>
      </c>
      <c r="T362" s="140">
        <v>3</v>
      </c>
      <c r="U362" s="140">
        <v>31.5</v>
      </c>
      <c r="V362" s="10">
        <v>2.5</v>
      </c>
      <c r="W362" s="10">
        <v>40.6</v>
      </c>
    </row>
    <row r="363" spans="1:23" ht="15.75">
      <c r="A363" s="64">
        <f t="shared" ca="1" si="5"/>
        <v>0.13560852917502553</v>
      </c>
      <c r="B363" s="74">
        <v>2.9</v>
      </c>
      <c r="C363" s="71">
        <v>35.258200000000002</v>
      </c>
      <c r="D363" s="132">
        <f t="array" ref="D363">MOD(ROW(), 3) + 1</f>
        <v>1</v>
      </c>
      <c r="F363" s="13">
        <f t="array" ref="F363">IFERROR(INDEX($B$1:$B$1109, SMALL(IF($D$1:$D$1109=$E$3,ROW($D$1:$D$1109)),ROW()-2),1),"")</f>
        <v>1.8</v>
      </c>
      <c r="G363" s="13">
        <f t="array" ref="G363">IFERROR(INDEX($C$1:$C$1109, SMALL(IF($D$1:$D$1109=$E$3,ROW($D$1:$D$1109)),ROW()-2),1),"")</f>
        <v>47.2</v>
      </c>
      <c r="H363" s="140">
        <f t="array" ref="H363">IFERROR(INDEX($B$1:$B$1109, SMALL(IF($D$1:$D$1109=$E$4,ROW($D$1:$D$1109)),ROW()-2),1),"")</f>
        <v>2</v>
      </c>
      <c r="I363" s="140">
        <f t="array" ref="I363">IFERROR(INDEX($C$1:$C$1109, SMALL(IF($D$1:$D$1109=$E$4,ROW($D$1:$D$1109)),ROW()-2),1),"")</f>
        <v>49.216999999999999</v>
      </c>
      <c r="J363" s="10">
        <f t="array" ref="J363">IFERROR(INDEX($B$1:$B$1109, SMALL(IF($D$1:$D$1109=$E$5,ROW($D$1:$D$1109)),ROW()-2),1),"")</f>
        <v>1.6</v>
      </c>
      <c r="K363" s="10">
        <f t="array" ref="K363">IFERROR(INDEX($C$1:$C$1109, SMALL(IF($D$1:$D$1109=$E$5,ROW($D$1:$D$1109)),ROW()-2),1),"")</f>
        <v>47.9</v>
      </c>
      <c r="R363" s="13">
        <v>1.8</v>
      </c>
      <c r="S363" s="13">
        <v>47.2</v>
      </c>
      <c r="T363" s="140">
        <v>2</v>
      </c>
      <c r="U363" s="140">
        <v>49.216999999999999</v>
      </c>
      <c r="V363" s="10">
        <v>1.6</v>
      </c>
      <c r="W363" s="10">
        <v>47.9</v>
      </c>
    </row>
    <row r="364" spans="1:23" ht="15.75">
      <c r="A364" s="64">
        <f t="shared" ca="1" si="5"/>
        <v>0.42544704213429096</v>
      </c>
      <c r="B364" s="74">
        <v>3</v>
      </c>
      <c r="C364" s="71">
        <v>31.3</v>
      </c>
      <c r="D364" s="132">
        <f t="array" ref="D364">MOD(ROW(), 3) + 1</f>
        <v>2</v>
      </c>
      <c r="F364" s="13">
        <f t="array" ref="F364">IFERROR(INDEX($B$1:$B$1109, SMALL(IF($D$1:$D$1109=$E$3,ROW($D$1:$D$1109)),ROW()-2),1),"")</f>
        <v>4.8</v>
      </c>
      <c r="G364" s="13">
        <f t="array" ref="G364">IFERROR(INDEX($C$1:$C$1109, SMALL(IF($D$1:$D$1109=$E$3,ROW($D$1:$D$1109)),ROW()-2),1),"")</f>
        <v>24.1496</v>
      </c>
      <c r="H364" s="140">
        <f t="array" ref="H364">IFERROR(INDEX($B$1:$B$1109, SMALL(IF($D$1:$D$1109=$E$4,ROW($D$1:$D$1109)),ROW()-2),1),"")</f>
        <v>2.4</v>
      </c>
      <c r="I364" s="140">
        <f t="array" ref="I364">IFERROR(INDEX($C$1:$C$1109, SMALL(IF($D$1:$D$1109=$E$4,ROW($D$1:$D$1109)),ROW()-2),1),"")</f>
        <v>42.6</v>
      </c>
      <c r="J364" s="10">
        <f t="array" ref="J364">IFERROR(INDEX($B$1:$B$1109, SMALL(IF($D$1:$D$1109=$E$5,ROW($D$1:$D$1109)),ROW()-2),1),"")</f>
        <v>2.4</v>
      </c>
      <c r="K364" s="10">
        <f t="array" ref="K364">IFERROR(INDEX($C$1:$C$1109, SMALL(IF($D$1:$D$1109=$E$5,ROW($D$1:$D$1109)),ROW()-2),1),"")</f>
        <v>36.4</v>
      </c>
      <c r="R364" s="13">
        <v>4.8</v>
      </c>
      <c r="S364" s="13">
        <v>24.1496</v>
      </c>
      <c r="T364" s="140">
        <v>2.4</v>
      </c>
      <c r="U364" s="140">
        <v>42.6</v>
      </c>
      <c r="V364" s="10">
        <v>2.4</v>
      </c>
      <c r="W364" s="10">
        <v>36.4</v>
      </c>
    </row>
    <row r="365" spans="1:23" ht="15.75">
      <c r="A365" s="64">
        <f t="shared" ca="1" si="5"/>
        <v>0.37531264891123195</v>
      </c>
      <c r="B365" s="74">
        <v>3.5</v>
      </c>
      <c r="C365" s="71">
        <v>34.200000000000003</v>
      </c>
      <c r="D365" s="132">
        <f t="array" ref="D365">MOD(ROW(), 3) + 1</f>
        <v>3</v>
      </c>
      <c r="F365" s="13">
        <f t="array" ref="F365">IFERROR(INDEX($B$1:$B$1109, SMALL(IF($D$1:$D$1109=$E$3,ROW($D$1:$D$1109)),ROW()-2),1),"")</f>
        <v>2.5</v>
      </c>
      <c r="G365" s="13">
        <f t="array" ref="G365">IFERROR(INDEX($C$1:$C$1109, SMALL(IF($D$1:$D$1109=$E$3,ROW($D$1:$D$1109)),ROW()-2),1),"")</f>
        <v>41.664200000000001</v>
      </c>
      <c r="H365" s="140">
        <f t="array" ref="H365">IFERROR(INDEX($B$1:$B$1109, SMALL(IF($D$1:$D$1109=$E$4,ROW($D$1:$D$1109)),ROW()-2),1),"")</f>
        <v>3</v>
      </c>
      <c r="I365" s="140">
        <f t="array" ref="I365">IFERROR(INDEX($C$1:$C$1109, SMALL(IF($D$1:$D$1109=$E$4,ROW($D$1:$D$1109)),ROW()-2),1),"")</f>
        <v>34.799999999999997</v>
      </c>
      <c r="J365" s="10">
        <f t="array" ref="J365">IFERROR(INDEX($B$1:$B$1109, SMALL(IF($D$1:$D$1109=$E$5,ROW($D$1:$D$1109)),ROW()-2),1),"")</f>
        <v>6.3</v>
      </c>
      <c r="K365" s="10">
        <f t="array" ref="K365">IFERROR(INDEX($C$1:$C$1109, SMALL(IF($D$1:$D$1109=$E$5,ROW($D$1:$D$1109)),ROW()-2),1),"")</f>
        <v>26.6722</v>
      </c>
      <c r="R365" s="13">
        <v>2.5</v>
      </c>
      <c r="S365" s="13">
        <v>41.664200000000001</v>
      </c>
      <c r="T365" s="140">
        <v>3</v>
      </c>
      <c r="U365" s="140">
        <v>34.799999999999997</v>
      </c>
      <c r="V365" s="10">
        <v>6.3</v>
      </c>
      <c r="W365" s="10">
        <v>26.6722</v>
      </c>
    </row>
    <row r="366" spans="1:23" ht="15.75">
      <c r="A366" s="64">
        <f t="shared" ca="1" si="5"/>
        <v>9.2344946814053586E-3</v>
      </c>
      <c r="B366" s="74">
        <v>3</v>
      </c>
      <c r="C366" s="71">
        <v>38.169600000000003</v>
      </c>
      <c r="D366" s="132">
        <f t="array" ref="D366">MOD(ROW(), 3) + 1</f>
        <v>1</v>
      </c>
      <c r="F366" s="13">
        <f t="array" ref="F366">IFERROR(INDEX($B$1:$B$1109, SMALL(IF($D$1:$D$1109=$E$3,ROW($D$1:$D$1109)),ROW()-2),1),"")</f>
        <v>2</v>
      </c>
      <c r="G366" s="13">
        <f t="array" ref="G366">IFERROR(INDEX($C$1:$C$1109, SMALL(IF($D$1:$D$1109=$E$3,ROW($D$1:$D$1109)),ROW()-2),1),"")</f>
        <v>43.9</v>
      </c>
      <c r="H366" s="140">
        <f t="array" ref="H366">IFERROR(INDEX($B$1:$B$1109, SMALL(IF($D$1:$D$1109=$E$4,ROW($D$1:$D$1109)),ROW()-2),1),"")</f>
        <v>5.7</v>
      </c>
      <c r="I366" s="140">
        <f t="array" ref="I366">IFERROR(INDEX($C$1:$C$1109, SMALL(IF($D$1:$D$1109=$E$4,ROW($D$1:$D$1109)),ROW()-2),1),"")</f>
        <v>26</v>
      </c>
      <c r="J366" s="10">
        <f t="array" ref="J366">IFERROR(INDEX($B$1:$B$1109, SMALL(IF($D$1:$D$1109=$E$5,ROW($D$1:$D$1109)),ROW()-2),1),"")</f>
        <v>2.2000000000000002</v>
      </c>
      <c r="K366" s="10">
        <f t="array" ref="K366">IFERROR(INDEX($C$1:$C$1109, SMALL(IF($D$1:$D$1109=$E$5,ROW($D$1:$D$1109)),ROW()-2),1),"")</f>
        <v>51.9</v>
      </c>
      <c r="R366" s="13">
        <v>2</v>
      </c>
      <c r="S366" s="13">
        <v>43.9</v>
      </c>
      <c r="T366" s="140">
        <v>5.7</v>
      </c>
      <c r="U366" s="140">
        <v>26</v>
      </c>
      <c r="V366" s="10">
        <v>2.2000000000000002</v>
      </c>
      <c r="W366" s="10">
        <v>51.9</v>
      </c>
    </row>
    <row r="367" spans="1:23" ht="15.75">
      <c r="A367" s="64">
        <f t="shared" ca="1" si="5"/>
        <v>5.5076805764445957E-2</v>
      </c>
      <c r="B367" s="74">
        <v>2.4</v>
      </c>
      <c r="C367" s="71">
        <v>44.8</v>
      </c>
      <c r="D367" s="132">
        <f t="array" ref="D367">MOD(ROW(), 3) + 1</f>
        <v>2</v>
      </c>
      <c r="F367" s="13">
        <f t="array" ref="F367">IFERROR(INDEX($B$1:$B$1109, SMALL(IF($D$1:$D$1109=$E$3,ROW($D$1:$D$1109)),ROW()-2),1),"")</f>
        <v>1.6</v>
      </c>
      <c r="G367" s="13">
        <f t="array" ref="G367">IFERROR(INDEX($C$1:$C$1109, SMALL(IF($D$1:$D$1109=$E$3,ROW($D$1:$D$1109)),ROW()-2),1),"")</f>
        <v>46.5</v>
      </c>
      <c r="H367" s="140">
        <f t="array" ref="H367">IFERROR(INDEX($B$1:$B$1109, SMALL(IF($D$1:$D$1109=$E$4,ROW($D$1:$D$1109)),ROW()-2),1),"")</f>
        <v>2.4</v>
      </c>
      <c r="I367" s="140">
        <f t="array" ref="I367">IFERROR(INDEX($C$1:$C$1109, SMALL(IF($D$1:$D$1109=$E$4,ROW($D$1:$D$1109)),ROW()-2),1),"")</f>
        <v>44.081800000000001</v>
      </c>
      <c r="J367" s="10">
        <f t="array" ref="J367">IFERROR(INDEX($B$1:$B$1109, SMALL(IF($D$1:$D$1109=$E$5,ROW($D$1:$D$1109)),ROW()-2),1),"")</f>
        <v>4.8</v>
      </c>
      <c r="K367" s="10">
        <f t="array" ref="K367">IFERROR(INDEX($C$1:$C$1109, SMALL(IF($D$1:$D$1109=$E$5,ROW($D$1:$D$1109)),ROW()-2),1),"")</f>
        <v>31.8</v>
      </c>
      <c r="R367" s="13">
        <v>1.6</v>
      </c>
      <c r="S367" s="13">
        <v>46.5</v>
      </c>
      <c r="T367" s="140">
        <v>2.4</v>
      </c>
      <c r="U367" s="140">
        <v>44.081800000000001</v>
      </c>
      <c r="V367" s="10">
        <v>4.8</v>
      </c>
      <c r="W367" s="10">
        <v>31.8</v>
      </c>
    </row>
    <row r="368" spans="1:23" ht="15.75">
      <c r="A368" s="64">
        <f t="shared" ca="1" si="5"/>
        <v>0.94166006050874151</v>
      </c>
      <c r="B368" s="74">
        <v>6.2</v>
      </c>
      <c r="C368" s="71">
        <v>24.9754</v>
      </c>
      <c r="D368" s="132">
        <f t="array" ref="D368">MOD(ROW(), 3) + 1</f>
        <v>3</v>
      </c>
      <c r="F368" s="13">
        <f t="array" ref="F368">IFERROR(INDEX($B$1:$B$1109, SMALL(IF($D$1:$D$1109=$E$3,ROW($D$1:$D$1109)),ROW()-2),1),"")</f>
        <v>6.7</v>
      </c>
      <c r="G368" s="13">
        <f t="array" ref="G368">IFERROR(INDEX($C$1:$C$1109, SMALL(IF($D$1:$D$1109=$E$3,ROW($D$1:$D$1109)),ROW()-2),1),"")</f>
        <v>24.2</v>
      </c>
      <c r="H368" s="140">
        <f t="array" ref="H368">IFERROR(INDEX($B$1:$B$1109, SMALL(IF($D$1:$D$1109=$E$4,ROW($D$1:$D$1109)),ROW()-2),1),"")</f>
        <v>3.6</v>
      </c>
      <c r="I368" s="140">
        <f t="array" ref="I368">IFERROR(INDEX($C$1:$C$1109, SMALL(IF($D$1:$D$1109=$E$4,ROW($D$1:$D$1109)),ROW()-2),1),"")</f>
        <v>27.581099999999999</v>
      </c>
      <c r="J368" s="10">
        <f t="array" ref="J368">IFERROR(INDEX($B$1:$B$1109, SMALL(IF($D$1:$D$1109=$E$5,ROW($D$1:$D$1109)),ROW()-2),1),"")</f>
        <v>2.4</v>
      </c>
      <c r="K368" s="10">
        <f t="array" ref="K368">IFERROR(INDEX($C$1:$C$1109, SMALL(IF($D$1:$D$1109=$E$5,ROW($D$1:$D$1109)),ROW()-2),1),"")</f>
        <v>42.8</v>
      </c>
      <c r="R368" s="13">
        <v>6.7</v>
      </c>
      <c r="S368" s="13">
        <v>24.2</v>
      </c>
      <c r="T368" s="140">
        <v>3.6</v>
      </c>
      <c r="U368" s="140">
        <v>27.581099999999999</v>
      </c>
      <c r="V368" s="10">
        <v>2.4</v>
      </c>
      <c r="W368" s="10">
        <v>42.8</v>
      </c>
    </row>
    <row r="369" spans="1:23" ht="15.75">
      <c r="A369" s="64">
        <f t="shared" ca="1" si="5"/>
        <v>0.87647200864544406</v>
      </c>
      <c r="B369" s="74">
        <v>6.1</v>
      </c>
      <c r="C369" s="71">
        <v>26</v>
      </c>
      <c r="D369" s="132">
        <f t="array" ref="D369">MOD(ROW(), 3) + 1</f>
        <v>1</v>
      </c>
      <c r="F369" s="13">
        <f t="array" ref="F369">IFERROR(INDEX($B$1:$B$1109, SMALL(IF($D$1:$D$1109=$E$3,ROW($D$1:$D$1109)),ROW()-2),1),"")</f>
        <v>3</v>
      </c>
      <c r="G369" s="13">
        <f t="array" ref="G369">IFERROR(INDEX($C$1:$C$1109, SMALL(IF($D$1:$D$1109=$E$3,ROW($D$1:$D$1109)),ROW()-2),1),"")</f>
        <v>35.708100000000002</v>
      </c>
      <c r="H369" s="140">
        <f t="array" ref="H369">IFERROR(INDEX($B$1:$B$1109, SMALL(IF($D$1:$D$1109=$E$4,ROW($D$1:$D$1109)),ROW()-2),1),"")</f>
        <v>2.5</v>
      </c>
      <c r="I369" s="140">
        <f t="array" ref="I369">IFERROR(INDEX($C$1:$C$1109, SMALL(IF($D$1:$D$1109=$E$4,ROW($D$1:$D$1109)),ROW()-2),1),"")</f>
        <v>45.056600000000003</v>
      </c>
      <c r="J369" s="10">
        <f t="array" ref="J369">IFERROR(INDEX($B$1:$B$1109, SMALL(IF($D$1:$D$1109=$E$5,ROW($D$1:$D$1109)),ROW()-2),1),"")</f>
        <v>4</v>
      </c>
      <c r="K369" s="10">
        <f t="array" ref="K369">IFERROR(INDEX($C$1:$C$1109, SMALL(IF($D$1:$D$1109=$E$5,ROW($D$1:$D$1109)),ROW()-2),1),"")</f>
        <v>27.8</v>
      </c>
      <c r="R369" s="13">
        <v>3</v>
      </c>
      <c r="S369" s="13">
        <v>35.708100000000002</v>
      </c>
      <c r="T369" s="140">
        <v>2.5</v>
      </c>
      <c r="U369" s="140">
        <v>45.056600000000003</v>
      </c>
      <c r="V369" s="10">
        <v>4</v>
      </c>
      <c r="W369" s="10">
        <v>27.8</v>
      </c>
    </row>
    <row r="370" spans="1:23" ht="15.75">
      <c r="A370" s="64">
        <f t="shared" ca="1" si="5"/>
        <v>0.19310328199198368</v>
      </c>
      <c r="B370" s="74">
        <v>2.4</v>
      </c>
      <c r="C370" s="71">
        <v>42.3</v>
      </c>
      <c r="D370" s="132">
        <f t="array" ref="D370">MOD(ROW(), 3) + 1</f>
        <v>2</v>
      </c>
      <c r="F370" s="13">
        <f t="array" ref="F370">IFERROR(INDEX($B$1:$B$1109, SMALL(IF($D$1:$D$1109=$E$3,ROW($D$1:$D$1109)),ROW()-2),1),"")</f>
        <v>2.5</v>
      </c>
      <c r="G370" s="13">
        <f t="array" ref="G370">IFERROR(INDEX($C$1:$C$1109, SMALL(IF($D$1:$D$1109=$E$3,ROW($D$1:$D$1109)),ROW()-2),1),"")</f>
        <v>35.860599999999998</v>
      </c>
      <c r="H370" s="140">
        <f t="array" ref="H370">IFERROR(INDEX($B$1:$B$1109, SMALL(IF($D$1:$D$1109=$E$4,ROW($D$1:$D$1109)),ROW()-2),1),"")</f>
        <v>3</v>
      </c>
      <c r="I370" s="140">
        <f t="array" ref="I370">IFERROR(INDEX($C$1:$C$1109, SMALL(IF($D$1:$D$1109=$E$4,ROW($D$1:$D$1109)),ROW()-2),1),"")</f>
        <v>34.4</v>
      </c>
      <c r="J370" s="10">
        <f t="array" ref="J370">IFERROR(INDEX($B$1:$B$1109, SMALL(IF($D$1:$D$1109=$E$5,ROW($D$1:$D$1109)),ROW()-2),1),"")</f>
        <v>3</v>
      </c>
      <c r="K370" s="10">
        <f t="array" ref="K370">IFERROR(INDEX($C$1:$C$1109, SMALL(IF($D$1:$D$1109=$E$5,ROW($D$1:$D$1109)),ROW()-2),1),"")</f>
        <v>34.1</v>
      </c>
      <c r="R370" s="13">
        <v>2.5</v>
      </c>
      <c r="S370" s="13">
        <v>35.860599999999998</v>
      </c>
      <c r="T370" s="140">
        <v>3</v>
      </c>
      <c r="U370" s="140">
        <v>34.4</v>
      </c>
      <c r="V370" s="10">
        <v>3</v>
      </c>
      <c r="W370" s="10">
        <v>34.1</v>
      </c>
    </row>
    <row r="371" spans="1:23" ht="15.75">
      <c r="A371" s="64">
        <f t="shared" ca="1" si="5"/>
        <v>0.32052455470492547</v>
      </c>
      <c r="B371" s="74">
        <v>3</v>
      </c>
      <c r="C371" s="71">
        <v>34.7286</v>
      </c>
      <c r="D371" s="132">
        <f t="array" ref="D371">MOD(ROW(), 3) + 1</f>
        <v>3</v>
      </c>
      <c r="F371" s="13">
        <f t="array" ref="F371">IFERROR(INDEX($B$1:$B$1109, SMALL(IF($D$1:$D$1109=$E$3,ROW($D$1:$D$1109)),ROW()-2),1),"")</f>
        <v>2.4</v>
      </c>
      <c r="G371" s="13">
        <f t="array" ref="G371">IFERROR(INDEX($C$1:$C$1109, SMALL(IF($D$1:$D$1109=$E$3,ROW($D$1:$D$1109)),ROW()-2),1),"")</f>
        <v>37.490200000000002</v>
      </c>
      <c r="H371" s="140">
        <f t="array" ref="H371">IFERROR(INDEX($B$1:$B$1109, SMALL(IF($D$1:$D$1109=$E$4,ROW($D$1:$D$1109)),ROW()-2),1),"")</f>
        <v>3.8</v>
      </c>
      <c r="I371" s="140">
        <f t="array" ref="I371">IFERROR(INDEX($C$1:$C$1109, SMALL(IF($D$1:$D$1109=$E$4,ROW($D$1:$D$1109)),ROW()-2),1),"")</f>
        <v>35.6</v>
      </c>
      <c r="J371" s="10">
        <f t="array" ref="J371">IFERROR(INDEX($B$1:$B$1109, SMALL(IF($D$1:$D$1109=$E$5,ROW($D$1:$D$1109)),ROW()-2),1),"")</f>
        <v>3.7</v>
      </c>
      <c r="K371" s="10">
        <f t="array" ref="K371">IFERROR(INDEX($C$1:$C$1109, SMALL(IF($D$1:$D$1109=$E$5,ROW($D$1:$D$1109)),ROW()-2),1),"")</f>
        <v>31.846699999999998</v>
      </c>
      <c r="R371" s="13">
        <v>2.4</v>
      </c>
      <c r="S371" s="13">
        <v>37.490200000000002</v>
      </c>
      <c r="T371" s="140">
        <v>3.8</v>
      </c>
      <c r="U371" s="140">
        <v>35.6</v>
      </c>
      <c r="V371" s="10">
        <v>3.7</v>
      </c>
      <c r="W371" s="10">
        <v>31.846699999999998</v>
      </c>
    </row>
    <row r="372" spans="1:23" ht="15.75">
      <c r="A372" s="64">
        <f t="shared" ca="1" si="5"/>
        <v>0.29254185043105874</v>
      </c>
      <c r="B372" s="74">
        <v>2.4</v>
      </c>
      <c r="C372" s="71">
        <v>34.700000000000003</v>
      </c>
      <c r="D372" s="132">
        <f t="array" ref="D372">MOD(ROW(), 3) + 1</f>
        <v>1</v>
      </c>
      <c r="F372" s="14">
        <f>SUM(F3:F371)</f>
        <v>1277.8000000000004</v>
      </c>
      <c r="G372" s="14">
        <f t="shared" ref="G372:K372" si="6">SUM(G3:G371)</f>
        <v>12807.342200000019</v>
      </c>
      <c r="H372" s="14">
        <f t="shared" si="6"/>
        <v>1335.8999999999999</v>
      </c>
      <c r="I372" s="14">
        <f t="shared" si="6"/>
        <v>12704.894900000003</v>
      </c>
      <c r="J372" s="14">
        <f t="shared" si="6"/>
        <v>1269.0000000000002</v>
      </c>
      <c r="K372" s="14">
        <f t="shared" si="6"/>
        <v>12907.846299999999</v>
      </c>
      <c r="R372" s="4">
        <f>SUM(R3:R371)</f>
        <v>1277.8000000000004</v>
      </c>
      <c r="S372" s="4">
        <f t="shared" ref="S372:W372" si="7">SUM(S3:S371)</f>
        <v>12807.342200000019</v>
      </c>
      <c r="T372" s="4">
        <f t="shared" si="7"/>
        <v>1335.8999999999999</v>
      </c>
      <c r="U372" s="4">
        <f t="shared" si="7"/>
        <v>12704.894900000003</v>
      </c>
      <c r="V372" s="4">
        <f t="shared" si="7"/>
        <v>1269.0000000000002</v>
      </c>
      <c r="W372" s="4">
        <f t="shared" si="7"/>
        <v>12907.846299999999</v>
      </c>
    </row>
    <row r="373" spans="1:23" ht="15.75">
      <c r="A373" s="64">
        <f t="shared" ca="1" si="5"/>
        <v>0.24909138184404966</v>
      </c>
      <c r="B373" s="74">
        <v>3</v>
      </c>
      <c r="C373" s="71">
        <v>34.285299999999999</v>
      </c>
      <c r="D373" s="132">
        <f t="array" ref="D373">MOD(ROW(), 3) + 1</f>
        <v>2</v>
      </c>
      <c r="F373" s="147">
        <f>COUNT(F3:F371)</f>
        <v>369</v>
      </c>
      <c r="G373" s="147">
        <f t="shared" ref="G373:K373" si="8">COUNT(G3:G371)</f>
        <v>369</v>
      </c>
      <c r="H373" s="147">
        <f t="shared" si="8"/>
        <v>369</v>
      </c>
      <c r="I373" s="147">
        <f t="shared" si="8"/>
        <v>369</v>
      </c>
      <c r="J373" s="147">
        <f t="shared" si="8"/>
        <v>369</v>
      </c>
      <c r="K373" s="147">
        <f t="shared" si="8"/>
        <v>369</v>
      </c>
      <c r="R373" s="147">
        <f>COUNT(R3:R371)</f>
        <v>369</v>
      </c>
      <c r="S373" s="147">
        <f t="shared" ref="S373:W373" si="9">COUNT(S3:S371)</f>
        <v>369</v>
      </c>
      <c r="T373" s="147">
        <f t="shared" si="9"/>
        <v>369</v>
      </c>
      <c r="U373" s="147">
        <f t="shared" si="9"/>
        <v>369</v>
      </c>
      <c r="V373" s="147">
        <f t="shared" si="9"/>
        <v>369</v>
      </c>
      <c r="W373" s="147">
        <f t="shared" si="9"/>
        <v>369</v>
      </c>
    </row>
    <row r="374" spans="1:23" ht="15.75">
      <c r="A374" s="64">
        <f t="shared" ca="1" si="5"/>
        <v>0.91423044562420253</v>
      </c>
      <c r="B374" s="74">
        <v>3.3</v>
      </c>
      <c r="C374" s="71">
        <v>33.098799999999997</v>
      </c>
      <c r="D374" s="132">
        <f t="array" ref="D374">MOD(ROW(), 3) + 1</f>
        <v>3</v>
      </c>
      <c r="F374" s="148">
        <f>F372+H372+J372</f>
        <v>3882.7000000000007</v>
      </c>
      <c r="G374" s="148">
        <f>G372+I372+K372</f>
        <v>38420.083400000018</v>
      </c>
      <c r="R374" s="148">
        <f>R372+T372+V372</f>
        <v>3882.7000000000007</v>
      </c>
      <c r="S374" s="148">
        <f>S372+U372+W372</f>
        <v>38420.083400000018</v>
      </c>
    </row>
    <row r="375" spans="1:23" ht="15.75">
      <c r="A375" s="64">
        <f t="shared" ca="1" si="5"/>
        <v>0.35593669049427423</v>
      </c>
      <c r="B375" s="74">
        <v>3.6</v>
      </c>
      <c r="C375" s="71">
        <v>28.1127</v>
      </c>
      <c r="D375" s="132">
        <f t="array" ref="D375">MOD(ROW(), 3) + 1</f>
        <v>1</v>
      </c>
    </row>
    <row r="376" spans="1:23" ht="15.75">
      <c r="A376" s="64">
        <f t="shared" ca="1" si="5"/>
        <v>0.93266816005177056</v>
      </c>
      <c r="B376" s="74">
        <v>2.2000000000000002</v>
      </c>
      <c r="C376" s="71">
        <v>46.8</v>
      </c>
      <c r="D376" s="132">
        <f t="array" ref="D376">MOD(ROW(), 3) + 1</f>
        <v>2</v>
      </c>
    </row>
    <row r="377" spans="1:23" ht="15.75">
      <c r="A377" s="64">
        <f t="shared" ca="1" si="5"/>
        <v>0.36583817610436031</v>
      </c>
      <c r="B377" s="74">
        <v>5.9</v>
      </c>
      <c r="C377" s="71">
        <v>26.620799999999999</v>
      </c>
      <c r="D377" s="132">
        <f t="array" ref="D377">MOD(ROW(), 3) + 1</f>
        <v>3</v>
      </c>
    </row>
    <row r="378" spans="1:23" ht="15.75">
      <c r="A378" s="64">
        <f t="shared" ca="1" si="5"/>
        <v>0.80230300975720481</v>
      </c>
      <c r="B378" s="74">
        <v>1.6</v>
      </c>
      <c r="C378" s="71">
        <v>44.2</v>
      </c>
      <c r="D378" s="132">
        <f t="array" ref="D378">MOD(ROW(), 3) + 1</f>
        <v>1</v>
      </c>
    </row>
    <row r="379" spans="1:23" ht="15.75">
      <c r="A379" s="64">
        <f t="shared" ca="1" si="5"/>
        <v>0.56116542298745287</v>
      </c>
      <c r="B379" s="74">
        <v>4.8</v>
      </c>
      <c r="C379" s="71">
        <v>31.374700000000001</v>
      </c>
      <c r="D379" s="132">
        <f t="array" ref="D379">MOD(ROW(), 3) + 1</f>
        <v>2</v>
      </c>
    </row>
    <row r="380" spans="1:23" ht="15.75">
      <c r="A380" s="64">
        <f t="shared" ca="1" si="5"/>
        <v>0.66796781756168833</v>
      </c>
      <c r="B380" s="74">
        <v>2.7</v>
      </c>
      <c r="C380" s="71">
        <v>38.299999999999997</v>
      </c>
      <c r="D380" s="132">
        <f t="array" ref="D380">MOD(ROW(), 3) + 1</f>
        <v>3</v>
      </c>
    </row>
    <row r="381" spans="1:23" ht="15.75">
      <c r="A381" s="64">
        <f t="shared" ca="1" si="5"/>
        <v>0.91363597917176886</v>
      </c>
      <c r="B381" s="74">
        <v>2.4</v>
      </c>
      <c r="C381" s="71">
        <v>39.299999999999997</v>
      </c>
      <c r="D381" s="132">
        <f t="array" ref="D381">MOD(ROW(), 3) + 1</f>
        <v>1</v>
      </c>
    </row>
    <row r="382" spans="1:23" ht="15.75">
      <c r="A382" s="64">
        <f t="shared" ca="1" si="5"/>
        <v>0.53656021544289467</v>
      </c>
      <c r="B382" s="74">
        <v>3.7</v>
      </c>
      <c r="C382" s="71">
        <v>25.2</v>
      </c>
      <c r="D382" s="132">
        <f t="array" ref="D382">MOD(ROW(), 3) + 1</f>
        <v>2</v>
      </c>
    </row>
    <row r="383" spans="1:23" ht="15.75">
      <c r="A383" s="64">
        <f t="shared" ca="1" si="5"/>
        <v>0.29783307319924379</v>
      </c>
      <c r="B383" s="74">
        <v>2.2999999999999998</v>
      </c>
      <c r="C383" s="71">
        <v>34.700000000000003</v>
      </c>
      <c r="D383" s="132">
        <f t="array" ref="D383">MOD(ROW(), 3) + 1</f>
        <v>3</v>
      </c>
    </row>
    <row r="384" spans="1:23" ht="15.75">
      <c r="A384" s="64">
        <f t="shared" ca="1" si="5"/>
        <v>0.10106817895221964</v>
      </c>
      <c r="B384" s="74">
        <v>4</v>
      </c>
      <c r="C384" s="71">
        <v>25.753499999999999</v>
      </c>
      <c r="D384" s="132">
        <f t="array" ref="D384">MOD(ROW(), 3) + 1</f>
        <v>1</v>
      </c>
    </row>
    <row r="385" spans="1:4" ht="15.75">
      <c r="A385" s="64">
        <f t="shared" ca="1" si="5"/>
        <v>0.48099214315417094</v>
      </c>
      <c r="B385" s="74">
        <v>2</v>
      </c>
      <c r="C385" s="71">
        <v>37.5</v>
      </c>
      <c r="D385" s="132">
        <f t="array" ref="D385">MOD(ROW(), 3) + 1</f>
        <v>2</v>
      </c>
    </row>
    <row r="386" spans="1:4" ht="15.75">
      <c r="A386" s="64">
        <f t="shared" ca="1" si="5"/>
        <v>0.84202870622240522</v>
      </c>
      <c r="B386" s="74">
        <v>3</v>
      </c>
      <c r="C386" s="71">
        <v>35.708100000000002</v>
      </c>
      <c r="D386" s="132">
        <f t="array" ref="D386">MOD(ROW(), 3) + 1</f>
        <v>3</v>
      </c>
    </row>
    <row r="387" spans="1:4" ht="15.75">
      <c r="A387" s="64">
        <f t="shared" ref="A387:A450" ca="1" si="10">RAND()</f>
        <v>7.6848404164287731E-2</v>
      </c>
      <c r="B387" s="74">
        <v>5.7</v>
      </c>
      <c r="C387" s="71">
        <v>21.1</v>
      </c>
      <c r="D387" s="132">
        <f t="array" ref="D387">MOD(ROW(), 3) + 1</f>
        <v>1</v>
      </c>
    </row>
    <row r="388" spans="1:4" ht="15.75">
      <c r="A388" s="64">
        <f t="shared" ca="1" si="10"/>
        <v>0.15754994764408914</v>
      </c>
      <c r="B388" s="74">
        <v>4.4000000000000004</v>
      </c>
      <c r="C388" s="71">
        <v>26.2</v>
      </c>
      <c r="D388" s="132">
        <f t="array" ref="D388">MOD(ROW(), 3) + 1</f>
        <v>2</v>
      </c>
    </row>
    <row r="389" spans="1:4" ht="15.75">
      <c r="A389" s="64">
        <f t="shared" ca="1" si="10"/>
        <v>0.10801287838719675</v>
      </c>
      <c r="B389" s="74">
        <v>2.4</v>
      </c>
      <c r="C389" s="71">
        <v>41.395899999999997</v>
      </c>
      <c r="D389" s="132">
        <f t="array" ref="D389">MOD(ROW(), 3) + 1</f>
        <v>3</v>
      </c>
    </row>
    <row r="390" spans="1:4" ht="15.75">
      <c r="A390" s="64">
        <f t="shared" ca="1" si="10"/>
        <v>0.51432455522572806</v>
      </c>
      <c r="B390" s="74">
        <v>3</v>
      </c>
      <c r="C390" s="71">
        <v>36.558999999999997</v>
      </c>
      <c r="D390" s="132">
        <f t="array" ref="D390">MOD(ROW(), 3) + 1</f>
        <v>1</v>
      </c>
    </row>
    <row r="391" spans="1:4" ht="15.75">
      <c r="A391" s="64">
        <f t="shared" ca="1" si="10"/>
        <v>0.46739971725735996</v>
      </c>
      <c r="B391" s="74">
        <v>2.5</v>
      </c>
      <c r="C391" s="71">
        <v>40.799999999999997</v>
      </c>
      <c r="D391" s="132">
        <f t="array" ref="D391">MOD(ROW(), 3) + 1</f>
        <v>2</v>
      </c>
    </row>
    <row r="392" spans="1:4" ht="15.75">
      <c r="A392" s="64">
        <f t="shared" ca="1" si="10"/>
        <v>0.94983027275600829</v>
      </c>
      <c r="B392" s="74">
        <v>5.2</v>
      </c>
      <c r="C392" s="71">
        <v>25.4</v>
      </c>
      <c r="D392" s="132">
        <f t="array" ref="D392">MOD(ROW(), 3) + 1</f>
        <v>3</v>
      </c>
    </row>
    <row r="393" spans="1:4" ht="15.75">
      <c r="A393" s="64">
        <f t="shared" ca="1" si="10"/>
        <v>2.5818960829777637E-3</v>
      </c>
      <c r="B393" s="74">
        <v>3.7</v>
      </c>
      <c r="C393" s="71">
        <v>25.1</v>
      </c>
      <c r="D393" s="132">
        <f t="array" ref="D393">MOD(ROW(), 3) + 1</f>
        <v>1</v>
      </c>
    </row>
    <row r="394" spans="1:4" ht="15.75">
      <c r="A394" s="64">
        <f t="shared" ca="1" si="10"/>
        <v>0.36637910706215016</v>
      </c>
      <c r="B394" s="74">
        <v>3</v>
      </c>
      <c r="C394" s="71">
        <v>34.548200000000001</v>
      </c>
      <c r="D394" s="132">
        <f t="array" ref="D394">MOD(ROW(), 3) + 1</f>
        <v>2</v>
      </c>
    </row>
    <row r="395" spans="1:4" ht="15.75">
      <c r="A395" s="64">
        <f t="shared" ca="1" si="10"/>
        <v>0.58256294128362818</v>
      </c>
      <c r="B395" s="74">
        <v>4.5999999999999996</v>
      </c>
      <c r="C395" s="71">
        <v>33.550899999999999</v>
      </c>
      <c r="D395" s="132">
        <f t="array" ref="D395">MOD(ROW(), 3) + 1</f>
        <v>3</v>
      </c>
    </row>
    <row r="396" spans="1:4" ht="15.75">
      <c r="A396" s="64">
        <f t="shared" ca="1" si="10"/>
        <v>0.87822009212033769</v>
      </c>
      <c r="B396" s="74">
        <v>3.5</v>
      </c>
      <c r="C396" s="71">
        <v>35.349400000000003</v>
      </c>
      <c r="D396" s="132">
        <f t="array" ref="D396">MOD(ROW(), 3) + 1</f>
        <v>1</v>
      </c>
    </row>
    <row r="397" spans="1:4" ht="15.75">
      <c r="A397" s="64">
        <f t="shared" ca="1" si="10"/>
        <v>0.7104068980881566</v>
      </c>
      <c r="B397" s="74">
        <v>2.5</v>
      </c>
      <c r="C397" s="71">
        <v>39.6</v>
      </c>
      <c r="D397" s="132">
        <f t="array" ref="D397">MOD(ROW(), 3) + 1</f>
        <v>2</v>
      </c>
    </row>
    <row r="398" spans="1:4" ht="15.75">
      <c r="A398" s="64">
        <f t="shared" ca="1" si="10"/>
        <v>0.32956159547599762</v>
      </c>
      <c r="B398" s="74">
        <v>3.5</v>
      </c>
      <c r="C398" s="71">
        <v>31.9</v>
      </c>
      <c r="D398" s="132">
        <f t="array" ref="D398">MOD(ROW(), 3) + 1</f>
        <v>3</v>
      </c>
    </row>
    <row r="399" spans="1:4" ht="15.75">
      <c r="A399" s="64">
        <f t="shared" ca="1" si="10"/>
        <v>8.0950946735235396E-3</v>
      </c>
      <c r="B399" s="74">
        <v>5.5</v>
      </c>
      <c r="C399" s="71">
        <v>21.4</v>
      </c>
      <c r="D399" s="132">
        <f t="array" ref="D399">MOD(ROW(), 3) + 1</f>
        <v>1</v>
      </c>
    </row>
    <row r="400" spans="1:4" ht="15.75">
      <c r="A400" s="64">
        <f t="shared" ca="1" si="10"/>
        <v>7.7987523448571627E-3</v>
      </c>
      <c r="B400" s="74">
        <v>4</v>
      </c>
      <c r="C400" s="71">
        <v>27.8</v>
      </c>
      <c r="D400" s="132">
        <f t="array" ref="D400">MOD(ROW(), 3) + 1</f>
        <v>2</v>
      </c>
    </row>
    <row r="401" spans="1:4" ht="15.75">
      <c r="A401" s="64">
        <f t="shared" ca="1" si="10"/>
        <v>0.28520378497660492</v>
      </c>
      <c r="B401" s="74">
        <v>3.5</v>
      </c>
      <c r="C401" s="71">
        <v>29.9849</v>
      </c>
      <c r="D401" s="132">
        <f t="array" ref="D401">MOD(ROW(), 3) + 1</f>
        <v>3</v>
      </c>
    </row>
    <row r="402" spans="1:4" ht="15.75">
      <c r="A402" s="64">
        <f t="shared" ca="1" si="10"/>
        <v>0.76987869376070195</v>
      </c>
      <c r="B402" s="74">
        <v>6.3</v>
      </c>
      <c r="C402" s="71">
        <v>19.7</v>
      </c>
      <c r="D402" s="132">
        <f t="array" ref="D402">MOD(ROW(), 3) + 1</f>
        <v>1</v>
      </c>
    </row>
    <row r="403" spans="1:4" ht="15.75">
      <c r="A403" s="64">
        <f t="shared" ca="1" si="10"/>
        <v>0.21145448559994484</v>
      </c>
      <c r="B403" s="74">
        <v>6.2</v>
      </c>
      <c r="C403" s="71">
        <v>28.4</v>
      </c>
      <c r="D403" s="132">
        <f t="array" ref="D403">MOD(ROW(), 3) + 1</f>
        <v>2</v>
      </c>
    </row>
    <row r="404" spans="1:4" ht="15.75">
      <c r="A404" s="64">
        <f t="shared" ca="1" si="10"/>
        <v>0.22390891364798182</v>
      </c>
      <c r="B404" s="74">
        <v>3.6</v>
      </c>
      <c r="C404" s="71">
        <v>31.6</v>
      </c>
      <c r="D404" s="132">
        <f t="array" ref="D404">MOD(ROW(), 3) + 1</f>
        <v>3</v>
      </c>
    </row>
    <row r="405" spans="1:4" ht="15.75">
      <c r="A405" s="64">
        <f t="shared" ca="1" si="10"/>
        <v>0.42795813520310255</v>
      </c>
      <c r="B405" s="74">
        <v>2</v>
      </c>
      <c r="C405" s="71">
        <v>38</v>
      </c>
      <c r="D405" s="132">
        <f t="array" ref="D405">MOD(ROW(), 3) + 1</f>
        <v>1</v>
      </c>
    </row>
    <row r="406" spans="1:4" ht="15.75">
      <c r="A406" s="64">
        <f t="shared" ca="1" si="10"/>
        <v>8.5195777577253717E-2</v>
      </c>
      <c r="B406" s="74">
        <v>2</v>
      </c>
      <c r="C406" s="71">
        <v>31.1</v>
      </c>
      <c r="D406" s="132">
        <f t="array" ref="D406">MOD(ROW(), 3) + 1</f>
        <v>2</v>
      </c>
    </row>
    <row r="407" spans="1:4" ht="15.75">
      <c r="A407" s="64">
        <f t="shared" ca="1" si="10"/>
        <v>0.59131411406798817</v>
      </c>
      <c r="B407" s="74">
        <v>2.7</v>
      </c>
      <c r="C407" s="71">
        <v>36.5</v>
      </c>
      <c r="D407" s="132">
        <f t="array" ref="D407">MOD(ROW(), 3) + 1</f>
        <v>3</v>
      </c>
    </row>
    <row r="408" spans="1:4" ht="15.75">
      <c r="A408" s="64">
        <f t="shared" ca="1" si="10"/>
        <v>0.90417763772826865</v>
      </c>
      <c r="B408" s="74">
        <v>3</v>
      </c>
      <c r="C408" s="71">
        <v>35</v>
      </c>
      <c r="D408" s="132">
        <f t="array" ref="D408">MOD(ROW(), 3) + 1</f>
        <v>1</v>
      </c>
    </row>
    <row r="409" spans="1:4" ht="15.75">
      <c r="A409" s="64">
        <f t="shared" ca="1" si="10"/>
        <v>5.8135813884148679E-2</v>
      </c>
      <c r="B409" s="74">
        <v>5.5</v>
      </c>
      <c r="C409" s="71">
        <v>31.7</v>
      </c>
      <c r="D409" s="132">
        <f t="array" ref="D409">MOD(ROW(), 3) + 1</f>
        <v>2</v>
      </c>
    </row>
    <row r="410" spans="1:4" ht="15.75">
      <c r="A410" s="64">
        <f t="shared" ca="1" si="10"/>
        <v>0.84642823299053516</v>
      </c>
      <c r="B410" s="74">
        <v>3.5</v>
      </c>
      <c r="C410" s="71">
        <v>34.200000000000003</v>
      </c>
      <c r="D410" s="132">
        <f t="array" ref="D410">MOD(ROW(), 3) + 1</f>
        <v>3</v>
      </c>
    </row>
    <row r="411" spans="1:4" ht="15.75">
      <c r="A411" s="64">
        <f t="shared" ca="1" si="10"/>
        <v>0.63959036934467584</v>
      </c>
      <c r="B411" s="74">
        <v>3.6</v>
      </c>
      <c r="C411" s="71">
        <v>34.875399999999999</v>
      </c>
      <c r="D411" s="132">
        <f t="array" ref="D411">MOD(ROW(), 3) + 1</f>
        <v>1</v>
      </c>
    </row>
    <row r="412" spans="1:4" ht="15.75">
      <c r="A412" s="64">
        <f t="shared" ca="1" si="10"/>
        <v>0.25188337218763368</v>
      </c>
      <c r="B412" s="74">
        <v>5.7</v>
      </c>
      <c r="C412" s="71">
        <v>20.99</v>
      </c>
      <c r="D412" s="132">
        <f t="array" ref="D412">MOD(ROW(), 3) + 1</f>
        <v>2</v>
      </c>
    </row>
    <row r="413" spans="1:4" ht="15.75">
      <c r="A413" s="64">
        <f t="shared" ca="1" si="10"/>
        <v>0.66895800552011087</v>
      </c>
      <c r="B413" s="74">
        <v>3.6</v>
      </c>
      <c r="C413" s="71">
        <v>40</v>
      </c>
      <c r="D413" s="132">
        <f t="array" ref="D413">MOD(ROW(), 3) + 1</f>
        <v>3</v>
      </c>
    </row>
    <row r="414" spans="1:4" ht="15.75">
      <c r="A414" s="64">
        <f t="shared" ca="1" si="10"/>
        <v>0.90572831634599182</v>
      </c>
      <c r="B414" s="74">
        <v>3.8</v>
      </c>
      <c r="C414" s="71">
        <v>32.4</v>
      </c>
      <c r="D414" s="132">
        <f t="array" ref="D414">MOD(ROW(), 3) + 1</f>
        <v>1</v>
      </c>
    </row>
    <row r="415" spans="1:4" ht="15.75">
      <c r="A415" s="64">
        <f t="shared" ca="1" si="10"/>
        <v>0.90157909596223695</v>
      </c>
      <c r="B415" s="74">
        <v>2.5</v>
      </c>
      <c r="C415" s="71">
        <v>42.9</v>
      </c>
      <c r="D415" s="132">
        <f t="array" ref="D415">MOD(ROW(), 3) + 1</f>
        <v>2</v>
      </c>
    </row>
    <row r="416" spans="1:4" ht="15.75">
      <c r="A416" s="64">
        <f t="shared" ca="1" si="10"/>
        <v>0.96724028238894855</v>
      </c>
      <c r="B416" s="74">
        <v>3.8</v>
      </c>
      <c r="C416" s="71">
        <v>31.9</v>
      </c>
      <c r="D416" s="132">
        <f t="array" ref="D416">MOD(ROW(), 3) + 1</f>
        <v>3</v>
      </c>
    </row>
    <row r="417" spans="1:4" ht="15.75">
      <c r="A417" s="64">
        <f t="shared" ca="1" si="10"/>
        <v>0.53286621109565413</v>
      </c>
      <c r="B417" s="74">
        <v>2.4</v>
      </c>
      <c r="C417" s="71">
        <v>46.9</v>
      </c>
      <c r="D417" s="132">
        <f t="array" ref="D417">MOD(ROW(), 3) + 1</f>
        <v>1</v>
      </c>
    </row>
    <row r="418" spans="1:4" ht="15.75">
      <c r="A418" s="64">
        <f t="shared" ca="1" si="10"/>
        <v>4.8127405989036864E-2</v>
      </c>
      <c r="B418" s="74">
        <v>2.4</v>
      </c>
      <c r="C418" s="71">
        <v>38.6</v>
      </c>
      <c r="D418" s="132">
        <f t="array" ref="D418">MOD(ROW(), 3) + 1</f>
        <v>2</v>
      </c>
    </row>
    <row r="419" spans="1:4" ht="15.75">
      <c r="A419" s="64">
        <f t="shared" ca="1" si="10"/>
        <v>4.8555418082006141E-2</v>
      </c>
      <c r="B419" s="74">
        <v>3.5</v>
      </c>
      <c r="C419" s="71">
        <v>36.556399999999996</v>
      </c>
      <c r="D419" s="132">
        <f t="array" ref="D419">MOD(ROW(), 3) + 1</f>
        <v>3</v>
      </c>
    </row>
    <row r="420" spans="1:4" ht="15.75">
      <c r="A420" s="64">
        <f t="shared" ca="1" si="10"/>
        <v>0.38862790605814201</v>
      </c>
      <c r="B420" s="74">
        <v>3.5</v>
      </c>
      <c r="C420" s="71">
        <v>30.2</v>
      </c>
      <c r="D420" s="132">
        <f t="array" ref="D420">MOD(ROW(), 3) + 1</f>
        <v>1</v>
      </c>
    </row>
    <row r="421" spans="1:4" ht="15.75">
      <c r="A421" s="64">
        <f t="shared" ca="1" si="10"/>
        <v>0.94631157550430689</v>
      </c>
      <c r="B421" s="74">
        <v>4.3</v>
      </c>
      <c r="C421" s="71">
        <v>27.6</v>
      </c>
      <c r="D421" s="132">
        <f t="array" ref="D421">MOD(ROW(), 3) + 1</f>
        <v>2</v>
      </c>
    </row>
    <row r="422" spans="1:4" ht="15.75">
      <c r="A422" s="64">
        <f t="shared" ca="1" si="10"/>
        <v>0.9375054813458249</v>
      </c>
      <c r="B422" s="74">
        <v>5.5</v>
      </c>
      <c r="C422" s="71">
        <v>29</v>
      </c>
      <c r="D422" s="132">
        <f t="array" ref="D422">MOD(ROW(), 3) + 1</f>
        <v>3</v>
      </c>
    </row>
    <row r="423" spans="1:4" ht="15.75">
      <c r="A423" s="64">
        <f t="shared" ca="1" si="10"/>
        <v>0.36593495527971398</v>
      </c>
      <c r="B423" s="74">
        <v>2</v>
      </c>
      <c r="C423" s="71">
        <v>41.113199999999999</v>
      </c>
      <c r="D423" s="132">
        <f t="array" ref="D423">MOD(ROW(), 3) + 1</f>
        <v>1</v>
      </c>
    </row>
    <row r="424" spans="1:4" ht="15.75">
      <c r="A424" s="64">
        <f t="shared" ca="1" si="10"/>
        <v>7.846285529122099E-2</v>
      </c>
      <c r="B424" s="74">
        <v>4.8</v>
      </c>
      <c r="C424" s="71">
        <v>33.260300000000001</v>
      </c>
      <c r="D424" s="132">
        <f t="array" ref="D424">MOD(ROW(), 3) + 1</f>
        <v>2</v>
      </c>
    </row>
    <row r="425" spans="1:4" ht="15.75">
      <c r="A425" s="64">
        <f t="shared" ca="1" si="10"/>
        <v>2.5989232651793537E-2</v>
      </c>
      <c r="B425" s="74">
        <v>3.5</v>
      </c>
      <c r="C425" s="71">
        <v>29.773399999999999</v>
      </c>
      <c r="D425" s="132">
        <f t="array" ref="D425">MOD(ROW(), 3) + 1</f>
        <v>3</v>
      </c>
    </row>
    <row r="426" spans="1:4" ht="15.75">
      <c r="A426" s="64">
        <f t="shared" ca="1" si="10"/>
        <v>0.96243016952812255</v>
      </c>
      <c r="B426" s="74">
        <v>2.4</v>
      </c>
      <c r="C426" s="71">
        <v>37.491100000000003</v>
      </c>
      <c r="D426" s="132">
        <f t="array" ref="D426">MOD(ROW(), 3) + 1</f>
        <v>1</v>
      </c>
    </row>
    <row r="427" spans="1:4" ht="15.75">
      <c r="A427" s="64">
        <f t="shared" ca="1" si="10"/>
        <v>0.63071990272036105</v>
      </c>
      <c r="B427" s="74">
        <v>2.5</v>
      </c>
      <c r="C427" s="71">
        <v>39.200000000000003</v>
      </c>
      <c r="D427" s="132">
        <f t="array" ref="D427">MOD(ROW(), 3) + 1</f>
        <v>2</v>
      </c>
    </row>
    <row r="428" spans="1:4" ht="15.75">
      <c r="A428" s="64">
        <f t="shared" ca="1" si="10"/>
        <v>0.86455553455670853</v>
      </c>
      <c r="B428" s="74">
        <v>6.2</v>
      </c>
      <c r="C428" s="71">
        <v>26</v>
      </c>
      <c r="D428" s="132">
        <f t="array" ref="D428">MOD(ROW(), 3) + 1</f>
        <v>3</v>
      </c>
    </row>
    <row r="429" spans="1:4" ht="15.75">
      <c r="A429" s="64">
        <f t="shared" ca="1" si="10"/>
        <v>0.20143324402175611</v>
      </c>
      <c r="B429" s="74">
        <v>3.6</v>
      </c>
      <c r="C429" s="71">
        <v>36.756300000000003</v>
      </c>
      <c r="D429" s="132">
        <f t="array" ref="D429">MOD(ROW(), 3) + 1</f>
        <v>1</v>
      </c>
    </row>
    <row r="430" spans="1:4" ht="15.75">
      <c r="A430" s="64">
        <f t="shared" ca="1" si="10"/>
        <v>0.17020062436570993</v>
      </c>
      <c r="B430" s="74">
        <v>3.6</v>
      </c>
      <c r="C430" s="71">
        <v>32.6</v>
      </c>
      <c r="D430" s="132">
        <f t="array" ref="D430">MOD(ROW(), 3) + 1</f>
        <v>2</v>
      </c>
    </row>
    <row r="431" spans="1:4" ht="15.75">
      <c r="A431" s="64">
        <f t="shared" ca="1" si="10"/>
        <v>0.51043333977249583</v>
      </c>
      <c r="B431" s="74">
        <v>3</v>
      </c>
      <c r="C431" s="71">
        <v>37.9</v>
      </c>
      <c r="D431" s="132">
        <f t="array" ref="D431">MOD(ROW(), 3) + 1</f>
        <v>3</v>
      </c>
    </row>
    <row r="432" spans="1:4" ht="15.75">
      <c r="A432" s="64">
        <f t="shared" ca="1" si="10"/>
        <v>0.8105404737600459</v>
      </c>
      <c r="B432" s="74">
        <v>4.3</v>
      </c>
      <c r="C432" s="71">
        <v>26.1157</v>
      </c>
      <c r="D432" s="132">
        <f t="array" ref="D432">MOD(ROW(), 3) + 1</f>
        <v>1</v>
      </c>
    </row>
    <row r="433" spans="1:4" ht="15.75">
      <c r="A433" s="64">
        <f t="shared" ca="1" si="10"/>
        <v>4.4643699354890432E-3</v>
      </c>
      <c r="B433" s="74">
        <v>3.7</v>
      </c>
      <c r="C433" s="71">
        <v>31.3858</v>
      </c>
      <c r="D433" s="132">
        <f t="array" ref="D433">MOD(ROW(), 3) + 1</f>
        <v>2</v>
      </c>
    </row>
    <row r="434" spans="1:4" ht="15.75">
      <c r="A434" s="64">
        <f t="shared" ca="1" si="10"/>
        <v>0.85780625820811895</v>
      </c>
      <c r="B434" s="74">
        <v>2</v>
      </c>
      <c r="C434" s="71">
        <v>40</v>
      </c>
      <c r="D434" s="132">
        <f t="array" ref="D434">MOD(ROW(), 3) + 1</f>
        <v>3</v>
      </c>
    </row>
    <row r="435" spans="1:4" ht="15.75">
      <c r="A435" s="64">
        <f t="shared" ca="1" si="10"/>
        <v>6.4893072302879551E-3</v>
      </c>
      <c r="B435" s="74">
        <v>2</v>
      </c>
      <c r="C435" s="71">
        <v>38</v>
      </c>
      <c r="D435" s="132">
        <f t="array" ref="D435">MOD(ROW(), 3) + 1</f>
        <v>1</v>
      </c>
    </row>
    <row r="436" spans="1:4" ht="15.75">
      <c r="A436" s="64">
        <f t="shared" ca="1" si="10"/>
        <v>0.11333883286117208</v>
      </c>
      <c r="B436" s="74">
        <v>2.4</v>
      </c>
      <c r="C436" s="71">
        <v>35.810299999999998</v>
      </c>
      <c r="D436" s="132">
        <f t="array" ref="D436">MOD(ROW(), 3) + 1</f>
        <v>2</v>
      </c>
    </row>
    <row r="437" spans="1:4" ht="15.75">
      <c r="A437" s="64">
        <f t="shared" ca="1" si="10"/>
        <v>0.92279258365401162</v>
      </c>
      <c r="B437" s="74">
        <v>2</v>
      </c>
      <c r="C437" s="71">
        <v>42.457900000000002</v>
      </c>
      <c r="D437" s="132">
        <f t="array" ref="D437">MOD(ROW(), 3) + 1</f>
        <v>3</v>
      </c>
    </row>
    <row r="438" spans="1:4" ht="15.75">
      <c r="A438" s="64">
        <f t="shared" ca="1" si="10"/>
        <v>0.40884219965136426</v>
      </c>
      <c r="B438" s="74">
        <v>4</v>
      </c>
      <c r="C438" s="71">
        <v>28.918199999999999</v>
      </c>
      <c r="D438" s="132">
        <f t="array" ref="D438">MOD(ROW(), 3) + 1</f>
        <v>1</v>
      </c>
    </row>
    <row r="439" spans="1:4" ht="15.75">
      <c r="A439" s="64">
        <f t="shared" ca="1" si="10"/>
        <v>0.81240109360806256</v>
      </c>
      <c r="B439" s="74">
        <v>2.4</v>
      </c>
      <c r="C439" s="71">
        <v>39.299999999999997</v>
      </c>
      <c r="D439" s="132">
        <f t="array" ref="D439">MOD(ROW(), 3) + 1</f>
        <v>2</v>
      </c>
    </row>
    <row r="440" spans="1:4" ht="15.75">
      <c r="A440" s="64">
        <f t="shared" ca="1" si="10"/>
        <v>0.25211172540504523</v>
      </c>
      <c r="B440" s="74">
        <v>2.4</v>
      </c>
      <c r="C440" s="71">
        <v>45.3</v>
      </c>
      <c r="D440" s="132">
        <f t="array" ref="D440">MOD(ROW(), 3) + 1</f>
        <v>3</v>
      </c>
    </row>
    <row r="441" spans="1:4" ht="15.75">
      <c r="A441" s="64">
        <f t="shared" ca="1" si="10"/>
        <v>0.8098897724146531</v>
      </c>
      <c r="B441" s="74">
        <v>2.4</v>
      </c>
      <c r="C441" s="71">
        <v>37.709800000000001</v>
      </c>
      <c r="D441" s="132">
        <f t="array" ref="D441">MOD(ROW(), 3) + 1</f>
        <v>1</v>
      </c>
    </row>
    <row r="442" spans="1:4" ht="15.75">
      <c r="A442" s="64">
        <f t="shared" ca="1" si="10"/>
        <v>0.45444949430656056</v>
      </c>
      <c r="B442" s="74">
        <v>3</v>
      </c>
      <c r="C442" s="71">
        <v>35.465499999999999</v>
      </c>
      <c r="D442" s="132">
        <f t="array" ref="D442">MOD(ROW(), 3) + 1</f>
        <v>2</v>
      </c>
    </row>
    <row r="443" spans="1:4" ht="15.75">
      <c r="A443" s="64">
        <f t="shared" ca="1" si="10"/>
        <v>0.15684526242176489</v>
      </c>
      <c r="B443" s="74">
        <v>2</v>
      </c>
      <c r="C443" s="71">
        <v>40.299999999999997</v>
      </c>
      <c r="D443" s="132">
        <f t="array" ref="D443">MOD(ROW(), 3) + 1</f>
        <v>3</v>
      </c>
    </row>
    <row r="444" spans="1:4" ht="15.75">
      <c r="A444" s="64">
        <f t="shared" ca="1" si="10"/>
        <v>0.90386752882363197</v>
      </c>
      <c r="B444" s="74">
        <v>2.4</v>
      </c>
      <c r="C444" s="71">
        <v>31.3</v>
      </c>
      <c r="D444" s="132">
        <f t="array" ref="D444">MOD(ROW(), 3) + 1</f>
        <v>1</v>
      </c>
    </row>
    <row r="445" spans="1:4" ht="15.75">
      <c r="A445" s="64">
        <f t="shared" ca="1" si="10"/>
        <v>0.4751740833753636</v>
      </c>
      <c r="B445" s="74">
        <v>2</v>
      </c>
      <c r="C445" s="71">
        <v>47.4</v>
      </c>
      <c r="D445" s="132">
        <f t="array" ref="D445">MOD(ROW(), 3) + 1</f>
        <v>2</v>
      </c>
    </row>
    <row r="446" spans="1:4" ht="15.75">
      <c r="A446" s="64">
        <f t="shared" ca="1" si="10"/>
        <v>0.36680120174624564</v>
      </c>
      <c r="B446" s="74">
        <v>3.5</v>
      </c>
      <c r="C446" s="71">
        <v>35.9</v>
      </c>
      <c r="D446" s="132">
        <f t="array" ref="D446">MOD(ROW(), 3) + 1</f>
        <v>3</v>
      </c>
    </row>
    <row r="447" spans="1:4" ht="15.75">
      <c r="A447" s="64">
        <f t="shared" ca="1" si="10"/>
        <v>5.4019400145302598E-2</v>
      </c>
      <c r="B447" s="74">
        <v>1.8</v>
      </c>
      <c r="C447" s="71">
        <v>44.2</v>
      </c>
      <c r="D447" s="132">
        <f t="array" ref="D447">MOD(ROW(), 3) + 1</f>
        <v>1</v>
      </c>
    </row>
    <row r="448" spans="1:4" ht="15.75">
      <c r="A448" s="64">
        <f t="shared" ca="1" si="10"/>
        <v>0.23658699401648609</v>
      </c>
      <c r="B448" s="74">
        <v>2.4</v>
      </c>
      <c r="C448" s="71">
        <v>36.700000000000003</v>
      </c>
      <c r="D448" s="132">
        <f t="array" ref="D448">MOD(ROW(), 3) + 1</f>
        <v>2</v>
      </c>
    </row>
    <row r="449" spans="1:4" ht="15.75">
      <c r="A449" s="64">
        <f t="shared" ca="1" si="10"/>
        <v>0.98604683959467077</v>
      </c>
      <c r="B449" s="74">
        <v>2.5</v>
      </c>
      <c r="C449" s="71">
        <v>38.6</v>
      </c>
      <c r="D449" s="132">
        <f t="array" ref="D449">MOD(ROW(), 3) + 1</f>
        <v>3</v>
      </c>
    </row>
    <row r="450" spans="1:4" ht="15.75">
      <c r="A450" s="64">
        <f t="shared" ca="1" si="10"/>
        <v>0.4181716488929712</v>
      </c>
      <c r="B450" s="74">
        <v>3</v>
      </c>
      <c r="C450" s="71">
        <v>34.7288</v>
      </c>
      <c r="D450" s="132">
        <f t="array" ref="D450">MOD(ROW(), 3) + 1</f>
        <v>1</v>
      </c>
    </row>
    <row r="451" spans="1:4" ht="15.75">
      <c r="A451" s="64">
        <f t="shared" ref="A451:A514" ca="1" si="11">RAND()</f>
        <v>0.99939867030496699</v>
      </c>
      <c r="B451" s="74">
        <v>2.5</v>
      </c>
      <c r="C451" s="71">
        <v>35.922600000000003</v>
      </c>
      <c r="D451" s="132">
        <f t="array" ref="D451">MOD(ROW(), 3) + 1</f>
        <v>2</v>
      </c>
    </row>
    <row r="452" spans="1:4" ht="15.75">
      <c r="A452" s="64">
        <f t="shared" ca="1" si="11"/>
        <v>0.43117860239974326</v>
      </c>
      <c r="B452" s="74">
        <v>3.5</v>
      </c>
      <c r="C452" s="71">
        <v>36.410200000000003</v>
      </c>
      <c r="D452" s="132">
        <f t="array" ref="D452">MOD(ROW(), 3) + 1</f>
        <v>3</v>
      </c>
    </row>
    <row r="453" spans="1:4" ht="15.75">
      <c r="A453" s="64">
        <f t="shared" ca="1" si="11"/>
        <v>4.0355464981656208E-3</v>
      </c>
      <c r="B453" s="74">
        <v>2.7</v>
      </c>
      <c r="C453" s="71">
        <v>40.6</v>
      </c>
      <c r="D453" s="132">
        <f t="array" ref="D453">MOD(ROW(), 3) + 1</f>
        <v>1</v>
      </c>
    </row>
    <row r="454" spans="1:4" ht="15.75">
      <c r="A454" s="64">
        <f t="shared" ca="1" si="11"/>
        <v>0.2099802603831078</v>
      </c>
      <c r="B454" s="74">
        <v>6.3</v>
      </c>
      <c r="C454" s="71">
        <v>24.8202</v>
      </c>
      <c r="D454" s="132">
        <f t="array" ref="D454">MOD(ROW(), 3) + 1</f>
        <v>2</v>
      </c>
    </row>
    <row r="455" spans="1:4" ht="15.75">
      <c r="A455" s="64">
        <f t="shared" ca="1" si="11"/>
        <v>0.8391004621625483</v>
      </c>
      <c r="B455" s="74">
        <v>2.5</v>
      </c>
      <c r="C455" s="71">
        <v>39.700000000000003</v>
      </c>
      <c r="D455" s="132">
        <f t="array" ref="D455">MOD(ROW(), 3) + 1</f>
        <v>3</v>
      </c>
    </row>
    <row r="456" spans="1:4" ht="15.75">
      <c r="A456" s="64">
        <f t="shared" ca="1" si="11"/>
        <v>0.57805773892935353</v>
      </c>
      <c r="B456" s="74">
        <v>2.4</v>
      </c>
      <c r="C456" s="71">
        <v>41.699800000000003</v>
      </c>
      <c r="D456" s="132">
        <f t="array" ref="D456">MOD(ROW(), 3) + 1</f>
        <v>1</v>
      </c>
    </row>
    <row r="457" spans="1:4" ht="15.75">
      <c r="A457" s="64">
        <f t="shared" ca="1" si="11"/>
        <v>0.62590149618465396</v>
      </c>
      <c r="B457" s="74">
        <v>4</v>
      </c>
      <c r="C457" s="71">
        <v>27.9711</v>
      </c>
      <c r="D457" s="132">
        <f t="array" ref="D457">MOD(ROW(), 3) + 1</f>
        <v>2</v>
      </c>
    </row>
    <row r="458" spans="1:4" ht="15.75">
      <c r="A458" s="64">
        <f t="shared" ca="1" si="11"/>
        <v>0.92026336715523249</v>
      </c>
      <c r="B458" s="74">
        <v>3</v>
      </c>
      <c r="C458" s="71">
        <v>36.154800000000002</v>
      </c>
      <c r="D458" s="132">
        <f t="array" ref="D458">MOD(ROW(), 3) + 1</f>
        <v>3</v>
      </c>
    </row>
    <row r="459" spans="1:4" ht="15.75">
      <c r="A459" s="64">
        <f t="shared" ca="1" si="11"/>
        <v>0.92294265906367856</v>
      </c>
      <c r="B459" s="74">
        <v>3.5</v>
      </c>
      <c r="C459" s="71">
        <v>33.5</v>
      </c>
      <c r="D459" s="132">
        <f t="array" ref="D459">MOD(ROW(), 3) + 1</f>
        <v>1</v>
      </c>
    </row>
    <row r="460" spans="1:4" ht="15.75">
      <c r="A460" s="64">
        <f t="shared" ca="1" si="11"/>
        <v>0.13146842872752385</v>
      </c>
      <c r="B460" s="74">
        <v>3.8</v>
      </c>
      <c r="C460" s="71">
        <v>34.255000000000003</v>
      </c>
      <c r="D460" s="132">
        <f t="array" ref="D460">MOD(ROW(), 3) + 1</f>
        <v>2</v>
      </c>
    </row>
    <row r="461" spans="1:4" ht="15.75">
      <c r="A461" s="64">
        <f t="shared" ca="1" si="11"/>
        <v>0.95167005788949866</v>
      </c>
      <c r="B461" s="74">
        <v>2.5</v>
      </c>
      <c r="C461" s="71">
        <v>42.9</v>
      </c>
      <c r="D461" s="132">
        <f t="array" ref="D461">MOD(ROW(), 3) + 1</f>
        <v>3</v>
      </c>
    </row>
    <row r="462" spans="1:4" ht="15.75">
      <c r="A462" s="64">
        <f t="shared" ca="1" si="11"/>
        <v>0.54096020578180737</v>
      </c>
      <c r="B462" s="74">
        <v>1.8</v>
      </c>
      <c r="C462" s="71">
        <v>41.798999999999999</v>
      </c>
      <c r="D462" s="132">
        <f t="array" ref="D462">MOD(ROW(), 3) + 1</f>
        <v>1</v>
      </c>
    </row>
    <row r="463" spans="1:4" ht="15.75">
      <c r="A463" s="64">
        <f t="shared" ca="1" si="11"/>
        <v>0.43887585076684432</v>
      </c>
      <c r="B463" s="74">
        <v>2.2000000000000002</v>
      </c>
      <c r="C463" s="71">
        <v>51.9</v>
      </c>
      <c r="D463" s="132">
        <f t="array" ref="D463">MOD(ROW(), 3) + 1</f>
        <v>2</v>
      </c>
    </row>
    <row r="464" spans="1:4" ht="15.75">
      <c r="A464" s="64">
        <f t="shared" ca="1" si="11"/>
        <v>0.54126619518843277</v>
      </c>
      <c r="B464" s="74">
        <v>3.5</v>
      </c>
      <c r="C464" s="71">
        <v>39.799999999999997</v>
      </c>
      <c r="D464" s="132">
        <f t="array" ref="D464">MOD(ROW(), 3) + 1</f>
        <v>3</v>
      </c>
    </row>
    <row r="465" spans="1:4" ht="15.75">
      <c r="A465" s="64">
        <f t="shared" ca="1" si="11"/>
        <v>0.96522329784564076</v>
      </c>
      <c r="B465" s="74">
        <v>2</v>
      </c>
      <c r="C465" s="71">
        <v>49.3</v>
      </c>
      <c r="D465" s="132">
        <f t="array" ref="D465">MOD(ROW(), 3) + 1</f>
        <v>1</v>
      </c>
    </row>
    <row r="466" spans="1:4" ht="15.75">
      <c r="A466" s="64">
        <f t="shared" ca="1" si="11"/>
        <v>0.93207544200194159</v>
      </c>
      <c r="B466" s="74">
        <v>3.5</v>
      </c>
      <c r="C466" s="71">
        <v>35.5</v>
      </c>
      <c r="D466" s="132">
        <f t="array" ref="D466">MOD(ROW(), 3) + 1</f>
        <v>2</v>
      </c>
    </row>
    <row r="467" spans="1:4" ht="15.75">
      <c r="A467" s="64">
        <f t="shared" ca="1" si="11"/>
        <v>0.26764934845888355</v>
      </c>
      <c r="B467" s="74">
        <v>2.4</v>
      </c>
      <c r="C467" s="71">
        <v>41.6</v>
      </c>
      <c r="D467" s="132">
        <f t="array" ref="D467">MOD(ROW(), 3) + 1</f>
        <v>3</v>
      </c>
    </row>
    <row r="468" spans="1:4" ht="15.75">
      <c r="A468" s="64">
        <f t="shared" ca="1" si="11"/>
        <v>0.33443181275925105</v>
      </c>
      <c r="B468" s="74">
        <v>2.7</v>
      </c>
      <c r="C468" s="71">
        <v>39.799999999999997</v>
      </c>
      <c r="D468" s="132">
        <f t="array" ref="D468">MOD(ROW(), 3) + 1</f>
        <v>1</v>
      </c>
    </row>
    <row r="469" spans="1:4" ht="15.75">
      <c r="A469" s="64">
        <f t="shared" ca="1" si="11"/>
        <v>0.69709928933296184</v>
      </c>
      <c r="B469" s="74">
        <v>5.3</v>
      </c>
      <c r="C469" s="71">
        <v>23.299900000000001</v>
      </c>
      <c r="D469" s="132">
        <f t="array" ref="D469">MOD(ROW(), 3) + 1</f>
        <v>2</v>
      </c>
    </row>
    <row r="470" spans="1:4" ht="15.75">
      <c r="A470" s="64">
        <f t="shared" ca="1" si="11"/>
        <v>0.75206088506891811</v>
      </c>
      <c r="B470" s="74">
        <v>2.5</v>
      </c>
      <c r="C470" s="71">
        <v>40.200000000000003</v>
      </c>
      <c r="D470" s="132">
        <f t="array" ref="D470">MOD(ROW(), 3) + 1</f>
        <v>3</v>
      </c>
    </row>
    <row r="471" spans="1:4" ht="15.75">
      <c r="A471" s="64">
        <f t="shared" ca="1" si="11"/>
        <v>0.4288182892897362</v>
      </c>
      <c r="B471" s="74">
        <v>3.5</v>
      </c>
      <c r="C471" s="71">
        <v>38.299999999999997</v>
      </c>
      <c r="D471" s="132">
        <f t="array" ref="D471">MOD(ROW(), 3) + 1</f>
        <v>1</v>
      </c>
    </row>
    <row r="472" spans="1:4" ht="15.75">
      <c r="A472" s="64">
        <f t="shared" ca="1" si="11"/>
        <v>0.34654518911430721</v>
      </c>
      <c r="B472" s="74">
        <v>6</v>
      </c>
      <c r="C472" s="71">
        <v>30.5</v>
      </c>
      <c r="D472" s="132">
        <f t="array" ref="D472">MOD(ROW(), 3) + 1</f>
        <v>2</v>
      </c>
    </row>
    <row r="473" spans="1:4" ht="15.75">
      <c r="A473" s="64">
        <f t="shared" ca="1" si="11"/>
        <v>0.3252622030024912</v>
      </c>
      <c r="B473" s="74">
        <v>2</v>
      </c>
      <c r="C473" s="71">
        <v>42</v>
      </c>
      <c r="D473" s="132">
        <f t="array" ref="D473">MOD(ROW(), 3) + 1</f>
        <v>3</v>
      </c>
    </row>
    <row r="474" spans="1:4" ht="15.75">
      <c r="A474" s="64">
        <f t="shared" ca="1" si="11"/>
        <v>0.33741268928057755</v>
      </c>
      <c r="B474" s="74">
        <v>6.2</v>
      </c>
      <c r="C474" s="71">
        <v>27.4</v>
      </c>
      <c r="D474" s="132">
        <f t="array" ref="D474">MOD(ROW(), 3) + 1</f>
        <v>1</v>
      </c>
    </row>
    <row r="475" spans="1:4" ht="15.75">
      <c r="A475" s="64">
        <f t="shared" ca="1" si="11"/>
        <v>0.45512470476931932</v>
      </c>
      <c r="B475" s="74">
        <v>6.2</v>
      </c>
      <c r="C475" s="71">
        <v>28.4</v>
      </c>
      <c r="D475" s="132">
        <f t="array" ref="D475">MOD(ROW(), 3) + 1</f>
        <v>2</v>
      </c>
    </row>
    <row r="476" spans="1:4" ht="15.75">
      <c r="A476" s="64">
        <f t="shared" ca="1" si="11"/>
        <v>0.47378046317456346</v>
      </c>
      <c r="B476" s="74">
        <v>2.5</v>
      </c>
      <c r="C476" s="71">
        <v>39.200000000000003</v>
      </c>
      <c r="D476" s="132">
        <f t="array" ref="D476">MOD(ROW(), 3) + 1</f>
        <v>3</v>
      </c>
    </row>
    <row r="477" spans="1:4" ht="15.75">
      <c r="A477" s="64">
        <f t="shared" ca="1" si="11"/>
        <v>0.55261029805213435</v>
      </c>
      <c r="B477" s="74">
        <v>3.6</v>
      </c>
      <c r="C477" s="71">
        <v>37.200000000000003</v>
      </c>
      <c r="D477" s="132">
        <f t="array" ref="D477">MOD(ROW(), 3) + 1</f>
        <v>1</v>
      </c>
    </row>
    <row r="478" spans="1:4" ht="15.75">
      <c r="A478" s="64">
        <f t="shared" ca="1" si="11"/>
        <v>0.1449199435603461</v>
      </c>
      <c r="B478" s="74">
        <v>3</v>
      </c>
      <c r="C478" s="71">
        <v>35.9</v>
      </c>
      <c r="D478" s="132">
        <f t="array" ref="D478">MOD(ROW(), 3) + 1</f>
        <v>2</v>
      </c>
    </row>
    <row r="479" spans="1:4" ht="15.75">
      <c r="A479" s="64">
        <f t="shared" ca="1" si="11"/>
        <v>0.81163294746434611</v>
      </c>
      <c r="B479" s="74">
        <v>3.7</v>
      </c>
      <c r="C479" s="71">
        <v>30.5</v>
      </c>
      <c r="D479" s="132">
        <f t="array" ref="D479">MOD(ROW(), 3) + 1</f>
        <v>3</v>
      </c>
    </row>
    <row r="480" spans="1:4" ht="15.75">
      <c r="A480" s="64">
        <f t="shared" ca="1" si="11"/>
        <v>0.86458384225917262</v>
      </c>
      <c r="B480" s="74">
        <v>1</v>
      </c>
      <c r="C480" s="71">
        <v>57.8</v>
      </c>
      <c r="D480" s="132">
        <f t="array" ref="D480">MOD(ROW(), 3) + 1</f>
        <v>1</v>
      </c>
    </row>
    <row r="481" spans="1:4" ht="15.75">
      <c r="A481" s="64">
        <f t="shared" ca="1" si="11"/>
        <v>0.5752151173214447</v>
      </c>
      <c r="B481" s="74">
        <v>2</v>
      </c>
      <c r="C481" s="71">
        <v>30.6</v>
      </c>
      <c r="D481" s="132">
        <f t="array" ref="D481">MOD(ROW(), 3) + 1</f>
        <v>2</v>
      </c>
    </row>
    <row r="482" spans="1:4" ht="15.75">
      <c r="A482" s="64">
        <f t="shared" ca="1" si="11"/>
        <v>0.71300638768861313</v>
      </c>
      <c r="B482" s="74">
        <v>3</v>
      </c>
      <c r="C482" s="71">
        <v>35.708100000000002</v>
      </c>
      <c r="D482" s="132">
        <f t="array" ref="D482">MOD(ROW(), 3) + 1</f>
        <v>3</v>
      </c>
    </row>
    <row r="483" spans="1:4" ht="15.75">
      <c r="A483" s="64">
        <f t="shared" ca="1" si="11"/>
        <v>6.1154245125435436E-3</v>
      </c>
      <c r="B483" s="74">
        <v>2.5</v>
      </c>
      <c r="C483" s="71">
        <v>38.6</v>
      </c>
      <c r="D483" s="132">
        <f t="array" ref="D483">MOD(ROW(), 3) + 1</f>
        <v>1</v>
      </c>
    </row>
    <row r="484" spans="1:4" ht="15.75">
      <c r="A484" s="64">
        <f t="shared" ca="1" si="11"/>
        <v>0.19484871635356416</v>
      </c>
      <c r="B484" s="74">
        <v>3</v>
      </c>
      <c r="C484" s="71">
        <v>35.708100000000002</v>
      </c>
      <c r="D484" s="132">
        <f t="array" ref="D484">MOD(ROW(), 3) + 1</f>
        <v>2</v>
      </c>
    </row>
    <row r="485" spans="1:4" ht="15.75">
      <c r="A485" s="64">
        <f t="shared" ca="1" si="11"/>
        <v>0.42276043310773204</v>
      </c>
      <c r="B485" s="74">
        <v>3.7</v>
      </c>
      <c r="C485" s="71">
        <v>34.730499999999999</v>
      </c>
      <c r="D485" s="132">
        <f t="array" ref="D485">MOD(ROW(), 3) + 1</f>
        <v>3</v>
      </c>
    </row>
    <row r="486" spans="1:4" ht="15.75">
      <c r="A486" s="64">
        <f t="shared" ca="1" si="11"/>
        <v>0.37951959434119542</v>
      </c>
      <c r="B486" s="74">
        <v>5.5</v>
      </c>
      <c r="C486" s="71">
        <v>30.8</v>
      </c>
      <c r="D486" s="132">
        <f t="array" ref="D486">MOD(ROW(), 3) + 1</f>
        <v>1</v>
      </c>
    </row>
    <row r="487" spans="1:4" ht="15.75">
      <c r="A487" s="64">
        <f t="shared" ca="1" si="11"/>
        <v>0.20682410507414739</v>
      </c>
      <c r="B487" s="74">
        <v>2.9</v>
      </c>
      <c r="C487" s="71">
        <v>34.299999999999997</v>
      </c>
      <c r="D487" s="132">
        <f t="array" ref="D487">MOD(ROW(), 3) + 1</f>
        <v>2</v>
      </c>
    </row>
    <row r="488" spans="1:4" ht="15.75">
      <c r="A488" s="64">
        <f t="shared" ca="1" si="11"/>
        <v>0.50594319577263236</v>
      </c>
      <c r="B488" s="74">
        <v>2.5</v>
      </c>
      <c r="C488" s="71">
        <v>31.8</v>
      </c>
      <c r="D488" s="132">
        <f t="array" ref="D488">MOD(ROW(), 3) + 1</f>
        <v>3</v>
      </c>
    </row>
    <row r="489" spans="1:4" ht="15.75">
      <c r="A489" s="64">
        <f t="shared" ca="1" si="11"/>
        <v>0.86895256671045051</v>
      </c>
      <c r="B489" s="74">
        <v>5.2</v>
      </c>
      <c r="C489" s="71">
        <v>22.6</v>
      </c>
      <c r="D489" s="132">
        <f t="array" ref="D489">MOD(ROW(), 3) + 1</f>
        <v>1</v>
      </c>
    </row>
    <row r="490" spans="1:4" ht="15.75">
      <c r="A490" s="64">
        <f t="shared" ca="1" si="11"/>
        <v>0.97973301628532239</v>
      </c>
      <c r="B490" s="74">
        <v>4</v>
      </c>
      <c r="C490" s="71">
        <v>28.654900000000001</v>
      </c>
      <c r="D490" s="132">
        <f t="array" ref="D490">MOD(ROW(), 3) + 1</f>
        <v>2</v>
      </c>
    </row>
    <row r="491" spans="1:4" ht="15.75">
      <c r="A491" s="64">
        <f t="shared" ca="1" si="11"/>
        <v>0.17747680647177189</v>
      </c>
      <c r="B491" s="74">
        <v>5.3</v>
      </c>
      <c r="C491" s="71">
        <v>22.9</v>
      </c>
      <c r="D491" s="132">
        <f t="array" ref="D491">MOD(ROW(), 3) + 1</f>
        <v>3</v>
      </c>
    </row>
    <row r="492" spans="1:4" ht="15.75">
      <c r="A492" s="64">
        <f t="shared" ca="1" si="11"/>
        <v>0.68651531242578889</v>
      </c>
      <c r="B492" s="74">
        <v>5.4</v>
      </c>
      <c r="C492" s="71">
        <v>24.793900000000001</v>
      </c>
      <c r="D492" s="132">
        <f t="array" ref="D492">MOD(ROW(), 3) + 1</f>
        <v>1</v>
      </c>
    </row>
    <row r="493" spans="1:4" ht="15.75">
      <c r="A493" s="64">
        <f t="shared" ca="1" si="11"/>
        <v>0.10788373491445802</v>
      </c>
      <c r="B493" s="74">
        <v>4.5999999999999996</v>
      </c>
      <c r="C493" s="71">
        <v>31.9</v>
      </c>
      <c r="D493" s="132">
        <f t="array" ref="D493">MOD(ROW(), 3) + 1</f>
        <v>2</v>
      </c>
    </row>
    <row r="494" spans="1:4" ht="15.75">
      <c r="A494" s="64">
        <f t="shared" ca="1" si="11"/>
        <v>0.2810722123941144</v>
      </c>
      <c r="B494" s="74">
        <v>5.5</v>
      </c>
      <c r="C494" s="71">
        <v>29.3</v>
      </c>
      <c r="D494" s="132">
        <f t="array" ref="D494">MOD(ROW(), 3) + 1</f>
        <v>3</v>
      </c>
    </row>
    <row r="495" spans="1:4" ht="15.75">
      <c r="A495" s="64">
        <f t="shared" ca="1" si="11"/>
        <v>0.35111299519461547</v>
      </c>
      <c r="B495" s="74">
        <v>4.2</v>
      </c>
      <c r="C495" s="71">
        <v>25.045100000000001</v>
      </c>
      <c r="D495" s="132">
        <f t="array" ref="D495">MOD(ROW(), 3) + 1</f>
        <v>1</v>
      </c>
    </row>
    <row r="496" spans="1:4" ht="15.75">
      <c r="A496" s="64">
        <f t="shared" ca="1" si="11"/>
        <v>0.18487867657263779</v>
      </c>
      <c r="B496" s="74">
        <v>2.4</v>
      </c>
      <c r="C496" s="71">
        <v>46.9</v>
      </c>
      <c r="D496" s="132">
        <f t="array" ref="D496">MOD(ROW(), 3) + 1</f>
        <v>2</v>
      </c>
    </row>
    <row r="497" spans="1:4" ht="15.75">
      <c r="A497" s="64">
        <f t="shared" ca="1" si="11"/>
        <v>0.42069118724604582</v>
      </c>
      <c r="B497" s="74">
        <v>3</v>
      </c>
      <c r="C497" s="71">
        <v>37.9</v>
      </c>
      <c r="D497" s="132">
        <f t="array" ref="D497">MOD(ROW(), 3) + 1</f>
        <v>3</v>
      </c>
    </row>
    <row r="498" spans="1:4" ht="15.75">
      <c r="A498" s="64">
        <f t="shared" ca="1" si="11"/>
        <v>2.572884081276805E-2</v>
      </c>
      <c r="B498" s="74">
        <v>3</v>
      </c>
      <c r="C498" s="71">
        <v>34</v>
      </c>
      <c r="D498" s="132">
        <f t="array" ref="D498">MOD(ROW(), 3) + 1</f>
        <v>1</v>
      </c>
    </row>
    <row r="499" spans="1:4" ht="15.75">
      <c r="A499" s="64">
        <f t="shared" ca="1" si="11"/>
        <v>0.78790780294816865</v>
      </c>
      <c r="B499" s="74">
        <v>2.5</v>
      </c>
      <c r="C499" s="71">
        <v>40.081600000000002</v>
      </c>
      <c r="D499" s="132">
        <f t="array" ref="D499">MOD(ROW(), 3) + 1</f>
        <v>2</v>
      </c>
    </row>
    <row r="500" spans="1:4" ht="15.75">
      <c r="A500" s="64">
        <f t="shared" ca="1" si="11"/>
        <v>0.11051474009537743</v>
      </c>
      <c r="B500" s="74">
        <v>3.6</v>
      </c>
      <c r="C500" s="71">
        <v>26.1066</v>
      </c>
      <c r="D500" s="132">
        <f t="array" ref="D500">MOD(ROW(), 3) + 1</f>
        <v>3</v>
      </c>
    </row>
    <row r="501" spans="1:4" ht="15.75">
      <c r="A501" s="64">
        <f t="shared" ca="1" si="11"/>
        <v>0.47703288105661601</v>
      </c>
      <c r="B501" s="74">
        <v>4.2</v>
      </c>
      <c r="C501" s="71">
        <v>31.5002</v>
      </c>
      <c r="D501" s="132">
        <f t="array" ref="D501">MOD(ROW(), 3) + 1</f>
        <v>1</v>
      </c>
    </row>
    <row r="502" spans="1:4" ht="15.75">
      <c r="A502" s="64">
        <f t="shared" ca="1" si="11"/>
        <v>0.7809723191445358</v>
      </c>
      <c r="B502" s="74">
        <v>3.7</v>
      </c>
      <c r="C502" s="71">
        <v>37.064999999999998</v>
      </c>
      <c r="D502" s="132">
        <f t="array" ref="D502">MOD(ROW(), 3) + 1</f>
        <v>2</v>
      </c>
    </row>
    <row r="503" spans="1:4" ht="15.75">
      <c r="A503" s="64">
        <f t="shared" ca="1" si="11"/>
        <v>0.46548714784792811</v>
      </c>
      <c r="B503" s="74">
        <v>2</v>
      </c>
      <c r="C503" s="71">
        <v>37.5</v>
      </c>
      <c r="D503" s="132">
        <f t="array" ref="D503">MOD(ROW(), 3) + 1</f>
        <v>3</v>
      </c>
    </row>
    <row r="504" spans="1:4" ht="15.75">
      <c r="A504" s="64">
        <f t="shared" ca="1" si="11"/>
        <v>0.34065567652791029</v>
      </c>
      <c r="B504" s="74">
        <v>4.2</v>
      </c>
      <c r="C504" s="71">
        <v>29.3</v>
      </c>
      <c r="D504" s="132">
        <f t="array" ref="D504">MOD(ROW(), 3) + 1</f>
        <v>1</v>
      </c>
    </row>
    <row r="505" spans="1:4" ht="15.75">
      <c r="A505" s="64">
        <f t="shared" ca="1" si="11"/>
        <v>0.39991928897608808</v>
      </c>
      <c r="B505" s="74">
        <v>5.6</v>
      </c>
      <c r="C505" s="71">
        <v>23.061</v>
      </c>
      <c r="D505" s="132">
        <f t="array" ref="D505">MOD(ROW(), 3) + 1</f>
        <v>2</v>
      </c>
    </row>
    <row r="506" spans="1:4" ht="15.75">
      <c r="A506" s="64">
        <f t="shared" ca="1" si="11"/>
        <v>0.23662133636090221</v>
      </c>
      <c r="B506" s="74">
        <v>6.7</v>
      </c>
      <c r="C506" s="71">
        <v>24.2</v>
      </c>
      <c r="D506" s="132">
        <f t="array" ref="D506">MOD(ROW(), 3) + 1</f>
        <v>3</v>
      </c>
    </row>
    <row r="507" spans="1:4" ht="15.75">
      <c r="A507" s="64">
        <f t="shared" ca="1" si="11"/>
        <v>0.99487843638952722</v>
      </c>
      <c r="B507" s="74">
        <v>4.8</v>
      </c>
      <c r="C507" s="71">
        <v>32.026299999999999</v>
      </c>
      <c r="D507" s="132">
        <f t="array" ref="D507">MOD(ROW(), 3) + 1</f>
        <v>1</v>
      </c>
    </row>
    <row r="508" spans="1:4" ht="15.75">
      <c r="A508" s="64">
        <f t="shared" ca="1" si="11"/>
        <v>8.0646049525426311E-2</v>
      </c>
      <c r="B508" s="74">
        <v>4</v>
      </c>
      <c r="C508" s="71">
        <v>29.2</v>
      </c>
      <c r="D508" s="132">
        <f t="array" ref="D508">MOD(ROW(), 3) + 1</f>
        <v>2</v>
      </c>
    </row>
    <row r="509" spans="1:4" ht="15.75">
      <c r="A509" s="64">
        <f t="shared" ca="1" si="11"/>
        <v>0.85804202417449571</v>
      </c>
      <c r="B509" s="74">
        <v>3.5</v>
      </c>
      <c r="C509" s="71">
        <v>33</v>
      </c>
      <c r="D509" s="132">
        <f t="array" ref="D509">MOD(ROW(), 3) + 1</f>
        <v>3</v>
      </c>
    </row>
    <row r="510" spans="1:4" ht="15.75">
      <c r="A510" s="64">
        <f t="shared" ca="1" si="11"/>
        <v>7.5312944450450781E-2</v>
      </c>
      <c r="B510" s="74">
        <v>3</v>
      </c>
      <c r="C510" s="71">
        <v>36.798000000000002</v>
      </c>
      <c r="D510" s="132">
        <f t="array" ref="D510">MOD(ROW(), 3) + 1</f>
        <v>1</v>
      </c>
    </row>
    <row r="511" spans="1:4" ht="15.75">
      <c r="A511" s="64">
        <f t="shared" ca="1" si="11"/>
        <v>0.4250635989674526</v>
      </c>
      <c r="B511" s="74">
        <v>3.7</v>
      </c>
      <c r="C511" s="71">
        <v>28.8</v>
      </c>
      <c r="D511" s="132">
        <f t="array" ref="D511">MOD(ROW(), 3) + 1</f>
        <v>2</v>
      </c>
    </row>
    <row r="512" spans="1:4" ht="15.75">
      <c r="A512" s="64">
        <f t="shared" ca="1" si="11"/>
        <v>0.49431999468275756</v>
      </c>
      <c r="B512" s="74">
        <v>3.6</v>
      </c>
      <c r="C512" s="71">
        <v>37.200000000000003</v>
      </c>
      <c r="D512" s="132">
        <f t="array" ref="D512">MOD(ROW(), 3) + 1</f>
        <v>3</v>
      </c>
    </row>
    <row r="513" spans="1:4" ht="15.75">
      <c r="A513" s="64">
        <f t="shared" ca="1" si="11"/>
        <v>0.22625988892271109</v>
      </c>
      <c r="B513" s="74">
        <v>2</v>
      </c>
      <c r="C513" s="71">
        <v>42</v>
      </c>
      <c r="D513" s="132">
        <f t="array" ref="D513">MOD(ROW(), 3) + 1</f>
        <v>1</v>
      </c>
    </row>
    <row r="514" spans="1:4" ht="15.75">
      <c r="A514" s="64">
        <f t="shared" ca="1" si="11"/>
        <v>0.4862684233148602</v>
      </c>
      <c r="B514" s="74">
        <v>2.4</v>
      </c>
      <c r="C514" s="71">
        <v>39.299999999999997</v>
      </c>
      <c r="D514" s="132">
        <f t="array" ref="D514">MOD(ROW(), 3) + 1</f>
        <v>2</v>
      </c>
    </row>
    <row r="515" spans="1:4" ht="15.75">
      <c r="A515" s="64">
        <f t="shared" ref="A515:A578" ca="1" si="12">RAND()</f>
        <v>0.4815658743709087</v>
      </c>
      <c r="B515" s="74">
        <v>2</v>
      </c>
      <c r="C515" s="71">
        <v>38.462699999999998</v>
      </c>
      <c r="D515" s="132">
        <f t="array" ref="D515">MOD(ROW(), 3) + 1</f>
        <v>3</v>
      </c>
    </row>
    <row r="516" spans="1:4" ht="15.75">
      <c r="A516" s="64">
        <f t="shared" ca="1" si="12"/>
        <v>0.58307441494721757</v>
      </c>
      <c r="B516" s="74">
        <v>1.6</v>
      </c>
      <c r="C516" s="71">
        <v>51.655500000000004</v>
      </c>
      <c r="D516" s="132">
        <f t="array" ref="D516">MOD(ROW(), 3) + 1</f>
        <v>1</v>
      </c>
    </row>
    <row r="517" spans="1:4" ht="15.75">
      <c r="A517" s="64">
        <f t="shared" ca="1" si="12"/>
        <v>0.94662693818793153</v>
      </c>
      <c r="B517" s="74">
        <v>2.9</v>
      </c>
      <c r="C517" s="71">
        <v>34.1</v>
      </c>
      <c r="D517" s="132">
        <f t="array" ref="D517">MOD(ROW(), 3) + 1</f>
        <v>2</v>
      </c>
    </row>
    <row r="518" spans="1:4" ht="15.75">
      <c r="A518" s="64">
        <f t="shared" ca="1" si="12"/>
        <v>0.66043944031442148</v>
      </c>
      <c r="B518" s="74">
        <v>3</v>
      </c>
      <c r="C518" s="71">
        <v>34.9</v>
      </c>
      <c r="D518" s="132">
        <f t="array" ref="D518">MOD(ROW(), 3) + 1</f>
        <v>3</v>
      </c>
    </row>
    <row r="519" spans="1:4" ht="15.75">
      <c r="A519" s="64">
        <f t="shared" ca="1" si="12"/>
        <v>0.60736973029179442</v>
      </c>
      <c r="B519" s="74">
        <v>3</v>
      </c>
      <c r="C519" s="71">
        <v>36.154800000000002</v>
      </c>
      <c r="D519" s="132">
        <f t="array" ref="D519">MOD(ROW(), 3) + 1</f>
        <v>1</v>
      </c>
    </row>
    <row r="520" spans="1:4" ht="15.75">
      <c r="A520" s="64">
        <f t="shared" ca="1" si="12"/>
        <v>0.67170281659205566</v>
      </c>
      <c r="B520" s="74">
        <v>6.2</v>
      </c>
      <c r="C520" s="71">
        <v>27.1</v>
      </c>
      <c r="D520" s="132">
        <f t="array" ref="D520">MOD(ROW(), 3) + 1</f>
        <v>2</v>
      </c>
    </row>
    <row r="521" spans="1:4" ht="15.75">
      <c r="A521" s="64">
        <f t="shared" ca="1" si="12"/>
        <v>0.44227334353042191</v>
      </c>
      <c r="B521" s="74">
        <v>2.2000000000000002</v>
      </c>
      <c r="C521" s="71">
        <v>51.9</v>
      </c>
      <c r="D521" s="132">
        <f t="array" ref="D521">MOD(ROW(), 3) + 1</f>
        <v>3</v>
      </c>
    </row>
    <row r="522" spans="1:4" ht="15.75">
      <c r="A522" s="64">
        <f t="shared" ca="1" si="12"/>
        <v>0.32689085489580116</v>
      </c>
      <c r="B522" s="74">
        <v>2.4</v>
      </c>
      <c r="C522" s="71">
        <v>33.6</v>
      </c>
      <c r="D522" s="132">
        <f t="array" ref="D522">MOD(ROW(), 3) + 1</f>
        <v>1</v>
      </c>
    </row>
    <row r="523" spans="1:4" ht="15.75">
      <c r="A523" s="64">
        <f t="shared" ca="1" si="12"/>
        <v>0.63160193855221147</v>
      </c>
      <c r="B523" s="74">
        <v>6.8</v>
      </c>
      <c r="C523" s="71">
        <v>21.006</v>
      </c>
      <c r="D523" s="132">
        <f t="array" ref="D523">MOD(ROW(), 3) + 1</f>
        <v>2</v>
      </c>
    </row>
    <row r="524" spans="1:4" ht="15.75">
      <c r="A524" s="64">
        <f t="shared" ca="1" si="12"/>
        <v>0.830663295976523</v>
      </c>
      <c r="B524" s="74">
        <v>3.5</v>
      </c>
      <c r="C524" s="71">
        <v>38.299999999999997</v>
      </c>
      <c r="D524" s="132">
        <f t="array" ref="D524">MOD(ROW(), 3) + 1</f>
        <v>3</v>
      </c>
    </row>
    <row r="525" spans="1:4" ht="15.75">
      <c r="A525" s="64">
        <f t="shared" ca="1" si="12"/>
        <v>0.62385933984318021</v>
      </c>
      <c r="B525" s="74">
        <v>6</v>
      </c>
      <c r="C525" s="71">
        <v>23.1</v>
      </c>
      <c r="D525" s="132">
        <f t="array" ref="D525">MOD(ROW(), 3) + 1</f>
        <v>1</v>
      </c>
    </row>
    <row r="526" spans="1:4" ht="15.75">
      <c r="A526" s="64">
        <f t="shared" ca="1" si="12"/>
        <v>0.21118621151687877</v>
      </c>
      <c r="B526" s="74">
        <v>2.4</v>
      </c>
      <c r="C526" s="71">
        <v>39.200000000000003</v>
      </c>
      <c r="D526" s="132">
        <f t="array" ref="D526">MOD(ROW(), 3) + 1</f>
        <v>2</v>
      </c>
    </row>
    <row r="527" spans="1:4" ht="15.75">
      <c r="A527" s="64">
        <f t="shared" ca="1" si="12"/>
        <v>0.38878190253310585</v>
      </c>
      <c r="B527" s="74">
        <v>2.7</v>
      </c>
      <c r="C527" s="71">
        <v>38.299999999999997</v>
      </c>
      <c r="D527" s="132">
        <f t="array" ref="D527">MOD(ROW(), 3) + 1</f>
        <v>3</v>
      </c>
    </row>
    <row r="528" spans="1:4" ht="15.75">
      <c r="A528" s="64">
        <f t="shared" ca="1" si="12"/>
        <v>0.30254163291600022</v>
      </c>
      <c r="B528" s="74">
        <v>2</v>
      </c>
      <c r="C528" s="71">
        <v>41.315600000000003</v>
      </c>
      <c r="D528" s="132">
        <f t="array" ref="D528">MOD(ROW(), 3) + 1</f>
        <v>1</v>
      </c>
    </row>
    <row r="529" spans="1:4" ht="15.75">
      <c r="A529" s="64">
        <f t="shared" ca="1" si="12"/>
        <v>0.10077349257051382</v>
      </c>
      <c r="B529" s="74">
        <v>6.2</v>
      </c>
      <c r="C529" s="71">
        <v>26.1</v>
      </c>
      <c r="D529" s="132">
        <f t="array" ref="D529">MOD(ROW(), 3) + 1</f>
        <v>2</v>
      </c>
    </row>
    <row r="530" spans="1:4" ht="15.75">
      <c r="A530" s="64">
        <f t="shared" ca="1" si="12"/>
        <v>0.69054045360079652</v>
      </c>
      <c r="B530" s="74">
        <v>1.5</v>
      </c>
      <c r="C530" s="71">
        <v>46.2622</v>
      </c>
      <c r="D530" s="132">
        <f t="array" ref="D530">MOD(ROW(), 3) + 1</f>
        <v>3</v>
      </c>
    </row>
    <row r="531" spans="1:4" ht="15.75">
      <c r="A531" s="64">
        <f t="shared" ca="1" si="12"/>
        <v>0.11601711847728535</v>
      </c>
      <c r="B531" s="74">
        <v>4.2</v>
      </c>
      <c r="C531" s="71">
        <v>34.485500000000002</v>
      </c>
      <c r="D531" s="132">
        <f t="array" ref="D531">MOD(ROW(), 3) + 1</f>
        <v>1</v>
      </c>
    </row>
    <row r="532" spans="1:4" ht="15.75">
      <c r="A532" s="64">
        <f t="shared" ca="1" si="12"/>
        <v>0.36938715481052686</v>
      </c>
      <c r="B532" s="74">
        <v>3.7</v>
      </c>
      <c r="C532" s="71">
        <v>28.5</v>
      </c>
      <c r="D532" s="132">
        <f t="array" ref="D532">MOD(ROW(), 3) + 1</f>
        <v>2</v>
      </c>
    </row>
    <row r="533" spans="1:4" ht="15.75">
      <c r="A533" s="64">
        <f t="shared" ca="1" si="12"/>
        <v>0.63058492298684221</v>
      </c>
      <c r="B533" s="74">
        <v>5.7</v>
      </c>
      <c r="C533" s="71">
        <v>24.220600000000001</v>
      </c>
      <c r="D533" s="132">
        <f t="array" ref="D533">MOD(ROW(), 3) + 1</f>
        <v>3</v>
      </c>
    </row>
    <row r="534" spans="1:4" ht="15.75">
      <c r="A534" s="64">
        <f t="shared" ca="1" si="12"/>
        <v>0.5226764644058417</v>
      </c>
      <c r="B534" s="74">
        <v>5.7</v>
      </c>
      <c r="C534" s="71">
        <v>25.555099999999999</v>
      </c>
      <c r="D534" s="132">
        <f t="array" ref="D534">MOD(ROW(), 3) + 1</f>
        <v>1</v>
      </c>
    </row>
    <row r="535" spans="1:4" ht="15.75">
      <c r="A535" s="64">
        <f t="shared" ca="1" si="12"/>
        <v>0.44135324201881576</v>
      </c>
      <c r="B535" s="74">
        <v>3.2</v>
      </c>
      <c r="C535" s="71">
        <v>33.762799999999999</v>
      </c>
      <c r="D535" s="132">
        <f t="array" ref="D535">MOD(ROW(), 3) + 1</f>
        <v>2</v>
      </c>
    </row>
    <row r="536" spans="1:4" ht="15.75">
      <c r="A536" s="64">
        <f t="shared" ca="1" si="12"/>
        <v>0.52813936941978246</v>
      </c>
      <c r="B536" s="74">
        <v>4.5999999999999996</v>
      </c>
      <c r="C536" s="71">
        <v>28.3</v>
      </c>
      <c r="D536" s="132">
        <f t="array" ref="D536">MOD(ROW(), 3) + 1</f>
        <v>3</v>
      </c>
    </row>
    <row r="537" spans="1:4" ht="15.75">
      <c r="A537" s="64">
        <f t="shared" ca="1" si="12"/>
        <v>0.46256280739234934</v>
      </c>
      <c r="B537" s="74">
        <v>3.7</v>
      </c>
      <c r="C537" s="71">
        <v>26.6</v>
      </c>
      <c r="D537" s="132">
        <f t="array" ref="D537">MOD(ROW(), 3) + 1</f>
        <v>1</v>
      </c>
    </row>
    <row r="538" spans="1:4" ht="15.75">
      <c r="A538" s="64">
        <f t="shared" ca="1" si="12"/>
        <v>0.20251322152585194</v>
      </c>
      <c r="B538" s="74">
        <v>3.6</v>
      </c>
      <c r="C538" s="71">
        <v>37.690800000000003</v>
      </c>
      <c r="D538" s="132">
        <f t="array" ref="D538">MOD(ROW(), 3) + 1</f>
        <v>2</v>
      </c>
    </row>
    <row r="539" spans="1:4" ht="15.75">
      <c r="A539" s="64">
        <f t="shared" ca="1" si="12"/>
        <v>0.28525589501357596</v>
      </c>
      <c r="B539" s="74">
        <v>3.5</v>
      </c>
      <c r="C539" s="71">
        <v>31.708200000000001</v>
      </c>
      <c r="D539" s="132">
        <f t="array" ref="D539">MOD(ROW(), 3) + 1</f>
        <v>3</v>
      </c>
    </row>
    <row r="540" spans="1:4" ht="15.75">
      <c r="A540" s="64">
        <f t="shared" ca="1" si="12"/>
        <v>0.72600425910271993</v>
      </c>
      <c r="B540" s="74">
        <v>3</v>
      </c>
      <c r="C540" s="71">
        <v>35.460599999999999</v>
      </c>
      <c r="D540" s="132">
        <f t="array" ref="D540">MOD(ROW(), 3) + 1</f>
        <v>1</v>
      </c>
    </row>
    <row r="541" spans="1:4" ht="15.75">
      <c r="A541" s="64">
        <f t="shared" ca="1" si="12"/>
        <v>0.46630726531029765</v>
      </c>
      <c r="B541" s="74">
        <v>2.9</v>
      </c>
      <c r="C541" s="71">
        <v>35.323700000000002</v>
      </c>
      <c r="D541" s="132">
        <f t="array" ref="D541">MOD(ROW(), 3) + 1</f>
        <v>2</v>
      </c>
    </row>
    <row r="542" spans="1:4" ht="15.75">
      <c r="A542" s="64">
        <f t="shared" ca="1" si="12"/>
        <v>0.76890144618076761</v>
      </c>
      <c r="B542" s="74">
        <v>3.8</v>
      </c>
      <c r="C542" s="71">
        <v>33.235700000000001</v>
      </c>
      <c r="D542" s="132">
        <f t="array" ref="D542">MOD(ROW(), 3) + 1</f>
        <v>3</v>
      </c>
    </row>
    <row r="543" spans="1:4" ht="15.75">
      <c r="A543" s="64">
        <f t="shared" ca="1" si="12"/>
        <v>0.9801220282781119</v>
      </c>
      <c r="B543" s="74">
        <v>3</v>
      </c>
      <c r="C543" s="71">
        <v>38.169600000000003</v>
      </c>
      <c r="D543" s="132">
        <f t="array" ref="D543">MOD(ROW(), 3) + 1</f>
        <v>1</v>
      </c>
    </row>
    <row r="544" spans="1:4" ht="15.75">
      <c r="A544" s="64">
        <f t="shared" ca="1" si="12"/>
        <v>0.83619030418579754</v>
      </c>
      <c r="B544" s="74">
        <v>2.5</v>
      </c>
      <c r="C544" s="71">
        <v>38.029899999999998</v>
      </c>
      <c r="D544" s="132">
        <f t="array" ref="D544">MOD(ROW(), 3) + 1</f>
        <v>2</v>
      </c>
    </row>
    <row r="545" spans="1:4" ht="15.75">
      <c r="A545" s="64">
        <f t="shared" ca="1" si="12"/>
        <v>0.21407018308148396</v>
      </c>
      <c r="B545" s="74">
        <v>3.7</v>
      </c>
      <c r="C545" s="71">
        <v>31.6</v>
      </c>
      <c r="D545" s="132">
        <f t="array" ref="D545">MOD(ROW(), 3) + 1</f>
        <v>3</v>
      </c>
    </row>
    <row r="546" spans="1:4" ht="15.75">
      <c r="A546" s="64">
        <f t="shared" ca="1" si="12"/>
        <v>0.80158944056583525</v>
      </c>
      <c r="B546" s="74">
        <v>3.8</v>
      </c>
      <c r="C546" s="71">
        <v>34.514800000000001</v>
      </c>
      <c r="D546" s="132">
        <f t="array" ref="D546">MOD(ROW(), 3) + 1</f>
        <v>1</v>
      </c>
    </row>
    <row r="547" spans="1:4" ht="15.75">
      <c r="A547" s="64">
        <f t="shared" ca="1" si="12"/>
        <v>0.84429801397278359</v>
      </c>
      <c r="B547" s="74">
        <v>3.5</v>
      </c>
      <c r="C547" s="71">
        <v>28.668299999999999</v>
      </c>
      <c r="D547" s="132">
        <f t="array" ref="D547">MOD(ROW(), 3) + 1</f>
        <v>2</v>
      </c>
    </row>
    <row r="548" spans="1:4" ht="15.75">
      <c r="A548" s="64">
        <f t="shared" ca="1" si="12"/>
        <v>0.63281021544486937</v>
      </c>
      <c r="B548" s="74">
        <v>4</v>
      </c>
      <c r="C548" s="71">
        <v>25.753499999999999</v>
      </c>
      <c r="D548" s="132">
        <f t="array" ref="D548">MOD(ROW(), 3) + 1</f>
        <v>3</v>
      </c>
    </row>
    <row r="549" spans="1:4" ht="15.75">
      <c r="A549" s="64">
        <f t="shared" ca="1" si="12"/>
        <v>0.13699697053063709</v>
      </c>
      <c r="B549" s="74">
        <v>2.4</v>
      </c>
      <c r="C549" s="71">
        <v>38.700000000000003</v>
      </c>
      <c r="D549" s="132">
        <f t="array" ref="D549">MOD(ROW(), 3) + 1</f>
        <v>1</v>
      </c>
    </row>
    <row r="550" spans="1:4" ht="15.75">
      <c r="A550" s="64">
        <f t="shared" ca="1" si="12"/>
        <v>0.84931294777464017</v>
      </c>
      <c r="B550" s="74">
        <v>8.4</v>
      </c>
      <c r="C550" s="71">
        <v>30</v>
      </c>
      <c r="D550" s="132">
        <f t="array" ref="D550">MOD(ROW(), 3) + 1</f>
        <v>2</v>
      </c>
    </row>
    <row r="551" spans="1:4" ht="15.75">
      <c r="A551" s="64">
        <f t="shared" ca="1" si="12"/>
        <v>0.21516695001930342</v>
      </c>
      <c r="B551" s="74">
        <v>5.7</v>
      </c>
      <c r="C551" s="71">
        <v>31.9</v>
      </c>
      <c r="D551" s="132">
        <f t="array" ref="D551">MOD(ROW(), 3) + 1</f>
        <v>3</v>
      </c>
    </row>
    <row r="552" spans="1:4" ht="15.75">
      <c r="A552" s="64">
        <f t="shared" ca="1" si="12"/>
        <v>0.40022746919522956</v>
      </c>
      <c r="B552" s="74">
        <v>4.4000000000000004</v>
      </c>
      <c r="C552" s="71">
        <v>30.8</v>
      </c>
      <c r="D552" s="132">
        <f t="array" ref="D552">MOD(ROW(), 3) + 1</f>
        <v>1</v>
      </c>
    </row>
    <row r="553" spans="1:4" ht="15.75">
      <c r="A553" s="64">
        <f t="shared" ca="1" si="12"/>
        <v>0.13583549340560119</v>
      </c>
      <c r="B553" s="74">
        <v>2</v>
      </c>
      <c r="C553" s="71">
        <v>40.5</v>
      </c>
      <c r="D553" s="132">
        <f t="array" ref="D553">MOD(ROW(), 3) + 1</f>
        <v>2</v>
      </c>
    </row>
    <row r="554" spans="1:4" ht="15.75">
      <c r="A554" s="64">
        <f t="shared" ca="1" si="12"/>
        <v>0.70724871993588645</v>
      </c>
      <c r="B554" s="74">
        <v>3.6</v>
      </c>
      <c r="C554" s="71">
        <v>31.6</v>
      </c>
      <c r="D554" s="132">
        <f t="array" ref="D554">MOD(ROW(), 3) + 1</f>
        <v>3</v>
      </c>
    </row>
    <row r="555" spans="1:4" ht="15.75">
      <c r="A555" s="64">
        <f t="shared" ca="1" si="12"/>
        <v>0.23186111470585413</v>
      </c>
      <c r="B555" s="74">
        <v>5.3</v>
      </c>
      <c r="C555" s="71">
        <v>28.993500000000001</v>
      </c>
      <c r="D555" s="132">
        <f t="array" ref="D555">MOD(ROW(), 3) + 1</f>
        <v>1</v>
      </c>
    </row>
    <row r="556" spans="1:4" ht="15.75">
      <c r="A556" s="64">
        <f t="shared" ca="1" si="12"/>
        <v>0.40066917655641199</v>
      </c>
      <c r="B556" s="74">
        <v>2.5</v>
      </c>
      <c r="C556" s="71">
        <v>35.922600000000003</v>
      </c>
      <c r="D556" s="132">
        <f t="array" ref="D556">MOD(ROW(), 3) + 1</f>
        <v>2</v>
      </c>
    </row>
    <row r="557" spans="1:4" ht="15.75">
      <c r="A557" s="64">
        <f t="shared" ca="1" si="12"/>
        <v>0.41634584459648716</v>
      </c>
      <c r="B557" s="74">
        <v>2</v>
      </c>
      <c r="C557" s="71">
        <v>42.6</v>
      </c>
      <c r="D557" s="132">
        <f t="array" ref="D557">MOD(ROW(), 3) + 1</f>
        <v>3</v>
      </c>
    </row>
    <row r="558" spans="1:4" ht="15.75">
      <c r="A558" s="64">
        <f t="shared" ca="1" si="12"/>
        <v>0.42987161550739827</v>
      </c>
      <c r="B558" s="74">
        <v>3.7</v>
      </c>
      <c r="C558" s="71">
        <v>28.5</v>
      </c>
      <c r="D558" s="132">
        <f t="array" ref="D558">MOD(ROW(), 3) + 1</f>
        <v>1</v>
      </c>
    </row>
    <row r="559" spans="1:4" ht="15.75">
      <c r="A559" s="64">
        <f t="shared" ca="1" si="12"/>
        <v>0.28621163444864217</v>
      </c>
      <c r="B559" s="74">
        <v>3</v>
      </c>
      <c r="C559" s="71">
        <v>38.299999999999997</v>
      </c>
      <c r="D559" s="132">
        <f t="array" ref="D559">MOD(ROW(), 3) + 1</f>
        <v>2</v>
      </c>
    </row>
    <row r="560" spans="1:4" ht="15.75">
      <c r="A560" s="64">
        <f t="shared" ca="1" si="12"/>
        <v>0.60326796931946558</v>
      </c>
      <c r="B560" s="74">
        <v>4.8</v>
      </c>
      <c r="C560" s="71">
        <v>31.374700000000001</v>
      </c>
      <c r="D560" s="132">
        <f t="array" ref="D560">MOD(ROW(), 3) + 1</f>
        <v>3</v>
      </c>
    </row>
    <row r="561" spans="1:4" ht="15.75">
      <c r="A561" s="64">
        <f t="shared" ca="1" si="12"/>
        <v>0.47940913850454436</v>
      </c>
      <c r="B561" s="74">
        <v>4</v>
      </c>
      <c r="C561" s="71">
        <v>28.0488</v>
      </c>
      <c r="D561" s="132">
        <f t="array" ref="D561">MOD(ROW(), 3) + 1</f>
        <v>1</v>
      </c>
    </row>
    <row r="562" spans="1:4" ht="15.75">
      <c r="A562" s="64">
        <f t="shared" ca="1" si="12"/>
        <v>0.86543700051671657</v>
      </c>
      <c r="B562" s="74">
        <v>5.3</v>
      </c>
      <c r="C562" s="71">
        <v>22.9</v>
      </c>
      <c r="D562" s="132">
        <f t="array" ref="D562">MOD(ROW(), 3) + 1</f>
        <v>2</v>
      </c>
    </row>
    <row r="563" spans="1:4" ht="15.75">
      <c r="A563" s="64">
        <f t="shared" ca="1" si="12"/>
        <v>0.88162936081278431</v>
      </c>
      <c r="B563" s="74">
        <v>5.2</v>
      </c>
      <c r="C563" s="71">
        <v>24.8</v>
      </c>
      <c r="D563" s="132">
        <f t="array" ref="D563">MOD(ROW(), 3) + 1</f>
        <v>3</v>
      </c>
    </row>
    <row r="564" spans="1:4" ht="15.75">
      <c r="A564" s="64">
        <f t="shared" ca="1" si="12"/>
        <v>0.93050762106449147</v>
      </c>
      <c r="B564" s="74">
        <v>3</v>
      </c>
      <c r="C564" s="71">
        <v>38.169600000000003</v>
      </c>
      <c r="D564" s="132">
        <f t="array" ref="D564">MOD(ROW(), 3) + 1</f>
        <v>1</v>
      </c>
    </row>
    <row r="565" spans="1:4" ht="15.75">
      <c r="A565" s="64">
        <f t="shared" ca="1" si="12"/>
        <v>0.7206456843355058</v>
      </c>
      <c r="B565" s="74">
        <v>3.7</v>
      </c>
      <c r="C565" s="71">
        <v>34.823500000000003</v>
      </c>
      <c r="D565" s="132">
        <f t="array" ref="D565">MOD(ROW(), 3) + 1</f>
        <v>2</v>
      </c>
    </row>
    <row r="566" spans="1:4" ht="15.75">
      <c r="A566" s="64">
        <f t="shared" ca="1" si="12"/>
        <v>0.86630069115483777</v>
      </c>
      <c r="B566" s="74">
        <v>2.9</v>
      </c>
      <c r="C566" s="71">
        <v>34.179600000000001</v>
      </c>
      <c r="D566" s="132">
        <f t="array" ref="D566">MOD(ROW(), 3) + 1</f>
        <v>3</v>
      </c>
    </row>
    <row r="567" spans="1:4" ht="15.75">
      <c r="A567" s="64">
        <f t="shared" ca="1" si="12"/>
        <v>0.55013989160626797</v>
      </c>
      <c r="B567" s="74">
        <v>1.8</v>
      </c>
      <c r="C567" s="71">
        <v>47.5</v>
      </c>
      <c r="D567" s="132">
        <f t="array" ref="D567">MOD(ROW(), 3) + 1</f>
        <v>1</v>
      </c>
    </row>
    <row r="568" spans="1:4" ht="15.75">
      <c r="A568" s="64">
        <f t="shared" ca="1" si="12"/>
        <v>0.75602778142188432</v>
      </c>
      <c r="B568" s="74">
        <v>3.8</v>
      </c>
      <c r="C568" s="71">
        <v>36.934699999999999</v>
      </c>
      <c r="D568" s="132">
        <f t="array" ref="D568">MOD(ROW(), 3) + 1</f>
        <v>2</v>
      </c>
    </row>
    <row r="569" spans="1:4" ht="15.75">
      <c r="A569" s="64">
        <f t="shared" ca="1" si="12"/>
        <v>0.50262564754148342</v>
      </c>
      <c r="B569" s="74">
        <v>2.4</v>
      </c>
      <c r="C569" s="71">
        <v>33.5</v>
      </c>
      <c r="D569" s="132">
        <f t="array" ref="D569">MOD(ROW(), 3) + 1</f>
        <v>3</v>
      </c>
    </row>
    <row r="570" spans="1:4" ht="15.75">
      <c r="A570" s="64">
        <f t="shared" ca="1" si="12"/>
        <v>0.57880269629031333</v>
      </c>
      <c r="B570" s="74">
        <v>3.5</v>
      </c>
      <c r="C570" s="71">
        <v>34.700000000000003</v>
      </c>
      <c r="D570" s="132">
        <f t="array" ref="D570">MOD(ROW(), 3) + 1</f>
        <v>1</v>
      </c>
    </row>
    <row r="571" spans="1:4" ht="15.75">
      <c r="A571" s="64">
        <f t="shared" ca="1" si="12"/>
        <v>0.58916335887907723</v>
      </c>
      <c r="B571" s="74">
        <v>6.5</v>
      </c>
      <c r="C571" s="71">
        <v>17.5</v>
      </c>
      <c r="D571" s="132">
        <f t="array" ref="D571">MOD(ROW(), 3) + 1</f>
        <v>2</v>
      </c>
    </row>
    <row r="572" spans="1:4" ht="15.75">
      <c r="A572" s="64">
        <f t="shared" ca="1" si="12"/>
        <v>0.17685400772212112</v>
      </c>
      <c r="B572" s="74">
        <v>2.9</v>
      </c>
      <c r="C572" s="71">
        <v>34.151400000000002</v>
      </c>
      <c r="D572" s="132">
        <f t="array" ref="D572">MOD(ROW(), 3) + 1</f>
        <v>3</v>
      </c>
    </row>
    <row r="573" spans="1:4" ht="15.75">
      <c r="A573" s="64">
        <f t="shared" ca="1" si="12"/>
        <v>0.77998217274987069</v>
      </c>
      <c r="B573" s="74">
        <v>2.5</v>
      </c>
      <c r="C573" s="71">
        <v>42.921500000000002</v>
      </c>
      <c r="D573" s="132">
        <f t="array" ref="D573">MOD(ROW(), 3) + 1</f>
        <v>1</v>
      </c>
    </row>
    <row r="574" spans="1:4" ht="15.75">
      <c r="A574" s="64">
        <f t="shared" ca="1" si="12"/>
        <v>0.95677423982749221</v>
      </c>
      <c r="B574" s="74">
        <v>6</v>
      </c>
      <c r="C574" s="71">
        <v>30.299900000000001</v>
      </c>
      <c r="D574" s="132">
        <f t="array" ref="D574">MOD(ROW(), 3) + 1</f>
        <v>2</v>
      </c>
    </row>
    <row r="575" spans="1:4" ht="15.75">
      <c r="A575" s="64">
        <f t="shared" ca="1" si="12"/>
        <v>0.63186114784288994</v>
      </c>
      <c r="B575" s="74">
        <v>4.5999999999999996</v>
      </c>
      <c r="C575" s="71">
        <v>26.229500000000002</v>
      </c>
      <c r="D575" s="132">
        <f t="array" ref="D575">MOD(ROW(), 3) + 1</f>
        <v>3</v>
      </c>
    </row>
    <row r="576" spans="1:4" ht="15.75">
      <c r="A576" s="64">
        <f t="shared" ca="1" si="12"/>
        <v>0.21713321021247756</v>
      </c>
      <c r="B576" s="74">
        <v>4.8</v>
      </c>
      <c r="C576" s="71">
        <v>28.8</v>
      </c>
      <c r="D576" s="132">
        <f t="array" ref="D576">MOD(ROW(), 3) + 1</f>
        <v>1</v>
      </c>
    </row>
    <row r="577" spans="1:4" ht="15.75">
      <c r="A577" s="64">
        <f t="shared" ca="1" si="12"/>
        <v>0.28348198892756293</v>
      </c>
      <c r="B577" s="74">
        <v>5.9</v>
      </c>
      <c r="C577" s="71">
        <v>27.2408</v>
      </c>
      <c r="D577" s="132">
        <f t="array" ref="D577">MOD(ROW(), 3) + 1</f>
        <v>2</v>
      </c>
    </row>
    <row r="578" spans="1:4" ht="15.75">
      <c r="A578" s="64">
        <f t="shared" ca="1" si="12"/>
        <v>7.2563883734455992E-2</v>
      </c>
      <c r="B578" s="74">
        <v>2</v>
      </c>
      <c r="C578" s="71">
        <v>43.1</v>
      </c>
      <c r="D578" s="132">
        <f t="array" ref="D578">MOD(ROW(), 3) + 1</f>
        <v>3</v>
      </c>
    </row>
    <row r="579" spans="1:4" ht="15.75">
      <c r="A579" s="64">
        <f t="shared" ref="A579:A642" ca="1" si="13">RAND()</f>
        <v>0.45113018169139529</v>
      </c>
      <c r="B579" s="74">
        <v>5.7</v>
      </c>
      <c r="C579" s="71">
        <v>31.9</v>
      </c>
      <c r="D579" s="132">
        <f t="array" ref="D579">MOD(ROW(), 3) + 1</f>
        <v>1</v>
      </c>
    </row>
    <row r="580" spans="1:4" ht="15.75">
      <c r="A580" s="64">
        <f t="shared" ca="1" si="13"/>
        <v>0.64707191750007365</v>
      </c>
      <c r="B580" s="74">
        <v>3</v>
      </c>
      <c r="C580" s="71">
        <v>32.954799999999999</v>
      </c>
      <c r="D580" s="132">
        <f t="array" ref="D580">MOD(ROW(), 3) + 1</f>
        <v>2</v>
      </c>
    </row>
    <row r="581" spans="1:4" ht="15.75">
      <c r="A581" s="64">
        <f t="shared" ca="1" si="13"/>
        <v>0.83112973014028468</v>
      </c>
      <c r="B581" s="74">
        <v>4.8</v>
      </c>
      <c r="C581" s="71">
        <v>26.212499999999999</v>
      </c>
      <c r="D581" s="132">
        <f t="array" ref="D581">MOD(ROW(), 3) + 1</f>
        <v>3</v>
      </c>
    </row>
    <row r="582" spans="1:4" ht="15.75">
      <c r="A582" s="64">
        <f t="shared" ca="1" si="13"/>
        <v>0.87281926298440438</v>
      </c>
      <c r="B582" s="74">
        <v>2.2000000000000002</v>
      </c>
      <c r="C582" s="71">
        <v>46.8</v>
      </c>
      <c r="D582" s="132">
        <f t="array" ref="D582">MOD(ROW(), 3) + 1</f>
        <v>1</v>
      </c>
    </row>
    <row r="583" spans="1:4" ht="15.75">
      <c r="A583" s="64">
        <f t="shared" ca="1" si="13"/>
        <v>0.70422708285593183</v>
      </c>
      <c r="B583" s="74">
        <v>3.5</v>
      </c>
      <c r="C583" s="71">
        <v>34.6</v>
      </c>
      <c r="D583" s="132">
        <f t="array" ref="D583">MOD(ROW(), 3) + 1</f>
        <v>2</v>
      </c>
    </row>
    <row r="584" spans="1:4" ht="15.75">
      <c r="A584" s="64">
        <f t="shared" ca="1" si="13"/>
        <v>0.7123918272990073</v>
      </c>
      <c r="B584" s="74">
        <v>3.8</v>
      </c>
      <c r="C584" s="71">
        <v>29.0307</v>
      </c>
      <c r="D584" s="132">
        <f t="array" ref="D584">MOD(ROW(), 3) + 1</f>
        <v>3</v>
      </c>
    </row>
    <row r="585" spans="1:4" ht="15.75">
      <c r="A585" s="64">
        <f t="shared" ca="1" si="13"/>
        <v>0.51693633879987266</v>
      </c>
      <c r="B585" s="74">
        <v>2.4</v>
      </c>
      <c r="C585" s="71">
        <v>40.1</v>
      </c>
      <c r="D585" s="132">
        <f t="array" ref="D585">MOD(ROW(), 3) + 1</f>
        <v>1</v>
      </c>
    </row>
    <row r="586" spans="1:4" ht="15.75">
      <c r="A586" s="64">
        <f t="shared" ca="1" si="13"/>
        <v>0.60081105745787744</v>
      </c>
      <c r="B586" s="74">
        <v>3.8</v>
      </c>
      <c r="C586" s="71">
        <v>34.255000000000003</v>
      </c>
      <c r="D586" s="132">
        <f t="array" ref="D586">MOD(ROW(), 3) + 1</f>
        <v>2</v>
      </c>
    </row>
    <row r="587" spans="1:4" ht="15.75">
      <c r="A587" s="64">
        <f t="shared" ca="1" si="13"/>
        <v>0.7305283443111551</v>
      </c>
      <c r="B587" s="74">
        <v>2.4</v>
      </c>
      <c r="C587" s="71">
        <v>47.408099999999997</v>
      </c>
      <c r="D587" s="132">
        <f t="array" ref="D587">MOD(ROW(), 3) + 1</f>
        <v>3</v>
      </c>
    </row>
    <row r="588" spans="1:4" ht="15.75">
      <c r="A588" s="64">
        <f t="shared" ca="1" si="13"/>
        <v>0.61376002712599231</v>
      </c>
      <c r="B588" s="74">
        <v>2.5</v>
      </c>
      <c r="C588" s="71">
        <v>44.736499999999999</v>
      </c>
      <c r="D588" s="132">
        <f t="array" ref="D588">MOD(ROW(), 3) + 1</f>
        <v>1</v>
      </c>
    </row>
    <row r="589" spans="1:4" ht="15.75">
      <c r="A589" s="64">
        <f t="shared" ca="1" si="13"/>
        <v>0.16831074343288732</v>
      </c>
      <c r="B589" s="74">
        <v>3.5</v>
      </c>
      <c r="C589" s="71">
        <v>30.6</v>
      </c>
      <c r="D589" s="132">
        <f t="array" ref="D589">MOD(ROW(), 3) + 1</f>
        <v>2</v>
      </c>
    </row>
    <row r="590" spans="1:4" ht="15.75">
      <c r="A590" s="64">
        <f t="shared" ca="1" si="13"/>
        <v>0.54822112804989187</v>
      </c>
      <c r="B590" s="74">
        <v>3</v>
      </c>
      <c r="C590" s="71">
        <v>36.1</v>
      </c>
      <c r="D590" s="132">
        <f t="array" ref="D590">MOD(ROW(), 3) + 1</f>
        <v>3</v>
      </c>
    </row>
    <row r="591" spans="1:4" ht="15.75">
      <c r="A591" s="64">
        <f t="shared" ca="1" si="13"/>
        <v>0.23430480041837565</v>
      </c>
      <c r="B591" s="74">
        <v>2.4</v>
      </c>
      <c r="C591" s="71">
        <v>32.276499999999999</v>
      </c>
      <c r="D591" s="132">
        <f t="array" ref="D591">MOD(ROW(), 3) + 1</f>
        <v>1</v>
      </c>
    </row>
    <row r="592" spans="1:4" ht="15.75">
      <c r="A592" s="64">
        <f t="shared" ca="1" si="13"/>
        <v>0.15709992377787518</v>
      </c>
      <c r="B592" s="74">
        <v>5.3</v>
      </c>
      <c r="C592" s="71">
        <v>22.299900000000001</v>
      </c>
      <c r="D592" s="132">
        <f t="array" ref="D592">MOD(ROW(), 3) + 1</f>
        <v>2</v>
      </c>
    </row>
    <row r="593" spans="1:4" ht="15.75">
      <c r="A593" s="64">
        <f t="shared" ca="1" si="13"/>
        <v>0.42518092267885244</v>
      </c>
      <c r="B593" s="74">
        <v>5</v>
      </c>
      <c r="C593" s="71">
        <v>23.820399999999999</v>
      </c>
      <c r="D593" s="132">
        <f t="array" ref="D593">MOD(ROW(), 3) + 1</f>
        <v>3</v>
      </c>
    </row>
    <row r="594" spans="1:4" ht="15.75">
      <c r="A594" s="64">
        <f t="shared" ca="1" si="13"/>
        <v>0.33262287254349765</v>
      </c>
      <c r="B594" s="74">
        <v>3.2</v>
      </c>
      <c r="C594" s="71">
        <v>38.9</v>
      </c>
      <c r="D594" s="132">
        <f t="array" ref="D594">MOD(ROW(), 3) + 1</f>
        <v>1</v>
      </c>
    </row>
    <row r="595" spans="1:4" ht="15.75">
      <c r="A595" s="64">
        <f t="shared" ca="1" si="13"/>
        <v>0.18579831301885641</v>
      </c>
      <c r="B595" s="74">
        <v>2.4</v>
      </c>
      <c r="C595" s="71">
        <v>36.4</v>
      </c>
      <c r="D595" s="132">
        <f t="array" ref="D595">MOD(ROW(), 3) + 1</f>
        <v>2</v>
      </c>
    </row>
    <row r="596" spans="1:4" ht="15.75">
      <c r="A596" s="64">
        <f t="shared" ca="1" si="13"/>
        <v>0.74165467595332812</v>
      </c>
      <c r="B596" s="74">
        <v>3.3</v>
      </c>
      <c r="C596" s="71">
        <v>36.200000000000003</v>
      </c>
      <c r="D596" s="132">
        <f t="array" ref="D596">MOD(ROW(), 3) + 1</f>
        <v>3</v>
      </c>
    </row>
    <row r="597" spans="1:4" ht="15.75">
      <c r="A597" s="64">
        <f t="shared" ca="1" si="13"/>
        <v>0.56220572769746002</v>
      </c>
      <c r="B597" s="74">
        <v>3.5</v>
      </c>
      <c r="C597" s="71">
        <v>38.0169</v>
      </c>
      <c r="D597" s="132">
        <f t="array" ref="D597">MOD(ROW(), 3) + 1</f>
        <v>1</v>
      </c>
    </row>
    <row r="598" spans="1:4" ht="15.75">
      <c r="A598" s="64">
        <f t="shared" ca="1" si="13"/>
        <v>0.75011619606851199</v>
      </c>
      <c r="B598" s="74">
        <v>2.4</v>
      </c>
      <c r="C598" s="71">
        <v>37</v>
      </c>
      <c r="D598" s="132">
        <f t="array" ref="D598">MOD(ROW(), 3) + 1</f>
        <v>2</v>
      </c>
    </row>
    <row r="599" spans="1:4" ht="15.75">
      <c r="A599" s="64">
        <f t="shared" ca="1" si="13"/>
        <v>0.73513132899861577</v>
      </c>
      <c r="B599" s="74">
        <v>2</v>
      </c>
      <c r="C599" s="71">
        <v>37.1</v>
      </c>
      <c r="D599" s="132">
        <f t="array" ref="D599">MOD(ROW(), 3) + 1</f>
        <v>3</v>
      </c>
    </row>
    <row r="600" spans="1:4" ht="15.75">
      <c r="A600" s="64">
        <f t="shared" ca="1" si="13"/>
        <v>0.17561906914794523</v>
      </c>
      <c r="B600" s="74">
        <v>2.4</v>
      </c>
      <c r="C600" s="71">
        <v>43.291600000000003</v>
      </c>
      <c r="D600" s="132">
        <f t="array" ref="D600">MOD(ROW(), 3) + 1</f>
        <v>1</v>
      </c>
    </row>
    <row r="601" spans="1:4" ht="15.75">
      <c r="A601" s="64">
        <f t="shared" ca="1" si="13"/>
        <v>0.26707505335164905</v>
      </c>
      <c r="B601" s="74">
        <v>3.5</v>
      </c>
      <c r="C601" s="71">
        <v>31.5</v>
      </c>
      <c r="D601" s="132">
        <f t="array" ref="D601">MOD(ROW(), 3) + 1</f>
        <v>2</v>
      </c>
    </row>
    <row r="602" spans="1:4" ht="15.75">
      <c r="A602" s="64">
        <f t="shared" ca="1" si="13"/>
        <v>1.4110535695880722E-2</v>
      </c>
      <c r="B602" s="74">
        <v>3.8</v>
      </c>
      <c r="C602" s="71">
        <v>26.9</v>
      </c>
      <c r="D602" s="132">
        <f t="array" ref="D602">MOD(ROW(), 3) + 1</f>
        <v>3</v>
      </c>
    </row>
    <row r="603" spans="1:4" ht="15.75">
      <c r="A603" s="64">
        <f t="shared" ca="1" si="13"/>
        <v>0.33758331009675147</v>
      </c>
      <c r="B603" s="74">
        <v>1.8</v>
      </c>
      <c r="C603" s="71">
        <v>43.260899999999999</v>
      </c>
      <c r="D603" s="132">
        <f t="array" ref="D603">MOD(ROW(), 3) + 1</f>
        <v>1</v>
      </c>
    </row>
    <row r="604" spans="1:4" ht="15.75">
      <c r="A604" s="64">
        <f t="shared" ca="1" si="13"/>
        <v>0.452299890695531</v>
      </c>
      <c r="B604" s="74">
        <v>2.4</v>
      </c>
      <c r="C604" s="71">
        <v>44.6</v>
      </c>
      <c r="D604" s="132">
        <f t="array" ref="D604">MOD(ROW(), 3) + 1</f>
        <v>2</v>
      </c>
    </row>
    <row r="605" spans="1:4" ht="15.75">
      <c r="A605" s="64">
        <f t="shared" ca="1" si="13"/>
        <v>0.44380071191323633</v>
      </c>
      <c r="B605" s="74">
        <v>1.6</v>
      </c>
      <c r="C605" s="71">
        <v>47.9</v>
      </c>
      <c r="D605" s="132">
        <f t="array" ref="D605">MOD(ROW(), 3) + 1</f>
        <v>3</v>
      </c>
    </row>
    <row r="606" spans="1:4" ht="15.75">
      <c r="A606" s="64">
        <f t="shared" ca="1" si="13"/>
        <v>0.55225025479231327</v>
      </c>
      <c r="B606" s="74">
        <v>5.6</v>
      </c>
      <c r="C606" s="71">
        <v>24.299600000000002</v>
      </c>
      <c r="D606" s="132">
        <f t="array" ref="D606">MOD(ROW(), 3) + 1</f>
        <v>1</v>
      </c>
    </row>
    <row r="607" spans="1:4" ht="15.75">
      <c r="A607" s="64">
        <f t="shared" ca="1" si="13"/>
        <v>0.7118551290050219</v>
      </c>
      <c r="B607" s="74">
        <v>4.8</v>
      </c>
      <c r="C607" s="71">
        <v>26.794599999999999</v>
      </c>
      <c r="D607" s="132">
        <f t="array" ref="D607">MOD(ROW(), 3) + 1</f>
        <v>2</v>
      </c>
    </row>
    <row r="608" spans="1:4" ht="15.75">
      <c r="A608" s="64">
        <f t="shared" ca="1" si="13"/>
        <v>0.76969757050404763</v>
      </c>
      <c r="B608" s="74">
        <v>3</v>
      </c>
      <c r="C608" s="71">
        <v>35.465499999999999</v>
      </c>
      <c r="D608" s="132">
        <f t="array" ref="D608">MOD(ROW(), 3) + 1</f>
        <v>3</v>
      </c>
    </row>
    <row r="609" spans="1:4" ht="15.75">
      <c r="A609" s="64">
        <f t="shared" ca="1" si="13"/>
        <v>8.5947109834978552E-2</v>
      </c>
      <c r="B609" s="74">
        <v>1.6</v>
      </c>
      <c r="C609" s="71">
        <v>48.9</v>
      </c>
      <c r="D609" s="132">
        <f t="array" ref="D609">MOD(ROW(), 3) + 1</f>
        <v>1</v>
      </c>
    </row>
    <row r="610" spans="1:4" ht="15.75">
      <c r="A610" s="64">
        <f t="shared" ca="1" si="13"/>
        <v>0.92226093195136849</v>
      </c>
      <c r="B610" s="74">
        <v>2</v>
      </c>
      <c r="C610" s="71">
        <v>33.4</v>
      </c>
      <c r="D610" s="132">
        <f t="array" ref="D610">MOD(ROW(), 3) + 1</f>
        <v>2</v>
      </c>
    </row>
    <row r="611" spans="1:4" ht="15.75">
      <c r="A611" s="64">
        <f t="shared" ca="1" si="13"/>
        <v>0.99541915217010124</v>
      </c>
      <c r="B611" s="74">
        <v>3</v>
      </c>
      <c r="C611" s="71">
        <v>34.4</v>
      </c>
      <c r="D611" s="132">
        <f t="array" ref="D611">MOD(ROW(), 3) + 1</f>
        <v>3</v>
      </c>
    </row>
    <row r="612" spans="1:4" ht="15.75">
      <c r="A612" s="64">
        <f t="shared" ca="1" si="13"/>
        <v>0.36715062669646215</v>
      </c>
      <c r="B612" s="74">
        <v>5</v>
      </c>
      <c r="C612" s="71">
        <v>31.073599999999999</v>
      </c>
      <c r="D612" s="132">
        <f t="array" ref="D612">MOD(ROW(), 3) + 1</f>
        <v>1</v>
      </c>
    </row>
    <row r="613" spans="1:4" ht="15.75">
      <c r="A613" s="64">
        <f t="shared" ca="1" si="13"/>
        <v>0.22573630834361669</v>
      </c>
      <c r="B613" s="74">
        <v>5.3</v>
      </c>
      <c r="C613" s="71">
        <v>22.9</v>
      </c>
      <c r="D613" s="132">
        <f t="array" ref="D613">MOD(ROW(), 3) + 1</f>
        <v>2</v>
      </c>
    </row>
    <row r="614" spans="1:4" ht="15.75">
      <c r="A614" s="64">
        <f t="shared" ca="1" si="13"/>
        <v>0.60258450620796555</v>
      </c>
      <c r="B614" s="74">
        <v>2.5</v>
      </c>
      <c r="C614" s="71">
        <v>30.2</v>
      </c>
      <c r="D614" s="132">
        <f t="array" ref="D614">MOD(ROW(), 3) + 1</f>
        <v>3</v>
      </c>
    </row>
    <row r="615" spans="1:4" ht="15.75">
      <c r="A615" s="64">
        <f t="shared" ca="1" si="13"/>
        <v>0.10997629362155081</v>
      </c>
      <c r="B615" s="74">
        <v>5.3</v>
      </c>
      <c r="C615" s="71">
        <v>27.9</v>
      </c>
      <c r="D615" s="132">
        <f t="array" ref="D615">MOD(ROW(), 3) + 1</f>
        <v>1</v>
      </c>
    </row>
    <row r="616" spans="1:4" ht="15.75">
      <c r="A616" s="64">
        <f t="shared" ca="1" si="13"/>
        <v>0.89271826010705801</v>
      </c>
      <c r="B616" s="74">
        <v>5.7</v>
      </c>
      <c r="C616" s="71">
        <v>34.5</v>
      </c>
      <c r="D616" s="132">
        <f t="array" ref="D616">MOD(ROW(), 3) + 1</f>
        <v>2</v>
      </c>
    </row>
    <row r="617" spans="1:4" ht="15.75">
      <c r="A617" s="64">
        <f t="shared" ca="1" si="13"/>
        <v>0.6175588855852886</v>
      </c>
      <c r="B617" s="74">
        <v>3.5</v>
      </c>
      <c r="C617" s="71">
        <v>30.549900000000001</v>
      </c>
      <c r="D617" s="132">
        <f t="array" ref="D617">MOD(ROW(), 3) + 1</f>
        <v>3</v>
      </c>
    </row>
    <row r="618" spans="1:4" ht="15.75">
      <c r="A618" s="64">
        <f t="shared" ca="1" si="13"/>
        <v>0.3674438557431251</v>
      </c>
      <c r="B618" s="74">
        <v>4.5999999999999996</v>
      </c>
      <c r="C618" s="71">
        <v>28.0212</v>
      </c>
      <c r="D618" s="132">
        <f t="array" ref="D618">MOD(ROW(), 3) + 1</f>
        <v>1</v>
      </c>
    </row>
    <row r="619" spans="1:4" ht="15.75">
      <c r="A619" s="64">
        <f t="shared" ca="1" si="13"/>
        <v>0.85524875743586892</v>
      </c>
      <c r="B619" s="74">
        <v>2</v>
      </c>
      <c r="C619" s="71">
        <v>41.521000000000001</v>
      </c>
      <c r="D619" s="132">
        <f t="array" ref="D619">MOD(ROW(), 3) + 1</f>
        <v>2</v>
      </c>
    </row>
    <row r="620" spans="1:4" ht="15.75">
      <c r="A620" s="64">
        <f t="shared" ca="1" si="13"/>
        <v>0.32974815797370405</v>
      </c>
      <c r="B620" s="74">
        <v>5</v>
      </c>
      <c r="C620" s="71">
        <v>23.574300000000001</v>
      </c>
      <c r="D620" s="132">
        <f t="array" ref="D620">MOD(ROW(), 3) + 1</f>
        <v>3</v>
      </c>
    </row>
    <row r="621" spans="1:4" ht="15.75">
      <c r="A621" s="64">
        <f t="shared" ca="1" si="13"/>
        <v>0.46047733580554573</v>
      </c>
      <c r="B621" s="74">
        <v>3.5</v>
      </c>
      <c r="C621" s="71">
        <v>32.4</v>
      </c>
      <c r="D621" s="132">
        <f t="array" ref="D621">MOD(ROW(), 3) + 1</f>
        <v>1</v>
      </c>
    </row>
    <row r="622" spans="1:4" ht="15.75">
      <c r="A622" s="64">
        <f t="shared" ca="1" si="13"/>
        <v>1.4731126548205964E-2</v>
      </c>
      <c r="B622" s="74">
        <v>2.7</v>
      </c>
      <c r="C622" s="71">
        <v>38.700000000000003</v>
      </c>
      <c r="D622" s="132">
        <f t="array" ref="D622">MOD(ROW(), 3) + 1</f>
        <v>2</v>
      </c>
    </row>
    <row r="623" spans="1:4" ht="15.75">
      <c r="A623" s="64">
        <f t="shared" ca="1" si="13"/>
        <v>0.68761532836510375</v>
      </c>
      <c r="B623" s="74">
        <v>4</v>
      </c>
      <c r="C623" s="71">
        <v>30</v>
      </c>
      <c r="D623" s="132">
        <f t="array" ref="D623">MOD(ROW(), 3) + 1</f>
        <v>3</v>
      </c>
    </row>
    <row r="624" spans="1:4" ht="15.75">
      <c r="A624" s="64">
        <f t="shared" ca="1" si="13"/>
        <v>0.75991312808681877</v>
      </c>
      <c r="B624" s="74">
        <v>4.5999999999999996</v>
      </c>
      <c r="C624" s="71">
        <v>33.799999999999997</v>
      </c>
      <c r="D624" s="132">
        <f t="array" ref="D624">MOD(ROW(), 3) + 1</f>
        <v>1</v>
      </c>
    </row>
    <row r="625" spans="1:4" ht="15.75">
      <c r="A625" s="64">
        <f t="shared" ca="1" si="13"/>
        <v>0.76822446217051787</v>
      </c>
      <c r="B625" s="74">
        <v>3.5</v>
      </c>
      <c r="C625" s="71">
        <v>35.749400000000001</v>
      </c>
      <c r="D625" s="132">
        <f t="array" ref="D625">MOD(ROW(), 3) + 1</f>
        <v>2</v>
      </c>
    </row>
    <row r="626" spans="1:4" ht="15.75">
      <c r="A626" s="64">
        <f t="shared" ca="1" si="13"/>
        <v>0.99543457912719058</v>
      </c>
      <c r="B626" s="74">
        <v>3</v>
      </c>
      <c r="C626" s="71">
        <v>33.629600000000003</v>
      </c>
      <c r="D626" s="132">
        <f t="array" ref="D626">MOD(ROW(), 3) + 1</f>
        <v>3</v>
      </c>
    </row>
    <row r="627" spans="1:4" ht="15.75">
      <c r="A627" s="64">
        <f t="shared" ca="1" si="13"/>
        <v>0.50257445908257714</v>
      </c>
      <c r="B627" s="74">
        <v>4.5999999999999996</v>
      </c>
      <c r="C627" s="71">
        <v>33.305199999999999</v>
      </c>
      <c r="D627" s="132">
        <f t="array" ref="D627">MOD(ROW(), 3) + 1</f>
        <v>1</v>
      </c>
    </row>
    <row r="628" spans="1:4" ht="15.75">
      <c r="A628" s="64">
        <f t="shared" ca="1" si="13"/>
        <v>0.7727424260761393</v>
      </c>
      <c r="B628" s="74">
        <v>3.6</v>
      </c>
      <c r="C628" s="71">
        <v>37.200000000000003</v>
      </c>
      <c r="D628" s="132">
        <f t="array" ref="D628">MOD(ROW(), 3) + 1</f>
        <v>2</v>
      </c>
    </row>
    <row r="629" spans="1:4" ht="15.75">
      <c r="A629" s="64">
        <f t="shared" ca="1" si="13"/>
        <v>9.6920082373074035E-2</v>
      </c>
      <c r="B629" s="74">
        <v>6.5</v>
      </c>
      <c r="C629" s="71">
        <v>17.5</v>
      </c>
      <c r="D629" s="132">
        <f t="array" ref="D629">MOD(ROW(), 3) + 1</f>
        <v>3</v>
      </c>
    </row>
    <row r="630" spans="1:4" ht="15.75">
      <c r="A630" s="64">
        <f t="shared" ca="1" si="13"/>
        <v>8.4776381673501988E-2</v>
      </c>
      <c r="B630" s="74">
        <v>2.2000000000000002</v>
      </c>
      <c r="C630" s="71">
        <v>46.8</v>
      </c>
      <c r="D630" s="132">
        <f t="array" ref="D630">MOD(ROW(), 3) + 1</f>
        <v>1</v>
      </c>
    </row>
    <row r="631" spans="1:4" ht="15.75">
      <c r="A631" s="64">
        <f t="shared" ca="1" si="13"/>
        <v>0.34088858150729739</v>
      </c>
      <c r="B631" s="74">
        <v>3.7</v>
      </c>
      <c r="C631" s="71">
        <v>30.5</v>
      </c>
      <c r="D631" s="132">
        <f t="array" ref="D631">MOD(ROW(), 3) + 1</f>
        <v>2</v>
      </c>
    </row>
    <row r="632" spans="1:4" ht="15.75">
      <c r="A632" s="64">
        <f t="shared" ca="1" si="13"/>
        <v>0.1441198163913221</v>
      </c>
      <c r="B632" s="74">
        <v>5.5</v>
      </c>
      <c r="C632" s="71">
        <v>23.2</v>
      </c>
      <c r="D632" s="132">
        <f t="array" ref="D632">MOD(ROW(), 3) + 1</f>
        <v>3</v>
      </c>
    </row>
    <row r="633" spans="1:4" ht="15.75">
      <c r="A633" s="64">
        <f t="shared" ca="1" si="13"/>
        <v>0.50813773929214812</v>
      </c>
      <c r="B633" s="74">
        <v>6</v>
      </c>
      <c r="C633" s="71">
        <v>24.4</v>
      </c>
      <c r="D633" s="132">
        <f t="array" ref="D633">MOD(ROW(), 3) + 1</f>
        <v>1</v>
      </c>
    </row>
    <row r="634" spans="1:4" ht="15.75">
      <c r="A634" s="64">
        <f t="shared" ca="1" si="13"/>
        <v>0.89059949102739622</v>
      </c>
      <c r="B634" s="74">
        <v>2</v>
      </c>
      <c r="C634" s="71">
        <v>41.521000000000001</v>
      </c>
      <c r="D634" s="132">
        <f t="array" ref="D634">MOD(ROW(), 3) + 1</f>
        <v>2</v>
      </c>
    </row>
    <row r="635" spans="1:4" ht="15.75">
      <c r="A635" s="64">
        <f t="shared" ca="1" si="13"/>
        <v>0.38636733985179039</v>
      </c>
      <c r="B635" s="74">
        <v>2.4</v>
      </c>
      <c r="C635" s="71">
        <v>41.5</v>
      </c>
      <c r="D635" s="132">
        <f t="array" ref="D635">MOD(ROW(), 3) + 1</f>
        <v>3</v>
      </c>
    </row>
    <row r="636" spans="1:4" ht="15.75">
      <c r="A636" s="64">
        <f t="shared" ca="1" si="13"/>
        <v>0.21722298853374311</v>
      </c>
      <c r="B636" s="74">
        <v>2.5</v>
      </c>
      <c r="C636" s="71">
        <v>32.910299999999999</v>
      </c>
      <c r="D636" s="132">
        <f t="array" ref="D636">MOD(ROW(), 3) + 1</f>
        <v>1</v>
      </c>
    </row>
    <row r="637" spans="1:4" ht="15.75">
      <c r="A637" s="64">
        <f t="shared" ca="1" si="13"/>
        <v>0.36282672673987426</v>
      </c>
      <c r="B637" s="74">
        <v>5.5</v>
      </c>
      <c r="C637" s="71">
        <v>32</v>
      </c>
      <c r="D637" s="132">
        <f t="array" ref="D637">MOD(ROW(), 3) + 1</f>
        <v>2</v>
      </c>
    </row>
    <row r="638" spans="1:4" ht="15.75">
      <c r="A638" s="64">
        <f t="shared" ca="1" si="13"/>
        <v>0.20596812986577395</v>
      </c>
      <c r="B638" s="74">
        <v>3.7</v>
      </c>
      <c r="C638" s="71">
        <v>28.7</v>
      </c>
      <c r="D638" s="132">
        <f t="array" ref="D638">MOD(ROW(), 3) + 1</f>
        <v>3</v>
      </c>
    </row>
    <row r="639" spans="1:4" ht="15.75">
      <c r="A639" s="64">
        <f t="shared" ca="1" si="13"/>
        <v>0.49911496914902609</v>
      </c>
      <c r="B639" s="74">
        <v>3.5</v>
      </c>
      <c r="C639" s="71">
        <v>36.4</v>
      </c>
      <c r="D639" s="132">
        <f t="array" ref="D639">MOD(ROW(), 3) + 1</f>
        <v>1</v>
      </c>
    </row>
    <row r="640" spans="1:4" ht="15.75">
      <c r="A640" s="64">
        <f t="shared" ca="1" si="13"/>
        <v>0.36766128101273032</v>
      </c>
      <c r="B640" s="74">
        <v>6.1</v>
      </c>
      <c r="C640" s="71">
        <v>30.1</v>
      </c>
      <c r="D640" s="132">
        <f t="array" ref="D640">MOD(ROW(), 3) + 1</f>
        <v>2</v>
      </c>
    </row>
    <row r="641" spans="1:4" ht="15.75">
      <c r="A641" s="64">
        <f t="shared" ca="1" si="13"/>
        <v>0.68878319261754939</v>
      </c>
      <c r="B641" s="74">
        <v>3</v>
      </c>
      <c r="C641" s="71">
        <v>33.1</v>
      </c>
      <c r="D641" s="132">
        <f t="array" ref="D641">MOD(ROW(), 3) + 1</f>
        <v>3</v>
      </c>
    </row>
    <row r="642" spans="1:4" ht="15.75">
      <c r="A642" s="64">
        <f t="shared" ca="1" si="13"/>
        <v>0.87525642364135081</v>
      </c>
      <c r="B642" s="74">
        <v>4</v>
      </c>
      <c r="C642" s="71">
        <v>27.9711</v>
      </c>
      <c r="D642" s="132">
        <f t="array" ref="D642">MOD(ROW(), 3) + 1</f>
        <v>1</v>
      </c>
    </row>
    <row r="643" spans="1:4" ht="15.75">
      <c r="A643" s="64">
        <f t="shared" ref="A643:A706" ca="1" si="14">RAND()</f>
        <v>0.25238993498676432</v>
      </c>
      <c r="B643" s="74">
        <v>2.4</v>
      </c>
      <c r="C643" s="71">
        <v>39.204099999999997</v>
      </c>
      <c r="D643" s="132">
        <f t="array" ref="D643">MOD(ROW(), 3) + 1</f>
        <v>2</v>
      </c>
    </row>
    <row r="644" spans="1:4" ht="15.75">
      <c r="A644" s="64">
        <f t="shared" ca="1" si="14"/>
        <v>0.40810390627287307</v>
      </c>
      <c r="B644" s="74">
        <v>2.5</v>
      </c>
      <c r="C644" s="71">
        <v>37.799999999999997</v>
      </c>
      <c r="D644" s="132">
        <f t="array" ref="D644">MOD(ROW(), 3) + 1</f>
        <v>3</v>
      </c>
    </row>
    <row r="645" spans="1:4" ht="15.75">
      <c r="A645" s="64">
        <f t="shared" ca="1" si="14"/>
        <v>0.88918167973021067</v>
      </c>
      <c r="B645" s="74">
        <v>2</v>
      </c>
      <c r="C645" s="71">
        <v>43.541400000000003</v>
      </c>
      <c r="D645" s="132">
        <f t="array" ref="D645">MOD(ROW(), 3) + 1</f>
        <v>1</v>
      </c>
    </row>
    <row r="646" spans="1:4" ht="15.75">
      <c r="A646" s="64">
        <f t="shared" ca="1" si="14"/>
        <v>0.95464267710193496</v>
      </c>
      <c r="B646" s="74">
        <v>4.8</v>
      </c>
      <c r="C646" s="71">
        <v>25.7761</v>
      </c>
      <c r="D646" s="132">
        <f t="array" ref="D646">MOD(ROW(), 3) + 1</f>
        <v>2</v>
      </c>
    </row>
    <row r="647" spans="1:4" ht="15.75">
      <c r="A647" s="64">
        <f t="shared" ca="1" si="14"/>
        <v>0.56534187528256008</v>
      </c>
      <c r="B647" s="74">
        <v>3.5</v>
      </c>
      <c r="C647" s="71">
        <v>40.299999999999997</v>
      </c>
      <c r="D647" s="132">
        <f t="array" ref="D647">MOD(ROW(), 3) + 1</f>
        <v>3</v>
      </c>
    </row>
    <row r="648" spans="1:4" ht="15.75">
      <c r="A648" s="64">
        <f t="shared" ca="1" si="14"/>
        <v>0.57185309288446484</v>
      </c>
      <c r="B648" s="74">
        <v>5.4</v>
      </c>
      <c r="C648" s="71">
        <v>20.7</v>
      </c>
      <c r="D648" s="132">
        <f t="array" ref="D648">MOD(ROW(), 3) + 1</f>
        <v>1</v>
      </c>
    </row>
    <row r="649" spans="1:4" ht="15.75">
      <c r="A649" s="64">
        <f t="shared" ca="1" si="14"/>
        <v>0.95050428897603623</v>
      </c>
      <c r="B649" s="74">
        <v>2.2000000000000002</v>
      </c>
      <c r="C649" s="71">
        <v>51.9</v>
      </c>
      <c r="D649" s="132">
        <f t="array" ref="D649">MOD(ROW(), 3) + 1</f>
        <v>2</v>
      </c>
    </row>
    <row r="650" spans="1:4" ht="15.75">
      <c r="A650" s="64">
        <f t="shared" ca="1" si="14"/>
        <v>0.49172430565730529</v>
      </c>
      <c r="B650" s="74">
        <v>3.6</v>
      </c>
      <c r="C650" s="71">
        <v>31.6</v>
      </c>
      <c r="D650" s="132">
        <f t="array" ref="D650">MOD(ROW(), 3) + 1</f>
        <v>3</v>
      </c>
    </row>
    <row r="651" spans="1:4" ht="15.75">
      <c r="A651" s="64">
        <f t="shared" ca="1" si="14"/>
        <v>0.30184632685060897</v>
      </c>
      <c r="B651" s="74">
        <v>2.7</v>
      </c>
      <c r="C651" s="71">
        <v>31.3</v>
      </c>
      <c r="D651" s="132">
        <f t="array" ref="D651">MOD(ROW(), 3) + 1</f>
        <v>1</v>
      </c>
    </row>
    <row r="652" spans="1:4" ht="15.75">
      <c r="A652" s="64">
        <f t="shared" ca="1" si="14"/>
        <v>1.6992571420381353E-2</v>
      </c>
      <c r="B652" s="74">
        <v>2.2000000000000002</v>
      </c>
      <c r="C652" s="71">
        <v>51.9</v>
      </c>
      <c r="D652" s="132">
        <f t="array" ref="D652">MOD(ROW(), 3) + 1</f>
        <v>2</v>
      </c>
    </row>
    <row r="653" spans="1:4" ht="15.75">
      <c r="A653" s="64">
        <f t="shared" ca="1" si="14"/>
        <v>0.30337544884670375</v>
      </c>
      <c r="B653" s="74">
        <v>2.4</v>
      </c>
      <c r="C653" s="71">
        <v>41.9</v>
      </c>
      <c r="D653" s="132">
        <f t="array" ref="D653">MOD(ROW(), 3) + 1</f>
        <v>3</v>
      </c>
    </row>
    <row r="654" spans="1:4" ht="15.75">
      <c r="A654" s="64">
        <f t="shared" ca="1" si="14"/>
        <v>0.57657440497375434</v>
      </c>
      <c r="B654" s="74">
        <v>3</v>
      </c>
      <c r="C654" s="71">
        <v>29.789200000000001</v>
      </c>
      <c r="D654" s="132">
        <f t="array" ref="D654">MOD(ROW(), 3) + 1</f>
        <v>1</v>
      </c>
    </row>
    <row r="655" spans="1:4" ht="15.75">
      <c r="A655" s="64">
        <f t="shared" ca="1" si="14"/>
        <v>0.76432217138003034</v>
      </c>
      <c r="B655" s="74">
        <v>4.5999999999999996</v>
      </c>
      <c r="C655" s="71">
        <v>25.229800000000001</v>
      </c>
      <c r="D655" s="132">
        <f t="array" ref="D655">MOD(ROW(), 3) + 1</f>
        <v>2</v>
      </c>
    </row>
    <row r="656" spans="1:4" ht="15.75">
      <c r="A656" s="64">
        <f t="shared" ca="1" si="14"/>
        <v>0.79098208546419735</v>
      </c>
      <c r="B656" s="74">
        <v>2.5</v>
      </c>
      <c r="C656" s="71">
        <v>31.7</v>
      </c>
      <c r="D656" s="132">
        <f t="array" ref="D656">MOD(ROW(), 3) + 1</f>
        <v>3</v>
      </c>
    </row>
    <row r="657" spans="1:4" ht="15.75">
      <c r="A657" s="64">
        <f t="shared" ca="1" si="14"/>
        <v>0.67443437796525707</v>
      </c>
      <c r="B657" s="74">
        <v>2.9</v>
      </c>
      <c r="C657" s="71">
        <v>35.5</v>
      </c>
      <c r="D657" s="132">
        <f t="array" ref="D657">MOD(ROW(), 3) + 1</f>
        <v>1</v>
      </c>
    </row>
    <row r="658" spans="1:4" ht="15.75">
      <c r="A658" s="64">
        <f t="shared" ca="1" si="14"/>
        <v>0.13932162702814455</v>
      </c>
      <c r="B658" s="74">
        <v>3.5</v>
      </c>
      <c r="C658" s="71">
        <v>29.2</v>
      </c>
      <c r="D658" s="132">
        <f t="array" ref="D658">MOD(ROW(), 3) + 1</f>
        <v>2</v>
      </c>
    </row>
    <row r="659" spans="1:4" ht="15.75">
      <c r="A659" s="64">
        <f t="shared" ca="1" si="14"/>
        <v>0.54970753952645346</v>
      </c>
      <c r="B659" s="74">
        <v>3.5</v>
      </c>
      <c r="C659" s="71">
        <v>38.719299999999997</v>
      </c>
      <c r="D659" s="132">
        <f t="array" ref="D659">MOD(ROW(), 3) + 1</f>
        <v>3</v>
      </c>
    </row>
    <row r="660" spans="1:4" ht="15.75">
      <c r="A660" s="64">
        <f t="shared" ca="1" si="14"/>
        <v>0.58578144559430911</v>
      </c>
      <c r="B660" s="74">
        <v>3.6</v>
      </c>
      <c r="C660" s="71">
        <v>34.270800000000001</v>
      </c>
      <c r="D660" s="132">
        <f t="array" ref="D660">MOD(ROW(), 3) + 1</f>
        <v>1</v>
      </c>
    </row>
    <row r="661" spans="1:4" ht="15.75">
      <c r="A661" s="64">
        <f t="shared" ca="1" si="14"/>
        <v>0.42477432754022837</v>
      </c>
      <c r="B661" s="74">
        <v>5.3</v>
      </c>
      <c r="C661" s="71">
        <v>30.4</v>
      </c>
      <c r="D661" s="132">
        <f t="array" ref="D661">MOD(ROW(), 3) + 1</f>
        <v>2</v>
      </c>
    </row>
    <row r="662" spans="1:4" ht="15.75">
      <c r="A662" s="64">
        <f t="shared" ca="1" si="14"/>
        <v>0.82771874552332969</v>
      </c>
      <c r="B662" s="74">
        <v>2.5</v>
      </c>
      <c r="C662" s="71">
        <v>40.193100000000001</v>
      </c>
      <c r="D662" s="132">
        <f t="array" ref="D662">MOD(ROW(), 3) + 1</f>
        <v>3</v>
      </c>
    </row>
    <row r="663" spans="1:4" ht="15.75">
      <c r="A663" s="64">
        <f t="shared" ca="1" si="14"/>
        <v>0.98408494243496669</v>
      </c>
      <c r="B663" s="74">
        <v>2</v>
      </c>
      <c r="C663" s="71">
        <v>42.774299999999997</v>
      </c>
      <c r="D663" s="132">
        <f t="array" ref="D663">MOD(ROW(), 3) + 1</f>
        <v>1</v>
      </c>
    </row>
    <row r="664" spans="1:4" ht="15.75">
      <c r="A664" s="64">
        <f t="shared" ca="1" si="14"/>
        <v>0.23724697224197377</v>
      </c>
      <c r="B664" s="74">
        <v>2</v>
      </c>
      <c r="C664" s="71">
        <v>60.1</v>
      </c>
      <c r="D664" s="132">
        <f t="array" ref="D664">MOD(ROW(), 3) + 1</f>
        <v>2</v>
      </c>
    </row>
    <row r="665" spans="1:4" ht="15.75">
      <c r="A665" s="64">
        <f t="shared" ca="1" si="14"/>
        <v>0.76554882705010863</v>
      </c>
      <c r="B665" s="74">
        <v>3.5</v>
      </c>
      <c r="C665" s="71">
        <v>34.700000000000003</v>
      </c>
      <c r="D665" s="132">
        <f t="array" ref="D665">MOD(ROW(), 3) + 1</f>
        <v>3</v>
      </c>
    </row>
    <row r="666" spans="1:4" ht="15.75">
      <c r="A666" s="64">
        <f t="shared" ca="1" si="14"/>
        <v>0.44678862508757988</v>
      </c>
      <c r="B666" s="74">
        <v>6.2</v>
      </c>
      <c r="C666" s="71">
        <v>28.4</v>
      </c>
      <c r="D666" s="132">
        <f t="array" ref="D666">MOD(ROW(), 3) + 1</f>
        <v>1</v>
      </c>
    </row>
    <row r="667" spans="1:4" ht="15.75">
      <c r="A667" s="64">
        <f t="shared" ca="1" si="14"/>
        <v>0.85877990850262553</v>
      </c>
      <c r="B667" s="74">
        <v>3.6</v>
      </c>
      <c r="C667" s="71">
        <v>34.270800000000001</v>
      </c>
      <c r="D667" s="132">
        <f t="array" ref="D667">MOD(ROW(), 3) + 1</f>
        <v>2</v>
      </c>
    </row>
    <row r="668" spans="1:4" ht="15.75">
      <c r="A668" s="64">
        <f t="shared" ca="1" si="14"/>
        <v>0.21496246033383681</v>
      </c>
      <c r="B668" s="74">
        <v>4.4000000000000004</v>
      </c>
      <c r="C668" s="71">
        <v>30.172599999999999</v>
      </c>
      <c r="D668" s="132">
        <f t="array" ref="D668">MOD(ROW(), 3) + 1</f>
        <v>3</v>
      </c>
    </row>
    <row r="669" spans="1:4" ht="15.75">
      <c r="A669" s="64">
        <f t="shared" ca="1" si="14"/>
        <v>0.67134076290049105</v>
      </c>
      <c r="B669" s="74">
        <v>1</v>
      </c>
      <c r="C669" s="71">
        <v>57.8</v>
      </c>
      <c r="D669" s="132">
        <f t="array" ref="D669">MOD(ROW(), 3) + 1</f>
        <v>1</v>
      </c>
    </row>
    <row r="670" spans="1:4" ht="15.75">
      <c r="A670" s="64">
        <f t="shared" ca="1" si="14"/>
        <v>7.8716936262830606E-2</v>
      </c>
      <c r="B670" s="74">
        <v>4</v>
      </c>
      <c r="C670" s="71">
        <v>30.9375</v>
      </c>
      <c r="D670" s="132">
        <f t="array" ref="D670">MOD(ROW(), 3) + 1</f>
        <v>2</v>
      </c>
    </row>
    <row r="671" spans="1:4" ht="15.75">
      <c r="A671" s="64">
        <f t="shared" ca="1" si="14"/>
        <v>0.98179208108665883</v>
      </c>
      <c r="B671" s="74">
        <v>4</v>
      </c>
      <c r="C671" s="71">
        <v>28.5</v>
      </c>
      <c r="D671" s="132">
        <f t="array" ref="D671">MOD(ROW(), 3) + 1</f>
        <v>3</v>
      </c>
    </row>
    <row r="672" spans="1:4" ht="15.75">
      <c r="A672" s="64">
        <f t="shared" ca="1" si="14"/>
        <v>0.61366497146999621</v>
      </c>
      <c r="B672" s="74">
        <v>2</v>
      </c>
      <c r="C672" s="71">
        <v>43.1</v>
      </c>
      <c r="D672" s="132">
        <f t="array" ref="D672">MOD(ROW(), 3) + 1</f>
        <v>1</v>
      </c>
    </row>
    <row r="673" spans="1:4" ht="15.75">
      <c r="A673" s="64">
        <f t="shared" ca="1" si="14"/>
        <v>0.89371879637164198</v>
      </c>
      <c r="B673" s="74">
        <v>2.7</v>
      </c>
      <c r="C673" s="71">
        <v>31.7</v>
      </c>
      <c r="D673" s="132">
        <f t="array" ref="D673">MOD(ROW(), 3) + 1</f>
        <v>2</v>
      </c>
    </row>
    <row r="674" spans="1:4" ht="15.75">
      <c r="A674" s="64">
        <f t="shared" ca="1" si="14"/>
        <v>0.19090372547014134</v>
      </c>
      <c r="B674" s="74">
        <v>2</v>
      </c>
      <c r="C674" s="71">
        <v>60.1</v>
      </c>
      <c r="D674" s="132">
        <f t="array" ref="D674">MOD(ROW(), 3) + 1</f>
        <v>3</v>
      </c>
    </row>
    <row r="675" spans="1:4" ht="15.75">
      <c r="A675" s="64">
        <f t="shared" ca="1" si="14"/>
        <v>0.73195247204151892</v>
      </c>
      <c r="B675" s="74">
        <v>3.5</v>
      </c>
      <c r="C675" s="71">
        <v>41.2</v>
      </c>
      <c r="D675" s="132">
        <f t="array" ref="D675">MOD(ROW(), 3) + 1</f>
        <v>1</v>
      </c>
    </row>
    <row r="676" spans="1:4" ht="15.75">
      <c r="A676" s="64">
        <f t="shared" ca="1" si="14"/>
        <v>0.57272165173722067</v>
      </c>
      <c r="B676" s="74">
        <v>2.4</v>
      </c>
      <c r="C676" s="71">
        <v>34.700000000000003</v>
      </c>
      <c r="D676" s="132">
        <f t="array" ref="D676">MOD(ROW(), 3) + 1</f>
        <v>2</v>
      </c>
    </row>
    <row r="677" spans="1:4" ht="15.75">
      <c r="A677" s="64">
        <f t="shared" ca="1" si="14"/>
        <v>0.82589282671725561</v>
      </c>
      <c r="B677" s="74">
        <v>5</v>
      </c>
      <c r="C677" s="71">
        <v>32.088799999999999</v>
      </c>
      <c r="D677" s="132">
        <f t="array" ref="D677">MOD(ROW(), 3) + 1</f>
        <v>3</v>
      </c>
    </row>
    <row r="678" spans="1:4" ht="15.75">
      <c r="A678" s="64">
        <f t="shared" ca="1" si="14"/>
        <v>0.10459399409269265</v>
      </c>
      <c r="B678" s="74">
        <v>3.2</v>
      </c>
      <c r="C678" s="71">
        <v>30.492599999999999</v>
      </c>
      <c r="D678" s="132">
        <f t="array" ref="D678">MOD(ROW(), 3) + 1</f>
        <v>1</v>
      </c>
    </row>
    <row r="679" spans="1:4" ht="15.75">
      <c r="A679" s="64">
        <f t="shared" ca="1" si="14"/>
        <v>0.37045418516893114</v>
      </c>
      <c r="B679" s="74">
        <v>3.5</v>
      </c>
      <c r="C679" s="71">
        <v>34.792700000000004</v>
      </c>
      <c r="D679" s="132">
        <f t="array" ref="D679">MOD(ROW(), 3) + 1</f>
        <v>2</v>
      </c>
    </row>
    <row r="680" spans="1:4" ht="15.75">
      <c r="A680" s="64">
        <f t="shared" ca="1" si="14"/>
        <v>0.42950676480993466</v>
      </c>
      <c r="B680" s="74">
        <v>1.6</v>
      </c>
      <c r="C680" s="71">
        <v>50.820500000000003</v>
      </c>
      <c r="D680" s="132">
        <f t="array" ref="D680">MOD(ROW(), 3) + 1</f>
        <v>3</v>
      </c>
    </row>
    <row r="681" spans="1:4" ht="15.75">
      <c r="A681" s="64">
        <f t="shared" ca="1" si="14"/>
        <v>0.66541731801605908</v>
      </c>
      <c r="B681" s="74">
        <v>3.5</v>
      </c>
      <c r="C681" s="71">
        <v>32.1</v>
      </c>
      <c r="D681" s="132">
        <f t="array" ref="D681">MOD(ROW(), 3) + 1</f>
        <v>1</v>
      </c>
    </row>
    <row r="682" spans="1:4" ht="15.75">
      <c r="A682" s="64">
        <f t="shared" ca="1" si="14"/>
        <v>0.2475466493822962</v>
      </c>
      <c r="B682" s="74">
        <v>2</v>
      </c>
      <c r="C682" s="71">
        <v>42.8</v>
      </c>
      <c r="D682" s="132">
        <f t="array" ref="D682">MOD(ROW(), 3) + 1</f>
        <v>2</v>
      </c>
    </row>
    <row r="683" spans="1:4" ht="15.75">
      <c r="A683" s="64">
        <f t="shared" ca="1" si="14"/>
        <v>5.5124125707553762E-2</v>
      </c>
      <c r="B683" s="74">
        <v>3</v>
      </c>
      <c r="C683" s="71">
        <v>39.493699999999997</v>
      </c>
      <c r="D683" s="132">
        <f t="array" ref="D683">MOD(ROW(), 3) + 1</f>
        <v>3</v>
      </c>
    </row>
    <row r="684" spans="1:4" ht="15.75">
      <c r="A684" s="64">
        <f t="shared" ca="1" si="14"/>
        <v>0.3817865575924837</v>
      </c>
      <c r="B684" s="74">
        <v>2</v>
      </c>
      <c r="C684" s="71">
        <v>42.575000000000003</v>
      </c>
      <c r="D684" s="132">
        <f t="array" ref="D684">MOD(ROW(), 3) + 1</f>
        <v>1</v>
      </c>
    </row>
    <row r="685" spans="1:4" ht="15.75">
      <c r="A685" s="64">
        <f t="shared" ca="1" si="14"/>
        <v>0.35366011563861766</v>
      </c>
      <c r="B685" s="74">
        <v>2</v>
      </c>
      <c r="C685" s="71">
        <v>37.798900000000003</v>
      </c>
      <c r="D685" s="132">
        <f t="array" ref="D685">MOD(ROW(), 3) + 1</f>
        <v>2</v>
      </c>
    </row>
    <row r="686" spans="1:4" ht="15.75">
      <c r="A686" s="64">
        <f t="shared" ca="1" si="14"/>
        <v>0.79251920358849448</v>
      </c>
      <c r="B686" s="74">
        <v>3.5</v>
      </c>
      <c r="C686" s="71">
        <v>34.9</v>
      </c>
      <c r="D686" s="132">
        <f t="array" ref="D686">MOD(ROW(), 3) + 1</f>
        <v>3</v>
      </c>
    </row>
    <row r="687" spans="1:4" ht="15.75">
      <c r="A687" s="64">
        <f t="shared" ca="1" si="14"/>
        <v>0.89061124389787827</v>
      </c>
      <c r="B687" s="74">
        <v>3.5</v>
      </c>
      <c r="C687" s="71">
        <v>33.1</v>
      </c>
      <c r="D687" s="132">
        <f t="array" ref="D687">MOD(ROW(), 3) + 1</f>
        <v>1</v>
      </c>
    </row>
    <row r="688" spans="1:4" ht="15.75">
      <c r="A688" s="64">
        <f t="shared" ca="1" si="14"/>
        <v>1.7270568434763045E-2</v>
      </c>
      <c r="B688" s="74">
        <v>4</v>
      </c>
      <c r="C688" s="71">
        <v>28.4</v>
      </c>
      <c r="D688" s="132">
        <f t="array" ref="D688">MOD(ROW(), 3) + 1</f>
        <v>2</v>
      </c>
    </row>
    <row r="689" spans="1:4" ht="15.75">
      <c r="A689" s="64">
        <f t="shared" ca="1" si="14"/>
        <v>0.74183960379278868</v>
      </c>
      <c r="B689" s="74">
        <v>6</v>
      </c>
      <c r="C689" s="71">
        <v>23.2715</v>
      </c>
      <c r="D689" s="132">
        <f t="array" ref="D689">MOD(ROW(), 3) + 1</f>
        <v>3</v>
      </c>
    </row>
    <row r="690" spans="1:4" ht="15.75">
      <c r="A690" s="64">
        <f t="shared" ca="1" si="14"/>
        <v>0.43986654033420536</v>
      </c>
      <c r="B690" s="74">
        <v>2.5</v>
      </c>
      <c r="C690" s="71">
        <v>36.290100000000002</v>
      </c>
      <c r="D690" s="132">
        <f t="array" ref="D690">MOD(ROW(), 3) + 1</f>
        <v>1</v>
      </c>
    </row>
    <row r="691" spans="1:4" ht="15.75">
      <c r="A691" s="64">
        <f t="shared" ca="1" si="14"/>
        <v>0.30912633136647483</v>
      </c>
      <c r="B691" s="74">
        <v>3.5</v>
      </c>
      <c r="C691" s="71">
        <v>35.5</v>
      </c>
      <c r="D691" s="132">
        <f t="array" ref="D691">MOD(ROW(), 3) + 1</f>
        <v>2</v>
      </c>
    </row>
    <row r="692" spans="1:4" ht="15.75">
      <c r="A692" s="64">
        <f t="shared" ca="1" si="14"/>
        <v>0.145177457590147</v>
      </c>
      <c r="B692" s="74">
        <v>2.7</v>
      </c>
      <c r="C692" s="71">
        <v>36.146299999999997</v>
      </c>
      <c r="D692" s="132">
        <f t="array" ref="D692">MOD(ROW(), 3) + 1</f>
        <v>3</v>
      </c>
    </row>
    <row r="693" spans="1:4" ht="15.75">
      <c r="A693" s="64">
        <f t="shared" ca="1" si="14"/>
        <v>0.56831057180175071</v>
      </c>
      <c r="B693" s="74">
        <v>2</v>
      </c>
      <c r="C693" s="71">
        <v>46.438699999999997</v>
      </c>
      <c r="D693" s="132">
        <f t="array" ref="D693">MOD(ROW(), 3) + 1</f>
        <v>1</v>
      </c>
    </row>
    <row r="694" spans="1:4" ht="15.75">
      <c r="A694" s="64">
        <f t="shared" ca="1" si="14"/>
        <v>0.56011256027805734</v>
      </c>
      <c r="B694" s="74">
        <v>3.2</v>
      </c>
      <c r="C694" s="71">
        <v>30.492599999999999</v>
      </c>
      <c r="D694" s="132">
        <f t="array" ref="D694">MOD(ROW(), 3) + 1</f>
        <v>2</v>
      </c>
    </row>
    <row r="695" spans="1:4" ht="15.75">
      <c r="A695" s="64">
        <f t="shared" ca="1" si="14"/>
        <v>0.96544488615666779</v>
      </c>
      <c r="B695" s="74">
        <v>5.4</v>
      </c>
      <c r="C695" s="71">
        <v>27</v>
      </c>
      <c r="D695" s="132">
        <f t="array" ref="D695">MOD(ROW(), 3) + 1</f>
        <v>3</v>
      </c>
    </row>
    <row r="696" spans="1:4" ht="15.75">
      <c r="A696" s="64">
        <f t="shared" ca="1" si="14"/>
        <v>1.2936208300546426E-2</v>
      </c>
      <c r="B696" s="74">
        <v>5.7</v>
      </c>
      <c r="C696" s="71">
        <v>24.749099999999999</v>
      </c>
      <c r="D696" s="132">
        <f t="array" ref="D696">MOD(ROW(), 3) + 1</f>
        <v>1</v>
      </c>
    </row>
    <row r="697" spans="1:4" ht="15.75">
      <c r="A697" s="64">
        <f t="shared" ca="1" si="14"/>
        <v>0.39187435001568827</v>
      </c>
      <c r="B697" s="74">
        <v>4</v>
      </c>
      <c r="C697" s="71">
        <v>27.8</v>
      </c>
      <c r="D697" s="132">
        <f t="array" ref="D697">MOD(ROW(), 3) + 1</f>
        <v>2</v>
      </c>
    </row>
    <row r="698" spans="1:4" ht="15.75">
      <c r="A698" s="64">
        <f t="shared" ca="1" si="14"/>
        <v>0.17000476156622146</v>
      </c>
      <c r="B698" s="74">
        <v>3.8</v>
      </c>
      <c r="C698" s="71">
        <v>26.563199999999998</v>
      </c>
      <c r="D698" s="132">
        <f t="array" ref="D698">MOD(ROW(), 3) + 1</f>
        <v>3</v>
      </c>
    </row>
    <row r="699" spans="1:4" ht="15.75">
      <c r="A699" s="64">
        <f t="shared" ca="1" si="14"/>
        <v>0.23716552250835465</v>
      </c>
      <c r="B699" s="74">
        <v>1.8</v>
      </c>
      <c r="C699" s="71">
        <v>69.6404</v>
      </c>
      <c r="D699" s="132">
        <f t="array" ref="D699">MOD(ROW(), 3) + 1</f>
        <v>1</v>
      </c>
    </row>
    <row r="700" spans="1:4" ht="15.75">
      <c r="A700" s="64">
        <f t="shared" ca="1" si="14"/>
        <v>0.29464505555819942</v>
      </c>
      <c r="B700" s="74">
        <v>2.9</v>
      </c>
      <c r="C700" s="71">
        <v>34.1</v>
      </c>
      <c r="D700" s="132">
        <f t="array" ref="D700">MOD(ROW(), 3) + 1</f>
        <v>2</v>
      </c>
    </row>
    <row r="701" spans="1:4" ht="15.75">
      <c r="A701" s="64">
        <f t="shared" ca="1" si="14"/>
        <v>0.2210367079088793</v>
      </c>
      <c r="B701" s="74">
        <v>5.3</v>
      </c>
      <c r="C701" s="71">
        <v>27.9</v>
      </c>
      <c r="D701" s="132">
        <f t="array" ref="D701">MOD(ROW(), 3) + 1</f>
        <v>3</v>
      </c>
    </row>
    <row r="702" spans="1:4" ht="15.75">
      <c r="A702" s="64">
        <f t="shared" ca="1" si="14"/>
        <v>0.23537575830003976</v>
      </c>
      <c r="B702" s="74">
        <v>1.8</v>
      </c>
      <c r="C702" s="71">
        <v>44.7393</v>
      </c>
      <c r="D702" s="132">
        <f t="array" ref="D702">MOD(ROW(), 3) + 1</f>
        <v>1</v>
      </c>
    </row>
    <row r="703" spans="1:4" ht="15.75">
      <c r="A703" s="64">
        <f t="shared" ca="1" si="14"/>
        <v>0.31314509104205079</v>
      </c>
      <c r="B703" s="74">
        <v>5.7</v>
      </c>
      <c r="C703" s="71">
        <v>23.999300000000002</v>
      </c>
      <c r="D703" s="132">
        <f t="array" ref="D703">MOD(ROW(), 3) + 1</f>
        <v>2</v>
      </c>
    </row>
    <row r="704" spans="1:4" ht="15.75">
      <c r="A704" s="64">
        <f t="shared" ca="1" si="14"/>
        <v>0.6403282741893398</v>
      </c>
      <c r="B704" s="74">
        <v>2.5</v>
      </c>
      <c r="C704" s="71">
        <v>40.200000000000003</v>
      </c>
      <c r="D704" s="132">
        <f t="array" ref="D704">MOD(ROW(), 3) + 1</f>
        <v>3</v>
      </c>
    </row>
    <row r="705" spans="1:4" ht="15.75">
      <c r="A705" s="64">
        <f t="shared" ca="1" si="14"/>
        <v>0.60482594950923851</v>
      </c>
      <c r="B705" s="74">
        <v>2</v>
      </c>
      <c r="C705" s="71">
        <v>47.296399999999998</v>
      </c>
      <c r="D705" s="132">
        <f t="array" ref="D705">MOD(ROW(), 3) + 1</f>
        <v>1</v>
      </c>
    </row>
    <row r="706" spans="1:4" ht="15.75">
      <c r="A706" s="64">
        <f t="shared" ca="1" si="14"/>
        <v>0.72736922825509875</v>
      </c>
      <c r="B706" s="74">
        <v>2</v>
      </c>
      <c r="C706" s="71">
        <v>41.2</v>
      </c>
      <c r="D706" s="132">
        <f t="array" ref="D706">MOD(ROW(), 3) + 1</f>
        <v>2</v>
      </c>
    </row>
    <row r="707" spans="1:4" ht="15.75">
      <c r="A707" s="64">
        <f t="shared" ref="A707:A770" ca="1" si="15">RAND()</f>
        <v>0.39579429318293313</v>
      </c>
      <c r="B707" s="74">
        <v>4</v>
      </c>
      <c r="C707" s="71">
        <v>26.2</v>
      </c>
      <c r="D707" s="132">
        <f t="array" ref="D707">MOD(ROW(), 3) + 1</f>
        <v>3</v>
      </c>
    </row>
    <row r="708" spans="1:4" ht="15.75">
      <c r="A708" s="64">
        <f t="shared" ca="1" si="15"/>
        <v>0.11336934827043865</v>
      </c>
      <c r="B708" s="74">
        <v>3.5</v>
      </c>
      <c r="C708" s="71">
        <v>41.2</v>
      </c>
      <c r="D708" s="132">
        <f t="array" ref="D708">MOD(ROW(), 3) + 1</f>
        <v>1</v>
      </c>
    </row>
    <row r="709" spans="1:4" ht="15.75">
      <c r="A709" s="64">
        <f t="shared" ca="1" si="15"/>
        <v>0.28815467816266715</v>
      </c>
      <c r="B709" s="74">
        <v>5.3</v>
      </c>
      <c r="C709" s="71">
        <v>26.6</v>
      </c>
      <c r="D709" s="132">
        <f t="array" ref="D709">MOD(ROW(), 3) + 1</f>
        <v>2</v>
      </c>
    </row>
    <row r="710" spans="1:4" ht="15.75">
      <c r="A710" s="64">
        <f t="shared" ca="1" si="15"/>
        <v>0.69061118831992074</v>
      </c>
      <c r="B710" s="74">
        <v>2</v>
      </c>
      <c r="C710" s="71">
        <v>60.1</v>
      </c>
      <c r="D710" s="132">
        <f t="array" ref="D710">MOD(ROW(), 3) + 1</f>
        <v>3</v>
      </c>
    </row>
    <row r="711" spans="1:4" ht="15.75">
      <c r="A711" s="64">
        <f t="shared" ca="1" si="15"/>
        <v>0.85625216650266245</v>
      </c>
      <c r="B711" s="74">
        <v>4</v>
      </c>
      <c r="C711" s="71">
        <v>26.6538</v>
      </c>
      <c r="D711" s="132">
        <f t="array" ref="D711">MOD(ROW(), 3) + 1</f>
        <v>1</v>
      </c>
    </row>
    <row r="712" spans="1:4" ht="15.75">
      <c r="A712" s="64">
        <f t="shared" ca="1" si="15"/>
        <v>0.66882380591250856</v>
      </c>
      <c r="B712" s="74">
        <v>2.4</v>
      </c>
      <c r="C712" s="71">
        <v>40.299999999999997</v>
      </c>
      <c r="D712" s="132">
        <f t="array" ref="D712">MOD(ROW(), 3) + 1</f>
        <v>2</v>
      </c>
    </row>
    <row r="713" spans="1:4" ht="15.75">
      <c r="A713" s="64">
        <f t="shared" ca="1" si="15"/>
        <v>0.46740347207419874</v>
      </c>
      <c r="B713" s="74">
        <v>1.5</v>
      </c>
      <c r="C713" s="71">
        <v>48.862200000000001</v>
      </c>
      <c r="D713" s="132">
        <f t="array" ref="D713">MOD(ROW(), 3) + 1</f>
        <v>3</v>
      </c>
    </row>
    <row r="714" spans="1:4" ht="15.75">
      <c r="A714" s="64">
        <f t="shared" ca="1" si="15"/>
        <v>0.72253618217269189</v>
      </c>
      <c r="B714" s="74">
        <v>2</v>
      </c>
      <c r="C714" s="71">
        <v>36.200000000000003</v>
      </c>
      <c r="D714" s="132">
        <f t="array" ref="D714">MOD(ROW(), 3) + 1</f>
        <v>1</v>
      </c>
    </row>
    <row r="715" spans="1:4" ht="15.75">
      <c r="A715" s="64">
        <f t="shared" ca="1" si="15"/>
        <v>0.24676508877944969</v>
      </c>
      <c r="B715" s="74">
        <v>2</v>
      </c>
      <c r="C715" s="71">
        <v>38</v>
      </c>
      <c r="D715" s="132">
        <f t="array" ref="D715">MOD(ROW(), 3) + 1</f>
        <v>2</v>
      </c>
    </row>
    <row r="716" spans="1:4" ht="15.75">
      <c r="A716" s="64">
        <f t="shared" ca="1" si="15"/>
        <v>0.85543043213409109</v>
      </c>
      <c r="B716" s="74">
        <v>4</v>
      </c>
      <c r="C716" s="71">
        <v>26.384599999999999</v>
      </c>
      <c r="D716" s="132">
        <f t="array" ref="D716">MOD(ROW(), 3) + 1</f>
        <v>3</v>
      </c>
    </row>
    <row r="717" spans="1:4" ht="15.75">
      <c r="A717" s="64">
        <f t="shared" ca="1" si="15"/>
        <v>0.79743262886556021</v>
      </c>
      <c r="B717" s="74">
        <v>3.2</v>
      </c>
      <c r="C717" s="71">
        <v>36.4</v>
      </c>
      <c r="D717" s="132">
        <f t="array" ref="D717">MOD(ROW(), 3) + 1</f>
        <v>1</v>
      </c>
    </row>
    <row r="718" spans="1:4" ht="15.75">
      <c r="A718" s="64">
        <f t="shared" ca="1" si="15"/>
        <v>0.14818118168696981</v>
      </c>
      <c r="B718" s="74">
        <v>3.6</v>
      </c>
      <c r="C718" s="71">
        <v>33</v>
      </c>
      <c r="D718" s="132">
        <f t="array" ref="D718">MOD(ROW(), 3) + 1</f>
        <v>2</v>
      </c>
    </row>
    <row r="719" spans="1:4" ht="15.75">
      <c r="A719" s="64">
        <f t="shared" ca="1" si="15"/>
        <v>0.38134681765419609</v>
      </c>
      <c r="B719" s="74">
        <v>3</v>
      </c>
      <c r="C719" s="71">
        <v>35.5</v>
      </c>
      <c r="D719" s="132">
        <f t="array" ref="D719">MOD(ROW(), 3) + 1</f>
        <v>3</v>
      </c>
    </row>
    <row r="720" spans="1:4" ht="15.75">
      <c r="A720" s="64">
        <f t="shared" ca="1" si="15"/>
        <v>0.73985806128040799</v>
      </c>
      <c r="B720" s="74">
        <v>3.8</v>
      </c>
      <c r="C720" s="71">
        <v>34.514800000000001</v>
      </c>
      <c r="D720" s="132">
        <f t="array" ref="D720">MOD(ROW(), 3) + 1</f>
        <v>1</v>
      </c>
    </row>
    <row r="721" spans="1:4" ht="15.75">
      <c r="A721" s="64">
        <f t="shared" ca="1" si="15"/>
        <v>0.97384805190511115</v>
      </c>
      <c r="B721" s="74">
        <v>2</v>
      </c>
      <c r="C721" s="71">
        <v>43.541400000000003</v>
      </c>
      <c r="D721" s="132">
        <f t="array" ref="D721">MOD(ROW(), 3) + 1</f>
        <v>2</v>
      </c>
    </row>
    <row r="722" spans="1:4" ht="15.75">
      <c r="A722" s="64">
        <f t="shared" ca="1" si="15"/>
        <v>0.90646407283449293</v>
      </c>
      <c r="B722" s="74">
        <v>2.4</v>
      </c>
      <c r="C722" s="71">
        <v>37.6</v>
      </c>
      <c r="D722" s="132">
        <f t="array" ref="D722">MOD(ROW(), 3) + 1</f>
        <v>3</v>
      </c>
    </row>
    <row r="723" spans="1:4" ht="15.75">
      <c r="A723" s="64">
        <f t="shared" ca="1" si="15"/>
        <v>0.75782266832281797</v>
      </c>
      <c r="B723" s="74">
        <v>3.8</v>
      </c>
      <c r="C723" s="71">
        <v>36.934699999999999</v>
      </c>
      <c r="D723" s="132">
        <f t="array" ref="D723">MOD(ROW(), 3) + 1</f>
        <v>1</v>
      </c>
    </row>
    <row r="724" spans="1:4" ht="15.75">
      <c r="A724" s="64">
        <f t="shared" ca="1" si="15"/>
        <v>0.96107503937800598</v>
      </c>
      <c r="B724" s="74">
        <v>3</v>
      </c>
      <c r="C724" s="71">
        <v>38.169600000000003</v>
      </c>
      <c r="D724" s="132">
        <f t="array" ref="D724">MOD(ROW(), 3) + 1</f>
        <v>2</v>
      </c>
    </row>
    <row r="725" spans="1:4" ht="15.75">
      <c r="A725" s="64">
        <f t="shared" ca="1" si="15"/>
        <v>3.2783101275567939E-2</v>
      </c>
      <c r="B725" s="74">
        <v>3.7</v>
      </c>
      <c r="C725" s="71">
        <v>34.4</v>
      </c>
      <c r="D725" s="132">
        <f t="array" ref="D725">MOD(ROW(), 3) + 1</f>
        <v>3</v>
      </c>
    </row>
    <row r="726" spans="1:4" ht="15.75">
      <c r="A726" s="64">
        <f t="shared" ca="1" si="15"/>
        <v>9.6295578891500977E-2</v>
      </c>
      <c r="B726" s="74">
        <v>2.4</v>
      </c>
      <c r="C726" s="71">
        <v>35.587699999999998</v>
      </c>
      <c r="D726" s="132">
        <f t="array" ref="D726">MOD(ROW(), 3) + 1</f>
        <v>1</v>
      </c>
    </row>
    <row r="727" spans="1:4" ht="15.75">
      <c r="A727" s="64">
        <f t="shared" ca="1" si="15"/>
        <v>0.27952085157601103</v>
      </c>
      <c r="B727" s="74">
        <v>5.9</v>
      </c>
      <c r="C727" s="71">
        <v>24.6983</v>
      </c>
      <c r="D727" s="132">
        <f t="array" ref="D727">MOD(ROW(), 3) + 1</f>
        <v>2</v>
      </c>
    </row>
    <row r="728" spans="1:4" ht="15.75">
      <c r="A728" s="64">
        <f t="shared" ca="1" si="15"/>
        <v>0.12618298469737743</v>
      </c>
      <c r="B728" s="74">
        <v>2.5</v>
      </c>
      <c r="C728" s="71">
        <v>30.168800000000001</v>
      </c>
      <c r="D728" s="132">
        <f t="array" ref="D728">MOD(ROW(), 3) + 1</f>
        <v>3</v>
      </c>
    </row>
    <row r="729" spans="1:4" ht="15.75">
      <c r="A729" s="64">
        <f t="shared" ca="1" si="15"/>
        <v>0.80574041090248438</v>
      </c>
      <c r="B729" s="74">
        <v>3.4</v>
      </c>
      <c r="C729" s="71">
        <v>36.729900000000001</v>
      </c>
      <c r="D729" s="132">
        <f t="array" ref="D729">MOD(ROW(), 3) + 1</f>
        <v>1</v>
      </c>
    </row>
    <row r="730" spans="1:4" ht="15.75">
      <c r="A730" s="64">
        <f t="shared" ca="1" si="15"/>
        <v>5.3159319052714649E-3</v>
      </c>
      <c r="B730" s="74">
        <v>2.7</v>
      </c>
      <c r="C730" s="71">
        <v>35.429099999999998</v>
      </c>
      <c r="D730" s="132">
        <f t="array" ref="D730">MOD(ROW(), 3) + 1</f>
        <v>2</v>
      </c>
    </row>
    <row r="731" spans="1:4" ht="15.75">
      <c r="A731" s="64">
        <f t="shared" ca="1" si="15"/>
        <v>0.51235991495223299</v>
      </c>
      <c r="B731" s="74">
        <v>4</v>
      </c>
      <c r="C731" s="71">
        <v>30.2</v>
      </c>
      <c r="D731" s="132">
        <f t="array" ref="D731">MOD(ROW(), 3) + 1</f>
        <v>3</v>
      </c>
    </row>
    <row r="732" spans="1:4" ht="15.75">
      <c r="A732" s="64">
        <f t="shared" ca="1" si="15"/>
        <v>0.54951456261401155</v>
      </c>
      <c r="B732" s="74">
        <v>3</v>
      </c>
      <c r="C732" s="71">
        <v>34.7288</v>
      </c>
      <c r="D732" s="132">
        <f t="array" ref="D732">MOD(ROW(), 3) + 1</f>
        <v>1</v>
      </c>
    </row>
    <row r="733" spans="1:4" ht="15.75">
      <c r="A733" s="64">
        <f t="shared" ca="1" si="15"/>
        <v>0.54076383869552314</v>
      </c>
      <c r="B733" s="74">
        <v>1.3</v>
      </c>
      <c r="C733" s="71">
        <v>65</v>
      </c>
      <c r="D733" s="132">
        <f t="array" ref="D733">MOD(ROW(), 3) + 1</f>
        <v>2</v>
      </c>
    </row>
    <row r="734" spans="1:4" ht="15.75">
      <c r="A734" s="64">
        <f t="shared" ca="1" si="15"/>
        <v>0.24436651147364274</v>
      </c>
      <c r="B734" s="74">
        <v>3.7</v>
      </c>
      <c r="C734" s="71">
        <v>35.161999999999999</v>
      </c>
      <c r="D734" s="132">
        <f t="array" ref="D734">MOD(ROW(), 3) + 1</f>
        <v>3</v>
      </c>
    </row>
    <row r="735" spans="1:4" ht="15.75">
      <c r="A735" s="64">
        <f t="shared" ca="1" si="15"/>
        <v>0.37607168224950749</v>
      </c>
      <c r="B735" s="74">
        <v>3.8</v>
      </c>
      <c r="C735" s="71">
        <v>31.1</v>
      </c>
      <c r="D735" s="132">
        <f t="array" ref="D735">MOD(ROW(), 3) + 1</f>
        <v>1</v>
      </c>
    </row>
    <row r="736" spans="1:4" ht="15.75">
      <c r="A736" s="64">
        <f t="shared" ca="1" si="15"/>
        <v>0.96944948466643455</v>
      </c>
      <c r="B736" s="74">
        <v>4</v>
      </c>
      <c r="C736" s="71">
        <v>28.4</v>
      </c>
      <c r="D736" s="132">
        <f t="array" ref="D736">MOD(ROW(), 3) + 1</f>
        <v>2</v>
      </c>
    </row>
    <row r="737" spans="1:4" ht="15.75">
      <c r="A737" s="64">
        <f t="shared" ca="1" si="15"/>
        <v>0.3347334039044001</v>
      </c>
      <c r="B737" s="74">
        <v>1.6</v>
      </c>
      <c r="C737" s="71">
        <v>48.2</v>
      </c>
      <c r="D737" s="132">
        <f t="array" ref="D737">MOD(ROW(), 3) + 1</f>
        <v>3</v>
      </c>
    </row>
    <row r="738" spans="1:4" ht="15.75">
      <c r="A738" s="64">
        <f t="shared" ca="1" si="15"/>
        <v>0.83703915317011279</v>
      </c>
      <c r="B738" s="74">
        <v>3</v>
      </c>
      <c r="C738" s="71">
        <v>39.710299999999997</v>
      </c>
      <c r="D738" s="132">
        <f t="array" ref="D738">MOD(ROW(), 3) + 1</f>
        <v>1</v>
      </c>
    </row>
    <row r="739" spans="1:4" ht="15.75">
      <c r="A739" s="64">
        <f t="shared" ca="1" si="15"/>
        <v>0.5514873873453906</v>
      </c>
      <c r="B739" s="74">
        <v>2.2999999999999998</v>
      </c>
      <c r="C739" s="71">
        <v>37.700000000000003</v>
      </c>
      <c r="D739" s="132">
        <f t="array" ref="D739">MOD(ROW(), 3) + 1</f>
        <v>2</v>
      </c>
    </row>
    <row r="740" spans="1:4" ht="15.75">
      <c r="A740" s="64">
        <f t="shared" ca="1" si="15"/>
        <v>0.46750742904899656</v>
      </c>
      <c r="B740" s="74">
        <v>4</v>
      </c>
      <c r="C740" s="71">
        <v>27.589400000000001</v>
      </c>
      <c r="D740" s="132">
        <f t="array" ref="D740">MOD(ROW(), 3) + 1</f>
        <v>3</v>
      </c>
    </row>
    <row r="741" spans="1:4" ht="15.75">
      <c r="A741" s="64">
        <f t="shared" ca="1" si="15"/>
        <v>0.69685919522730022</v>
      </c>
      <c r="B741" s="74">
        <v>5.7</v>
      </c>
      <c r="C741" s="71">
        <v>27.1</v>
      </c>
      <c r="D741" s="132">
        <f t="array" ref="D741">MOD(ROW(), 3) + 1</f>
        <v>1</v>
      </c>
    </row>
    <row r="742" spans="1:4" ht="15.75">
      <c r="A742" s="64">
        <f t="shared" ca="1" si="15"/>
        <v>0.82395973448658755</v>
      </c>
      <c r="B742" s="74">
        <v>3.5</v>
      </c>
      <c r="C742" s="71">
        <v>27.8</v>
      </c>
      <c r="D742" s="132">
        <f t="array" ref="D742">MOD(ROW(), 3) + 1</f>
        <v>2</v>
      </c>
    </row>
    <row r="743" spans="1:4" ht="15.75">
      <c r="A743" s="64">
        <f t="shared" ca="1" si="15"/>
        <v>0.71401980448896074</v>
      </c>
      <c r="B743" s="74">
        <v>1.6</v>
      </c>
      <c r="C743" s="71">
        <v>48.318800000000003</v>
      </c>
      <c r="D743" s="132">
        <f t="array" ref="D743">MOD(ROW(), 3) + 1</f>
        <v>3</v>
      </c>
    </row>
    <row r="744" spans="1:4" ht="15.75">
      <c r="A744" s="64">
        <f t="shared" ca="1" si="15"/>
        <v>0.64885422524837055</v>
      </c>
      <c r="B744" s="74">
        <v>2</v>
      </c>
      <c r="C744" s="71">
        <v>40.6</v>
      </c>
      <c r="D744" s="132">
        <f t="array" ref="D744">MOD(ROW(), 3) + 1</f>
        <v>1</v>
      </c>
    </row>
    <row r="745" spans="1:4" ht="15.75">
      <c r="A745" s="64">
        <f t="shared" ca="1" si="15"/>
        <v>0.34895666502092682</v>
      </c>
      <c r="B745" s="74">
        <v>3.6</v>
      </c>
      <c r="C745" s="71">
        <v>34.875399999999999</v>
      </c>
      <c r="D745" s="132">
        <f t="array" ref="D745">MOD(ROW(), 3) + 1</f>
        <v>2</v>
      </c>
    </row>
    <row r="746" spans="1:4" ht="15.75">
      <c r="A746" s="64">
        <f t="shared" ca="1" si="15"/>
        <v>0.95706303933267622</v>
      </c>
      <c r="B746" s="74">
        <v>2.4</v>
      </c>
      <c r="C746" s="71">
        <v>40.370600000000003</v>
      </c>
      <c r="D746" s="132">
        <f t="array" ref="D746">MOD(ROW(), 3) + 1</f>
        <v>3</v>
      </c>
    </row>
    <row r="747" spans="1:4" ht="15.75">
      <c r="A747" s="64">
        <f t="shared" ca="1" si="15"/>
        <v>0.94086396185913301</v>
      </c>
      <c r="B747" s="74">
        <v>2.4</v>
      </c>
      <c r="C747" s="71">
        <v>44.6</v>
      </c>
      <c r="D747" s="132">
        <f t="array" ref="D747">MOD(ROW(), 3) + 1</f>
        <v>1</v>
      </c>
    </row>
    <row r="748" spans="1:4" ht="15.75">
      <c r="A748" s="64">
        <f t="shared" ca="1" si="15"/>
        <v>0.88566977202268349</v>
      </c>
      <c r="B748" s="74">
        <v>5.5</v>
      </c>
      <c r="C748" s="71">
        <v>32.299999999999997</v>
      </c>
      <c r="D748" s="132">
        <f t="array" ref="D748">MOD(ROW(), 3) + 1</f>
        <v>2</v>
      </c>
    </row>
    <row r="749" spans="1:4" ht="15.75">
      <c r="A749" s="64">
        <f t="shared" ca="1" si="15"/>
        <v>0.11386377384615132</v>
      </c>
      <c r="B749" s="74">
        <v>4.5999999999999996</v>
      </c>
      <c r="C749" s="71">
        <v>29.9</v>
      </c>
      <c r="D749" s="132">
        <f t="array" ref="D749">MOD(ROW(), 3) + 1</f>
        <v>3</v>
      </c>
    </row>
    <row r="750" spans="1:4" ht="15.75">
      <c r="A750" s="64">
        <f t="shared" ca="1" si="15"/>
        <v>0.38362601617690351</v>
      </c>
      <c r="B750" s="74">
        <v>2</v>
      </c>
      <c r="C750" s="71">
        <v>42.774299999999997</v>
      </c>
      <c r="D750" s="132">
        <f t="array" ref="D750">MOD(ROW(), 3) + 1</f>
        <v>1</v>
      </c>
    </row>
    <row r="751" spans="1:4" ht="15.75">
      <c r="A751" s="64">
        <f t="shared" ca="1" si="15"/>
        <v>0.14235050228049329</v>
      </c>
      <c r="B751" s="74">
        <v>1.6</v>
      </c>
      <c r="C751" s="71">
        <v>46.5047</v>
      </c>
      <c r="D751" s="132">
        <f t="array" ref="D751">MOD(ROW(), 3) + 1</f>
        <v>2</v>
      </c>
    </row>
    <row r="752" spans="1:4" ht="15.75">
      <c r="A752" s="64">
        <f t="shared" ca="1" si="15"/>
        <v>0.38962168444095024</v>
      </c>
      <c r="B752" s="74">
        <v>2</v>
      </c>
      <c r="C752" s="71">
        <v>48.2</v>
      </c>
      <c r="D752" s="132">
        <f t="array" ref="D752">MOD(ROW(), 3) + 1</f>
        <v>3</v>
      </c>
    </row>
    <row r="753" spans="1:4" ht="15.75">
      <c r="A753" s="64">
        <f t="shared" ca="1" si="15"/>
        <v>0.7741171926813778</v>
      </c>
      <c r="B753" s="74">
        <v>6.7</v>
      </c>
      <c r="C753" s="71">
        <v>24.2</v>
      </c>
      <c r="D753" s="132">
        <f t="array" ref="D753">MOD(ROW(), 3) + 1</f>
        <v>1</v>
      </c>
    </row>
    <row r="754" spans="1:4" ht="15.75">
      <c r="A754" s="64">
        <f t="shared" ca="1" si="15"/>
        <v>3.7159906368487761E-2</v>
      </c>
      <c r="B754" s="74">
        <v>4.5</v>
      </c>
      <c r="C754" s="71">
        <v>29.6</v>
      </c>
      <c r="D754" s="132">
        <f t="array" ref="D754">MOD(ROW(), 3) + 1</f>
        <v>2</v>
      </c>
    </row>
    <row r="755" spans="1:4" ht="15.75">
      <c r="A755" s="64">
        <f t="shared" ca="1" si="15"/>
        <v>0.18947083976850987</v>
      </c>
      <c r="B755" s="74">
        <v>1.8</v>
      </c>
      <c r="C755" s="71">
        <v>46.9</v>
      </c>
      <c r="D755" s="132">
        <f t="array" ref="D755">MOD(ROW(), 3) + 1</f>
        <v>3</v>
      </c>
    </row>
    <row r="756" spans="1:4" ht="15.75">
      <c r="A756" s="64">
        <f t="shared" ca="1" si="15"/>
        <v>0.10755447964304188</v>
      </c>
      <c r="B756" s="74">
        <v>4.5999999999999996</v>
      </c>
      <c r="C756" s="71">
        <v>26.662199999999999</v>
      </c>
      <c r="D756" s="132">
        <f t="array" ref="D756">MOD(ROW(), 3) + 1</f>
        <v>1</v>
      </c>
    </row>
    <row r="757" spans="1:4" ht="15.75">
      <c r="A757" s="64">
        <f t="shared" ca="1" si="15"/>
        <v>0.77500145229968453</v>
      </c>
      <c r="B757" s="74">
        <v>3.6</v>
      </c>
      <c r="C757" s="71">
        <v>33.200000000000003</v>
      </c>
      <c r="D757" s="132">
        <f t="array" ref="D757">MOD(ROW(), 3) + 1</f>
        <v>2</v>
      </c>
    </row>
    <row r="758" spans="1:4" ht="15.75">
      <c r="A758" s="64">
        <f t="shared" ca="1" si="15"/>
        <v>0.67965641064067606</v>
      </c>
      <c r="B758" s="74">
        <v>4.4000000000000004</v>
      </c>
      <c r="C758" s="71">
        <v>30.953700000000001</v>
      </c>
      <c r="D758" s="132">
        <f t="array" ref="D758">MOD(ROW(), 3) + 1</f>
        <v>3</v>
      </c>
    </row>
    <row r="759" spans="1:4" ht="15.75">
      <c r="A759" s="64">
        <f t="shared" ca="1" si="15"/>
        <v>4.67892889861794E-2</v>
      </c>
      <c r="B759" s="74">
        <v>6</v>
      </c>
      <c r="C759" s="71">
        <v>30.299900000000001</v>
      </c>
      <c r="D759" s="132">
        <f t="array" ref="D759">MOD(ROW(), 3) + 1</f>
        <v>1</v>
      </c>
    </row>
    <row r="760" spans="1:4" ht="15.75">
      <c r="A760" s="64">
        <f t="shared" ca="1" si="15"/>
        <v>0.69543354448346484</v>
      </c>
      <c r="B760" s="74">
        <v>5.5</v>
      </c>
      <c r="C760" s="71">
        <v>23.9</v>
      </c>
      <c r="D760" s="132">
        <f t="array" ref="D760">MOD(ROW(), 3) + 1</f>
        <v>2</v>
      </c>
    </row>
    <row r="761" spans="1:4" ht="15.75">
      <c r="A761" s="64">
        <f t="shared" ca="1" si="15"/>
        <v>0.65798859917220276</v>
      </c>
      <c r="B761" s="74">
        <v>2.9</v>
      </c>
      <c r="C761" s="71">
        <v>32.4</v>
      </c>
      <c r="D761" s="132">
        <f t="array" ref="D761">MOD(ROW(), 3) + 1</f>
        <v>3</v>
      </c>
    </row>
    <row r="762" spans="1:4" ht="15.75">
      <c r="A762" s="64">
        <f t="shared" ca="1" si="15"/>
        <v>0.11531625623019381</v>
      </c>
      <c r="B762" s="74">
        <v>2.5</v>
      </c>
      <c r="C762" s="71">
        <v>37.070999999999998</v>
      </c>
      <c r="D762" s="132">
        <f t="array" ref="D762">MOD(ROW(), 3) + 1</f>
        <v>1</v>
      </c>
    </row>
    <row r="763" spans="1:4" ht="15.75">
      <c r="A763" s="64">
        <f t="shared" ca="1" si="15"/>
        <v>0.2149356635513201</v>
      </c>
      <c r="B763" s="74">
        <v>4.5999999999999996</v>
      </c>
      <c r="C763" s="71">
        <v>26.662199999999999</v>
      </c>
      <c r="D763" s="132">
        <f t="array" ref="D763">MOD(ROW(), 3) + 1</f>
        <v>2</v>
      </c>
    </row>
    <row r="764" spans="1:4" ht="15.75">
      <c r="A764" s="64">
        <f t="shared" ca="1" si="15"/>
        <v>0.28954127820584585</v>
      </c>
      <c r="B764" s="74">
        <v>5</v>
      </c>
      <c r="C764" s="71">
        <v>30.337800000000001</v>
      </c>
      <c r="D764" s="132">
        <f t="array" ref="D764">MOD(ROW(), 3) + 1</f>
        <v>3</v>
      </c>
    </row>
    <row r="765" spans="1:4" ht="15.75">
      <c r="A765" s="64">
        <f t="shared" ca="1" si="15"/>
        <v>0.63767019023037441</v>
      </c>
      <c r="B765" s="74">
        <v>5.7</v>
      </c>
      <c r="C765" s="71">
        <v>21.7</v>
      </c>
      <c r="D765" s="132">
        <f t="array" ref="D765">MOD(ROW(), 3) + 1</f>
        <v>1</v>
      </c>
    </row>
    <row r="766" spans="1:4" ht="15.75">
      <c r="A766" s="64">
        <f t="shared" ca="1" si="15"/>
        <v>6.1566762460079416E-2</v>
      </c>
      <c r="B766" s="74">
        <v>3</v>
      </c>
      <c r="C766" s="71">
        <v>34.7288</v>
      </c>
      <c r="D766" s="132">
        <f t="array" ref="D766">MOD(ROW(), 3) + 1</f>
        <v>2</v>
      </c>
    </row>
    <row r="767" spans="1:4" ht="15.75">
      <c r="A767" s="64">
        <f t="shared" ca="1" si="15"/>
        <v>0.90983743986276222</v>
      </c>
      <c r="B767" s="74">
        <v>4.8</v>
      </c>
      <c r="C767" s="71">
        <v>24.153400000000001</v>
      </c>
      <c r="D767" s="132">
        <f t="array" ref="D767">MOD(ROW(), 3) + 1</f>
        <v>3</v>
      </c>
    </row>
    <row r="768" spans="1:4" ht="15.75">
      <c r="A768" s="64">
        <f t="shared" ca="1" si="15"/>
        <v>0.88954562029585504</v>
      </c>
      <c r="B768" s="74">
        <v>3</v>
      </c>
      <c r="C768" s="71">
        <v>35.799999999999997</v>
      </c>
      <c r="D768" s="132">
        <f t="array" ref="D768">MOD(ROW(), 3) + 1</f>
        <v>1</v>
      </c>
    </row>
    <row r="769" spans="1:4" ht="15.75">
      <c r="A769" s="64">
        <f t="shared" ca="1" si="15"/>
        <v>0.95289281439305473</v>
      </c>
      <c r="B769" s="74">
        <v>1.3</v>
      </c>
      <c r="C769" s="71">
        <v>30.2</v>
      </c>
      <c r="D769" s="132">
        <f t="array" ref="D769">MOD(ROW(), 3) + 1</f>
        <v>2</v>
      </c>
    </row>
    <row r="770" spans="1:4" ht="15.75">
      <c r="A770" s="64">
        <f t="shared" ca="1" si="15"/>
        <v>0.84413296058864185</v>
      </c>
      <c r="B770" s="74">
        <v>1.6</v>
      </c>
      <c r="C770" s="71">
        <v>44.571399999999997</v>
      </c>
      <c r="D770" s="132">
        <f t="array" ref="D770">MOD(ROW(), 3) + 1</f>
        <v>3</v>
      </c>
    </row>
    <row r="771" spans="1:4" ht="15.75">
      <c r="A771" s="64">
        <f t="shared" ref="A771:A834" ca="1" si="16">RAND()</f>
        <v>0.97130443239808317</v>
      </c>
      <c r="B771" s="74">
        <v>1.8</v>
      </c>
      <c r="C771" s="71">
        <v>43.7</v>
      </c>
      <c r="D771" s="132">
        <f t="array" ref="D771">MOD(ROW(), 3) + 1</f>
        <v>1</v>
      </c>
    </row>
    <row r="772" spans="1:4" ht="15.75">
      <c r="A772" s="64">
        <f t="shared" ca="1" si="16"/>
        <v>0.71201491066659661</v>
      </c>
      <c r="B772" s="74">
        <v>3.5</v>
      </c>
      <c r="C772" s="71">
        <v>34.5</v>
      </c>
      <c r="D772" s="132">
        <f t="array" ref="D772">MOD(ROW(), 3) + 1</f>
        <v>2</v>
      </c>
    </row>
    <row r="773" spans="1:4" ht="15.75">
      <c r="A773" s="64">
        <f t="shared" ca="1" si="16"/>
        <v>0.22346918835161123</v>
      </c>
      <c r="B773" s="74">
        <v>1.6</v>
      </c>
      <c r="C773" s="71">
        <v>50.2669</v>
      </c>
      <c r="D773" s="132">
        <f t="array" ref="D773">MOD(ROW(), 3) + 1</f>
        <v>3</v>
      </c>
    </row>
    <row r="774" spans="1:4" ht="15.75">
      <c r="A774" s="64">
        <f t="shared" ca="1" si="16"/>
        <v>0.41197037894051936</v>
      </c>
      <c r="B774" s="74">
        <v>4</v>
      </c>
      <c r="C774" s="71">
        <v>26.82</v>
      </c>
      <c r="D774" s="132">
        <f t="array" ref="D774">MOD(ROW(), 3) + 1</f>
        <v>1</v>
      </c>
    </row>
    <row r="775" spans="1:4" ht="15.75">
      <c r="A775" s="64">
        <f t="shared" ca="1" si="16"/>
        <v>0.18261687112401259</v>
      </c>
      <c r="B775" s="74">
        <v>2.2999999999999998</v>
      </c>
      <c r="C775" s="71">
        <v>34.4</v>
      </c>
      <c r="D775" s="132">
        <f t="array" ref="D775">MOD(ROW(), 3) + 1</f>
        <v>2</v>
      </c>
    </row>
    <row r="776" spans="1:4" ht="15.75">
      <c r="A776" s="64">
        <f t="shared" ca="1" si="16"/>
        <v>0.32188396823269927</v>
      </c>
      <c r="B776" s="74">
        <v>3</v>
      </c>
      <c r="C776" s="71">
        <v>35.460599999999999</v>
      </c>
      <c r="D776" s="132">
        <f t="array" ref="D776">MOD(ROW(), 3) + 1</f>
        <v>3</v>
      </c>
    </row>
    <row r="777" spans="1:4" ht="15.75">
      <c r="A777" s="64">
        <f t="shared" ca="1" si="16"/>
        <v>0.28683515238661872</v>
      </c>
      <c r="B777" s="74">
        <v>3.6</v>
      </c>
      <c r="C777" s="71">
        <v>33</v>
      </c>
      <c r="D777" s="132">
        <f t="array" ref="D777">MOD(ROW(), 3) + 1</f>
        <v>1</v>
      </c>
    </row>
    <row r="778" spans="1:4" ht="15.75">
      <c r="A778" s="64">
        <f t="shared" ca="1" si="16"/>
        <v>0.15720319081603806</v>
      </c>
      <c r="B778" s="74">
        <v>3.7</v>
      </c>
      <c r="C778" s="71">
        <v>27.5</v>
      </c>
      <c r="D778" s="132">
        <f t="array" ref="D778">MOD(ROW(), 3) + 1</f>
        <v>2</v>
      </c>
    </row>
    <row r="779" spans="1:4" ht="15.75">
      <c r="A779" s="64">
        <f t="shared" ca="1" si="16"/>
        <v>0.82323540505734261</v>
      </c>
      <c r="B779" s="74">
        <v>3.5</v>
      </c>
      <c r="C779" s="71">
        <v>25.8</v>
      </c>
      <c r="D779" s="132">
        <f t="array" ref="D779">MOD(ROW(), 3) + 1</f>
        <v>3</v>
      </c>
    </row>
    <row r="780" spans="1:4" ht="15.75">
      <c r="A780" s="64">
        <f t="shared" ca="1" si="16"/>
        <v>0.88530949121192049</v>
      </c>
      <c r="B780" s="74">
        <v>2.2999999999999998</v>
      </c>
      <c r="C780" s="71">
        <v>31.7</v>
      </c>
      <c r="D780" s="132">
        <f t="array" ref="D780">MOD(ROW(), 3) + 1</f>
        <v>1</v>
      </c>
    </row>
    <row r="781" spans="1:4" ht="15.75">
      <c r="A781" s="64">
        <f t="shared" ca="1" si="16"/>
        <v>0.54332360582319905</v>
      </c>
      <c r="B781" s="74">
        <v>5</v>
      </c>
      <c r="C781" s="71">
        <v>30.3</v>
      </c>
      <c r="D781" s="132">
        <f t="array" ref="D781">MOD(ROW(), 3) + 1</f>
        <v>2</v>
      </c>
    </row>
    <row r="782" spans="1:4" ht="15.75">
      <c r="A782" s="64">
        <f t="shared" ca="1" si="16"/>
        <v>0.78224821072387329</v>
      </c>
      <c r="B782" s="74">
        <v>3.8</v>
      </c>
      <c r="C782" s="71">
        <v>37.076900000000002</v>
      </c>
      <c r="D782" s="132">
        <f t="array" ref="D782">MOD(ROW(), 3) + 1</f>
        <v>3</v>
      </c>
    </row>
    <row r="783" spans="1:4" ht="15.75">
      <c r="A783" s="64">
        <f t="shared" ca="1" si="16"/>
        <v>0.81565416421780867</v>
      </c>
      <c r="B783" s="74">
        <v>2</v>
      </c>
      <c r="C783" s="71">
        <v>37.5</v>
      </c>
      <c r="D783" s="132">
        <f t="array" ref="D783">MOD(ROW(), 3) + 1</f>
        <v>1</v>
      </c>
    </row>
    <row r="784" spans="1:4" ht="15.75">
      <c r="A784" s="64">
        <f t="shared" ca="1" si="16"/>
        <v>0.17717611623106411</v>
      </c>
      <c r="B784" s="74">
        <v>2.4</v>
      </c>
      <c r="C784" s="71">
        <v>39.347999999999999</v>
      </c>
      <c r="D784" s="132">
        <f t="array" ref="D784">MOD(ROW(), 3) + 1</f>
        <v>2</v>
      </c>
    </row>
    <row r="785" spans="1:4" ht="15.75">
      <c r="A785" s="64">
        <f t="shared" ca="1" si="16"/>
        <v>0.47708087009025724</v>
      </c>
      <c r="B785" s="74">
        <v>2.4</v>
      </c>
      <c r="C785" s="71">
        <v>42.6</v>
      </c>
      <c r="D785" s="132">
        <f t="array" ref="D785">MOD(ROW(), 3) + 1</f>
        <v>3</v>
      </c>
    </row>
    <row r="786" spans="1:4" ht="15.75">
      <c r="A786" s="64">
        <f t="shared" ca="1" si="16"/>
        <v>0.14468560210564319</v>
      </c>
      <c r="B786" s="74">
        <v>2.7</v>
      </c>
      <c r="C786" s="71">
        <v>35.9</v>
      </c>
      <c r="D786" s="132">
        <f t="array" ref="D786">MOD(ROW(), 3) + 1</f>
        <v>1</v>
      </c>
    </row>
    <row r="787" spans="1:4" ht="15.75">
      <c r="A787" s="64">
        <f t="shared" ca="1" si="16"/>
        <v>0.261293505731366</v>
      </c>
      <c r="B787" s="74">
        <v>2</v>
      </c>
      <c r="C787" s="71">
        <v>42.575000000000003</v>
      </c>
      <c r="D787" s="132">
        <f t="array" ref="D787">MOD(ROW(), 3) + 1</f>
        <v>2</v>
      </c>
    </row>
    <row r="788" spans="1:4" ht="15.75">
      <c r="A788" s="64">
        <f t="shared" ca="1" si="16"/>
        <v>0.93127339739531911</v>
      </c>
      <c r="B788" s="74">
        <v>3.6</v>
      </c>
      <c r="C788" s="71">
        <v>33</v>
      </c>
      <c r="D788" s="132">
        <f t="array" ref="D788">MOD(ROW(), 3) + 1</f>
        <v>3</v>
      </c>
    </row>
    <row r="789" spans="1:4" ht="15.75">
      <c r="A789" s="64">
        <f t="shared" ca="1" si="16"/>
        <v>0.12676564988298755</v>
      </c>
      <c r="B789" s="74">
        <v>2</v>
      </c>
      <c r="C789" s="71">
        <v>34.1</v>
      </c>
      <c r="D789" s="132">
        <f t="array" ref="D789">MOD(ROW(), 3) + 1</f>
        <v>1</v>
      </c>
    </row>
    <row r="790" spans="1:4" ht="15.75">
      <c r="A790" s="64">
        <f t="shared" ca="1" si="16"/>
        <v>0.20120156264470745</v>
      </c>
      <c r="B790" s="74">
        <v>2.5</v>
      </c>
      <c r="C790" s="71">
        <v>39.200000000000003</v>
      </c>
      <c r="D790" s="132">
        <f t="array" ref="D790">MOD(ROW(), 3) + 1</f>
        <v>2</v>
      </c>
    </row>
    <row r="791" spans="1:4" ht="15.75">
      <c r="A791" s="64">
        <f t="shared" ca="1" si="16"/>
        <v>0.70550864369840816</v>
      </c>
      <c r="B791" s="74">
        <v>3.5</v>
      </c>
      <c r="C791" s="71">
        <v>31.947500000000002</v>
      </c>
      <c r="D791" s="132">
        <f t="array" ref="D791">MOD(ROW(), 3) + 1</f>
        <v>3</v>
      </c>
    </row>
    <row r="792" spans="1:4" ht="15.75">
      <c r="A792" s="64">
        <f t="shared" ca="1" si="16"/>
        <v>0.77983291147989597</v>
      </c>
      <c r="B792" s="74">
        <v>3.6</v>
      </c>
      <c r="C792" s="71">
        <v>38.1</v>
      </c>
      <c r="D792" s="132">
        <f t="array" ref="D792">MOD(ROW(), 3) + 1</f>
        <v>1</v>
      </c>
    </row>
    <row r="793" spans="1:4" ht="15.75">
      <c r="A793" s="64">
        <f t="shared" ca="1" si="16"/>
        <v>0.95730145654723475</v>
      </c>
      <c r="B793" s="74">
        <v>4</v>
      </c>
      <c r="C793" s="71">
        <v>27.1846</v>
      </c>
      <c r="D793" s="132">
        <f t="array" ref="D793">MOD(ROW(), 3) + 1</f>
        <v>2</v>
      </c>
    </row>
    <row r="794" spans="1:4" ht="15.75">
      <c r="A794" s="64">
        <f t="shared" ca="1" si="16"/>
        <v>0.22076057066173127</v>
      </c>
      <c r="B794" s="74">
        <v>2.2999999999999998</v>
      </c>
      <c r="C794" s="71">
        <v>39.200000000000003</v>
      </c>
      <c r="D794" s="132">
        <f t="array" ref="D794">MOD(ROW(), 3) + 1</f>
        <v>3</v>
      </c>
    </row>
    <row r="795" spans="1:4" ht="15.75">
      <c r="A795" s="64">
        <f t="shared" ca="1" si="16"/>
        <v>0.43487480938680567</v>
      </c>
      <c r="B795" s="74">
        <v>5.4</v>
      </c>
      <c r="C795" s="71">
        <v>27</v>
      </c>
      <c r="D795" s="132">
        <f t="array" ref="D795">MOD(ROW(), 3) + 1</f>
        <v>1</v>
      </c>
    </row>
    <row r="796" spans="1:4" ht="15.75">
      <c r="A796" s="64">
        <f t="shared" ca="1" si="16"/>
        <v>0.67049694222562739</v>
      </c>
      <c r="B796" s="74">
        <v>3.5</v>
      </c>
      <c r="C796" s="71">
        <v>34.200000000000003</v>
      </c>
      <c r="D796" s="132">
        <f t="array" ref="D796">MOD(ROW(), 3) + 1</f>
        <v>2</v>
      </c>
    </row>
    <row r="797" spans="1:4" ht="15.75">
      <c r="A797" s="64">
        <f t="shared" ca="1" si="16"/>
        <v>0.23586917552773301</v>
      </c>
      <c r="B797" s="74">
        <v>2.9</v>
      </c>
      <c r="C797" s="71">
        <v>41.360799999999998</v>
      </c>
      <c r="D797" s="132">
        <f t="array" ref="D797">MOD(ROW(), 3) + 1</f>
        <v>3</v>
      </c>
    </row>
    <row r="798" spans="1:4" ht="15.75">
      <c r="A798" s="64">
        <f t="shared" ca="1" si="16"/>
        <v>0.62850676131602312</v>
      </c>
      <c r="B798" s="74">
        <v>2.4</v>
      </c>
      <c r="C798" s="71">
        <v>34.283099999999997</v>
      </c>
      <c r="D798" s="132">
        <f t="array" ref="D798">MOD(ROW(), 3) + 1</f>
        <v>1</v>
      </c>
    </row>
    <row r="799" spans="1:4" ht="15.75">
      <c r="A799" s="64">
        <f t="shared" ca="1" si="16"/>
        <v>0.85472053636960132</v>
      </c>
      <c r="B799" s="74">
        <v>3.8</v>
      </c>
      <c r="C799" s="71">
        <v>34.514800000000001</v>
      </c>
      <c r="D799" s="132">
        <f t="array" ref="D799">MOD(ROW(), 3) + 1</f>
        <v>2</v>
      </c>
    </row>
    <row r="800" spans="1:4" ht="15.75">
      <c r="A800" s="64">
        <f t="shared" ca="1" si="16"/>
        <v>0.38271176133778606</v>
      </c>
      <c r="B800" s="74">
        <v>2</v>
      </c>
      <c r="C800" s="71">
        <v>35</v>
      </c>
      <c r="D800" s="132">
        <f t="array" ref="D800">MOD(ROW(), 3) + 1</f>
        <v>3</v>
      </c>
    </row>
    <row r="801" spans="1:4" ht="15.75">
      <c r="A801" s="64">
        <f t="shared" ca="1" si="16"/>
        <v>1.8138836263160707E-2</v>
      </c>
      <c r="B801" s="74">
        <v>5.6</v>
      </c>
      <c r="C801" s="71">
        <v>25.008900000000001</v>
      </c>
      <c r="D801" s="132">
        <f t="array" ref="D801">MOD(ROW(), 3) + 1</f>
        <v>1</v>
      </c>
    </row>
    <row r="802" spans="1:4" ht="15.75">
      <c r="A802" s="64">
        <f t="shared" ca="1" si="16"/>
        <v>5.7468981713653666E-2</v>
      </c>
      <c r="B802" s="74">
        <v>1.6</v>
      </c>
      <c r="C802" s="71">
        <v>46.5047</v>
      </c>
      <c r="D802" s="132">
        <f t="array" ref="D802">MOD(ROW(), 3) + 1</f>
        <v>2</v>
      </c>
    </row>
    <row r="803" spans="1:4" ht="15.75">
      <c r="A803" s="64">
        <f t="shared" ca="1" si="16"/>
        <v>0.3426008520051379</v>
      </c>
      <c r="B803" s="74">
        <v>3.5</v>
      </c>
      <c r="C803" s="71">
        <v>28.2</v>
      </c>
      <c r="D803" s="132">
        <f t="array" ref="D803">MOD(ROW(), 3) + 1</f>
        <v>3</v>
      </c>
    </row>
    <row r="804" spans="1:4" ht="15.75">
      <c r="A804" s="64">
        <f t="shared" ca="1" si="16"/>
        <v>0.51889058390336551</v>
      </c>
      <c r="B804" s="74">
        <v>2.5</v>
      </c>
      <c r="C804" s="71">
        <v>35.922600000000003</v>
      </c>
      <c r="D804" s="132">
        <f t="array" ref="D804">MOD(ROW(), 3) + 1</f>
        <v>1</v>
      </c>
    </row>
    <row r="805" spans="1:4" ht="15.75">
      <c r="A805" s="64">
        <f t="shared" ca="1" si="16"/>
        <v>0.54733137487410333</v>
      </c>
      <c r="B805" s="74">
        <v>3.6</v>
      </c>
      <c r="C805" s="71">
        <v>33.5</v>
      </c>
      <c r="D805" s="132">
        <f t="array" ref="D805">MOD(ROW(), 3) + 1</f>
        <v>2</v>
      </c>
    </row>
    <row r="806" spans="1:4" ht="15.75">
      <c r="A806" s="64">
        <f t="shared" ca="1" si="16"/>
        <v>0.21519090127610896</v>
      </c>
      <c r="B806" s="74">
        <v>3.7</v>
      </c>
      <c r="C806" s="71">
        <v>29.799900000000001</v>
      </c>
      <c r="D806" s="132">
        <f t="array" ref="D806">MOD(ROW(), 3) + 1</f>
        <v>3</v>
      </c>
    </row>
    <row r="807" spans="1:4" ht="15.75">
      <c r="A807" s="64">
        <f t="shared" ca="1" si="16"/>
        <v>0.69082056439296613</v>
      </c>
      <c r="B807" s="74">
        <v>7</v>
      </c>
      <c r="C807" s="71">
        <v>33.700000000000003</v>
      </c>
      <c r="D807" s="132">
        <f t="array" ref="D807">MOD(ROW(), 3) + 1</f>
        <v>1</v>
      </c>
    </row>
    <row r="808" spans="1:4" ht="15.75">
      <c r="A808" s="64">
        <f t="shared" ca="1" si="16"/>
        <v>0.33494890835680313</v>
      </c>
      <c r="B808" s="74">
        <v>2.5</v>
      </c>
      <c r="C808" s="71">
        <v>40.0169</v>
      </c>
      <c r="D808" s="132">
        <f t="array" ref="D808">MOD(ROW(), 3) + 1</f>
        <v>2</v>
      </c>
    </row>
    <row r="809" spans="1:4" ht="15.75">
      <c r="A809" s="64">
        <f t="shared" ca="1" si="16"/>
        <v>0.96754771809515816</v>
      </c>
      <c r="B809" s="74">
        <v>3.5</v>
      </c>
      <c r="C809" s="71">
        <v>35</v>
      </c>
      <c r="D809" s="132">
        <f t="array" ref="D809">MOD(ROW(), 3) + 1</f>
        <v>3</v>
      </c>
    </row>
    <row r="810" spans="1:4" ht="15.75">
      <c r="A810" s="64">
        <f t="shared" ca="1" si="16"/>
        <v>0.73492685634425758</v>
      </c>
      <c r="B810" s="74">
        <v>6</v>
      </c>
      <c r="C810" s="71">
        <v>23.8</v>
      </c>
      <c r="D810" s="132">
        <f t="array" ref="D810">MOD(ROW(), 3) + 1</f>
        <v>1</v>
      </c>
    </row>
    <row r="811" spans="1:4" ht="15.75">
      <c r="A811" s="64">
        <f t="shared" ca="1" si="16"/>
        <v>0.55393882918295489</v>
      </c>
      <c r="B811" s="74">
        <v>5</v>
      </c>
      <c r="C811" s="71">
        <v>25.508199999999999</v>
      </c>
      <c r="D811" s="132">
        <f t="array" ref="D811">MOD(ROW(), 3) + 1</f>
        <v>2</v>
      </c>
    </row>
    <row r="812" spans="1:4" ht="15.75">
      <c r="A812" s="64">
        <f t="shared" ca="1" si="16"/>
        <v>0.31356867425663437</v>
      </c>
      <c r="B812" s="74">
        <v>3</v>
      </c>
      <c r="C812" s="71">
        <v>34.5</v>
      </c>
      <c r="D812" s="132">
        <f t="array" ref="D812">MOD(ROW(), 3) + 1</f>
        <v>3</v>
      </c>
    </row>
    <row r="813" spans="1:4" ht="15.75">
      <c r="A813" s="64">
        <f t="shared" ca="1" si="16"/>
        <v>0.63291174602635702</v>
      </c>
      <c r="B813" s="74">
        <v>3.4</v>
      </c>
      <c r="C813" s="71">
        <v>40.997799999999998</v>
      </c>
      <c r="D813" s="132">
        <f t="array" ref="D813">MOD(ROW(), 3) + 1</f>
        <v>1</v>
      </c>
    </row>
    <row r="814" spans="1:4" ht="15.75">
      <c r="A814" s="64">
        <f t="shared" ca="1" si="16"/>
        <v>0.24530151365195707</v>
      </c>
      <c r="B814" s="74">
        <v>5.6</v>
      </c>
      <c r="C814" s="71">
        <v>24.2</v>
      </c>
      <c r="D814" s="132">
        <f t="array" ref="D814">MOD(ROW(), 3) + 1</f>
        <v>2</v>
      </c>
    </row>
    <row r="815" spans="1:4" ht="15.75">
      <c r="A815" s="64">
        <f t="shared" ca="1" si="16"/>
        <v>0.77108137669547905</v>
      </c>
      <c r="B815" s="74">
        <v>2</v>
      </c>
      <c r="C815" s="71">
        <v>34.700000000000003</v>
      </c>
      <c r="D815" s="132">
        <f t="array" ref="D815">MOD(ROW(), 3) + 1</f>
        <v>3</v>
      </c>
    </row>
    <row r="816" spans="1:4" ht="15.75">
      <c r="A816" s="64">
        <f t="shared" ca="1" si="16"/>
        <v>0.63602807903838232</v>
      </c>
      <c r="B816" s="74">
        <v>2.5</v>
      </c>
      <c r="C816" s="71">
        <v>34.143500000000003</v>
      </c>
      <c r="D816" s="132">
        <f t="array" ref="D816">MOD(ROW(), 3) + 1</f>
        <v>1</v>
      </c>
    </row>
    <row r="817" spans="1:4" ht="15.75">
      <c r="A817" s="64">
        <f t="shared" ca="1" si="16"/>
        <v>0.53075658528293235</v>
      </c>
      <c r="B817" s="74">
        <v>3.7</v>
      </c>
      <c r="C817" s="71">
        <v>35.161999999999999</v>
      </c>
      <c r="D817" s="132">
        <f t="array" ref="D817">MOD(ROW(), 3) + 1</f>
        <v>2</v>
      </c>
    </row>
    <row r="818" spans="1:4" ht="15.75">
      <c r="A818" s="64">
        <f t="shared" ca="1" si="16"/>
        <v>0.28615790349990389</v>
      </c>
      <c r="B818" s="74">
        <v>2</v>
      </c>
      <c r="C818" s="71">
        <v>41.8</v>
      </c>
      <c r="D818" s="132">
        <f t="array" ref="D818">MOD(ROW(), 3) + 1</f>
        <v>3</v>
      </c>
    </row>
    <row r="819" spans="1:4" ht="15.75">
      <c r="A819" s="64">
        <f t="shared" ca="1" si="16"/>
        <v>0.61281220628346922</v>
      </c>
      <c r="B819" s="74">
        <v>3.2</v>
      </c>
      <c r="C819" s="71">
        <v>29.743099999999998</v>
      </c>
      <c r="D819" s="132">
        <f t="array" ref="D819">MOD(ROW(), 3) + 1</f>
        <v>1</v>
      </c>
    </row>
    <row r="820" spans="1:4" ht="15.75">
      <c r="A820" s="64">
        <f t="shared" ca="1" si="16"/>
        <v>0.8156982962032856</v>
      </c>
      <c r="B820" s="74">
        <v>4.5999999999999996</v>
      </c>
      <c r="C820" s="71">
        <v>33.305199999999999</v>
      </c>
      <c r="D820" s="132">
        <f t="array" ref="D820">MOD(ROW(), 3) + 1</f>
        <v>2</v>
      </c>
    </row>
    <row r="821" spans="1:4" ht="15.75">
      <c r="A821" s="64">
        <f t="shared" ca="1" si="16"/>
        <v>0.31648430741425182</v>
      </c>
      <c r="B821" s="74">
        <v>6.2</v>
      </c>
      <c r="C821" s="71">
        <v>34.349299999999999</v>
      </c>
      <c r="D821" s="132">
        <f t="array" ref="D821">MOD(ROW(), 3) + 1</f>
        <v>3</v>
      </c>
    </row>
    <row r="822" spans="1:4" ht="15.75">
      <c r="A822" s="64">
        <f t="shared" ca="1" si="16"/>
        <v>0.36385586372606837</v>
      </c>
      <c r="B822" s="74">
        <v>3.7</v>
      </c>
      <c r="C822" s="71">
        <v>31.6</v>
      </c>
      <c r="D822" s="132">
        <f t="array" ref="D822">MOD(ROW(), 3) + 1</f>
        <v>1</v>
      </c>
    </row>
    <row r="823" spans="1:4" ht="15.75">
      <c r="A823" s="64">
        <f t="shared" ca="1" si="16"/>
        <v>0.94888634500925995</v>
      </c>
      <c r="B823" s="74">
        <v>5.6</v>
      </c>
      <c r="C823" s="71">
        <v>24.192399999999999</v>
      </c>
      <c r="D823" s="132">
        <f t="array" ref="D823">MOD(ROW(), 3) + 1</f>
        <v>2</v>
      </c>
    </row>
    <row r="824" spans="1:4" ht="15.75">
      <c r="A824" s="64">
        <f t="shared" ca="1" si="16"/>
        <v>0.85681031734417568</v>
      </c>
      <c r="B824" s="74">
        <v>2.4</v>
      </c>
      <c r="C824" s="71">
        <v>39.200000000000003</v>
      </c>
      <c r="D824" s="132">
        <f t="array" ref="D824">MOD(ROW(), 3) + 1</f>
        <v>3</v>
      </c>
    </row>
    <row r="825" spans="1:4" ht="15.75">
      <c r="A825" s="64">
        <f t="shared" ca="1" si="16"/>
        <v>3.6026914533455967E-2</v>
      </c>
      <c r="B825" s="74">
        <v>3</v>
      </c>
      <c r="C825" s="71">
        <v>38.299999999999997</v>
      </c>
      <c r="D825" s="132">
        <f t="array" ref="D825">MOD(ROW(), 3) + 1</f>
        <v>1</v>
      </c>
    </row>
    <row r="826" spans="1:4" ht="15.75">
      <c r="A826" s="64">
        <f t="shared" ca="1" si="16"/>
        <v>1.2504519773243183E-2</v>
      </c>
      <c r="B826" s="74">
        <v>3</v>
      </c>
      <c r="C826" s="71">
        <v>34.285299999999999</v>
      </c>
      <c r="D826" s="132">
        <f t="array" ref="D826">MOD(ROW(), 3) + 1</f>
        <v>2</v>
      </c>
    </row>
    <row r="827" spans="1:4" ht="15.75">
      <c r="A827" s="64">
        <f t="shared" ca="1" si="16"/>
        <v>0.6620013076227832</v>
      </c>
      <c r="B827" s="74">
        <v>4</v>
      </c>
      <c r="C827" s="71">
        <v>35.200000000000003</v>
      </c>
      <c r="D827" s="132">
        <f t="array" ref="D827">MOD(ROW(), 3) + 1</f>
        <v>3</v>
      </c>
    </row>
    <row r="828" spans="1:4" ht="15.75">
      <c r="A828" s="64">
        <f t="shared" ca="1" si="16"/>
        <v>0.93177663242023356</v>
      </c>
      <c r="B828" s="74">
        <v>3.5</v>
      </c>
      <c r="C828" s="71">
        <v>36.200000000000003</v>
      </c>
      <c r="D828" s="132">
        <f t="array" ref="D828">MOD(ROW(), 3) + 1</f>
        <v>1</v>
      </c>
    </row>
    <row r="829" spans="1:4" ht="15.75">
      <c r="A829" s="64">
        <f t="shared" ca="1" si="16"/>
        <v>0.35436927060613199</v>
      </c>
      <c r="B829" s="74">
        <v>8</v>
      </c>
      <c r="C829" s="71">
        <v>17.8</v>
      </c>
      <c r="D829" s="132">
        <f t="array" ref="D829">MOD(ROW(), 3) + 1</f>
        <v>2</v>
      </c>
    </row>
    <row r="830" spans="1:4" ht="15.75">
      <c r="A830" s="64">
        <f t="shared" ca="1" si="16"/>
        <v>0.30959877010637471</v>
      </c>
      <c r="B830" s="74">
        <v>2.4</v>
      </c>
      <c r="C830" s="71">
        <v>41.9</v>
      </c>
      <c r="D830" s="132">
        <f t="array" ref="D830">MOD(ROW(), 3) + 1</f>
        <v>3</v>
      </c>
    </row>
    <row r="831" spans="1:4" ht="15.75">
      <c r="A831" s="64">
        <f t="shared" ca="1" si="16"/>
        <v>0.10295905652920978</v>
      </c>
      <c r="B831" s="74">
        <v>3.6</v>
      </c>
      <c r="C831" s="71">
        <v>36.439500000000002</v>
      </c>
      <c r="D831" s="132">
        <f t="array" ref="D831">MOD(ROW(), 3) + 1</f>
        <v>1</v>
      </c>
    </row>
    <row r="832" spans="1:4" ht="15.75">
      <c r="A832" s="64">
        <f t="shared" ca="1" si="16"/>
        <v>7.811207658272834E-2</v>
      </c>
      <c r="B832" s="74">
        <v>4.5999999999999996</v>
      </c>
      <c r="C832" s="71">
        <v>33.550899999999999</v>
      </c>
      <c r="D832" s="132">
        <f t="array" ref="D832">MOD(ROW(), 3) + 1</f>
        <v>2</v>
      </c>
    </row>
    <row r="833" spans="1:4" ht="15.75">
      <c r="A833" s="64">
        <f t="shared" ca="1" si="16"/>
        <v>0.25230685815582732</v>
      </c>
      <c r="B833" s="74">
        <v>4.7</v>
      </c>
      <c r="C833" s="71">
        <v>26.560400000000001</v>
      </c>
      <c r="D833" s="132">
        <f t="array" ref="D833">MOD(ROW(), 3) + 1</f>
        <v>3</v>
      </c>
    </row>
    <row r="834" spans="1:4" ht="15.75">
      <c r="A834" s="64">
        <f t="shared" ca="1" si="16"/>
        <v>0.30035425131366444</v>
      </c>
      <c r="B834" s="74">
        <v>4</v>
      </c>
      <c r="C834" s="71">
        <v>27.3704</v>
      </c>
      <c r="D834" s="132">
        <f t="array" ref="D834">MOD(ROW(), 3) + 1</f>
        <v>1</v>
      </c>
    </row>
    <row r="835" spans="1:4" ht="15.75">
      <c r="A835" s="64">
        <f t="shared" ref="A835:A898" ca="1" si="17">RAND()</f>
        <v>0.83266250518932416</v>
      </c>
      <c r="B835" s="74">
        <v>2</v>
      </c>
      <c r="C835" s="71">
        <v>39.7256</v>
      </c>
      <c r="D835" s="132">
        <f t="array" ref="D835">MOD(ROW(), 3) + 1</f>
        <v>2</v>
      </c>
    </row>
    <row r="836" spans="1:4" ht="15.75">
      <c r="A836" s="64">
        <f t="shared" ca="1" si="17"/>
        <v>4.7403631780301936E-2</v>
      </c>
      <c r="B836" s="74">
        <v>3</v>
      </c>
      <c r="C836" s="71">
        <v>35.883099999999999</v>
      </c>
      <c r="D836" s="132">
        <f t="array" ref="D836">MOD(ROW(), 3) + 1</f>
        <v>3</v>
      </c>
    </row>
    <row r="837" spans="1:4" ht="15.75">
      <c r="A837" s="64">
        <f t="shared" ca="1" si="17"/>
        <v>0.62497211865260272</v>
      </c>
      <c r="B837" s="74">
        <v>5</v>
      </c>
      <c r="C837" s="71">
        <v>29.7559</v>
      </c>
      <c r="D837" s="132">
        <f t="array" ref="D837">MOD(ROW(), 3) + 1</f>
        <v>1</v>
      </c>
    </row>
    <row r="838" spans="1:4" ht="15.75">
      <c r="A838" s="64">
        <f t="shared" ca="1" si="17"/>
        <v>0.90080786649580724</v>
      </c>
      <c r="B838" s="74">
        <v>4</v>
      </c>
      <c r="C838" s="71">
        <v>32.756799999999998</v>
      </c>
      <c r="D838" s="132">
        <f t="array" ref="D838">MOD(ROW(), 3) + 1</f>
        <v>2</v>
      </c>
    </row>
    <row r="839" spans="1:4" ht="15.75">
      <c r="A839" s="64">
        <f t="shared" ca="1" si="17"/>
        <v>0.45785334456326521</v>
      </c>
      <c r="B839" s="74">
        <v>1.6</v>
      </c>
      <c r="C839" s="71">
        <v>47.202500000000001</v>
      </c>
      <c r="D839" s="132">
        <f t="array" ref="D839">MOD(ROW(), 3) + 1</f>
        <v>3</v>
      </c>
    </row>
    <row r="840" spans="1:4" ht="15.75">
      <c r="A840" s="64">
        <f t="shared" ca="1" si="17"/>
        <v>0.12365190011246274</v>
      </c>
      <c r="B840" s="74">
        <v>4</v>
      </c>
      <c r="C840" s="71">
        <v>31.4</v>
      </c>
      <c r="D840" s="132">
        <f t="array" ref="D840">MOD(ROW(), 3) + 1</f>
        <v>1</v>
      </c>
    </row>
    <row r="841" spans="1:4" ht="15.75">
      <c r="A841" s="64">
        <f t="shared" ca="1" si="17"/>
        <v>0.23286881822640881</v>
      </c>
      <c r="B841" s="74">
        <v>3.3</v>
      </c>
      <c r="C841" s="71">
        <v>33.098799999999997</v>
      </c>
      <c r="D841" s="132">
        <f t="array" ref="D841">MOD(ROW(), 3) + 1</f>
        <v>2</v>
      </c>
    </row>
    <row r="842" spans="1:4" ht="15.75">
      <c r="A842" s="64">
        <f t="shared" ca="1" si="17"/>
        <v>0.47512697331447873</v>
      </c>
      <c r="B842" s="74">
        <v>3.5</v>
      </c>
      <c r="C842" s="71">
        <v>34.700000000000003</v>
      </c>
      <c r="D842" s="132">
        <f t="array" ref="D842">MOD(ROW(), 3) + 1</f>
        <v>3</v>
      </c>
    </row>
    <row r="843" spans="1:4" ht="15.75">
      <c r="A843" s="64">
        <f t="shared" ca="1" si="17"/>
        <v>0.91838951937501923</v>
      </c>
      <c r="B843" s="74">
        <v>2</v>
      </c>
      <c r="C843" s="71">
        <v>41.707799999999999</v>
      </c>
      <c r="D843" s="132">
        <f t="array" ref="D843">MOD(ROW(), 3) + 1</f>
        <v>1</v>
      </c>
    </row>
    <row r="844" spans="1:4" ht="15.75">
      <c r="A844" s="64">
        <f t="shared" ca="1" si="17"/>
        <v>0.25853983502245159</v>
      </c>
      <c r="B844" s="74">
        <v>2.5</v>
      </c>
      <c r="C844" s="71">
        <v>36.030700000000003</v>
      </c>
      <c r="D844" s="132">
        <f t="array" ref="D844">MOD(ROW(), 3) + 1</f>
        <v>2</v>
      </c>
    </row>
    <row r="845" spans="1:4" ht="15.75">
      <c r="A845" s="64">
        <f t="shared" ca="1" si="17"/>
        <v>0.69757278255337141</v>
      </c>
      <c r="B845" s="74">
        <v>3.8</v>
      </c>
      <c r="C845" s="71">
        <v>38.299999999999997</v>
      </c>
      <c r="D845" s="132">
        <f t="array" ref="D845">MOD(ROW(), 3) + 1</f>
        <v>3</v>
      </c>
    </row>
    <row r="846" spans="1:4" ht="15.75">
      <c r="A846" s="64">
        <f t="shared" ca="1" si="17"/>
        <v>0.58635650395740324</v>
      </c>
      <c r="B846" s="74">
        <v>4</v>
      </c>
      <c r="C846" s="71">
        <v>27.234000000000002</v>
      </c>
      <c r="D846" s="132">
        <f t="array" ref="D846">MOD(ROW(), 3) + 1</f>
        <v>1</v>
      </c>
    </row>
    <row r="847" spans="1:4" ht="15.75">
      <c r="A847" s="64">
        <f t="shared" ca="1" si="17"/>
        <v>0.15262980138425009</v>
      </c>
      <c r="B847" s="74">
        <v>3.6</v>
      </c>
      <c r="C847" s="71">
        <v>34.875399999999999</v>
      </c>
      <c r="D847" s="132">
        <f t="array" ref="D847">MOD(ROW(), 3) + 1</f>
        <v>2</v>
      </c>
    </row>
    <row r="848" spans="1:4" ht="15.75">
      <c r="A848" s="64">
        <f t="shared" ca="1" si="17"/>
        <v>0.84840819560430336</v>
      </c>
      <c r="B848" s="74">
        <v>5</v>
      </c>
      <c r="C848" s="71">
        <v>23.227</v>
      </c>
      <c r="D848" s="132">
        <f t="array" ref="D848">MOD(ROW(), 3) + 1</f>
        <v>3</v>
      </c>
    </row>
    <row r="849" spans="1:4" ht="15.75">
      <c r="A849" s="64">
        <f t="shared" ca="1" si="17"/>
        <v>0.46411247612382811</v>
      </c>
      <c r="B849" s="74">
        <v>6.5</v>
      </c>
      <c r="C849" s="71">
        <v>19.899999999999999</v>
      </c>
      <c r="D849" s="132">
        <f t="array" ref="D849">MOD(ROW(), 3) + 1</f>
        <v>1</v>
      </c>
    </row>
    <row r="850" spans="1:4" ht="15.75">
      <c r="A850" s="64">
        <f t="shared" ca="1" si="17"/>
        <v>0.29375479025594142</v>
      </c>
      <c r="B850" s="74">
        <v>2.5</v>
      </c>
      <c r="C850" s="71">
        <v>38.6</v>
      </c>
      <c r="D850" s="132">
        <f t="array" ref="D850">MOD(ROW(), 3) + 1</f>
        <v>2</v>
      </c>
    </row>
    <row r="851" spans="1:4" ht="15.75">
      <c r="A851" s="64">
        <f t="shared" ca="1" si="17"/>
        <v>0.15784221773672458</v>
      </c>
      <c r="B851" s="74">
        <v>4.5999999999999996</v>
      </c>
      <c r="C851" s="71">
        <v>34.049900000000001</v>
      </c>
      <c r="D851" s="132">
        <f t="array" ref="D851">MOD(ROW(), 3) + 1</f>
        <v>3</v>
      </c>
    </row>
    <row r="852" spans="1:4" ht="15.75">
      <c r="A852" s="64">
        <f t="shared" ca="1" si="17"/>
        <v>0.35985199005290036</v>
      </c>
      <c r="B852" s="74">
        <v>4.7</v>
      </c>
      <c r="C852" s="71">
        <v>26.702200000000001</v>
      </c>
      <c r="D852" s="132">
        <f t="array" ref="D852">MOD(ROW(), 3) + 1</f>
        <v>1</v>
      </c>
    </row>
    <row r="853" spans="1:4" ht="15.75">
      <c r="A853" s="64">
        <f t="shared" ca="1" si="17"/>
        <v>0.94663998887200873</v>
      </c>
      <c r="B853" s="74">
        <v>2.5</v>
      </c>
      <c r="C853" s="71">
        <v>40.4</v>
      </c>
      <c r="D853" s="132">
        <f t="array" ref="D853">MOD(ROW(), 3) + 1</f>
        <v>2</v>
      </c>
    </row>
    <row r="854" spans="1:4" ht="15.75">
      <c r="A854" s="64">
        <f t="shared" ca="1" si="17"/>
        <v>0.13739330930036486</v>
      </c>
      <c r="B854" s="74">
        <v>5.3</v>
      </c>
      <c r="C854" s="71">
        <v>27.9</v>
      </c>
      <c r="D854" s="132">
        <f t="array" ref="D854">MOD(ROW(), 3) + 1</f>
        <v>3</v>
      </c>
    </row>
    <row r="855" spans="1:4" ht="15.75">
      <c r="A855" s="64">
        <f t="shared" ca="1" si="17"/>
        <v>0.8249591471492681</v>
      </c>
      <c r="B855" s="74">
        <v>3.6</v>
      </c>
      <c r="C855" s="71">
        <v>29.5</v>
      </c>
      <c r="D855" s="132">
        <f t="array" ref="D855">MOD(ROW(), 3) + 1</f>
        <v>1</v>
      </c>
    </row>
    <row r="856" spans="1:4" ht="15.75">
      <c r="A856" s="64">
        <f t="shared" ca="1" si="17"/>
        <v>0.31681823658680441</v>
      </c>
      <c r="B856" s="74">
        <v>6.5</v>
      </c>
      <c r="C856" s="71">
        <v>19.899999999999999</v>
      </c>
      <c r="D856" s="132">
        <f t="array" ref="D856">MOD(ROW(), 3) + 1</f>
        <v>2</v>
      </c>
    </row>
    <row r="857" spans="1:4" ht="15.75">
      <c r="A857" s="64">
        <f t="shared" ca="1" si="17"/>
        <v>0.16756845943279397</v>
      </c>
      <c r="B857" s="74">
        <v>3.2</v>
      </c>
      <c r="C857" s="71">
        <v>36.4</v>
      </c>
      <c r="D857" s="132">
        <f t="array" ref="D857">MOD(ROW(), 3) + 1</f>
        <v>3</v>
      </c>
    </row>
    <row r="858" spans="1:4" ht="15.75">
      <c r="A858" s="64">
        <f t="shared" ca="1" si="17"/>
        <v>0.84763501739408298</v>
      </c>
      <c r="B858" s="74">
        <v>2.2999999999999998</v>
      </c>
      <c r="C858" s="71">
        <v>34.700000000000003</v>
      </c>
      <c r="D858" s="132">
        <f t="array" ref="D858">MOD(ROW(), 3) + 1</f>
        <v>1</v>
      </c>
    </row>
    <row r="859" spans="1:4" ht="15.75">
      <c r="A859" s="64">
        <f t="shared" ca="1" si="17"/>
        <v>0.12364630529508724</v>
      </c>
      <c r="B859" s="74">
        <v>3</v>
      </c>
      <c r="C859" s="71">
        <v>34.4</v>
      </c>
      <c r="D859" s="132">
        <f t="array" ref="D859">MOD(ROW(), 3) + 1</f>
        <v>2</v>
      </c>
    </row>
    <row r="860" spans="1:4" ht="15.75">
      <c r="A860" s="64">
        <f t="shared" ca="1" si="17"/>
        <v>0.48759257046147797</v>
      </c>
      <c r="B860" s="74">
        <v>4.7</v>
      </c>
      <c r="C860" s="71">
        <v>23.8</v>
      </c>
      <c r="D860" s="132">
        <f t="array" ref="D860">MOD(ROW(), 3) + 1</f>
        <v>3</v>
      </c>
    </row>
    <row r="861" spans="1:4" ht="15.75">
      <c r="A861" s="64">
        <f t="shared" ca="1" si="17"/>
        <v>7.6676668107063528E-2</v>
      </c>
      <c r="B861" s="74">
        <v>2.4</v>
      </c>
      <c r="C861" s="71">
        <v>38.200000000000003</v>
      </c>
      <c r="D861" s="132">
        <f t="array" ref="D861">MOD(ROW(), 3) + 1</f>
        <v>1</v>
      </c>
    </row>
    <row r="862" spans="1:4" ht="15.75">
      <c r="A862" s="64">
        <f t="shared" ca="1" si="17"/>
        <v>0.14453798329441725</v>
      </c>
      <c r="B862" s="74">
        <v>4</v>
      </c>
      <c r="C862" s="71">
        <v>25.753499999999999</v>
      </c>
      <c r="D862" s="132">
        <f t="array" ref="D862">MOD(ROW(), 3) + 1</f>
        <v>2</v>
      </c>
    </row>
    <row r="863" spans="1:4" ht="15.75">
      <c r="A863" s="64">
        <f t="shared" ca="1" si="17"/>
        <v>0.89275034954612376</v>
      </c>
      <c r="B863" s="74">
        <v>6.2</v>
      </c>
      <c r="C863" s="71">
        <v>35.200000000000003</v>
      </c>
      <c r="D863" s="132">
        <f t="array" ref="D863">MOD(ROW(), 3) + 1</f>
        <v>3</v>
      </c>
    </row>
    <row r="864" spans="1:4" ht="15.75">
      <c r="A864" s="64">
        <f t="shared" ca="1" si="17"/>
        <v>7.2011905071107996E-2</v>
      </c>
      <c r="B864" s="74">
        <v>5.3</v>
      </c>
      <c r="C864" s="71">
        <v>28.993500000000001</v>
      </c>
      <c r="D864" s="132">
        <f t="array" ref="D864">MOD(ROW(), 3) + 1</f>
        <v>1</v>
      </c>
    </row>
    <row r="865" spans="1:4" ht="15.75">
      <c r="A865" s="64">
        <f t="shared" ca="1" si="17"/>
        <v>0.87234611509904025</v>
      </c>
      <c r="B865" s="74">
        <v>3.2</v>
      </c>
      <c r="C865" s="71">
        <v>29.7</v>
      </c>
      <c r="D865" s="132">
        <f t="array" ref="D865">MOD(ROW(), 3) + 1</f>
        <v>2</v>
      </c>
    </row>
    <row r="866" spans="1:4" ht="15.75">
      <c r="A866" s="64">
        <f t="shared" ca="1" si="17"/>
        <v>0.47253620637733329</v>
      </c>
      <c r="B866" s="74">
        <v>5</v>
      </c>
      <c r="C866" s="71">
        <v>24.0505</v>
      </c>
      <c r="D866" s="132">
        <f t="array" ref="D866">MOD(ROW(), 3) + 1</f>
        <v>3</v>
      </c>
    </row>
    <row r="867" spans="1:4" ht="15.75">
      <c r="A867" s="64">
        <f t="shared" ca="1" si="17"/>
        <v>0.3882271663869663</v>
      </c>
      <c r="B867" s="74">
        <v>4.4000000000000004</v>
      </c>
      <c r="C867" s="71">
        <v>26.6</v>
      </c>
      <c r="D867" s="132">
        <f t="array" ref="D867">MOD(ROW(), 3) + 1</f>
        <v>1</v>
      </c>
    </row>
    <row r="868" spans="1:4" ht="15.75">
      <c r="A868" s="64">
        <f t="shared" ca="1" si="17"/>
        <v>0.41251065886187954</v>
      </c>
      <c r="B868" s="74">
        <v>3.8</v>
      </c>
      <c r="C868" s="71">
        <v>31.9</v>
      </c>
      <c r="D868" s="132">
        <f t="array" ref="D868">MOD(ROW(), 3) + 1</f>
        <v>2</v>
      </c>
    </row>
    <row r="869" spans="1:4" ht="15.75">
      <c r="A869" s="64">
        <f t="shared" ca="1" si="17"/>
        <v>0.89462819400241334</v>
      </c>
      <c r="B869" s="74">
        <v>2.5</v>
      </c>
      <c r="C869" s="71">
        <v>37.057400000000001</v>
      </c>
      <c r="D869" s="132">
        <f t="array" ref="D869">MOD(ROW(), 3) + 1</f>
        <v>3</v>
      </c>
    </row>
    <row r="870" spans="1:4" ht="15.75">
      <c r="A870" s="64">
        <f t="shared" ca="1" si="17"/>
        <v>8.6983563872828573E-2</v>
      </c>
      <c r="B870" s="74">
        <v>2.4</v>
      </c>
      <c r="C870" s="71">
        <v>35</v>
      </c>
      <c r="D870" s="132">
        <f t="array" ref="D870">MOD(ROW(), 3) + 1</f>
        <v>1</v>
      </c>
    </row>
    <row r="871" spans="1:4" ht="15.75">
      <c r="A871" s="64">
        <f t="shared" ca="1" si="17"/>
        <v>0.32789146389086465</v>
      </c>
      <c r="B871" s="74">
        <v>3.5</v>
      </c>
      <c r="C871" s="71">
        <v>37.9499</v>
      </c>
      <c r="D871" s="132">
        <f t="array" ref="D871">MOD(ROW(), 3) + 1</f>
        <v>2</v>
      </c>
    </row>
    <row r="872" spans="1:4" ht="15.75">
      <c r="A872" s="64">
        <f t="shared" ca="1" si="17"/>
        <v>2.7419907865274817E-3</v>
      </c>
      <c r="B872" s="74">
        <v>4.2</v>
      </c>
      <c r="C872" s="71">
        <v>31.5002</v>
      </c>
      <c r="D872" s="132">
        <f t="array" ref="D872">MOD(ROW(), 3) + 1</f>
        <v>3</v>
      </c>
    </row>
    <row r="873" spans="1:4" ht="15.75">
      <c r="A873" s="64">
        <f t="shared" ca="1" si="17"/>
        <v>0.92016920208780095</v>
      </c>
      <c r="B873" s="74">
        <v>3.8</v>
      </c>
      <c r="C873" s="71">
        <v>33.200000000000003</v>
      </c>
      <c r="D873" s="132">
        <f t="array" ref="D873">MOD(ROW(), 3) + 1</f>
        <v>1</v>
      </c>
    </row>
    <row r="874" spans="1:4" ht="15.75">
      <c r="A874" s="64">
        <f t="shared" ca="1" si="17"/>
        <v>0.97383093623701178</v>
      </c>
      <c r="B874" s="74">
        <v>4.5999999999999996</v>
      </c>
      <c r="C874" s="71">
        <v>32.110900000000001</v>
      </c>
      <c r="D874" s="132">
        <f t="array" ref="D874">MOD(ROW(), 3) + 1</f>
        <v>2</v>
      </c>
    </row>
    <row r="875" spans="1:4" ht="15.75">
      <c r="A875" s="64">
        <f t="shared" ca="1" si="17"/>
        <v>0.61136536611540349</v>
      </c>
      <c r="B875" s="74">
        <v>5.3</v>
      </c>
      <c r="C875" s="71">
        <v>22.761900000000001</v>
      </c>
      <c r="D875" s="132">
        <f t="array" ref="D875">MOD(ROW(), 3) + 1</f>
        <v>3</v>
      </c>
    </row>
    <row r="876" spans="1:4" ht="15.75">
      <c r="A876" s="64">
        <f t="shared" ca="1" si="17"/>
        <v>0.2080575281207272</v>
      </c>
      <c r="B876" s="74">
        <v>2.7</v>
      </c>
      <c r="C876" s="71">
        <v>35.700000000000003</v>
      </c>
      <c r="D876" s="132">
        <f t="array" ref="D876">MOD(ROW(), 3) + 1</f>
        <v>1</v>
      </c>
    </row>
    <row r="877" spans="1:4" ht="15.75">
      <c r="A877" s="64">
        <f t="shared" ca="1" si="17"/>
        <v>0.37121222553199495</v>
      </c>
      <c r="B877" s="74">
        <v>2</v>
      </c>
      <c r="C877" s="71">
        <v>37</v>
      </c>
      <c r="D877" s="132">
        <f t="array" ref="D877">MOD(ROW(), 3) + 1</f>
        <v>2</v>
      </c>
    </row>
    <row r="878" spans="1:4" ht="15.75">
      <c r="A878" s="64">
        <f t="shared" ca="1" si="17"/>
        <v>0.56837567950374934</v>
      </c>
      <c r="B878" s="74">
        <v>4.5999999999999996</v>
      </c>
      <c r="C878" s="71">
        <v>34.200000000000003</v>
      </c>
      <c r="D878" s="132">
        <f t="array" ref="D878">MOD(ROW(), 3) + 1</f>
        <v>3</v>
      </c>
    </row>
    <row r="879" spans="1:4" ht="15.75">
      <c r="A879" s="64">
        <f t="shared" ca="1" si="17"/>
        <v>0.43928628310118711</v>
      </c>
      <c r="B879" s="74">
        <v>2</v>
      </c>
      <c r="C879" s="71">
        <v>47.327800000000003</v>
      </c>
      <c r="D879" s="132">
        <f t="array" ref="D879">MOD(ROW(), 3) + 1</f>
        <v>1</v>
      </c>
    </row>
    <row r="880" spans="1:4" ht="15.75">
      <c r="A880" s="64">
        <f t="shared" ca="1" si="17"/>
        <v>0.99671327732006554</v>
      </c>
      <c r="B880" s="74">
        <v>3</v>
      </c>
      <c r="C880" s="71">
        <v>39.710299999999997</v>
      </c>
      <c r="D880" s="132">
        <f t="array" ref="D880">MOD(ROW(), 3) + 1</f>
        <v>2</v>
      </c>
    </row>
    <row r="881" spans="1:4" ht="15.75">
      <c r="A881" s="64">
        <f t="shared" ca="1" si="17"/>
        <v>0.76900106117611899</v>
      </c>
      <c r="B881" s="74">
        <v>2.4</v>
      </c>
      <c r="C881" s="71">
        <v>40.200000000000003</v>
      </c>
      <c r="D881" s="132">
        <f t="array" ref="D881">MOD(ROW(), 3) + 1</f>
        <v>3</v>
      </c>
    </row>
    <row r="882" spans="1:4" ht="15.75">
      <c r="A882" s="64">
        <f t="shared" ca="1" si="17"/>
        <v>3.7628620063347551E-2</v>
      </c>
      <c r="B882" s="74">
        <v>4.8</v>
      </c>
      <c r="C882" s="71">
        <v>25.7761</v>
      </c>
      <c r="D882" s="132">
        <f t="array" ref="D882">MOD(ROW(), 3) + 1</f>
        <v>1</v>
      </c>
    </row>
    <row r="883" spans="1:4" ht="15.75">
      <c r="A883" s="64">
        <f t="shared" ca="1" si="17"/>
        <v>0.91952416681634019</v>
      </c>
      <c r="B883" s="74">
        <v>1.6</v>
      </c>
      <c r="C883" s="71">
        <v>51.655500000000004</v>
      </c>
      <c r="D883" s="132">
        <f t="array" ref="D883">MOD(ROW(), 3) + 1</f>
        <v>2</v>
      </c>
    </row>
    <row r="884" spans="1:4" ht="15.75">
      <c r="A884" s="64">
        <f t="shared" ca="1" si="17"/>
        <v>0.41971582633239957</v>
      </c>
      <c r="B884" s="74">
        <v>1.6</v>
      </c>
      <c r="C884" s="71">
        <v>47.7592</v>
      </c>
      <c r="D884" s="132">
        <f t="array" ref="D884">MOD(ROW(), 3) + 1</f>
        <v>3</v>
      </c>
    </row>
    <row r="885" spans="1:4" ht="15.75">
      <c r="A885" s="64">
        <f t="shared" ca="1" si="17"/>
        <v>0.80686473715893481</v>
      </c>
      <c r="B885" s="74">
        <v>2.4</v>
      </c>
      <c r="C885" s="71">
        <v>42.3947</v>
      </c>
      <c r="D885" s="132">
        <f t="array" ref="D885">MOD(ROW(), 3) + 1</f>
        <v>1</v>
      </c>
    </row>
    <row r="886" spans="1:4" ht="15.75">
      <c r="A886" s="64">
        <f t="shared" ca="1" si="17"/>
        <v>0.23139428278296148</v>
      </c>
      <c r="B886" s="74">
        <v>5.3</v>
      </c>
      <c r="C886" s="71">
        <v>29.370799999999999</v>
      </c>
      <c r="D886" s="132">
        <f t="array" ref="D886">MOD(ROW(), 3) + 1</f>
        <v>2</v>
      </c>
    </row>
    <row r="887" spans="1:4" ht="15.75">
      <c r="A887" s="64">
        <f t="shared" ca="1" si="17"/>
        <v>0.30597431752004534</v>
      </c>
      <c r="B887" s="74">
        <v>3.7</v>
      </c>
      <c r="C887" s="71">
        <v>34.299999999999997</v>
      </c>
      <c r="D887" s="132">
        <f t="array" ref="D887">MOD(ROW(), 3) + 1</f>
        <v>3</v>
      </c>
    </row>
    <row r="888" spans="1:4" ht="15.75">
      <c r="A888" s="64">
        <f t="shared" ca="1" si="17"/>
        <v>0.89186765319307337</v>
      </c>
      <c r="B888" s="74">
        <v>5.2</v>
      </c>
      <c r="C888" s="71">
        <v>24</v>
      </c>
      <c r="D888" s="132">
        <f t="array" ref="D888">MOD(ROW(), 3) + 1</f>
        <v>1</v>
      </c>
    </row>
    <row r="889" spans="1:4" ht="15.75">
      <c r="A889" s="64">
        <f t="shared" ca="1" si="17"/>
        <v>0.60433787524235216</v>
      </c>
      <c r="B889" s="74">
        <v>2.4</v>
      </c>
      <c r="C889" s="71">
        <v>38.599499999999999</v>
      </c>
      <c r="D889" s="132">
        <f t="array" ref="D889">MOD(ROW(), 3) + 1</f>
        <v>2</v>
      </c>
    </row>
    <row r="890" spans="1:4" ht="15.75">
      <c r="A890" s="64">
        <f t="shared" ca="1" si="17"/>
        <v>0.66087619321630564</v>
      </c>
      <c r="B890" s="74">
        <v>2.2000000000000002</v>
      </c>
      <c r="C890" s="71">
        <v>46.8</v>
      </c>
      <c r="D890" s="132">
        <f t="array" ref="D890">MOD(ROW(), 3) + 1</f>
        <v>3</v>
      </c>
    </row>
    <row r="891" spans="1:4" ht="15.75">
      <c r="A891" s="64">
        <f t="shared" ca="1" si="17"/>
        <v>0.65776503750403881</v>
      </c>
      <c r="B891" s="74">
        <v>3.5</v>
      </c>
      <c r="C891" s="71">
        <v>38.034700000000001</v>
      </c>
      <c r="D891" s="132">
        <f t="array" ref="D891">MOD(ROW(), 3) + 1</f>
        <v>1</v>
      </c>
    </row>
    <row r="892" spans="1:4" ht="15.75">
      <c r="A892" s="64">
        <f t="shared" ca="1" si="17"/>
        <v>0.21179569132542464</v>
      </c>
      <c r="B892" s="74">
        <v>3.4</v>
      </c>
      <c r="C892" s="71">
        <v>40.997799999999998</v>
      </c>
      <c r="D892" s="132">
        <f t="array" ref="D892">MOD(ROW(), 3) + 1</f>
        <v>2</v>
      </c>
    </row>
    <row r="893" spans="1:4" ht="15.75">
      <c r="A893" s="64">
        <f t="shared" ca="1" si="17"/>
        <v>0.18919829584924619</v>
      </c>
      <c r="B893" s="74">
        <v>3</v>
      </c>
      <c r="C893" s="71">
        <v>33.722900000000003</v>
      </c>
      <c r="D893" s="132">
        <f t="array" ref="D893">MOD(ROW(), 3) + 1</f>
        <v>3</v>
      </c>
    </row>
    <row r="894" spans="1:4" ht="15.75">
      <c r="A894" s="64">
        <f t="shared" ca="1" si="17"/>
        <v>0.53505736350420141</v>
      </c>
      <c r="B894" s="74">
        <v>4.5999999999999996</v>
      </c>
      <c r="C894" s="71">
        <v>32.149900000000002</v>
      </c>
      <c r="D894" s="132">
        <f t="array" ref="D894">MOD(ROW(), 3) + 1</f>
        <v>1</v>
      </c>
    </row>
    <row r="895" spans="1:4" ht="15.75">
      <c r="A895" s="64">
        <f t="shared" ca="1" si="17"/>
        <v>0.27198609373833049</v>
      </c>
      <c r="B895" s="74">
        <v>2.2999999999999998</v>
      </c>
      <c r="C895" s="71">
        <v>38.1</v>
      </c>
      <c r="D895" s="132">
        <f t="array" ref="D895">MOD(ROW(), 3) + 1</f>
        <v>2</v>
      </c>
    </row>
    <row r="896" spans="1:4" ht="15.75">
      <c r="A896" s="64">
        <f t="shared" ca="1" si="17"/>
        <v>0.7494555475811937</v>
      </c>
      <c r="B896" s="74">
        <v>2.4</v>
      </c>
      <c r="C896" s="71">
        <v>37.221800000000002</v>
      </c>
      <c r="D896" s="132">
        <f t="array" ref="D896">MOD(ROW(), 3) + 1</f>
        <v>3</v>
      </c>
    </row>
    <row r="897" spans="1:4" ht="15.75">
      <c r="A897" s="64">
        <f t="shared" ca="1" si="17"/>
        <v>0.12250679831163314</v>
      </c>
      <c r="B897" s="74">
        <v>3</v>
      </c>
      <c r="C897" s="71">
        <v>38.7896</v>
      </c>
      <c r="D897" s="132">
        <f t="array" ref="D897">MOD(ROW(), 3) + 1</f>
        <v>1</v>
      </c>
    </row>
    <row r="898" spans="1:4" ht="15.75">
      <c r="A898" s="64">
        <f t="shared" ca="1" si="17"/>
        <v>0.20980691943278706</v>
      </c>
      <c r="B898" s="74">
        <v>2</v>
      </c>
      <c r="C898" s="71">
        <v>41.9</v>
      </c>
      <c r="D898" s="132">
        <f t="array" ref="D898">MOD(ROW(), 3) + 1</f>
        <v>2</v>
      </c>
    </row>
    <row r="899" spans="1:4" ht="15.75">
      <c r="A899" s="64">
        <f t="shared" ref="A899:A962" ca="1" si="18">RAND()</f>
        <v>0.3250344279444074</v>
      </c>
      <c r="B899" s="74">
        <v>6.2</v>
      </c>
      <c r="C899" s="71">
        <v>26.1</v>
      </c>
      <c r="D899" s="132">
        <f t="array" ref="D899">MOD(ROW(), 3) + 1</f>
        <v>3</v>
      </c>
    </row>
    <row r="900" spans="1:4" ht="15.75">
      <c r="A900" s="64">
        <f t="shared" ca="1" si="18"/>
        <v>0.23308999741271719</v>
      </c>
      <c r="B900" s="74">
        <v>2.7</v>
      </c>
      <c r="C900" s="71">
        <v>32.700000000000003</v>
      </c>
      <c r="D900" s="132">
        <f t="array" ref="D900">MOD(ROW(), 3) + 1</f>
        <v>1</v>
      </c>
    </row>
    <row r="901" spans="1:4" ht="15.75">
      <c r="A901" s="64">
        <f t="shared" ca="1" si="18"/>
        <v>0.58718879252131617</v>
      </c>
      <c r="B901" s="74">
        <v>6</v>
      </c>
      <c r="C901" s="71">
        <v>23.4</v>
      </c>
      <c r="D901" s="132">
        <f t="array" ref="D901">MOD(ROW(), 3) + 1</f>
        <v>2</v>
      </c>
    </row>
    <row r="902" spans="1:4" ht="15.75">
      <c r="A902" s="64">
        <f t="shared" ca="1" si="18"/>
        <v>0.91365841362351585</v>
      </c>
      <c r="B902" s="74">
        <v>4.5999999999999996</v>
      </c>
      <c r="C902" s="71">
        <v>31.9</v>
      </c>
      <c r="D902" s="132">
        <f t="array" ref="D902">MOD(ROW(), 3) + 1</f>
        <v>3</v>
      </c>
    </row>
    <row r="903" spans="1:4" ht="15.75">
      <c r="A903" s="64">
        <f t="shared" ca="1" si="18"/>
        <v>0.48826773060113393</v>
      </c>
      <c r="B903" s="74">
        <v>2.5</v>
      </c>
      <c r="C903" s="71">
        <v>38.377800000000001</v>
      </c>
      <c r="D903" s="132">
        <f t="array" ref="D903">MOD(ROW(), 3) + 1</f>
        <v>1</v>
      </c>
    </row>
    <row r="904" spans="1:4" ht="15.75">
      <c r="A904" s="64">
        <f t="shared" ca="1" si="18"/>
        <v>0.79377587798797722</v>
      </c>
      <c r="B904" s="74">
        <v>3</v>
      </c>
      <c r="C904" s="71">
        <v>35.540399999999998</v>
      </c>
      <c r="D904" s="132">
        <f t="array" ref="D904">MOD(ROW(), 3) + 1</f>
        <v>2</v>
      </c>
    </row>
    <row r="905" spans="1:4" ht="15.75">
      <c r="A905" s="64">
        <f t="shared" ca="1" si="18"/>
        <v>0.56981837422952109</v>
      </c>
      <c r="B905" s="74">
        <v>2.2999999999999998</v>
      </c>
      <c r="C905" s="71">
        <v>31.9</v>
      </c>
      <c r="D905" s="132">
        <f t="array" ref="D905">MOD(ROW(), 3) + 1</f>
        <v>3</v>
      </c>
    </row>
    <row r="906" spans="1:4" ht="15.75">
      <c r="A906" s="64">
        <f t="shared" ca="1" si="18"/>
        <v>0.25665928431774276</v>
      </c>
      <c r="B906" s="74">
        <v>2</v>
      </c>
      <c r="C906" s="71">
        <v>37.5</v>
      </c>
      <c r="D906" s="132">
        <f t="array" ref="D906">MOD(ROW(), 3) + 1</f>
        <v>1</v>
      </c>
    </row>
    <row r="907" spans="1:4" ht="15.75">
      <c r="A907" s="64">
        <f t="shared" ca="1" si="18"/>
        <v>0.70071962917291952</v>
      </c>
      <c r="B907" s="74">
        <v>1.8</v>
      </c>
      <c r="C907" s="71">
        <v>37.619999999999997</v>
      </c>
      <c r="D907" s="132">
        <f t="array" ref="D907">MOD(ROW(), 3) + 1</f>
        <v>2</v>
      </c>
    </row>
    <row r="908" spans="1:4" ht="15.75">
      <c r="A908" s="64">
        <f t="shared" ca="1" si="18"/>
        <v>0.56793705209884304</v>
      </c>
      <c r="B908" s="74">
        <v>6.2</v>
      </c>
      <c r="C908" s="71">
        <v>26</v>
      </c>
      <c r="D908" s="132">
        <f t="array" ref="D908">MOD(ROW(), 3) + 1</f>
        <v>3</v>
      </c>
    </row>
    <row r="909" spans="1:4" ht="15.75">
      <c r="A909" s="64">
        <f t="shared" ca="1" si="18"/>
        <v>0.25066647796169605</v>
      </c>
      <c r="B909" s="74">
        <v>3</v>
      </c>
      <c r="C909" s="71">
        <v>34.548200000000001</v>
      </c>
      <c r="D909" s="132">
        <f t="array" ref="D909">MOD(ROW(), 3) + 1</f>
        <v>1</v>
      </c>
    </row>
    <row r="910" spans="1:4" ht="15.75">
      <c r="A910" s="64">
        <f t="shared" ca="1" si="18"/>
        <v>0.63877901651206992</v>
      </c>
      <c r="B910" s="74">
        <v>5.6</v>
      </c>
      <c r="C910" s="71">
        <v>25.1952</v>
      </c>
      <c r="D910" s="132">
        <f t="array" ref="D910">MOD(ROW(), 3) + 1</f>
        <v>2</v>
      </c>
    </row>
    <row r="911" spans="1:4" ht="15.75">
      <c r="A911" s="64">
        <f t="shared" ca="1" si="18"/>
        <v>0.83362533632545854</v>
      </c>
      <c r="B911" s="74">
        <v>4.3</v>
      </c>
      <c r="C911" s="71">
        <v>27.6</v>
      </c>
      <c r="D911" s="132">
        <f t="array" ref="D911">MOD(ROW(), 3) + 1</f>
        <v>3</v>
      </c>
    </row>
    <row r="912" spans="1:4" ht="15.75">
      <c r="A912" s="64">
        <f t="shared" ca="1" si="18"/>
        <v>0.1716511170191698</v>
      </c>
      <c r="B912" s="74">
        <v>6.3</v>
      </c>
      <c r="C912" s="71">
        <v>24.6</v>
      </c>
      <c r="D912" s="132">
        <f t="array" ref="D912">MOD(ROW(), 3) + 1</f>
        <v>1</v>
      </c>
    </row>
    <row r="913" spans="1:4" ht="15.75">
      <c r="A913" s="64">
        <f t="shared" ca="1" si="18"/>
        <v>6.3330192287186726E-2</v>
      </c>
      <c r="B913" s="74">
        <v>4.8</v>
      </c>
      <c r="C913" s="71">
        <v>33.260300000000001</v>
      </c>
      <c r="D913" s="132">
        <f t="array" ref="D913">MOD(ROW(), 3) + 1</f>
        <v>2</v>
      </c>
    </row>
    <row r="914" spans="1:4" ht="15.75">
      <c r="A914" s="64">
        <f t="shared" ca="1" si="18"/>
        <v>0.82875026032681742</v>
      </c>
      <c r="B914" s="74">
        <v>3.7</v>
      </c>
      <c r="C914" s="71">
        <v>27</v>
      </c>
      <c r="D914" s="132">
        <f t="array" ref="D914">MOD(ROW(), 3) + 1</f>
        <v>3</v>
      </c>
    </row>
    <row r="915" spans="1:4" ht="15.75">
      <c r="A915" s="64">
        <f t="shared" ca="1" si="18"/>
        <v>0.36997156610747473</v>
      </c>
      <c r="B915" s="74">
        <v>2.7</v>
      </c>
      <c r="C915" s="71">
        <v>30.3</v>
      </c>
      <c r="D915" s="132">
        <f t="array" ref="D915">MOD(ROW(), 3) + 1</f>
        <v>1</v>
      </c>
    </row>
    <row r="916" spans="1:4" ht="15.75">
      <c r="A916" s="64">
        <f t="shared" ca="1" si="18"/>
        <v>9.7746135024724179E-2</v>
      </c>
      <c r="B916" s="74">
        <v>1.6</v>
      </c>
      <c r="C916" s="71">
        <v>47.202500000000001</v>
      </c>
      <c r="D916" s="132">
        <f t="array" ref="D916">MOD(ROW(), 3) + 1</f>
        <v>2</v>
      </c>
    </row>
    <row r="917" spans="1:4" ht="15.75">
      <c r="A917" s="64">
        <f t="shared" ca="1" si="18"/>
        <v>0.65781187075001324</v>
      </c>
      <c r="B917" s="74">
        <v>6.2</v>
      </c>
      <c r="C917" s="71">
        <v>27.4</v>
      </c>
      <c r="D917" s="132">
        <f t="array" ref="D917">MOD(ROW(), 3) + 1</f>
        <v>3</v>
      </c>
    </row>
    <row r="918" spans="1:4" ht="15.75">
      <c r="A918" s="64">
        <f t="shared" ca="1" si="18"/>
        <v>0.5562552012574018</v>
      </c>
      <c r="B918" s="74">
        <v>2.5</v>
      </c>
      <c r="C918" s="71">
        <v>34.6</v>
      </c>
      <c r="D918" s="132">
        <f t="array" ref="D918">MOD(ROW(), 3) + 1</f>
        <v>1</v>
      </c>
    </row>
    <row r="919" spans="1:4" ht="15.75">
      <c r="A919" s="64">
        <f t="shared" ca="1" si="18"/>
        <v>0.43808882091655221</v>
      </c>
      <c r="B919" s="74">
        <v>3.9</v>
      </c>
      <c r="C919" s="71">
        <v>36.6</v>
      </c>
      <c r="D919" s="132">
        <f t="array" ref="D919">MOD(ROW(), 3) + 1</f>
        <v>2</v>
      </c>
    </row>
    <row r="920" spans="1:4" ht="15.75">
      <c r="A920" s="64">
        <f t="shared" ca="1" si="18"/>
        <v>4.0480412328977367E-2</v>
      </c>
      <c r="B920" s="74">
        <v>2.4</v>
      </c>
      <c r="C920" s="71">
        <v>33.6</v>
      </c>
      <c r="D920" s="132">
        <f t="array" ref="D920">MOD(ROW(), 3) + 1</f>
        <v>3</v>
      </c>
    </row>
    <row r="921" spans="1:4" ht="15.75">
      <c r="A921" s="64">
        <f t="shared" ca="1" si="18"/>
        <v>0.65585180734770621</v>
      </c>
      <c r="B921" s="74">
        <v>3</v>
      </c>
      <c r="C921" s="71">
        <v>33.200000000000003</v>
      </c>
      <c r="D921" s="132">
        <f t="array" ref="D921">MOD(ROW(), 3) + 1</f>
        <v>1</v>
      </c>
    </row>
    <row r="922" spans="1:4" ht="15.75">
      <c r="A922" s="64">
        <f t="shared" ca="1" si="18"/>
        <v>0.61913749821074715</v>
      </c>
      <c r="B922" s="74">
        <v>3</v>
      </c>
      <c r="C922" s="71">
        <v>36.154800000000002</v>
      </c>
      <c r="D922" s="132">
        <f t="array" ref="D922">MOD(ROW(), 3) + 1</f>
        <v>2</v>
      </c>
    </row>
    <row r="923" spans="1:4" ht="15.75">
      <c r="A923" s="64">
        <f t="shared" ca="1" si="18"/>
        <v>0.41005555982529862</v>
      </c>
      <c r="B923" s="74">
        <v>3.5</v>
      </c>
      <c r="C923" s="71">
        <v>36.799999999999997</v>
      </c>
      <c r="D923" s="132">
        <f t="array" ref="D923">MOD(ROW(), 3) + 1</f>
        <v>3</v>
      </c>
    </row>
    <row r="924" spans="1:4" ht="15.75">
      <c r="A924" s="64">
        <f t="shared" ca="1" si="18"/>
        <v>0.30973291919721591</v>
      </c>
      <c r="B924" s="74">
        <v>3.8</v>
      </c>
      <c r="C924" s="71">
        <v>31.9</v>
      </c>
      <c r="D924" s="132">
        <f t="array" ref="D924">MOD(ROW(), 3) + 1</f>
        <v>1</v>
      </c>
    </row>
    <row r="925" spans="1:4" ht="15.75">
      <c r="A925" s="64">
        <f t="shared" ca="1" si="18"/>
        <v>0.72285637542061132</v>
      </c>
      <c r="B925" s="74">
        <v>6.1</v>
      </c>
      <c r="C925" s="71">
        <v>26</v>
      </c>
      <c r="D925" s="132">
        <f t="array" ref="D925">MOD(ROW(), 3) + 1</f>
        <v>2</v>
      </c>
    </row>
    <row r="926" spans="1:4" ht="15.75">
      <c r="A926" s="64">
        <f t="shared" ca="1" si="18"/>
        <v>0.59597755877389158</v>
      </c>
      <c r="B926" s="74">
        <v>3.8</v>
      </c>
      <c r="C926" s="71">
        <v>29.5</v>
      </c>
      <c r="D926" s="132">
        <f t="array" ref="D926">MOD(ROW(), 3) + 1</f>
        <v>3</v>
      </c>
    </row>
    <row r="927" spans="1:4" ht="15.75">
      <c r="A927" s="64">
        <f t="shared" ca="1" si="18"/>
        <v>0.28916277505221955</v>
      </c>
      <c r="B927" s="74">
        <v>3.5</v>
      </c>
      <c r="C927" s="71">
        <v>32.407600000000002</v>
      </c>
      <c r="D927" s="132">
        <f t="array" ref="D927">MOD(ROW(), 3) + 1</f>
        <v>1</v>
      </c>
    </row>
    <row r="928" spans="1:4" ht="15.75">
      <c r="A928" s="64">
        <f t="shared" ca="1" si="18"/>
        <v>0.94968225804065665</v>
      </c>
      <c r="B928" s="74">
        <v>4.2</v>
      </c>
      <c r="C928" s="71">
        <v>24.183700000000002</v>
      </c>
      <c r="D928" s="132">
        <f t="array" ref="D928">MOD(ROW(), 3) + 1</f>
        <v>2</v>
      </c>
    </row>
    <row r="929" spans="1:4" ht="15.75">
      <c r="A929" s="64">
        <f t="shared" ca="1" si="18"/>
        <v>0.44182310255666846</v>
      </c>
      <c r="B929" s="74">
        <v>4</v>
      </c>
      <c r="C929" s="71">
        <v>29.9</v>
      </c>
      <c r="D929" s="132">
        <f t="array" ref="D929">MOD(ROW(), 3) + 1</f>
        <v>3</v>
      </c>
    </row>
    <row r="930" spans="1:4" ht="15.75">
      <c r="A930" s="64">
        <f t="shared" ca="1" si="18"/>
        <v>0.7762566690166578</v>
      </c>
      <c r="B930" s="74">
        <v>2.4</v>
      </c>
      <c r="C930" s="71">
        <v>40.299999999999997</v>
      </c>
      <c r="D930" s="132">
        <f t="array" ref="D930">MOD(ROW(), 3) + 1</f>
        <v>1</v>
      </c>
    </row>
    <row r="931" spans="1:4" ht="15.75">
      <c r="A931" s="64">
        <f t="shared" ca="1" si="18"/>
        <v>0.65528194837874931</v>
      </c>
      <c r="B931" s="74">
        <v>3</v>
      </c>
      <c r="C931" s="71">
        <v>51.1</v>
      </c>
      <c r="D931" s="132">
        <f t="array" ref="D931">MOD(ROW(), 3) + 1</f>
        <v>2</v>
      </c>
    </row>
    <row r="932" spans="1:4" ht="15.75">
      <c r="A932" s="64">
        <f t="shared" ca="1" si="18"/>
        <v>0.19130195240006687</v>
      </c>
      <c r="B932" s="74">
        <v>1.5</v>
      </c>
      <c r="C932" s="71">
        <v>47.4</v>
      </c>
      <c r="D932" s="132">
        <f t="array" ref="D932">MOD(ROW(), 3) + 1</f>
        <v>3</v>
      </c>
    </row>
    <row r="933" spans="1:4" ht="15.75">
      <c r="A933" s="64">
        <f t="shared" ca="1" si="18"/>
        <v>0.9022747407388424</v>
      </c>
      <c r="B933" s="74">
        <v>4.5999999999999996</v>
      </c>
      <c r="C933" s="71">
        <v>26.662199999999999</v>
      </c>
      <c r="D933" s="132">
        <f t="array" ref="D933">MOD(ROW(), 3) + 1</f>
        <v>1</v>
      </c>
    </row>
    <row r="934" spans="1:4" ht="15.75">
      <c r="A934" s="64">
        <f t="shared" ca="1" si="18"/>
        <v>6.8173416661241548E-2</v>
      </c>
      <c r="B934" s="74">
        <v>3.8</v>
      </c>
      <c r="C934" s="71">
        <v>35.359400000000001</v>
      </c>
      <c r="D934" s="132">
        <f t="array" ref="D934">MOD(ROW(), 3) + 1</f>
        <v>2</v>
      </c>
    </row>
    <row r="935" spans="1:4" ht="15.75">
      <c r="A935" s="64">
        <f t="shared" ca="1" si="18"/>
        <v>0.70832521659768355</v>
      </c>
      <c r="B935" s="74">
        <v>3.8</v>
      </c>
      <c r="C935" s="71">
        <v>32.5</v>
      </c>
      <c r="D935" s="132">
        <f t="array" ref="D935">MOD(ROW(), 3) + 1</f>
        <v>3</v>
      </c>
    </row>
    <row r="936" spans="1:4" ht="15.75">
      <c r="A936" s="64">
        <f t="shared" ca="1" si="18"/>
        <v>0.16519909721169312</v>
      </c>
      <c r="B936" s="74">
        <v>1.8</v>
      </c>
      <c r="C936" s="71">
        <v>48.6</v>
      </c>
      <c r="D936" s="132">
        <f t="array" ref="D936">MOD(ROW(), 3) + 1</f>
        <v>1</v>
      </c>
    </row>
    <row r="937" spans="1:4" ht="15.75">
      <c r="A937" s="64">
        <f t="shared" ca="1" si="18"/>
        <v>0.33465771347952333</v>
      </c>
      <c r="B937" s="74">
        <v>2.9</v>
      </c>
      <c r="C937" s="71">
        <v>34.299999999999997</v>
      </c>
      <c r="D937" s="132">
        <f t="array" ref="D937">MOD(ROW(), 3) + 1</f>
        <v>2</v>
      </c>
    </row>
    <row r="938" spans="1:4" ht="15.75">
      <c r="A938" s="64">
        <f t="shared" ca="1" si="18"/>
        <v>0.73951341052487785</v>
      </c>
      <c r="B938" s="74">
        <v>3</v>
      </c>
      <c r="C938" s="71">
        <v>29.789200000000001</v>
      </c>
      <c r="D938" s="132">
        <f t="array" ref="D938">MOD(ROW(), 3) + 1</f>
        <v>3</v>
      </c>
    </row>
    <row r="939" spans="1:4" ht="15.75">
      <c r="A939" s="64">
        <f t="shared" ca="1" si="18"/>
        <v>0.62684084908782212</v>
      </c>
      <c r="B939" s="74">
        <v>2</v>
      </c>
      <c r="C939" s="71">
        <v>41.0456</v>
      </c>
      <c r="D939" s="132">
        <f t="array" ref="D939">MOD(ROW(), 3) + 1</f>
        <v>1</v>
      </c>
    </row>
    <row r="940" spans="1:4" ht="15.75">
      <c r="A940" s="64">
        <f t="shared" ca="1" si="18"/>
        <v>0.37847936059152787</v>
      </c>
      <c r="B940" s="74">
        <v>3</v>
      </c>
      <c r="C940" s="71">
        <v>33.6</v>
      </c>
      <c r="D940" s="132">
        <f t="array" ref="D940">MOD(ROW(), 3) + 1</f>
        <v>2</v>
      </c>
    </row>
    <row r="941" spans="1:4" ht="15.75">
      <c r="A941" s="64">
        <f t="shared" ca="1" si="18"/>
        <v>0.80454473079762978</v>
      </c>
      <c r="B941" s="74">
        <v>4.4000000000000004</v>
      </c>
      <c r="C941" s="71">
        <v>27.7</v>
      </c>
      <c r="D941" s="132">
        <f t="array" ref="D941">MOD(ROW(), 3) + 1</f>
        <v>3</v>
      </c>
    </row>
    <row r="942" spans="1:4" ht="15.75">
      <c r="A942" s="64">
        <f t="shared" ca="1" si="18"/>
        <v>0.2249802051334181</v>
      </c>
      <c r="B942" s="74">
        <v>2.4</v>
      </c>
      <c r="C942" s="71">
        <v>38.957500000000003</v>
      </c>
      <c r="D942" s="132">
        <f t="array" ref="D942">MOD(ROW(), 3) + 1</f>
        <v>1</v>
      </c>
    </row>
    <row r="943" spans="1:4" ht="15.75">
      <c r="A943" s="64">
        <f t="shared" ca="1" si="18"/>
        <v>0.72759517069244561</v>
      </c>
      <c r="B943" s="74">
        <v>6.7</v>
      </c>
      <c r="C943" s="71">
        <v>24.2</v>
      </c>
      <c r="D943" s="132">
        <f t="array" ref="D943">MOD(ROW(), 3) + 1</f>
        <v>2</v>
      </c>
    </row>
    <row r="944" spans="1:4" ht="15.75">
      <c r="A944" s="64">
        <f t="shared" ca="1" si="18"/>
        <v>0.21947711433392836</v>
      </c>
      <c r="B944" s="74">
        <v>2</v>
      </c>
      <c r="C944" s="71">
        <v>38.462699999999998</v>
      </c>
      <c r="D944" s="132">
        <f t="array" ref="D944">MOD(ROW(), 3) + 1</f>
        <v>3</v>
      </c>
    </row>
    <row r="945" spans="1:4" ht="15.75">
      <c r="A945" s="64">
        <f t="shared" ca="1" si="18"/>
        <v>0.15073437982042381</v>
      </c>
      <c r="B945" s="74">
        <v>3</v>
      </c>
      <c r="C945" s="71">
        <v>34.781799999999997</v>
      </c>
      <c r="D945" s="132">
        <f t="array" ref="D945">MOD(ROW(), 3) + 1</f>
        <v>1</v>
      </c>
    </row>
    <row r="946" spans="1:4" ht="15.75">
      <c r="A946" s="64">
        <f t="shared" ca="1" si="18"/>
        <v>0.25906466370052361</v>
      </c>
      <c r="B946" s="74">
        <v>4.7</v>
      </c>
      <c r="C946" s="71">
        <v>28.0198</v>
      </c>
      <c r="D946" s="132">
        <f t="array" ref="D946">MOD(ROW(), 3) + 1</f>
        <v>2</v>
      </c>
    </row>
    <row r="947" spans="1:4" ht="15.75">
      <c r="A947" s="64">
        <f t="shared" ca="1" si="18"/>
        <v>0.29403854418862019</v>
      </c>
      <c r="B947" s="74">
        <v>4.3</v>
      </c>
      <c r="C947" s="71">
        <v>27.8522</v>
      </c>
      <c r="D947" s="132">
        <f t="array" ref="D947">MOD(ROW(), 3) + 1</f>
        <v>3</v>
      </c>
    </row>
    <row r="948" spans="1:4" ht="15.75">
      <c r="A948" s="64">
        <f t="shared" ca="1" si="18"/>
        <v>0.48326666776853178</v>
      </c>
      <c r="B948" s="74">
        <v>2.5</v>
      </c>
      <c r="C948" s="71">
        <v>40.8247</v>
      </c>
      <c r="D948" s="132">
        <f t="array" ref="D948">MOD(ROW(), 3) + 1</f>
        <v>1</v>
      </c>
    </row>
    <row r="949" spans="1:4" ht="15.75">
      <c r="A949" s="64">
        <f t="shared" ca="1" si="18"/>
        <v>0.76156073249950185</v>
      </c>
      <c r="B949" s="74">
        <v>3</v>
      </c>
      <c r="C949" s="71">
        <v>35.540399999999998</v>
      </c>
      <c r="D949" s="132">
        <f t="array" ref="D949">MOD(ROW(), 3) + 1</f>
        <v>2</v>
      </c>
    </row>
    <row r="950" spans="1:4" ht="15.75">
      <c r="A950" s="64">
        <f t="shared" ca="1" si="18"/>
        <v>0.86325695731094665</v>
      </c>
      <c r="B950" s="74">
        <v>3.5</v>
      </c>
      <c r="C950" s="71">
        <v>35</v>
      </c>
      <c r="D950" s="132">
        <f t="array" ref="D950">MOD(ROW(), 3) + 1</f>
        <v>3</v>
      </c>
    </row>
    <row r="951" spans="1:4" ht="15.75">
      <c r="A951" s="64">
        <f t="shared" ca="1" si="18"/>
        <v>0.95347788041873816</v>
      </c>
      <c r="B951" s="74">
        <v>2</v>
      </c>
      <c r="C951" s="71">
        <v>34.9</v>
      </c>
      <c r="D951" s="132">
        <f t="array" ref="D951">MOD(ROW(), 3) + 1</f>
        <v>1</v>
      </c>
    </row>
    <row r="952" spans="1:4" ht="15.75">
      <c r="A952" s="64">
        <f t="shared" ca="1" si="18"/>
        <v>0.26770929891321493</v>
      </c>
      <c r="B952" s="74">
        <v>4.5999999999999996</v>
      </c>
      <c r="C952" s="71">
        <v>28.4</v>
      </c>
      <c r="D952" s="132">
        <f t="array" ref="D952">MOD(ROW(), 3) + 1</f>
        <v>2</v>
      </c>
    </row>
    <row r="953" spans="1:4" ht="15.75">
      <c r="A953" s="64">
        <f t="shared" ca="1" si="18"/>
        <v>0.46629554363054526</v>
      </c>
      <c r="B953" s="74">
        <v>5.3</v>
      </c>
      <c r="C953" s="71">
        <v>23.299900000000001</v>
      </c>
      <c r="D953" s="132">
        <f t="array" ref="D953">MOD(ROW(), 3) + 1</f>
        <v>3</v>
      </c>
    </row>
    <row r="954" spans="1:4" ht="15.75">
      <c r="A954" s="64">
        <f t="shared" ca="1" si="18"/>
        <v>0.75584123484414678</v>
      </c>
      <c r="B954" s="74">
        <v>6.2</v>
      </c>
      <c r="C954" s="71">
        <v>26.299900000000001</v>
      </c>
      <c r="D954" s="132">
        <f t="array" ref="D954">MOD(ROW(), 3) + 1</f>
        <v>1</v>
      </c>
    </row>
    <row r="955" spans="1:4" ht="15.75">
      <c r="A955" s="64">
        <f t="shared" ca="1" si="18"/>
        <v>0.94609791080601868</v>
      </c>
      <c r="B955" s="74">
        <v>3.5</v>
      </c>
      <c r="C955" s="71">
        <v>36.200000000000003</v>
      </c>
      <c r="D955" s="132">
        <f t="array" ref="D955">MOD(ROW(), 3) + 1</f>
        <v>2</v>
      </c>
    </row>
    <row r="956" spans="1:4" ht="15.75">
      <c r="A956" s="64">
        <f t="shared" ca="1" si="18"/>
        <v>0.92636562090089791</v>
      </c>
      <c r="B956" s="74">
        <v>5.2</v>
      </c>
      <c r="C956" s="71">
        <v>23.9</v>
      </c>
      <c r="D956" s="132">
        <f t="array" ref="D956">MOD(ROW(), 3) + 1</f>
        <v>3</v>
      </c>
    </row>
    <row r="957" spans="1:4" ht="15.75">
      <c r="A957" s="64">
        <f t="shared" ca="1" si="18"/>
        <v>0.92363178890697184</v>
      </c>
      <c r="B957" s="74">
        <v>2.5</v>
      </c>
      <c r="C957" s="71">
        <v>37.070999999999998</v>
      </c>
      <c r="D957" s="132">
        <f t="array" ref="D957">MOD(ROW(), 3) + 1</f>
        <v>1</v>
      </c>
    </row>
    <row r="958" spans="1:4" ht="15.75">
      <c r="A958" s="64">
        <f t="shared" ca="1" si="18"/>
        <v>0.85356274086284889</v>
      </c>
      <c r="B958" s="74">
        <v>6</v>
      </c>
      <c r="C958" s="71">
        <v>30.5</v>
      </c>
      <c r="D958" s="132">
        <f t="array" ref="D958">MOD(ROW(), 3) + 1</f>
        <v>2</v>
      </c>
    </row>
    <row r="959" spans="1:4" ht="15.75">
      <c r="A959" s="64">
        <f t="shared" ca="1" si="18"/>
        <v>0.4134584783152393</v>
      </c>
      <c r="B959" s="74">
        <v>4.3</v>
      </c>
      <c r="C959" s="71">
        <v>27.805499999999999</v>
      </c>
      <c r="D959" s="132">
        <f t="array" ref="D959">MOD(ROW(), 3) + 1</f>
        <v>3</v>
      </c>
    </row>
    <row r="960" spans="1:4" ht="15.75">
      <c r="A960" s="64">
        <f t="shared" ca="1" si="18"/>
        <v>0.89837756544206404</v>
      </c>
      <c r="B960" s="74">
        <v>6.5</v>
      </c>
      <c r="C960" s="71">
        <v>19.899999999999999</v>
      </c>
      <c r="D960" s="132">
        <f t="array" ref="D960">MOD(ROW(), 3) + 1</f>
        <v>1</v>
      </c>
    </row>
    <row r="961" spans="1:4" ht="15.75">
      <c r="A961" s="64">
        <f t="shared" ca="1" si="18"/>
        <v>0.3936335359116282</v>
      </c>
      <c r="B961" s="74">
        <v>2.5</v>
      </c>
      <c r="C961" s="71">
        <v>43.8</v>
      </c>
      <c r="D961" s="132">
        <f t="array" ref="D961">MOD(ROW(), 3) + 1</f>
        <v>2</v>
      </c>
    </row>
    <row r="962" spans="1:4" ht="15.75">
      <c r="A962" s="64">
        <f t="shared" ca="1" si="18"/>
        <v>0.38920822699494195</v>
      </c>
      <c r="B962" s="74">
        <v>2.4</v>
      </c>
      <c r="C962" s="71">
        <v>38.876899999999999</v>
      </c>
      <c r="D962" s="132">
        <f t="array" ref="D962">MOD(ROW(), 3) + 1</f>
        <v>3</v>
      </c>
    </row>
    <row r="963" spans="1:4" ht="15.75">
      <c r="A963" s="64">
        <f t="shared" ref="A963:A1026" ca="1" si="19">RAND()</f>
        <v>0.61311193202449066</v>
      </c>
      <c r="B963" s="74">
        <v>3</v>
      </c>
      <c r="C963" s="71">
        <v>36.154800000000002</v>
      </c>
      <c r="D963" s="132">
        <f t="array" ref="D963">MOD(ROW(), 3) + 1</f>
        <v>1</v>
      </c>
    </row>
    <row r="964" spans="1:4" ht="15.75">
      <c r="A964" s="64">
        <f t="shared" ca="1" si="19"/>
        <v>0.58804063261339312</v>
      </c>
      <c r="B964" s="74">
        <v>3.5</v>
      </c>
      <c r="C964" s="71">
        <v>39.799999999999997</v>
      </c>
      <c r="D964" s="132">
        <f t="array" ref="D964">MOD(ROW(), 3) + 1</f>
        <v>2</v>
      </c>
    </row>
    <row r="965" spans="1:4" ht="15.75">
      <c r="A965" s="64">
        <f t="shared" ca="1" si="19"/>
        <v>3.7496959024857279E-2</v>
      </c>
      <c r="B965" s="74">
        <v>3.8</v>
      </c>
      <c r="C965" s="71">
        <v>28.5532</v>
      </c>
      <c r="D965" s="132">
        <f t="array" ref="D965">MOD(ROW(), 3) + 1</f>
        <v>3</v>
      </c>
    </row>
    <row r="966" spans="1:4" ht="15.75">
      <c r="A966" s="64">
        <f t="shared" ca="1" si="19"/>
        <v>0.75043127560446377</v>
      </c>
      <c r="B966" s="74">
        <v>5.3</v>
      </c>
      <c r="C966" s="71">
        <v>29.020499999999998</v>
      </c>
      <c r="D966" s="132">
        <f t="array" ref="D966">MOD(ROW(), 3) + 1</f>
        <v>1</v>
      </c>
    </row>
    <row r="967" spans="1:4" ht="15.75">
      <c r="A967" s="64">
        <f t="shared" ca="1" si="19"/>
        <v>0.16028189570822027</v>
      </c>
      <c r="B967" s="74">
        <v>6</v>
      </c>
      <c r="C967" s="71">
        <v>26.749500000000001</v>
      </c>
      <c r="D967" s="132">
        <f t="array" ref="D967">MOD(ROW(), 3) + 1</f>
        <v>2</v>
      </c>
    </row>
    <row r="968" spans="1:4" ht="15.75">
      <c r="A968" s="64">
        <f t="shared" ca="1" si="19"/>
        <v>0.47066716965601618</v>
      </c>
      <c r="B968" s="74">
        <v>4.8</v>
      </c>
      <c r="C968" s="71">
        <v>25.7761</v>
      </c>
      <c r="D968" s="132">
        <f t="array" ref="D968">MOD(ROW(), 3) + 1</f>
        <v>3</v>
      </c>
    </row>
    <row r="969" spans="1:4" ht="15.75">
      <c r="A969" s="64">
        <f t="shared" ca="1" si="19"/>
        <v>0.9223722839692261</v>
      </c>
      <c r="B969" s="74">
        <v>2.5</v>
      </c>
      <c r="C969" s="71">
        <v>32.910299999999999</v>
      </c>
      <c r="D969" s="132">
        <f t="array" ref="D969">MOD(ROW(), 3) + 1</f>
        <v>1</v>
      </c>
    </row>
    <row r="970" spans="1:4" ht="15.75">
      <c r="A970" s="64">
        <f t="shared" ca="1" si="19"/>
        <v>0.72389447812429719</v>
      </c>
      <c r="B970" s="74">
        <v>2.4</v>
      </c>
      <c r="C970" s="71">
        <v>38.700000000000003</v>
      </c>
      <c r="D970" s="132">
        <f t="array" ref="D970">MOD(ROW(), 3) + 1</f>
        <v>2</v>
      </c>
    </row>
    <row r="971" spans="1:4" ht="15.75">
      <c r="A971" s="64">
        <f t="shared" ca="1" si="19"/>
        <v>0.9275776058075117</v>
      </c>
      <c r="B971" s="74">
        <v>2</v>
      </c>
      <c r="C971" s="71">
        <v>40.234499999999997</v>
      </c>
      <c r="D971" s="132">
        <f t="array" ref="D971">MOD(ROW(), 3) + 1</f>
        <v>3</v>
      </c>
    </row>
    <row r="972" spans="1:4" ht="15.75">
      <c r="A972" s="64">
        <f t="shared" ca="1" si="19"/>
        <v>2.1316118382929017E-2</v>
      </c>
      <c r="B972" s="74">
        <v>3.7</v>
      </c>
      <c r="C972" s="71">
        <v>35.980200000000004</v>
      </c>
      <c r="D972" s="132">
        <f t="array" ref="D972">MOD(ROW(), 3) + 1</f>
        <v>1</v>
      </c>
    </row>
    <row r="973" spans="1:4" ht="15.75">
      <c r="A973" s="64">
        <f t="shared" ca="1" si="19"/>
        <v>5.7574173013275054E-2</v>
      </c>
      <c r="B973" s="74">
        <v>2.4</v>
      </c>
      <c r="C973" s="71">
        <v>41.695999999999998</v>
      </c>
      <c r="D973" s="132">
        <f t="array" ref="D973">MOD(ROW(), 3) + 1</f>
        <v>2</v>
      </c>
    </row>
    <row r="974" spans="1:4" ht="15.75">
      <c r="A974" s="64">
        <f t="shared" ca="1" si="19"/>
        <v>0.69045167562943555</v>
      </c>
      <c r="B974" s="74">
        <v>5.3</v>
      </c>
      <c r="C974" s="71">
        <v>23.299900000000001</v>
      </c>
      <c r="D974" s="132">
        <f t="array" ref="D974">MOD(ROW(), 3) + 1</f>
        <v>3</v>
      </c>
    </row>
    <row r="975" spans="1:4" ht="15.75">
      <c r="A975" s="64">
        <f t="shared" ca="1" si="19"/>
        <v>0.77797942834608957</v>
      </c>
      <c r="B975" s="74">
        <v>2</v>
      </c>
      <c r="C975" s="71">
        <v>41.799799999999998</v>
      </c>
      <c r="D975" s="132">
        <f t="array" ref="D975">MOD(ROW(), 3) + 1</f>
        <v>1</v>
      </c>
    </row>
    <row r="976" spans="1:4" ht="15.75">
      <c r="A976" s="64">
        <f t="shared" ca="1" si="19"/>
        <v>0.51118947571742634</v>
      </c>
      <c r="B976" s="74">
        <v>4.4000000000000004</v>
      </c>
      <c r="C976" s="71">
        <v>23.152100000000001</v>
      </c>
      <c r="D976" s="132">
        <f t="array" ref="D976">MOD(ROW(), 3) + 1</f>
        <v>2</v>
      </c>
    </row>
    <row r="977" spans="1:4" ht="15.75">
      <c r="A977" s="64">
        <f t="shared" ca="1" si="19"/>
        <v>8.6055642373244257E-2</v>
      </c>
      <c r="B977" s="74">
        <v>5.5</v>
      </c>
      <c r="C977" s="71">
        <v>29.2</v>
      </c>
      <c r="D977" s="132">
        <f t="array" ref="D977">MOD(ROW(), 3) + 1</f>
        <v>3</v>
      </c>
    </row>
    <row r="978" spans="1:4" ht="15.75">
      <c r="A978" s="64">
        <f t="shared" ca="1" si="19"/>
        <v>0.79946817209033005</v>
      </c>
      <c r="B978" s="74">
        <v>2.5</v>
      </c>
      <c r="C978" s="71">
        <v>34.143500000000003</v>
      </c>
      <c r="D978" s="132">
        <f t="array" ref="D978">MOD(ROW(), 3) + 1</f>
        <v>1</v>
      </c>
    </row>
    <row r="979" spans="1:4" ht="15.75">
      <c r="A979" s="64">
        <f t="shared" ca="1" si="19"/>
        <v>0.72342499908338975</v>
      </c>
      <c r="B979" s="74">
        <v>2.4</v>
      </c>
      <c r="C979" s="71">
        <v>43.104300000000002</v>
      </c>
      <c r="D979" s="132">
        <f t="array" ref="D979">MOD(ROW(), 3) + 1</f>
        <v>2</v>
      </c>
    </row>
    <row r="980" spans="1:4" ht="15.75">
      <c r="A980" s="64">
        <f t="shared" ca="1" si="19"/>
        <v>0.97311155722426534</v>
      </c>
      <c r="B980" s="74">
        <v>2.4</v>
      </c>
      <c r="C980" s="71">
        <v>42.8</v>
      </c>
      <c r="D980" s="132">
        <f t="array" ref="D980">MOD(ROW(), 3) + 1</f>
        <v>3</v>
      </c>
    </row>
    <row r="981" spans="1:4" ht="15.75">
      <c r="A981" s="64">
        <f t="shared" ca="1" si="19"/>
        <v>0.30638597633094922</v>
      </c>
      <c r="B981" s="74">
        <v>2</v>
      </c>
      <c r="C981" s="71">
        <v>46.624000000000002</v>
      </c>
      <c r="D981" s="132">
        <f t="array" ref="D981">MOD(ROW(), 3) + 1</f>
        <v>1</v>
      </c>
    </row>
    <row r="982" spans="1:4" ht="15.75">
      <c r="A982" s="64">
        <f t="shared" ca="1" si="19"/>
        <v>0.25690067864673816</v>
      </c>
      <c r="B982" s="74">
        <v>4</v>
      </c>
      <c r="C982" s="71">
        <v>35.200000000000003</v>
      </c>
      <c r="D982" s="132">
        <f t="array" ref="D982">MOD(ROW(), 3) + 1</f>
        <v>2</v>
      </c>
    </row>
    <row r="983" spans="1:4" ht="15.75">
      <c r="A983" s="64">
        <f t="shared" ca="1" si="19"/>
        <v>0.39321720939109894</v>
      </c>
      <c r="B983" s="74">
        <v>3.5</v>
      </c>
      <c r="C983" s="71">
        <v>39.9</v>
      </c>
      <c r="D983" s="132">
        <f t="array" ref="D983">MOD(ROW(), 3) + 1</f>
        <v>3</v>
      </c>
    </row>
    <row r="984" spans="1:4" ht="15.75">
      <c r="A984" s="64">
        <f t="shared" ca="1" si="19"/>
        <v>0.63664010930595161</v>
      </c>
      <c r="B984" s="74">
        <v>1.8</v>
      </c>
      <c r="C984" s="71">
        <v>51.191499999999998</v>
      </c>
      <c r="D984" s="132">
        <f t="array" ref="D984">MOD(ROW(), 3) + 1</f>
        <v>1</v>
      </c>
    </row>
    <row r="985" spans="1:4" ht="15.75">
      <c r="A985" s="64">
        <f t="shared" ca="1" si="19"/>
        <v>0.49407145168930189</v>
      </c>
      <c r="B985" s="74">
        <v>3.5</v>
      </c>
      <c r="C985" s="71">
        <v>33.299999999999997</v>
      </c>
      <c r="D985" s="132">
        <f t="array" ref="D985">MOD(ROW(), 3) + 1</f>
        <v>2</v>
      </c>
    </row>
    <row r="986" spans="1:4" ht="15.75">
      <c r="A986" s="64">
        <f t="shared" ca="1" si="19"/>
        <v>0.11768407359505728</v>
      </c>
      <c r="B986" s="74">
        <v>3.5</v>
      </c>
      <c r="C986" s="71">
        <v>27.3</v>
      </c>
      <c r="D986" s="132">
        <f t="array" ref="D986">MOD(ROW(), 3) + 1</f>
        <v>3</v>
      </c>
    </row>
    <row r="987" spans="1:4" ht="15.75">
      <c r="A987" s="64">
        <f t="shared" ca="1" si="19"/>
        <v>0.94264672047817399</v>
      </c>
      <c r="B987" s="74">
        <v>4</v>
      </c>
      <c r="C987" s="71">
        <v>29.4</v>
      </c>
      <c r="D987" s="132">
        <f t="array" ref="D987">MOD(ROW(), 3) + 1</f>
        <v>1</v>
      </c>
    </row>
    <row r="988" spans="1:4" ht="15.75">
      <c r="A988" s="64">
        <f t="shared" ca="1" si="19"/>
        <v>0.19243445608778753</v>
      </c>
      <c r="B988" s="74">
        <v>2</v>
      </c>
      <c r="C988" s="71">
        <v>39.7256</v>
      </c>
      <c r="D988" s="132">
        <f t="array" ref="D988">MOD(ROW(), 3) + 1</f>
        <v>2</v>
      </c>
    </row>
    <row r="989" spans="1:4" ht="15.75">
      <c r="A989" s="64">
        <f t="shared" ca="1" si="19"/>
        <v>0.51711525117773338</v>
      </c>
      <c r="B989" s="74">
        <v>5.7</v>
      </c>
      <c r="C989" s="71">
        <v>27.1</v>
      </c>
      <c r="D989" s="132">
        <f t="array" ref="D989">MOD(ROW(), 3) + 1</f>
        <v>3</v>
      </c>
    </row>
    <row r="990" spans="1:4" ht="15.75">
      <c r="A990" s="64">
        <f t="shared" ca="1" si="19"/>
        <v>0.73077229618859152</v>
      </c>
      <c r="B990" s="74">
        <v>2.5</v>
      </c>
      <c r="C990" s="71">
        <v>44.2</v>
      </c>
      <c r="D990" s="132">
        <f t="array" ref="D990">MOD(ROW(), 3) + 1</f>
        <v>1</v>
      </c>
    </row>
    <row r="991" spans="1:4" ht="15.75">
      <c r="A991" s="64">
        <f t="shared" ca="1" si="19"/>
        <v>0.61808202955408031</v>
      </c>
      <c r="B991" s="74">
        <v>3.7</v>
      </c>
      <c r="C991" s="71">
        <v>37.064999999999998</v>
      </c>
      <c r="D991" s="132">
        <f t="array" ref="D991">MOD(ROW(), 3) + 1</f>
        <v>2</v>
      </c>
    </row>
    <row r="992" spans="1:4" ht="15.75">
      <c r="A992" s="64">
        <f t="shared" ca="1" si="19"/>
        <v>0.29256046031605853</v>
      </c>
      <c r="B992" s="74">
        <v>5.6</v>
      </c>
      <c r="C992" s="71">
        <v>24.947700000000001</v>
      </c>
      <c r="D992" s="132">
        <f t="array" ref="D992">MOD(ROW(), 3) + 1</f>
        <v>3</v>
      </c>
    </row>
    <row r="993" spans="1:4" ht="15.75">
      <c r="A993" s="64">
        <f t="shared" ca="1" si="19"/>
        <v>0.55538338238957663</v>
      </c>
      <c r="B993" s="74">
        <v>5.5</v>
      </c>
      <c r="C993" s="71">
        <v>33</v>
      </c>
      <c r="D993" s="132">
        <f t="array" ref="D993">MOD(ROW(), 3) + 1</f>
        <v>1</v>
      </c>
    </row>
    <row r="994" spans="1:4" ht="15.75">
      <c r="A994" s="64">
        <f t="shared" ca="1" si="19"/>
        <v>0.47602551691556949</v>
      </c>
      <c r="B994" s="74">
        <v>2.5</v>
      </c>
      <c r="C994" s="71">
        <v>44.2</v>
      </c>
      <c r="D994" s="132">
        <f t="array" ref="D994">MOD(ROW(), 3) + 1</f>
        <v>2</v>
      </c>
    </row>
    <row r="995" spans="1:4" ht="15.75">
      <c r="A995" s="64">
        <f t="shared" ca="1" si="19"/>
        <v>0.77945988816252554</v>
      </c>
      <c r="B995" s="74">
        <v>4.3</v>
      </c>
      <c r="C995" s="71">
        <v>24.1937</v>
      </c>
      <c r="D995" s="132">
        <f t="array" ref="D995">MOD(ROW(), 3) + 1</f>
        <v>3</v>
      </c>
    </row>
    <row r="996" spans="1:4" ht="15.75">
      <c r="A996" s="64">
        <f t="shared" ca="1" si="19"/>
        <v>0.27905394731366184</v>
      </c>
      <c r="B996" s="74">
        <v>6</v>
      </c>
      <c r="C996" s="71">
        <v>30.299900000000001</v>
      </c>
      <c r="D996" s="132">
        <f t="array" ref="D996">MOD(ROW(), 3) + 1</f>
        <v>1</v>
      </c>
    </row>
    <row r="997" spans="1:4" ht="15.75">
      <c r="A997" s="64">
        <f t="shared" ca="1" si="19"/>
        <v>0.15037223065654581</v>
      </c>
      <c r="B997" s="74">
        <v>3.6</v>
      </c>
      <c r="C997" s="71">
        <v>35.242699999999999</v>
      </c>
      <c r="D997" s="132">
        <f t="array" ref="D997">MOD(ROW(), 3) + 1</f>
        <v>2</v>
      </c>
    </row>
    <row r="998" spans="1:4" ht="15.75">
      <c r="A998" s="64">
        <f t="shared" ca="1" si="19"/>
        <v>0.33940657873883129</v>
      </c>
      <c r="B998" s="74">
        <v>1.6</v>
      </c>
      <c r="C998" s="71">
        <v>52</v>
      </c>
      <c r="D998" s="132">
        <f t="array" ref="D998">MOD(ROW(), 3) + 1</f>
        <v>3</v>
      </c>
    </row>
    <row r="999" spans="1:4" ht="15.75">
      <c r="A999" s="64">
        <f t="shared" ca="1" si="19"/>
        <v>0.4843727070726237</v>
      </c>
      <c r="B999" s="74">
        <v>4.7</v>
      </c>
      <c r="C999" s="71">
        <v>25.6</v>
      </c>
      <c r="D999" s="132">
        <f t="array" ref="D999">MOD(ROW(), 3) + 1</f>
        <v>1</v>
      </c>
    </row>
    <row r="1000" spans="1:4" ht="15.75">
      <c r="A1000" s="64">
        <f t="shared" ca="1" si="19"/>
        <v>0.43916201448489534</v>
      </c>
      <c r="B1000" s="74">
        <v>3.2</v>
      </c>
      <c r="C1000" s="71">
        <v>32.274700000000003</v>
      </c>
      <c r="D1000" s="132">
        <f t="array" ref="D1000">MOD(ROW(), 3) + 1</f>
        <v>2</v>
      </c>
    </row>
    <row r="1001" spans="1:4" ht="15.75">
      <c r="A1001" s="64">
        <f t="shared" ca="1" si="19"/>
        <v>0.6792069462030661</v>
      </c>
      <c r="B1001" s="74">
        <v>3.5</v>
      </c>
      <c r="C1001" s="71">
        <v>31.496099999999998</v>
      </c>
      <c r="D1001" s="132">
        <f t="array" ref="D1001">MOD(ROW(), 3) + 1</f>
        <v>3</v>
      </c>
    </row>
    <row r="1002" spans="1:4" ht="15.75">
      <c r="A1002" s="64">
        <f t="shared" ca="1" si="19"/>
        <v>0.23581713567925</v>
      </c>
      <c r="B1002" s="74">
        <v>3.5</v>
      </c>
      <c r="C1002" s="71">
        <v>37.6</v>
      </c>
      <c r="D1002" s="132">
        <f t="array" ref="D1002">MOD(ROW(), 3) + 1</f>
        <v>1</v>
      </c>
    </row>
    <row r="1003" spans="1:4" ht="15.75">
      <c r="A1003" s="64">
        <f t="shared" ca="1" si="19"/>
        <v>0.35258457500867357</v>
      </c>
      <c r="B1003" s="74">
        <v>1.6</v>
      </c>
      <c r="C1003" s="71">
        <v>48.9</v>
      </c>
      <c r="D1003" s="132">
        <f t="array" ref="D1003">MOD(ROW(), 3) + 1</f>
        <v>2</v>
      </c>
    </row>
    <row r="1004" spans="1:4" ht="15.75">
      <c r="A1004" s="64">
        <f t="shared" ca="1" si="19"/>
        <v>0.30931878241036315</v>
      </c>
      <c r="B1004" s="74">
        <v>1.6</v>
      </c>
      <c r="C1004" s="71">
        <v>47.7592</v>
      </c>
      <c r="D1004" s="132">
        <f t="array" ref="D1004">MOD(ROW(), 3) + 1</f>
        <v>3</v>
      </c>
    </row>
    <row r="1005" spans="1:4" ht="15.75">
      <c r="A1005" s="64">
        <f t="shared" ca="1" si="19"/>
        <v>0.81374291408749166</v>
      </c>
      <c r="B1005" s="74">
        <v>5.3</v>
      </c>
      <c r="C1005" s="71">
        <v>28.993500000000001</v>
      </c>
      <c r="D1005" s="132">
        <f t="array" ref="D1005">MOD(ROW(), 3) + 1</f>
        <v>1</v>
      </c>
    </row>
    <row r="1006" spans="1:4" ht="15.75">
      <c r="A1006" s="64">
        <f t="shared" ca="1" si="19"/>
        <v>0.97023125641693198</v>
      </c>
      <c r="B1006" s="74">
        <v>6.2</v>
      </c>
      <c r="C1006" s="71">
        <v>25.799900000000001</v>
      </c>
      <c r="D1006" s="132">
        <f t="array" ref="D1006">MOD(ROW(), 3) + 1</f>
        <v>2</v>
      </c>
    </row>
    <row r="1007" spans="1:4" ht="15.75">
      <c r="A1007" s="64">
        <f t="shared" ca="1" si="19"/>
        <v>0.38301634412991548</v>
      </c>
      <c r="B1007" s="74">
        <v>4.2</v>
      </c>
      <c r="C1007" s="71">
        <v>31</v>
      </c>
      <c r="D1007" s="132">
        <f t="array" ref="D1007">MOD(ROW(), 3) + 1</f>
        <v>3</v>
      </c>
    </row>
    <row r="1008" spans="1:4" ht="15.75">
      <c r="A1008" s="64">
        <f t="shared" ca="1" si="19"/>
        <v>0.87510359665060766</v>
      </c>
      <c r="B1008" s="74">
        <v>2</v>
      </c>
      <c r="C1008" s="71">
        <v>42</v>
      </c>
      <c r="D1008" s="132">
        <f t="array" ref="D1008">MOD(ROW(), 3) + 1</f>
        <v>1</v>
      </c>
    </row>
    <row r="1009" spans="1:4" ht="15.75">
      <c r="A1009" s="64">
        <f t="shared" ca="1" si="19"/>
        <v>0.674077372524157</v>
      </c>
      <c r="B1009" s="74">
        <v>3</v>
      </c>
      <c r="C1009" s="71">
        <v>39.710299999999997</v>
      </c>
      <c r="D1009" s="132">
        <f t="array" ref="D1009">MOD(ROW(), 3) + 1</f>
        <v>2</v>
      </c>
    </row>
    <row r="1010" spans="1:4" ht="15.75">
      <c r="A1010" s="64">
        <f t="shared" ca="1" si="19"/>
        <v>0.9257427120528382</v>
      </c>
      <c r="B1010" s="74">
        <v>2.4</v>
      </c>
      <c r="C1010" s="71">
        <v>41.585799999999999</v>
      </c>
      <c r="D1010" s="132">
        <f t="array" ref="D1010">MOD(ROW(), 3) + 1</f>
        <v>3</v>
      </c>
    </row>
    <row r="1011" spans="1:4" ht="15.75">
      <c r="A1011" s="64">
        <f t="shared" ca="1" si="19"/>
        <v>0.41678165459189798</v>
      </c>
      <c r="B1011" s="74">
        <v>3.6</v>
      </c>
      <c r="C1011" s="71">
        <v>40</v>
      </c>
      <c r="D1011" s="132">
        <f t="array" ref="D1011">MOD(ROW(), 3) + 1</f>
        <v>1</v>
      </c>
    </row>
    <row r="1012" spans="1:4" ht="15.75">
      <c r="A1012" s="64">
        <f t="shared" ca="1" si="19"/>
        <v>9.3958420214582894E-2</v>
      </c>
      <c r="B1012" s="74">
        <v>3.7</v>
      </c>
      <c r="C1012" s="71">
        <v>29.799900000000001</v>
      </c>
      <c r="D1012" s="132">
        <f t="array" ref="D1012">MOD(ROW(), 3) + 1</f>
        <v>2</v>
      </c>
    </row>
    <row r="1013" spans="1:4" ht="15.75">
      <c r="A1013" s="64">
        <f t="shared" ca="1" si="19"/>
        <v>0.24399978760325847</v>
      </c>
      <c r="B1013" s="74">
        <v>2.4</v>
      </c>
      <c r="C1013" s="71">
        <v>42.6</v>
      </c>
      <c r="D1013" s="132">
        <f t="array" ref="D1013">MOD(ROW(), 3) + 1</f>
        <v>3</v>
      </c>
    </row>
    <row r="1014" spans="1:4" ht="15.75">
      <c r="A1014" s="64">
        <f t="shared" ca="1" si="19"/>
        <v>0.38858382485359033</v>
      </c>
      <c r="B1014" s="74">
        <v>3.9</v>
      </c>
      <c r="C1014" s="71">
        <v>37.299999999999997</v>
      </c>
      <c r="D1014" s="132">
        <f t="array" ref="D1014">MOD(ROW(), 3) + 1</f>
        <v>1</v>
      </c>
    </row>
    <row r="1015" spans="1:4" ht="15.75">
      <c r="A1015" s="64">
        <f t="shared" ca="1" si="19"/>
        <v>3.1411161873708626E-2</v>
      </c>
      <c r="B1015" s="74">
        <v>3.6</v>
      </c>
      <c r="C1015" s="71">
        <v>34.9</v>
      </c>
      <c r="D1015" s="132">
        <f t="array" ref="D1015">MOD(ROW(), 3) + 1</f>
        <v>2</v>
      </c>
    </row>
    <row r="1016" spans="1:4" ht="15.75">
      <c r="A1016" s="64">
        <f t="shared" ca="1" si="19"/>
        <v>0.27007362081406328</v>
      </c>
      <c r="B1016" s="74">
        <v>2.5</v>
      </c>
      <c r="C1016" s="71">
        <v>42.908000000000001</v>
      </c>
      <c r="D1016" s="132">
        <f t="array" ref="D1016">MOD(ROW(), 3) + 1</f>
        <v>3</v>
      </c>
    </row>
    <row r="1017" spans="1:4" ht="15.75">
      <c r="A1017" s="64">
        <f t="shared" ca="1" si="19"/>
        <v>0.72749941608615709</v>
      </c>
      <c r="B1017" s="74">
        <v>2.9</v>
      </c>
      <c r="C1017" s="71">
        <v>32.4</v>
      </c>
      <c r="D1017" s="132">
        <f t="array" ref="D1017">MOD(ROW(), 3) + 1</f>
        <v>1</v>
      </c>
    </row>
    <row r="1018" spans="1:4" ht="15.75">
      <c r="A1018" s="64">
        <f t="shared" ca="1" si="19"/>
        <v>4.3181034272876784E-2</v>
      </c>
      <c r="B1018" s="74">
        <v>4.5999999999999996</v>
      </c>
      <c r="C1018" s="71">
        <v>31.9</v>
      </c>
      <c r="D1018" s="132">
        <f t="array" ref="D1018">MOD(ROW(), 3) + 1</f>
        <v>2</v>
      </c>
    </row>
    <row r="1019" spans="1:4" ht="15.75">
      <c r="A1019" s="64">
        <f t="shared" ca="1" si="19"/>
        <v>0.4997342717357649</v>
      </c>
      <c r="B1019" s="74">
        <v>4</v>
      </c>
      <c r="C1019" s="71">
        <v>25.3</v>
      </c>
      <c r="D1019" s="132">
        <f t="array" ref="D1019">MOD(ROW(), 3) + 1</f>
        <v>3</v>
      </c>
    </row>
    <row r="1020" spans="1:4" ht="15.75">
      <c r="A1020" s="64">
        <f t="shared" ca="1" si="19"/>
        <v>0.8780860336293036</v>
      </c>
      <c r="B1020" s="74">
        <v>2.4</v>
      </c>
      <c r="C1020" s="71">
        <v>46.8</v>
      </c>
      <c r="D1020" s="132">
        <f t="array" ref="D1020">MOD(ROW(), 3) + 1</f>
        <v>1</v>
      </c>
    </row>
    <row r="1021" spans="1:4" ht="15.75">
      <c r="A1021" s="64">
        <f t="shared" ca="1" si="19"/>
        <v>0.76751358326385766</v>
      </c>
      <c r="B1021" s="74">
        <v>3.8</v>
      </c>
      <c r="C1021" s="71">
        <v>29.2986</v>
      </c>
      <c r="D1021" s="132">
        <f t="array" ref="D1021">MOD(ROW(), 3) + 1</f>
        <v>2</v>
      </c>
    </row>
    <row r="1022" spans="1:4" ht="15.75">
      <c r="A1022" s="64">
        <f t="shared" ca="1" si="19"/>
        <v>0.74119633079099778</v>
      </c>
      <c r="B1022" s="74">
        <v>4.3</v>
      </c>
      <c r="C1022" s="71">
        <v>24.1937</v>
      </c>
      <c r="D1022" s="132">
        <f t="array" ref="D1022">MOD(ROW(), 3) + 1</f>
        <v>3</v>
      </c>
    </row>
    <row r="1023" spans="1:4" ht="15.75">
      <c r="A1023" s="64">
        <f t="shared" ca="1" si="19"/>
        <v>0.17877840062221384</v>
      </c>
      <c r="B1023" s="74">
        <v>5.2</v>
      </c>
      <c r="C1023" s="71">
        <v>26.7</v>
      </c>
      <c r="D1023" s="132">
        <f t="array" ref="D1023">MOD(ROW(), 3) + 1</f>
        <v>1</v>
      </c>
    </row>
    <row r="1024" spans="1:4" ht="15.75">
      <c r="A1024" s="64">
        <f t="shared" ca="1" si="19"/>
        <v>0.4750173379256265</v>
      </c>
      <c r="B1024" s="74">
        <v>2.4</v>
      </c>
      <c r="C1024" s="71">
        <v>34.251300000000001</v>
      </c>
      <c r="D1024" s="132">
        <f t="array" ref="D1024">MOD(ROW(), 3) + 1</f>
        <v>2</v>
      </c>
    </row>
    <row r="1025" spans="1:4" ht="15.75">
      <c r="A1025" s="64">
        <f t="shared" ca="1" si="19"/>
        <v>5.116107430277661E-2</v>
      </c>
      <c r="B1025" s="74">
        <v>2.4</v>
      </c>
      <c r="C1025" s="71">
        <v>43.5</v>
      </c>
      <c r="D1025" s="132">
        <f t="array" ref="D1025">MOD(ROW(), 3) + 1</f>
        <v>3</v>
      </c>
    </row>
    <row r="1026" spans="1:4" ht="15.75">
      <c r="A1026" s="64">
        <f t="shared" ca="1" si="19"/>
        <v>0.87204008730576221</v>
      </c>
      <c r="B1026" s="74">
        <v>3</v>
      </c>
      <c r="C1026" s="71">
        <v>35.731099999999998</v>
      </c>
      <c r="D1026" s="132">
        <f t="array" ref="D1026">MOD(ROW(), 3) + 1</f>
        <v>1</v>
      </c>
    </row>
    <row r="1027" spans="1:4" ht="15.75">
      <c r="A1027" s="64">
        <f t="shared" ref="A1027:A1090" ca="1" si="20">RAND()</f>
        <v>0.40373881532944556</v>
      </c>
      <c r="B1027" s="74">
        <v>5.7</v>
      </c>
      <c r="C1027" s="71">
        <v>21.3</v>
      </c>
      <c r="D1027" s="132">
        <f t="array" ref="D1027">MOD(ROW(), 3) + 1</f>
        <v>2</v>
      </c>
    </row>
    <row r="1028" spans="1:4" ht="15.75">
      <c r="A1028" s="64">
        <f t="shared" ca="1" si="20"/>
        <v>0.51350117121226224</v>
      </c>
      <c r="B1028" s="74">
        <v>3.6</v>
      </c>
      <c r="C1028" s="71">
        <v>40</v>
      </c>
      <c r="D1028" s="132">
        <f t="array" ref="D1028">MOD(ROW(), 3) + 1</f>
        <v>3</v>
      </c>
    </row>
    <row r="1029" spans="1:4" ht="15.75">
      <c r="A1029" s="64">
        <f t="shared" ca="1" si="20"/>
        <v>0.63300779157106501</v>
      </c>
      <c r="B1029" s="74">
        <v>2.4</v>
      </c>
      <c r="C1029" s="71">
        <v>33.6</v>
      </c>
      <c r="D1029" s="132">
        <f t="array" ref="D1029">MOD(ROW(), 3) + 1</f>
        <v>1</v>
      </c>
    </row>
    <row r="1030" spans="1:4" ht="15.75">
      <c r="A1030" s="64">
        <f t="shared" ca="1" si="20"/>
        <v>0.82174089824523044</v>
      </c>
      <c r="B1030" s="74">
        <v>2</v>
      </c>
      <c r="C1030" s="71">
        <v>38.870199999999997</v>
      </c>
      <c r="D1030" s="132">
        <f t="array" ref="D1030">MOD(ROW(), 3) + 1</f>
        <v>2</v>
      </c>
    </row>
    <row r="1031" spans="1:4" ht="15.75">
      <c r="A1031" s="64">
        <f t="shared" ca="1" si="20"/>
        <v>0.61122760007213173</v>
      </c>
      <c r="B1031" s="74">
        <v>2.4</v>
      </c>
      <c r="C1031" s="71">
        <v>40.279600000000002</v>
      </c>
      <c r="D1031" s="132">
        <f t="array" ref="D1031">MOD(ROW(), 3) + 1</f>
        <v>3</v>
      </c>
    </row>
    <row r="1032" spans="1:4" ht="15.75">
      <c r="A1032" s="64">
        <f t="shared" ca="1" si="20"/>
        <v>0.49668631615526515</v>
      </c>
      <c r="B1032" s="74">
        <v>3.8</v>
      </c>
      <c r="C1032" s="71">
        <v>29.809899999999999</v>
      </c>
      <c r="D1032" s="132">
        <f t="array" ref="D1032">MOD(ROW(), 3) + 1</f>
        <v>1</v>
      </c>
    </row>
    <row r="1033" spans="1:4" ht="15.75">
      <c r="A1033" s="64">
        <f t="shared" ca="1" si="20"/>
        <v>0.85229428638062521</v>
      </c>
      <c r="B1033" s="74">
        <v>3.5</v>
      </c>
      <c r="C1033" s="71">
        <v>35.5</v>
      </c>
      <c r="D1033" s="132">
        <f t="array" ref="D1033">MOD(ROW(), 3) + 1</f>
        <v>2</v>
      </c>
    </row>
    <row r="1034" spans="1:4" ht="15.75">
      <c r="A1034" s="64">
        <f t="shared" ca="1" si="20"/>
        <v>0.80180648393473186</v>
      </c>
      <c r="B1034" s="74">
        <v>5.3</v>
      </c>
      <c r="C1034" s="71">
        <v>24.299900000000001</v>
      </c>
      <c r="D1034" s="132">
        <f t="array" ref="D1034">MOD(ROW(), 3) + 1</f>
        <v>3</v>
      </c>
    </row>
    <row r="1035" spans="1:4" ht="15.75">
      <c r="A1035" s="64">
        <f t="shared" ca="1" si="20"/>
        <v>2.4253447101069581E-2</v>
      </c>
      <c r="B1035" s="74">
        <v>3.5</v>
      </c>
      <c r="C1035" s="71">
        <v>32.348999999999997</v>
      </c>
      <c r="D1035" s="132">
        <f t="array" ref="D1035">MOD(ROW(), 3) + 1</f>
        <v>1</v>
      </c>
    </row>
    <row r="1036" spans="1:4" ht="15.75">
      <c r="A1036" s="64">
        <f t="shared" ca="1" si="20"/>
        <v>8.3922755171297547E-2</v>
      </c>
      <c r="B1036" s="74">
        <v>5.7</v>
      </c>
      <c r="C1036" s="71">
        <v>23.431799999999999</v>
      </c>
      <c r="D1036" s="132">
        <f t="array" ref="D1036">MOD(ROW(), 3) + 1</f>
        <v>2</v>
      </c>
    </row>
    <row r="1037" spans="1:4" ht="15.75">
      <c r="A1037" s="64">
        <f t="shared" ca="1" si="20"/>
        <v>0.98366146429310108</v>
      </c>
      <c r="B1037" s="74">
        <v>3.8</v>
      </c>
      <c r="C1037" s="71">
        <v>37.076900000000002</v>
      </c>
      <c r="D1037" s="132">
        <f t="array" ref="D1037">MOD(ROW(), 3) + 1</f>
        <v>3</v>
      </c>
    </row>
    <row r="1038" spans="1:4" ht="15.75">
      <c r="A1038" s="64">
        <f t="shared" ca="1" si="20"/>
        <v>0.6337869570994239</v>
      </c>
      <c r="B1038" s="74">
        <v>3.8</v>
      </c>
      <c r="C1038" s="71">
        <v>34.6</v>
      </c>
      <c r="D1038" s="132">
        <f t="array" ref="D1038">MOD(ROW(), 3) + 1</f>
        <v>1</v>
      </c>
    </row>
    <row r="1039" spans="1:4" ht="15.75">
      <c r="A1039" s="64">
        <f t="shared" ca="1" si="20"/>
        <v>0.21823925664109933</v>
      </c>
      <c r="B1039" s="74">
        <v>2.4</v>
      </c>
      <c r="C1039" s="71">
        <v>38.6</v>
      </c>
      <c r="D1039" s="132">
        <f t="array" ref="D1039">MOD(ROW(), 3) + 1</f>
        <v>2</v>
      </c>
    </row>
    <row r="1040" spans="1:4" ht="15.75">
      <c r="A1040" s="64">
        <f t="shared" ca="1" si="20"/>
        <v>0.69035173786888093</v>
      </c>
      <c r="B1040" s="74">
        <v>3.5</v>
      </c>
      <c r="C1040" s="71">
        <v>37.6</v>
      </c>
      <c r="D1040" s="132">
        <f t="array" ref="D1040">MOD(ROW(), 3) + 1</f>
        <v>3</v>
      </c>
    </row>
    <row r="1041" spans="1:4" ht="15.75">
      <c r="A1041" s="64">
        <f t="shared" ca="1" si="20"/>
        <v>0.97634150859934654</v>
      </c>
      <c r="B1041" s="74">
        <v>2.5</v>
      </c>
      <c r="C1041" s="71">
        <v>37.9</v>
      </c>
      <c r="D1041" s="132">
        <f t="array" ref="D1041">MOD(ROW(), 3) + 1</f>
        <v>1</v>
      </c>
    </row>
    <row r="1042" spans="1:4" ht="15.75">
      <c r="A1042" s="64">
        <f t="shared" ca="1" si="20"/>
        <v>0.6157465772578361</v>
      </c>
      <c r="B1042" s="74">
        <v>4.4000000000000004</v>
      </c>
      <c r="C1042" s="71">
        <v>23.152100000000001</v>
      </c>
      <c r="D1042" s="132">
        <f t="array" ref="D1042">MOD(ROW(), 3) + 1</f>
        <v>2</v>
      </c>
    </row>
    <row r="1043" spans="1:4" ht="15.75">
      <c r="A1043" s="64">
        <f t="shared" ca="1" si="20"/>
        <v>0.19177981974110558</v>
      </c>
      <c r="B1043" s="74">
        <v>2</v>
      </c>
      <c r="C1043" s="71">
        <v>41.521000000000001</v>
      </c>
      <c r="D1043" s="132">
        <f t="array" ref="D1043">MOD(ROW(), 3) + 1</f>
        <v>3</v>
      </c>
    </row>
    <row r="1044" spans="1:4" ht="15.75">
      <c r="A1044" s="64">
        <f t="shared" ca="1" si="20"/>
        <v>0.61267518522173703</v>
      </c>
      <c r="B1044" s="74">
        <v>3.8</v>
      </c>
      <c r="C1044" s="71">
        <v>33.848199999999999</v>
      </c>
      <c r="D1044" s="132">
        <f t="array" ref="D1044">MOD(ROW(), 3) + 1</f>
        <v>1</v>
      </c>
    </row>
    <row r="1045" spans="1:4" ht="15.75">
      <c r="A1045" s="64">
        <f t="shared" ca="1" si="20"/>
        <v>0.68343860564595105</v>
      </c>
      <c r="B1045" s="74">
        <v>3</v>
      </c>
      <c r="C1045" s="71">
        <v>31.3917</v>
      </c>
      <c r="D1045" s="132">
        <f t="array" ref="D1045">MOD(ROW(), 3) + 1</f>
        <v>2</v>
      </c>
    </row>
    <row r="1046" spans="1:4" ht="15.75">
      <c r="A1046" s="64">
        <f t="shared" ca="1" si="20"/>
        <v>0.94722196032397521</v>
      </c>
      <c r="B1046" s="74">
        <v>3.8</v>
      </c>
      <c r="C1046" s="71">
        <v>36.4</v>
      </c>
      <c r="D1046" s="132">
        <f t="array" ref="D1046">MOD(ROW(), 3) + 1</f>
        <v>3</v>
      </c>
    </row>
    <row r="1047" spans="1:4" ht="15.75">
      <c r="A1047" s="64">
        <f t="shared" ca="1" si="20"/>
        <v>4.490645472780419E-2</v>
      </c>
      <c r="B1047" s="74">
        <v>3.7</v>
      </c>
      <c r="C1047" s="71">
        <v>29.799900000000001</v>
      </c>
      <c r="D1047" s="132">
        <f t="array" ref="D1047">MOD(ROW(), 3) + 1</f>
        <v>1</v>
      </c>
    </row>
    <row r="1048" spans="1:4" ht="15.75">
      <c r="A1048" s="64">
        <f t="shared" ca="1" si="20"/>
        <v>0.21059544273212871</v>
      </c>
      <c r="B1048" s="74">
        <v>1.8</v>
      </c>
      <c r="C1048" s="71">
        <v>44.9</v>
      </c>
      <c r="D1048" s="132">
        <f t="array" ref="D1048">MOD(ROW(), 3) + 1</f>
        <v>2</v>
      </c>
    </row>
    <row r="1049" spans="1:4" ht="15.75">
      <c r="A1049" s="64">
        <f t="shared" ca="1" si="20"/>
        <v>5.8868177714469061E-2</v>
      </c>
      <c r="B1049" s="74">
        <v>2</v>
      </c>
      <c r="C1049" s="71">
        <v>42</v>
      </c>
      <c r="D1049" s="132">
        <f t="array" ref="D1049">MOD(ROW(), 3) + 1</f>
        <v>3</v>
      </c>
    </row>
    <row r="1050" spans="1:4" ht="15.75">
      <c r="A1050" s="64">
        <f t="shared" ca="1" si="20"/>
        <v>0.54971823451829471</v>
      </c>
      <c r="B1050" s="74">
        <v>3.8</v>
      </c>
      <c r="C1050" s="71">
        <v>33.848199999999999</v>
      </c>
      <c r="D1050" s="132">
        <f t="array" ref="D1050">MOD(ROW(), 3) + 1</f>
        <v>1</v>
      </c>
    </row>
    <row r="1051" spans="1:4" ht="15.75">
      <c r="A1051" s="64">
        <f t="shared" ca="1" si="20"/>
        <v>0.93714553432904835</v>
      </c>
      <c r="B1051" s="74">
        <v>5</v>
      </c>
      <c r="C1051" s="71">
        <v>32.880800000000001</v>
      </c>
      <c r="D1051" s="132">
        <f t="array" ref="D1051">MOD(ROW(), 3) + 1</f>
        <v>2</v>
      </c>
    </row>
    <row r="1052" spans="1:4" ht="15.75">
      <c r="A1052" s="64">
        <f t="shared" ca="1" si="20"/>
        <v>8.3866136417728998E-2</v>
      </c>
      <c r="B1052" s="74">
        <v>3.7</v>
      </c>
      <c r="C1052" s="71">
        <v>32.974800000000002</v>
      </c>
      <c r="D1052" s="132">
        <f t="array" ref="D1052">MOD(ROW(), 3) + 1</f>
        <v>3</v>
      </c>
    </row>
    <row r="1053" spans="1:4" ht="15.75">
      <c r="A1053" s="64">
        <f t="shared" ca="1" si="20"/>
        <v>0.11827865947172589</v>
      </c>
      <c r="B1053" s="74">
        <v>3.5</v>
      </c>
      <c r="C1053" s="71">
        <v>33.793700000000001</v>
      </c>
      <c r="D1053" s="132">
        <f t="array" ref="D1053">MOD(ROW(), 3) + 1</f>
        <v>1</v>
      </c>
    </row>
    <row r="1054" spans="1:4" ht="15.75">
      <c r="A1054" s="64">
        <f t="shared" ca="1" si="20"/>
        <v>0.13887176190052686</v>
      </c>
      <c r="B1054" s="74">
        <v>3.5</v>
      </c>
      <c r="C1054" s="71">
        <v>37.962800000000001</v>
      </c>
      <c r="D1054" s="132">
        <f t="array" ref="D1054">MOD(ROW(), 3) + 1</f>
        <v>2</v>
      </c>
    </row>
    <row r="1055" spans="1:4" ht="15.75">
      <c r="A1055" s="64">
        <f t="shared" ca="1" si="20"/>
        <v>0.82736814259784619</v>
      </c>
      <c r="B1055" s="74">
        <v>3</v>
      </c>
      <c r="C1055" s="71">
        <v>32.5289</v>
      </c>
      <c r="D1055" s="132">
        <f t="array" ref="D1055">MOD(ROW(), 3) + 1</f>
        <v>3</v>
      </c>
    </row>
    <row r="1056" spans="1:4" ht="15.75">
      <c r="A1056" s="64">
        <f t="shared" ca="1" si="20"/>
        <v>0.39367450453466324</v>
      </c>
      <c r="B1056" s="74">
        <v>3.7</v>
      </c>
      <c r="C1056" s="71">
        <v>29.799900000000001</v>
      </c>
      <c r="D1056" s="132">
        <f t="array" ref="D1056">MOD(ROW(), 3) + 1</f>
        <v>1</v>
      </c>
    </row>
    <row r="1057" spans="1:4" ht="15.75">
      <c r="A1057" s="64">
        <f t="shared" ca="1" si="20"/>
        <v>0.24237275757637122</v>
      </c>
      <c r="B1057" s="74">
        <v>2</v>
      </c>
      <c r="C1057" s="71">
        <v>45.190100000000001</v>
      </c>
      <c r="D1057" s="132">
        <f t="array" ref="D1057">MOD(ROW(), 3) + 1</f>
        <v>2</v>
      </c>
    </row>
    <row r="1058" spans="1:4" ht="15.75">
      <c r="A1058" s="64">
        <f t="shared" ca="1" si="20"/>
        <v>0.35989420803606753</v>
      </c>
      <c r="B1058" s="74">
        <v>3.7</v>
      </c>
      <c r="C1058" s="71">
        <v>24.4</v>
      </c>
      <c r="D1058" s="132">
        <f t="array" ref="D1058">MOD(ROW(), 3) + 1</f>
        <v>3</v>
      </c>
    </row>
    <row r="1059" spans="1:4" ht="15.75">
      <c r="A1059" s="64">
        <f t="shared" ca="1" si="20"/>
        <v>0.21908056938522613</v>
      </c>
      <c r="B1059" s="74">
        <v>3.5</v>
      </c>
      <c r="C1059" s="71">
        <v>28.7</v>
      </c>
      <c r="D1059" s="132">
        <f t="array" ref="D1059">MOD(ROW(), 3) + 1</f>
        <v>1</v>
      </c>
    </row>
    <row r="1060" spans="1:4" ht="15.75">
      <c r="A1060" s="64">
        <f t="shared" ca="1" si="20"/>
        <v>0.71782307946247748</v>
      </c>
      <c r="B1060" s="74">
        <v>3.6</v>
      </c>
      <c r="C1060" s="71">
        <v>35.6</v>
      </c>
      <c r="D1060" s="132">
        <f t="array" ref="D1060">MOD(ROW(), 3) + 1</f>
        <v>2</v>
      </c>
    </row>
    <row r="1061" spans="1:4" ht="15.75">
      <c r="A1061" s="64">
        <f t="shared" ca="1" si="20"/>
        <v>0.58919293584444654</v>
      </c>
      <c r="B1061" s="74">
        <v>3.3</v>
      </c>
      <c r="C1061" s="71">
        <v>40.1</v>
      </c>
      <c r="D1061" s="132">
        <f t="array" ref="D1061">MOD(ROW(), 3) + 1</f>
        <v>3</v>
      </c>
    </row>
    <row r="1062" spans="1:4" ht="15.75">
      <c r="A1062" s="64">
        <f t="shared" ca="1" si="20"/>
        <v>0.93439827231332995</v>
      </c>
      <c r="B1062" s="74">
        <v>3.7</v>
      </c>
      <c r="C1062" s="71">
        <v>34.9</v>
      </c>
      <c r="D1062" s="132">
        <f t="array" ref="D1062">MOD(ROW(), 3) + 1</f>
        <v>1</v>
      </c>
    </row>
    <row r="1063" spans="1:4" ht="15.75">
      <c r="A1063" s="64">
        <f t="shared" ca="1" si="20"/>
        <v>0.12675649525446742</v>
      </c>
      <c r="B1063" s="74">
        <v>4.5999999999999996</v>
      </c>
      <c r="C1063" s="71">
        <v>29</v>
      </c>
      <c r="D1063" s="132">
        <f t="array" ref="D1063">MOD(ROW(), 3) + 1</f>
        <v>2</v>
      </c>
    </row>
    <row r="1064" spans="1:4" ht="15.75">
      <c r="A1064" s="64">
        <f t="shared" ca="1" si="20"/>
        <v>0.87576824590479496</v>
      </c>
      <c r="B1064" s="74">
        <v>4.5999999999999996</v>
      </c>
      <c r="C1064" s="71">
        <v>24.5</v>
      </c>
      <c r="D1064" s="132">
        <f t="array" ref="D1064">MOD(ROW(), 3) + 1</f>
        <v>3</v>
      </c>
    </row>
    <row r="1065" spans="1:4" ht="15.75">
      <c r="A1065" s="64">
        <f t="shared" ca="1" si="20"/>
        <v>0.48229071035114002</v>
      </c>
      <c r="B1065" s="74">
        <v>5</v>
      </c>
      <c r="C1065" s="71">
        <v>32.670099999999998</v>
      </c>
      <c r="D1065" s="132">
        <f t="array" ref="D1065">MOD(ROW(), 3) + 1</f>
        <v>1</v>
      </c>
    </row>
    <row r="1066" spans="1:4" ht="15.75">
      <c r="A1066" s="64">
        <f t="shared" ca="1" si="20"/>
        <v>0.10880167706706145</v>
      </c>
      <c r="B1066" s="74">
        <v>2.8</v>
      </c>
      <c r="C1066" s="71">
        <v>30.299299999999999</v>
      </c>
      <c r="D1066" s="132">
        <f t="array" ref="D1066">MOD(ROW(), 3) + 1</f>
        <v>2</v>
      </c>
    </row>
    <row r="1067" spans="1:4" ht="15.75">
      <c r="A1067" s="64">
        <f t="shared" ca="1" si="20"/>
        <v>2.6125207091908131E-2</v>
      </c>
      <c r="B1067" s="74">
        <v>3.6</v>
      </c>
      <c r="C1067" s="71">
        <v>35.6</v>
      </c>
      <c r="D1067" s="132">
        <f t="array" ref="D1067">MOD(ROW(), 3) + 1</f>
        <v>3</v>
      </c>
    </row>
    <row r="1068" spans="1:4" ht="15.75">
      <c r="A1068" s="64">
        <f t="shared" ca="1" si="20"/>
        <v>0.7230446235258261</v>
      </c>
      <c r="B1068" s="74">
        <v>5.7</v>
      </c>
      <c r="C1068" s="71">
        <v>27.1</v>
      </c>
      <c r="D1068" s="132">
        <f t="array" ref="D1068">MOD(ROW(), 3) + 1</f>
        <v>1</v>
      </c>
    </row>
    <row r="1069" spans="1:4" ht="15.75">
      <c r="A1069" s="64">
        <f t="shared" ca="1" si="20"/>
        <v>7.8818212330068249E-2</v>
      </c>
      <c r="B1069" s="74">
        <v>2.4</v>
      </c>
      <c r="C1069" s="71">
        <v>40.1</v>
      </c>
      <c r="D1069" s="132">
        <f t="array" ref="D1069">MOD(ROW(), 3) + 1</f>
        <v>2</v>
      </c>
    </row>
    <row r="1070" spans="1:4" ht="15.75">
      <c r="A1070" s="64">
        <f t="shared" ca="1" si="20"/>
        <v>0.38437034395741443</v>
      </c>
      <c r="B1070" s="74">
        <v>1.8</v>
      </c>
      <c r="C1070" s="71">
        <v>48.4</v>
      </c>
      <c r="D1070" s="132">
        <f t="array" ref="D1070">MOD(ROW(), 3) + 1</f>
        <v>3</v>
      </c>
    </row>
    <row r="1071" spans="1:4" ht="15.75">
      <c r="A1071" s="64">
        <f t="shared" ca="1" si="20"/>
        <v>0.95817130756105406</v>
      </c>
      <c r="B1071" s="74">
        <v>3.5</v>
      </c>
      <c r="C1071" s="71">
        <v>39.0959</v>
      </c>
      <c r="D1071" s="132">
        <f t="array" ref="D1071">MOD(ROW(), 3) + 1</f>
        <v>1</v>
      </c>
    </row>
    <row r="1072" spans="1:4" ht="15.75">
      <c r="A1072" s="64">
        <f t="shared" ca="1" si="20"/>
        <v>0.95078985264022009</v>
      </c>
      <c r="B1072" s="74">
        <v>3.5</v>
      </c>
      <c r="C1072" s="71">
        <v>33.200000000000003</v>
      </c>
      <c r="D1072" s="132">
        <f t="array" ref="D1072">MOD(ROW(), 3) + 1</f>
        <v>2</v>
      </c>
    </row>
    <row r="1073" spans="1:4" ht="15.75">
      <c r="A1073" s="64">
        <f t="shared" ca="1" si="20"/>
        <v>0.12335819050007657</v>
      </c>
      <c r="B1073" s="74">
        <v>6.1</v>
      </c>
      <c r="C1073" s="71">
        <v>26</v>
      </c>
      <c r="D1073" s="132">
        <f t="array" ref="D1073">MOD(ROW(), 3) + 1</f>
        <v>3</v>
      </c>
    </row>
    <row r="1074" spans="1:4" ht="15.75">
      <c r="A1074" s="64">
        <f t="shared" ca="1" si="20"/>
        <v>0.98824752983038122</v>
      </c>
      <c r="B1074" s="74">
        <v>4.5999999999999996</v>
      </c>
      <c r="C1074" s="71">
        <v>33.305199999999999</v>
      </c>
      <c r="D1074" s="132">
        <f t="array" ref="D1074">MOD(ROW(), 3) + 1</f>
        <v>1</v>
      </c>
    </row>
    <row r="1075" spans="1:4" ht="15.75">
      <c r="A1075" s="64">
        <f t="shared" ca="1" si="20"/>
        <v>0.59209414314721842</v>
      </c>
      <c r="B1075" s="74">
        <v>3.5</v>
      </c>
      <c r="C1075" s="71">
        <v>37.4</v>
      </c>
      <c r="D1075" s="132">
        <f t="array" ref="D1075">MOD(ROW(), 3) + 1</f>
        <v>2</v>
      </c>
    </row>
    <row r="1076" spans="1:4" ht="15.75">
      <c r="A1076" s="64">
        <f t="shared" ca="1" si="20"/>
        <v>0.6451798894067905</v>
      </c>
      <c r="B1076" s="74">
        <v>5</v>
      </c>
      <c r="C1076" s="71">
        <v>27.251100000000001</v>
      </c>
      <c r="D1076" s="132">
        <f t="array" ref="D1076">MOD(ROW(), 3) + 1</f>
        <v>3</v>
      </c>
    </row>
    <row r="1077" spans="1:4" ht="15.75">
      <c r="A1077" s="64">
        <f t="shared" ca="1" si="20"/>
        <v>0.38428768586462481</v>
      </c>
      <c r="B1077" s="74">
        <v>4</v>
      </c>
      <c r="C1077" s="71">
        <v>27.566500000000001</v>
      </c>
      <c r="D1077" s="132">
        <f t="array" ref="D1077">MOD(ROW(), 3) + 1</f>
        <v>1</v>
      </c>
    </row>
    <row r="1078" spans="1:4" ht="15.75">
      <c r="A1078" s="64">
        <f t="shared" ca="1" si="20"/>
        <v>0.23054196070998945</v>
      </c>
      <c r="B1078" s="74">
        <v>3.6</v>
      </c>
      <c r="C1078" s="71">
        <v>26.1066</v>
      </c>
      <c r="D1078" s="132">
        <f t="array" ref="D1078">MOD(ROW(), 3) + 1</f>
        <v>2</v>
      </c>
    </row>
    <row r="1079" spans="1:4" ht="15.75">
      <c r="A1079" s="64">
        <f t="shared" ca="1" si="20"/>
        <v>0.92551771517683457</v>
      </c>
      <c r="B1079" s="74">
        <v>3.7</v>
      </c>
      <c r="C1079" s="71">
        <v>25.2</v>
      </c>
      <c r="D1079" s="132">
        <f t="array" ref="D1079">MOD(ROW(), 3) + 1</f>
        <v>3</v>
      </c>
    </row>
    <row r="1080" spans="1:4" ht="15.75">
      <c r="A1080" s="64">
        <f t="shared" ca="1" si="20"/>
        <v>0.49696249154593541</v>
      </c>
      <c r="B1080" s="74">
        <v>5.2</v>
      </c>
      <c r="C1080" s="71">
        <v>25.4</v>
      </c>
      <c r="D1080" s="132">
        <f t="array" ref="D1080">MOD(ROW(), 3) + 1</f>
        <v>1</v>
      </c>
    </row>
    <row r="1081" spans="1:4" ht="15.75">
      <c r="A1081" s="64">
        <f t="shared" ca="1" si="20"/>
        <v>0.10431391275878998</v>
      </c>
      <c r="B1081" s="74">
        <v>3</v>
      </c>
      <c r="C1081" s="71">
        <v>31.5</v>
      </c>
      <c r="D1081" s="132">
        <f t="array" ref="D1081">MOD(ROW(), 3) + 1</f>
        <v>2</v>
      </c>
    </row>
    <row r="1082" spans="1:4" ht="15.75">
      <c r="A1082" s="64">
        <f t="shared" ca="1" si="20"/>
        <v>0.40132311029203804</v>
      </c>
      <c r="B1082" s="74">
        <v>2.5</v>
      </c>
      <c r="C1082" s="71">
        <v>40.6</v>
      </c>
      <c r="D1082" s="132">
        <f t="array" ref="D1082">MOD(ROW(), 3) + 1</f>
        <v>3</v>
      </c>
    </row>
    <row r="1083" spans="1:4" ht="15.75">
      <c r="A1083" s="64">
        <f t="shared" ca="1" si="20"/>
        <v>0.7684088182604375</v>
      </c>
      <c r="B1083" s="74">
        <v>1.8</v>
      </c>
      <c r="C1083" s="71">
        <v>47.2</v>
      </c>
      <c r="D1083" s="132">
        <f t="array" ref="D1083">MOD(ROW(), 3) + 1</f>
        <v>1</v>
      </c>
    </row>
    <row r="1084" spans="1:4" ht="15.75">
      <c r="A1084" s="64">
        <f t="shared" ca="1" si="20"/>
        <v>0.44355764317810653</v>
      </c>
      <c r="B1084" s="74">
        <v>2</v>
      </c>
      <c r="C1084" s="71">
        <v>49.216999999999999</v>
      </c>
      <c r="D1084" s="132">
        <f t="array" ref="D1084">MOD(ROW(), 3) + 1</f>
        <v>2</v>
      </c>
    </row>
    <row r="1085" spans="1:4" ht="15.75">
      <c r="A1085" s="64">
        <f t="shared" ca="1" si="20"/>
        <v>0.72757962282734956</v>
      </c>
      <c r="B1085" s="74">
        <v>1.6</v>
      </c>
      <c r="C1085" s="71">
        <v>47.9</v>
      </c>
      <c r="D1085" s="132">
        <f t="array" ref="D1085">MOD(ROW(), 3) + 1</f>
        <v>3</v>
      </c>
    </row>
    <row r="1086" spans="1:4" ht="15.75">
      <c r="A1086" s="64">
        <f t="shared" ca="1" si="20"/>
        <v>0.49370660797013521</v>
      </c>
      <c r="B1086" s="74">
        <v>4.8</v>
      </c>
      <c r="C1086" s="71">
        <v>24.1496</v>
      </c>
      <c r="D1086" s="132">
        <f t="array" ref="D1086">MOD(ROW(), 3) + 1</f>
        <v>1</v>
      </c>
    </row>
    <row r="1087" spans="1:4" ht="15.75">
      <c r="A1087" s="64">
        <f t="shared" ca="1" si="20"/>
        <v>0.72056906121883779</v>
      </c>
      <c r="B1087" s="74">
        <v>2.4</v>
      </c>
      <c r="C1087" s="71">
        <v>42.6</v>
      </c>
      <c r="D1087" s="132">
        <f t="array" ref="D1087">MOD(ROW(), 3) + 1</f>
        <v>2</v>
      </c>
    </row>
    <row r="1088" spans="1:4" ht="15.75">
      <c r="A1088" s="64">
        <f t="shared" ca="1" si="20"/>
        <v>0.71826171982884068</v>
      </c>
      <c r="B1088" s="74">
        <v>2.4</v>
      </c>
      <c r="C1088" s="71">
        <v>36.4</v>
      </c>
      <c r="D1088" s="132">
        <f t="array" ref="D1088">MOD(ROW(), 3) + 1</f>
        <v>3</v>
      </c>
    </row>
    <row r="1089" spans="1:4" ht="15.75">
      <c r="A1089" s="64">
        <f t="shared" ca="1" si="20"/>
        <v>9.2343064478096148E-2</v>
      </c>
      <c r="B1089" s="74">
        <v>2.5</v>
      </c>
      <c r="C1089" s="71">
        <v>41.664200000000001</v>
      </c>
      <c r="D1089" s="132">
        <f t="array" ref="D1089">MOD(ROW(), 3) + 1</f>
        <v>1</v>
      </c>
    </row>
    <row r="1090" spans="1:4" ht="15.75">
      <c r="A1090" s="64">
        <f t="shared" ca="1" si="20"/>
        <v>0.46968614596228753</v>
      </c>
      <c r="B1090" s="74">
        <v>3</v>
      </c>
      <c r="C1090" s="71">
        <v>34.799999999999997</v>
      </c>
      <c r="D1090" s="132">
        <f t="array" ref="D1090">MOD(ROW(), 3) + 1</f>
        <v>2</v>
      </c>
    </row>
    <row r="1091" spans="1:4" ht="15.75">
      <c r="A1091" s="64">
        <f t="shared" ref="A1091:A1109" ca="1" si="21">RAND()</f>
        <v>0.12931894661329646</v>
      </c>
      <c r="B1091" s="74">
        <v>6.3</v>
      </c>
      <c r="C1091" s="71">
        <v>26.6722</v>
      </c>
      <c r="D1091" s="132">
        <f t="array" ref="D1091">MOD(ROW(), 3) + 1</f>
        <v>3</v>
      </c>
    </row>
    <row r="1092" spans="1:4" ht="15.75">
      <c r="A1092" s="64">
        <f t="shared" ca="1" si="21"/>
        <v>0.16940483662547667</v>
      </c>
      <c r="B1092" s="74">
        <v>2</v>
      </c>
      <c r="C1092" s="71">
        <v>43.9</v>
      </c>
      <c r="D1092" s="132">
        <f t="array" ref="D1092">MOD(ROW(), 3) + 1</f>
        <v>1</v>
      </c>
    </row>
    <row r="1093" spans="1:4" ht="15.75">
      <c r="A1093" s="64">
        <f t="shared" ca="1" si="21"/>
        <v>0.84599327034344718</v>
      </c>
      <c r="B1093" s="74">
        <v>5.7</v>
      </c>
      <c r="C1093" s="71">
        <v>26</v>
      </c>
      <c r="D1093" s="132">
        <f t="array" ref="D1093">MOD(ROW(), 3) + 1</f>
        <v>2</v>
      </c>
    </row>
    <row r="1094" spans="1:4" ht="15.75">
      <c r="A1094" s="64">
        <f t="shared" ca="1" si="21"/>
        <v>0.84552855221688128</v>
      </c>
      <c r="B1094" s="74">
        <v>2.2000000000000002</v>
      </c>
      <c r="C1094" s="71">
        <v>51.9</v>
      </c>
      <c r="D1094" s="132">
        <f t="array" ref="D1094">MOD(ROW(), 3) + 1</f>
        <v>3</v>
      </c>
    </row>
    <row r="1095" spans="1:4" ht="15.75">
      <c r="A1095" s="64">
        <f t="shared" ca="1" si="21"/>
        <v>0.38853383743927583</v>
      </c>
      <c r="B1095" s="74">
        <v>1.6</v>
      </c>
      <c r="C1095" s="71">
        <v>46.5</v>
      </c>
      <c r="D1095" s="132">
        <f t="array" ref="D1095">MOD(ROW(), 3) + 1</f>
        <v>1</v>
      </c>
    </row>
    <row r="1096" spans="1:4" ht="15.75">
      <c r="A1096" s="64">
        <f t="shared" ca="1" si="21"/>
        <v>0.22608917961851083</v>
      </c>
      <c r="B1096" s="74">
        <v>2.4</v>
      </c>
      <c r="C1096" s="71">
        <v>44.081800000000001</v>
      </c>
      <c r="D1096" s="132">
        <f t="array" ref="D1096">MOD(ROW(), 3) + 1</f>
        <v>2</v>
      </c>
    </row>
    <row r="1097" spans="1:4" ht="15.75">
      <c r="A1097" s="64">
        <f t="shared" ca="1" si="21"/>
        <v>0.60848344496808549</v>
      </c>
      <c r="B1097" s="74">
        <v>4.8</v>
      </c>
      <c r="C1097" s="71">
        <v>31.8</v>
      </c>
      <c r="D1097" s="132">
        <f t="array" ref="D1097">MOD(ROW(), 3) + 1</f>
        <v>3</v>
      </c>
    </row>
    <row r="1098" spans="1:4" ht="15.75">
      <c r="A1098" s="64">
        <f t="shared" ca="1" si="21"/>
        <v>0.4313324707902586</v>
      </c>
      <c r="B1098" s="74">
        <v>6.7</v>
      </c>
      <c r="C1098" s="71">
        <v>24.2</v>
      </c>
      <c r="D1098" s="132">
        <f t="array" ref="D1098">MOD(ROW(), 3) + 1</f>
        <v>1</v>
      </c>
    </row>
    <row r="1099" spans="1:4" ht="15.75">
      <c r="A1099" s="64">
        <f t="shared" ca="1" si="21"/>
        <v>0.62440276466636058</v>
      </c>
      <c r="B1099" s="74">
        <v>3.6</v>
      </c>
      <c r="C1099" s="71">
        <v>27.581099999999999</v>
      </c>
      <c r="D1099" s="132">
        <f t="array" ref="D1099">MOD(ROW(), 3) + 1</f>
        <v>2</v>
      </c>
    </row>
    <row r="1100" spans="1:4" ht="15.75">
      <c r="A1100" s="64">
        <f t="shared" ca="1" si="21"/>
        <v>0.6820399435517287</v>
      </c>
      <c r="B1100" s="74">
        <v>2.4</v>
      </c>
      <c r="C1100" s="71">
        <v>42.8</v>
      </c>
      <c r="D1100" s="132">
        <f t="array" ref="D1100">MOD(ROW(), 3) + 1</f>
        <v>3</v>
      </c>
    </row>
    <row r="1101" spans="1:4" ht="15.75">
      <c r="A1101" s="64">
        <f t="shared" ca="1" si="21"/>
        <v>0.32381246745865322</v>
      </c>
      <c r="B1101" s="74">
        <v>3</v>
      </c>
      <c r="C1101" s="71">
        <v>35.708100000000002</v>
      </c>
      <c r="D1101" s="132">
        <f t="array" ref="D1101">MOD(ROW(), 3) + 1</f>
        <v>1</v>
      </c>
    </row>
    <row r="1102" spans="1:4" ht="15.75">
      <c r="A1102" s="64">
        <f t="shared" ca="1" si="21"/>
        <v>0.34578190300412803</v>
      </c>
      <c r="B1102" s="74">
        <v>2.5</v>
      </c>
      <c r="C1102" s="71">
        <v>45.056600000000003</v>
      </c>
      <c r="D1102" s="132">
        <f t="array" ref="D1102">MOD(ROW(), 3) + 1</f>
        <v>2</v>
      </c>
    </row>
    <row r="1103" spans="1:4" ht="15.75">
      <c r="A1103" s="64">
        <f t="shared" ca="1" si="21"/>
        <v>0.40844557520566105</v>
      </c>
      <c r="B1103" s="74">
        <v>4</v>
      </c>
      <c r="C1103" s="71">
        <v>27.8</v>
      </c>
      <c r="D1103" s="132">
        <f t="array" ref="D1103">MOD(ROW(), 3) + 1</f>
        <v>3</v>
      </c>
    </row>
    <row r="1104" spans="1:4" ht="15.75">
      <c r="A1104" s="64">
        <f t="shared" ca="1" si="21"/>
        <v>0.81756191064204164</v>
      </c>
      <c r="B1104" s="74">
        <v>2.5</v>
      </c>
      <c r="C1104" s="71">
        <v>35.860599999999998</v>
      </c>
      <c r="D1104" s="132">
        <f t="array" ref="D1104">MOD(ROW(), 3) + 1</f>
        <v>1</v>
      </c>
    </row>
    <row r="1105" spans="1:4" ht="15.75">
      <c r="A1105" s="64">
        <f t="shared" ca="1" si="21"/>
        <v>1.0733013726538898E-2</v>
      </c>
      <c r="B1105" s="74">
        <v>3</v>
      </c>
      <c r="C1105" s="71">
        <v>34.4</v>
      </c>
      <c r="D1105" s="132">
        <f t="array" ref="D1105">MOD(ROW(), 3) + 1</f>
        <v>2</v>
      </c>
    </row>
    <row r="1106" spans="1:4" ht="15.75">
      <c r="A1106" s="64">
        <f t="shared" ca="1" si="21"/>
        <v>0.44956894900995936</v>
      </c>
      <c r="B1106" s="74">
        <v>3</v>
      </c>
      <c r="C1106" s="71">
        <v>34.1</v>
      </c>
      <c r="D1106" s="132">
        <f t="array" ref="D1106">MOD(ROW(), 3) + 1</f>
        <v>3</v>
      </c>
    </row>
    <row r="1107" spans="1:4" ht="15.75">
      <c r="A1107" s="64">
        <f t="shared" ca="1" si="21"/>
        <v>0.50226708802175368</v>
      </c>
      <c r="B1107" s="74">
        <v>2.4</v>
      </c>
      <c r="C1107" s="71">
        <v>37.490200000000002</v>
      </c>
      <c r="D1107" s="132">
        <f t="array" ref="D1107">MOD(ROW(), 3) + 1</f>
        <v>1</v>
      </c>
    </row>
    <row r="1108" spans="1:4" ht="15.75">
      <c r="A1108" s="64">
        <f t="shared" ca="1" si="21"/>
        <v>1.5915820315003382E-2</v>
      </c>
      <c r="B1108" s="74">
        <v>3.8</v>
      </c>
      <c r="C1108" s="71">
        <v>35.6</v>
      </c>
      <c r="D1108" s="132">
        <f t="array" ref="D1108">MOD(ROW(), 3) + 1</f>
        <v>2</v>
      </c>
    </row>
    <row r="1109" spans="1:4" ht="15.75">
      <c r="A1109" s="64">
        <f t="shared" ca="1" si="21"/>
        <v>0.19682844956557932</v>
      </c>
      <c r="B1109" s="74">
        <v>3.7</v>
      </c>
      <c r="C1109" s="71">
        <v>31.846699999999998</v>
      </c>
      <c r="D1109" s="132">
        <f t="array" ref="D1109">MOD(ROW(), 3) + 1</f>
        <v>3</v>
      </c>
    </row>
    <row r="1110" spans="1:4">
      <c r="A1110" s="150">
        <f ca="1">COUNT(A3:A1109)</f>
        <v>1107</v>
      </c>
      <c r="B1110" s="145">
        <f>SUM(B3:B1109)</f>
        <v>3882.7000000000021</v>
      </c>
      <c r="C1110" s="145">
        <f>SUM(C3:C1109)</f>
        <v>38420.083400000076</v>
      </c>
    </row>
    <row r="1111" spans="1:4">
      <c r="B1111" s="149">
        <f>B1110-F374</f>
        <v>0</v>
      </c>
      <c r="C1111" s="149">
        <f>C1110-G374</f>
        <v>5.8207660913467407E-11</v>
      </c>
    </row>
  </sheetData>
  <sortState ref="A3:D1109">
    <sortCondition ref="A3:A1109"/>
  </sortState>
  <mergeCells count="3">
    <mergeCell ref="L5:Q19"/>
    <mergeCell ref="L21:Q25"/>
    <mergeCell ref="A1:J1"/>
  </mergeCells>
  <pageMargins left="0.7" right="0.7" top="0.75" bottom="0.75" header="0.3" footer="0.3"/>
  <ignoredErrors>
    <ignoredError sqref="F2:Q2 F3 L3:Q3 F4:F86 L4:Q20 F87 L87:Q87 F88 M88:Q88 F89:F248 L89:Q248 F249 L249:Q249 F250:F371 L250:Q371 O372:Q372 L22:Q86 M21:Q21"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RandSort">
                <anchor moveWithCells="1">
                  <from>
                    <xdr:col>11</xdr:col>
                    <xdr:colOff>504825</xdr:colOff>
                    <xdr:row>1</xdr:row>
                    <xdr:rowOff>47625</xdr:rowOff>
                  </from>
                  <to>
                    <xdr:col>13</xdr:col>
                    <xdr:colOff>295275</xdr:colOff>
                    <xdr:row>2</xdr:row>
                    <xdr:rowOff>95250</xdr:rowOff>
                  </to>
                </anchor>
              </controlPr>
            </control>
          </mc:Choice>
        </mc:AlternateContent>
        <mc:AlternateContent xmlns:mc="http://schemas.openxmlformats.org/markup-compatibility/2006">
          <mc:Choice Requires="x14">
            <control shapeId="7170" r:id="rId4" name="Button 2">
              <controlPr defaultSize="0" print="0" autoFill="0" autoPict="0" macro="[0]!ValuesOnly">
                <anchor moveWithCells="1">
                  <from>
                    <xdr:col>15</xdr:col>
                    <xdr:colOff>76200</xdr:colOff>
                    <xdr:row>1</xdr:row>
                    <xdr:rowOff>38100</xdr:rowOff>
                  </from>
                  <to>
                    <xdr:col>16</xdr:col>
                    <xdr:colOff>371475</xdr:colOff>
                    <xdr:row>2</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375"/>
  <sheetViews>
    <sheetView zoomScaleNormal="100" workbookViewId="0">
      <selection activeCell="M11" sqref="M11"/>
    </sheetView>
  </sheetViews>
  <sheetFormatPr defaultColWidth="10.28515625" defaultRowHeight="15"/>
  <cols>
    <col min="1" max="1" width="10.140625" bestFit="1" customWidth="1"/>
    <col min="2" max="2" width="8.5703125" bestFit="1" customWidth="1"/>
    <col min="3" max="3" width="6.5703125" bestFit="1" customWidth="1"/>
    <col min="4" max="4" width="6" bestFit="1" customWidth="1"/>
    <col min="5" max="5" width="7.28515625" bestFit="1" customWidth="1"/>
    <col min="6" max="6" width="7.5703125" bestFit="1" customWidth="1"/>
    <col min="7" max="7" width="7.28515625" bestFit="1" customWidth="1"/>
    <col min="8" max="8" width="17.140625" bestFit="1" customWidth="1"/>
    <col min="9" max="9" width="10.140625" bestFit="1" customWidth="1"/>
    <col min="10" max="10" width="14.42578125" customWidth="1"/>
    <col min="11" max="11" width="10.85546875" bestFit="1" customWidth="1"/>
    <col min="12" max="12" width="16.140625" bestFit="1" customWidth="1"/>
    <col min="13" max="14" width="7.140625" bestFit="1" customWidth="1"/>
    <col min="15" max="15" width="12" bestFit="1" customWidth="1"/>
    <col min="16" max="16" width="11" bestFit="1" customWidth="1"/>
    <col min="17" max="17" width="15.85546875" bestFit="1" customWidth="1"/>
    <col min="18" max="18" width="20.85546875" bestFit="1" customWidth="1"/>
    <col min="19" max="19" width="26.85546875" bestFit="1" customWidth="1"/>
    <col min="20" max="20" width="37.85546875" bestFit="1" customWidth="1"/>
    <col min="21" max="21" width="68.140625" bestFit="1" customWidth="1"/>
    <col min="22" max="22" width="28.28515625" bestFit="1" customWidth="1"/>
    <col min="23" max="23" width="10.42578125" bestFit="1" customWidth="1"/>
    <col min="24" max="24" width="11.85546875" bestFit="1" customWidth="1"/>
    <col min="25" max="25" width="25.5703125" bestFit="1" customWidth="1"/>
    <col min="26" max="26" width="10.42578125" bestFit="1" customWidth="1"/>
    <col min="27" max="27" width="11.85546875" bestFit="1" customWidth="1"/>
    <col min="28" max="28" width="39.5703125" bestFit="1" customWidth="1"/>
    <col min="29" max="29" width="16.5703125" bestFit="1" customWidth="1"/>
    <col min="30" max="30" width="39.5703125" bestFit="1" customWidth="1"/>
    <col min="31" max="31" width="13.28515625" bestFit="1" customWidth="1"/>
    <col min="32" max="33" width="8.5703125" bestFit="1" customWidth="1"/>
    <col min="34" max="34" width="14" bestFit="1" customWidth="1"/>
    <col min="35" max="35" width="20.85546875" bestFit="1" customWidth="1"/>
  </cols>
  <sheetData>
    <row r="1" spans="1:36" ht="31.5">
      <c r="A1" s="369" t="s">
        <v>164</v>
      </c>
      <c r="B1" s="369"/>
      <c r="C1" s="369"/>
      <c r="D1" s="369"/>
      <c r="E1" s="369"/>
      <c r="F1" s="369"/>
      <c r="G1" s="369"/>
      <c r="H1" s="369"/>
      <c r="I1" s="369"/>
      <c r="J1" s="369"/>
      <c r="K1" s="369"/>
      <c r="L1" s="369"/>
      <c r="M1" s="369"/>
      <c r="N1" s="369"/>
      <c r="O1" s="369"/>
      <c r="P1" s="369"/>
      <c r="Q1" s="369"/>
      <c r="R1" s="369"/>
      <c r="S1" s="142"/>
      <c r="T1" s="117"/>
      <c r="U1" s="117"/>
      <c r="V1" s="117"/>
      <c r="W1" s="135"/>
      <c r="X1" s="135"/>
      <c r="Y1" s="135"/>
      <c r="Z1" s="135"/>
      <c r="AA1" s="135"/>
      <c r="AB1" s="135"/>
      <c r="AC1" s="62"/>
      <c r="AD1" s="62"/>
      <c r="AE1" s="62"/>
      <c r="AF1" s="62"/>
      <c r="AG1" s="62"/>
      <c r="AH1" s="62"/>
      <c r="AI1" s="62"/>
    </row>
    <row r="2" spans="1:36" ht="15" customHeight="1" thickBot="1">
      <c r="A2" s="82" t="s">
        <v>22</v>
      </c>
      <c r="B2" s="75" t="s">
        <v>23</v>
      </c>
      <c r="C2" s="75" t="s">
        <v>40</v>
      </c>
      <c r="D2" s="355" t="s">
        <v>41</v>
      </c>
      <c r="E2" s="356"/>
      <c r="F2" s="95"/>
      <c r="G2" s="95"/>
      <c r="H2" s="95"/>
      <c r="I2" s="95"/>
      <c r="J2" s="329" t="s">
        <v>64</v>
      </c>
      <c r="K2" s="330" t="s">
        <v>70</v>
      </c>
      <c r="L2" s="96"/>
      <c r="M2" s="128"/>
      <c r="N2" s="128"/>
      <c r="O2" s="99" t="s">
        <v>78</v>
      </c>
      <c r="P2" s="98" t="s">
        <v>77</v>
      </c>
      <c r="Q2" s="98" t="s">
        <v>76</v>
      </c>
      <c r="R2" s="99" t="s">
        <v>75</v>
      </c>
      <c r="S2" s="99" t="s">
        <v>88</v>
      </c>
      <c r="T2" s="86"/>
      <c r="U2" s="86"/>
      <c r="V2" s="86"/>
      <c r="W2" s="363" t="s">
        <v>35</v>
      </c>
      <c r="X2" s="363"/>
      <c r="Y2" s="364"/>
      <c r="Z2" s="378" t="s">
        <v>74</v>
      </c>
      <c r="AA2" s="378"/>
      <c r="AB2" s="92" t="s">
        <v>45</v>
      </c>
      <c r="AC2" s="57" t="s">
        <v>39</v>
      </c>
      <c r="AD2" s="93" t="s">
        <v>46</v>
      </c>
      <c r="AE2" s="62"/>
      <c r="AF2" s="62"/>
      <c r="AG2" s="62"/>
      <c r="AH2" s="62"/>
      <c r="AI2" s="62"/>
    </row>
    <row r="3" spans="1:36">
      <c r="A3" s="82"/>
      <c r="B3" s="75"/>
      <c r="C3" s="7"/>
      <c r="D3" s="379"/>
      <c r="E3" s="380"/>
      <c r="F3" s="21"/>
      <c r="G3" s="21"/>
      <c r="H3" s="21"/>
      <c r="I3" s="21"/>
      <c r="J3" s="28" t="s">
        <v>68</v>
      </c>
      <c r="K3" s="29" t="s">
        <v>69</v>
      </c>
      <c r="L3" s="17" t="s">
        <v>20</v>
      </c>
      <c r="M3" s="362" t="s">
        <v>89</v>
      </c>
      <c r="N3" s="381"/>
      <c r="O3" s="8" t="s">
        <v>66</v>
      </c>
      <c r="P3" s="8" t="s">
        <v>65</v>
      </c>
      <c r="Q3" s="81" t="s">
        <v>24</v>
      </c>
      <c r="R3" s="8" t="s">
        <v>67</v>
      </c>
      <c r="S3" s="8" t="s">
        <v>34</v>
      </c>
      <c r="T3" s="8" t="s">
        <v>50</v>
      </c>
      <c r="U3" s="8" t="s">
        <v>73</v>
      </c>
      <c r="V3" s="8" t="s">
        <v>54</v>
      </c>
      <c r="W3" s="382" t="s">
        <v>28</v>
      </c>
      <c r="X3" s="383"/>
      <c r="Y3" s="12" t="s">
        <v>80</v>
      </c>
      <c r="Z3" s="384" t="s">
        <v>30</v>
      </c>
      <c r="AA3" s="383"/>
      <c r="AB3" s="57" t="s">
        <v>38</v>
      </c>
      <c r="AC3" s="57"/>
      <c r="AD3" s="94" t="s">
        <v>44</v>
      </c>
      <c r="AE3" s="3"/>
      <c r="AF3" s="3"/>
      <c r="AG3" s="3"/>
      <c r="AH3" s="3"/>
      <c r="AI3" s="3"/>
    </row>
    <row r="4" spans="1:36" ht="30.75" customHeight="1" thickBot="1">
      <c r="A4" s="83" t="s">
        <v>0</v>
      </c>
      <c r="B4" s="32" t="s">
        <v>2</v>
      </c>
      <c r="C4" s="77" t="s">
        <v>40</v>
      </c>
      <c r="D4" s="33" t="s">
        <v>13</v>
      </c>
      <c r="E4" s="34" t="s">
        <v>14</v>
      </c>
      <c r="F4" s="34" t="s">
        <v>15</v>
      </c>
      <c r="G4" s="34" t="s">
        <v>16</v>
      </c>
      <c r="H4" s="34" t="s">
        <v>17</v>
      </c>
      <c r="I4" s="34" t="s">
        <v>18</v>
      </c>
      <c r="J4" s="43"/>
      <c r="K4" s="43" t="s">
        <v>19</v>
      </c>
      <c r="L4" s="35" t="s">
        <v>21</v>
      </c>
      <c r="M4" s="61" t="s">
        <v>90</v>
      </c>
      <c r="N4" s="60" t="s">
        <v>91</v>
      </c>
      <c r="O4" s="36" t="s">
        <v>26</v>
      </c>
      <c r="P4" s="36" t="s">
        <v>25</v>
      </c>
      <c r="Q4" s="37" t="s">
        <v>27</v>
      </c>
      <c r="R4" s="87" t="s">
        <v>42</v>
      </c>
      <c r="S4" s="36" t="s">
        <v>43</v>
      </c>
      <c r="T4" s="90" t="s">
        <v>71</v>
      </c>
      <c r="U4" s="91" t="s">
        <v>72</v>
      </c>
      <c r="V4" s="120" t="s">
        <v>87</v>
      </c>
      <c r="W4" s="38" t="s">
        <v>32</v>
      </c>
      <c r="X4" s="39" t="s">
        <v>29</v>
      </c>
      <c r="Y4" s="38" t="s">
        <v>48</v>
      </c>
      <c r="Z4" s="40" t="s">
        <v>33</v>
      </c>
      <c r="AA4" s="41" t="s">
        <v>31</v>
      </c>
      <c r="AB4" s="60" t="s">
        <v>47</v>
      </c>
      <c r="AC4" s="61" t="s">
        <v>39</v>
      </c>
      <c r="AD4" s="121" t="s">
        <v>44</v>
      </c>
      <c r="AE4" s="42"/>
      <c r="AF4" s="42"/>
      <c r="AG4" s="42"/>
      <c r="AH4" s="42"/>
      <c r="AI4" s="42"/>
    </row>
    <row r="5" spans="1:36" ht="15.75" thickBot="1">
      <c r="A5" s="84">
        <f>'Q.6 Rand()'!R3</f>
        <v>3.2</v>
      </c>
      <c r="B5" s="141">
        <f>'Q.6 Rand()'!S3</f>
        <v>30.347000000000001</v>
      </c>
      <c r="C5" s="44">
        <f>COUNT($B$5:$B$373)</f>
        <v>369</v>
      </c>
      <c r="D5" s="45">
        <f>AVERAGE(A5:A373)</f>
        <v>3.4628726287262883</v>
      </c>
      <c r="E5" s="46">
        <f>AVERAGE(B5:B373)</f>
        <v>34.708244444444496</v>
      </c>
      <c r="F5" s="47">
        <f t="shared" ref="F5:F68" si="0">A5-$D$5</f>
        <v>-0.26287262872628814</v>
      </c>
      <c r="G5" s="47">
        <f>B5-$E$5</f>
        <v>-4.3612444444444947</v>
      </c>
      <c r="H5" s="48">
        <f>F5*G5</f>
        <v>1.1464517916290444</v>
      </c>
      <c r="I5" s="48">
        <f>F5^2</f>
        <v>6.9102018933468928E-2</v>
      </c>
      <c r="J5" s="76">
        <f>H374 / I374</f>
        <v>-4.5124073186338576</v>
      </c>
      <c r="K5" s="76">
        <f>E5-(J5*D5)</f>
        <v>50.334136237805865</v>
      </c>
      <c r="L5" s="49">
        <f>$K$5+$J$5*A5</f>
        <v>35.894432818177521</v>
      </c>
      <c r="M5" s="129">
        <f>CORREL(A5:A373, O5:O373)</f>
        <v>-5.820157801798069E-17</v>
      </c>
      <c r="N5" s="129">
        <f>CORREL(B5:B373, O5:O373)</f>
        <v>0.59852746972945836</v>
      </c>
      <c r="O5" s="50">
        <f t="shared" ref="O5:O68" si="1">B5-L5</f>
        <v>-5.5474328181775192</v>
      </c>
      <c r="P5" s="51">
        <f>O5^2</f>
        <v>30.774010872192974</v>
      </c>
      <c r="Q5" s="124">
        <f>P374</f>
        <v>7151.2946125588996</v>
      </c>
      <c r="R5" s="124">
        <f>Q5/(C5 - 2)</f>
        <v>19.485816382994276</v>
      </c>
      <c r="S5" s="125">
        <f>SQRT(Q5/(C5-2))</f>
        <v>4.4142741626448938</v>
      </c>
      <c r="T5" s="125">
        <f>S5 / SQRT(I374)</f>
        <v>0.17598326899672323</v>
      </c>
      <c r="U5" s="123">
        <f>S5 * SQRT((1/$C$5)+($D$5^2)/$I$374)</f>
        <v>0.65129468648712918</v>
      </c>
      <c r="V5" s="123">
        <f>AVERAGE(V6:V373) * 100</f>
        <v>10.062125666654758</v>
      </c>
      <c r="W5" s="52">
        <f t="shared" ref="W5:W68" si="2">(L5-$E$5)^2</f>
        <v>1.4070428579793974</v>
      </c>
      <c r="X5" s="53">
        <f>W374</f>
        <v>12811.277378132181</v>
      </c>
      <c r="Y5" s="88">
        <f>X5/AA5</f>
        <v>0.64176486797925125</v>
      </c>
      <c r="Z5" s="54">
        <f>(B5-$E$5)^2</f>
        <v>19.020453104197969</v>
      </c>
      <c r="AA5" s="55">
        <f>Z374</f>
        <v>19962.571990691114</v>
      </c>
      <c r="AB5" s="58">
        <f>X5 / R5</f>
        <v>657.46680181759689</v>
      </c>
      <c r="AC5" s="59">
        <f>FDIST(INDEX(LINEST($B$5:$B$373,$A$5:$A$373,1,1),4,1),1,INDEX(LINEST($B$5:$B$373,$A$5:$A$373,1,1),4,2))</f>
        <v>8.0320935480121679E-84</v>
      </c>
      <c r="AD5" s="122">
        <f>_xlfn.F.DIST.RT(AB5,1,C5-2)</f>
        <v>8.0320935480153673E-84</v>
      </c>
      <c r="AE5" s="3"/>
      <c r="AF5" s="3"/>
      <c r="AG5" s="3"/>
      <c r="AH5" s="3"/>
      <c r="AI5" s="3"/>
    </row>
    <row r="6" spans="1:36">
      <c r="A6" s="84">
        <f>'Q.6 Rand()'!R4</f>
        <v>4.2</v>
      </c>
      <c r="B6" s="141">
        <f>'Q.6 Rand()'!S4</f>
        <v>27.471</v>
      </c>
      <c r="C6" s="5"/>
      <c r="D6" s="23"/>
      <c r="E6" s="24"/>
      <c r="F6" s="22">
        <f t="shared" si="0"/>
        <v>0.73712737127371186</v>
      </c>
      <c r="G6" s="22">
        <f t="shared" ref="G6:G69" si="3">B6-$E$5</f>
        <v>-7.2372444444444959</v>
      </c>
      <c r="H6" s="18">
        <f t="shared" ref="H6:H69" si="4">F6*G6</f>
        <v>-5.3347709725986467</v>
      </c>
      <c r="I6" s="18">
        <f t="shared" ref="I6:I69" si="5">F6^2</f>
        <v>0.54335676148089262</v>
      </c>
      <c r="J6" s="399">
        <f>SLOPE(B5:B373,A5:A373)</f>
        <v>-4.5124073186338576</v>
      </c>
      <c r="K6" s="399">
        <f>INTERCEPT(B5:B373,A5:A373)</f>
        <v>50.334136237805865</v>
      </c>
      <c r="L6" s="19">
        <f t="shared" ref="L6:L69" si="6">$K$5+$J$5*A6</f>
        <v>31.382025499543662</v>
      </c>
      <c r="M6" s="62"/>
      <c r="N6" s="126"/>
      <c r="O6" s="9">
        <f t="shared" si="1"/>
        <v>-3.911025499543662</v>
      </c>
      <c r="P6" s="10">
        <f t="shared" ref="P6:P69" si="7">O6^2</f>
        <v>15.29612045808075</v>
      </c>
      <c r="Q6" s="135"/>
      <c r="S6" s="100">
        <f>SQRT(R5)</f>
        <v>4.4142741626448938</v>
      </c>
      <c r="T6" s="135"/>
      <c r="U6" s="135"/>
      <c r="V6" s="10">
        <f>ABS(O5) / B5</f>
        <v>0.18280004014161264</v>
      </c>
      <c r="W6" s="13">
        <f t="shared" si="2"/>
        <v>11.063732469417216</v>
      </c>
      <c r="X6" s="135"/>
      <c r="Y6" s="135"/>
      <c r="Z6" s="15">
        <f t="shared" ref="Z6:Z69" si="8">(B6-$E$5)^2</f>
        <v>52.37770714864272</v>
      </c>
      <c r="AA6" s="68"/>
      <c r="AB6" s="135"/>
      <c r="AC6" s="135"/>
      <c r="AD6" s="135"/>
      <c r="AE6" s="366" t="s">
        <v>81</v>
      </c>
      <c r="AF6" s="367"/>
      <c r="AG6" s="367"/>
      <c r="AH6" s="368"/>
      <c r="AI6" s="62"/>
    </row>
    <row r="7" spans="1:36">
      <c r="A7" s="84">
        <f>'Q.6 Rand()'!R5</f>
        <v>3.8</v>
      </c>
      <c r="B7" s="141">
        <f>'Q.6 Rand()'!S5</f>
        <v>27.372</v>
      </c>
      <c r="C7" s="5"/>
      <c r="D7" s="23"/>
      <c r="E7" s="24"/>
      <c r="F7" s="22">
        <f t="shared" si="0"/>
        <v>0.33712737127371151</v>
      </c>
      <c r="G7" s="22">
        <f t="shared" si="3"/>
        <v>-7.3362444444444961</v>
      </c>
      <c r="H7" s="18">
        <f t="shared" si="4"/>
        <v>-2.4732488045769432</v>
      </c>
      <c r="I7" s="18">
        <f t="shared" si="5"/>
        <v>0.11365486446192292</v>
      </c>
      <c r="J7" s="24"/>
      <c r="K7" s="24"/>
      <c r="L7" s="19">
        <f t="shared" si="6"/>
        <v>33.186988426997203</v>
      </c>
      <c r="M7" s="126"/>
      <c r="N7" s="126"/>
      <c r="O7" s="9">
        <f t="shared" si="1"/>
        <v>-5.8149884269972034</v>
      </c>
      <c r="P7" s="10">
        <f t="shared" si="7"/>
        <v>33.814090406111411</v>
      </c>
      <c r="Q7" s="135"/>
      <c r="R7" s="135"/>
      <c r="S7" s="135"/>
      <c r="T7" s="135"/>
      <c r="U7" s="135"/>
      <c r="V7" s="10">
        <f t="shared" ref="V7:V70" si="9">ABS(O6) / B6</f>
        <v>0.14236924391335087</v>
      </c>
      <c r="W7" s="13">
        <f t="shared" si="2"/>
        <v>2.3142198706195978</v>
      </c>
      <c r="X7" s="68"/>
      <c r="Y7" s="68"/>
      <c r="Z7" s="15">
        <f t="shared" si="8"/>
        <v>53.82048254864273</v>
      </c>
      <c r="AA7" s="135"/>
      <c r="AB7" s="62"/>
      <c r="AC7" s="64"/>
      <c r="AD7" s="62"/>
      <c r="AE7" s="112" t="s">
        <v>55</v>
      </c>
      <c r="AF7" s="110">
        <f t="array" ref="AF7:AG11">LINEST(B5:B373,A5:A373,,TRUE)</f>
        <v>-4.5124073186338425</v>
      </c>
      <c r="AG7" s="106">
        <v>50.334136237805808</v>
      </c>
      <c r="AH7" s="114" t="s">
        <v>55</v>
      </c>
      <c r="AI7" s="56">
        <f>AF7-J5</f>
        <v>1.5099033134902129E-14</v>
      </c>
      <c r="AJ7" s="56">
        <f>AG7-K5</f>
        <v>-5.6843418860808015E-14</v>
      </c>
    </row>
    <row r="8" spans="1:36">
      <c r="A8" s="84">
        <f>'Q.6 Rand()'!R6</f>
        <v>3.7</v>
      </c>
      <c r="B8" s="141">
        <f>'Q.6 Rand()'!S6</f>
        <v>27.8</v>
      </c>
      <c r="C8" s="5"/>
      <c r="D8" s="23"/>
      <c r="E8" s="24"/>
      <c r="F8" s="22">
        <f t="shared" si="0"/>
        <v>0.23712737127371186</v>
      </c>
      <c r="G8" s="22">
        <f t="shared" si="3"/>
        <v>-6.9082444444444953</v>
      </c>
      <c r="H8" s="18">
        <f t="shared" si="4"/>
        <v>-1.6381338452273471</v>
      </c>
      <c r="I8" s="18">
        <f t="shared" si="5"/>
        <v>5.6229390207180791E-2</v>
      </c>
      <c r="J8" s="24"/>
      <c r="K8" s="24"/>
      <c r="L8" s="19">
        <f t="shared" si="6"/>
        <v>33.63822915886059</v>
      </c>
      <c r="M8" s="126"/>
      <c r="N8" s="126"/>
      <c r="O8" s="9">
        <f t="shared" si="1"/>
        <v>-5.8382291588605888</v>
      </c>
      <c r="P8" s="10">
        <f t="shared" si="7"/>
        <v>34.08491971137002</v>
      </c>
      <c r="Q8" s="135"/>
      <c r="R8" s="135"/>
      <c r="S8" s="135"/>
      <c r="T8" s="135"/>
      <c r="U8" s="135"/>
      <c r="V8" s="10">
        <f t="shared" si="9"/>
        <v>0.21244294998528435</v>
      </c>
      <c r="W8" s="13">
        <f t="shared" si="2"/>
        <v>1.1449327113832088</v>
      </c>
      <c r="X8" s="68"/>
      <c r="Y8" s="68"/>
      <c r="Z8" s="15">
        <f t="shared" si="8"/>
        <v>47.723841304198231</v>
      </c>
      <c r="AA8" s="62"/>
      <c r="AB8" s="62"/>
      <c r="AC8" s="135"/>
      <c r="AD8" s="62"/>
      <c r="AE8" s="112" t="s">
        <v>56</v>
      </c>
      <c r="AF8" s="109">
        <v>0.17598326899672301</v>
      </c>
      <c r="AG8" s="105">
        <v>0.65129468648712818</v>
      </c>
      <c r="AH8" s="114" t="s">
        <v>57</v>
      </c>
      <c r="AI8" s="56">
        <f>AF8-T5</f>
        <v>-2.2204460492503131E-16</v>
      </c>
      <c r="AJ8" s="56">
        <f>AG8-U5</f>
        <v>-9.9920072216264089E-16</v>
      </c>
    </row>
    <row r="9" spans="1:36" ht="18">
      <c r="A9" s="84">
        <f>'Q.6 Rand()'!R7</f>
        <v>2.5</v>
      </c>
      <c r="B9" s="141">
        <f>'Q.6 Rand()'!S7</f>
        <v>37.799999999999997</v>
      </c>
      <c r="C9" s="5"/>
      <c r="D9" s="23"/>
      <c r="E9" s="24"/>
      <c r="F9" s="22">
        <f t="shared" si="0"/>
        <v>-0.96287262872628832</v>
      </c>
      <c r="G9" s="22">
        <f t="shared" si="3"/>
        <v>3.0917555555555012</v>
      </c>
      <c r="H9" s="18">
        <f t="shared" si="4"/>
        <v>-2.9769667991568314</v>
      </c>
      <c r="I9" s="18">
        <f t="shared" si="5"/>
        <v>0.92712369915027271</v>
      </c>
      <c r="J9" s="24"/>
      <c r="K9" s="24"/>
      <c r="L9" s="19">
        <f t="shared" si="6"/>
        <v>39.053117941221217</v>
      </c>
      <c r="M9" s="126"/>
      <c r="N9" s="126"/>
      <c r="O9" s="9">
        <f t="shared" si="1"/>
        <v>-1.2531179412212197</v>
      </c>
      <c r="P9" s="10">
        <f t="shared" si="7"/>
        <v>1.5703045746105082</v>
      </c>
      <c r="Q9" s="136"/>
      <c r="R9" s="136"/>
      <c r="S9" s="364" t="s">
        <v>85</v>
      </c>
      <c r="T9" s="364"/>
      <c r="U9" s="135" t="s">
        <v>85</v>
      </c>
      <c r="V9" s="10">
        <f t="shared" si="9"/>
        <v>0.2100082431244816</v>
      </c>
      <c r="W9" s="13">
        <f t="shared" si="2"/>
        <v>18.877925702992769</v>
      </c>
      <c r="X9" s="68"/>
      <c r="Y9" s="68"/>
      <c r="Z9" s="15">
        <f t="shared" si="8"/>
        <v>9.5589524153083065</v>
      </c>
      <c r="AA9" s="62"/>
      <c r="AB9" s="62"/>
      <c r="AC9" s="62"/>
      <c r="AD9" s="62"/>
      <c r="AE9" s="112" t="s">
        <v>58</v>
      </c>
      <c r="AF9" s="110">
        <v>0.64176486797925303</v>
      </c>
      <c r="AG9" s="106">
        <v>4.4142741626448929</v>
      </c>
      <c r="AH9" s="114" t="s">
        <v>59</v>
      </c>
      <c r="AI9" s="56">
        <f>AF9-Y5</f>
        <v>1.7763568394002505E-15</v>
      </c>
      <c r="AJ9" s="56">
        <f>AG9-S5</f>
        <v>0</v>
      </c>
    </row>
    <row r="10" spans="1:36">
      <c r="A10" s="84">
        <f>'Q.6 Rand()'!R8</f>
        <v>4.4000000000000004</v>
      </c>
      <c r="B10" s="141">
        <f>'Q.6 Rand()'!S8</f>
        <v>30.562000000000001</v>
      </c>
      <c r="C10" s="5"/>
      <c r="D10" s="23"/>
      <c r="E10" s="24"/>
      <c r="F10" s="22">
        <f t="shared" si="0"/>
        <v>0.93712737127371204</v>
      </c>
      <c r="G10" s="22">
        <f t="shared" si="3"/>
        <v>-4.1462444444444948</v>
      </c>
      <c r="H10" s="18">
        <f t="shared" si="4"/>
        <v>-3.8855591568805021</v>
      </c>
      <c r="I10" s="18">
        <f t="shared" si="5"/>
        <v>0.87820770999037778</v>
      </c>
      <c r="J10" s="24"/>
      <c r="K10" s="24"/>
      <c r="L10" s="19">
        <f t="shared" si="6"/>
        <v>30.47954403581689</v>
      </c>
      <c r="M10" s="126"/>
      <c r="N10" s="126"/>
      <c r="O10" s="9">
        <f t="shared" si="1"/>
        <v>8.2455964183111519E-2</v>
      </c>
      <c r="P10" s="10">
        <f t="shared" si="7"/>
        <v>6.7989860293665699E-3</v>
      </c>
      <c r="Q10" s="136"/>
      <c r="R10" s="136"/>
      <c r="S10" s="376"/>
      <c r="T10" s="376"/>
      <c r="U10" s="136"/>
      <c r="V10" s="10">
        <f t="shared" si="9"/>
        <v>3.3151268286275654E-2</v>
      </c>
      <c r="W10" s="13">
        <f t="shared" si="2"/>
        <v>17.881907145927286</v>
      </c>
      <c r="X10" s="68"/>
      <c r="Y10" s="68"/>
      <c r="Z10" s="15">
        <f t="shared" si="8"/>
        <v>17.191342993086838</v>
      </c>
      <c r="AA10" s="62"/>
      <c r="AB10" s="62"/>
      <c r="AC10" s="62"/>
      <c r="AD10" s="62"/>
      <c r="AE10" s="112" t="s">
        <v>60</v>
      </c>
      <c r="AF10" s="110">
        <v>657.46680181759905</v>
      </c>
      <c r="AG10" s="108">
        <v>367</v>
      </c>
      <c r="AH10" s="115" t="s">
        <v>37</v>
      </c>
      <c r="AI10" s="56">
        <f>AF10-AB5</f>
        <v>2.1600499167107046E-12</v>
      </c>
      <c r="AJ10" s="56">
        <f>AG10-(C5-2)</f>
        <v>0</v>
      </c>
    </row>
    <row r="11" spans="1:36" ht="18.75" thickBot="1">
      <c r="A11" s="84">
        <f>'Q.6 Rand()'!R9</f>
        <v>2.4</v>
      </c>
      <c r="B11" s="141">
        <f>'Q.6 Rand()'!S9</f>
        <v>38.6</v>
      </c>
      <c r="C11" s="5"/>
      <c r="D11" s="23"/>
      <c r="E11" s="24"/>
      <c r="F11" s="22">
        <f t="shared" si="0"/>
        <v>-1.0628726287262884</v>
      </c>
      <c r="G11" s="22">
        <f t="shared" si="3"/>
        <v>3.8917555555555055</v>
      </c>
      <c r="H11" s="18">
        <f t="shared" si="4"/>
        <v>-4.1364404576934168</v>
      </c>
      <c r="I11" s="18">
        <f t="shared" si="5"/>
        <v>1.1296982248955305</v>
      </c>
      <c r="J11" s="119"/>
      <c r="K11" s="24"/>
      <c r="L11" s="19">
        <f t="shared" si="6"/>
        <v>39.50435867308461</v>
      </c>
      <c r="M11" s="126"/>
      <c r="N11" s="126"/>
      <c r="O11" s="9">
        <f t="shared" si="1"/>
        <v>-0.90435867308460871</v>
      </c>
      <c r="P11" s="10">
        <f t="shared" si="7"/>
        <v>0.81786460958335416</v>
      </c>
      <c r="Q11" s="136"/>
      <c r="R11" s="136"/>
      <c r="S11" s="364" t="s">
        <v>65</v>
      </c>
      <c r="T11" s="364"/>
      <c r="U11" s="135" t="s">
        <v>86</v>
      </c>
      <c r="V11" s="10">
        <f t="shared" si="9"/>
        <v>2.6979897972355055E-3</v>
      </c>
      <c r="W11" s="13">
        <f t="shared" si="2"/>
        <v>23.002711694164159</v>
      </c>
      <c r="X11" s="68"/>
      <c r="Y11" s="68"/>
      <c r="Z11" s="15">
        <f t="shared" si="8"/>
        <v>15.145761304197141</v>
      </c>
      <c r="AA11" s="62"/>
      <c r="AB11" s="62"/>
      <c r="AC11" s="62"/>
      <c r="AD11" s="62"/>
      <c r="AE11" s="113" t="s">
        <v>61</v>
      </c>
      <c r="AF11" s="111">
        <v>12811.277378132218</v>
      </c>
      <c r="AG11" s="107">
        <v>7151.2946125588969</v>
      </c>
      <c r="AH11" s="116" t="s">
        <v>62</v>
      </c>
      <c r="AI11" s="56">
        <f>AF11-X5</f>
        <v>3.637978807091713E-11</v>
      </c>
      <c r="AJ11" s="56">
        <f>AG11-Q5</f>
        <v>0</v>
      </c>
    </row>
    <row r="12" spans="1:36">
      <c r="A12" s="84">
        <f>'Q.6 Rand()'!R10</f>
        <v>4.5</v>
      </c>
      <c r="B12" s="141">
        <f>'Q.6 Rand()'!S10</f>
        <v>27.2</v>
      </c>
      <c r="C12" s="5"/>
      <c r="D12" s="23"/>
      <c r="E12" s="24"/>
      <c r="F12" s="22">
        <f t="shared" si="0"/>
        <v>1.0371273712737117</v>
      </c>
      <c r="G12" s="22">
        <f t="shared" si="3"/>
        <v>-7.5082444444444967</v>
      </c>
      <c r="H12" s="18">
        <f t="shared" si="4"/>
        <v>-7.7870058235471706</v>
      </c>
      <c r="I12" s="18">
        <f t="shared" si="5"/>
        <v>1.0756331842451194</v>
      </c>
      <c r="J12" s="24"/>
      <c r="K12" s="24"/>
      <c r="L12" s="19">
        <f t="shared" si="6"/>
        <v>30.028303303953507</v>
      </c>
      <c r="M12" s="126"/>
      <c r="N12" s="126"/>
      <c r="O12" s="9">
        <f t="shared" si="1"/>
        <v>-2.8283033039535077</v>
      </c>
      <c r="P12" s="10">
        <f t="shared" si="7"/>
        <v>7.9992995791543278</v>
      </c>
      <c r="Q12" s="136"/>
      <c r="R12" s="136"/>
      <c r="S12" s="376"/>
      <c r="T12" s="376"/>
      <c r="U12" s="135"/>
      <c r="V12" s="10">
        <f t="shared" si="9"/>
        <v>2.3428981167995043E-2</v>
      </c>
      <c r="W12" s="13">
        <f t="shared" si="2"/>
        <v>21.901849078460099</v>
      </c>
      <c r="X12" s="68"/>
      <c r="Y12" s="68"/>
      <c r="Z12" s="15">
        <f t="shared" si="8"/>
        <v>56.373734637531648</v>
      </c>
      <c r="AA12" s="62"/>
      <c r="AB12" s="62"/>
      <c r="AC12" s="62"/>
      <c r="AD12" s="62"/>
      <c r="AE12" s="62"/>
      <c r="AF12" s="62"/>
      <c r="AG12" s="62"/>
      <c r="AH12" s="62"/>
      <c r="AI12" s="62"/>
    </row>
    <row r="13" spans="1:36">
      <c r="A13" s="84">
        <f>'Q.6 Rand()'!R11</f>
        <v>3.6</v>
      </c>
      <c r="B13" s="141">
        <f>'Q.6 Rand()'!S11</f>
        <v>37</v>
      </c>
      <c r="C13" s="5"/>
      <c r="D13" s="23"/>
      <c r="E13" s="24"/>
      <c r="F13" s="22">
        <f t="shared" si="0"/>
        <v>0.13712737127371177</v>
      </c>
      <c r="G13" s="22">
        <f t="shared" si="3"/>
        <v>2.291755555555504</v>
      </c>
      <c r="H13" s="18">
        <f t="shared" si="4"/>
        <v>0.3142624149352512</v>
      </c>
      <c r="I13" s="18">
        <f t="shared" si="5"/>
        <v>1.8803915952438393E-2</v>
      </c>
      <c r="J13" s="24"/>
      <c r="K13" s="24"/>
      <c r="L13" s="19">
        <f t="shared" si="6"/>
        <v>34.089469890723976</v>
      </c>
      <c r="M13" s="126"/>
      <c r="N13" s="126"/>
      <c r="O13" s="9">
        <f t="shared" si="1"/>
        <v>2.9105301092760243</v>
      </c>
      <c r="P13" s="10">
        <f t="shared" si="7"/>
        <v>8.471185517002306</v>
      </c>
      <c r="Q13" s="136"/>
      <c r="R13" s="136"/>
      <c r="S13" s="377" t="s">
        <v>24</v>
      </c>
      <c r="T13" s="364"/>
      <c r="U13" s="135" t="s">
        <v>84</v>
      </c>
      <c r="V13" s="10">
        <f t="shared" si="9"/>
        <v>0.10398173911593779</v>
      </c>
      <c r="W13" s="13">
        <f t="shared" si="2"/>
        <v>0.38288194833202899</v>
      </c>
      <c r="X13" s="68"/>
      <c r="Y13" s="68"/>
      <c r="Z13" s="15">
        <f t="shared" si="8"/>
        <v>5.2521435264195171</v>
      </c>
      <c r="AA13" s="62"/>
      <c r="AB13" s="62"/>
      <c r="AC13" s="62"/>
      <c r="AD13" s="62"/>
      <c r="AE13" s="62"/>
      <c r="AF13" s="62"/>
      <c r="AG13" s="62"/>
      <c r="AH13" s="62"/>
      <c r="AI13" s="62"/>
    </row>
    <row r="14" spans="1:36">
      <c r="A14" s="84">
        <f>'Q.6 Rand()'!R12</f>
        <v>2.4</v>
      </c>
      <c r="B14" s="141">
        <f>'Q.6 Rand()'!S12</f>
        <v>36.262799999999999</v>
      </c>
      <c r="C14" s="5"/>
      <c r="D14" s="23"/>
      <c r="E14" s="24"/>
      <c r="F14" s="22">
        <f t="shared" si="0"/>
        <v>-1.0628726287262884</v>
      </c>
      <c r="G14" s="22">
        <f t="shared" si="3"/>
        <v>1.5545555555555026</v>
      </c>
      <c r="H14" s="18">
        <f t="shared" si="4"/>
        <v>-1.6522945498343327</v>
      </c>
      <c r="I14" s="18">
        <f t="shared" si="5"/>
        <v>1.1296982248955305</v>
      </c>
      <c r="J14" s="24"/>
      <c r="K14" s="24"/>
      <c r="L14" s="19">
        <f t="shared" si="6"/>
        <v>39.50435867308461</v>
      </c>
      <c r="M14" s="126"/>
      <c r="N14" s="126"/>
      <c r="O14" s="9">
        <f t="shared" si="1"/>
        <v>-3.2415586730846115</v>
      </c>
      <c r="P14" s="10">
        <f t="shared" si="7"/>
        <v>10.507702631050067</v>
      </c>
      <c r="Q14" s="136"/>
      <c r="R14" s="136"/>
      <c r="S14" s="376"/>
      <c r="T14" s="376"/>
      <c r="U14" s="135"/>
      <c r="V14" s="10">
        <f t="shared" si="9"/>
        <v>7.8662975926379039E-2</v>
      </c>
      <c r="W14" s="13">
        <f t="shared" si="2"/>
        <v>23.002711694164159</v>
      </c>
      <c r="X14" s="68"/>
      <c r="Y14" s="68"/>
      <c r="Z14" s="15">
        <f t="shared" si="8"/>
        <v>2.4166429753084775</v>
      </c>
      <c r="AA14" s="62"/>
      <c r="AB14" s="67"/>
      <c r="AC14" s="62"/>
      <c r="AD14" s="62"/>
      <c r="AE14" s="62"/>
      <c r="AF14" s="62"/>
      <c r="AG14" s="62"/>
      <c r="AH14" s="62"/>
      <c r="AI14" s="62"/>
    </row>
    <row r="15" spans="1:36">
      <c r="A15" s="84">
        <f>'Q.6 Rand()'!R13</f>
        <v>3</v>
      </c>
      <c r="B15" s="141">
        <f>'Q.6 Rand()'!S13</f>
        <v>35.540399999999998</v>
      </c>
      <c r="C15" s="5"/>
      <c r="D15" s="23"/>
      <c r="E15" s="24"/>
      <c r="F15" s="22">
        <f t="shared" si="0"/>
        <v>-0.46287262872628832</v>
      </c>
      <c r="G15" s="22">
        <f t="shared" si="3"/>
        <v>0.83215555555550225</v>
      </c>
      <c r="H15" s="18">
        <f t="shared" si="4"/>
        <v>-0.3851820295091602</v>
      </c>
      <c r="I15" s="18">
        <f t="shared" si="5"/>
        <v>0.21425107042398434</v>
      </c>
      <c r="J15" s="24"/>
      <c r="K15" s="24"/>
      <c r="L15" s="19">
        <f t="shared" si="6"/>
        <v>36.796914281904293</v>
      </c>
      <c r="M15" s="126"/>
      <c r="N15" s="126"/>
      <c r="O15" s="9">
        <f t="shared" si="1"/>
        <v>-1.2565142819042947</v>
      </c>
      <c r="P15" s="10">
        <f t="shared" si="7"/>
        <v>1.5788281406294653</v>
      </c>
      <c r="Q15" s="136"/>
      <c r="R15" s="102"/>
      <c r="S15" s="377" t="s">
        <v>67</v>
      </c>
      <c r="T15" s="364"/>
      <c r="U15" s="135" t="s">
        <v>54</v>
      </c>
      <c r="V15" s="10">
        <f t="shared" si="9"/>
        <v>8.9390744043058218E-2</v>
      </c>
      <c r="W15" s="13">
        <f t="shared" si="2"/>
        <v>4.3625416899143348</v>
      </c>
      <c r="X15" s="68"/>
      <c r="Y15" s="68"/>
      <c r="Z15" s="15">
        <f t="shared" si="8"/>
        <v>0.69248286864188657</v>
      </c>
      <c r="AA15" s="62"/>
      <c r="AB15" s="67"/>
      <c r="AC15" s="62"/>
      <c r="AD15" s="62"/>
      <c r="AE15" s="62"/>
      <c r="AF15" s="62"/>
      <c r="AG15" s="62"/>
      <c r="AH15" s="62"/>
      <c r="AI15" s="62"/>
    </row>
    <row r="16" spans="1:36">
      <c r="A16" s="84">
        <f>'Q.6 Rand()'!R14</f>
        <v>4.7</v>
      </c>
      <c r="B16" s="141">
        <f>'Q.6 Rand()'!S14</f>
        <v>25.6</v>
      </c>
      <c r="C16" s="5"/>
      <c r="D16" s="23"/>
      <c r="E16" s="24"/>
      <c r="F16" s="22">
        <f t="shared" si="0"/>
        <v>1.2371273712737119</v>
      </c>
      <c r="G16" s="22">
        <f t="shared" si="3"/>
        <v>-9.1082444444444945</v>
      </c>
      <c r="H16" s="18">
        <f t="shared" si="4"/>
        <v>-11.268058506474008</v>
      </c>
      <c r="I16" s="18">
        <f t="shared" si="5"/>
        <v>1.5304841327546046</v>
      </c>
      <c r="J16" s="24"/>
      <c r="K16" s="24"/>
      <c r="L16" s="19">
        <f t="shared" si="6"/>
        <v>29.125821840226735</v>
      </c>
      <c r="M16" s="126"/>
      <c r="N16" s="126"/>
      <c r="O16" s="9">
        <f t="shared" si="1"/>
        <v>-3.5258218402267332</v>
      </c>
      <c r="P16" s="10">
        <f t="shared" si="7"/>
        <v>12.431419649019826</v>
      </c>
      <c r="Q16" s="136"/>
      <c r="R16" s="136"/>
      <c r="S16" s="376"/>
      <c r="T16" s="376"/>
      <c r="U16" s="136"/>
      <c r="V16" s="10">
        <f t="shared" si="9"/>
        <v>3.5354534048696547E-2</v>
      </c>
      <c r="W16" s="13">
        <f t="shared" si="2"/>
        <v>31.163442132081414</v>
      </c>
      <c r="X16" s="68"/>
      <c r="Y16" s="68"/>
      <c r="Z16" s="15">
        <f t="shared" si="8"/>
        <v>82.960116859753995</v>
      </c>
      <c r="AA16" s="62"/>
      <c r="AB16" s="62"/>
      <c r="AC16" s="62"/>
      <c r="AD16" s="62"/>
      <c r="AE16" s="62"/>
      <c r="AF16" s="62"/>
      <c r="AG16" s="62"/>
      <c r="AH16" s="62"/>
      <c r="AI16" s="62"/>
    </row>
    <row r="17" spans="1:35">
      <c r="A17" s="84">
        <f>'Q.6 Rand()'!R15</f>
        <v>1.5</v>
      </c>
      <c r="B17" s="141">
        <f>'Q.6 Rand()'!S15</f>
        <v>50.672499999999999</v>
      </c>
      <c r="C17" s="5"/>
      <c r="D17" s="23"/>
      <c r="E17" s="24"/>
      <c r="F17" s="22">
        <f t="shared" si="0"/>
        <v>-1.9628726287262883</v>
      </c>
      <c r="G17" s="22">
        <f t="shared" si="3"/>
        <v>15.964255555555503</v>
      </c>
      <c r="H17" s="18">
        <f t="shared" si="4"/>
        <v>-31.335800267991484</v>
      </c>
      <c r="I17" s="18">
        <f t="shared" si="5"/>
        <v>3.8528689566028493</v>
      </c>
      <c r="J17" s="24"/>
      <c r="K17" s="24"/>
      <c r="L17" s="19">
        <f t="shared" si="6"/>
        <v>43.565525259855079</v>
      </c>
      <c r="M17" s="126"/>
      <c r="N17" s="126"/>
      <c r="O17" s="9">
        <f t="shared" si="1"/>
        <v>7.1069747401449206</v>
      </c>
      <c r="P17" s="10">
        <f t="shared" si="7"/>
        <v>50.509089957057959</v>
      </c>
      <c r="Q17" s="136"/>
      <c r="R17" s="136"/>
      <c r="S17" s="364" t="s">
        <v>79</v>
      </c>
      <c r="T17" s="364"/>
      <c r="U17" s="136"/>
      <c r="V17" s="10">
        <f t="shared" si="9"/>
        <v>0.13772741563385676</v>
      </c>
      <c r="W17" s="13">
        <f t="shared" si="2"/>
        <v>78.451423443040355</v>
      </c>
      <c r="X17" s="68"/>
      <c r="Y17" s="68"/>
      <c r="Z17" s="15">
        <f t="shared" si="8"/>
        <v>254.85745544308475</v>
      </c>
      <c r="AA17" s="62"/>
      <c r="AB17" s="97"/>
      <c r="AC17" s="62"/>
      <c r="AD17" s="62"/>
      <c r="AE17" s="62"/>
      <c r="AF17" s="62"/>
      <c r="AG17" s="62"/>
      <c r="AH17" s="62"/>
      <c r="AI17" s="62"/>
    </row>
    <row r="18" spans="1:35">
      <c r="A18" s="84">
        <f>'Q.6 Rand()'!R16</f>
        <v>4.8</v>
      </c>
      <c r="B18" s="141">
        <f>'Q.6 Rand()'!S16</f>
        <v>30.537500000000001</v>
      </c>
      <c r="C18" s="5"/>
      <c r="D18" s="23"/>
      <c r="E18" s="24"/>
      <c r="F18" s="22">
        <f t="shared" si="0"/>
        <v>1.3371273712737115</v>
      </c>
      <c r="G18" s="22">
        <f t="shared" si="3"/>
        <v>-4.1707444444444945</v>
      </c>
      <c r="H18" s="18">
        <f t="shared" si="4"/>
        <v>-5.5768165552545037</v>
      </c>
      <c r="I18" s="18">
        <f t="shared" si="5"/>
        <v>1.7879096070093459</v>
      </c>
      <c r="J18" s="24"/>
      <c r="K18" s="24"/>
      <c r="L18" s="19">
        <f t="shared" si="6"/>
        <v>28.674581108363348</v>
      </c>
      <c r="M18" s="126"/>
      <c r="N18" s="126"/>
      <c r="O18" s="9">
        <f t="shared" si="1"/>
        <v>1.862918891636653</v>
      </c>
      <c r="P18" s="10">
        <f t="shared" si="7"/>
        <v>3.4704667968167358</v>
      </c>
      <c r="Q18" s="136"/>
      <c r="R18" s="136"/>
      <c r="S18" s="376"/>
      <c r="T18" s="376"/>
      <c r="U18" s="136"/>
      <c r="V18" s="10">
        <f t="shared" si="9"/>
        <v>0.14025309073254569</v>
      </c>
      <c r="W18" s="13">
        <f t="shared" si="2"/>
        <v>36.405093253169881</v>
      </c>
      <c r="X18" s="68"/>
      <c r="Y18" s="68"/>
      <c r="Z18" s="15">
        <f t="shared" si="8"/>
        <v>17.395109220864615</v>
      </c>
      <c r="AA18" s="62"/>
      <c r="AB18" s="62"/>
      <c r="AC18" s="62"/>
      <c r="AD18" s="62"/>
      <c r="AE18" s="62"/>
      <c r="AF18" s="62"/>
      <c r="AG18" s="62"/>
      <c r="AH18" s="62"/>
      <c r="AI18" s="62"/>
    </row>
    <row r="19" spans="1:35">
      <c r="A19" s="84">
        <f>'Q.6 Rand()'!R17</f>
        <v>2.4</v>
      </c>
      <c r="B19" s="141">
        <f>'Q.6 Rand()'!S17</f>
        <v>37.976399999999998</v>
      </c>
      <c r="C19" s="5"/>
      <c r="D19" s="23"/>
      <c r="E19" s="24"/>
      <c r="F19" s="22">
        <f t="shared" si="0"/>
        <v>-1.0628726287262884</v>
      </c>
      <c r="G19" s="22">
        <f t="shared" si="3"/>
        <v>3.2681555555555022</v>
      </c>
      <c r="H19" s="18">
        <f t="shared" si="4"/>
        <v>-3.4736330864197003</v>
      </c>
      <c r="I19" s="18">
        <f t="shared" si="5"/>
        <v>1.1296982248955305</v>
      </c>
      <c r="J19" s="24"/>
      <c r="K19" s="24"/>
      <c r="L19" s="19">
        <f t="shared" si="6"/>
        <v>39.50435867308461</v>
      </c>
      <c r="M19" s="126"/>
      <c r="N19" s="126"/>
      <c r="O19" s="9">
        <f t="shared" si="1"/>
        <v>-1.527958673084612</v>
      </c>
      <c r="P19" s="10">
        <f t="shared" si="7"/>
        <v>2.3346577066544882</v>
      </c>
      <c r="Q19" s="136"/>
      <c r="R19" s="103"/>
      <c r="S19" s="104" t="s">
        <v>50</v>
      </c>
      <c r="T19" s="136" t="s">
        <v>73</v>
      </c>
      <c r="U19" s="136"/>
      <c r="V19" s="10">
        <f t="shared" si="9"/>
        <v>6.100430263239142E-2</v>
      </c>
      <c r="W19" s="13">
        <f t="shared" si="2"/>
        <v>23.002711694164159</v>
      </c>
      <c r="X19" s="68"/>
      <c r="Y19" s="68"/>
      <c r="Z19" s="15">
        <f t="shared" si="8"/>
        <v>10.680840735308292</v>
      </c>
      <c r="AA19" s="62"/>
      <c r="AB19" s="62"/>
      <c r="AC19" s="62"/>
      <c r="AD19" s="62"/>
      <c r="AE19" s="62"/>
      <c r="AF19" s="62"/>
      <c r="AG19" s="62"/>
      <c r="AH19" s="62"/>
      <c r="AI19" s="62"/>
    </row>
    <row r="20" spans="1:35">
      <c r="A20" s="84">
        <f>'Q.6 Rand()'!R18</f>
        <v>5.3</v>
      </c>
      <c r="B20" s="141">
        <f>'Q.6 Rand()'!S18</f>
        <v>26.6</v>
      </c>
      <c r="C20" s="5"/>
      <c r="D20" s="23"/>
      <c r="E20" s="24"/>
      <c r="F20" s="22">
        <f t="shared" si="0"/>
        <v>1.8371273712737115</v>
      </c>
      <c r="G20" s="22">
        <f t="shared" si="3"/>
        <v>-8.1082444444444945</v>
      </c>
      <c r="H20" s="18">
        <f t="shared" si="4"/>
        <v>-14.895877801866989</v>
      </c>
      <c r="I20" s="18">
        <f t="shared" si="5"/>
        <v>3.3750369782830574</v>
      </c>
      <c r="J20" s="24"/>
      <c r="K20" s="24"/>
      <c r="L20" s="19">
        <f t="shared" si="6"/>
        <v>26.418377449046421</v>
      </c>
      <c r="M20" s="126"/>
      <c r="N20" s="126"/>
      <c r="O20" s="9">
        <f t="shared" si="1"/>
        <v>0.18162255095358049</v>
      </c>
      <c r="P20" s="10">
        <f t="shared" si="7"/>
        <v>3.2986751014885941E-2</v>
      </c>
      <c r="Q20" s="136"/>
      <c r="R20" s="136"/>
      <c r="S20" s="136"/>
      <c r="T20" s="136"/>
      <c r="U20" s="136"/>
      <c r="V20" s="10">
        <f t="shared" si="9"/>
        <v>4.0234426461818712E-2</v>
      </c>
      <c r="W20" s="13">
        <f t="shared" si="2"/>
        <v>68.721894801390306</v>
      </c>
      <c r="X20" s="68"/>
      <c r="Y20" s="68"/>
      <c r="Z20" s="15">
        <f t="shared" si="8"/>
        <v>65.743627970865006</v>
      </c>
      <c r="AA20" s="62"/>
      <c r="AB20" s="62"/>
      <c r="AC20" s="62"/>
      <c r="AD20" s="62"/>
      <c r="AE20" s="62"/>
      <c r="AF20" s="62"/>
      <c r="AG20" s="62"/>
      <c r="AH20" s="62"/>
      <c r="AI20" s="62"/>
    </row>
    <row r="21" spans="1:35">
      <c r="A21" s="84">
        <f>'Q.6 Rand()'!R19</f>
        <v>2</v>
      </c>
      <c r="B21" s="141">
        <f>'Q.6 Rand()'!S19</f>
        <v>47.7</v>
      </c>
      <c r="C21" s="5"/>
      <c r="D21" s="23"/>
      <c r="E21" s="24"/>
      <c r="F21" s="22">
        <f t="shared" si="0"/>
        <v>-1.4628726287262883</v>
      </c>
      <c r="G21" s="22">
        <f t="shared" si="3"/>
        <v>12.991755555555507</v>
      </c>
      <c r="H21" s="18">
        <f t="shared" si="4"/>
        <v>-19.005283601324845</v>
      </c>
      <c r="I21" s="18">
        <f t="shared" si="5"/>
        <v>2.139996327876561</v>
      </c>
      <c r="J21" s="24"/>
      <c r="K21" s="24"/>
      <c r="L21" s="19">
        <f t="shared" si="6"/>
        <v>41.309321600538148</v>
      </c>
      <c r="M21" s="126"/>
      <c r="N21" s="126"/>
      <c r="O21" s="9">
        <f t="shared" si="1"/>
        <v>6.390678399461855</v>
      </c>
      <c r="P21" s="10">
        <f t="shared" si="7"/>
        <v>40.840770405348337</v>
      </c>
      <c r="Q21" s="136"/>
      <c r="R21" s="136"/>
      <c r="S21" s="136"/>
      <c r="T21" s="136"/>
      <c r="U21" s="136"/>
      <c r="V21" s="10">
        <f t="shared" si="9"/>
        <v>6.827915449382725E-3</v>
      </c>
      <c r="W21" s="13">
        <f t="shared" si="2"/>
        <v>43.574219620701456</v>
      </c>
      <c r="X21" s="68"/>
      <c r="Y21" s="68"/>
      <c r="Z21" s="15">
        <f t="shared" si="8"/>
        <v>168.78571241530739</v>
      </c>
      <c r="AA21" s="62"/>
      <c r="AB21" s="62"/>
      <c r="AC21" s="62"/>
      <c r="AD21" s="62"/>
      <c r="AE21" s="62"/>
      <c r="AF21" s="62"/>
      <c r="AG21" s="62"/>
      <c r="AH21" s="62"/>
      <c r="AI21" s="62"/>
    </row>
    <row r="22" spans="1:35">
      <c r="A22" s="84">
        <f>'Q.6 Rand()'!R20</f>
        <v>4</v>
      </c>
      <c r="B22" s="141">
        <f>'Q.6 Rand()'!S20</f>
        <v>24.4</v>
      </c>
      <c r="C22" s="5"/>
      <c r="D22" s="23"/>
      <c r="E22" s="24"/>
      <c r="F22" s="22">
        <f t="shared" si="0"/>
        <v>0.53712737127371168</v>
      </c>
      <c r="G22" s="22">
        <f t="shared" si="3"/>
        <v>-10.308244444444497</v>
      </c>
      <c r="H22" s="18">
        <f t="shared" si="4"/>
        <v>-5.5368402408913155</v>
      </c>
      <c r="I22" s="18">
        <f t="shared" si="5"/>
        <v>0.2885058129714077</v>
      </c>
      <c r="J22" s="24"/>
      <c r="K22" s="24"/>
      <c r="L22" s="19">
        <f t="shared" si="6"/>
        <v>32.284506963270431</v>
      </c>
      <c r="M22" s="126"/>
      <c r="N22" s="126"/>
      <c r="O22" s="9">
        <f t="shared" si="1"/>
        <v>-7.8845069632704323</v>
      </c>
      <c r="P22" s="10">
        <f t="shared" si="7"/>
        <v>62.165450053859935</v>
      </c>
      <c r="Q22" s="136"/>
      <c r="R22" s="136"/>
      <c r="S22" s="136"/>
      <c r="T22" s="136"/>
      <c r="U22" s="136"/>
      <c r="V22" s="10">
        <f t="shared" si="9"/>
        <v>0.13397648636188375</v>
      </c>
      <c r="W22" s="13">
        <f t="shared" si="2"/>
        <v>5.8745033776480016</v>
      </c>
      <c r="X22" s="68"/>
      <c r="Y22" s="68"/>
      <c r="Z22" s="15">
        <f t="shared" si="8"/>
        <v>106.25990352642084</v>
      </c>
      <c r="AA22" s="135"/>
      <c r="AB22" s="62"/>
      <c r="AC22" s="62"/>
      <c r="AD22" s="62"/>
      <c r="AE22" s="62"/>
      <c r="AF22" s="62"/>
      <c r="AG22" s="62"/>
      <c r="AH22" s="62"/>
      <c r="AI22" s="62"/>
    </row>
    <row r="23" spans="1:35">
      <c r="A23" s="84">
        <f>'Q.6 Rand()'!R21</f>
        <v>4.3</v>
      </c>
      <c r="B23" s="141">
        <f>'Q.6 Rand()'!S21</f>
        <v>31.6</v>
      </c>
      <c r="C23" s="5"/>
      <c r="D23" s="23"/>
      <c r="E23" s="24"/>
      <c r="F23" s="22">
        <f t="shared" si="0"/>
        <v>0.83712737127371151</v>
      </c>
      <c r="G23" s="22">
        <f t="shared" si="3"/>
        <v>-3.1082444444444945</v>
      </c>
      <c r="H23" s="18">
        <f t="shared" si="4"/>
        <v>-2.6019965010539376</v>
      </c>
      <c r="I23" s="18">
        <f t="shared" si="5"/>
        <v>0.70078223573563447</v>
      </c>
      <c r="J23" s="24"/>
      <c r="K23" s="24"/>
      <c r="L23" s="19">
        <f t="shared" si="6"/>
        <v>30.930784767680279</v>
      </c>
      <c r="M23" s="126"/>
      <c r="N23" s="126"/>
      <c r="O23" s="9">
        <f t="shared" si="1"/>
        <v>0.66921523231972202</v>
      </c>
      <c r="P23" s="10">
        <f t="shared" si="7"/>
        <v>0.44784902716873953</v>
      </c>
      <c r="Q23" s="136"/>
      <c r="R23" s="136"/>
      <c r="S23" s="136"/>
      <c r="T23" s="136"/>
      <c r="U23" s="136"/>
      <c r="V23" s="10">
        <f t="shared" si="9"/>
        <v>0.32313553128157513</v>
      </c>
      <c r="W23" s="13">
        <f t="shared" si="2"/>
        <v>14.269201609579619</v>
      </c>
      <c r="X23" s="68"/>
      <c r="Y23" s="68"/>
      <c r="Z23" s="15">
        <f t="shared" si="8"/>
        <v>9.6611835264200643</v>
      </c>
      <c r="AA23" s="135"/>
      <c r="AB23" s="62"/>
      <c r="AC23" s="62"/>
      <c r="AD23" s="62"/>
      <c r="AE23" s="62"/>
      <c r="AF23" s="62"/>
      <c r="AG23" s="62"/>
      <c r="AH23" s="62"/>
      <c r="AI23" s="62"/>
    </row>
    <row r="24" spans="1:35">
      <c r="A24" s="84">
        <f>'Q.6 Rand()'!R22</f>
        <v>2.5</v>
      </c>
      <c r="B24" s="141">
        <f>'Q.6 Rand()'!S22</f>
        <v>37.5</v>
      </c>
      <c r="C24" s="5"/>
      <c r="D24" s="23"/>
      <c r="E24" s="24"/>
      <c r="F24" s="22">
        <f t="shared" si="0"/>
        <v>-0.96287262872628832</v>
      </c>
      <c r="G24" s="22">
        <f t="shared" si="3"/>
        <v>2.791755555555504</v>
      </c>
      <c r="H24" s="18">
        <f t="shared" si="4"/>
        <v>-2.6881050105389477</v>
      </c>
      <c r="I24" s="18">
        <f t="shared" si="5"/>
        <v>0.92712369915027271</v>
      </c>
      <c r="J24" s="24"/>
      <c r="K24" s="24"/>
      <c r="L24" s="19">
        <f t="shared" si="6"/>
        <v>39.053117941221217</v>
      </c>
      <c r="M24" s="126"/>
      <c r="N24" s="126"/>
      <c r="O24" s="9">
        <f t="shared" si="1"/>
        <v>-1.5531179412212168</v>
      </c>
      <c r="P24" s="10">
        <f t="shared" si="7"/>
        <v>2.4121753393432313</v>
      </c>
      <c r="Q24" s="135"/>
      <c r="R24" s="135"/>
      <c r="S24" s="135"/>
      <c r="T24" s="135"/>
      <c r="U24" s="135"/>
      <c r="V24" s="10">
        <f t="shared" si="9"/>
        <v>2.1177697225307657E-2</v>
      </c>
      <c r="W24" s="13">
        <f t="shared" si="2"/>
        <v>18.877925702992769</v>
      </c>
      <c r="X24" s="68"/>
      <c r="Y24" s="68"/>
      <c r="Z24" s="15">
        <f t="shared" si="8"/>
        <v>7.7938990819750211</v>
      </c>
      <c r="AA24" s="135"/>
      <c r="AB24" s="135"/>
      <c r="AC24" s="62"/>
      <c r="AD24" s="62"/>
      <c r="AE24" s="62"/>
      <c r="AF24" s="62"/>
      <c r="AG24" s="62"/>
      <c r="AH24" s="62"/>
      <c r="AI24" s="62"/>
    </row>
    <row r="25" spans="1:35">
      <c r="A25" s="84">
        <f>'Q.6 Rand()'!R23</f>
        <v>1.6</v>
      </c>
      <c r="B25" s="141">
        <f>'Q.6 Rand()'!S23</f>
        <v>44.571399999999997</v>
      </c>
      <c r="C25" s="5"/>
      <c r="D25" s="23"/>
      <c r="E25" s="24"/>
      <c r="F25" s="22">
        <f t="shared" si="0"/>
        <v>-1.8628726287262882</v>
      </c>
      <c r="G25" s="22">
        <f t="shared" si="3"/>
        <v>9.8631555555555011</v>
      </c>
      <c r="H25" s="18">
        <f t="shared" si="4"/>
        <v>-18.373802517313969</v>
      </c>
      <c r="I25" s="18">
        <f t="shared" si="5"/>
        <v>3.4702944308575914</v>
      </c>
      <c r="J25" s="24"/>
      <c r="K25" s="24"/>
      <c r="L25" s="19">
        <f t="shared" si="6"/>
        <v>43.114284527991693</v>
      </c>
      <c r="M25" s="126"/>
      <c r="N25" s="126"/>
      <c r="O25" s="9">
        <f t="shared" si="1"/>
        <v>1.4571154720083044</v>
      </c>
      <c r="P25" s="10">
        <f t="shared" si="7"/>
        <v>2.1231854987659835</v>
      </c>
      <c r="Q25" s="135"/>
      <c r="R25" s="135"/>
      <c r="S25" s="135"/>
      <c r="T25" s="135"/>
      <c r="U25" s="135"/>
      <c r="V25" s="10">
        <f t="shared" si="9"/>
        <v>4.1416478432565781E-2</v>
      </c>
      <c r="W25" s="13">
        <f t="shared" si="2"/>
        <v>70.661509886202168</v>
      </c>
      <c r="X25" s="68"/>
      <c r="Y25" s="68"/>
      <c r="Z25" s="15">
        <f t="shared" si="8"/>
        <v>97.28183751308535</v>
      </c>
      <c r="AA25" s="135"/>
      <c r="AB25" s="135"/>
      <c r="AC25" s="62"/>
      <c r="AD25" s="62"/>
      <c r="AE25" s="62"/>
      <c r="AF25" s="62"/>
      <c r="AG25" s="62"/>
      <c r="AH25" s="62"/>
      <c r="AI25" s="62"/>
    </row>
    <row r="26" spans="1:35">
      <c r="A26" s="84">
        <f>'Q.6 Rand()'!R24</f>
        <v>2.4</v>
      </c>
      <c r="B26" s="141">
        <f>'Q.6 Rand()'!S24</f>
        <v>33.6</v>
      </c>
      <c r="C26" s="5"/>
      <c r="D26" s="23"/>
      <c r="E26" s="24"/>
      <c r="F26" s="22">
        <f t="shared" si="0"/>
        <v>-1.0628726287262884</v>
      </c>
      <c r="G26" s="22">
        <f t="shared" si="3"/>
        <v>-1.1082444444444945</v>
      </c>
      <c r="H26" s="18">
        <f t="shared" si="4"/>
        <v>1.177922685938025</v>
      </c>
      <c r="I26" s="18">
        <f t="shared" si="5"/>
        <v>1.1296982248955305</v>
      </c>
      <c r="J26" s="24"/>
      <c r="K26" s="24"/>
      <c r="L26" s="19">
        <f t="shared" si="6"/>
        <v>39.50435867308461</v>
      </c>
      <c r="M26" s="126"/>
      <c r="N26" s="126"/>
      <c r="O26" s="9">
        <f t="shared" si="1"/>
        <v>-5.9043586730846087</v>
      </c>
      <c r="P26" s="10">
        <f t="shared" si="7"/>
        <v>34.86145134042944</v>
      </c>
      <c r="Q26" s="135"/>
      <c r="R26" s="135"/>
      <c r="S26" s="135"/>
      <c r="T26" s="135"/>
      <c r="U26" s="135"/>
      <c r="V26" s="10">
        <f t="shared" si="9"/>
        <v>3.2691714238464675E-2</v>
      </c>
      <c r="W26" s="13">
        <f t="shared" si="2"/>
        <v>23.002711694164159</v>
      </c>
      <c r="X26" s="68"/>
      <c r="Y26" s="68"/>
      <c r="Z26" s="15">
        <f t="shared" si="8"/>
        <v>1.2282057486420863</v>
      </c>
      <c r="AA26" s="135"/>
      <c r="AB26" s="135"/>
      <c r="AC26" s="62"/>
      <c r="AD26" s="62"/>
      <c r="AE26" s="62"/>
      <c r="AF26" s="62"/>
      <c r="AG26" s="62"/>
      <c r="AH26" s="62"/>
      <c r="AI26" s="62"/>
    </row>
    <row r="27" spans="1:35">
      <c r="A27" s="84">
        <f>'Q.6 Rand()'!R25</f>
        <v>3</v>
      </c>
      <c r="B27" s="141">
        <f>'Q.6 Rand()'!S25</f>
        <v>39.710299999999997</v>
      </c>
      <c r="C27" s="5"/>
      <c r="D27" s="23"/>
      <c r="E27" s="24"/>
      <c r="F27" s="22">
        <f t="shared" si="0"/>
        <v>-0.46287262872628832</v>
      </c>
      <c r="G27" s="22">
        <f t="shared" si="3"/>
        <v>5.0020555555555006</v>
      </c>
      <c r="H27" s="18">
        <f t="shared" si="4"/>
        <v>-2.3153146040349091</v>
      </c>
      <c r="I27" s="18">
        <f t="shared" si="5"/>
        <v>0.21425107042398434</v>
      </c>
      <c r="J27" s="24"/>
      <c r="K27" s="24"/>
      <c r="L27" s="19">
        <f t="shared" si="6"/>
        <v>36.796914281904293</v>
      </c>
      <c r="M27" s="126"/>
      <c r="N27" s="126"/>
      <c r="O27" s="9">
        <f t="shared" si="1"/>
        <v>2.9133857180957037</v>
      </c>
      <c r="P27" s="10">
        <f t="shared" si="7"/>
        <v>8.4878163424040185</v>
      </c>
      <c r="Q27" s="135"/>
      <c r="R27" s="135"/>
      <c r="S27" s="135"/>
      <c r="T27" s="135"/>
      <c r="U27" s="135"/>
      <c r="V27" s="10">
        <f t="shared" si="9"/>
        <v>0.1757249605084705</v>
      </c>
      <c r="W27" s="13">
        <f t="shared" si="2"/>
        <v>4.3625416899143348</v>
      </c>
      <c r="X27" s="68"/>
      <c r="Y27" s="68"/>
      <c r="Z27" s="15">
        <f t="shared" si="8"/>
        <v>25.02055978086365</v>
      </c>
      <c r="AA27" s="135"/>
      <c r="AB27" s="135"/>
      <c r="AC27" s="62"/>
      <c r="AD27" s="62"/>
      <c r="AE27" s="62"/>
      <c r="AF27" s="62"/>
      <c r="AG27" s="62"/>
      <c r="AH27" s="62"/>
      <c r="AI27" s="62"/>
    </row>
    <row r="28" spans="1:35">
      <c r="A28" s="84">
        <f>'Q.6 Rand()'!R26</f>
        <v>2.2000000000000002</v>
      </c>
      <c r="B28" s="141">
        <f>'Q.6 Rand()'!S26</f>
        <v>42.399099999999997</v>
      </c>
      <c r="C28" s="5"/>
      <c r="D28" s="23"/>
      <c r="E28" s="24"/>
      <c r="F28" s="22">
        <f t="shared" si="0"/>
        <v>-1.2628726287262881</v>
      </c>
      <c r="G28" s="22">
        <f t="shared" si="3"/>
        <v>7.6908555555555012</v>
      </c>
      <c r="H28" s="18">
        <f t="shared" si="4"/>
        <v>-9.7125709725985523</v>
      </c>
      <c r="I28" s="18">
        <f t="shared" si="5"/>
        <v>1.5948472763860453</v>
      </c>
      <c r="J28" s="24"/>
      <c r="K28" s="24"/>
      <c r="L28" s="19">
        <f t="shared" si="6"/>
        <v>40.406840136811375</v>
      </c>
      <c r="M28" s="126"/>
      <c r="N28" s="126"/>
      <c r="O28" s="9">
        <f t="shared" si="1"/>
        <v>1.9922598631886217</v>
      </c>
      <c r="P28" s="10">
        <f t="shared" si="7"/>
        <v>3.9690993624723458</v>
      </c>
      <c r="Q28" s="135"/>
      <c r="R28" s="135"/>
      <c r="S28" s="135"/>
      <c r="T28" s="135"/>
      <c r="U28" s="135"/>
      <c r="V28" s="10">
        <f t="shared" si="9"/>
        <v>7.3365996179724252E-2</v>
      </c>
      <c r="W28" s="13">
        <f t="shared" si="2"/>
        <v>32.473992865062357</v>
      </c>
      <c r="X28" s="68"/>
      <c r="Y28" s="68"/>
      <c r="Z28" s="15">
        <f t="shared" si="8"/>
        <v>59.149259176418916</v>
      </c>
      <c r="AA28" s="135"/>
      <c r="AB28" s="135"/>
      <c r="AC28" s="62"/>
      <c r="AD28" s="62"/>
      <c r="AE28" s="62"/>
      <c r="AF28" s="62"/>
      <c r="AG28" s="62"/>
      <c r="AH28" s="62"/>
      <c r="AI28" s="62"/>
    </row>
    <row r="29" spans="1:35">
      <c r="A29" s="84">
        <f>'Q.6 Rand()'!R27</f>
        <v>5.7</v>
      </c>
      <c r="B29" s="141">
        <f>'Q.6 Rand()'!S27</f>
        <v>33.6</v>
      </c>
      <c r="C29" s="5"/>
      <c r="D29" s="23"/>
      <c r="E29" s="24"/>
      <c r="F29" s="22">
        <f t="shared" si="0"/>
        <v>2.2371273712737119</v>
      </c>
      <c r="G29" s="22">
        <f t="shared" si="3"/>
        <v>-1.1082444444444945</v>
      </c>
      <c r="H29" s="18">
        <f t="shared" si="4"/>
        <v>-2.4792839807288072</v>
      </c>
      <c r="I29" s="18">
        <f t="shared" si="5"/>
        <v>5.0047388753020279</v>
      </c>
      <c r="J29" s="24"/>
      <c r="K29" s="24"/>
      <c r="L29" s="19">
        <f t="shared" si="6"/>
        <v>24.613414521592876</v>
      </c>
      <c r="M29" s="126"/>
      <c r="N29" s="126"/>
      <c r="O29" s="9">
        <f t="shared" si="1"/>
        <v>8.9865854784071253</v>
      </c>
      <c r="P29" s="10">
        <f t="shared" si="7"/>
        <v>80.758718560717824</v>
      </c>
      <c r="Q29" s="135"/>
      <c r="R29" s="135"/>
      <c r="S29" s="135"/>
      <c r="T29" s="135"/>
      <c r="U29" s="135"/>
      <c r="V29" s="10">
        <f t="shared" si="9"/>
        <v>4.6988258316535539E-2</v>
      </c>
      <c r="W29" s="13">
        <f t="shared" si="2"/>
        <v>101.90559117130044</v>
      </c>
      <c r="X29" s="68"/>
      <c r="Y29" s="68"/>
      <c r="Z29" s="15">
        <f t="shared" si="8"/>
        <v>1.2282057486420863</v>
      </c>
      <c r="AA29" s="135"/>
      <c r="AB29" s="135"/>
      <c r="AC29" s="62"/>
      <c r="AD29" s="62"/>
      <c r="AE29" s="62"/>
      <c r="AF29" s="62"/>
      <c r="AG29" s="62"/>
      <c r="AH29" s="62"/>
      <c r="AI29" s="62"/>
    </row>
    <row r="30" spans="1:35">
      <c r="A30" s="84">
        <f>'Q.6 Rand()'!R28</f>
        <v>5.6</v>
      </c>
      <c r="B30" s="141">
        <f>'Q.6 Rand()'!S28</f>
        <v>23.110900000000001</v>
      </c>
      <c r="C30" s="5"/>
      <c r="D30" s="23"/>
      <c r="E30" s="24"/>
      <c r="F30" s="22">
        <f t="shared" si="0"/>
        <v>2.1371273712737113</v>
      </c>
      <c r="G30" s="22">
        <f t="shared" si="3"/>
        <v>-11.597344444444495</v>
      </c>
      <c r="H30" s="18">
        <f t="shared" si="4"/>
        <v>-24.785002246311443</v>
      </c>
      <c r="I30" s="18">
        <f t="shared" si="5"/>
        <v>4.5673134010472838</v>
      </c>
      <c r="J30" s="24"/>
      <c r="K30" s="24"/>
      <c r="L30" s="19">
        <f t="shared" si="6"/>
        <v>25.064655253456262</v>
      </c>
      <c r="M30" s="126"/>
      <c r="N30" s="126"/>
      <c r="O30" s="9">
        <f t="shared" si="1"/>
        <v>-1.9537552534562614</v>
      </c>
      <c r="P30" s="10">
        <f t="shared" si="7"/>
        <v>3.8171595904079405</v>
      </c>
      <c r="Q30" s="135"/>
      <c r="R30" s="135"/>
      <c r="S30" s="135"/>
      <c r="T30" s="135"/>
      <c r="U30" s="135"/>
      <c r="V30" s="10">
        <f t="shared" si="9"/>
        <v>0.26745790114306922</v>
      </c>
      <c r="W30" s="13">
        <f t="shared" si="2"/>
        <v>92.998812484545098</v>
      </c>
      <c r="X30" s="68"/>
      <c r="Y30" s="68"/>
      <c r="Z30" s="15">
        <f t="shared" si="8"/>
        <v>134.49839816308759</v>
      </c>
      <c r="AA30" s="135"/>
      <c r="AB30" s="135"/>
      <c r="AC30" s="62"/>
      <c r="AD30" s="62"/>
      <c r="AE30" s="62"/>
      <c r="AF30" s="62"/>
      <c r="AG30" s="62"/>
      <c r="AH30" s="62"/>
      <c r="AI30" s="62"/>
    </row>
    <row r="31" spans="1:35">
      <c r="A31" s="84">
        <f>'Q.6 Rand()'!R29</f>
        <v>3.5</v>
      </c>
      <c r="B31" s="141">
        <f>'Q.6 Rand()'!S29</f>
        <v>40.299999999999997</v>
      </c>
      <c r="C31" s="5"/>
      <c r="D31" s="23"/>
      <c r="E31" s="24"/>
      <c r="F31" s="22">
        <f t="shared" si="0"/>
        <v>3.7127371273711685E-2</v>
      </c>
      <c r="G31" s="22">
        <f t="shared" si="3"/>
        <v>5.5917555555555012</v>
      </c>
      <c r="H31" s="18">
        <f t="shared" si="4"/>
        <v>0.20760718458294905</v>
      </c>
      <c r="I31" s="18">
        <f t="shared" si="5"/>
        <v>1.3784416976960316E-3</v>
      </c>
      <c r="J31" s="24"/>
      <c r="K31" s="24"/>
      <c r="L31" s="19">
        <f t="shared" si="6"/>
        <v>34.540710622587362</v>
      </c>
      <c r="M31" s="126"/>
      <c r="N31" s="126"/>
      <c r="O31" s="9">
        <f t="shared" si="1"/>
        <v>5.7592893774126352</v>
      </c>
      <c r="P31" s="10">
        <f t="shared" si="7"/>
        <v>33.169414132778023</v>
      </c>
      <c r="Q31" s="135"/>
      <c r="R31" s="135"/>
      <c r="S31" s="135"/>
      <c r="T31" s="135"/>
      <c r="U31" s="135"/>
      <c r="V31" s="10">
        <f t="shared" si="9"/>
        <v>8.4538259152878575E-2</v>
      </c>
      <c r="W31" s="13">
        <f t="shared" si="2"/>
        <v>2.806758146605793E-2</v>
      </c>
      <c r="X31" s="68"/>
      <c r="Y31" s="68"/>
      <c r="Z31" s="15">
        <f t="shared" si="8"/>
        <v>31.267730193085811</v>
      </c>
      <c r="AA31" s="135"/>
      <c r="AB31" s="135"/>
      <c r="AC31" s="62"/>
      <c r="AD31" s="62"/>
      <c r="AE31" s="62"/>
      <c r="AF31" s="62"/>
      <c r="AG31" s="62"/>
      <c r="AH31" s="62"/>
      <c r="AI31" s="62"/>
    </row>
    <row r="32" spans="1:35">
      <c r="A32" s="84">
        <f>'Q.6 Rand()'!R30</f>
        <v>1.8</v>
      </c>
      <c r="B32" s="141">
        <f>'Q.6 Rand()'!S30</f>
        <v>43.628999999999998</v>
      </c>
      <c r="C32" s="5"/>
      <c r="D32" s="23"/>
      <c r="E32" s="24"/>
      <c r="F32" s="22">
        <f t="shared" si="0"/>
        <v>-1.6628726287262883</v>
      </c>
      <c r="G32" s="22">
        <f t="shared" si="3"/>
        <v>8.9207555555555018</v>
      </c>
      <c r="H32" s="18">
        <f t="shared" si="4"/>
        <v>-14.834080240891218</v>
      </c>
      <c r="I32" s="18">
        <f t="shared" si="5"/>
        <v>2.7651453793670759</v>
      </c>
      <c r="J32" s="24"/>
      <c r="K32" s="24"/>
      <c r="L32" s="19">
        <f t="shared" si="6"/>
        <v>42.21180306426492</v>
      </c>
      <c r="M32" s="126"/>
      <c r="N32" s="126"/>
      <c r="O32" s="9">
        <f t="shared" si="1"/>
        <v>1.4171969357350775</v>
      </c>
      <c r="P32" s="10">
        <f t="shared" si="7"/>
        <v>2.0084471546568934</v>
      </c>
      <c r="Q32" s="135"/>
      <c r="R32" s="135"/>
      <c r="S32" s="135"/>
      <c r="T32" s="135"/>
      <c r="U32" s="135"/>
      <c r="V32" s="10">
        <f t="shared" si="9"/>
        <v>0.14291040638741032</v>
      </c>
      <c r="W32" s="13">
        <f t="shared" si="2"/>
        <v>56.303391961081388</v>
      </c>
      <c r="X32" s="68"/>
      <c r="Y32" s="68"/>
      <c r="Z32" s="15">
        <f t="shared" si="8"/>
        <v>79.579879681974347</v>
      </c>
      <c r="AA32" s="135"/>
      <c r="AB32" s="135"/>
      <c r="AC32" s="62"/>
      <c r="AD32" s="62"/>
      <c r="AE32" s="62"/>
      <c r="AF32" s="62"/>
      <c r="AG32" s="62"/>
      <c r="AH32" s="62"/>
      <c r="AI32" s="62"/>
    </row>
    <row r="33" spans="1:35">
      <c r="A33" s="84">
        <f>'Q.6 Rand()'!R31</f>
        <v>4</v>
      </c>
      <c r="B33" s="141">
        <f>'Q.6 Rand()'!S31</f>
        <v>24.6648</v>
      </c>
      <c r="C33" s="5"/>
      <c r="D33" s="23"/>
      <c r="E33" s="24"/>
      <c r="F33" s="22">
        <f t="shared" si="0"/>
        <v>0.53712737127371168</v>
      </c>
      <c r="G33" s="22">
        <f t="shared" si="3"/>
        <v>-10.043444444444496</v>
      </c>
      <c r="H33" s="18">
        <f t="shared" si="4"/>
        <v>-5.3946089129780361</v>
      </c>
      <c r="I33" s="18">
        <f t="shared" si="5"/>
        <v>0.2885058129714077</v>
      </c>
      <c r="J33" s="24"/>
      <c r="K33" s="24"/>
      <c r="L33" s="19">
        <f t="shared" si="6"/>
        <v>32.284506963270431</v>
      </c>
      <c r="M33" s="126"/>
      <c r="N33" s="126"/>
      <c r="O33" s="9">
        <f t="shared" si="1"/>
        <v>-7.6197069632704313</v>
      </c>
      <c r="P33" s="10">
        <f t="shared" si="7"/>
        <v>58.059934206111897</v>
      </c>
      <c r="Q33" s="135"/>
      <c r="R33" s="135"/>
      <c r="S33" s="135"/>
      <c r="T33" s="135"/>
      <c r="U33" s="135"/>
      <c r="V33" s="10">
        <f t="shared" si="9"/>
        <v>3.2482911268538764E-2</v>
      </c>
      <c r="W33" s="13">
        <f t="shared" si="2"/>
        <v>5.8745033776480016</v>
      </c>
      <c r="X33" s="68"/>
      <c r="Y33" s="68"/>
      <c r="Z33" s="15">
        <f t="shared" si="8"/>
        <v>100.87077630864302</v>
      </c>
      <c r="AA33" s="135"/>
      <c r="AB33" s="135"/>
      <c r="AC33" s="62"/>
      <c r="AD33" s="62"/>
      <c r="AE33" s="62"/>
      <c r="AF33" s="62"/>
      <c r="AG33" s="62"/>
      <c r="AH33" s="62"/>
      <c r="AI33" s="62"/>
    </row>
    <row r="34" spans="1:35">
      <c r="A34" s="84">
        <f>'Q.6 Rand()'!R32</f>
        <v>4</v>
      </c>
      <c r="B34" s="141">
        <f>'Q.6 Rand()'!S32</f>
        <v>36.392600000000002</v>
      </c>
      <c r="C34" s="5"/>
      <c r="D34" s="23"/>
      <c r="E34" s="24"/>
      <c r="F34" s="22">
        <f t="shared" si="0"/>
        <v>0.53712737127371168</v>
      </c>
      <c r="G34" s="22">
        <f t="shared" si="3"/>
        <v>1.6843555555555056</v>
      </c>
      <c r="H34" s="18">
        <f t="shared" si="4"/>
        <v>0.90471347184580098</v>
      </c>
      <c r="I34" s="18">
        <f t="shared" si="5"/>
        <v>0.2885058129714077</v>
      </c>
      <c r="J34" s="24"/>
      <c r="K34" s="24"/>
      <c r="L34" s="19">
        <f t="shared" si="6"/>
        <v>32.284506963270431</v>
      </c>
      <c r="M34" s="126"/>
      <c r="N34" s="126"/>
      <c r="O34" s="9">
        <f t="shared" si="1"/>
        <v>4.1080930367295707</v>
      </c>
      <c r="P34" s="10">
        <f t="shared" si="7"/>
        <v>16.876428398425986</v>
      </c>
      <c r="Q34" s="135"/>
      <c r="R34" s="135"/>
      <c r="S34" s="135"/>
      <c r="T34" s="135"/>
      <c r="U34" s="135"/>
      <c r="V34" s="10">
        <f t="shared" si="9"/>
        <v>0.30893041756959033</v>
      </c>
      <c r="W34" s="13">
        <f t="shared" si="2"/>
        <v>5.8745033776480016</v>
      </c>
      <c r="X34" s="68"/>
      <c r="Y34" s="68"/>
      <c r="Z34" s="15">
        <f t="shared" si="8"/>
        <v>2.8370536375306963</v>
      </c>
      <c r="AA34" s="135"/>
      <c r="AB34" s="135"/>
      <c r="AC34" s="62"/>
      <c r="AD34" s="62"/>
      <c r="AE34" s="62"/>
      <c r="AF34" s="62"/>
      <c r="AG34" s="62"/>
      <c r="AH34" s="62"/>
      <c r="AI34" s="62"/>
    </row>
    <row r="35" spans="1:35">
      <c r="A35" s="84">
        <f>'Q.6 Rand()'!R33</f>
        <v>1.6</v>
      </c>
      <c r="B35" s="141">
        <f>'Q.6 Rand()'!S33</f>
        <v>48.9</v>
      </c>
      <c r="C35" s="5"/>
      <c r="D35" s="23"/>
      <c r="E35" s="24"/>
      <c r="F35" s="22">
        <f t="shared" si="0"/>
        <v>-1.8628726287262882</v>
      </c>
      <c r="G35" s="22">
        <f t="shared" si="3"/>
        <v>14.191755555555503</v>
      </c>
      <c r="H35" s="18">
        <f t="shared" si="4"/>
        <v>-26.437432978018585</v>
      </c>
      <c r="I35" s="18">
        <f t="shared" si="5"/>
        <v>3.4702944308575914</v>
      </c>
      <c r="J35" s="24"/>
      <c r="K35" s="24"/>
      <c r="L35" s="19">
        <f t="shared" si="6"/>
        <v>43.114284527991693</v>
      </c>
      <c r="M35" s="126"/>
      <c r="N35" s="126"/>
      <c r="O35" s="9">
        <f t="shared" si="1"/>
        <v>5.7857154720083059</v>
      </c>
      <c r="P35" s="10">
        <f t="shared" si="7"/>
        <v>33.474503523036297</v>
      </c>
      <c r="Q35" s="135"/>
      <c r="R35" s="135"/>
      <c r="S35" s="135"/>
      <c r="T35" s="135"/>
      <c r="U35" s="135"/>
      <c r="V35" s="10">
        <f t="shared" si="9"/>
        <v>0.1128826474813443</v>
      </c>
      <c r="W35" s="13">
        <f t="shared" si="2"/>
        <v>70.661509886202168</v>
      </c>
      <c r="X35" s="68"/>
      <c r="Y35" s="68"/>
      <c r="Z35" s="15">
        <f t="shared" si="8"/>
        <v>201.40592574864047</v>
      </c>
      <c r="AA35" s="135"/>
      <c r="AB35" s="135"/>
      <c r="AC35" s="62"/>
      <c r="AD35" s="62"/>
      <c r="AE35" s="62"/>
      <c r="AF35" s="62"/>
      <c r="AG35" s="62"/>
      <c r="AH35" s="62"/>
      <c r="AI35" s="62"/>
    </row>
    <row r="36" spans="1:35">
      <c r="A36" s="84">
        <f>'Q.6 Rand()'!R34</f>
        <v>1.6</v>
      </c>
      <c r="B36" s="141">
        <f>'Q.6 Rand()'!S34</f>
        <v>47.9</v>
      </c>
      <c r="C36" s="5"/>
      <c r="D36" s="23"/>
      <c r="E36" s="24"/>
      <c r="F36" s="22">
        <f t="shared" si="0"/>
        <v>-1.8628726287262882</v>
      </c>
      <c r="G36" s="22">
        <f t="shared" si="3"/>
        <v>13.191755555555503</v>
      </c>
      <c r="H36" s="18">
        <f t="shared" si="4"/>
        <v>-24.574560349292295</v>
      </c>
      <c r="I36" s="18">
        <f t="shared" si="5"/>
        <v>3.4702944308575914</v>
      </c>
      <c r="J36" s="24"/>
      <c r="K36" s="24"/>
      <c r="L36" s="19">
        <f t="shared" si="6"/>
        <v>43.114284527991693</v>
      </c>
      <c r="M36" s="126"/>
      <c r="N36" s="126"/>
      <c r="O36" s="9">
        <f t="shared" si="1"/>
        <v>4.7857154720083059</v>
      </c>
      <c r="P36" s="10">
        <f t="shared" si="7"/>
        <v>22.903072579019682</v>
      </c>
      <c r="Q36" s="135"/>
      <c r="R36" s="135"/>
      <c r="S36" s="135"/>
      <c r="T36" s="135"/>
      <c r="U36" s="135"/>
      <c r="V36" s="10">
        <f t="shared" si="9"/>
        <v>0.11831728981612077</v>
      </c>
      <c r="W36" s="13">
        <f t="shared" si="2"/>
        <v>70.661509886202168</v>
      </c>
      <c r="X36" s="68"/>
      <c r="Y36" s="68"/>
      <c r="Z36" s="15">
        <f t="shared" si="8"/>
        <v>174.02241463752947</v>
      </c>
      <c r="AA36" s="135"/>
      <c r="AB36" s="135"/>
      <c r="AC36" s="62"/>
      <c r="AD36" s="62"/>
      <c r="AE36" s="62"/>
      <c r="AF36" s="62"/>
      <c r="AG36" s="62"/>
      <c r="AH36" s="62"/>
      <c r="AI36" s="62"/>
    </row>
    <row r="37" spans="1:35">
      <c r="A37" s="84">
        <f>'Q.6 Rand()'!R35</f>
        <v>3.7</v>
      </c>
      <c r="B37" s="141">
        <f>'Q.6 Rand()'!S35</f>
        <v>30.9</v>
      </c>
      <c r="C37" s="5"/>
      <c r="D37" s="23"/>
      <c r="E37" s="24"/>
      <c r="F37" s="22">
        <f t="shared" si="0"/>
        <v>0.23712737127371186</v>
      </c>
      <c r="G37" s="22">
        <f t="shared" si="3"/>
        <v>-3.8082444444444974</v>
      </c>
      <c r="H37" s="18">
        <f t="shared" si="4"/>
        <v>-0.90303899427884093</v>
      </c>
      <c r="I37" s="18">
        <f t="shared" si="5"/>
        <v>5.6229390207180791E-2</v>
      </c>
      <c r="J37" s="24"/>
      <c r="K37" s="24"/>
      <c r="L37" s="19">
        <f t="shared" si="6"/>
        <v>33.63822915886059</v>
      </c>
      <c r="M37" s="126"/>
      <c r="N37" s="126"/>
      <c r="O37" s="9">
        <f t="shared" si="1"/>
        <v>-2.7382291588605909</v>
      </c>
      <c r="P37" s="10">
        <f t="shared" si="7"/>
        <v>7.4978989264343792</v>
      </c>
      <c r="Q37" s="135"/>
      <c r="R37" s="135"/>
      <c r="S37" s="135"/>
      <c r="T37" s="135"/>
      <c r="U37" s="135"/>
      <c r="V37" s="10">
        <f t="shared" si="9"/>
        <v>9.9910552651530399E-2</v>
      </c>
      <c r="W37" s="13">
        <f t="shared" si="2"/>
        <v>1.1449327113832088</v>
      </c>
      <c r="X37" s="68"/>
      <c r="Y37" s="68"/>
      <c r="Z37" s="15">
        <f t="shared" si="8"/>
        <v>14.502725748642378</v>
      </c>
      <c r="AA37" s="135"/>
      <c r="AB37" s="135"/>
      <c r="AC37" s="62"/>
      <c r="AD37" s="62"/>
      <c r="AE37" s="62"/>
      <c r="AF37" s="62"/>
      <c r="AG37" s="62"/>
      <c r="AH37" s="62"/>
      <c r="AI37" s="62"/>
    </row>
    <row r="38" spans="1:35">
      <c r="A38" s="84">
        <f>'Q.6 Rand()'!R36</f>
        <v>5.6</v>
      </c>
      <c r="B38" s="141">
        <f>'Q.6 Rand()'!S36</f>
        <v>23.6</v>
      </c>
      <c r="C38" s="5"/>
      <c r="D38" s="23"/>
      <c r="E38" s="24"/>
      <c r="F38" s="22">
        <f t="shared" si="0"/>
        <v>2.1371273712737113</v>
      </c>
      <c r="G38" s="22">
        <f t="shared" si="3"/>
        <v>-11.108244444444495</v>
      </c>
      <c r="H38" s="18">
        <f t="shared" si="4"/>
        <v>-23.739733249021469</v>
      </c>
      <c r="I38" s="18">
        <f t="shared" si="5"/>
        <v>4.5673134010472838</v>
      </c>
      <c r="J38" s="24"/>
      <c r="K38" s="24"/>
      <c r="L38" s="19">
        <f t="shared" si="6"/>
        <v>25.064655253456262</v>
      </c>
      <c r="M38" s="126"/>
      <c r="N38" s="126"/>
      <c r="O38" s="9">
        <f t="shared" si="1"/>
        <v>-1.4646552534562609</v>
      </c>
      <c r="P38" s="10">
        <f t="shared" si="7"/>
        <v>2.1452150114770241</v>
      </c>
      <c r="Q38" s="135"/>
      <c r="R38" s="135"/>
      <c r="S38" s="135"/>
      <c r="T38" s="135"/>
      <c r="U38" s="135"/>
      <c r="V38" s="10">
        <f t="shared" si="9"/>
        <v>8.8615830383837899E-2</v>
      </c>
      <c r="W38" s="13">
        <f t="shared" si="2"/>
        <v>92.998812484545098</v>
      </c>
      <c r="X38" s="68"/>
      <c r="Y38" s="68"/>
      <c r="Z38" s="15">
        <f t="shared" si="8"/>
        <v>123.39309463753197</v>
      </c>
      <c r="AA38" s="135"/>
      <c r="AB38" s="135"/>
      <c r="AC38" s="62"/>
      <c r="AD38" s="62"/>
      <c r="AE38" s="62"/>
      <c r="AF38" s="62"/>
      <c r="AG38" s="62"/>
      <c r="AH38" s="62"/>
      <c r="AI38" s="62"/>
    </row>
    <row r="39" spans="1:35">
      <c r="A39" s="84">
        <f>'Q.6 Rand()'!R37</f>
        <v>3.7</v>
      </c>
      <c r="B39" s="141">
        <f>'Q.6 Rand()'!S37</f>
        <v>27.2</v>
      </c>
      <c r="C39" s="5"/>
      <c r="D39" s="23"/>
      <c r="E39" s="24"/>
      <c r="F39" s="22">
        <f t="shared" si="0"/>
        <v>0.23712737127371186</v>
      </c>
      <c r="G39" s="22">
        <f t="shared" si="3"/>
        <v>-7.5082444444444967</v>
      </c>
      <c r="H39" s="18">
        <f t="shared" si="4"/>
        <v>-1.7804102679915745</v>
      </c>
      <c r="I39" s="18">
        <f t="shared" si="5"/>
        <v>5.6229390207180791E-2</v>
      </c>
      <c r="J39" s="24"/>
      <c r="K39" s="24"/>
      <c r="L39" s="19">
        <f t="shared" si="6"/>
        <v>33.63822915886059</v>
      </c>
      <c r="M39" s="126"/>
      <c r="N39" s="126"/>
      <c r="O39" s="9">
        <f t="shared" si="1"/>
        <v>-6.4382291588605902</v>
      </c>
      <c r="P39" s="10">
        <f t="shared" si="7"/>
        <v>41.450794702002746</v>
      </c>
      <c r="Q39" s="135"/>
      <c r="R39" s="135"/>
      <c r="S39" s="135"/>
      <c r="T39" s="135"/>
      <c r="U39" s="135"/>
      <c r="V39" s="10">
        <f t="shared" si="9"/>
        <v>6.2061663282044953E-2</v>
      </c>
      <c r="W39" s="13">
        <f t="shared" si="2"/>
        <v>1.1449327113832088</v>
      </c>
      <c r="X39" s="68"/>
      <c r="Y39" s="68"/>
      <c r="Z39" s="15">
        <f t="shared" si="8"/>
        <v>56.373734637531648</v>
      </c>
      <c r="AA39" s="135"/>
      <c r="AB39" s="135"/>
      <c r="AC39" s="62"/>
      <c r="AD39" s="62"/>
      <c r="AE39" s="62"/>
      <c r="AF39" s="62"/>
      <c r="AG39" s="62"/>
      <c r="AH39" s="62"/>
      <c r="AI39" s="62"/>
    </row>
    <row r="40" spans="1:35">
      <c r="A40" s="84">
        <f>'Q.6 Rand()'!R38</f>
        <v>2.5</v>
      </c>
      <c r="B40" s="141">
        <f>'Q.6 Rand()'!S38</f>
        <v>39.571399999999997</v>
      </c>
      <c r="C40" s="5"/>
      <c r="D40" s="23"/>
      <c r="E40" s="24"/>
      <c r="F40" s="22">
        <f t="shared" si="0"/>
        <v>-0.96287262872628832</v>
      </c>
      <c r="G40" s="22">
        <f t="shared" si="3"/>
        <v>4.8631555555555011</v>
      </c>
      <c r="H40" s="18">
        <f t="shared" si="4"/>
        <v>-4.6825993736825779</v>
      </c>
      <c r="I40" s="18">
        <f t="shared" si="5"/>
        <v>0.92712369915027271</v>
      </c>
      <c r="J40" s="24"/>
      <c r="K40" s="24"/>
      <c r="L40" s="19">
        <f t="shared" si="6"/>
        <v>39.053117941221217</v>
      </c>
      <c r="M40" s="126"/>
      <c r="N40" s="126"/>
      <c r="O40" s="9">
        <f t="shared" si="1"/>
        <v>0.5182820587787802</v>
      </c>
      <c r="P40" s="10">
        <f t="shared" si="7"/>
        <v>0.26861629245197099</v>
      </c>
      <c r="Q40" s="135"/>
      <c r="R40" s="135"/>
      <c r="S40" s="135"/>
      <c r="T40" s="135"/>
      <c r="U40" s="135"/>
      <c r="V40" s="10">
        <f t="shared" si="9"/>
        <v>0.23669960142869817</v>
      </c>
      <c r="W40" s="13">
        <f t="shared" si="2"/>
        <v>18.877925702992769</v>
      </c>
      <c r="X40" s="68"/>
      <c r="Y40" s="68"/>
      <c r="Z40" s="15">
        <f t="shared" si="8"/>
        <v>23.650281957530336</v>
      </c>
      <c r="AA40" s="135"/>
      <c r="AB40" s="135"/>
      <c r="AC40" s="62"/>
      <c r="AD40" s="62"/>
      <c r="AE40" s="62"/>
      <c r="AF40" s="62"/>
      <c r="AG40" s="62"/>
      <c r="AH40" s="62"/>
      <c r="AI40" s="62"/>
    </row>
    <row r="41" spans="1:35">
      <c r="A41" s="84">
        <f>'Q.6 Rand()'!R39</f>
        <v>2.5</v>
      </c>
      <c r="B41" s="141">
        <f>'Q.6 Rand()'!S39</f>
        <v>40.6</v>
      </c>
      <c r="C41" s="5"/>
      <c r="D41" s="23"/>
      <c r="E41" s="24"/>
      <c r="F41" s="22">
        <f t="shared" si="0"/>
        <v>-0.96287262872628832</v>
      </c>
      <c r="G41" s="22">
        <f t="shared" si="3"/>
        <v>5.8917555555555055</v>
      </c>
      <c r="H41" s="18">
        <f t="shared" si="4"/>
        <v>-5.6730101595904427</v>
      </c>
      <c r="I41" s="18">
        <f t="shared" si="5"/>
        <v>0.92712369915027271</v>
      </c>
      <c r="J41" s="24"/>
      <c r="K41" s="24"/>
      <c r="L41" s="19">
        <f t="shared" si="6"/>
        <v>39.053117941221217</v>
      </c>
      <c r="M41" s="126"/>
      <c r="N41" s="126"/>
      <c r="O41" s="9">
        <f t="shared" si="1"/>
        <v>1.5468820587787846</v>
      </c>
      <c r="P41" s="10">
        <f t="shared" si="7"/>
        <v>2.392844103771691</v>
      </c>
      <c r="Q41" s="135"/>
      <c r="R41" s="135"/>
      <c r="S41" s="135"/>
      <c r="T41" s="135"/>
      <c r="U41" s="135"/>
      <c r="V41" s="10">
        <f t="shared" si="9"/>
        <v>1.309739000335546E-2</v>
      </c>
      <c r="W41" s="13">
        <f t="shared" si="2"/>
        <v>18.877925702992769</v>
      </c>
      <c r="X41" s="68"/>
      <c r="Y41" s="68"/>
      <c r="Z41" s="15">
        <f t="shared" si="8"/>
        <v>34.712783526419166</v>
      </c>
      <c r="AA41" s="135"/>
      <c r="AB41" s="135"/>
      <c r="AC41" s="62"/>
      <c r="AD41" s="62"/>
      <c r="AE41" s="62"/>
      <c r="AF41" s="62"/>
      <c r="AG41" s="62"/>
      <c r="AH41" s="62"/>
      <c r="AI41" s="62"/>
    </row>
    <row r="42" spans="1:35">
      <c r="A42" s="84">
        <f>'Q.6 Rand()'!R40</f>
        <v>2.8</v>
      </c>
      <c r="B42" s="141">
        <f>'Q.6 Rand()'!S40</f>
        <v>37.118499999999997</v>
      </c>
      <c r="C42" s="5"/>
      <c r="D42" s="23"/>
      <c r="E42" s="24"/>
      <c r="F42" s="22">
        <f t="shared" si="0"/>
        <v>-0.66287262872628849</v>
      </c>
      <c r="G42" s="22">
        <f t="shared" si="3"/>
        <v>2.4102555555555014</v>
      </c>
      <c r="H42" s="18">
        <f t="shared" si="4"/>
        <v>-1.5976924360132161</v>
      </c>
      <c r="I42" s="18">
        <f t="shared" si="5"/>
        <v>0.4394001219144999</v>
      </c>
      <c r="J42" s="24"/>
      <c r="K42" s="24"/>
      <c r="L42" s="19">
        <f t="shared" si="6"/>
        <v>37.699395745631065</v>
      </c>
      <c r="M42" s="126"/>
      <c r="N42" s="126"/>
      <c r="O42" s="9">
        <f t="shared" si="1"/>
        <v>-0.58089574563106794</v>
      </c>
      <c r="P42" s="10">
        <f t="shared" si="7"/>
        <v>0.33743986729227438</v>
      </c>
      <c r="Q42" s="135"/>
      <c r="R42" s="135"/>
      <c r="S42" s="135"/>
      <c r="T42" s="135"/>
      <c r="U42" s="135"/>
      <c r="V42" s="10">
        <f t="shared" si="9"/>
        <v>3.8100543319674496E-2</v>
      </c>
      <c r="W42" s="13">
        <f t="shared" si="2"/>
        <v>8.9469861065901064</v>
      </c>
      <c r="X42" s="68"/>
      <c r="Y42" s="68"/>
      <c r="Z42" s="15">
        <f t="shared" si="8"/>
        <v>5.8093318430861585</v>
      </c>
      <c r="AA42" s="135"/>
      <c r="AB42" s="135"/>
      <c r="AC42" s="62"/>
      <c r="AD42" s="62"/>
      <c r="AE42" s="62"/>
      <c r="AF42" s="62"/>
      <c r="AG42" s="62"/>
      <c r="AH42" s="62"/>
      <c r="AI42" s="62"/>
    </row>
    <row r="43" spans="1:35">
      <c r="A43" s="84">
        <f>'Q.6 Rand()'!R41</f>
        <v>5.6</v>
      </c>
      <c r="B43" s="141">
        <f>'Q.6 Rand()'!S41</f>
        <v>24.9815</v>
      </c>
      <c r="C43" s="5"/>
      <c r="D43" s="23"/>
      <c r="E43" s="24"/>
      <c r="F43" s="22">
        <f t="shared" si="0"/>
        <v>2.1371273712737113</v>
      </c>
      <c r="G43" s="22">
        <f t="shared" si="3"/>
        <v>-9.7267444444444955</v>
      </c>
      <c r="H43" s="18">
        <f t="shared" si="4"/>
        <v>-20.78729178560684</v>
      </c>
      <c r="I43" s="18">
        <f t="shared" si="5"/>
        <v>4.5673134010472838</v>
      </c>
      <c r="J43" s="24"/>
      <c r="K43" s="24"/>
      <c r="L43" s="19">
        <f t="shared" si="6"/>
        <v>25.064655253456262</v>
      </c>
      <c r="M43" s="126"/>
      <c r="N43" s="126"/>
      <c r="O43" s="9">
        <f t="shared" si="1"/>
        <v>-8.3155253456261846E-2</v>
      </c>
      <c r="P43" s="10">
        <f t="shared" si="7"/>
        <v>6.9147961773751475E-3</v>
      </c>
      <c r="Q43" s="135"/>
      <c r="R43" s="135"/>
      <c r="S43" s="135"/>
      <c r="T43" s="135"/>
      <c r="U43" s="135"/>
      <c r="V43" s="10">
        <f t="shared" si="9"/>
        <v>1.5649763477270578E-2</v>
      </c>
      <c r="W43" s="13">
        <f t="shared" si="2"/>
        <v>92.998812484545098</v>
      </c>
      <c r="X43" s="68"/>
      <c r="Y43" s="68"/>
      <c r="Z43" s="15">
        <f t="shared" si="8"/>
        <v>94.609557487531859</v>
      </c>
      <c r="AA43" s="135"/>
      <c r="AB43" s="135"/>
      <c r="AC43" s="62"/>
      <c r="AD43" s="62"/>
      <c r="AE43" s="62"/>
      <c r="AF43" s="62"/>
      <c r="AG43" s="62"/>
      <c r="AH43" s="62"/>
      <c r="AI43" s="62"/>
    </row>
    <row r="44" spans="1:35">
      <c r="A44" s="84">
        <f>'Q.6 Rand()'!R42</f>
        <v>6.2</v>
      </c>
      <c r="B44" s="141">
        <f>'Q.6 Rand()'!S42</f>
        <v>26</v>
      </c>
      <c r="C44" s="5"/>
      <c r="D44" s="23"/>
      <c r="E44" s="24"/>
      <c r="F44" s="22">
        <f t="shared" si="0"/>
        <v>2.7371273712737119</v>
      </c>
      <c r="G44" s="22">
        <f t="shared" si="3"/>
        <v>-8.708244444444496</v>
      </c>
      <c r="H44" s="18">
        <f t="shared" si="4"/>
        <v>-23.835574224631269</v>
      </c>
      <c r="I44" s="18">
        <f t="shared" si="5"/>
        <v>7.4918662465757402</v>
      </c>
      <c r="J44" s="24"/>
      <c r="K44" s="24"/>
      <c r="L44" s="19">
        <f t="shared" si="6"/>
        <v>22.357210862275949</v>
      </c>
      <c r="M44" s="126"/>
      <c r="N44" s="126"/>
      <c r="O44" s="9">
        <f t="shared" si="1"/>
        <v>3.6427891377240513</v>
      </c>
      <c r="P44" s="10">
        <f t="shared" si="7"/>
        <v>13.269912701920337</v>
      </c>
      <c r="Q44" s="135"/>
      <c r="R44" s="135"/>
      <c r="S44" s="135"/>
      <c r="T44" s="135"/>
      <c r="U44" s="135"/>
      <c r="V44" s="10">
        <f t="shared" si="9"/>
        <v>3.3286733565343093E-3</v>
      </c>
      <c r="W44" s="13">
        <f t="shared" si="2"/>
        <v>152.54803054785521</v>
      </c>
      <c r="X44" s="68"/>
      <c r="Y44" s="68"/>
      <c r="Z44" s="15">
        <f t="shared" si="8"/>
        <v>75.833521304198428</v>
      </c>
      <c r="AA44" s="135"/>
      <c r="AB44" s="135"/>
      <c r="AC44" s="62"/>
      <c r="AD44" s="62"/>
      <c r="AE44" s="62"/>
      <c r="AF44" s="62"/>
      <c r="AG44" s="62"/>
      <c r="AH44" s="62"/>
      <c r="AI44" s="62"/>
    </row>
    <row r="45" spans="1:35">
      <c r="A45" s="84">
        <f>'Q.6 Rand()'!R43</f>
        <v>2.5</v>
      </c>
      <c r="B45" s="141">
        <f>'Q.6 Rand()'!S43</f>
        <v>40.240900000000003</v>
      </c>
      <c r="C45" s="5"/>
      <c r="D45" s="23"/>
      <c r="E45" s="24"/>
      <c r="F45" s="22">
        <f t="shared" si="0"/>
        <v>-0.96287262872628832</v>
      </c>
      <c r="G45" s="22">
        <f t="shared" si="3"/>
        <v>5.5326555555555075</v>
      </c>
      <c r="H45" s="18">
        <f t="shared" si="4"/>
        <v>-5.3272425986148342</v>
      </c>
      <c r="I45" s="18">
        <f t="shared" si="5"/>
        <v>0.92712369915027271</v>
      </c>
      <c r="J45" s="24"/>
      <c r="K45" s="24"/>
      <c r="L45" s="19">
        <f t="shared" si="6"/>
        <v>39.053117941221217</v>
      </c>
      <c r="M45" s="126"/>
      <c r="N45" s="126"/>
      <c r="O45" s="9">
        <f t="shared" si="1"/>
        <v>1.1877820587787866</v>
      </c>
      <c r="P45" s="10">
        <f t="shared" si="7"/>
        <v>1.4108262191567729</v>
      </c>
      <c r="Q45" s="135"/>
      <c r="R45" s="135"/>
      <c r="S45" s="135"/>
      <c r="T45" s="135"/>
      <c r="U45" s="135"/>
      <c r="V45" s="10">
        <f t="shared" si="9"/>
        <v>0.14010727452784813</v>
      </c>
      <c r="W45" s="13">
        <f t="shared" si="2"/>
        <v>18.877925702992769</v>
      </c>
      <c r="X45" s="68"/>
      <c r="Y45" s="68"/>
      <c r="Z45" s="15">
        <f t="shared" si="8"/>
        <v>30.610277496419222</v>
      </c>
      <c r="AA45" s="135"/>
      <c r="AB45" s="135"/>
      <c r="AC45" s="62"/>
      <c r="AD45" s="62"/>
      <c r="AE45" s="62"/>
      <c r="AF45" s="62"/>
      <c r="AG45" s="62"/>
      <c r="AH45" s="62"/>
      <c r="AI45" s="62"/>
    </row>
    <row r="46" spans="1:35">
      <c r="A46" s="84">
        <f>'Q.6 Rand()'!R44</f>
        <v>2.4</v>
      </c>
      <c r="B46" s="141">
        <f>'Q.6 Rand()'!S44</f>
        <v>33.6</v>
      </c>
      <c r="C46" s="5"/>
      <c r="D46" s="23"/>
      <c r="E46" s="24"/>
      <c r="F46" s="22">
        <f t="shared" si="0"/>
        <v>-1.0628726287262884</v>
      </c>
      <c r="G46" s="22">
        <f t="shared" si="3"/>
        <v>-1.1082444444444945</v>
      </c>
      <c r="H46" s="18">
        <f t="shared" si="4"/>
        <v>1.177922685938025</v>
      </c>
      <c r="I46" s="18">
        <f t="shared" si="5"/>
        <v>1.1296982248955305</v>
      </c>
      <c r="J46" s="24"/>
      <c r="K46" s="24"/>
      <c r="L46" s="19">
        <f t="shared" si="6"/>
        <v>39.50435867308461</v>
      </c>
      <c r="M46" s="126"/>
      <c r="N46" s="126"/>
      <c r="O46" s="9">
        <f t="shared" si="1"/>
        <v>-5.9043586730846087</v>
      </c>
      <c r="P46" s="10">
        <f t="shared" si="7"/>
        <v>34.86145134042944</v>
      </c>
      <c r="Q46" s="135"/>
      <c r="R46" s="135"/>
      <c r="S46" s="135"/>
      <c r="T46" s="135"/>
      <c r="U46" s="135"/>
      <c r="V46" s="10">
        <f t="shared" si="9"/>
        <v>2.9516786622038438E-2</v>
      </c>
      <c r="W46" s="13">
        <f t="shared" si="2"/>
        <v>23.002711694164159</v>
      </c>
      <c r="X46" s="68"/>
      <c r="Y46" s="68"/>
      <c r="Z46" s="15">
        <f t="shared" si="8"/>
        <v>1.2282057486420863</v>
      </c>
      <c r="AA46" s="135"/>
      <c r="AB46" s="135"/>
      <c r="AC46" s="62"/>
      <c r="AD46" s="62"/>
      <c r="AE46" s="62"/>
      <c r="AF46" s="62"/>
      <c r="AG46" s="62"/>
      <c r="AH46" s="62"/>
      <c r="AI46" s="62"/>
    </row>
    <row r="47" spans="1:35">
      <c r="A47" s="84">
        <f>'Q.6 Rand()'!R45</f>
        <v>3.5</v>
      </c>
      <c r="B47" s="141">
        <f>'Q.6 Rand()'!S45</f>
        <v>31.3</v>
      </c>
      <c r="C47" s="5"/>
      <c r="D47" s="23"/>
      <c r="E47" s="24"/>
      <c r="F47" s="22">
        <f t="shared" si="0"/>
        <v>3.7127371273711685E-2</v>
      </c>
      <c r="G47" s="22">
        <f t="shared" si="3"/>
        <v>-3.4082444444444953</v>
      </c>
      <c r="H47" s="18">
        <f t="shared" si="4"/>
        <v>-0.126539156880456</v>
      </c>
      <c r="I47" s="18">
        <f t="shared" si="5"/>
        <v>1.3784416976960316E-3</v>
      </c>
      <c r="J47" s="24"/>
      <c r="K47" s="24"/>
      <c r="L47" s="19">
        <f t="shared" si="6"/>
        <v>34.540710622587362</v>
      </c>
      <c r="M47" s="126"/>
      <c r="N47" s="126"/>
      <c r="O47" s="9">
        <f t="shared" si="1"/>
        <v>-3.2407106225873612</v>
      </c>
      <c r="P47" s="10">
        <f t="shared" si="7"/>
        <v>10.502205339350562</v>
      </c>
      <c r="Q47" s="135"/>
      <c r="R47" s="135"/>
      <c r="S47" s="135"/>
      <c r="T47" s="135"/>
      <c r="U47" s="135"/>
      <c r="V47" s="10">
        <f t="shared" si="9"/>
        <v>0.1757249605084705</v>
      </c>
      <c r="W47" s="13">
        <f t="shared" si="2"/>
        <v>2.806758146605793E-2</v>
      </c>
      <c r="X47" s="68"/>
      <c r="Y47" s="68"/>
      <c r="Z47" s="15">
        <f t="shared" si="8"/>
        <v>11.616130193086766</v>
      </c>
      <c r="AA47" s="135"/>
      <c r="AB47" s="135"/>
      <c r="AC47" s="62"/>
      <c r="AD47" s="62"/>
      <c r="AE47" s="62"/>
      <c r="AF47" s="62"/>
      <c r="AG47" s="62"/>
      <c r="AH47" s="62"/>
      <c r="AI47" s="62"/>
    </row>
    <row r="48" spans="1:35">
      <c r="A48" s="84">
        <f>'Q.6 Rand()'!R46</f>
        <v>6.3</v>
      </c>
      <c r="B48" s="141">
        <f>'Q.6 Rand()'!S46</f>
        <v>24.7</v>
      </c>
      <c r="C48" s="5"/>
      <c r="D48" s="23"/>
      <c r="E48" s="24"/>
      <c r="F48" s="22">
        <f t="shared" si="0"/>
        <v>2.8371273712737115</v>
      </c>
      <c r="G48" s="22">
        <f t="shared" si="3"/>
        <v>-10.008244444444497</v>
      </c>
      <c r="H48" s="18">
        <f t="shared" si="4"/>
        <v>-28.394664251731541</v>
      </c>
      <c r="I48" s="18">
        <f t="shared" si="5"/>
        <v>8.0492917208304799</v>
      </c>
      <c r="J48" s="24"/>
      <c r="K48" s="24"/>
      <c r="L48" s="19">
        <f t="shared" si="6"/>
        <v>21.905970130412562</v>
      </c>
      <c r="M48" s="126"/>
      <c r="N48" s="126"/>
      <c r="O48" s="9">
        <f t="shared" si="1"/>
        <v>2.7940298695874368</v>
      </c>
      <c r="P48" s="10">
        <f t="shared" si="7"/>
        <v>7.806602912146789</v>
      </c>
      <c r="Q48" s="135"/>
      <c r="R48" s="135"/>
      <c r="S48" s="135"/>
      <c r="T48" s="135"/>
      <c r="U48" s="135"/>
      <c r="V48" s="10">
        <f t="shared" si="9"/>
        <v>0.10353708059384541</v>
      </c>
      <c r="W48" s="13">
        <f t="shared" si="2"/>
        <v>163.89822761172181</v>
      </c>
      <c r="X48" s="68"/>
      <c r="Y48" s="68"/>
      <c r="Z48" s="15">
        <f t="shared" si="8"/>
        <v>100.16495685975413</v>
      </c>
      <c r="AA48" s="135"/>
      <c r="AB48" s="135"/>
      <c r="AC48" s="62"/>
      <c r="AD48" s="62"/>
      <c r="AE48" s="62"/>
      <c r="AF48" s="62"/>
      <c r="AG48" s="62"/>
      <c r="AH48" s="62"/>
      <c r="AI48" s="62"/>
    </row>
    <row r="49" spans="1:35">
      <c r="A49" s="84">
        <f>'Q.6 Rand()'!R47</f>
        <v>3.5</v>
      </c>
      <c r="B49" s="141">
        <f>'Q.6 Rand()'!S47</f>
        <v>33.200000000000003</v>
      </c>
      <c r="C49" s="5"/>
      <c r="D49" s="23"/>
      <c r="E49" s="24"/>
      <c r="F49" s="22">
        <f t="shared" si="0"/>
        <v>3.7127371273711685E-2</v>
      </c>
      <c r="G49" s="22">
        <f t="shared" si="3"/>
        <v>-1.5082444444444931</v>
      </c>
      <c r="H49" s="18">
        <f t="shared" si="4"/>
        <v>-5.599715146040371E-2</v>
      </c>
      <c r="I49" s="18">
        <f t="shared" si="5"/>
        <v>1.3784416976960316E-3</v>
      </c>
      <c r="J49" s="24"/>
      <c r="K49" s="24"/>
      <c r="L49" s="19">
        <f t="shared" si="6"/>
        <v>34.540710622587362</v>
      </c>
      <c r="M49" s="126"/>
      <c r="N49" s="126"/>
      <c r="O49" s="9">
        <f t="shared" si="1"/>
        <v>-1.3407106225873591</v>
      </c>
      <c r="P49" s="10">
        <f t="shared" si="7"/>
        <v>1.797504973518584</v>
      </c>
      <c r="Q49" s="135"/>
      <c r="R49" s="135"/>
      <c r="S49" s="135"/>
      <c r="T49" s="135"/>
      <c r="U49" s="135"/>
      <c r="V49" s="10">
        <f t="shared" si="9"/>
        <v>0.11311861820192053</v>
      </c>
      <c r="W49" s="13">
        <f t="shared" si="2"/>
        <v>2.806758146605793E-2</v>
      </c>
      <c r="X49" s="68"/>
      <c r="Y49" s="68"/>
      <c r="Z49" s="15">
        <f t="shared" si="8"/>
        <v>2.2748013041976778</v>
      </c>
      <c r="AA49" s="135"/>
      <c r="AB49" s="135"/>
      <c r="AC49" s="62"/>
      <c r="AD49" s="62"/>
      <c r="AE49" s="62"/>
      <c r="AF49" s="62"/>
      <c r="AG49" s="62"/>
      <c r="AH49" s="62"/>
      <c r="AI49" s="62"/>
    </row>
    <row r="50" spans="1:35">
      <c r="A50" s="84">
        <f>'Q.6 Rand()'!R48</f>
        <v>4</v>
      </c>
      <c r="B50" s="141">
        <f>'Q.6 Rand()'!S48</f>
        <v>28.4</v>
      </c>
      <c r="C50" s="5"/>
      <c r="D50" s="23"/>
      <c r="E50" s="24"/>
      <c r="F50" s="22">
        <f t="shared" si="0"/>
        <v>0.53712737127371168</v>
      </c>
      <c r="G50" s="22">
        <f t="shared" si="3"/>
        <v>-6.3082444444444974</v>
      </c>
      <c r="H50" s="18">
        <f t="shared" si="4"/>
        <v>-3.3883307557964688</v>
      </c>
      <c r="I50" s="18">
        <f t="shared" si="5"/>
        <v>0.2885058129714077</v>
      </c>
      <c r="J50" s="24"/>
      <c r="K50" s="24"/>
      <c r="L50" s="19">
        <f t="shared" si="6"/>
        <v>32.284506963270431</v>
      </c>
      <c r="M50" s="126"/>
      <c r="N50" s="126"/>
      <c r="O50" s="9">
        <f t="shared" si="1"/>
        <v>-3.8845069632704323</v>
      </c>
      <c r="P50" s="10">
        <f t="shared" si="7"/>
        <v>15.089394347696476</v>
      </c>
      <c r="Q50" s="135"/>
      <c r="R50" s="135"/>
      <c r="S50" s="135"/>
      <c r="T50" s="135"/>
      <c r="U50" s="135"/>
      <c r="V50" s="10">
        <f t="shared" si="9"/>
        <v>4.0382850077932499E-2</v>
      </c>
      <c r="W50" s="13">
        <f t="shared" si="2"/>
        <v>5.8745033776480016</v>
      </c>
      <c r="X50" s="68"/>
      <c r="Y50" s="68"/>
      <c r="Z50" s="15">
        <f t="shared" si="8"/>
        <v>39.793947970864863</v>
      </c>
      <c r="AA50" s="135"/>
      <c r="AB50" s="135"/>
      <c r="AC50" s="62"/>
      <c r="AD50" s="62"/>
      <c r="AE50" s="62"/>
      <c r="AF50" s="62"/>
      <c r="AG50" s="62"/>
      <c r="AH50" s="62"/>
      <c r="AI50" s="62"/>
    </row>
    <row r="51" spans="1:35">
      <c r="A51" s="84">
        <f>'Q.6 Rand()'!R49</f>
        <v>2.4</v>
      </c>
      <c r="B51" s="141">
        <f>'Q.6 Rand()'!S49</f>
        <v>35.241799999999998</v>
      </c>
      <c r="C51" s="5"/>
      <c r="D51" s="23"/>
      <c r="E51" s="24"/>
      <c r="F51" s="22">
        <f t="shared" si="0"/>
        <v>-1.0628726287262884</v>
      </c>
      <c r="G51" s="22">
        <f t="shared" si="3"/>
        <v>0.53355555555550183</v>
      </c>
      <c r="H51" s="18">
        <f t="shared" si="4"/>
        <v>-0.56710159590479148</v>
      </c>
      <c r="I51" s="18">
        <f t="shared" si="5"/>
        <v>1.1296982248955305</v>
      </c>
      <c r="J51" s="24"/>
      <c r="K51" s="24"/>
      <c r="L51" s="19">
        <f t="shared" si="6"/>
        <v>39.50435867308461</v>
      </c>
      <c r="M51" s="126"/>
      <c r="N51" s="126"/>
      <c r="O51" s="9">
        <f t="shared" si="1"/>
        <v>-4.2625586730846123</v>
      </c>
      <c r="P51" s="10">
        <f t="shared" si="7"/>
        <v>18.169406441488849</v>
      </c>
      <c r="Q51" s="135"/>
      <c r="R51" s="135"/>
      <c r="S51" s="135"/>
      <c r="T51" s="135"/>
      <c r="U51" s="135"/>
      <c r="V51" s="10">
        <f t="shared" si="9"/>
        <v>0.13677841419966311</v>
      </c>
      <c r="W51" s="13">
        <f t="shared" si="2"/>
        <v>23.002711694164159</v>
      </c>
      <c r="X51" s="68"/>
      <c r="Y51" s="68"/>
      <c r="Z51" s="15">
        <f t="shared" si="8"/>
        <v>0.28468153086414022</v>
      </c>
      <c r="AA51" s="135"/>
      <c r="AB51" s="135"/>
      <c r="AC51" s="62"/>
      <c r="AD51" s="62"/>
      <c r="AE51" s="62"/>
      <c r="AF51" s="62"/>
      <c r="AG51" s="62"/>
      <c r="AH51" s="62"/>
      <c r="AI51" s="62"/>
    </row>
    <row r="52" spans="1:35">
      <c r="A52" s="84">
        <f>'Q.6 Rand()'!R50</f>
        <v>2</v>
      </c>
      <c r="B52" s="141">
        <f>'Q.6 Rand()'!S50</f>
        <v>47.512900000000002</v>
      </c>
      <c r="C52" s="5"/>
      <c r="D52" s="23"/>
      <c r="E52" s="24"/>
      <c r="F52" s="22">
        <f t="shared" si="0"/>
        <v>-1.4628726287262883</v>
      </c>
      <c r="G52" s="22">
        <f t="shared" si="3"/>
        <v>12.804655555555506</v>
      </c>
      <c r="H52" s="18">
        <f t="shared" si="4"/>
        <v>-18.731580132490155</v>
      </c>
      <c r="I52" s="18">
        <f t="shared" si="5"/>
        <v>2.139996327876561</v>
      </c>
      <c r="J52" s="24"/>
      <c r="K52" s="24"/>
      <c r="L52" s="19">
        <f t="shared" si="6"/>
        <v>41.309321600538148</v>
      </c>
      <c r="M52" s="126"/>
      <c r="N52" s="126"/>
      <c r="O52" s="9">
        <f t="shared" si="1"/>
        <v>6.2035783994618541</v>
      </c>
      <c r="P52" s="10">
        <f t="shared" si="7"/>
        <v>38.4843849582697</v>
      </c>
      <c r="Q52" s="135"/>
      <c r="R52" s="135"/>
      <c r="S52" s="135"/>
      <c r="T52" s="135"/>
      <c r="U52" s="135"/>
      <c r="V52" s="10">
        <f t="shared" si="9"/>
        <v>0.12095178660240433</v>
      </c>
      <c r="W52" s="13">
        <f t="shared" si="2"/>
        <v>43.574219620701456</v>
      </c>
      <c r="X52" s="68"/>
      <c r="Y52" s="68"/>
      <c r="Z52" s="15">
        <f t="shared" si="8"/>
        <v>163.95920389641847</v>
      </c>
      <c r="AA52" s="135"/>
      <c r="AB52" s="135"/>
      <c r="AC52" s="62"/>
      <c r="AD52" s="62"/>
      <c r="AE52" s="62"/>
      <c r="AF52" s="62"/>
      <c r="AG52" s="62"/>
      <c r="AH52" s="62"/>
      <c r="AI52" s="62"/>
    </row>
    <row r="53" spans="1:35">
      <c r="A53" s="84">
        <f>'Q.6 Rand()'!R51</f>
        <v>5.4</v>
      </c>
      <c r="B53" s="141">
        <f>'Q.6 Rand()'!S51</f>
        <v>27.0426</v>
      </c>
      <c r="C53" s="5"/>
      <c r="D53" s="23"/>
      <c r="E53" s="24"/>
      <c r="F53" s="22">
        <f t="shared" si="0"/>
        <v>1.937127371273712</v>
      </c>
      <c r="G53" s="22">
        <f t="shared" si="3"/>
        <v>-7.6656444444444958</v>
      </c>
      <c r="H53" s="18">
        <f t="shared" si="4"/>
        <v>-14.8493296717857</v>
      </c>
      <c r="I53" s="18">
        <f t="shared" si="5"/>
        <v>3.7524624525378019</v>
      </c>
      <c r="J53" s="24"/>
      <c r="K53" s="24"/>
      <c r="L53" s="19">
        <f t="shared" si="6"/>
        <v>25.967136717183031</v>
      </c>
      <c r="M53" s="126"/>
      <c r="N53" s="126"/>
      <c r="O53" s="9">
        <f t="shared" si="1"/>
        <v>1.075463282816969</v>
      </c>
      <c r="P53" s="10">
        <f t="shared" si="7"/>
        <v>1.1566212726874519</v>
      </c>
      <c r="Q53" s="135"/>
      <c r="R53" s="135"/>
      <c r="S53" s="135"/>
      <c r="T53" s="135"/>
      <c r="U53" s="135"/>
      <c r="V53" s="10">
        <f t="shared" si="9"/>
        <v>0.13056619148614068</v>
      </c>
      <c r="W53" s="13">
        <f t="shared" si="2"/>
        <v>76.406964299590086</v>
      </c>
      <c r="X53" s="68"/>
      <c r="Y53" s="68"/>
      <c r="Z53" s="15">
        <f t="shared" si="8"/>
        <v>58.762104748642763</v>
      </c>
      <c r="AA53" s="135"/>
      <c r="AB53" s="135"/>
      <c r="AC53" s="62"/>
      <c r="AD53" s="62"/>
      <c r="AE53" s="62"/>
      <c r="AF53" s="62"/>
      <c r="AG53" s="62"/>
      <c r="AH53" s="62"/>
      <c r="AI53" s="62"/>
    </row>
    <row r="54" spans="1:35">
      <c r="A54" s="84">
        <f>'Q.6 Rand()'!R52</f>
        <v>2.5</v>
      </c>
      <c r="B54" s="141">
        <f>'Q.6 Rand()'!S52</f>
        <v>40.187600000000003</v>
      </c>
      <c r="C54" s="5"/>
      <c r="D54" s="23"/>
      <c r="E54" s="24"/>
      <c r="F54" s="22">
        <f t="shared" si="0"/>
        <v>-0.96287262872628832</v>
      </c>
      <c r="G54" s="22">
        <f t="shared" si="3"/>
        <v>5.4793555555555074</v>
      </c>
      <c r="H54" s="18">
        <f t="shared" si="4"/>
        <v>-5.275921487503723</v>
      </c>
      <c r="I54" s="18">
        <f t="shared" si="5"/>
        <v>0.92712369915027271</v>
      </c>
      <c r="J54" s="24"/>
      <c r="K54" s="24"/>
      <c r="L54" s="19">
        <f t="shared" si="6"/>
        <v>39.053117941221217</v>
      </c>
      <c r="M54" s="126"/>
      <c r="N54" s="126"/>
      <c r="O54" s="9">
        <f t="shared" si="1"/>
        <v>1.1344820587787865</v>
      </c>
      <c r="P54" s="10">
        <f t="shared" si="7"/>
        <v>1.287049541690954</v>
      </c>
      <c r="Q54" s="135"/>
      <c r="R54" s="135"/>
      <c r="S54" s="135"/>
      <c r="T54" s="135"/>
      <c r="U54" s="135"/>
      <c r="V54" s="10">
        <f t="shared" si="9"/>
        <v>3.9769226435955457E-2</v>
      </c>
      <c r="W54" s="13">
        <f t="shared" si="2"/>
        <v>18.877925702992769</v>
      </c>
      <c r="X54" s="68"/>
      <c r="Y54" s="68"/>
      <c r="Z54" s="15">
        <f t="shared" si="8"/>
        <v>30.023337304197003</v>
      </c>
      <c r="AA54" s="135"/>
      <c r="AB54" s="135"/>
      <c r="AC54" s="62"/>
      <c r="AD54" s="62"/>
      <c r="AE54" s="62"/>
      <c r="AF54" s="62"/>
      <c r="AG54" s="62"/>
      <c r="AH54" s="62"/>
      <c r="AI54" s="62"/>
    </row>
    <row r="55" spans="1:35">
      <c r="A55" s="84">
        <f>'Q.6 Rand()'!R53</f>
        <v>4.5999999999999996</v>
      </c>
      <c r="B55" s="141">
        <f>'Q.6 Rand()'!S53</f>
        <v>27.106100000000001</v>
      </c>
      <c r="C55" s="5"/>
      <c r="D55" s="23"/>
      <c r="E55" s="24"/>
      <c r="F55" s="22">
        <f t="shared" si="0"/>
        <v>1.1371273712737113</v>
      </c>
      <c r="G55" s="22">
        <f t="shared" si="3"/>
        <v>-7.6021444444444946</v>
      </c>
      <c r="H55" s="18">
        <f t="shared" si="4"/>
        <v>-8.6446065281542168</v>
      </c>
      <c r="I55" s="18">
        <f t="shared" si="5"/>
        <v>1.2930586584998609</v>
      </c>
      <c r="J55" s="24"/>
      <c r="K55" s="24"/>
      <c r="L55" s="19">
        <f t="shared" si="6"/>
        <v>29.577062572090121</v>
      </c>
      <c r="M55" s="126"/>
      <c r="N55" s="126"/>
      <c r="O55" s="9">
        <f t="shared" si="1"/>
        <v>-2.4709625720901194</v>
      </c>
      <c r="P55" s="10">
        <f t="shared" si="7"/>
        <v>6.1056560326702183</v>
      </c>
      <c r="Q55" s="135"/>
      <c r="R55" s="135"/>
      <c r="S55" s="135"/>
      <c r="T55" s="135"/>
      <c r="U55" s="135"/>
      <c r="V55" s="10">
        <f t="shared" si="9"/>
        <v>2.8229654390378785E-2</v>
      </c>
      <c r="W55" s="13">
        <f t="shared" si="2"/>
        <v>26.329027407178152</v>
      </c>
      <c r="X55" s="68"/>
      <c r="Y55" s="68"/>
      <c r="Z55" s="15">
        <f t="shared" si="8"/>
        <v>57.79260015419829</v>
      </c>
      <c r="AA55" s="135"/>
      <c r="AB55" s="135"/>
      <c r="AC55" s="62"/>
      <c r="AD55" s="62"/>
      <c r="AE55" s="62"/>
      <c r="AF55" s="62"/>
      <c r="AG55" s="62"/>
      <c r="AH55" s="62"/>
      <c r="AI55" s="62"/>
    </row>
    <row r="56" spans="1:35">
      <c r="A56" s="84">
        <f>'Q.6 Rand()'!R54</f>
        <v>3.5</v>
      </c>
      <c r="B56" s="141">
        <f>'Q.6 Rand()'!S54</f>
        <v>41.2</v>
      </c>
      <c r="C56" s="5"/>
      <c r="D56" s="23"/>
      <c r="E56" s="24"/>
      <c r="F56" s="22">
        <f t="shared" si="0"/>
        <v>3.7127371273711685E-2</v>
      </c>
      <c r="G56" s="22">
        <f t="shared" si="3"/>
        <v>6.4917555555555069</v>
      </c>
      <c r="H56" s="18">
        <f t="shared" si="4"/>
        <v>0.24102181872928977</v>
      </c>
      <c r="I56" s="18">
        <f t="shared" si="5"/>
        <v>1.3784416976960316E-3</v>
      </c>
      <c r="J56" s="24"/>
      <c r="K56" s="24"/>
      <c r="L56" s="19">
        <f t="shared" si="6"/>
        <v>34.540710622587362</v>
      </c>
      <c r="M56" s="126"/>
      <c r="N56" s="126"/>
      <c r="O56" s="9">
        <f t="shared" si="1"/>
        <v>6.6592893774126409</v>
      </c>
      <c r="P56" s="10">
        <f t="shared" si="7"/>
        <v>44.34613501212084</v>
      </c>
      <c r="Q56" s="135"/>
      <c r="R56" s="135"/>
      <c r="S56" s="135"/>
      <c r="T56" s="135"/>
      <c r="U56" s="135"/>
      <c r="V56" s="10">
        <f t="shared" si="9"/>
        <v>9.1158911539842291E-2</v>
      </c>
      <c r="W56" s="13">
        <f t="shared" si="2"/>
        <v>2.806758146605793E-2</v>
      </c>
      <c r="X56" s="68"/>
      <c r="Y56" s="68"/>
      <c r="Z56" s="15">
        <f t="shared" si="8"/>
        <v>42.14289019308579</v>
      </c>
      <c r="AA56" s="135"/>
      <c r="AB56" s="135"/>
      <c r="AC56" s="62"/>
      <c r="AD56" s="62"/>
      <c r="AE56" s="62"/>
      <c r="AF56" s="62"/>
      <c r="AG56" s="62"/>
      <c r="AH56" s="62"/>
      <c r="AI56" s="62"/>
    </row>
    <row r="57" spans="1:35">
      <c r="A57" s="84">
        <f>'Q.6 Rand()'!R55</f>
        <v>3</v>
      </c>
      <c r="B57" s="141">
        <f>'Q.6 Rand()'!S55</f>
        <v>34.7286</v>
      </c>
      <c r="C57" s="5"/>
      <c r="D57" s="23"/>
      <c r="E57" s="24"/>
      <c r="F57" s="22">
        <f t="shared" si="0"/>
        <v>-0.46287262872628832</v>
      </c>
      <c r="G57" s="22">
        <f t="shared" si="3"/>
        <v>2.0355555555504168E-2</v>
      </c>
      <c r="H57" s="18">
        <f t="shared" si="4"/>
        <v>-9.4220295091602159E-3</v>
      </c>
      <c r="I57" s="18">
        <f t="shared" si="5"/>
        <v>0.21425107042398434</v>
      </c>
      <c r="J57" s="24"/>
      <c r="K57" s="24"/>
      <c r="L57" s="19">
        <f t="shared" si="6"/>
        <v>36.796914281904293</v>
      </c>
      <c r="M57" s="126"/>
      <c r="N57" s="126"/>
      <c r="O57" s="9">
        <f t="shared" si="1"/>
        <v>-2.0683142819042928</v>
      </c>
      <c r="P57" s="10">
        <f t="shared" si="7"/>
        <v>4.2779239687292705</v>
      </c>
      <c r="Q57" s="135"/>
      <c r="R57" s="135"/>
      <c r="S57" s="135"/>
      <c r="T57" s="135"/>
      <c r="U57" s="135"/>
      <c r="V57" s="10">
        <f t="shared" si="9"/>
        <v>0.16163323731584078</v>
      </c>
      <c r="W57" s="13">
        <f t="shared" si="2"/>
        <v>4.3625416899143348</v>
      </c>
      <c r="X57" s="68"/>
      <c r="Y57" s="68"/>
      <c r="Z57" s="15">
        <f t="shared" si="8"/>
        <v>4.143486419732166E-4</v>
      </c>
      <c r="AA57" s="135"/>
      <c r="AB57" s="135"/>
      <c r="AC57" s="62"/>
      <c r="AD57" s="62"/>
      <c r="AE57" s="62"/>
      <c r="AF57" s="62"/>
      <c r="AG57" s="62"/>
      <c r="AH57" s="62"/>
      <c r="AI57" s="62"/>
    </row>
    <row r="58" spans="1:35">
      <c r="A58" s="84">
        <f>'Q.6 Rand()'!R56</f>
        <v>1.6</v>
      </c>
      <c r="B58" s="141">
        <f>'Q.6 Rand()'!S56</f>
        <v>44.571399999999997</v>
      </c>
      <c r="C58" s="5"/>
      <c r="D58" s="23"/>
      <c r="E58" s="24"/>
      <c r="F58" s="22">
        <f t="shared" si="0"/>
        <v>-1.8628726287262882</v>
      </c>
      <c r="G58" s="22">
        <f t="shared" si="3"/>
        <v>9.8631555555555011</v>
      </c>
      <c r="H58" s="18">
        <f t="shared" si="4"/>
        <v>-18.373802517313969</v>
      </c>
      <c r="I58" s="18">
        <f t="shared" si="5"/>
        <v>3.4702944308575914</v>
      </c>
      <c r="J58" s="24"/>
      <c r="K58" s="24"/>
      <c r="L58" s="19">
        <f t="shared" si="6"/>
        <v>43.114284527991693</v>
      </c>
      <c r="M58" s="126"/>
      <c r="N58" s="126"/>
      <c r="O58" s="9">
        <f t="shared" si="1"/>
        <v>1.4571154720083044</v>
      </c>
      <c r="P58" s="10">
        <f t="shared" si="7"/>
        <v>2.1231854987659835</v>
      </c>
      <c r="Q58" s="135"/>
      <c r="R58" s="135"/>
      <c r="S58" s="135"/>
      <c r="T58" s="135"/>
      <c r="U58" s="135"/>
      <c r="V58" s="10">
        <f t="shared" si="9"/>
        <v>5.955651197872338E-2</v>
      </c>
      <c r="W58" s="13">
        <f t="shared" si="2"/>
        <v>70.661509886202168</v>
      </c>
      <c r="X58" s="68"/>
      <c r="Y58" s="68"/>
      <c r="Z58" s="15">
        <f t="shared" si="8"/>
        <v>97.28183751308535</v>
      </c>
      <c r="AA58" s="135"/>
      <c r="AB58" s="135"/>
      <c r="AC58" s="62"/>
      <c r="AD58" s="62"/>
      <c r="AE58" s="62"/>
      <c r="AF58" s="62"/>
      <c r="AG58" s="62"/>
      <c r="AH58" s="62"/>
      <c r="AI58" s="62"/>
    </row>
    <row r="59" spans="1:35">
      <c r="A59" s="84">
        <f>'Q.6 Rand()'!R57</f>
        <v>3.5</v>
      </c>
      <c r="B59" s="141">
        <f>'Q.6 Rand()'!S57</f>
        <v>37.6</v>
      </c>
      <c r="C59" s="5"/>
      <c r="D59" s="23"/>
      <c r="E59" s="24"/>
      <c r="F59" s="22">
        <f t="shared" si="0"/>
        <v>3.7127371273711685E-2</v>
      </c>
      <c r="G59" s="22">
        <f t="shared" si="3"/>
        <v>2.8917555555555055</v>
      </c>
      <c r="H59" s="18">
        <f t="shared" si="4"/>
        <v>0.10736328214392765</v>
      </c>
      <c r="I59" s="18">
        <f t="shared" si="5"/>
        <v>1.3784416976960316E-3</v>
      </c>
      <c r="J59" s="24"/>
      <c r="K59" s="24"/>
      <c r="L59" s="19">
        <f t="shared" si="6"/>
        <v>34.540710622587362</v>
      </c>
      <c r="M59" s="126"/>
      <c r="N59" s="126"/>
      <c r="O59" s="9">
        <f t="shared" si="1"/>
        <v>3.0592893774126395</v>
      </c>
      <c r="P59" s="10">
        <f t="shared" si="7"/>
        <v>9.3592514947498149</v>
      </c>
      <c r="Q59" s="135"/>
      <c r="R59" s="135"/>
      <c r="S59" s="135"/>
      <c r="T59" s="135"/>
      <c r="U59" s="135"/>
      <c r="V59" s="10">
        <f t="shared" si="9"/>
        <v>3.2691714238464675E-2</v>
      </c>
      <c r="W59" s="13">
        <f t="shared" si="2"/>
        <v>2.806758146605793E-2</v>
      </c>
      <c r="X59" s="68"/>
      <c r="Y59" s="68"/>
      <c r="Z59" s="15">
        <f t="shared" si="8"/>
        <v>8.3622501930861297</v>
      </c>
      <c r="AA59" s="135"/>
      <c r="AB59" s="135"/>
      <c r="AC59" s="62"/>
      <c r="AD59" s="62"/>
      <c r="AE59" s="62"/>
      <c r="AF59" s="62"/>
      <c r="AG59" s="62"/>
      <c r="AH59" s="62"/>
      <c r="AI59" s="62"/>
    </row>
    <row r="60" spans="1:35">
      <c r="A60" s="84">
        <f>'Q.6 Rand()'!R58</f>
        <v>4</v>
      </c>
      <c r="B60" s="141">
        <f>'Q.6 Rand()'!S58</f>
        <v>30</v>
      </c>
      <c r="C60" s="5"/>
      <c r="D60" s="23"/>
      <c r="E60" s="24"/>
      <c r="F60" s="22">
        <f t="shared" si="0"/>
        <v>0.53712737127371168</v>
      </c>
      <c r="G60" s="22">
        <f t="shared" si="3"/>
        <v>-4.708244444444496</v>
      </c>
      <c r="H60" s="18">
        <f t="shared" si="4"/>
        <v>-2.528926961758529</v>
      </c>
      <c r="I60" s="18">
        <f t="shared" si="5"/>
        <v>0.2885058129714077</v>
      </c>
      <c r="J60" s="24"/>
      <c r="K60" s="24"/>
      <c r="L60" s="19">
        <f t="shared" si="6"/>
        <v>32.284506963270431</v>
      </c>
      <c r="M60" s="126"/>
      <c r="N60" s="126"/>
      <c r="O60" s="9">
        <f t="shared" si="1"/>
        <v>-2.2845069632704309</v>
      </c>
      <c r="P60" s="10">
        <f t="shared" si="7"/>
        <v>5.2189720652310863</v>
      </c>
      <c r="Q60" s="135"/>
      <c r="R60" s="135"/>
      <c r="S60" s="135"/>
      <c r="T60" s="135"/>
      <c r="U60" s="135"/>
      <c r="V60" s="10">
        <f t="shared" si="9"/>
        <v>8.1364079186506372E-2</v>
      </c>
      <c r="W60" s="13">
        <f t="shared" si="2"/>
        <v>5.8745033776480016</v>
      </c>
      <c r="X60" s="68"/>
      <c r="Y60" s="68"/>
      <c r="Z60" s="15">
        <f t="shared" si="8"/>
        <v>22.16756574864246</v>
      </c>
      <c r="AA60" s="135"/>
      <c r="AB60" s="135"/>
      <c r="AC60" s="62"/>
      <c r="AD60" s="62"/>
      <c r="AE60" s="62"/>
      <c r="AF60" s="62"/>
      <c r="AG60" s="62"/>
      <c r="AH60" s="62"/>
      <c r="AI60" s="62"/>
    </row>
    <row r="61" spans="1:35">
      <c r="A61" s="84">
        <f>'Q.6 Rand()'!R59</f>
        <v>3</v>
      </c>
      <c r="B61" s="141">
        <f>'Q.6 Rand()'!S59</f>
        <v>32.1</v>
      </c>
      <c r="C61" s="5"/>
      <c r="D61" s="23"/>
      <c r="E61" s="24"/>
      <c r="F61" s="22">
        <f t="shared" si="0"/>
        <v>-0.46287262872628832</v>
      </c>
      <c r="G61" s="22">
        <f t="shared" si="3"/>
        <v>-2.6082444444444945</v>
      </c>
      <c r="H61" s="18">
        <f t="shared" si="4"/>
        <v>1.2072849623607607</v>
      </c>
      <c r="I61" s="18">
        <f t="shared" si="5"/>
        <v>0.21425107042398434</v>
      </c>
      <c r="J61" s="24"/>
      <c r="K61" s="24"/>
      <c r="L61" s="19">
        <f t="shared" si="6"/>
        <v>36.796914281904293</v>
      </c>
      <c r="M61" s="126"/>
      <c r="N61" s="126"/>
      <c r="O61" s="9">
        <f t="shared" si="1"/>
        <v>-4.6969142819042915</v>
      </c>
      <c r="P61" s="10">
        <f t="shared" si="7"/>
        <v>22.061003771556507</v>
      </c>
      <c r="Q61" s="135"/>
      <c r="R61" s="135"/>
      <c r="S61" s="135"/>
      <c r="T61" s="135"/>
      <c r="U61" s="135"/>
      <c r="V61" s="10">
        <f t="shared" si="9"/>
        <v>7.6150232109014365E-2</v>
      </c>
      <c r="W61" s="13">
        <f t="shared" si="2"/>
        <v>4.3625416899143348</v>
      </c>
      <c r="X61" s="68"/>
      <c r="Y61" s="68"/>
      <c r="Z61" s="15">
        <f t="shared" si="8"/>
        <v>6.8029390819755697</v>
      </c>
      <c r="AA61" s="135"/>
      <c r="AB61" s="135"/>
      <c r="AC61" s="62"/>
      <c r="AD61" s="62"/>
      <c r="AE61" s="62"/>
      <c r="AF61" s="62"/>
      <c r="AG61" s="62"/>
      <c r="AH61" s="62"/>
      <c r="AI61" s="62"/>
    </row>
    <row r="62" spans="1:35">
      <c r="A62" s="84">
        <f>'Q.6 Rand()'!R60</f>
        <v>4.2</v>
      </c>
      <c r="B62" s="141">
        <f>'Q.6 Rand()'!S60</f>
        <v>26.881699999999999</v>
      </c>
      <c r="C62" s="5"/>
      <c r="D62" s="23"/>
      <c r="E62" s="24"/>
      <c r="F62" s="22">
        <f t="shared" si="0"/>
        <v>0.73712737127371186</v>
      </c>
      <c r="G62" s="22">
        <f t="shared" si="3"/>
        <v>-7.8265444444444974</v>
      </c>
      <c r="H62" s="18">
        <f t="shared" si="4"/>
        <v>-5.7691601324902457</v>
      </c>
      <c r="I62" s="18">
        <f t="shared" si="5"/>
        <v>0.54335676148089262</v>
      </c>
      <c r="J62" s="24"/>
      <c r="K62" s="24"/>
      <c r="L62" s="19">
        <f t="shared" si="6"/>
        <v>31.382025499543662</v>
      </c>
      <c r="M62" s="126"/>
      <c r="N62" s="126"/>
      <c r="O62" s="9">
        <f t="shared" si="1"/>
        <v>-4.5003254995436635</v>
      </c>
      <c r="P62" s="10">
        <f t="shared" si="7"/>
        <v>20.252929601842926</v>
      </c>
      <c r="Q62" s="135"/>
      <c r="R62" s="135"/>
      <c r="S62" s="135"/>
      <c r="T62" s="135"/>
      <c r="U62" s="135"/>
      <c r="V62" s="10">
        <f t="shared" si="9"/>
        <v>0.14632131719328009</v>
      </c>
      <c r="W62" s="13">
        <f t="shared" si="2"/>
        <v>11.063732469417216</v>
      </c>
      <c r="X62" s="68"/>
      <c r="Y62" s="68"/>
      <c r="Z62" s="15">
        <f t="shared" si="8"/>
        <v>61.254797940865025</v>
      </c>
      <c r="AA62" s="135"/>
      <c r="AB62" s="135"/>
      <c r="AC62" s="62"/>
      <c r="AD62" s="62"/>
      <c r="AE62" s="62"/>
      <c r="AF62" s="62"/>
      <c r="AG62" s="62"/>
      <c r="AH62" s="62"/>
      <c r="AI62" s="62"/>
    </row>
    <row r="63" spans="1:35">
      <c r="A63" s="84">
        <f>'Q.6 Rand()'!R61</f>
        <v>4.8</v>
      </c>
      <c r="B63" s="141">
        <f>'Q.6 Rand()'!S61</f>
        <v>26.228300000000001</v>
      </c>
      <c r="C63" s="5"/>
      <c r="D63" s="23"/>
      <c r="E63" s="24"/>
      <c r="F63" s="22">
        <f t="shared" si="0"/>
        <v>1.3371273712737115</v>
      </c>
      <c r="G63" s="22">
        <f t="shared" si="3"/>
        <v>-8.4799444444444951</v>
      </c>
      <c r="H63" s="18">
        <f t="shared" si="4"/>
        <v>-11.338765823547181</v>
      </c>
      <c r="I63" s="18">
        <f t="shared" si="5"/>
        <v>1.7879096070093459</v>
      </c>
      <c r="J63" s="24"/>
      <c r="K63" s="24"/>
      <c r="L63" s="19">
        <f t="shared" si="6"/>
        <v>28.674581108363348</v>
      </c>
      <c r="M63" s="126"/>
      <c r="N63" s="126"/>
      <c r="O63" s="9">
        <f t="shared" si="1"/>
        <v>-2.4462811083633476</v>
      </c>
      <c r="P63" s="10">
        <f t="shared" si="7"/>
        <v>5.9842912611354082</v>
      </c>
      <c r="Q63" s="135"/>
      <c r="R63" s="135"/>
      <c r="S63" s="135"/>
      <c r="T63" s="135"/>
      <c r="U63" s="135"/>
      <c r="V63" s="10">
        <f t="shared" si="9"/>
        <v>0.1674122358163235</v>
      </c>
      <c r="W63" s="13">
        <f t="shared" si="2"/>
        <v>36.405093253169881</v>
      </c>
      <c r="X63" s="68"/>
      <c r="Y63" s="68"/>
      <c r="Z63" s="15">
        <f t="shared" si="8"/>
        <v>71.909457780865054</v>
      </c>
      <c r="AA63" s="135"/>
      <c r="AB63" s="135"/>
      <c r="AC63" s="62"/>
      <c r="AD63" s="62"/>
      <c r="AE63" s="62"/>
      <c r="AF63" s="62"/>
      <c r="AG63" s="62"/>
      <c r="AH63" s="62"/>
      <c r="AI63" s="62"/>
    </row>
    <row r="64" spans="1:35">
      <c r="A64" s="84">
        <f>'Q.6 Rand()'!R62</f>
        <v>3</v>
      </c>
      <c r="B64" s="141">
        <f>'Q.6 Rand()'!S62</f>
        <v>38.7896</v>
      </c>
      <c r="C64" s="5"/>
      <c r="D64" s="23"/>
      <c r="E64" s="24"/>
      <c r="F64" s="22">
        <f t="shared" si="0"/>
        <v>-0.46287262872628832</v>
      </c>
      <c r="G64" s="22">
        <f t="shared" si="3"/>
        <v>4.0813555555555041</v>
      </c>
      <c r="H64" s="18">
        <f t="shared" si="4"/>
        <v>-1.889147774766617</v>
      </c>
      <c r="I64" s="18">
        <f t="shared" si="5"/>
        <v>0.21425107042398434</v>
      </c>
      <c r="J64" s="24"/>
      <c r="K64" s="24"/>
      <c r="L64" s="19">
        <f t="shared" si="6"/>
        <v>36.796914281904293</v>
      </c>
      <c r="M64" s="126"/>
      <c r="N64" s="126"/>
      <c r="O64" s="9">
        <f t="shared" si="1"/>
        <v>1.9926857180957072</v>
      </c>
      <c r="P64" s="10">
        <f t="shared" si="7"/>
        <v>3.9707963711026042</v>
      </c>
      <c r="Q64" s="135"/>
      <c r="R64" s="135"/>
      <c r="S64" s="135"/>
      <c r="T64" s="135"/>
      <c r="U64" s="135"/>
      <c r="V64" s="10">
        <f t="shared" si="9"/>
        <v>9.3268763448768985E-2</v>
      </c>
      <c r="W64" s="13">
        <f t="shared" si="2"/>
        <v>4.3625416899143348</v>
      </c>
      <c r="X64" s="68"/>
      <c r="Y64" s="68"/>
      <c r="Z64" s="15">
        <f t="shared" si="8"/>
        <v>16.657463170863778</v>
      </c>
      <c r="AA64" s="135"/>
      <c r="AB64" s="135"/>
      <c r="AC64" s="62"/>
      <c r="AD64" s="62"/>
      <c r="AE64" s="62"/>
      <c r="AF64" s="62"/>
      <c r="AG64" s="62"/>
      <c r="AH64" s="62"/>
      <c r="AI64" s="62"/>
    </row>
    <row r="65" spans="1:35">
      <c r="A65" s="84">
        <f>'Q.6 Rand()'!R63</f>
        <v>3.5</v>
      </c>
      <c r="B65" s="141">
        <f>'Q.6 Rand()'!S63</f>
        <v>34.200000000000003</v>
      </c>
      <c r="C65" s="5"/>
      <c r="D65" s="23"/>
      <c r="E65" s="24"/>
      <c r="F65" s="22">
        <f t="shared" si="0"/>
        <v>3.7127371273711685E-2</v>
      </c>
      <c r="G65" s="22">
        <f t="shared" si="3"/>
        <v>-0.50824444444449313</v>
      </c>
      <c r="H65" s="18">
        <f t="shared" si="4"/>
        <v>-1.8869780186692029E-2</v>
      </c>
      <c r="I65" s="18">
        <f t="shared" si="5"/>
        <v>1.3784416976960316E-3</v>
      </c>
      <c r="J65" s="24"/>
      <c r="K65" s="24"/>
      <c r="L65" s="19">
        <f t="shared" si="6"/>
        <v>34.540710622587362</v>
      </c>
      <c r="M65" s="126"/>
      <c r="N65" s="126"/>
      <c r="O65" s="9">
        <f t="shared" si="1"/>
        <v>-0.34071062258735907</v>
      </c>
      <c r="P65" s="10">
        <f t="shared" si="7"/>
        <v>0.11608372834386584</v>
      </c>
      <c r="Q65" s="135"/>
      <c r="R65" s="135"/>
      <c r="S65" s="135"/>
      <c r="T65" s="135"/>
      <c r="U65" s="135"/>
      <c r="V65" s="10">
        <f t="shared" si="9"/>
        <v>5.1371649052728237E-2</v>
      </c>
      <c r="W65" s="13">
        <f t="shared" si="2"/>
        <v>2.806758146605793E-2</v>
      </c>
      <c r="X65" s="68"/>
      <c r="Y65" s="68"/>
      <c r="Z65" s="15">
        <f t="shared" si="8"/>
        <v>0.25831241530869148</v>
      </c>
      <c r="AA65" s="135"/>
      <c r="AB65" s="135"/>
      <c r="AC65" s="62"/>
      <c r="AD65" s="62"/>
      <c r="AE65" s="62"/>
      <c r="AF65" s="62"/>
      <c r="AG65" s="62"/>
      <c r="AH65" s="62"/>
      <c r="AI65" s="62"/>
    </row>
    <row r="66" spans="1:35">
      <c r="A66" s="84">
        <f>'Q.6 Rand()'!R64</f>
        <v>2</v>
      </c>
      <c r="B66" s="141">
        <f>'Q.6 Rand()'!S64</f>
        <v>33.299999999999997</v>
      </c>
      <c r="C66" s="5"/>
      <c r="D66" s="23"/>
      <c r="E66" s="24"/>
      <c r="F66" s="22">
        <f t="shared" si="0"/>
        <v>-1.4628726287262883</v>
      </c>
      <c r="G66" s="22">
        <f t="shared" si="3"/>
        <v>-1.4082444444444988</v>
      </c>
      <c r="H66" s="18">
        <f t="shared" si="4"/>
        <v>2.0600822523337157</v>
      </c>
      <c r="I66" s="18">
        <f t="shared" si="5"/>
        <v>2.139996327876561</v>
      </c>
      <c r="J66" s="24"/>
      <c r="K66" s="24"/>
      <c r="L66" s="19">
        <f t="shared" si="6"/>
        <v>41.309321600538148</v>
      </c>
      <c r="M66" s="126"/>
      <c r="N66" s="126"/>
      <c r="O66" s="9">
        <f t="shared" si="1"/>
        <v>-8.0093216005381507</v>
      </c>
      <c r="P66" s="10">
        <f t="shared" si="7"/>
        <v>64.149232500847006</v>
      </c>
      <c r="Q66" s="135"/>
      <c r="R66" s="135"/>
      <c r="S66" s="135"/>
      <c r="T66" s="135"/>
      <c r="U66" s="135"/>
      <c r="V66" s="10">
        <f t="shared" si="9"/>
        <v>9.9622989060631304E-3</v>
      </c>
      <c r="W66" s="13">
        <f t="shared" si="2"/>
        <v>43.574219620701456</v>
      </c>
      <c r="X66" s="68"/>
      <c r="Y66" s="68"/>
      <c r="Z66" s="15">
        <f t="shared" si="8"/>
        <v>1.9831524153087952</v>
      </c>
      <c r="AA66" s="135"/>
      <c r="AB66" s="135"/>
      <c r="AC66" s="62"/>
      <c r="AD66" s="62"/>
      <c r="AE66" s="62"/>
      <c r="AF66" s="62"/>
      <c r="AG66" s="62"/>
      <c r="AH66" s="62"/>
      <c r="AI66" s="62"/>
    </row>
    <row r="67" spans="1:35">
      <c r="A67" s="84">
        <f>'Q.6 Rand()'!R65</f>
        <v>2.9</v>
      </c>
      <c r="B67" s="141">
        <f>'Q.6 Rand()'!S65</f>
        <v>37.329599999999999</v>
      </c>
      <c r="C67" s="5"/>
      <c r="D67" s="23"/>
      <c r="E67" s="24"/>
      <c r="F67" s="22">
        <f t="shared" si="0"/>
        <v>-0.5628726287262884</v>
      </c>
      <c r="G67" s="22">
        <f t="shared" si="3"/>
        <v>2.6213555555555033</v>
      </c>
      <c r="H67" s="18">
        <f t="shared" si="4"/>
        <v>-1.4754892923817862</v>
      </c>
      <c r="I67" s="18">
        <f t="shared" si="5"/>
        <v>0.31682559616924211</v>
      </c>
      <c r="J67" s="24"/>
      <c r="K67" s="24"/>
      <c r="L67" s="19">
        <f t="shared" si="6"/>
        <v>37.248155013767679</v>
      </c>
      <c r="M67" s="126"/>
      <c r="N67" s="126"/>
      <c r="O67" s="9">
        <f t="shared" si="1"/>
        <v>8.1444986232320105E-2</v>
      </c>
      <c r="P67" s="10">
        <f t="shared" si="7"/>
        <v>6.6332857823828114E-3</v>
      </c>
      <c r="Q67" s="135"/>
      <c r="R67" s="135"/>
      <c r="S67" s="135"/>
      <c r="T67" s="135"/>
      <c r="U67" s="135"/>
      <c r="V67" s="10">
        <f t="shared" si="9"/>
        <v>0.24052016818432886</v>
      </c>
      <c r="W67" s="13">
        <f t="shared" si="2"/>
        <v>6.451145700159616</v>
      </c>
      <c r="X67" s="68"/>
      <c r="Y67" s="68"/>
      <c r="Z67" s="15">
        <f t="shared" si="8"/>
        <v>6.871504948641701</v>
      </c>
      <c r="AA67" s="135"/>
      <c r="AB67" s="135"/>
      <c r="AC67" s="62"/>
      <c r="AD67" s="62"/>
      <c r="AE67" s="62"/>
      <c r="AF67" s="62"/>
      <c r="AG67" s="62"/>
      <c r="AH67" s="62"/>
      <c r="AI67" s="62"/>
    </row>
    <row r="68" spans="1:35">
      <c r="A68" s="84">
        <f>'Q.6 Rand()'!R66</f>
        <v>5.5</v>
      </c>
      <c r="B68" s="141">
        <f>'Q.6 Rand()'!S66</f>
        <v>23.9</v>
      </c>
      <c r="C68" s="5"/>
      <c r="D68" s="23"/>
      <c r="E68" s="24"/>
      <c r="F68" s="22">
        <f t="shared" si="0"/>
        <v>2.0371273712737117</v>
      </c>
      <c r="G68" s="22">
        <f t="shared" si="3"/>
        <v>-10.808244444444497</v>
      </c>
      <c r="H68" s="18">
        <f t="shared" si="4"/>
        <v>-22.017770593194918</v>
      </c>
      <c r="I68" s="18">
        <f t="shared" si="5"/>
        <v>4.1498879267925428</v>
      </c>
      <c r="J68" s="24"/>
      <c r="K68" s="24"/>
      <c r="L68" s="19">
        <f t="shared" si="6"/>
        <v>25.515895985319649</v>
      </c>
      <c r="M68" s="126"/>
      <c r="N68" s="126"/>
      <c r="O68" s="9">
        <f t="shared" si="1"/>
        <v>-1.61589598531965</v>
      </c>
      <c r="P68" s="10">
        <f t="shared" si="7"/>
        <v>2.6111198353721625</v>
      </c>
      <c r="Q68" s="135"/>
      <c r="R68" s="135"/>
      <c r="S68" s="135"/>
      <c r="T68" s="135"/>
      <c r="U68" s="135"/>
      <c r="V68" s="10">
        <f t="shared" si="9"/>
        <v>2.1817803092537853E-3</v>
      </c>
      <c r="W68" s="13">
        <f t="shared" si="2"/>
        <v>84.499270193974951</v>
      </c>
      <c r="X68" s="68"/>
      <c r="Y68" s="68"/>
      <c r="Z68" s="15">
        <f t="shared" si="8"/>
        <v>116.81814797086534</v>
      </c>
      <c r="AA68" s="135"/>
      <c r="AB68" s="135"/>
      <c r="AC68" s="62"/>
      <c r="AD68" s="62"/>
      <c r="AE68" s="62"/>
      <c r="AF68" s="62"/>
      <c r="AG68" s="62"/>
      <c r="AH68" s="62"/>
      <c r="AI68" s="62"/>
    </row>
    <row r="69" spans="1:35">
      <c r="A69" s="84">
        <f>'Q.6 Rand()'!R67</f>
        <v>6</v>
      </c>
      <c r="B69" s="141">
        <f>'Q.6 Rand()'!S67</f>
        <v>21.4</v>
      </c>
      <c r="C69" s="5"/>
      <c r="D69" s="23"/>
      <c r="E69" s="24"/>
      <c r="F69" s="22">
        <f t="shared" ref="F69:F132" si="10">A69-$D$5</f>
        <v>2.5371273712737117</v>
      </c>
      <c r="G69" s="22">
        <f t="shared" si="3"/>
        <v>-13.308244444444497</v>
      </c>
      <c r="H69" s="18">
        <f t="shared" si="4"/>
        <v>-33.764711243601447</v>
      </c>
      <c r="I69" s="18">
        <f t="shared" si="5"/>
        <v>6.4370152980662541</v>
      </c>
      <c r="J69" s="24"/>
      <c r="K69" s="24"/>
      <c r="L69" s="19">
        <f t="shared" si="6"/>
        <v>23.259692326002721</v>
      </c>
      <c r="M69" s="126"/>
      <c r="N69" s="126"/>
      <c r="O69" s="9">
        <f t="shared" ref="O69:O87" si="11">B69-L69</f>
        <v>-1.8596923260027225</v>
      </c>
      <c r="P69" s="10">
        <f t="shared" si="7"/>
        <v>3.4584555473934162</v>
      </c>
      <c r="Q69" s="135"/>
      <c r="R69" s="135"/>
      <c r="S69" s="135"/>
      <c r="T69" s="135"/>
      <c r="U69" s="135"/>
      <c r="V69" s="10">
        <f t="shared" si="9"/>
        <v>6.7610710682830547E-2</v>
      </c>
      <c r="W69" s="13">
        <f t="shared" ref="W69:W86" si="12">(L69-$E$5)^2</f>
        <v>131.06934560867765</v>
      </c>
      <c r="X69" s="68"/>
      <c r="Y69" s="68"/>
      <c r="Z69" s="15">
        <f t="shared" si="8"/>
        <v>177.10937019308784</v>
      </c>
      <c r="AA69" s="135"/>
      <c r="AB69" s="135"/>
      <c r="AC69" s="62"/>
      <c r="AD69" s="62"/>
      <c r="AE69" s="62"/>
      <c r="AF69" s="62"/>
      <c r="AG69" s="62"/>
      <c r="AH69" s="62"/>
      <c r="AI69" s="62"/>
    </row>
    <row r="70" spans="1:35">
      <c r="A70" s="84">
        <f>'Q.6 Rand()'!R68</f>
        <v>3.7</v>
      </c>
      <c r="B70" s="141">
        <f>'Q.6 Rand()'!S68</f>
        <v>35.2288</v>
      </c>
      <c r="C70" s="5"/>
      <c r="D70" s="23"/>
      <c r="E70" s="24"/>
      <c r="F70" s="22">
        <f t="shared" si="10"/>
        <v>0.23712737127371186</v>
      </c>
      <c r="G70" s="22">
        <f t="shared" ref="G70:G133" si="13">B70-$E$5</f>
        <v>0.5205555555555037</v>
      </c>
      <c r="H70" s="18">
        <f t="shared" ref="H70:H86" si="14">F70*G70</f>
        <v>0.12343797049080327</v>
      </c>
      <c r="I70" s="18">
        <f t="shared" ref="I70:I86" si="15">F70^2</f>
        <v>5.6229390207180791E-2</v>
      </c>
      <c r="J70" s="24"/>
      <c r="K70" s="24"/>
      <c r="L70" s="19">
        <f t="shared" ref="L70:L133" si="16">$K$5+$J$5*A70</f>
        <v>33.63822915886059</v>
      </c>
      <c r="M70" s="126"/>
      <c r="N70" s="126"/>
      <c r="O70" s="9">
        <f t="shared" si="11"/>
        <v>1.5905708411394102</v>
      </c>
      <c r="P70" s="10">
        <f t="shared" ref="P70:P87" si="17">O70^2</f>
        <v>2.5299156006829309</v>
      </c>
      <c r="Q70" s="135"/>
      <c r="R70" s="135"/>
      <c r="S70" s="135"/>
      <c r="T70" s="135"/>
      <c r="U70" s="135"/>
      <c r="V70" s="10">
        <f t="shared" si="9"/>
        <v>8.6901510560874889E-2</v>
      </c>
      <c r="W70" s="13">
        <f t="shared" si="12"/>
        <v>1.1449327113832088</v>
      </c>
      <c r="X70" s="68"/>
      <c r="Y70" s="68"/>
      <c r="Z70" s="15">
        <f t="shared" ref="Z70:Z133" si="18">(B70-$E$5)^2</f>
        <v>0.27097808641969912</v>
      </c>
      <c r="AA70" s="135"/>
      <c r="AB70" s="135"/>
      <c r="AC70" s="62"/>
      <c r="AD70" s="62"/>
      <c r="AE70" s="62"/>
      <c r="AF70" s="62"/>
      <c r="AG70" s="62"/>
      <c r="AH70" s="62"/>
      <c r="AI70" s="62"/>
    </row>
    <row r="71" spans="1:35">
      <c r="A71" s="84">
        <f>'Q.6 Rand()'!R69</f>
        <v>4</v>
      </c>
      <c r="B71" s="141">
        <f>'Q.6 Rand()'!S69</f>
        <v>28.6</v>
      </c>
      <c r="C71" s="5"/>
      <c r="D71" s="23"/>
      <c r="E71" s="24"/>
      <c r="F71" s="22">
        <f t="shared" si="10"/>
        <v>0.53712737127371168</v>
      </c>
      <c r="G71" s="22">
        <f t="shared" si="13"/>
        <v>-6.1082444444444945</v>
      </c>
      <c r="H71" s="18">
        <f t="shared" si="14"/>
        <v>-3.2809052815417248</v>
      </c>
      <c r="I71" s="18">
        <f t="shared" si="15"/>
        <v>0.2885058129714077</v>
      </c>
      <c r="J71" s="24"/>
      <c r="K71" s="24"/>
      <c r="L71" s="19">
        <f t="shared" si="16"/>
        <v>32.284506963270431</v>
      </c>
      <c r="M71" s="126"/>
      <c r="N71" s="126"/>
      <c r="O71" s="9">
        <f t="shared" si="11"/>
        <v>-3.6845069632704295</v>
      </c>
      <c r="P71" s="10">
        <f t="shared" si="17"/>
        <v>13.575591562388283</v>
      </c>
      <c r="Q71" s="135"/>
      <c r="R71" s="135"/>
      <c r="S71" s="135"/>
      <c r="T71" s="135"/>
      <c r="U71" s="135"/>
      <c r="V71" s="10">
        <f t="shared" ref="V71:V86" si="19">ABS(O70) / B70</f>
        <v>4.5149730934332423E-2</v>
      </c>
      <c r="W71" s="13">
        <f t="shared" si="12"/>
        <v>5.8745033776480016</v>
      </c>
      <c r="X71" s="68"/>
      <c r="Y71" s="68"/>
      <c r="Z71" s="15">
        <f t="shared" si="18"/>
        <v>37.310650193087035</v>
      </c>
      <c r="AA71" s="135"/>
      <c r="AB71" s="135"/>
      <c r="AC71" s="62"/>
      <c r="AD71" s="62"/>
      <c r="AE71" s="62"/>
      <c r="AF71" s="62"/>
      <c r="AG71" s="62"/>
      <c r="AH71" s="62"/>
      <c r="AI71" s="62"/>
    </row>
    <row r="72" spans="1:35">
      <c r="A72" s="84">
        <f>'Q.6 Rand()'!R70</f>
        <v>2.4</v>
      </c>
      <c r="B72" s="141">
        <f>'Q.6 Rand()'!S70</f>
        <v>40.832099999999997</v>
      </c>
      <c r="C72" s="5"/>
      <c r="D72" s="23"/>
      <c r="E72" s="24"/>
      <c r="F72" s="22">
        <f t="shared" si="10"/>
        <v>-1.0628726287262884</v>
      </c>
      <c r="G72" s="22">
        <f t="shared" si="13"/>
        <v>6.123855555555501</v>
      </c>
      <c r="H72" s="18">
        <f t="shared" si="14"/>
        <v>-6.5088784522733603</v>
      </c>
      <c r="I72" s="18">
        <f t="shared" si="15"/>
        <v>1.1296982248955305</v>
      </c>
      <c r="J72" s="24"/>
      <c r="K72" s="24"/>
      <c r="L72" s="19">
        <f t="shared" si="16"/>
        <v>39.50435867308461</v>
      </c>
      <c r="M72" s="126"/>
      <c r="N72" s="126"/>
      <c r="O72" s="9">
        <f t="shared" si="11"/>
        <v>1.3277413269153868</v>
      </c>
      <c r="P72" s="10">
        <f t="shared" si="17"/>
        <v>1.7628970311990322</v>
      </c>
      <c r="Q72" s="135"/>
      <c r="R72" s="135"/>
      <c r="S72" s="135"/>
      <c r="T72" s="135"/>
      <c r="U72" s="135"/>
      <c r="V72" s="10">
        <f t="shared" si="19"/>
        <v>0.12882891479966535</v>
      </c>
      <c r="W72" s="13">
        <f t="shared" si="12"/>
        <v>23.002711694164159</v>
      </c>
      <c r="X72" s="68"/>
      <c r="Y72" s="68"/>
      <c r="Z72" s="15">
        <f t="shared" si="18"/>
        <v>37.501606865307977</v>
      </c>
      <c r="AA72" s="135"/>
      <c r="AB72" s="135"/>
      <c r="AC72" s="62"/>
      <c r="AD72" s="62"/>
      <c r="AE72" s="62"/>
      <c r="AF72" s="62"/>
      <c r="AG72" s="62"/>
      <c r="AH72" s="62"/>
      <c r="AI72" s="62"/>
    </row>
    <row r="73" spans="1:35">
      <c r="A73" s="84">
        <f>'Q.6 Rand()'!R71</f>
        <v>2.5</v>
      </c>
      <c r="B73" s="141">
        <f>'Q.6 Rand()'!S71</f>
        <v>47.649299999999997</v>
      </c>
      <c r="C73" s="5"/>
      <c r="D73" s="23"/>
      <c r="E73" s="24"/>
      <c r="F73" s="22">
        <f t="shared" si="10"/>
        <v>-0.96287262872628832</v>
      </c>
      <c r="G73" s="22">
        <f t="shared" si="13"/>
        <v>12.941055555555501</v>
      </c>
      <c r="H73" s="18">
        <f t="shared" si="14"/>
        <v>-12.460588181270662</v>
      </c>
      <c r="I73" s="18">
        <f t="shared" si="15"/>
        <v>0.92712369915027271</v>
      </c>
      <c r="J73" s="24"/>
      <c r="K73" s="24"/>
      <c r="L73" s="19">
        <f t="shared" si="16"/>
        <v>39.053117941221217</v>
      </c>
      <c r="M73" s="126"/>
      <c r="N73" s="126"/>
      <c r="O73" s="9">
        <f t="shared" si="11"/>
        <v>8.5961820587787798</v>
      </c>
      <c r="P73" s="10">
        <f t="shared" si="17"/>
        <v>73.894345987670178</v>
      </c>
      <c r="Q73" s="135"/>
      <c r="R73" s="135"/>
      <c r="S73" s="135"/>
      <c r="T73" s="135"/>
      <c r="U73" s="135"/>
      <c r="V73" s="10">
        <f t="shared" si="19"/>
        <v>3.2517096277570511E-2</v>
      </c>
      <c r="W73" s="13">
        <f t="shared" si="12"/>
        <v>18.877925702992769</v>
      </c>
      <c r="X73" s="68"/>
      <c r="Y73" s="68"/>
      <c r="Z73" s="15">
        <f t="shared" si="18"/>
        <v>167.47091889197389</v>
      </c>
      <c r="AA73" s="135"/>
      <c r="AB73" s="135"/>
      <c r="AC73" s="62"/>
      <c r="AD73" s="62"/>
      <c r="AE73" s="62"/>
      <c r="AF73" s="62"/>
      <c r="AG73" s="62"/>
      <c r="AH73" s="62"/>
      <c r="AI73" s="62"/>
    </row>
    <row r="74" spans="1:35">
      <c r="A74" s="84">
        <f>'Q.6 Rand()'!R72</f>
        <v>3</v>
      </c>
      <c r="B74" s="141">
        <f>'Q.6 Rand()'!S72</f>
        <v>38.7896</v>
      </c>
      <c r="C74" s="5"/>
      <c r="D74" s="23"/>
      <c r="E74" s="24"/>
      <c r="F74" s="22">
        <f t="shared" si="10"/>
        <v>-0.46287262872628832</v>
      </c>
      <c r="G74" s="22">
        <f t="shared" si="13"/>
        <v>4.0813555555555041</v>
      </c>
      <c r="H74" s="18">
        <f t="shared" si="14"/>
        <v>-1.889147774766617</v>
      </c>
      <c r="I74" s="18">
        <f t="shared" si="15"/>
        <v>0.21425107042398434</v>
      </c>
      <c r="J74" s="24"/>
      <c r="K74" s="24"/>
      <c r="L74" s="19">
        <f t="shared" si="16"/>
        <v>36.796914281904293</v>
      </c>
      <c r="M74" s="126"/>
      <c r="N74" s="126"/>
      <c r="O74" s="9">
        <f t="shared" si="11"/>
        <v>1.9926857180957072</v>
      </c>
      <c r="P74" s="10">
        <f t="shared" si="17"/>
        <v>3.9707963711026042</v>
      </c>
      <c r="Q74" s="135"/>
      <c r="R74" s="135"/>
      <c r="S74" s="135"/>
      <c r="T74" s="135"/>
      <c r="U74" s="135"/>
      <c r="V74" s="10">
        <f t="shared" si="19"/>
        <v>0.18040521180329575</v>
      </c>
      <c r="W74" s="13">
        <f t="shared" si="12"/>
        <v>4.3625416899143348</v>
      </c>
      <c r="X74" s="68"/>
      <c r="Y74" s="68"/>
      <c r="Z74" s="15">
        <f t="shared" si="18"/>
        <v>16.657463170863778</v>
      </c>
      <c r="AA74" s="135"/>
      <c r="AB74" s="135"/>
      <c r="AC74" s="62"/>
      <c r="AD74" s="62"/>
      <c r="AE74" s="62"/>
      <c r="AF74" s="62"/>
      <c r="AG74" s="62"/>
      <c r="AH74" s="62"/>
      <c r="AI74" s="62"/>
    </row>
    <row r="75" spans="1:35">
      <c r="A75" s="84">
        <f>'Q.6 Rand()'!R73</f>
        <v>2.4</v>
      </c>
      <c r="B75" s="141">
        <f>'Q.6 Rand()'!S73</f>
        <v>34.299999999999997</v>
      </c>
      <c r="C75" s="5"/>
      <c r="D75" s="23"/>
      <c r="E75" s="24"/>
      <c r="F75" s="22">
        <f t="shared" si="10"/>
        <v>-1.0628726287262884</v>
      </c>
      <c r="G75" s="22">
        <f t="shared" si="13"/>
        <v>-0.40824444444449881</v>
      </c>
      <c r="H75" s="18">
        <f t="shared" si="14"/>
        <v>0.43391184582962766</v>
      </c>
      <c r="I75" s="18">
        <f t="shared" si="15"/>
        <v>1.1296982248955305</v>
      </c>
      <c r="J75" s="24"/>
      <c r="K75" s="24"/>
      <c r="L75" s="19">
        <f t="shared" si="16"/>
        <v>39.50435867308461</v>
      </c>
      <c r="M75" s="126"/>
      <c r="N75" s="126"/>
      <c r="O75" s="9">
        <f t="shared" si="11"/>
        <v>-5.204358673084613</v>
      </c>
      <c r="P75" s="10">
        <f t="shared" si="17"/>
        <v>27.085349198111032</v>
      </c>
      <c r="Q75" s="135"/>
      <c r="R75" s="135"/>
      <c r="S75" s="135"/>
      <c r="T75" s="135"/>
      <c r="U75" s="135"/>
      <c r="V75" s="10">
        <f t="shared" si="19"/>
        <v>5.1371649052728237E-2</v>
      </c>
      <c r="W75" s="13">
        <f t="shared" si="12"/>
        <v>23.002711694164159</v>
      </c>
      <c r="X75" s="68"/>
      <c r="Y75" s="68"/>
      <c r="Z75" s="15">
        <f t="shared" si="18"/>
        <v>0.16666352641979748</v>
      </c>
      <c r="AA75" s="135"/>
      <c r="AB75" s="135"/>
      <c r="AC75" s="62"/>
      <c r="AD75" s="62"/>
      <c r="AE75" s="62"/>
      <c r="AF75" s="62"/>
      <c r="AG75" s="62"/>
      <c r="AH75" s="62"/>
      <c r="AI75" s="62"/>
    </row>
    <row r="76" spans="1:35">
      <c r="A76" s="84">
        <f>'Q.6 Rand()'!R74</f>
        <v>1.8</v>
      </c>
      <c r="B76" s="141">
        <f>'Q.6 Rand()'!S74</f>
        <v>37.002800000000001</v>
      </c>
      <c r="C76" s="5"/>
      <c r="D76" s="23"/>
      <c r="E76" s="24"/>
      <c r="F76" s="22">
        <f t="shared" si="10"/>
        <v>-1.6628726287262883</v>
      </c>
      <c r="G76" s="22">
        <f t="shared" si="13"/>
        <v>2.2945555555555046</v>
      </c>
      <c r="H76" s="18">
        <f t="shared" si="14"/>
        <v>-3.8155536284250906</v>
      </c>
      <c r="I76" s="18">
        <f t="shared" si="15"/>
        <v>2.7651453793670759</v>
      </c>
      <c r="J76" s="24"/>
      <c r="K76" s="24"/>
      <c r="L76" s="19">
        <f t="shared" si="16"/>
        <v>42.21180306426492</v>
      </c>
      <c r="M76" s="126"/>
      <c r="N76" s="126"/>
      <c r="O76" s="9">
        <f t="shared" si="11"/>
        <v>-5.2090030642649197</v>
      </c>
      <c r="P76" s="10">
        <f t="shared" si="17"/>
        <v>27.133712923521323</v>
      </c>
      <c r="Q76" s="135"/>
      <c r="R76" s="135"/>
      <c r="S76" s="135"/>
      <c r="T76" s="135"/>
      <c r="U76" s="135"/>
      <c r="V76" s="10">
        <f t="shared" si="19"/>
        <v>0.15173057355931818</v>
      </c>
      <c r="W76" s="13">
        <f t="shared" si="12"/>
        <v>56.303391961081388</v>
      </c>
      <c r="X76" s="68"/>
      <c r="Y76" s="68"/>
      <c r="Z76" s="15">
        <f t="shared" si="18"/>
        <v>5.2649851975306303</v>
      </c>
      <c r="AA76" s="135"/>
      <c r="AB76" s="135"/>
      <c r="AC76" s="62"/>
      <c r="AD76" s="62"/>
      <c r="AE76" s="62"/>
      <c r="AF76" s="62"/>
      <c r="AG76" s="62"/>
      <c r="AH76" s="62"/>
      <c r="AI76" s="62"/>
    </row>
    <row r="77" spans="1:35">
      <c r="A77" s="84">
        <f>'Q.6 Rand()'!R75</f>
        <v>2.4</v>
      </c>
      <c r="B77" s="141">
        <f>'Q.6 Rand()'!S75</f>
        <v>34.1</v>
      </c>
      <c r="C77" s="5"/>
      <c r="D77" s="23"/>
      <c r="E77" s="24"/>
      <c r="F77" s="22">
        <f t="shared" si="10"/>
        <v>-1.0628726287262884</v>
      </c>
      <c r="G77" s="22">
        <f t="shared" si="13"/>
        <v>-0.60824444444449455</v>
      </c>
      <c r="H77" s="18">
        <f t="shared" si="14"/>
        <v>0.64648637157488076</v>
      </c>
      <c r="I77" s="18">
        <f t="shared" si="15"/>
        <v>1.1296982248955305</v>
      </c>
      <c r="J77" s="24"/>
      <c r="K77" s="24"/>
      <c r="L77" s="19">
        <f t="shared" si="16"/>
        <v>39.50435867308461</v>
      </c>
      <c r="M77" s="126"/>
      <c r="N77" s="126"/>
      <c r="O77" s="9">
        <f t="shared" si="11"/>
        <v>-5.4043586730846087</v>
      </c>
      <c r="P77" s="10">
        <f t="shared" si="17"/>
        <v>29.207092667344831</v>
      </c>
      <c r="Q77" s="135"/>
      <c r="R77" s="135"/>
      <c r="S77" s="135"/>
      <c r="T77" s="135"/>
      <c r="U77" s="135"/>
      <c r="V77" s="10">
        <f t="shared" si="19"/>
        <v>0.14077321349370642</v>
      </c>
      <c r="W77" s="13">
        <f t="shared" si="12"/>
        <v>23.002711694164159</v>
      </c>
      <c r="X77" s="68"/>
      <c r="Y77" s="68"/>
      <c r="Z77" s="15">
        <f t="shared" si="18"/>
        <v>0.36996130419759182</v>
      </c>
      <c r="AA77" s="135"/>
      <c r="AB77" s="135"/>
      <c r="AC77" s="62"/>
      <c r="AD77" s="62"/>
      <c r="AE77" s="62"/>
      <c r="AF77" s="62"/>
      <c r="AG77" s="62"/>
      <c r="AH77" s="62"/>
      <c r="AI77" s="62"/>
    </row>
    <row r="78" spans="1:35">
      <c r="A78" s="84">
        <f>'Q.6 Rand()'!R76</f>
        <v>4.5999999999999996</v>
      </c>
      <c r="B78" s="141">
        <f>'Q.6 Rand()'!S76</f>
        <v>26.782900000000001</v>
      </c>
      <c r="C78" s="5"/>
      <c r="D78" s="23"/>
      <c r="E78" s="24"/>
      <c r="F78" s="22">
        <f t="shared" si="10"/>
        <v>1.1371273712737113</v>
      </c>
      <c r="G78" s="22">
        <f t="shared" si="13"/>
        <v>-7.9253444444444945</v>
      </c>
      <c r="H78" s="18">
        <f t="shared" si="14"/>
        <v>-9.0121260945498793</v>
      </c>
      <c r="I78" s="18">
        <f t="shared" si="15"/>
        <v>1.2930586584998609</v>
      </c>
      <c r="J78" s="24"/>
      <c r="K78" s="24"/>
      <c r="L78" s="19">
        <f t="shared" si="16"/>
        <v>29.577062572090121</v>
      </c>
      <c r="M78" s="126"/>
      <c r="N78" s="126"/>
      <c r="O78" s="9">
        <f t="shared" si="11"/>
        <v>-2.7941625720901193</v>
      </c>
      <c r="P78" s="10">
        <f t="shared" si="17"/>
        <v>7.807344479269271</v>
      </c>
      <c r="Q78" s="135"/>
      <c r="R78" s="135"/>
      <c r="S78" s="135"/>
      <c r="T78" s="135"/>
      <c r="U78" s="135"/>
      <c r="V78" s="10">
        <f t="shared" si="19"/>
        <v>0.1584855915860589</v>
      </c>
      <c r="W78" s="13">
        <f t="shared" si="12"/>
        <v>26.329027407178152</v>
      </c>
      <c r="X78" s="68"/>
      <c r="Y78" s="68"/>
      <c r="Z78" s="15">
        <f t="shared" si="18"/>
        <v>62.811084563087213</v>
      </c>
      <c r="AA78" s="135"/>
      <c r="AB78" s="135"/>
      <c r="AC78" s="62"/>
      <c r="AD78" s="62"/>
      <c r="AE78" s="62"/>
      <c r="AF78" s="62"/>
      <c r="AG78" s="62"/>
      <c r="AH78" s="62"/>
      <c r="AI78" s="62"/>
    </row>
    <row r="79" spans="1:35">
      <c r="A79" s="84">
        <f>'Q.6 Rand()'!R77</f>
        <v>5.7</v>
      </c>
      <c r="B79" s="141">
        <f>'Q.6 Rand()'!S77</f>
        <v>25.4</v>
      </c>
      <c r="C79" s="5"/>
      <c r="D79" s="23"/>
      <c r="E79" s="24"/>
      <c r="F79" s="22">
        <f t="shared" si="10"/>
        <v>2.2371273712737119</v>
      </c>
      <c r="G79" s="22">
        <f t="shared" si="13"/>
        <v>-9.3082444444444974</v>
      </c>
      <c r="H79" s="18">
        <f t="shared" si="14"/>
        <v>-20.82372842517325</v>
      </c>
      <c r="I79" s="18">
        <f t="shared" si="15"/>
        <v>5.0047388753020279</v>
      </c>
      <c r="J79" s="24"/>
      <c r="K79" s="24"/>
      <c r="L79" s="19">
        <f t="shared" si="16"/>
        <v>24.613414521592876</v>
      </c>
      <c r="M79" s="126"/>
      <c r="N79" s="126"/>
      <c r="O79" s="9">
        <f t="shared" si="11"/>
        <v>0.78658547840712245</v>
      </c>
      <c r="P79" s="10">
        <f t="shared" si="17"/>
        <v>0.61871671484096169</v>
      </c>
      <c r="Q79" s="135"/>
      <c r="R79" s="135"/>
      <c r="S79" s="135"/>
      <c r="T79" s="135"/>
      <c r="U79" s="135"/>
      <c r="V79" s="10">
        <f t="shared" si="19"/>
        <v>0.10432636391466642</v>
      </c>
      <c r="W79" s="13">
        <f t="shared" si="12"/>
        <v>101.90559117130044</v>
      </c>
      <c r="X79" s="68"/>
      <c r="Y79" s="68"/>
      <c r="Z79" s="15">
        <f t="shared" si="18"/>
        <v>86.643414637531848</v>
      </c>
      <c r="AA79" s="135"/>
      <c r="AB79" s="135"/>
      <c r="AC79" s="62"/>
      <c r="AD79" s="62"/>
      <c r="AE79" s="62"/>
      <c r="AF79" s="62"/>
      <c r="AG79" s="62"/>
      <c r="AH79" s="62"/>
      <c r="AI79" s="62"/>
    </row>
    <row r="80" spans="1:35">
      <c r="A80" s="84">
        <f>'Q.6 Rand()'!R78</f>
        <v>2.5</v>
      </c>
      <c r="B80" s="141">
        <f>'Q.6 Rand()'!S78</f>
        <v>40.4</v>
      </c>
      <c r="C80" s="5"/>
      <c r="D80" s="23"/>
      <c r="E80" s="24"/>
      <c r="F80" s="22">
        <f t="shared" si="10"/>
        <v>-0.96287262872628832</v>
      </c>
      <c r="G80" s="22">
        <f t="shared" si="13"/>
        <v>5.6917555555555026</v>
      </c>
      <c r="H80" s="18">
        <f t="shared" si="14"/>
        <v>-5.4804356338451825</v>
      </c>
      <c r="I80" s="18">
        <f t="shared" si="15"/>
        <v>0.92712369915027271</v>
      </c>
      <c r="J80" s="24"/>
      <c r="K80" s="24"/>
      <c r="L80" s="19">
        <f t="shared" si="16"/>
        <v>39.053117941221217</v>
      </c>
      <c r="M80" s="126"/>
      <c r="N80" s="126"/>
      <c r="O80" s="9">
        <f t="shared" si="11"/>
        <v>1.3468820587787818</v>
      </c>
      <c r="P80" s="10">
        <f t="shared" si="17"/>
        <v>1.8140912802601696</v>
      </c>
      <c r="Q80" s="135"/>
      <c r="R80" s="135"/>
      <c r="S80" s="135"/>
      <c r="T80" s="135"/>
      <c r="U80" s="135"/>
      <c r="V80" s="10">
        <f t="shared" si="19"/>
        <v>3.0967932220752854E-2</v>
      </c>
      <c r="W80" s="13">
        <f t="shared" si="12"/>
        <v>18.877925702992769</v>
      </c>
      <c r="X80" s="68"/>
      <c r="Y80" s="68"/>
      <c r="Z80" s="15">
        <f t="shared" si="18"/>
        <v>32.396081304196926</v>
      </c>
      <c r="AA80" s="135"/>
      <c r="AB80" s="135"/>
      <c r="AC80" s="62"/>
      <c r="AD80" s="62"/>
      <c r="AE80" s="62"/>
      <c r="AF80" s="62"/>
      <c r="AG80" s="62"/>
      <c r="AH80" s="62"/>
      <c r="AI80" s="62"/>
    </row>
    <row r="81" spans="1:35">
      <c r="A81" s="84">
        <f>'Q.6 Rand()'!R79</f>
        <v>4</v>
      </c>
      <c r="B81" s="141">
        <f>'Q.6 Rand()'!S79</f>
        <v>28.3</v>
      </c>
      <c r="C81" s="5"/>
      <c r="D81" s="23"/>
      <c r="E81" s="24"/>
      <c r="F81" s="22">
        <f t="shared" si="10"/>
        <v>0.53712737127371168</v>
      </c>
      <c r="G81" s="22">
        <f t="shared" si="13"/>
        <v>-6.4082444444444953</v>
      </c>
      <c r="H81" s="18">
        <f t="shared" si="14"/>
        <v>-3.4420434929238386</v>
      </c>
      <c r="I81" s="18">
        <f t="shared" si="15"/>
        <v>0.2885058129714077</v>
      </c>
      <c r="J81" s="24"/>
      <c r="K81" s="24"/>
      <c r="L81" s="19">
        <f t="shared" si="16"/>
        <v>32.284506963270431</v>
      </c>
      <c r="M81" s="126"/>
      <c r="N81" s="126"/>
      <c r="O81" s="9">
        <f t="shared" si="11"/>
        <v>-3.9845069632704302</v>
      </c>
      <c r="P81" s="10">
        <f t="shared" si="17"/>
        <v>15.876295740350546</v>
      </c>
      <c r="Q81" s="135"/>
      <c r="R81" s="135"/>
      <c r="S81" s="135"/>
      <c r="T81" s="135"/>
      <c r="U81" s="135"/>
      <c r="V81" s="10">
        <f t="shared" si="19"/>
        <v>3.3338664821256976E-2</v>
      </c>
      <c r="W81" s="13">
        <f t="shared" si="12"/>
        <v>5.8745033776480016</v>
      </c>
      <c r="X81" s="68"/>
      <c r="Y81" s="68"/>
      <c r="Z81" s="15">
        <f t="shared" si="18"/>
        <v>41.06559685975374</v>
      </c>
      <c r="AA81" s="135"/>
      <c r="AB81" s="135"/>
      <c r="AC81" s="62"/>
      <c r="AD81" s="62"/>
      <c r="AE81" s="62"/>
      <c r="AF81" s="62"/>
      <c r="AG81" s="62"/>
      <c r="AH81" s="62"/>
      <c r="AI81" s="62"/>
    </row>
    <row r="82" spans="1:35">
      <c r="A82" s="84">
        <f>'Q.6 Rand()'!R80</f>
        <v>2.4</v>
      </c>
      <c r="B82" s="141">
        <f>'Q.6 Rand()'!S80</f>
        <v>42.214599999999997</v>
      </c>
      <c r="C82" s="5"/>
      <c r="D82" s="23"/>
      <c r="E82" s="24"/>
      <c r="F82" s="22">
        <f t="shared" si="10"/>
        <v>-1.0628726287262884</v>
      </c>
      <c r="G82" s="22">
        <f t="shared" si="13"/>
        <v>7.5063555555555013</v>
      </c>
      <c r="H82" s="18">
        <f t="shared" si="14"/>
        <v>-7.9782998614874545</v>
      </c>
      <c r="I82" s="18">
        <f t="shared" si="15"/>
        <v>1.1296982248955305</v>
      </c>
      <c r="J82" s="24"/>
      <c r="K82" s="24"/>
      <c r="L82" s="19">
        <f t="shared" si="16"/>
        <v>39.50435867308461</v>
      </c>
      <c r="M82" s="126"/>
      <c r="N82" s="126"/>
      <c r="O82" s="9">
        <f t="shared" si="11"/>
        <v>2.7102413269153871</v>
      </c>
      <c r="P82" s="10">
        <f t="shared" si="17"/>
        <v>7.3454080501200778</v>
      </c>
      <c r="Q82" s="135"/>
      <c r="R82" s="135"/>
      <c r="S82" s="135"/>
      <c r="T82" s="135"/>
      <c r="U82" s="135"/>
      <c r="V82" s="10">
        <f t="shared" si="19"/>
        <v>0.14079529905549223</v>
      </c>
      <c r="W82" s="13">
        <f t="shared" si="12"/>
        <v>23.002711694164159</v>
      </c>
      <c r="X82" s="68"/>
      <c r="Y82" s="68"/>
      <c r="Z82" s="15">
        <f t="shared" si="18"/>
        <v>56.345373726418941</v>
      </c>
      <c r="AA82" s="135"/>
      <c r="AB82" s="135"/>
      <c r="AC82" s="62"/>
      <c r="AD82" s="62"/>
      <c r="AE82" s="62"/>
      <c r="AF82" s="62"/>
      <c r="AG82" s="62"/>
      <c r="AH82" s="62"/>
      <c r="AI82" s="62"/>
    </row>
    <row r="83" spans="1:35">
      <c r="A83" s="84">
        <f>'Q.6 Rand()'!R81</f>
        <v>4.7</v>
      </c>
      <c r="B83" s="141">
        <f>'Q.6 Rand()'!S81</f>
        <v>25.6</v>
      </c>
      <c r="C83" s="5"/>
      <c r="D83" s="23"/>
      <c r="E83" s="24"/>
      <c r="F83" s="22">
        <f t="shared" si="10"/>
        <v>1.2371273712737119</v>
      </c>
      <c r="G83" s="22">
        <f t="shared" si="13"/>
        <v>-9.1082444444444945</v>
      </c>
      <c r="H83" s="18">
        <f t="shared" si="14"/>
        <v>-11.268058506474008</v>
      </c>
      <c r="I83" s="18">
        <f t="shared" si="15"/>
        <v>1.5304841327546046</v>
      </c>
      <c r="J83" s="24"/>
      <c r="K83" s="24"/>
      <c r="L83" s="19">
        <f t="shared" si="16"/>
        <v>29.125821840226735</v>
      </c>
      <c r="M83" s="126"/>
      <c r="N83" s="126"/>
      <c r="O83" s="9">
        <f t="shared" si="11"/>
        <v>-3.5258218402267332</v>
      </c>
      <c r="P83" s="10">
        <f t="shared" si="17"/>
        <v>12.431419649019826</v>
      </c>
      <c r="Q83" s="135"/>
      <c r="R83" s="135"/>
      <c r="S83" s="135"/>
      <c r="T83" s="135"/>
      <c r="U83" s="135"/>
      <c r="V83" s="10">
        <f t="shared" si="19"/>
        <v>6.4201516226978048E-2</v>
      </c>
      <c r="W83" s="13">
        <f t="shared" si="12"/>
        <v>31.163442132081414</v>
      </c>
      <c r="X83" s="68"/>
      <c r="Y83" s="68"/>
      <c r="Z83" s="15">
        <f t="shared" si="18"/>
        <v>82.960116859753995</v>
      </c>
      <c r="AA83" s="135"/>
      <c r="AB83" s="135"/>
      <c r="AC83" s="62"/>
      <c r="AD83" s="62"/>
      <c r="AE83" s="62"/>
      <c r="AF83" s="62"/>
      <c r="AG83" s="62"/>
      <c r="AH83" s="62"/>
      <c r="AI83" s="62"/>
    </row>
    <row r="84" spans="1:35">
      <c r="A84" s="84">
        <f>'Q.6 Rand()'!R82</f>
        <v>5.9</v>
      </c>
      <c r="B84" s="141">
        <f>'Q.6 Rand()'!S82</f>
        <v>23.6523</v>
      </c>
      <c r="C84" s="5"/>
      <c r="D84" s="23"/>
      <c r="E84" s="24"/>
      <c r="F84" s="22">
        <f t="shared" si="10"/>
        <v>2.437127371273712</v>
      </c>
      <c r="G84" s="22">
        <f t="shared" si="13"/>
        <v>-11.055944444444496</v>
      </c>
      <c r="H84" s="18">
        <f t="shared" si="14"/>
        <v>-26.944744820837215</v>
      </c>
      <c r="I84" s="18">
        <f t="shared" si="15"/>
        <v>5.9395898238115139</v>
      </c>
      <c r="J84" s="24"/>
      <c r="K84" s="24"/>
      <c r="L84" s="19">
        <f t="shared" si="16"/>
        <v>23.710933057866104</v>
      </c>
      <c r="M84" s="126"/>
      <c r="N84" s="126"/>
      <c r="O84" s="9">
        <f t="shared" si="11"/>
        <v>-5.86330578661034E-2</v>
      </c>
      <c r="P84" s="10">
        <f t="shared" si="17"/>
        <v>3.4378354747298299E-3</v>
      </c>
      <c r="Q84" s="135"/>
      <c r="R84" s="135"/>
      <c r="S84" s="135"/>
      <c r="T84" s="135"/>
      <c r="U84" s="135"/>
      <c r="V84" s="10">
        <f t="shared" si="19"/>
        <v>0.13772741563385676</v>
      </c>
      <c r="W84" s="13">
        <f t="shared" si="12"/>
        <v>120.94085773336676</v>
      </c>
      <c r="X84" s="68"/>
      <c r="Y84" s="68"/>
      <c r="Z84" s="15">
        <f t="shared" si="18"/>
        <v>122.23390755864311</v>
      </c>
      <c r="AA84" s="135"/>
      <c r="AB84" s="135"/>
      <c r="AC84" s="62"/>
      <c r="AD84" s="62"/>
      <c r="AE84" s="62"/>
      <c r="AF84" s="62"/>
      <c r="AG84" s="62"/>
      <c r="AH84" s="62"/>
      <c r="AI84" s="62"/>
    </row>
    <row r="85" spans="1:35">
      <c r="A85" s="84">
        <f>'Q.6 Rand()'!R83</f>
        <v>3.5</v>
      </c>
      <c r="B85" s="141">
        <f>'Q.6 Rand()'!S83</f>
        <v>34</v>
      </c>
      <c r="C85" s="5"/>
      <c r="D85" s="23"/>
      <c r="E85" s="24"/>
      <c r="F85" s="22">
        <f t="shared" si="10"/>
        <v>3.7127371273711685E-2</v>
      </c>
      <c r="G85" s="22">
        <f t="shared" si="13"/>
        <v>-0.70824444444449597</v>
      </c>
      <c r="H85" s="18">
        <f t="shared" si="14"/>
        <v>-2.6295254441434469E-2</v>
      </c>
      <c r="I85" s="18">
        <f t="shared" si="15"/>
        <v>1.3784416976960316E-3</v>
      </c>
      <c r="J85" s="24"/>
      <c r="K85" s="24"/>
      <c r="L85" s="19">
        <f t="shared" si="16"/>
        <v>34.540710622587362</v>
      </c>
      <c r="M85" s="126"/>
      <c r="N85" s="126"/>
      <c r="O85" s="9">
        <f t="shared" si="11"/>
        <v>-0.54071062258736191</v>
      </c>
      <c r="P85" s="10">
        <f t="shared" si="17"/>
        <v>0.29236797737881254</v>
      </c>
      <c r="Q85" s="135"/>
      <c r="R85" s="135"/>
      <c r="S85" s="135"/>
      <c r="T85" s="135"/>
      <c r="U85" s="135"/>
      <c r="V85" s="10">
        <f t="shared" si="19"/>
        <v>2.4789579815114554E-3</v>
      </c>
      <c r="W85" s="13">
        <f t="shared" si="12"/>
        <v>2.806758146605793E-2</v>
      </c>
      <c r="X85" s="68"/>
      <c r="Y85" s="68"/>
      <c r="Z85" s="15">
        <f t="shared" si="18"/>
        <v>0.50161019308649268</v>
      </c>
      <c r="AA85" s="135"/>
      <c r="AB85" s="135"/>
      <c r="AC85" s="62"/>
      <c r="AD85" s="62"/>
      <c r="AE85" s="62"/>
      <c r="AF85" s="62"/>
      <c r="AG85" s="62"/>
      <c r="AH85" s="62"/>
      <c r="AI85" s="62"/>
    </row>
    <row r="86" spans="1:35">
      <c r="A86" s="84">
        <f>'Q.6 Rand()'!R84</f>
        <v>5</v>
      </c>
      <c r="B86" s="141">
        <f>'Q.6 Rand()'!S84</f>
        <v>24.7928</v>
      </c>
      <c r="C86" s="5"/>
      <c r="D86" s="23"/>
      <c r="E86" s="24"/>
      <c r="F86" s="22">
        <f t="shared" si="10"/>
        <v>1.5371273712737117</v>
      </c>
      <c r="G86" s="22">
        <f t="shared" si="13"/>
        <v>-9.9154444444444962</v>
      </c>
      <c r="H86" s="18">
        <f t="shared" si="14"/>
        <v>-15.241301053899496</v>
      </c>
      <c r="I86" s="18">
        <f t="shared" si="15"/>
        <v>2.3627605555188311</v>
      </c>
      <c r="J86" s="24"/>
      <c r="K86" s="24"/>
      <c r="L86" s="19">
        <f t="shared" si="16"/>
        <v>27.772099644636576</v>
      </c>
      <c r="M86" s="126"/>
      <c r="N86" s="126"/>
      <c r="O86" s="9">
        <f t="shared" si="11"/>
        <v>-2.9792996446365763</v>
      </c>
      <c r="P86" s="10">
        <f t="shared" si="17"/>
        <v>8.8762263725316295</v>
      </c>
      <c r="Q86" s="135"/>
      <c r="R86" s="135"/>
      <c r="S86" s="135"/>
      <c r="T86" s="135"/>
      <c r="U86" s="135"/>
      <c r="V86" s="10">
        <f t="shared" si="19"/>
        <v>1.5903253605510644E-2</v>
      </c>
      <c r="W86" s="13">
        <f t="shared" si="12"/>
        <v>48.110104683902449</v>
      </c>
      <c r="X86" s="68"/>
      <c r="Y86" s="68"/>
      <c r="Z86" s="15">
        <f t="shared" si="18"/>
        <v>98.316038530865228</v>
      </c>
      <c r="AA86" s="135"/>
      <c r="AB86" s="135"/>
      <c r="AC86" s="62"/>
      <c r="AD86" s="62"/>
      <c r="AE86" s="62"/>
      <c r="AF86" s="62"/>
      <c r="AG86" s="62"/>
      <c r="AH86" s="62"/>
      <c r="AI86" s="62"/>
    </row>
    <row r="87" spans="1:35">
      <c r="A87" s="84">
        <f>'Q.6 Rand()'!R85</f>
        <v>3.5</v>
      </c>
      <c r="B87" s="141">
        <f>'Q.6 Rand()'!S85</f>
        <v>36.087600000000002</v>
      </c>
      <c r="C87" s="30"/>
      <c r="D87" s="23"/>
      <c r="E87" s="24"/>
      <c r="F87" s="22">
        <f t="shared" si="10"/>
        <v>3.7127371273711685E-2</v>
      </c>
      <c r="G87" s="22">
        <f t="shared" si="13"/>
        <v>1.3793555555555059</v>
      </c>
      <c r="H87" s="18">
        <f t="shared" ref="H87:H88" si="20">F87*G87</f>
        <v>5.1211845829566109E-2</v>
      </c>
      <c r="I87" s="18">
        <f t="shared" ref="I87:I88" si="21">F87^2</f>
        <v>1.3784416976960316E-3</v>
      </c>
      <c r="J87" s="24"/>
      <c r="K87" s="24"/>
      <c r="L87" s="19">
        <f t="shared" si="16"/>
        <v>34.540710622587362</v>
      </c>
      <c r="M87" s="156"/>
      <c r="N87" s="127"/>
      <c r="O87" s="9">
        <f t="shared" si="11"/>
        <v>1.54688937741264</v>
      </c>
      <c r="P87" s="10">
        <f t="shared" si="17"/>
        <v>2.3928667459520652</v>
      </c>
      <c r="Q87" s="135"/>
      <c r="R87" s="135"/>
      <c r="S87" s="135"/>
      <c r="T87" s="135"/>
      <c r="U87" s="135"/>
      <c r="V87" s="10">
        <f t="shared" ref="V87:V88" si="22">ABS(O86) / B86</f>
        <v>0.12016793765272887</v>
      </c>
      <c r="W87" s="13">
        <f t="shared" ref="W87:W88" si="23">(L87-$E$5)^2</f>
        <v>2.806758146605793E-2</v>
      </c>
      <c r="X87" s="72"/>
      <c r="Y87" s="72"/>
      <c r="Z87" s="15">
        <f t="shared" si="18"/>
        <v>1.9026217486418384</v>
      </c>
      <c r="AA87" s="135"/>
      <c r="AB87" s="135"/>
      <c r="AC87" s="62"/>
      <c r="AD87" s="62"/>
      <c r="AE87" s="62"/>
      <c r="AF87" s="62"/>
      <c r="AG87" s="62"/>
      <c r="AH87" s="62"/>
      <c r="AI87" s="62"/>
    </row>
    <row r="88" spans="1:35">
      <c r="A88" s="84">
        <f>'Q.6 Rand()'!R86</f>
        <v>4</v>
      </c>
      <c r="B88" s="141">
        <f>'Q.6 Rand()'!S86</f>
        <v>27.785699999999999</v>
      </c>
      <c r="D88" s="23"/>
      <c r="E88" s="24"/>
      <c r="F88" s="22">
        <f t="shared" si="10"/>
        <v>0.53712737127371168</v>
      </c>
      <c r="G88" s="22">
        <f t="shared" si="13"/>
        <v>-6.9225444444444975</v>
      </c>
      <c r="H88" s="18">
        <f t="shared" si="20"/>
        <v>-3.7182880999699099</v>
      </c>
      <c r="I88" s="18">
        <f t="shared" si="21"/>
        <v>0.2885058129714077</v>
      </c>
      <c r="J88" s="24"/>
      <c r="K88" s="24"/>
      <c r="L88" s="19">
        <f t="shared" si="16"/>
        <v>32.284506963270431</v>
      </c>
      <c r="O88" s="9">
        <f t="shared" ref="O88:O151" si="24">B88-L88</f>
        <v>-4.4988069632704324</v>
      </c>
      <c r="P88" s="10">
        <f t="shared" ref="P88:P151" si="25">O88^2</f>
        <v>20.239264092770529</v>
      </c>
      <c r="V88" s="10">
        <f t="shared" si="22"/>
        <v>4.2864844916609579E-2</v>
      </c>
      <c r="W88" s="13">
        <f t="shared" si="23"/>
        <v>5.8745033776480016</v>
      </c>
      <c r="Z88" s="15">
        <f t="shared" si="18"/>
        <v>47.921621585309374</v>
      </c>
    </row>
    <row r="89" spans="1:35">
      <c r="A89" s="84">
        <f>'Q.6 Rand()'!R87</f>
        <v>3</v>
      </c>
      <c r="B89" s="141">
        <f>'Q.6 Rand()'!S87</f>
        <v>33</v>
      </c>
      <c r="D89" s="23"/>
      <c r="E89" s="24"/>
      <c r="F89" s="22">
        <f t="shared" si="10"/>
        <v>-0.46287262872628832</v>
      </c>
      <c r="G89" s="22">
        <f t="shared" si="13"/>
        <v>-1.708244444444496</v>
      </c>
      <c r="H89" s="18">
        <f t="shared" ref="H89:H152" si="26">F89*G89</f>
        <v>0.79069959650710187</v>
      </c>
      <c r="I89" s="18">
        <f t="shared" ref="I89:I152" si="27">F89^2</f>
        <v>0.21425107042398434</v>
      </c>
      <c r="J89" s="24"/>
      <c r="K89" s="24"/>
      <c r="L89" s="19">
        <f t="shared" si="16"/>
        <v>36.796914281904293</v>
      </c>
      <c r="O89" s="9">
        <f t="shared" si="24"/>
        <v>-3.7969142819042929</v>
      </c>
      <c r="P89" s="10">
        <f t="shared" si="25"/>
        <v>14.416558064128793</v>
      </c>
      <c r="V89" s="10">
        <f t="shared" ref="V89:V152" si="28">ABS(O88) / B88</f>
        <v>0.16191087369655732</v>
      </c>
      <c r="W89" s="13">
        <f t="shared" ref="W89:W152" si="29">(L89-$E$5)^2</f>
        <v>4.3625416899143348</v>
      </c>
      <c r="Z89" s="15">
        <f t="shared" si="18"/>
        <v>2.9180990819754848</v>
      </c>
    </row>
    <row r="90" spans="1:35">
      <c r="A90" s="84">
        <f>'Q.6 Rand()'!R88</f>
        <v>3.7</v>
      </c>
      <c r="B90" s="141">
        <f>'Q.6 Rand()'!S88</f>
        <v>34.583199999999998</v>
      </c>
      <c r="D90" s="23"/>
      <c r="E90" s="24"/>
      <c r="F90" s="22">
        <f t="shared" si="10"/>
        <v>0.23712737127371186</v>
      </c>
      <c r="G90" s="22">
        <f t="shared" si="13"/>
        <v>-0.12504444444449803</v>
      </c>
      <c r="H90" s="18">
        <f t="shared" si="26"/>
        <v>-2.9651460403505522E-2</v>
      </c>
      <c r="I90" s="18">
        <f t="shared" si="27"/>
        <v>5.6229390207180791E-2</v>
      </c>
      <c r="J90" s="24"/>
      <c r="K90" s="24"/>
      <c r="L90" s="19">
        <f t="shared" si="16"/>
        <v>33.63822915886059</v>
      </c>
      <c r="O90" s="9">
        <f t="shared" si="24"/>
        <v>0.94497084113940844</v>
      </c>
      <c r="P90" s="10">
        <f t="shared" si="25"/>
        <v>0.89296989060372112</v>
      </c>
      <c r="V90" s="10">
        <f t="shared" si="28"/>
        <v>0.11505800854255432</v>
      </c>
      <c r="W90" s="13">
        <f t="shared" si="29"/>
        <v>1.1449327113832088</v>
      </c>
      <c r="Z90" s="15">
        <f t="shared" si="18"/>
        <v>1.5636113086433152E-2</v>
      </c>
    </row>
    <row r="91" spans="1:35">
      <c r="A91" s="84">
        <f>'Q.6 Rand()'!R89</f>
        <v>2.4</v>
      </c>
      <c r="B91" s="141">
        <f>'Q.6 Rand()'!S89</f>
        <v>43.003500000000003</v>
      </c>
      <c r="D91" s="23"/>
      <c r="E91" s="24"/>
      <c r="F91" s="22">
        <f t="shared" si="10"/>
        <v>-1.0628726287262884</v>
      </c>
      <c r="G91" s="22">
        <f t="shared" si="13"/>
        <v>8.2952555555555065</v>
      </c>
      <c r="H91" s="18">
        <f t="shared" si="26"/>
        <v>-8.8168000782896296</v>
      </c>
      <c r="I91" s="18">
        <f t="shared" si="27"/>
        <v>1.1296982248955305</v>
      </c>
      <c r="J91" s="24"/>
      <c r="K91" s="24"/>
      <c r="L91" s="19">
        <f t="shared" si="16"/>
        <v>39.50435867308461</v>
      </c>
      <c r="O91" s="9">
        <f t="shared" si="24"/>
        <v>3.4991413269153924</v>
      </c>
      <c r="P91" s="10">
        <f t="shared" si="25"/>
        <v>12.243990025727213</v>
      </c>
      <c r="V91" s="10">
        <f t="shared" si="28"/>
        <v>2.732456340475747E-2</v>
      </c>
      <c r="W91" s="13">
        <f t="shared" si="29"/>
        <v>23.002711694164159</v>
      </c>
      <c r="Z91" s="15">
        <f t="shared" si="18"/>
        <v>68.811264731974489</v>
      </c>
    </row>
    <row r="92" spans="1:35">
      <c r="A92" s="84">
        <f>'Q.6 Rand()'!R90</f>
        <v>2.4</v>
      </c>
      <c r="B92" s="141">
        <f>'Q.6 Rand()'!S90</f>
        <v>35.299999999999997</v>
      </c>
      <c r="D92" s="23"/>
      <c r="E92" s="24"/>
      <c r="F92" s="22">
        <f t="shared" si="10"/>
        <v>-1.0628726287262884</v>
      </c>
      <c r="G92" s="22">
        <f t="shared" si="13"/>
        <v>0.59175555555550119</v>
      </c>
      <c r="H92" s="18">
        <f t="shared" si="26"/>
        <v>-0.6289607828966608</v>
      </c>
      <c r="I92" s="18">
        <f t="shared" si="27"/>
        <v>1.1296982248955305</v>
      </c>
      <c r="J92" s="24"/>
      <c r="K92" s="24"/>
      <c r="L92" s="19">
        <f t="shared" si="16"/>
        <v>39.50435867308461</v>
      </c>
      <c r="O92" s="9">
        <f t="shared" si="24"/>
        <v>-4.204358673084613</v>
      </c>
      <c r="P92" s="10">
        <f t="shared" si="25"/>
        <v>17.676631851941806</v>
      </c>
      <c r="V92" s="10">
        <f t="shared" si="28"/>
        <v>8.1368756657374211E-2</v>
      </c>
      <c r="W92" s="13">
        <f t="shared" si="29"/>
        <v>23.002711694164159</v>
      </c>
      <c r="Z92" s="15">
        <f t="shared" si="18"/>
        <v>0.35017463753079986</v>
      </c>
    </row>
    <row r="93" spans="1:35">
      <c r="A93" s="84">
        <f>'Q.6 Rand()'!R91</f>
        <v>6</v>
      </c>
      <c r="B93" s="141">
        <f>'Q.6 Rand()'!S91</f>
        <v>30.299900000000001</v>
      </c>
      <c r="D93" s="23"/>
      <c r="E93" s="24"/>
      <c r="F93" s="22">
        <f t="shared" si="10"/>
        <v>2.5371273712737117</v>
      </c>
      <c r="G93" s="22">
        <f t="shared" si="13"/>
        <v>-4.408344444444495</v>
      </c>
      <c r="H93" s="18">
        <f t="shared" si="26"/>
        <v>-11.184531352002532</v>
      </c>
      <c r="I93" s="18">
        <f t="shared" si="27"/>
        <v>6.4370152980662541</v>
      </c>
      <c r="J93" s="24"/>
      <c r="K93" s="24"/>
      <c r="L93" s="19">
        <f t="shared" si="16"/>
        <v>23.259692326002721</v>
      </c>
      <c r="O93" s="9">
        <f t="shared" si="24"/>
        <v>7.0402076739972799</v>
      </c>
      <c r="P93" s="10">
        <f t="shared" si="25"/>
        <v>49.564524093010192</v>
      </c>
      <c r="V93" s="10">
        <f t="shared" si="28"/>
        <v>0.11910364512987573</v>
      </c>
      <c r="W93" s="13">
        <f t="shared" si="29"/>
        <v>131.06934560867765</v>
      </c>
      <c r="Z93" s="15">
        <f t="shared" si="18"/>
        <v>19.433500740864645</v>
      </c>
    </row>
    <row r="94" spans="1:35">
      <c r="A94" s="84">
        <f>'Q.6 Rand()'!R92</f>
        <v>5.5</v>
      </c>
      <c r="B94" s="141">
        <f>'Q.6 Rand()'!S92</f>
        <v>20.100000000000001</v>
      </c>
      <c r="D94" s="23"/>
      <c r="E94" s="24"/>
      <c r="F94" s="22">
        <f t="shared" si="10"/>
        <v>2.0371273712737117</v>
      </c>
      <c r="G94" s="22">
        <f t="shared" si="13"/>
        <v>-14.608244444444495</v>
      </c>
      <c r="H94" s="18">
        <f t="shared" si="26"/>
        <v>-29.758854604035015</v>
      </c>
      <c r="I94" s="18">
        <f t="shared" si="27"/>
        <v>4.1498879267925428</v>
      </c>
      <c r="J94" s="24"/>
      <c r="K94" s="24"/>
      <c r="L94" s="19">
        <f t="shared" si="16"/>
        <v>25.515895985319649</v>
      </c>
      <c r="O94" s="9">
        <f t="shared" si="24"/>
        <v>-5.4158959853196471</v>
      </c>
      <c r="P94" s="10">
        <f t="shared" si="25"/>
        <v>29.331929323801472</v>
      </c>
      <c r="V94" s="10">
        <f t="shared" si="28"/>
        <v>0.23235085508524053</v>
      </c>
      <c r="W94" s="13">
        <f t="shared" si="29"/>
        <v>84.499270193974951</v>
      </c>
      <c r="Z94" s="15">
        <f t="shared" si="18"/>
        <v>213.40080574864345</v>
      </c>
    </row>
    <row r="95" spans="1:35">
      <c r="A95" s="84">
        <f>'Q.6 Rand()'!R93</f>
        <v>1.3</v>
      </c>
      <c r="B95" s="141">
        <f>'Q.6 Rand()'!S93</f>
        <v>32.1</v>
      </c>
      <c r="D95" s="23"/>
      <c r="E95" s="24"/>
      <c r="F95" s="22">
        <f t="shared" si="10"/>
        <v>-2.162872628726288</v>
      </c>
      <c r="G95" s="22">
        <f t="shared" si="13"/>
        <v>-2.6082444444444945</v>
      </c>
      <c r="H95" s="18">
        <f t="shared" si="26"/>
        <v>5.6413005179164006</v>
      </c>
      <c r="I95" s="18">
        <f t="shared" si="27"/>
        <v>4.6780180080933631</v>
      </c>
      <c r="J95" s="24"/>
      <c r="K95" s="24"/>
      <c r="L95" s="19">
        <f t="shared" si="16"/>
        <v>44.468006723581851</v>
      </c>
      <c r="O95" s="9">
        <f t="shared" si="24"/>
        <v>-12.36800672358185</v>
      </c>
      <c r="P95" s="10">
        <f t="shared" si="25"/>
        <v>152.96759031456585</v>
      </c>
      <c r="V95" s="10">
        <f t="shared" si="28"/>
        <v>0.26944756145868887</v>
      </c>
      <c r="W95" s="13">
        <f t="shared" si="29"/>
        <v>95.252959745272378</v>
      </c>
      <c r="Z95" s="15">
        <f t="shared" si="18"/>
        <v>6.8029390819755697</v>
      </c>
    </row>
    <row r="96" spans="1:35">
      <c r="A96" s="84">
        <f>'Q.6 Rand()'!R94</f>
        <v>2.4</v>
      </c>
      <c r="B96" s="141">
        <f>'Q.6 Rand()'!S94</f>
        <v>43.3</v>
      </c>
      <c r="D96" s="23"/>
      <c r="E96" s="24"/>
      <c r="F96" s="22">
        <f t="shared" si="10"/>
        <v>-1.0628726287262884</v>
      </c>
      <c r="G96" s="22">
        <f t="shared" si="13"/>
        <v>8.5917555555555012</v>
      </c>
      <c r="H96" s="18">
        <f t="shared" si="26"/>
        <v>-9.1319418127069678</v>
      </c>
      <c r="I96" s="18">
        <f t="shared" si="27"/>
        <v>1.1296982248955305</v>
      </c>
      <c r="J96" s="24"/>
      <c r="K96" s="24"/>
      <c r="L96" s="19">
        <f t="shared" si="16"/>
        <v>39.50435867308461</v>
      </c>
      <c r="O96" s="9">
        <f t="shared" si="24"/>
        <v>3.795641326915387</v>
      </c>
      <c r="P96" s="10">
        <f t="shared" si="25"/>
        <v>14.406893082588001</v>
      </c>
      <c r="V96" s="10">
        <f t="shared" si="28"/>
        <v>0.38529615961314173</v>
      </c>
      <c r="W96" s="13">
        <f t="shared" si="29"/>
        <v>23.002711694164159</v>
      </c>
      <c r="Z96" s="15">
        <f t="shared" si="18"/>
        <v>73.818263526418818</v>
      </c>
    </row>
    <row r="97" spans="1:26">
      <c r="A97" s="84">
        <f>'Q.6 Rand()'!R95</f>
        <v>3</v>
      </c>
      <c r="B97" s="141">
        <f>'Q.6 Rand()'!S95</f>
        <v>38.7896</v>
      </c>
      <c r="D97" s="23"/>
      <c r="E97" s="24"/>
      <c r="F97" s="22">
        <f t="shared" si="10"/>
        <v>-0.46287262872628832</v>
      </c>
      <c r="G97" s="22">
        <f t="shared" si="13"/>
        <v>4.0813555555555041</v>
      </c>
      <c r="H97" s="18">
        <f t="shared" si="26"/>
        <v>-1.889147774766617</v>
      </c>
      <c r="I97" s="18">
        <f t="shared" si="27"/>
        <v>0.21425107042398434</v>
      </c>
      <c r="J97" s="24"/>
      <c r="K97" s="24"/>
      <c r="L97" s="19">
        <f t="shared" si="16"/>
        <v>36.796914281904293</v>
      </c>
      <c r="O97" s="9">
        <f t="shared" si="24"/>
        <v>1.9926857180957072</v>
      </c>
      <c r="P97" s="10">
        <f t="shared" si="25"/>
        <v>3.9707963711026042</v>
      </c>
      <c r="V97" s="10">
        <f t="shared" si="28"/>
        <v>8.7659153046544744E-2</v>
      </c>
      <c r="W97" s="13">
        <f t="shared" si="29"/>
        <v>4.3625416899143348</v>
      </c>
      <c r="Z97" s="15">
        <f t="shared" si="18"/>
        <v>16.657463170863778</v>
      </c>
    </row>
    <row r="98" spans="1:26">
      <c r="A98" s="84">
        <f>'Q.6 Rand()'!R96</f>
        <v>3</v>
      </c>
      <c r="B98" s="141">
        <f>'Q.6 Rand()'!S96</f>
        <v>33.299999999999997</v>
      </c>
      <c r="D98" s="23"/>
      <c r="E98" s="24"/>
      <c r="F98" s="22">
        <f t="shared" si="10"/>
        <v>-0.46287262872628832</v>
      </c>
      <c r="G98" s="22">
        <f t="shared" si="13"/>
        <v>-1.4082444444444988</v>
      </c>
      <c r="H98" s="18">
        <f t="shared" si="26"/>
        <v>0.65183780788921664</v>
      </c>
      <c r="I98" s="18">
        <f t="shared" si="27"/>
        <v>0.21425107042398434</v>
      </c>
      <c r="J98" s="24"/>
      <c r="K98" s="24"/>
      <c r="L98" s="19">
        <f t="shared" si="16"/>
        <v>36.796914281904293</v>
      </c>
      <c r="O98" s="9">
        <f t="shared" si="24"/>
        <v>-3.4969142819042958</v>
      </c>
      <c r="P98" s="10">
        <f t="shared" si="25"/>
        <v>12.228409494986236</v>
      </c>
      <c r="V98" s="10">
        <f t="shared" si="28"/>
        <v>5.1371649052728237E-2</v>
      </c>
      <c r="W98" s="13">
        <f t="shared" si="29"/>
        <v>4.3625416899143348</v>
      </c>
      <c r="Z98" s="15">
        <f t="shared" si="18"/>
        <v>1.9831524153087952</v>
      </c>
    </row>
    <row r="99" spans="1:26">
      <c r="A99" s="84">
        <f>'Q.6 Rand()'!R97</f>
        <v>3.5</v>
      </c>
      <c r="B99" s="141">
        <f>'Q.6 Rand()'!S97</f>
        <v>40.299999999999997</v>
      </c>
      <c r="D99" s="23"/>
      <c r="E99" s="24"/>
      <c r="F99" s="22">
        <f t="shared" si="10"/>
        <v>3.7127371273711685E-2</v>
      </c>
      <c r="G99" s="22">
        <f t="shared" si="13"/>
        <v>5.5917555555555012</v>
      </c>
      <c r="H99" s="18">
        <f t="shared" si="26"/>
        <v>0.20760718458294905</v>
      </c>
      <c r="I99" s="18">
        <f t="shared" si="27"/>
        <v>1.3784416976960316E-3</v>
      </c>
      <c r="J99" s="24"/>
      <c r="K99" s="24"/>
      <c r="L99" s="19">
        <f t="shared" si="16"/>
        <v>34.540710622587362</v>
      </c>
      <c r="O99" s="9">
        <f t="shared" si="24"/>
        <v>5.7592893774126352</v>
      </c>
      <c r="P99" s="10">
        <f t="shared" si="25"/>
        <v>33.169414132778023</v>
      </c>
      <c r="V99" s="10">
        <f t="shared" si="28"/>
        <v>0.10501244089802692</v>
      </c>
      <c r="W99" s="13">
        <f t="shared" si="29"/>
        <v>2.806758146605793E-2</v>
      </c>
      <c r="Z99" s="15">
        <f t="shared" si="18"/>
        <v>31.267730193085811</v>
      </c>
    </row>
    <row r="100" spans="1:26">
      <c r="A100" s="84">
        <f>'Q.6 Rand()'!R98</f>
        <v>4.5999999999999996</v>
      </c>
      <c r="B100" s="141">
        <f>'Q.6 Rand()'!S98</f>
        <v>30.299900000000001</v>
      </c>
      <c r="D100" s="23"/>
      <c r="E100" s="24"/>
      <c r="F100" s="22">
        <f t="shared" si="10"/>
        <v>1.1371273712737113</v>
      </c>
      <c r="G100" s="22">
        <f t="shared" si="13"/>
        <v>-4.408344444444495</v>
      </c>
      <c r="H100" s="18">
        <f t="shared" si="26"/>
        <v>-5.0128491297802382</v>
      </c>
      <c r="I100" s="18">
        <f t="shared" si="27"/>
        <v>1.2930586584998609</v>
      </c>
      <c r="J100" s="24"/>
      <c r="K100" s="24"/>
      <c r="L100" s="19">
        <f t="shared" si="16"/>
        <v>29.577062572090121</v>
      </c>
      <c r="O100" s="9">
        <f t="shared" si="24"/>
        <v>0.72283742790988015</v>
      </c>
      <c r="P100" s="10">
        <f t="shared" si="25"/>
        <v>0.52249394718737119</v>
      </c>
      <c r="V100" s="10">
        <f t="shared" si="28"/>
        <v>0.14291040638741032</v>
      </c>
      <c r="W100" s="13">
        <f t="shared" si="29"/>
        <v>26.329027407178152</v>
      </c>
      <c r="Z100" s="15">
        <f t="shared" si="18"/>
        <v>19.433500740864645</v>
      </c>
    </row>
    <row r="101" spans="1:26">
      <c r="A101" s="84">
        <f>'Q.6 Rand()'!R99</f>
        <v>6.2</v>
      </c>
      <c r="B101" s="141">
        <f>'Q.6 Rand()'!S99</f>
        <v>33.799999999999997</v>
      </c>
      <c r="D101" s="23"/>
      <c r="E101" s="24"/>
      <c r="F101" s="22">
        <f t="shared" si="10"/>
        <v>2.7371273712737119</v>
      </c>
      <c r="G101" s="22">
        <f t="shared" si="13"/>
        <v>-0.90824444444449881</v>
      </c>
      <c r="H101" s="18">
        <f t="shared" si="26"/>
        <v>-2.4859807286963238</v>
      </c>
      <c r="I101" s="18">
        <f t="shared" si="27"/>
        <v>7.4918662465757402</v>
      </c>
      <c r="J101" s="24"/>
      <c r="K101" s="24"/>
      <c r="L101" s="19">
        <f t="shared" si="16"/>
        <v>22.357210862275949</v>
      </c>
      <c r="O101" s="9">
        <f t="shared" si="24"/>
        <v>11.442789137724048</v>
      </c>
      <c r="P101" s="10">
        <f t="shared" si="25"/>
        <v>130.93742325041546</v>
      </c>
      <c r="V101" s="10">
        <f t="shared" si="28"/>
        <v>2.3856099456099858E-2</v>
      </c>
      <c r="W101" s="13">
        <f t="shared" si="29"/>
        <v>152.54803054785521</v>
      </c>
      <c r="Z101" s="15">
        <f t="shared" si="18"/>
        <v>0.82490797086429624</v>
      </c>
    </row>
    <row r="102" spans="1:26">
      <c r="A102" s="84">
        <f>'Q.6 Rand()'!R100</f>
        <v>1.6</v>
      </c>
      <c r="B102" s="141">
        <f>'Q.6 Rand()'!S100</f>
        <v>48.9</v>
      </c>
      <c r="D102" s="23"/>
      <c r="E102" s="24"/>
      <c r="F102" s="22">
        <f t="shared" si="10"/>
        <v>-1.8628726287262882</v>
      </c>
      <c r="G102" s="22">
        <f t="shared" si="13"/>
        <v>14.191755555555503</v>
      </c>
      <c r="H102" s="18">
        <f t="shared" si="26"/>
        <v>-26.437432978018585</v>
      </c>
      <c r="I102" s="18">
        <f t="shared" si="27"/>
        <v>3.4702944308575914</v>
      </c>
      <c r="J102" s="24"/>
      <c r="K102" s="24"/>
      <c r="L102" s="19">
        <f t="shared" si="16"/>
        <v>43.114284527991693</v>
      </c>
      <c r="O102" s="9">
        <f t="shared" si="24"/>
        <v>5.7857154720083059</v>
      </c>
      <c r="P102" s="10">
        <f t="shared" si="25"/>
        <v>33.474503523036297</v>
      </c>
      <c r="V102" s="10">
        <f t="shared" si="28"/>
        <v>0.33854405732911391</v>
      </c>
      <c r="W102" s="13">
        <f t="shared" si="29"/>
        <v>70.661509886202168</v>
      </c>
      <c r="Z102" s="15">
        <f t="shared" si="18"/>
        <v>201.40592574864047</v>
      </c>
    </row>
    <row r="103" spans="1:26">
      <c r="A103" s="84">
        <f>'Q.6 Rand()'!R101</f>
        <v>2.5</v>
      </c>
      <c r="B103" s="141">
        <f>'Q.6 Rand()'!S101</f>
        <v>40.0169</v>
      </c>
      <c r="D103" s="23"/>
      <c r="E103" s="24"/>
      <c r="F103" s="22">
        <f t="shared" si="10"/>
        <v>-0.96287262872628832</v>
      </c>
      <c r="G103" s="22">
        <f t="shared" si="13"/>
        <v>5.3086555555555037</v>
      </c>
      <c r="H103" s="18">
        <f t="shared" si="26"/>
        <v>-5.1115591297801419</v>
      </c>
      <c r="I103" s="18">
        <f t="shared" si="27"/>
        <v>0.92712369915027271</v>
      </c>
      <c r="J103" s="24"/>
      <c r="K103" s="24"/>
      <c r="L103" s="19">
        <f t="shared" si="16"/>
        <v>39.053117941221217</v>
      </c>
      <c r="O103" s="9">
        <f t="shared" si="24"/>
        <v>0.96378205877878287</v>
      </c>
      <c r="P103" s="10">
        <f t="shared" si="25"/>
        <v>0.92887585682386931</v>
      </c>
      <c r="V103" s="10">
        <f t="shared" si="28"/>
        <v>0.11831728981612077</v>
      </c>
      <c r="W103" s="13">
        <f t="shared" si="29"/>
        <v>18.877925702992769</v>
      </c>
      <c r="Z103" s="15">
        <f t="shared" si="18"/>
        <v>28.181823807530314</v>
      </c>
    </row>
    <row r="104" spans="1:26">
      <c r="A104" s="84">
        <f>'Q.6 Rand()'!R102</f>
        <v>1.6</v>
      </c>
      <c r="B104" s="141">
        <f>'Q.6 Rand()'!S102</f>
        <v>47.202500000000001</v>
      </c>
      <c r="D104" s="23"/>
      <c r="E104" s="24"/>
      <c r="F104" s="22">
        <f t="shared" si="10"/>
        <v>-1.8628726287262882</v>
      </c>
      <c r="G104" s="22">
        <f t="shared" si="13"/>
        <v>12.494255555555505</v>
      </c>
      <c r="H104" s="18">
        <f t="shared" si="26"/>
        <v>-23.275206690755713</v>
      </c>
      <c r="I104" s="18">
        <f t="shared" si="27"/>
        <v>3.4702944308575914</v>
      </c>
      <c r="J104" s="24"/>
      <c r="K104" s="24"/>
      <c r="L104" s="19">
        <f t="shared" si="16"/>
        <v>43.114284527991693</v>
      </c>
      <c r="O104" s="9">
        <f t="shared" si="24"/>
        <v>4.0882154720083079</v>
      </c>
      <c r="P104" s="10">
        <f t="shared" si="25"/>
        <v>16.713505745568114</v>
      </c>
      <c r="V104" s="10">
        <f t="shared" si="28"/>
        <v>2.4084375820685334E-2</v>
      </c>
      <c r="W104" s="13">
        <f t="shared" si="29"/>
        <v>70.661509886202168</v>
      </c>
      <c r="Z104" s="15">
        <f t="shared" si="18"/>
        <v>156.10642188752959</v>
      </c>
    </row>
    <row r="105" spans="1:26">
      <c r="A105" s="84">
        <f>'Q.6 Rand()'!R103</f>
        <v>4.5999999999999996</v>
      </c>
      <c r="B105" s="141">
        <f>'Q.6 Rand()'!S103</f>
        <v>31.61</v>
      </c>
      <c r="D105" s="23"/>
      <c r="E105" s="24"/>
      <c r="F105" s="22">
        <f t="shared" si="10"/>
        <v>1.1371273712737113</v>
      </c>
      <c r="G105" s="22">
        <f t="shared" si="13"/>
        <v>-3.0982444444444965</v>
      </c>
      <c r="H105" s="18">
        <f t="shared" si="26"/>
        <v>-3.5230985606745504</v>
      </c>
      <c r="I105" s="18">
        <f t="shared" si="27"/>
        <v>1.2930586584998609</v>
      </c>
      <c r="J105" s="24"/>
      <c r="K105" s="24"/>
      <c r="L105" s="19">
        <f t="shared" si="16"/>
        <v>29.577062572090121</v>
      </c>
      <c r="O105" s="9">
        <f t="shared" si="24"/>
        <v>2.0329374279098786</v>
      </c>
      <c r="P105" s="10">
        <f t="shared" si="25"/>
        <v>4.1328345857968332</v>
      </c>
      <c r="V105" s="10">
        <f t="shared" si="28"/>
        <v>8.6610147174584137E-2</v>
      </c>
      <c r="W105" s="13">
        <f t="shared" si="29"/>
        <v>26.329027407178152</v>
      </c>
      <c r="Z105" s="15">
        <f t="shared" si="18"/>
        <v>9.5991186375311877</v>
      </c>
    </row>
    <row r="106" spans="1:26">
      <c r="A106" s="84">
        <f>'Q.6 Rand()'!R104</f>
        <v>2</v>
      </c>
      <c r="B106" s="141">
        <f>'Q.6 Rand()'!S104</f>
        <v>34.5</v>
      </c>
      <c r="D106" s="23"/>
      <c r="E106" s="24"/>
      <c r="F106" s="22">
        <f t="shared" si="10"/>
        <v>-1.4628726287262883</v>
      </c>
      <c r="G106" s="22">
        <f t="shared" si="13"/>
        <v>-0.20824444444449597</v>
      </c>
      <c r="H106" s="18">
        <f t="shared" si="26"/>
        <v>0.3046350978621653</v>
      </c>
      <c r="I106" s="18">
        <f t="shared" si="27"/>
        <v>2.139996327876561</v>
      </c>
      <c r="J106" s="24"/>
      <c r="K106" s="24"/>
      <c r="L106" s="19">
        <f t="shared" si="16"/>
        <v>41.309321600538148</v>
      </c>
      <c r="O106" s="9">
        <f t="shared" si="24"/>
        <v>-6.8093216005381478</v>
      </c>
      <c r="P106" s="10">
        <f t="shared" si="25"/>
        <v>46.366860659555407</v>
      </c>
      <c r="V106" s="10">
        <f t="shared" si="28"/>
        <v>6.4313110658332132E-2</v>
      </c>
      <c r="W106" s="13">
        <f t="shared" si="29"/>
        <v>43.574219620701456</v>
      </c>
      <c r="Z106" s="15">
        <f t="shared" si="18"/>
        <v>4.3365748641996771E-2</v>
      </c>
    </row>
    <row r="107" spans="1:26">
      <c r="A107" s="84">
        <f>'Q.6 Rand()'!R105</f>
        <v>2.4</v>
      </c>
      <c r="B107" s="141">
        <f>'Q.6 Rand()'!S105</f>
        <v>44.6</v>
      </c>
      <c r="D107" s="23"/>
      <c r="E107" s="24"/>
      <c r="F107" s="22">
        <f t="shared" si="10"/>
        <v>-1.0628726287262884</v>
      </c>
      <c r="G107" s="22">
        <f t="shared" si="13"/>
        <v>9.8917555555555055</v>
      </c>
      <c r="H107" s="18">
        <f t="shared" si="26"/>
        <v>-10.513676230051148</v>
      </c>
      <c r="I107" s="18">
        <f t="shared" si="27"/>
        <v>1.1296982248955305</v>
      </c>
      <c r="J107" s="24"/>
      <c r="K107" s="24"/>
      <c r="L107" s="19">
        <f t="shared" si="16"/>
        <v>39.50435867308461</v>
      </c>
      <c r="O107" s="9">
        <f t="shared" si="24"/>
        <v>5.0956413269153913</v>
      </c>
      <c r="P107" s="10">
        <f t="shared" si="25"/>
        <v>25.965560532568048</v>
      </c>
      <c r="V107" s="10">
        <f t="shared" si="28"/>
        <v>0.19737164059530862</v>
      </c>
      <c r="W107" s="13">
        <f t="shared" si="29"/>
        <v>23.002711694164159</v>
      </c>
      <c r="Z107" s="15">
        <f t="shared" si="18"/>
        <v>97.846827970863202</v>
      </c>
    </row>
    <row r="108" spans="1:26">
      <c r="A108" s="84">
        <f>'Q.6 Rand()'!R106</f>
        <v>2.5</v>
      </c>
      <c r="B108" s="141">
        <f>'Q.6 Rand()'!S106</f>
        <v>32.910299999999999</v>
      </c>
      <c r="D108" s="23"/>
      <c r="E108" s="24"/>
      <c r="F108" s="22">
        <f t="shared" si="10"/>
        <v>-0.96287262872628832</v>
      </c>
      <c r="G108" s="22">
        <f t="shared" si="13"/>
        <v>-1.7979444444444965</v>
      </c>
      <c r="H108" s="18">
        <f t="shared" si="26"/>
        <v>1.7311914935260984</v>
      </c>
      <c r="I108" s="18">
        <f t="shared" si="27"/>
        <v>0.92712369915027271</v>
      </c>
      <c r="J108" s="24"/>
      <c r="K108" s="24"/>
      <c r="L108" s="19">
        <f t="shared" si="16"/>
        <v>39.053117941221217</v>
      </c>
      <c r="O108" s="9">
        <f t="shared" si="24"/>
        <v>-6.1428179412212174</v>
      </c>
      <c r="P108" s="10">
        <f t="shared" si="25"/>
        <v>37.734212258989274</v>
      </c>
      <c r="V108" s="10">
        <f t="shared" si="28"/>
        <v>0.1142520476886859</v>
      </c>
      <c r="W108" s="13">
        <f t="shared" si="29"/>
        <v>18.877925702992769</v>
      </c>
      <c r="Z108" s="15">
        <f t="shared" si="18"/>
        <v>3.2326042253088292</v>
      </c>
    </row>
    <row r="109" spans="1:26">
      <c r="A109" s="84">
        <f>'Q.6 Rand()'!R107</f>
        <v>3.8</v>
      </c>
      <c r="B109" s="141">
        <f>'Q.6 Rand()'!S107</f>
        <v>33.200000000000003</v>
      </c>
      <c r="D109" s="23"/>
      <c r="E109" s="24"/>
      <c r="F109" s="22">
        <f t="shared" si="10"/>
        <v>0.33712737127371151</v>
      </c>
      <c r="G109" s="22">
        <f t="shared" si="13"/>
        <v>-1.5082444444444931</v>
      </c>
      <c r="H109" s="18">
        <f t="shared" si="26"/>
        <v>-0.50847048479375134</v>
      </c>
      <c r="I109" s="18">
        <f t="shared" si="27"/>
        <v>0.11365486446192292</v>
      </c>
      <c r="J109" s="24"/>
      <c r="K109" s="24"/>
      <c r="L109" s="19">
        <f t="shared" si="16"/>
        <v>33.186988426997203</v>
      </c>
      <c r="O109" s="9">
        <f t="shared" si="24"/>
        <v>1.3011573002799537E-2</v>
      </c>
      <c r="P109" s="10">
        <f t="shared" si="25"/>
        <v>1.6930103200718175E-4</v>
      </c>
      <c r="V109" s="10">
        <f t="shared" si="28"/>
        <v>0.186653355977345</v>
      </c>
      <c r="W109" s="13">
        <f t="shared" si="29"/>
        <v>2.3142198706195978</v>
      </c>
      <c r="Z109" s="15">
        <f t="shared" si="18"/>
        <v>2.2748013041976778</v>
      </c>
    </row>
    <row r="110" spans="1:26">
      <c r="A110" s="84">
        <f>'Q.6 Rand()'!R108</f>
        <v>2.5</v>
      </c>
      <c r="B110" s="141">
        <f>'Q.6 Rand()'!S108</f>
        <v>45.672899999999998</v>
      </c>
      <c r="D110" s="23"/>
      <c r="E110" s="24"/>
      <c r="F110" s="22">
        <f t="shared" si="10"/>
        <v>-0.96287262872628832</v>
      </c>
      <c r="G110" s="22">
        <f t="shared" si="13"/>
        <v>10.964655555555503</v>
      </c>
      <c r="H110" s="18">
        <f t="shared" si="26"/>
        <v>-10.557566717856028</v>
      </c>
      <c r="I110" s="18">
        <f t="shared" si="27"/>
        <v>0.92712369915027271</v>
      </c>
      <c r="J110" s="24"/>
      <c r="K110" s="24"/>
      <c r="L110" s="19">
        <f t="shared" si="16"/>
        <v>39.053117941221217</v>
      </c>
      <c r="O110" s="9">
        <f t="shared" si="24"/>
        <v>6.6197820587787817</v>
      </c>
      <c r="P110" s="10">
        <f t="shared" si="25"/>
        <v>43.821514505729446</v>
      </c>
      <c r="V110" s="10">
        <f t="shared" si="28"/>
        <v>3.9191484948191373E-4</v>
      </c>
      <c r="W110" s="13">
        <f t="shared" si="29"/>
        <v>18.877925702992769</v>
      </c>
      <c r="Z110" s="15">
        <f t="shared" si="18"/>
        <v>120.22367145197414</v>
      </c>
    </row>
    <row r="111" spans="1:26">
      <c r="A111" s="84">
        <f>'Q.6 Rand()'!R109</f>
        <v>2.4</v>
      </c>
      <c r="B111" s="141">
        <f>'Q.6 Rand()'!S109</f>
        <v>38.6</v>
      </c>
      <c r="D111" s="23"/>
      <c r="E111" s="24"/>
      <c r="F111" s="22">
        <f t="shared" si="10"/>
        <v>-1.0628726287262884</v>
      </c>
      <c r="G111" s="22">
        <f t="shared" si="13"/>
        <v>3.8917555555555055</v>
      </c>
      <c r="H111" s="18">
        <f t="shared" si="26"/>
        <v>-4.1364404576934168</v>
      </c>
      <c r="I111" s="18">
        <f t="shared" si="27"/>
        <v>1.1296982248955305</v>
      </c>
      <c r="J111" s="24"/>
      <c r="K111" s="24"/>
      <c r="L111" s="19">
        <f t="shared" si="16"/>
        <v>39.50435867308461</v>
      </c>
      <c r="O111" s="9">
        <f t="shared" si="24"/>
        <v>-0.90435867308460871</v>
      </c>
      <c r="P111" s="10">
        <f t="shared" si="25"/>
        <v>0.81786460958335416</v>
      </c>
      <c r="V111" s="10">
        <f t="shared" si="28"/>
        <v>0.14493894757676395</v>
      </c>
      <c r="W111" s="13">
        <f t="shared" si="29"/>
        <v>23.002711694164159</v>
      </c>
      <c r="Z111" s="15">
        <f t="shared" si="18"/>
        <v>15.145761304197141</v>
      </c>
    </row>
    <row r="112" spans="1:26">
      <c r="A112" s="84">
        <f>'Q.6 Rand()'!R110</f>
        <v>5</v>
      </c>
      <c r="B112" s="141">
        <f>'Q.6 Rand()'!S110</f>
        <v>23.227</v>
      </c>
      <c r="D112" s="23"/>
      <c r="E112" s="24"/>
      <c r="F112" s="22">
        <f t="shared" si="10"/>
        <v>1.5371273712737117</v>
      </c>
      <c r="G112" s="22">
        <f t="shared" si="13"/>
        <v>-11.481244444444496</v>
      </c>
      <c r="H112" s="18">
        <f t="shared" si="26"/>
        <v>-17.648135091839873</v>
      </c>
      <c r="I112" s="18">
        <f t="shared" si="27"/>
        <v>2.3627605555188311</v>
      </c>
      <c r="J112" s="24"/>
      <c r="K112" s="24"/>
      <c r="L112" s="19">
        <f t="shared" si="16"/>
        <v>27.772099644636576</v>
      </c>
      <c r="O112" s="9">
        <f t="shared" si="24"/>
        <v>-4.5450996446365757</v>
      </c>
      <c r="P112" s="10">
        <f t="shared" si="25"/>
        <v>20.657930779675528</v>
      </c>
      <c r="V112" s="10">
        <f t="shared" si="28"/>
        <v>2.3428981167995043E-2</v>
      </c>
      <c r="W112" s="13">
        <f t="shared" si="29"/>
        <v>48.110104683902449</v>
      </c>
      <c r="Z112" s="15">
        <f t="shared" si="18"/>
        <v>131.81897399308758</v>
      </c>
    </row>
    <row r="113" spans="1:26">
      <c r="A113" s="84">
        <f>'Q.6 Rand()'!R111</f>
        <v>3</v>
      </c>
      <c r="B113" s="141">
        <f>'Q.6 Rand()'!S111</f>
        <v>32</v>
      </c>
      <c r="D113" s="23"/>
      <c r="E113" s="24"/>
      <c r="F113" s="22">
        <f t="shared" si="10"/>
        <v>-0.46287262872628832</v>
      </c>
      <c r="G113" s="22">
        <f t="shared" si="13"/>
        <v>-2.708244444444496</v>
      </c>
      <c r="H113" s="18">
        <f t="shared" si="26"/>
        <v>1.2535722252333901</v>
      </c>
      <c r="I113" s="18">
        <f t="shared" si="27"/>
        <v>0.21425107042398434</v>
      </c>
      <c r="J113" s="24"/>
      <c r="K113" s="24"/>
      <c r="L113" s="19">
        <f t="shared" si="16"/>
        <v>36.796914281904293</v>
      </c>
      <c r="O113" s="9">
        <f t="shared" si="24"/>
        <v>-4.7969142819042929</v>
      </c>
      <c r="P113" s="10">
        <f t="shared" si="25"/>
        <v>23.010386627937379</v>
      </c>
      <c r="V113" s="10">
        <f t="shared" si="28"/>
        <v>0.19568173438827982</v>
      </c>
      <c r="W113" s="13">
        <f t="shared" si="29"/>
        <v>4.3625416899143348</v>
      </c>
      <c r="Z113" s="15">
        <f t="shared" si="18"/>
        <v>7.3345879708644768</v>
      </c>
    </row>
    <row r="114" spans="1:26">
      <c r="A114" s="84">
        <f>'Q.6 Rand()'!R112</f>
        <v>2</v>
      </c>
      <c r="B114" s="141">
        <f>'Q.6 Rand()'!S112</f>
        <v>50.9</v>
      </c>
      <c r="D114" s="23"/>
      <c r="E114" s="24"/>
      <c r="F114" s="22">
        <f t="shared" si="10"/>
        <v>-1.4628726287262883</v>
      </c>
      <c r="G114" s="22">
        <f t="shared" si="13"/>
        <v>16.191755555555503</v>
      </c>
      <c r="H114" s="18">
        <f t="shared" si="26"/>
        <v>-23.68647601324896</v>
      </c>
      <c r="I114" s="18">
        <f t="shared" si="27"/>
        <v>2.139996327876561</v>
      </c>
      <c r="J114" s="24"/>
      <c r="K114" s="24"/>
      <c r="L114" s="19">
        <f t="shared" si="16"/>
        <v>41.309321600538148</v>
      </c>
      <c r="O114" s="9">
        <f t="shared" si="24"/>
        <v>9.5906783994618507</v>
      </c>
      <c r="P114" s="10">
        <f t="shared" si="25"/>
        <v>91.981112161904122</v>
      </c>
      <c r="V114" s="10">
        <f t="shared" si="28"/>
        <v>0.14990357130950915</v>
      </c>
      <c r="W114" s="13">
        <f t="shared" si="29"/>
        <v>43.574219620701456</v>
      </c>
      <c r="Z114" s="15">
        <f t="shared" si="18"/>
        <v>262.17294797086248</v>
      </c>
    </row>
    <row r="115" spans="1:26">
      <c r="A115" s="84">
        <f>'Q.6 Rand()'!R113</f>
        <v>3</v>
      </c>
      <c r="B115" s="141">
        <f>'Q.6 Rand()'!S113</f>
        <v>31.3917</v>
      </c>
      <c r="D115" s="23"/>
      <c r="E115" s="24"/>
      <c r="F115" s="22">
        <f t="shared" si="10"/>
        <v>-0.46287262872628832</v>
      </c>
      <c r="G115" s="22">
        <f t="shared" si="13"/>
        <v>-3.3165444444444958</v>
      </c>
      <c r="H115" s="18">
        <f t="shared" si="26"/>
        <v>1.5351376452875913</v>
      </c>
      <c r="I115" s="18">
        <f t="shared" si="27"/>
        <v>0.21425107042398434</v>
      </c>
      <c r="J115" s="24"/>
      <c r="K115" s="24"/>
      <c r="L115" s="19">
        <f t="shared" si="16"/>
        <v>36.796914281904293</v>
      </c>
      <c r="O115" s="9">
        <f t="shared" si="24"/>
        <v>-5.4052142819042928</v>
      </c>
      <c r="P115" s="10">
        <f t="shared" si="25"/>
        <v>29.216341433302141</v>
      </c>
      <c r="V115" s="10">
        <f t="shared" si="28"/>
        <v>0.18842197248451573</v>
      </c>
      <c r="W115" s="13">
        <f t="shared" si="29"/>
        <v>4.3625416899143348</v>
      </c>
      <c r="Z115" s="15">
        <f t="shared" si="18"/>
        <v>10.99946705197565</v>
      </c>
    </row>
    <row r="116" spans="1:26">
      <c r="A116" s="84">
        <f>'Q.6 Rand()'!R114</f>
        <v>4.2</v>
      </c>
      <c r="B116" s="141">
        <f>'Q.6 Rand()'!S114</f>
        <v>31.5002</v>
      </c>
      <c r="D116" s="23"/>
      <c r="E116" s="24"/>
      <c r="F116" s="22">
        <f t="shared" si="10"/>
        <v>0.73712737127371186</v>
      </c>
      <c r="G116" s="22">
        <f t="shared" si="13"/>
        <v>-3.2080444444444964</v>
      </c>
      <c r="H116" s="18">
        <f t="shared" si="26"/>
        <v>-2.3647373682626069</v>
      </c>
      <c r="I116" s="18">
        <f t="shared" si="27"/>
        <v>0.54335676148089262</v>
      </c>
      <c r="J116" s="24"/>
      <c r="K116" s="24"/>
      <c r="L116" s="19">
        <f t="shared" si="16"/>
        <v>31.382025499543662</v>
      </c>
      <c r="O116" s="9">
        <f t="shared" si="24"/>
        <v>0.11817450045633748</v>
      </c>
      <c r="P116" s="10">
        <f t="shared" si="25"/>
        <v>1.3965212558104909E-2</v>
      </c>
      <c r="V116" s="10">
        <f t="shared" si="28"/>
        <v>0.17218609638548701</v>
      </c>
      <c r="W116" s="13">
        <f t="shared" si="29"/>
        <v>11.063732469417216</v>
      </c>
      <c r="Z116" s="15">
        <f t="shared" si="18"/>
        <v>10.291549157531199</v>
      </c>
    </row>
    <row r="117" spans="1:26">
      <c r="A117" s="84">
        <f>'Q.6 Rand()'!R115</f>
        <v>1.8</v>
      </c>
      <c r="B117" s="141">
        <f>'Q.6 Rand()'!S115</f>
        <v>50.5</v>
      </c>
      <c r="D117" s="23"/>
      <c r="E117" s="24"/>
      <c r="F117" s="22">
        <f t="shared" si="10"/>
        <v>-1.6628726287262883</v>
      </c>
      <c r="G117" s="22">
        <f t="shared" si="13"/>
        <v>15.791755555555504</v>
      </c>
      <c r="H117" s="18">
        <f t="shared" si="26"/>
        <v>-26.259678072869548</v>
      </c>
      <c r="I117" s="18">
        <f t="shared" si="27"/>
        <v>2.7651453793670759</v>
      </c>
      <c r="J117" s="24"/>
      <c r="K117" s="24"/>
      <c r="L117" s="19">
        <f t="shared" si="16"/>
        <v>42.21180306426492</v>
      </c>
      <c r="O117" s="9">
        <f t="shared" si="24"/>
        <v>8.2881969357350798</v>
      </c>
      <c r="P117" s="10">
        <f t="shared" si="25"/>
        <v>68.694208445528361</v>
      </c>
      <c r="V117" s="10">
        <f t="shared" si="28"/>
        <v>3.7515476237083411E-3</v>
      </c>
      <c r="W117" s="13">
        <f t="shared" si="29"/>
        <v>56.303391961081388</v>
      </c>
      <c r="Z117" s="15">
        <f t="shared" si="18"/>
        <v>249.37954352641813</v>
      </c>
    </row>
    <row r="118" spans="1:26">
      <c r="A118" s="84">
        <f>'Q.6 Rand()'!R116</f>
        <v>3.8</v>
      </c>
      <c r="B118" s="141">
        <f>'Q.6 Rand()'!S116</f>
        <v>32.4</v>
      </c>
      <c r="D118" s="23"/>
      <c r="E118" s="24"/>
      <c r="F118" s="22">
        <f t="shared" si="10"/>
        <v>0.33712737127371151</v>
      </c>
      <c r="G118" s="22">
        <f t="shared" si="13"/>
        <v>-2.3082444444444974</v>
      </c>
      <c r="H118" s="18">
        <f t="shared" si="26"/>
        <v>-0.77817238181272208</v>
      </c>
      <c r="I118" s="18">
        <f t="shared" si="27"/>
        <v>0.11365486446192292</v>
      </c>
      <c r="J118" s="24"/>
      <c r="K118" s="24"/>
      <c r="L118" s="19">
        <f t="shared" si="16"/>
        <v>33.186988426997203</v>
      </c>
      <c r="O118" s="9">
        <f t="shared" si="24"/>
        <v>-0.78698842699720473</v>
      </c>
      <c r="P118" s="10">
        <f t="shared" si="25"/>
        <v>0.61935078422753465</v>
      </c>
      <c r="V118" s="10">
        <f t="shared" si="28"/>
        <v>0.16412271159871444</v>
      </c>
      <c r="W118" s="13">
        <f t="shared" si="29"/>
        <v>2.3142198706195978</v>
      </c>
      <c r="Z118" s="15">
        <f t="shared" si="18"/>
        <v>5.327992415308886</v>
      </c>
    </row>
    <row r="119" spans="1:26">
      <c r="A119" s="84">
        <f>'Q.6 Rand()'!R117</f>
        <v>3.2</v>
      </c>
      <c r="B119" s="141">
        <f>'Q.6 Rand()'!S117</f>
        <v>36.4</v>
      </c>
      <c r="D119" s="23"/>
      <c r="E119" s="24"/>
      <c r="F119" s="22">
        <f t="shared" si="10"/>
        <v>-0.26287262872628814</v>
      </c>
      <c r="G119" s="22">
        <f t="shared" si="13"/>
        <v>1.6917555555555026</v>
      </c>
      <c r="H119" s="18">
        <f t="shared" si="26"/>
        <v>-0.44471623005117694</v>
      </c>
      <c r="I119" s="18">
        <f t="shared" si="27"/>
        <v>6.9102018933468928E-2</v>
      </c>
      <c r="J119" s="24"/>
      <c r="K119" s="24"/>
      <c r="L119" s="19">
        <f t="shared" si="16"/>
        <v>35.894432818177521</v>
      </c>
      <c r="O119" s="9">
        <f t="shared" si="24"/>
        <v>0.50556718182247806</v>
      </c>
      <c r="P119" s="10">
        <f t="shared" si="25"/>
        <v>0.25559817533592261</v>
      </c>
      <c r="V119" s="10">
        <f t="shared" si="28"/>
        <v>2.4289766265345826E-2</v>
      </c>
      <c r="W119" s="13">
        <f t="shared" si="29"/>
        <v>1.4070428579793974</v>
      </c>
      <c r="Z119" s="15">
        <f t="shared" si="18"/>
        <v>2.8620368597529073</v>
      </c>
    </row>
    <row r="120" spans="1:26">
      <c r="A120" s="84">
        <f>'Q.6 Rand()'!R118</f>
        <v>5.4</v>
      </c>
      <c r="B120" s="141">
        <f>'Q.6 Rand()'!S118</f>
        <v>23.898299999999999</v>
      </c>
      <c r="D120" s="23"/>
      <c r="E120" s="24"/>
      <c r="F120" s="22">
        <f t="shared" si="10"/>
        <v>1.937127371273712</v>
      </c>
      <c r="G120" s="22">
        <f t="shared" si="13"/>
        <v>-10.809944444444497</v>
      </c>
      <c r="H120" s="18">
        <f t="shared" si="26"/>
        <v>-20.940239265281637</v>
      </c>
      <c r="I120" s="18">
        <f t="shared" si="27"/>
        <v>3.7524624525378019</v>
      </c>
      <c r="J120" s="24"/>
      <c r="K120" s="24"/>
      <c r="L120" s="19">
        <f t="shared" si="16"/>
        <v>25.967136717183031</v>
      </c>
      <c r="O120" s="9">
        <f t="shared" si="24"/>
        <v>-2.0688367171830322</v>
      </c>
      <c r="P120" s="10">
        <f t="shared" si="25"/>
        <v>4.280085362364666</v>
      </c>
      <c r="V120" s="10">
        <f t="shared" si="28"/>
        <v>1.388920829182632E-2</v>
      </c>
      <c r="W120" s="13">
        <f t="shared" si="29"/>
        <v>76.406964299590086</v>
      </c>
      <c r="Z120" s="15">
        <f t="shared" si="18"/>
        <v>116.85489889197645</v>
      </c>
    </row>
    <row r="121" spans="1:26">
      <c r="A121" s="84">
        <f>'Q.6 Rand()'!R119</f>
        <v>3</v>
      </c>
      <c r="B121" s="141">
        <f>'Q.6 Rand()'!S119</f>
        <v>36.1</v>
      </c>
      <c r="D121" s="23"/>
      <c r="E121" s="24"/>
      <c r="F121" s="22">
        <f t="shared" si="10"/>
        <v>-0.46287262872628832</v>
      </c>
      <c r="G121" s="22">
        <f t="shared" si="13"/>
        <v>1.3917555555555055</v>
      </c>
      <c r="H121" s="18">
        <f t="shared" si="26"/>
        <v>-0.6442055525443926</v>
      </c>
      <c r="I121" s="18">
        <f t="shared" si="27"/>
        <v>0.21425107042398434</v>
      </c>
      <c r="J121" s="24"/>
      <c r="K121" s="24"/>
      <c r="L121" s="19">
        <f t="shared" si="16"/>
        <v>36.796914281904293</v>
      </c>
      <c r="O121" s="9">
        <f t="shared" si="24"/>
        <v>-0.6969142819042915</v>
      </c>
      <c r="P121" s="10">
        <f t="shared" si="25"/>
        <v>0.48568951632217428</v>
      </c>
      <c r="V121" s="10">
        <f t="shared" si="28"/>
        <v>8.6568363322204189E-2</v>
      </c>
      <c r="W121" s="13">
        <f t="shared" si="29"/>
        <v>4.3625416899143348</v>
      </c>
      <c r="Z121" s="15">
        <f t="shared" si="18"/>
        <v>1.9369835264196136</v>
      </c>
    </row>
    <row r="122" spans="1:26">
      <c r="A122" s="84">
        <f>'Q.6 Rand()'!R120</f>
        <v>6</v>
      </c>
      <c r="B122" s="141">
        <f>'Q.6 Rand()'!S120</f>
        <v>21.7</v>
      </c>
      <c r="D122" s="23"/>
      <c r="E122" s="24"/>
      <c r="F122" s="22">
        <f t="shared" si="10"/>
        <v>2.5371273712737117</v>
      </c>
      <c r="G122" s="22">
        <f t="shared" si="13"/>
        <v>-13.008244444444497</v>
      </c>
      <c r="H122" s="18">
        <f t="shared" si="26"/>
        <v>-33.003573032219329</v>
      </c>
      <c r="I122" s="18">
        <f t="shared" si="27"/>
        <v>6.4370152980662541</v>
      </c>
      <c r="J122" s="24"/>
      <c r="K122" s="24"/>
      <c r="L122" s="19">
        <f t="shared" si="16"/>
        <v>23.259692326002721</v>
      </c>
      <c r="O122" s="9">
        <f t="shared" si="24"/>
        <v>-1.5596923260027218</v>
      </c>
      <c r="P122" s="10">
        <f t="shared" si="25"/>
        <v>2.4326401517917806</v>
      </c>
      <c r="V122" s="10">
        <f t="shared" si="28"/>
        <v>1.930510476189173E-2</v>
      </c>
      <c r="W122" s="13">
        <f t="shared" si="29"/>
        <v>131.06934560867765</v>
      </c>
      <c r="Z122" s="15">
        <f t="shared" si="18"/>
        <v>169.21442352642111</v>
      </c>
    </row>
    <row r="123" spans="1:26">
      <c r="A123" s="84">
        <f>'Q.6 Rand()'!R121</f>
        <v>2.5</v>
      </c>
      <c r="B123" s="141">
        <f>'Q.6 Rand()'!S121</f>
        <v>46.8</v>
      </c>
      <c r="D123" s="23"/>
      <c r="E123" s="24"/>
      <c r="F123" s="22">
        <f t="shared" si="10"/>
        <v>-0.96287262872628832</v>
      </c>
      <c r="G123" s="22">
        <f t="shared" si="13"/>
        <v>12.091755555555501</v>
      </c>
      <c r="H123" s="18">
        <f t="shared" si="26"/>
        <v>-11.642820457693427</v>
      </c>
      <c r="I123" s="18">
        <f t="shared" si="27"/>
        <v>0.92712369915027271</v>
      </c>
      <c r="J123" s="24"/>
      <c r="K123" s="24"/>
      <c r="L123" s="19">
        <f t="shared" si="16"/>
        <v>39.053117941221217</v>
      </c>
      <c r="O123" s="9">
        <f t="shared" si="24"/>
        <v>7.7468820587787803</v>
      </c>
      <c r="P123" s="10">
        <f t="shared" si="25"/>
        <v>60.014181632628556</v>
      </c>
      <c r="V123" s="10">
        <f t="shared" si="28"/>
        <v>7.1875222396438801E-2</v>
      </c>
      <c r="W123" s="13">
        <f t="shared" si="29"/>
        <v>18.877925702992769</v>
      </c>
      <c r="Z123" s="15">
        <f t="shared" si="18"/>
        <v>146.21055241530732</v>
      </c>
    </row>
    <row r="124" spans="1:26">
      <c r="A124" s="84">
        <f>'Q.6 Rand()'!R122</f>
        <v>2</v>
      </c>
      <c r="B124" s="141">
        <f>'Q.6 Rand()'!S122</f>
        <v>40.239699999999999</v>
      </c>
      <c r="D124" s="23"/>
      <c r="E124" s="24"/>
      <c r="F124" s="22">
        <f t="shared" si="10"/>
        <v>-1.4628726287262883</v>
      </c>
      <c r="G124" s="22">
        <f t="shared" si="13"/>
        <v>5.5314555555555032</v>
      </c>
      <c r="H124" s="18">
        <f t="shared" si="26"/>
        <v>-8.0918149292381099</v>
      </c>
      <c r="I124" s="18">
        <f t="shared" si="27"/>
        <v>2.139996327876561</v>
      </c>
      <c r="J124" s="24"/>
      <c r="K124" s="24"/>
      <c r="L124" s="19">
        <f t="shared" si="16"/>
        <v>41.309321600538148</v>
      </c>
      <c r="O124" s="9">
        <f t="shared" si="24"/>
        <v>-1.0696216005381487</v>
      </c>
      <c r="P124" s="10">
        <f t="shared" si="25"/>
        <v>1.144090368337791</v>
      </c>
      <c r="V124" s="10">
        <f t="shared" si="28"/>
        <v>0.16553166792262353</v>
      </c>
      <c r="W124" s="13">
        <f t="shared" si="29"/>
        <v>43.574219620701456</v>
      </c>
      <c r="Z124" s="15">
        <f t="shared" si="18"/>
        <v>30.597000563085839</v>
      </c>
    </row>
    <row r="125" spans="1:26">
      <c r="A125" s="84">
        <f>'Q.6 Rand()'!R123</f>
        <v>2.9</v>
      </c>
      <c r="B125" s="141">
        <f>'Q.6 Rand()'!S123</f>
        <v>35.258200000000002</v>
      </c>
      <c r="D125" s="23"/>
      <c r="E125" s="24"/>
      <c r="F125" s="22">
        <f t="shared" si="10"/>
        <v>-0.5628726287262884</v>
      </c>
      <c r="G125" s="22">
        <f t="shared" si="13"/>
        <v>0.54995555555550624</v>
      </c>
      <c r="H125" s="18">
        <f t="shared" si="26"/>
        <v>-0.30955492923815414</v>
      </c>
      <c r="I125" s="18">
        <f t="shared" si="27"/>
        <v>0.31682559616924211</v>
      </c>
      <c r="J125" s="24"/>
      <c r="K125" s="24"/>
      <c r="L125" s="19">
        <f t="shared" si="16"/>
        <v>37.248155013767679</v>
      </c>
      <c r="O125" s="9">
        <f t="shared" si="24"/>
        <v>-1.9899550137676769</v>
      </c>
      <c r="P125" s="10">
        <f t="shared" si="25"/>
        <v>3.9599209568191154</v>
      </c>
      <c r="V125" s="10">
        <f t="shared" si="28"/>
        <v>2.6581251861672643E-2</v>
      </c>
      <c r="W125" s="13">
        <f t="shared" si="29"/>
        <v>6.451145700159616</v>
      </c>
      <c r="Z125" s="15">
        <f t="shared" si="18"/>
        <v>0.30245111308636552</v>
      </c>
    </row>
    <row r="126" spans="1:26">
      <c r="A126" s="84">
        <f>'Q.6 Rand()'!R124</f>
        <v>3</v>
      </c>
      <c r="B126" s="141">
        <f>'Q.6 Rand()'!S124</f>
        <v>38.169600000000003</v>
      </c>
      <c r="D126" s="23"/>
      <c r="E126" s="24"/>
      <c r="F126" s="22">
        <f t="shared" si="10"/>
        <v>-0.46287262872628832</v>
      </c>
      <c r="G126" s="22">
        <f t="shared" si="13"/>
        <v>3.4613555555555067</v>
      </c>
      <c r="H126" s="18">
        <f t="shared" si="26"/>
        <v>-1.6021667449563195</v>
      </c>
      <c r="I126" s="18">
        <f t="shared" si="27"/>
        <v>0.21425107042398434</v>
      </c>
      <c r="J126" s="24"/>
      <c r="K126" s="24"/>
      <c r="L126" s="19">
        <f t="shared" si="16"/>
        <v>36.796914281904293</v>
      </c>
      <c r="O126" s="9">
        <f t="shared" si="24"/>
        <v>1.3726857180957097</v>
      </c>
      <c r="P126" s="10">
        <f t="shared" si="25"/>
        <v>1.8842660806639342</v>
      </c>
      <c r="V126" s="10">
        <f t="shared" si="28"/>
        <v>5.6439495316484588E-2</v>
      </c>
      <c r="W126" s="13">
        <f t="shared" si="29"/>
        <v>4.3625416899143348</v>
      </c>
      <c r="Z126" s="15">
        <f t="shared" si="18"/>
        <v>11.980982281974971</v>
      </c>
    </row>
    <row r="127" spans="1:26">
      <c r="A127" s="84">
        <f>'Q.6 Rand()'!R125</f>
        <v>6.1</v>
      </c>
      <c r="B127" s="141">
        <f>'Q.6 Rand()'!S125</f>
        <v>26</v>
      </c>
      <c r="D127" s="23"/>
      <c r="E127" s="24"/>
      <c r="F127" s="22">
        <f t="shared" si="10"/>
        <v>2.6371273712737113</v>
      </c>
      <c r="G127" s="22">
        <f t="shared" si="13"/>
        <v>-8.708244444444496</v>
      </c>
      <c r="H127" s="18">
        <f t="shared" si="26"/>
        <v>-22.964749780186814</v>
      </c>
      <c r="I127" s="18">
        <f t="shared" si="27"/>
        <v>6.9544407723209947</v>
      </c>
      <c r="J127" s="24"/>
      <c r="K127" s="24"/>
      <c r="L127" s="19">
        <f t="shared" si="16"/>
        <v>22.808451594139335</v>
      </c>
      <c r="O127" s="9">
        <f t="shared" si="24"/>
        <v>3.1915484058606651</v>
      </c>
      <c r="P127" s="10">
        <f t="shared" si="25"/>
        <v>10.185981226951753</v>
      </c>
      <c r="V127" s="10">
        <f t="shared" si="28"/>
        <v>3.5962800713020562E-2</v>
      </c>
      <c r="W127" s="13">
        <f t="shared" si="29"/>
        <v>141.60506988017383</v>
      </c>
      <c r="Z127" s="15">
        <f t="shared" si="18"/>
        <v>75.833521304198428</v>
      </c>
    </row>
    <row r="128" spans="1:26">
      <c r="A128" s="84">
        <f>'Q.6 Rand()'!R126</f>
        <v>2.4</v>
      </c>
      <c r="B128" s="141">
        <f>'Q.6 Rand()'!S126</f>
        <v>34.700000000000003</v>
      </c>
      <c r="D128" s="23"/>
      <c r="E128" s="24"/>
      <c r="F128" s="22">
        <f t="shared" si="10"/>
        <v>-1.0628726287262884</v>
      </c>
      <c r="G128" s="22">
        <f t="shared" si="13"/>
        <v>-8.2444444444931264E-3</v>
      </c>
      <c r="H128" s="18">
        <f t="shared" si="26"/>
        <v>8.7627943391062543E-3</v>
      </c>
      <c r="I128" s="18">
        <f t="shared" si="27"/>
        <v>1.1296982248955305</v>
      </c>
      <c r="J128" s="24"/>
      <c r="K128" s="24"/>
      <c r="L128" s="19">
        <f t="shared" si="16"/>
        <v>39.50435867308461</v>
      </c>
      <c r="O128" s="9">
        <f t="shared" si="24"/>
        <v>-4.8043586730846073</v>
      </c>
      <c r="P128" s="10">
        <f t="shared" si="25"/>
        <v>23.081862259643287</v>
      </c>
      <c r="V128" s="10">
        <f t="shared" si="28"/>
        <v>0.12275186176387173</v>
      </c>
      <c r="W128" s="13">
        <f t="shared" si="29"/>
        <v>23.002711694164159</v>
      </c>
      <c r="Z128" s="15">
        <f t="shared" si="18"/>
        <v>6.7970864198333569E-5</v>
      </c>
    </row>
    <row r="129" spans="1:26">
      <c r="A129" s="84">
        <f>'Q.6 Rand()'!R127</f>
        <v>3.6</v>
      </c>
      <c r="B129" s="141">
        <f>'Q.6 Rand()'!S127</f>
        <v>28.1127</v>
      </c>
      <c r="D129" s="23"/>
      <c r="E129" s="24"/>
      <c r="F129" s="22">
        <f t="shared" si="10"/>
        <v>0.13712737127371177</v>
      </c>
      <c r="G129" s="22">
        <f t="shared" si="13"/>
        <v>-6.5955444444444957</v>
      </c>
      <c r="H129" s="18">
        <f t="shared" si="26"/>
        <v>-0.9044296717856074</v>
      </c>
      <c r="I129" s="18">
        <f t="shared" si="27"/>
        <v>1.8803915952438393E-2</v>
      </c>
      <c r="J129" s="24"/>
      <c r="K129" s="24"/>
      <c r="L129" s="19">
        <f t="shared" si="16"/>
        <v>34.089469890723976</v>
      </c>
      <c r="O129" s="9">
        <f t="shared" si="24"/>
        <v>-5.9767698907239755</v>
      </c>
      <c r="P129" s="10">
        <f t="shared" si="25"/>
        <v>35.721778326664683</v>
      </c>
      <c r="V129" s="10">
        <f t="shared" si="28"/>
        <v>0.13845414043471491</v>
      </c>
      <c r="W129" s="13">
        <f t="shared" si="29"/>
        <v>0.38288194833202899</v>
      </c>
      <c r="Z129" s="15">
        <f t="shared" si="18"/>
        <v>43.501206518642654</v>
      </c>
    </row>
    <row r="130" spans="1:26">
      <c r="A130" s="84">
        <f>'Q.6 Rand()'!R128</f>
        <v>1.6</v>
      </c>
      <c r="B130" s="141">
        <f>'Q.6 Rand()'!S128</f>
        <v>44.2</v>
      </c>
      <c r="D130" s="23"/>
      <c r="E130" s="24"/>
      <c r="F130" s="22">
        <f t="shared" si="10"/>
        <v>-1.8628726287262882</v>
      </c>
      <c r="G130" s="22">
        <f t="shared" si="13"/>
        <v>9.4917555555555069</v>
      </c>
      <c r="H130" s="18">
        <f t="shared" si="26"/>
        <v>-17.681931623005038</v>
      </c>
      <c r="I130" s="18">
        <f t="shared" si="27"/>
        <v>3.4702944308575914</v>
      </c>
      <c r="J130" s="24"/>
      <c r="K130" s="24"/>
      <c r="L130" s="19">
        <f t="shared" si="16"/>
        <v>43.114284527991693</v>
      </c>
      <c r="O130" s="9">
        <f t="shared" si="24"/>
        <v>1.0857154720083102</v>
      </c>
      <c r="P130" s="10">
        <f t="shared" si="25"/>
        <v>1.1787780861582278</v>
      </c>
      <c r="V130" s="10">
        <f t="shared" si="28"/>
        <v>0.21260035111262793</v>
      </c>
      <c r="W130" s="13">
        <f t="shared" si="29"/>
        <v>70.661509886202168</v>
      </c>
      <c r="Z130" s="15">
        <f t="shared" si="18"/>
        <v>90.093423526418832</v>
      </c>
    </row>
    <row r="131" spans="1:26">
      <c r="A131" s="84">
        <f>'Q.6 Rand()'!R129</f>
        <v>2.4</v>
      </c>
      <c r="B131" s="141">
        <f>'Q.6 Rand()'!S129</f>
        <v>39.299999999999997</v>
      </c>
      <c r="D131" s="23"/>
      <c r="E131" s="24"/>
      <c r="F131" s="22">
        <f t="shared" si="10"/>
        <v>-1.0628726287262884</v>
      </c>
      <c r="G131" s="22">
        <f t="shared" si="13"/>
        <v>4.5917555555555012</v>
      </c>
      <c r="H131" s="18">
        <f t="shared" si="26"/>
        <v>-4.8804512978018142</v>
      </c>
      <c r="I131" s="18">
        <f t="shared" si="27"/>
        <v>1.1296982248955305</v>
      </c>
      <c r="J131" s="24"/>
      <c r="K131" s="24"/>
      <c r="L131" s="19">
        <f t="shared" si="16"/>
        <v>39.50435867308461</v>
      </c>
      <c r="O131" s="9">
        <f t="shared" si="24"/>
        <v>-0.20435867308461297</v>
      </c>
      <c r="P131" s="10">
        <f t="shared" si="25"/>
        <v>4.1762467264903722E-2</v>
      </c>
      <c r="V131" s="10">
        <f t="shared" si="28"/>
        <v>2.4563698461726475E-2</v>
      </c>
      <c r="W131" s="13">
        <f t="shared" si="29"/>
        <v>23.002711694164159</v>
      </c>
      <c r="Z131" s="15">
        <f t="shared" si="18"/>
        <v>21.084219081974808</v>
      </c>
    </row>
    <row r="132" spans="1:26">
      <c r="A132" s="84">
        <f>'Q.6 Rand()'!R130</f>
        <v>4</v>
      </c>
      <c r="B132" s="141">
        <f>'Q.6 Rand()'!S130</f>
        <v>25.753499999999999</v>
      </c>
      <c r="D132" s="23"/>
      <c r="E132" s="24"/>
      <c r="F132" s="22">
        <f t="shared" si="10"/>
        <v>0.53712737127371168</v>
      </c>
      <c r="G132" s="22">
        <f t="shared" si="13"/>
        <v>-8.954744444444497</v>
      </c>
      <c r="H132" s="18">
        <f t="shared" si="26"/>
        <v>-4.8098383438723467</v>
      </c>
      <c r="I132" s="18">
        <f t="shared" si="27"/>
        <v>0.2885058129714077</v>
      </c>
      <c r="J132" s="24"/>
      <c r="K132" s="24"/>
      <c r="L132" s="19">
        <f t="shared" si="16"/>
        <v>32.284506963270431</v>
      </c>
      <c r="O132" s="9">
        <f t="shared" si="24"/>
        <v>-6.531006963270432</v>
      </c>
      <c r="P132" s="10">
        <f t="shared" si="25"/>
        <v>42.654051954286871</v>
      </c>
      <c r="V132" s="10">
        <f t="shared" si="28"/>
        <v>5.1999662362496946E-3</v>
      </c>
      <c r="W132" s="13">
        <f t="shared" si="29"/>
        <v>5.8745033776480016</v>
      </c>
      <c r="Z132" s="15">
        <f t="shared" si="18"/>
        <v>80.187448065309582</v>
      </c>
    </row>
    <row r="133" spans="1:26">
      <c r="A133" s="84">
        <f>'Q.6 Rand()'!R131</f>
        <v>5.7</v>
      </c>
      <c r="B133" s="141">
        <f>'Q.6 Rand()'!S131</f>
        <v>21.1</v>
      </c>
      <c r="D133" s="23"/>
      <c r="E133" s="24"/>
      <c r="F133" s="22">
        <f t="shared" ref="F133:F196" si="30">A133-$D$5</f>
        <v>2.2371273712737119</v>
      </c>
      <c r="G133" s="22">
        <f t="shared" si="13"/>
        <v>-13.608244444444495</v>
      </c>
      <c r="H133" s="18">
        <f t="shared" si="26"/>
        <v>-30.443376121650207</v>
      </c>
      <c r="I133" s="18">
        <f t="shared" si="27"/>
        <v>5.0047388753020279</v>
      </c>
      <c r="J133" s="24"/>
      <c r="K133" s="24"/>
      <c r="L133" s="19">
        <f t="shared" si="16"/>
        <v>24.613414521592876</v>
      </c>
      <c r="O133" s="9">
        <f t="shared" si="24"/>
        <v>-3.5134145215928747</v>
      </c>
      <c r="P133" s="10">
        <f t="shared" si="25"/>
        <v>12.344081600539688</v>
      </c>
      <c r="V133" s="10">
        <f t="shared" si="28"/>
        <v>0.25359686890210775</v>
      </c>
      <c r="W133" s="13">
        <f t="shared" si="29"/>
        <v>101.90559117130044</v>
      </c>
      <c r="Z133" s="15">
        <f t="shared" si="18"/>
        <v>185.18431685975446</v>
      </c>
    </row>
    <row r="134" spans="1:26">
      <c r="A134" s="84">
        <f>'Q.6 Rand()'!R132</f>
        <v>3</v>
      </c>
      <c r="B134" s="141">
        <f>'Q.6 Rand()'!S132</f>
        <v>36.558999999999997</v>
      </c>
      <c r="D134" s="23"/>
      <c r="E134" s="24"/>
      <c r="F134" s="22">
        <f t="shared" si="30"/>
        <v>-0.46287262872628832</v>
      </c>
      <c r="G134" s="22">
        <f t="shared" ref="G134:G197" si="31">B134-$E$5</f>
        <v>1.8507555555555015</v>
      </c>
      <c r="H134" s="18">
        <f t="shared" si="26"/>
        <v>-0.85666408912975711</v>
      </c>
      <c r="I134" s="18">
        <f t="shared" si="27"/>
        <v>0.21425107042398434</v>
      </c>
      <c r="J134" s="24"/>
      <c r="K134" s="24"/>
      <c r="L134" s="19">
        <f t="shared" ref="L134:L197" si="32">$K$5+$J$5*A134</f>
        <v>36.796914281904293</v>
      </c>
      <c r="O134" s="9">
        <f t="shared" si="24"/>
        <v>-0.23791428190429542</v>
      </c>
      <c r="P134" s="10">
        <f t="shared" si="25"/>
        <v>5.6603205534036555E-2</v>
      </c>
      <c r="V134" s="10">
        <f t="shared" si="28"/>
        <v>0.16651253656838266</v>
      </c>
      <c r="W134" s="13">
        <f t="shared" si="29"/>
        <v>4.3625416899143348</v>
      </c>
      <c r="Z134" s="15">
        <f t="shared" ref="Z134:Z197" si="33">(B134-$E$5)^2</f>
        <v>3.4252961264195529</v>
      </c>
    </row>
    <row r="135" spans="1:26">
      <c r="A135" s="84">
        <f>'Q.6 Rand()'!R133</f>
        <v>3.7</v>
      </c>
      <c r="B135" s="141">
        <f>'Q.6 Rand()'!S133</f>
        <v>25.1</v>
      </c>
      <c r="D135" s="23"/>
      <c r="E135" s="24"/>
      <c r="F135" s="22">
        <f t="shared" si="30"/>
        <v>0.23712737127371186</v>
      </c>
      <c r="G135" s="22">
        <f t="shared" si="31"/>
        <v>-9.6082444444444945</v>
      </c>
      <c r="H135" s="18">
        <f t="shared" si="26"/>
        <v>-2.2783777476663691</v>
      </c>
      <c r="I135" s="18">
        <f t="shared" si="27"/>
        <v>5.6229390207180791E-2</v>
      </c>
      <c r="J135" s="24"/>
      <c r="K135" s="24"/>
      <c r="L135" s="19">
        <f t="shared" si="32"/>
        <v>33.63822915886059</v>
      </c>
      <c r="O135" s="9">
        <f t="shared" si="24"/>
        <v>-8.5382291588605881</v>
      </c>
      <c r="P135" s="10">
        <f t="shared" si="25"/>
        <v>72.901357169217192</v>
      </c>
      <c r="V135" s="10">
        <f t="shared" si="28"/>
        <v>6.5076802402772348E-3</v>
      </c>
      <c r="W135" s="13">
        <f t="shared" si="29"/>
        <v>1.1449327113832088</v>
      </c>
      <c r="Z135" s="15">
        <f t="shared" si="33"/>
        <v>92.31836130419849</v>
      </c>
    </row>
    <row r="136" spans="1:26">
      <c r="A136" s="84">
        <f>'Q.6 Rand()'!R134</f>
        <v>3.5</v>
      </c>
      <c r="B136" s="141">
        <f>'Q.6 Rand()'!S134</f>
        <v>35.349400000000003</v>
      </c>
      <c r="D136" s="23"/>
      <c r="E136" s="24"/>
      <c r="F136" s="22">
        <f t="shared" si="30"/>
        <v>3.7127371273711685E-2</v>
      </c>
      <c r="G136" s="22">
        <f t="shared" si="31"/>
        <v>0.64115555555550685</v>
      </c>
      <c r="H136" s="18">
        <f t="shared" si="26"/>
        <v>2.3804420355312182E-2</v>
      </c>
      <c r="I136" s="18">
        <f t="shared" si="27"/>
        <v>1.3784416976960316E-3</v>
      </c>
      <c r="J136" s="24"/>
      <c r="K136" s="24"/>
      <c r="L136" s="19">
        <f t="shared" si="32"/>
        <v>34.540710622587362</v>
      </c>
      <c r="O136" s="9">
        <f t="shared" si="24"/>
        <v>0.80868937741264091</v>
      </c>
      <c r="P136" s="10">
        <f t="shared" si="25"/>
        <v>0.65397850914004474</v>
      </c>
      <c r="V136" s="10">
        <f t="shared" si="28"/>
        <v>0.34016849238488395</v>
      </c>
      <c r="W136" s="13">
        <f t="shared" si="29"/>
        <v>2.806758146605793E-2</v>
      </c>
      <c r="Z136" s="15">
        <f t="shared" si="33"/>
        <v>0.41108044641969066</v>
      </c>
    </row>
    <row r="137" spans="1:26">
      <c r="A137" s="84">
        <f>'Q.6 Rand()'!R135</f>
        <v>5.5</v>
      </c>
      <c r="B137" s="141">
        <f>'Q.6 Rand()'!S135</f>
        <v>21.4</v>
      </c>
      <c r="D137" s="23"/>
      <c r="E137" s="24"/>
      <c r="F137" s="22">
        <f t="shared" si="30"/>
        <v>2.0371273712737117</v>
      </c>
      <c r="G137" s="22">
        <f t="shared" si="31"/>
        <v>-13.308244444444497</v>
      </c>
      <c r="H137" s="18">
        <f t="shared" si="26"/>
        <v>-27.110589021379198</v>
      </c>
      <c r="I137" s="18">
        <f t="shared" si="27"/>
        <v>4.1498879267925428</v>
      </c>
      <c r="J137" s="24"/>
      <c r="K137" s="24"/>
      <c r="L137" s="19">
        <f t="shared" si="32"/>
        <v>25.515895985319649</v>
      </c>
      <c r="O137" s="9">
        <f t="shared" si="24"/>
        <v>-4.11589598531965</v>
      </c>
      <c r="P137" s="10">
        <f t="shared" si="25"/>
        <v>16.940599761970411</v>
      </c>
      <c r="V137" s="10">
        <f t="shared" si="28"/>
        <v>2.2877032634574867E-2</v>
      </c>
      <c r="W137" s="13">
        <f t="shared" si="29"/>
        <v>84.499270193974951</v>
      </c>
      <c r="Z137" s="15">
        <f t="shared" si="33"/>
        <v>177.10937019308784</v>
      </c>
    </row>
    <row r="138" spans="1:26">
      <c r="A138" s="84">
        <f>'Q.6 Rand()'!R136</f>
        <v>6.3</v>
      </c>
      <c r="B138" s="141">
        <f>'Q.6 Rand()'!S136</f>
        <v>19.7</v>
      </c>
      <c r="D138" s="23"/>
      <c r="E138" s="24"/>
      <c r="F138" s="22">
        <f t="shared" si="30"/>
        <v>2.8371273712737115</v>
      </c>
      <c r="G138" s="22">
        <f t="shared" si="31"/>
        <v>-15.008244444444497</v>
      </c>
      <c r="H138" s="18">
        <f t="shared" si="26"/>
        <v>-42.580301108100102</v>
      </c>
      <c r="I138" s="18">
        <f t="shared" si="27"/>
        <v>8.0492917208304799</v>
      </c>
      <c r="J138" s="24"/>
      <c r="K138" s="24"/>
      <c r="L138" s="19">
        <f t="shared" si="32"/>
        <v>21.905970130412562</v>
      </c>
      <c r="O138" s="9">
        <f t="shared" si="24"/>
        <v>-2.2059701304125632</v>
      </c>
      <c r="P138" s="10">
        <f t="shared" si="25"/>
        <v>4.8663042162724208</v>
      </c>
      <c r="V138" s="10">
        <f t="shared" si="28"/>
        <v>0.19233158809904907</v>
      </c>
      <c r="W138" s="13">
        <f t="shared" si="29"/>
        <v>163.89822761172181</v>
      </c>
      <c r="Z138" s="15">
        <f t="shared" si="33"/>
        <v>225.24740130419909</v>
      </c>
    </row>
    <row r="139" spans="1:26">
      <c r="A139" s="84">
        <f>'Q.6 Rand()'!R137</f>
        <v>2</v>
      </c>
      <c r="B139" s="141">
        <f>'Q.6 Rand()'!S137</f>
        <v>38</v>
      </c>
      <c r="D139" s="23"/>
      <c r="E139" s="24"/>
      <c r="F139" s="22">
        <f t="shared" si="30"/>
        <v>-1.4628726287262883</v>
      </c>
      <c r="G139" s="22">
        <f t="shared" si="31"/>
        <v>3.291755555555504</v>
      </c>
      <c r="H139" s="18">
        <f t="shared" si="26"/>
        <v>-4.8154191026798436</v>
      </c>
      <c r="I139" s="18">
        <f t="shared" si="27"/>
        <v>2.139996327876561</v>
      </c>
      <c r="J139" s="24"/>
      <c r="K139" s="24"/>
      <c r="L139" s="19">
        <f t="shared" si="32"/>
        <v>41.309321600538148</v>
      </c>
      <c r="O139" s="9">
        <f t="shared" si="24"/>
        <v>-3.3093216005381478</v>
      </c>
      <c r="P139" s="10">
        <f t="shared" si="25"/>
        <v>10.951609455788368</v>
      </c>
      <c r="V139" s="10">
        <f t="shared" si="28"/>
        <v>0.11197817920875956</v>
      </c>
      <c r="W139" s="13">
        <f t="shared" si="29"/>
        <v>43.574219620701456</v>
      </c>
      <c r="Z139" s="15">
        <f t="shared" si="33"/>
        <v>10.835654637530524</v>
      </c>
    </row>
    <row r="140" spans="1:26">
      <c r="A140" s="84">
        <f>'Q.6 Rand()'!R138</f>
        <v>3</v>
      </c>
      <c r="B140" s="141">
        <f>'Q.6 Rand()'!S138</f>
        <v>35</v>
      </c>
      <c r="D140" s="23"/>
      <c r="E140" s="24"/>
      <c r="F140" s="22">
        <f t="shared" si="30"/>
        <v>-0.46287262872628832</v>
      </c>
      <c r="G140" s="22">
        <f t="shared" si="31"/>
        <v>0.29175555555550403</v>
      </c>
      <c r="H140" s="18">
        <f t="shared" si="26"/>
        <v>-0.13504566094547479</v>
      </c>
      <c r="I140" s="18">
        <f t="shared" si="27"/>
        <v>0.21425107042398434</v>
      </c>
      <c r="J140" s="24"/>
      <c r="K140" s="24"/>
      <c r="L140" s="19">
        <f t="shared" si="32"/>
        <v>36.796914281904293</v>
      </c>
      <c r="O140" s="9">
        <f t="shared" si="24"/>
        <v>-1.7969142819042929</v>
      </c>
      <c r="P140" s="10">
        <f t="shared" si="25"/>
        <v>3.2289009365116206</v>
      </c>
      <c r="V140" s="10">
        <f t="shared" si="28"/>
        <v>8.7087410540477569E-2</v>
      </c>
      <c r="W140" s="13">
        <f t="shared" si="29"/>
        <v>4.3625416899143348</v>
      </c>
      <c r="Z140" s="15">
        <f t="shared" si="33"/>
        <v>8.5121304197500802E-2</v>
      </c>
    </row>
    <row r="141" spans="1:26">
      <c r="A141" s="84">
        <f>'Q.6 Rand()'!R139</f>
        <v>3.6</v>
      </c>
      <c r="B141" s="141">
        <f>'Q.6 Rand()'!S139</f>
        <v>34.875399999999999</v>
      </c>
      <c r="D141" s="23"/>
      <c r="E141" s="24"/>
      <c r="F141" s="22">
        <f t="shared" si="30"/>
        <v>0.13712737127371177</v>
      </c>
      <c r="G141" s="22">
        <f t="shared" si="31"/>
        <v>0.1671555555555031</v>
      </c>
      <c r="H141" s="18">
        <f t="shared" si="26"/>
        <v>2.2921601927123027E-2</v>
      </c>
      <c r="I141" s="18">
        <f t="shared" si="27"/>
        <v>1.8803915952438393E-2</v>
      </c>
      <c r="J141" s="24"/>
      <c r="K141" s="24"/>
      <c r="L141" s="19">
        <f t="shared" si="32"/>
        <v>34.089469890723976</v>
      </c>
      <c r="O141" s="9">
        <f t="shared" si="24"/>
        <v>0.78593010927602336</v>
      </c>
      <c r="P141" s="10">
        <f t="shared" si="25"/>
        <v>0.61768613666662198</v>
      </c>
      <c r="V141" s="10">
        <f t="shared" si="28"/>
        <v>5.1340408054408371E-2</v>
      </c>
      <c r="W141" s="13">
        <f t="shared" si="29"/>
        <v>0.38288194833202899</v>
      </c>
      <c r="Z141" s="15">
        <f t="shared" si="33"/>
        <v>2.7940979753068883E-2</v>
      </c>
    </row>
    <row r="142" spans="1:26">
      <c r="A142" s="84">
        <f>'Q.6 Rand()'!R140</f>
        <v>3.8</v>
      </c>
      <c r="B142" s="141">
        <f>'Q.6 Rand()'!S140</f>
        <v>32.4</v>
      </c>
      <c r="D142" s="23"/>
      <c r="E142" s="24"/>
      <c r="F142" s="22">
        <f t="shared" si="30"/>
        <v>0.33712737127371151</v>
      </c>
      <c r="G142" s="22">
        <f t="shared" si="31"/>
        <v>-2.3082444444444974</v>
      </c>
      <c r="H142" s="18">
        <f t="shared" si="26"/>
        <v>-0.77817238181272208</v>
      </c>
      <c r="I142" s="18">
        <f t="shared" si="27"/>
        <v>0.11365486446192292</v>
      </c>
      <c r="J142" s="24"/>
      <c r="K142" s="24"/>
      <c r="L142" s="19">
        <f t="shared" si="32"/>
        <v>33.186988426997203</v>
      </c>
      <c r="O142" s="9">
        <f t="shared" si="24"/>
        <v>-0.78698842699720473</v>
      </c>
      <c r="P142" s="10">
        <f t="shared" si="25"/>
        <v>0.61935078422753465</v>
      </c>
      <c r="V142" s="10">
        <f t="shared" si="28"/>
        <v>2.253537190329067E-2</v>
      </c>
      <c r="W142" s="13">
        <f t="shared" si="29"/>
        <v>2.3142198706195978</v>
      </c>
      <c r="Z142" s="15">
        <f t="shared" si="33"/>
        <v>5.327992415308886</v>
      </c>
    </row>
    <row r="143" spans="1:26">
      <c r="A143" s="84">
        <f>'Q.6 Rand()'!R141</f>
        <v>2.4</v>
      </c>
      <c r="B143" s="141">
        <f>'Q.6 Rand()'!S141</f>
        <v>46.9</v>
      </c>
      <c r="D143" s="23"/>
      <c r="E143" s="24"/>
      <c r="F143" s="22">
        <f t="shared" si="30"/>
        <v>-1.0628726287262884</v>
      </c>
      <c r="G143" s="22">
        <f t="shared" si="31"/>
        <v>12.191755555555503</v>
      </c>
      <c r="H143" s="18">
        <f t="shared" si="26"/>
        <v>-12.958283276121607</v>
      </c>
      <c r="I143" s="18">
        <f t="shared" si="27"/>
        <v>1.1296982248955305</v>
      </c>
      <c r="J143" s="24"/>
      <c r="K143" s="24"/>
      <c r="L143" s="19">
        <f t="shared" si="32"/>
        <v>39.50435867308461</v>
      </c>
      <c r="O143" s="9">
        <f t="shared" si="24"/>
        <v>7.3956413269153884</v>
      </c>
      <c r="P143" s="10">
        <f t="shared" si="25"/>
        <v>54.695510636378806</v>
      </c>
      <c r="V143" s="10">
        <f t="shared" si="28"/>
        <v>2.4289766265345826E-2</v>
      </c>
      <c r="W143" s="13">
        <f t="shared" si="29"/>
        <v>23.002711694164159</v>
      </c>
      <c r="Z143" s="15">
        <f t="shared" si="33"/>
        <v>148.63890352641846</v>
      </c>
    </row>
    <row r="144" spans="1:26">
      <c r="A144" s="84">
        <f>'Q.6 Rand()'!R142</f>
        <v>3.5</v>
      </c>
      <c r="B144" s="141">
        <f>'Q.6 Rand()'!S142</f>
        <v>30.2</v>
      </c>
      <c r="D144" s="23"/>
      <c r="E144" s="24"/>
      <c r="F144" s="22">
        <f t="shared" si="30"/>
        <v>3.7127371273711685E-2</v>
      </c>
      <c r="G144" s="22">
        <f t="shared" si="31"/>
        <v>-4.5082444444444967</v>
      </c>
      <c r="H144" s="18">
        <f t="shared" si="26"/>
        <v>-0.1673792652815389</v>
      </c>
      <c r="I144" s="18">
        <f t="shared" si="27"/>
        <v>1.3784416976960316E-3</v>
      </c>
      <c r="J144" s="24"/>
      <c r="K144" s="24"/>
      <c r="L144" s="19">
        <f t="shared" si="32"/>
        <v>34.540710622587362</v>
      </c>
      <c r="O144" s="9">
        <f t="shared" si="24"/>
        <v>-4.3407106225873626</v>
      </c>
      <c r="P144" s="10">
        <f t="shared" si="25"/>
        <v>18.841768709042768</v>
      </c>
      <c r="V144" s="10">
        <f t="shared" si="28"/>
        <v>0.15768958053124496</v>
      </c>
      <c r="W144" s="13">
        <f t="shared" si="29"/>
        <v>2.806758146605793E-2</v>
      </c>
      <c r="Z144" s="15">
        <f t="shared" si="33"/>
        <v>20.324267970864668</v>
      </c>
    </row>
    <row r="145" spans="1:26">
      <c r="A145" s="84">
        <f>'Q.6 Rand()'!R143</f>
        <v>2</v>
      </c>
      <c r="B145" s="141">
        <f>'Q.6 Rand()'!S143</f>
        <v>41.113199999999999</v>
      </c>
      <c r="D145" s="23"/>
      <c r="E145" s="24"/>
      <c r="F145" s="22">
        <f t="shared" si="30"/>
        <v>-1.4628726287262883</v>
      </c>
      <c r="G145" s="22">
        <f t="shared" si="31"/>
        <v>6.4049555555555031</v>
      </c>
      <c r="H145" s="18">
        <f t="shared" si="26"/>
        <v>-9.3696341704305226</v>
      </c>
      <c r="I145" s="18">
        <f t="shared" si="27"/>
        <v>2.139996327876561</v>
      </c>
      <c r="J145" s="24"/>
      <c r="K145" s="24"/>
      <c r="L145" s="19">
        <f t="shared" si="32"/>
        <v>41.309321600538148</v>
      </c>
      <c r="O145" s="9">
        <f t="shared" si="24"/>
        <v>-0.19612160053814875</v>
      </c>
      <c r="P145" s="10">
        <f t="shared" si="25"/>
        <v>3.8463682197645191E-2</v>
      </c>
      <c r="V145" s="10">
        <f t="shared" si="28"/>
        <v>0.1437321398207736</v>
      </c>
      <c r="W145" s="13">
        <f t="shared" si="29"/>
        <v>43.574219620701456</v>
      </c>
      <c r="Z145" s="15">
        <f t="shared" si="33"/>
        <v>41.023455668641304</v>
      </c>
    </row>
    <row r="146" spans="1:26">
      <c r="A146" s="84">
        <f>'Q.6 Rand()'!R144</f>
        <v>2.4</v>
      </c>
      <c r="B146" s="141">
        <f>'Q.6 Rand()'!S144</f>
        <v>37.491100000000003</v>
      </c>
      <c r="D146" s="23"/>
      <c r="E146" s="24"/>
      <c r="F146" s="22">
        <f t="shared" si="30"/>
        <v>-1.0628726287262884</v>
      </c>
      <c r="G146" s="22">
        <f t="shared" si="31"/>
        <v>2.782855555555507</v>
      </c>
      <c r="H146" s="18">
        <f t="shared" si="26"/>
        <v>-2.9578209996988374</v>
      </c>
      <c r="I146" s="18">
        <f t="shared" si="27"/>
        <v>1.1296982248955305</v>
      </c>
      <c r="J146" s="24"/>
      <c r="K146" s="24"/>
      <c r="L146" s="19">
        <f t="shared" si="32"/>
        <v>39.50435867308461</v>
      </c>
      <c r="O146" s="9">
        <f t="shared" si="24"/>
        <v>-2.0132586730846072</v>
      </c>
      <c r="P146" s="10">
        <f t="shared" si="25"/>
        <v>4.0532104847503927</v>
      </c>
      <c r="V146" s="10">
        <f t="shared" si="28"/>
        <v>4.7702830365466261E-3</v>
      </c>
      <c r="W146" s="13">
        <f t="shared" si="29"/>
        <v>23.002711694164159</v>
      </c>
      <c r="Z146" s="15">
        <f t="shared" si="33"/>
        <v>7.7442850430861494</v>
      </c>
    </row>
    <row r="147" spans="1:26">
      <c r="A147" s="84">
        <f>'Q.6 Rand()'!R145</f>
        <v>3.6</v>
      </c>
      <c r="B147" s="141">
        <f>'Q.6 Rand()'!S145</f>
        <v>36.756300000000003</v>
      </c>
      <c r="D147" s="23"/>
      <c r="E147" s="24"/>
      <c r="F147" s="22">
        <f t="shared" si="30"/>
        <v>0.13712737127371177</v>
      </c>
      <c r="G147" s="22">
        <f t="shared" si="31"/>
        <v>2.0480555555555071</v>
      </c>
      <c r="H147" s="18">
        <f t="shared" si="26"/>
        <v>0.28084447455584804</v>
      </c>
      <c r="I147" s="18">
        <f t="shared" si="27"/>
        <v>1.8803915952438393E-2</v>
      </c>
      <c r="J147" s="24"/>
      <c r="K147" s="24"/>
      <c r="L147" s="19">
        <f t="shared" si="32"/>
        <v>34.089469890723976</v>
      </c>
      <c r="O147" s="9">
        <f t="shared" si="24"/>
        <v>2.6668301092760274</v>
      </c>
      <c r="P147" s="10">
        <f t="shared" si="25"/>
        <v>7.1119828317411882</v>
      </c>
      <c r="V147" s="10">
        <f t="shared" si="28"/>
        <v>5.3699642664115137E-2</v>
      </c>
      <c r="W147" s="13">
        <f t="shared" si="29"/>
        <v>0.38288194833202899</v>
      </c>
      <c r="Z147" s="15">
        <f t="shared" si="33"/>
        <v>4.1945315586417768</v>
      </c>
    </row>
    <row r="148" spans="1:26">
      <c r="A148" s="84">
        <f>'Q.6 Rand()'!R146</f>
        <v>4.3</v>
      </c>
      <c r="B148" s="141">
        <f>'Q.6 Rand()'!S146</f>
        <v>26.1157</v>
      </c>
      <c r="D148" s="23"/>
      <c r="E148" s="24"/>
      <c r="F148" s="22">
        <f t="shared" si="30"/>
        <v>0.83712737127371151</v>
      </c>
      <c r="G148" s="22">
        <f t="shared" si="31"/>
        <v>-8.5925444444444956</v>
      </c>
      <c r="H148" s="18">
        <f t="shared" si="26"/>
        <v>-7.1930541433303548</v>
      </c>
      <c r="I148" s="18">
        <f t="shared" si="27"/>
        <v>0.70078223573563447</v>
      </c>
      <c r="J148" s="24"/>
      <c r="K148" s="24"/>
      <c r="L148" s="19">
        <f t="shared" si="32"/>
        <v>30.930784767680279</v>
      </c>
      <c r="O148" s="9">
        <f t="shared" si="24"/>
        <v>-4.815084767680279</v>
      </c>
      <c r="P148" s="10">
        <f t="shared" si="25"/>
        <v>23.185041319946645</v>
      </c>
      <c r="V148" s="10">
        <f t="shared" si="28"/>
        <v>7.2554367802962413E-2</v>
      </c>
      <c r="W148" s="13">
        <f t="shared" si="29"/>
        <v>14.269201609579619</v>
      </c>
      <c r="Z148" s="15">
        <f t="shared" si="33"/>
        <v>73.83182002975397</v>
      </c>
    </row>
    <row r="149" spans="1:26">
      <c r="A149" s="84">
        <f>'Q.6 Rand()'!R147</f>
        <v>2</v>
      </c>
      <c r="B149" s="141">
        <f>'Q.6 Rand()'!S147</f>
        <v>38</v>
      </c>
      <c r="D149" s="23"/>
      <c r="E149" s="24"/>
      <c r="F149" s="22">
        <f t="shared" si="30"/>
        <v>-1.4628726287262883</v>
      </c>
      <c r="G149" s="22">
        <f t="shared" si="31"/>
        <v>3.291755555555504</v>
      </c>
      <c r="H149" s="18">
        <f t="shared" si="26"/>
        <v>-4.8154191026798436</v>
      </c>
      <c r="I149" s="18">
        <f t="shared" si="27"/>
        <v>2.139996327876561</v>
      </c>
      <c r="J149" s="24"/>
      <c r="K149" s="24"/>
      <c r="L149" s="19">
        <f t="shared" si="32"/>
        <v>41.309321600538148</v>
      </c>
      <c r="O149" s="9">
        <f t="shared" si="24"/>
        <v>-3.3093216005381478</v>
      </c>
      <c r="P149" s="10">
        <f t="shared" si="25"/>
        <v>10.951609455788368</v>
      </c>
      <c r="V149" s="10">
        <f t="shared" si="28"/>
        <v>0.1843750987980517</v>
      </c>
      <c r="W149" s="13">
        <f t="shared" si="29"/>
        <v>43.574219620701456</v>
      </c>
      <c r="Z149" s="15">
        <f t="shared" si="33"/>
        <v>10.835654637530524</v>
      </c>
    </row>
    <row r="150" spans="1:26">
      <c r="A150" s="84">
        <f>'Q.6 Rand()'!R148</f>
        <v>4</v>
      </c>
      <c r="B150" s="141">
        <f>'Q.6 Rand()'!S148</f>
        <v>28.918199999999999</v>
      </c>
      <c r="D150" s="23"/>
      <c r="E150" s="24"/>
      <c r="F150" s="22">
        <f t="shared" si="30"/>
        <v>0.53712737127371168</v>
      </c>
      <c r="G150" s="22">
        <f t="shared" si="31"/>
        <v>-5.7900444444444972</v>
      </c>
      <c r="H150" s="18">
        <f t="shared" si="26"/>
        <v>-3.1099913520024312</v>
      </c>
      <c r="I150" s="18">
        <f t="shared" si="27"/>
        <v>0.2885058129714077</v>
      </c>
      <c r="J150" s="24"/>
      <c r="K150" s="24"/>
      <c r="L150" s="19">
        <f t="shared" si="32"/>
        <v>32.284506963270431</v>
      </c>
      <c r="O150" s="9">
        <f t="shared" si="24"/>
        <v>-3.3663069632704321</v>
      </c>
      <c r="P150" s="10">
        <f t="shared" si="25"/>
        <v>11.332022570962998</v>
      </c>
      <c r="V150" s="10">
        <f t="shared" si="28"/>
        <v>8.7087410540477569E-2</v>
      </c>
      <c r="W150" s="13">
        <f t="shared" si="29"/>
        <v>5.8745033776480016</v>
      </c>
      <c r="Z150" s="15">
        <f t="shared" si="33"/>
        <v>33.524614668642585</v>
      </c>
    </row>
    <row r="151" spans="1:26">
      <c r="A151" s="84">
        <f>'Q.6 Rand()'!R149</f>
        <v>2.4</v>
      </c>
      <c r="B151" s="141">
        <f>'Q.6 Rand()'!S149</f>
        <v>37.709800000000001</v>
      </c>
      <c r="D151" s="23"/>
      <c r="E151" s="24"/>
      <c r="F151" s="22">
        <f t="shared" si="30"/>
        <v>-1.0628726287262884</v>
      </c>
      <c r="G151" s="22">
        <f t="shared" si="31"/>
        <v>3.0015555555555054</v>
      </c>
      <c r="H151" s="18">
        <f t="shared" si="26"/>
        <v>-3.1902712436012748</v>
      </c>
      <c r="I151" s="18">
        <f t="shared" si="27"/>
        <v>1.1296982248955305</v>
      </c>
      <c r="J151" s="24"/>
      <c r="K151" s="24"/>
      <c r="L151" s="19">
        <f t="shared" si="32"/>
        <v>39.50435867308461</v>
      </c>
      <c r="O151" s="9">
        <f t="shared" si="24"/>
        <v>-1.7945586730846088</v>
      </c>
      <c r="P151" s="10">
        <f t="shared" si="25"/>
        <v>3.220440831143192</v>
      </c>
      <c r="V151" s="10">
        <f t="shared" si="28"/>
        <v>0.11640790101978796</v>
      </c>
      <c r="W151" s="13">
        <f t="shared" si="29"/>
        <v>23.002711694164159</v>
      </c>
      <c r="Z151" s="15">
        <f t="shared" si="33"/>
        <v>9.009335753086118</v>
      </c>
    </row>
    <row r="152" spans="1:26">
      <c r="A152" s="84">
        <f>'Q.6 Rand()'!R150</f>
        <v>2.4</v>
      </c>
      <c r="B152" s="141">
        <f>'Q.6 Rand()'!S150</f>
        <v>31.3</v>
      </c>
      <c r="D152" s="23"/>
      <c r="E152" s="24"/>
      <c r="F152" s="22">
        <f t="shared" si="30"/>
        <v>-1.0628726287262884</v>
      </c>
      <c r="G152" s="22">
        <f t="shared" si="31"/>
        <v>-3.4082444444444953</v>
      </c>
      <c r="H152" s="18">
        <f t="shared" si="26"/>
        <v>3.622529732008489</v>
      </c>
      <c r="I152" s="18">
        <f t="shared" si="27"/>
        <v>1.1296982248955305</v>
      </c>
      <c r="J152" s="24"/>
      <c r="K152" s="24"/>
      <c r="L152" s="19">
        <f t="shared" si="32"/>
        <v>39.50435867308461</v>
      </c>
      <c r="O152" s="9">
        <f t="shared" ref="O152:O215" si="34">B152-L152</f>
        <v>-8.2043586730846094</v>
      </c>
      <c r="P152" s="10">
        <f t="shared" ref="P152:P215" si="35">O152^2</f>
        <v>67.311501236618653</v>
      </c>
      <c r="V152" s="10">
        <f t="shared" si="28"/>
        <v>4.7588655285485705E-2</v>
      </c>
      <c r="W152" s="13">
        <f t="shared" si="29"/>
        <v>23.002711694164159</v>
      </c>
      <c r="Z152" s="15">
        <f t="shared" si="33"/>
        <v>11.616130193086766</v>
      </c>
    </row>
    <row r="153" spans="1:26">
      <c r="A153" s="84">
        <f>'Q.6 Rand()'!R151</f>
        <v>1.8</v>
      </c>
      <c r="B153" s="141">
        <f>'Q.6 Rand()'!S151</f>
        <v>44.2</v>
      </c>
      <c r="D153" s="23"/>
      <c r="E153" s="24"/>
      <c r="F153" s="22">
        <f t="shared" si="30"/>
        <v>-1.6628726287262883</v>
      </c>
      <c r="G153" s="22">
        <f t="shared" si="31"/>
        <v>9.4917555555555069</v>
      </c>
      <c r="H153" s="18">
        <f t="shared" ref="H153:H216" si="36">F153*G153</f>
        <v>-15.783580511893936</v>
      </c>
      <c r="I153" s="18">
        <f t="shared" ref="I153:I216" si="37">F153^2</f>
        <v>2.7651453793670759</v>
      </c>
      <c r="J153" s="24"/>
      <c r="K153" s="24"/>
      <c r="L153" s="19">
        <f t="shared" si="32"/>
        <v>42.21180306426492</v>
      </c>
      <c r="O153" s="9">
        <f t="shared" si="34"/>
        <v>1.9881969357350826</v>
      </c>
      <c r="P153" s="10">
        <f t="shared" si="35"/>
        <v>3.9529270552663722</v>
      </c>
      <c r="V153" s="10">
        <f t="shared" ref="V153:V216" si="38">ABS(O152) / B152</f>
        <v>0.26212008540206422</v>
      </c>
      <c r="W153" s="13">
        <f t="shared" ref="W153:W216" si="39">(L153-$E$5)^2</f>
        <v>56.303391961081388</v>
      </c>
      <c r="Z153" s="15">
        <f t="shared" si="33"/>
        <v>90.093423526418832</v>
      </c>
    </row>
    <row r="154" spans="1:26">
      <c r="A154" s="84">
        <f>'Q.6 Rand()'!R152</f>
        <v>3</v>
      </c>
      <c r="B154" s="141">
        <f>'Q.6 Rand()'!S152</f>
        <v>34.7288</v>
      </c>
      <c r="D154" s="23"/>
      <c r="E154" s="24"/>
      <c r="F154" s="22">
        <f t="shared" si="30"/>
        <v>-0.46287262872628832</v>
      </c>
      <c r="G154" s="22">
        <f t="shared" si="31"/>
        <v>2.0555555555503702E-2</v>
      </c>
      <c r="H154" s="18">
        <f t="shared" si="36"/>
        <v>-9.5146040349052587E-3</v>
      </c>
      <c r="I154" s="18">
        <f t="shared" si="37"/>
        <v>0.21425107042398434</v>
      </c>
      <c r="J154" s="24"/>
      <c r="K154" s="24"/>
      <c r="L154" s="19">
        <f t="shared" si="32"/>
        <v>36.796914281904293</v>
      </c>
      <c r="O154" s="9">
        <f t="shared" si="34"/>
        <v>-2.0681142819042933</v>
      </c>
      <c r="P154" s="10">
        <f t="shared" si="35"/>
        <v>4.2770966830165102</v>
      </c>
      <c r="V154" s="10">
        <f t="shared" si="38"/>
        <v>4.4981831125228113E-2</v>
      </c>
      <c r="W154" s="13">
        <f t="shared" si="39"/>
        <v>4.3625416899143348</v>
      </c>
      <c r="Z154" s="15">
        <f t="shared" si="33"/>
        <v>4.2253086419539912E-4</v>
      </c>
    </row>
    <row r="155" spans="1:26">
      <c r="A155" s="84">
        <f>'Q.6 Rand()'!R153</f>
        <v>2.7</v>
      </c>
      <c r="B155" s="141">
        <f>'Q.6 Rand()'!S153</f>
        <v>40.6</v>
      </c>
      <c r="D155" s="23"/>
      <c r="E155" s="24"/>
      <c r="F155" s="22">
        <f t="shared" si="30"/>
        <v>-0.76287262872628814</v>
      </c>
      <c r="G155" s="22">
        <f t="shared" si="31"/>
        <v>5.8917555555555055</v>
      </c>
      <c r="H155" s="18">
        <f t="shared" si="36"/>
        <v>-4.4946590484793409</v>
      </c>
      <c r="I155" s="18">
        <f t="shared" si="37"/>
        <v>0.58197464765975704</v>
      </c>
      <c r="J155" s="24"/>
      <c r="K155" s="24"/>
      <c r="L155" s="19">
        <f t="shared" si="32"/>
        <v>38.150636477494444</v>
      </c>
      <c r="O155" s="9">
        <f t="shared" si="34"/>
        <v>2.449363522505557</v>
      </c>
      <c r="P155" s="10">
        <f t="shared" si="35"/>
        <v>5.9993816653808301</v>
      </c>
      <c r="V155" s="10">
        <f t="shared" si="38"/>
        <v>5.9550410089156354E-2</v>
      </c>
      <c r="W155" s="13">
        <f t="shared" si="39"/>
        <v>11.850062909205757</v>
      </c>
      <c r="Z155" s="15">
        <f t="shared" si="33"/>
        <v>34.712783526419166</v>
      </c>
    </row>
    <row r="156" spans="1:26">
      <c r="A156" s="84">
        <f>'Q.6 Rand()'!R154</f>
        <v>2.4</v>
      </c>
      <c r="B156" s="141">
        <f>'Q.6 Rand()'!S154</f>
        <v>41.699800000000003</v>
      </c>
      <c r="D156" s="23"/>
      <c r="E156" s="24"/>
      <c r="F156" s="22">
        <f t="shared" si="30"/>
        <v>-1.0628726287262884</v>
      </c>
      <c r="G156" s="22">
        <f t="shared" si="31"/>
        <v>6.9915555555555073</v>
      </c>
      <c r="H156" s="18">
        <f t="shared" si="36"/>
        <v>-7.4311330322191678</v>
      </c>
      <c r="I156" s="18">
        <f t="shared" si="37"/>
        <v>1.1296982248955305</v>
      </c>
      <c r="J156" s="24"/>
      <c r="K156" s="24"/>
      <c r="L156" s="19">
        <f t="shared" si="32"/>
        <v>39.50435867308461</v>
      </c>
      <c r="O156" s="9">
        <f t="shared" si="34"/>
        <v>2.1954413269153932</v>
      </c>
      <c r="P156" s="10">
        <f t="shared" si="35"/>
        <v>4.8199626199280221</v>
      </c>
      <c r="V156" s="10">
        <f t="shared" si="38"/>
        <v>6.0329150800629477E-2</v>
      </c>
      <c r="W156" s="13">
        <f t="shared" si="39"/>
        <v>23.002711694164159</v>
      </c>
      <c r="Z156" s="15">
        <f t="shared" si="33"/>
        <v>48.881849086419081</v>
      </c>
    </row>
    <row r="157" spans="1:26">
      <c r="A157" s="84">
        <f>'Q.6 Rand()'!R155</f>
        <v>3.5</v>
      </c>
      <c r="B157" s="141">
        <f>'Q.6 Rand()'!S155</f>
        <v>33.5</v>
      </c>
      <c r="D157" s="23"/>
      <c r="E157" s="24"/>
      <c r="F157" s="22">
        <f t="shared" si="30"/>
        <v>3.7127371273711685E-2</v>
      </c>
      <c r="G157" s="22">
        <f t="shared" si="31"/>
        <v>-1.208244444444496</v>
      </c>
      <c r="H157" s="18">
        <f t="shared" si="36"/>
        <v>-4.4858940078290312E-2</v>
      </c>
      <c r="I157" s="18">
        <f t="shared" si="37"/>
        <v>1.3784416976960316E-3</v>
      </c>
      <c r="J157" s="24"/>
      <c r="K157" s="24"/>
      <c r="L157" s="19">
        <f t="shared" si="32"/>
        <v>34.540710622587362</v>
      </c>
      <c r="O157" s="9">
        <f t="shared" si="34"/>
        <v>-1.0407106225873619</v>
      </c>
      <c r="P157" s="10">
        <f t="shared" si="35"/>
        <v>1.0830785999661745</v>
      </c>
      <c r="V157" s="10">
        <f t="shared" si="38"/>
        <v>5.2648725579388704E-2</v>
      </c>
      <c r="W157" s="13">
        <f t="shared" si="39"/>
        <v>2.806758146605793E-2</v>
      </c>
      <c r="Z157" s="15">
        <f t="shared" si="33"/>
        <v>1.4598546375309887</v>
      </c>
    </row>
    <row r="158" spans="1:26">
      <c r="A158" s="84">
        <f>'Q.6 Rand()'!R156</f>
        <v>1.8</v>
      </c>
      <c r="B158" s="141">
        <f>'Q.6 Rand()'!S156</f>
        <v>41.798999999999999</v>
      </c>
      <c r="D158" s="23"/>
      <c r="E158" s="24"/>
      <c r="F158" s="22">
        <f t="shared" si="30"/>
        <v>-1.6628726287262883</v>
      </c>
      <c r="G158" s="22">
        <f t="shared" si="31"/>
        <v>7.0907555555555035</v>
      </c>
      <c r="H158" s="18">
        <f t="shared" si="36"/>
        <v>-11.791023330322112</v>
      </c>
      <c r="I158" s="18">
        <f t="shared" si="37"/>
        <v>2.7651453793670759</v>
      </c>
      <c r="J158" s="24"/>
      <c r="K158" s="24"/>
      <c r="L158" s="19">
        <f t="shared" si="32"/>
        <v>42.21180306426492</v>
      </c>
      <c r="O158" s="9">
        <f t="shared" si="34"/>
        <v>-0.41280306426492075</v>
      </c>
      <c r="P158" s="10">
        <f t="shared" si="35"/>
        <v>0.17040636986650828</v>
      </c>
      <c r="V158" s="10">
        <f t="shared" si="38"/>
        <v>3.1065988733951101E-2</v>
      </c>
      <c r="W158" s="13">
        <f t="shared" si="39"/>
        <v>56.303391961081388</v>
      </c>
      <c r="Z158" s="15">
        <f t="shared" si="33"/>
        <v>50.278814348641241</v>
      </c>
    </row>
    <row r="159" spans="1:26">
      <c r="A159" s="84">
        <f>'Q.6 Rand()'!R157</f>
        <v>2</v>
      </c>
      <c r="B159" s="141">
        <f>'Q.6 Rand()'!S157</f>
        <v>49.3</v>
      </c>
      <c r="D159" s="23"/>
      <c r="E159" s="24"/>
      <c r="F159" s="22">
        <f t="shared" si="30"/>
        <v>-1.4628726287262883</v>
      </c>
      <c r="G159" s="22">
        <f t="shared" si="31"/>
        <v>14.591755555555501</v>
      </c>
      <c r="H159" s="18">
        <f t="shared" si="36"/>
        <v>-21.345879807286899</v>
      </c>
      <c r="I159" s="18">
        <f t="shared" si="37"/>
        <v>2.139996327876561</v>
      </c>
      <c r="J159" s="24"/>
      <c r="K159" s="24"/>
      <c r="L159" s="19">
        <f t="shared" si="32"/>
        <v>41.309321600538148</v>
      </c>
      <c r="O159" s="9">
        <f t="shared" si="34"/>
        <v>7.9906783994618493</v>
      </c>
      <c r="P159" s="10">
        <f t="shared" si="35"/>
        <v>63.850941283626184</v>
      </c>
      <c r="V159" s="10">
        <f t="shared" si="38"/>
        <v>9.8759076596311099E-3</v>
      </c>
      <c r="W159" s="13">
        <f t="shared" si="39"/>
        <v>43.574219620701456</v>
      </c>
      <c r="Z159" s="15">
        <f t="shared" si="33"/>
        <v>212.91933019308485</v>
      </c>
    </row>
    <row r="160" spans="1:26">
      <c r="A160" s="84">
        <f>'Q.6 Rand()'!R158</f>
        <v>2.7</v>
      </c>
      <c r="B160" s="141">
        <f>'Q.6 Rand()'!S158</f>
        <v>39.799999999999997</v>
      </c>
      <c r="D160" s="23"/>
      <c r="E160" s="24"/>
      <c r="F160" s="22">
        <f t="shared" si="30"/>
        <v>-0.76287262872628814</v>
      </c>
      <c r="G160" s="22">
        <f t="shared" si="31"/>
        <v>5.0917555555555012</v>
      </c>
      <c r="H160" s="18">
        <f t="shared" si="36"/>
        <v>-3.8843609454983068</v>
      </c>
      <c r="I160" s="18">
        <f t="shared" si="37"/>
        <v>0.58197464765975704</v>
      </c>
      <c r="J160" s="24"/>
      <c r="K160" s="24"/>
      <c r="L160" s="19">
        <f t="shared" si="32"/>
        <v>38.150636477494444</v>
      </c>
      <c r="O160" s="9">
        <f t="shared" si="34"/>
        <v>1.6493635225055527</v>
      </c>
      <c r="P160" s="10">
        <f t="shared" si="35"/>
        <v>2.720400029371925</v>
      </c>
      <c r="V160" s="10">
        <f t="shared" si="38"/>
        <v>0.16208272615541278</v>
      </c>
      <c r="W160" s="13">
        <f t="shared" si="39"/>
        <v>11.850062909205757</v>
      </c>
      <c r="Z160" s="15">
        <f t="shared" si="33"/>
        <v>25.92597463753031</v>
      </c>
    </row>
    <row r="161" spans="1:26">
      <c r="A161" s="84">
        <f>'Q.6 Rand()'!R159</f>
        <v>3.5</v>
      </c>
      <c r="B161" s="141">
        <f>'Q.6 Rand()'!S159</f>
        <v>38.299999999999997</v>
      </c>
      <c r="D161" s="23"/>
      <c r="E161" s="24"/>
      <c r="F161" s="22">
        <f t="shared" si="30"/>
        <v>3.7127371273711685E-2</v>
      </c>
      <c r="G161" s="22">
        <f t="shared" si="31"/>
        <v>3.5917555555555012</v>
      </c>
      <c r="H161" s="18">
        <f t="shared" si="36"/>
        <v>0.13335244203552568</v>
      </c>
      <c r="I161" s="18">
        <f t="shared" si="37"/>
        <v>1.3784416976960316E-3</v>
      </c>
      <c r="J161" s="24"/>
      <c r="K161" s="24"/>
      <c r="L161" s="19">
        <f t="shared" si="32"/>
        <v>34.540710622587362</v>
      </c>
      <c r="O161" s="9">
        <f t="shared" si="34"/>
        <v>3.7592893774126352</v>
      </c>
      <c r="P161" s="10">
        <f t="shared" si="35"/>
        <v>14.132256623127478</v>
      </c>
      <c r="V161" s="10">
        <f t="shared" si="38"/>
        <v>4.14412945353154E-2</v>
      </c>
      <c r="W161" s="13">
        <f t="shared" si="39"/>
        <v>2.806758146605793E-2</v>
      </c>
      <c r="Z161" s="15">
        <f t="shared" si="33"/>
        <v>12.900707970863808</v>
      </c>
    </row>
    <row r="162" spans="1:26">
      <c r="A162" s="84">
        <f>'Q.6 Rand()'!R160</f>
        <v>6.2</v>
      </c>
      <c r="B162" s="141">
        <f>'Q.6 Rand()'!S160</f>
        <v>27.4</v>
      </c>
      <c r="D162" s="23"/>
      <c r="E162" s="24"/>
      <c r="F162" s="22">
        <f t="shared" si="30"/>
        <v>2.7371273712737119</v>
      </c>
      <c r="G162" s="22">
        <f t="shared" si="31"/>
        <v>-7.3082444444444974</v>
      </c>
      <c r="H162" s="18">
        <f t="shared" si="36"/>
        <v>-20.003595904848076</v>
      </c>
      <c r="I162" s="18">
        <f t="shared" si="37"/>
        <v>7.4918662465757402</v>
      </c>
      <c r="J162" s="24"/>
      <c r="K162" s="24"/>
      <c r="L162" s="19">
        <f t="shared" si="32"/>
        <v>22.357210862275949</v>
      </c>
      <c r="O162" s="9">
        <f t="shared" si="34"/>
        <v>5.0427891377240499</v>
      </c>
      <c r="P162" s="10">
        <f t="shared" si="35"/>
        <v>25.429722287547666</v>
      </c>
      <c r="V162" s="10">
        <f t="shared" si="38"/>
        <v>9.8153769645238531E-2</v>
      </c>
      <c r="W162" s="13">
        <f t="shared" si="39"/>
        <v>152.54803054785521</v>
      </c>
      <c r="Z162" s="15">
        <f t="shared" si="33"/>
        <v>53.410436859753858</v>
      </c>
    </row>
    <row r="163" spans="1:26">
      <c r="A163" s="84">
        <f>'Q.6 Rand()'!R161</f>
        <v>3.6</v>
      </c>
      <c r="B163" s="141">
        <f>'Q.6 Rand()'!S161</f>
        <v>37.200000000000003</v>
      </c>
      <c r="D163" s="23"/>
      <c r="E163" s="24"/>
      <c r="F163" s="22">
        <f t="shared" si="30"/>
        <v>0.13712737127371177</v>
      </c>
      <c r="G163" s="22">
        <f t="shared" si="31"/>
        <v>2.4917555555555069</v>
      </c>
      <c r="H163" s="18">
        <f t="shared" si="36"/>
        <v>0.34168788918999393</v>
      </c>
      <c r="I163" s="18">
        <f t="shared" si="37"/>
        <v>1.8803915952438393E-2</v>
      </c>
      <c r="J163" s="24"/>
      <c r="K163" s="24"/>
      <c r="L163" s="19">
        <f t="shared" si="32"/>
        <v>34.089469890723976</v>
      </c>
      <c r="O163" s="9">
        <f t="shared" si="34"/>
        <v>3.1105301092760271</v>
      </c>
      <c r="P163" s="10">
        <f t="shared" si="35"/>
        <v>9.6753975607127334</v>
      </c>
      <c r="V163" s="10">
        <f t="shared" si="38"/>
        <v>0.18404339918700913</v>
      </c>
      <c r="W163" s="13">
        <f t="shared" si="39"/>
        <v>0.38288194833202899</v>
      </c>
      <c r="Z163" s="15">
        <f t="shared" si="33"/>
        <v>6.2088457486417328</v>
      </c>
    </row>
    <row r="164" spans="1:26">
      <c r="A164" s="84">
        <f>'Q.6 Rand()'!R162</f>
        <v>1</v>
      </c>
      <c r="B164" s="141">
        <f>'Q.6 Rand()'!S162</f>
        <v>57.8</v>
      </c>
      <c r="D164" s="23"/>
      <c r="E164" s="24"/>
      <c r="F164" s="22">
        <f t="shared" si="30"/>
        <v>-2.4628726287262883</v>
      </c>
      <c r="G164" s="22">
        <f t="shared" si="31"/>
        <v>23.091755555555501</v>
      </c>
      <c r="H164" s="18">
        <f t="shared" si="36"/>
        <v>-56.872052707015847</v>
      </c>
      <c r="I164" s="18">
        <f t="shared" si="37"/>
        <v>6.0657415853291372</v>
      </c>
      <c r="J164" s="24"/>
      <c r="K164" s="24"/>
      <c r="L164" s="19">
        <f t="shared" si="32"/>
        <v>45.82172891917201</v>
      </c>
      <c r="O164" s="9">
        <f t="shared" si="34"/>
        <v>11.978271080827987</v>
      </c>
      <c r="P164" s="10">
        <f t="shared" si="35"/>
        <v>143.47897808580007</v>
      </c>
      <c r="V164" s="10">
        <f t="shared" si="38"/>
        <v>8.3616400786989967E-2</v>
      </c>
      <c r="W164" s="13">
        <f t="shared" si="39"/>
        <v>123.50953717000948</v>
      </c>
      <c r="Z164" s="15">
        <f t="shared" si="33"/>
        <v>533.22917463752833</v>
      </c>
    </row>
    <row r="165" spans="1:26">
      <c r="A165" s="84">
        <f>'Q.6 Rand()'!R163</f>
        <v>2.5</v>
      </c>
      <c r="B165" s="141">
        <f>'Q.6 Rand()'!S163</f>
        <v>38.6</v>
      </c>
      <c r="D165" s="23"/>
      <c r="E165" s="24"/>
      <c r="F165" s="22">
        <f t="shared" si="30"/>
        <v>-0.96287262872628832</v>
      </c>
      <c r="G165" s="22">
        <f t="shared" si="31"/>
        <v>3.8917555555555055</v>
      </c>
      <c r="H165" s="18">
        <f t="shared" si="36"/>
        <v>-3.7472649021378661</v>
      </c>
      <c r="I165" s="18">
        <f t="shared" si="37"/>
        <v>0.92712369915027271</v>
      </c>
      <c r="J165" s="24"/>
      <c r="K165" s="24"/>
      <c r="L165" s="19">
        <f t="shared" si="32"/>
        <v>39.053117941221217</v>
      </c>
      <c r="O165" s="9">
        <f t="shared" si="34"/>
        <v>-0.4531179412212154</v>
      </c>
      <c r="P165" s="10">
        <f t="shared" si="35"/>
        <v>0.20531586865655282</v>
      </c>
      <c r="V165" s="10">
        <f t="shared" si="38"/>
        <v>0.20723652388975758</v>
      </c>
      <c r="W165" s="13">
        <f t="shared" si="39"/>
        <v>18.877925702992769</v>
      </c>
      <c r="Z165" s="15">
        <f t="shared" si="33"/>
        <v>15.145761304197141</v>
      </c>
    </row>
    <row r="166" spans="1:26">
      <c r="A166" s="84">
        <f>'Q.6 Rand()'!R164</f>
        <v>5.5</v>
      </c>
      <c r="B166" s="141">
        <f>'Q.6 Rand()'!S164</f>
        <v>30.8</v>
      </c>
      <c r="D166" s="23"/>
      <c r="E166" s="24"/>
      <c r="F166" s="22">
        <f t="shared" si="30"/>
        <v>2.0371273712737117</v>
      </c>
      <c r="G166" s="22">
        <f t="shared" si="31"/>
        <v>-3.9082444444444953</v>
      </c>
      <c r="H166" s="18">
        <f t="shared" si="36"/>
        <v>-7.9615917314063021</v>
      </c>
      <c r="I166" s="18">
        <f t="shared" si="37"/>
        <v>4.1498879267925428</v>
      </c>
      <c r="J166" s="24"/>
      <c r="K166" s="24"/>
      <c r="L166" s="19">
        <f t="shared" si="32"/>
        <v>25.515895985319649</v>
      </c>
      <c r="O166" s="9">
        <f t="shared" si="34"/>
        <v>5.2841040146803522</v>
      </c>
      <c r="P166" s="10">
        <f t="shared" si="35"/>
        <v>27.921755237961015</v>
      </c>
      <c r="V166" s="10">
        <f t="shared" si="38"/>
        <v>1.1738806767389001E-2</v>
      </c>
      <c r="W166" s="13">
        <f t="shared" si="39"/>
        <v>84.499270193974951</v>
      </c>
      <c r="Z166" s="15">
        <f t="shared" si="33"/>
        <v>15.274374637531261</v>
      </c>
    </row>
    <row r="167" spans="1:26">
      <c r="A167" s="84">
        <f>'Q.6 Rand()'!R165</f>
        <v>5.2</v>
      </c>
      <c r="B167" s="141">
        <f>'Q.6 Rand()'!S165</f>
        <v>22.6</v>
      </c>
      <c r="D167" s="23"/>
      <c r="E167" s="24"/>
      <c r="F167" s="22">
        <f t="shared" si="30"/>
        <v>1.7371273712737119</v>
      </c>
      <c r="G167" s="22">
        <f t="shared" si="31"/>
        <v>-12.108244444444495</v>
      </c>
      <c r="H167" s="18">
        <f t="shared" si="36"/>
        <v>-21.033562842517391</v>
      </c>
      <c r="I167" s="18">
        <f t="shared" si="37"/>
        <v>3.0176115040283165</v>
      </c>
      <c r="J167" s="24"/>
      <c r="K167" s="24"/>
      <c r="L167" s="19">
        <f t="shared" si="32"/>
        <v>26.869618180909804</v>
      </c>
      <c r="O167" s="9">
        <f t="shared" si="34"/>
        <v>-4.2696181809098022</v>
      </c>
      <c r="P167" s="10">
        <f t="shared" si="35"/>
        <v>18.229639410755528</v>
      </c>
      <c r="V167" s="10">
        <f t="shared" si="38"/>
        <v>0.17156181865845299</v>
      </c>
      <c r="W167" s="13">
        <f t="shared" si="39"/>
        <v>61.444061699375851</v>
      </c>
      <c r="Z167" s="15">
        <f t="shared" si="33"/>
        <v>146.60958352642098</v>
      </c>
    </row>
    <row r="168" spans="1:26">
      <c r="A168" s="84">
        <f>'Q.6 Rand()'!R166</f>
        <v>5.4</v>
      </c>
      <c r="B168" s="141">
        <f>'Q.6 Rand()'!S166</f>
        <v>24.793900000000001</v>
      </c>
      <c r="D168" s="23"/>
      <c r="E168" s="24"/>
      <c r="F168" s="22">
        <f t="shared" si="30"/>
        <v>1.937127371273712</v>
      </c>
      <c r="G168" s="22">
        <f t="shared" si="31"/>
        <v>-9.9143444444444953</v>
      </c>
      <c r="H168" s="18">
        <f t="shared" si="36"/>
        <v>-19.205347991568896</v>
      </c>
      <c r="I168" s="18">
        <f t="shared" si="37"/>
        <v>3.7524624525378019</v>
      </c>
      <c r="J168" s="24"/>
      <c r="K168" s="24"/>
      <c r="L168" s="19">
        <f t="shared" si="32"/>
        <v>25.967136717183031</v>
      </c>
      <c r="O168" s="9">
        <f t="shared" si="34"/>
        <v>-1.1732367171830305</v>
      </c>
      <c r="P168" s="10">
        <f t="shared" si="35"/>
        <v>1.3764843945464142</v>
      </c>
      <c r="V168" s="10">
        <f t="shared" si="38"/>
        <v>0.18892115844733637</v>
      </c>
      <c r="W168" s="13">
        <f t="shared" si="39"/>
        <v>76.406964299590086</v>
      </c>
      <c r="Z168" s="15">
        <f t="shared" si="33"/>
        <v>98.294225763087425</v>
      </c>
    </row>
    <row r="169" spans="1:26">
      <c r="A169" s="84">
        <f>'Q.6 Rand()'!R167</f>
        <v>4.2</v>
      </c>
      <c r="B169" s="141">
        <f>'Q.6 Rand()'!S167</f>
        <v>25.045100000000001</v>
      </c>
      <c r="D169" s="23"/>
      <c r="E169" s="24"/>
      <c r="F169" s="22">
        <f t="shared" si="30"/>
        <v>0.73712737127371186</v>
      </c>
      <c r="G169" s="22">
        <f t="shared" si="31"/>
        <v>-9.6631444444444945</v>
      </c>
      <c r="H169" s="18">
        <f t="shared" si="36"/>
        <v>-7.1229682625715434</v>
      </c>
      <c r="I169" s="18">
        <f t="shared" si="37"/>
        <v>0.54335676148089262</v>
      </c>
      <c r="J169" s="24"/>
      <c r="K169" s="24"/>
      <c r="L169" s="19">
        <f t="shared" si="32"/>
        <v>31.382025499543662</v>
      </c>
      <c r="O169" s="9">
        <f t="shared" si="34"/>
        <v>-6.3369254995436606</v>
      </c>
      <c r="P169" s="10">
        <f t="shared" si="35"/>
        <v>40.15662478676667</v>
      </c>
      <c r="V169" s="10">
        <f t="shared" si="38"/>
        <v>4.731957123256246E-2</v>
      </c>
      <c r="W169" s="13">
        <f t="shared" si="39"/>
        <v>11.063732469417216</v>
      </c>
      <c r="Z169" s="15">
        <f t="shared" si="33"/>
        <v>93.376360554198499</v>
      </c>
    </row>
    <row r="170" spans="1:26">
      <c r="A170" s="84">
        <f>'Q.6 Rand()'!R168</f>
        <v>3</v>
      </c>
      <c r="B170" s="141">
        <f>'Q.6 Rand()'!S168</f>
        <v>34</v>
      </c>
      <c r="D170" s="23"/>
      <c r="E170" s="24"/>
      <c r="F170" s="22">
        <f t="shared" si="30"/>
        <v>-0.46287262872628832</v>
      </c>
      <c r="G170" s="22">
        <f t="shared" si="31"/>
        <v>-0.70824444444449597</v>
      </c>
      <c r="H170" s="18">
        <f t="shared" si="36"/>
        <v>0.32782696778081349</v>
      </c>
      <c r="I170" s="18">
        <f t="shared" si="37"/>
        <v>0.21425107042398434</v>
      </c>
      <c r="J170" s="24"/>
      <c r="K170" s="24"/>
      <c r="L170" s="19">
        <f t="shared" si="32"/>
        <v>36.796914281904293</v>
      </c>
      <c r="O170" s="9">
        <f t="shared" si="34"/>
        <v>-2.7969142819042929</v>
      </c>
      <c r="P170" s="10">
        <f t="shared" si="35"/>
        <v>7.8227295003202064</v>
      </c>
      <c r="V170" s="10">
        <f t="shared" si="38"/>
        <v>0.2530205708718935</v>
      </c>
      <c r="W170" s="13">
        <f t="shared" si="39"/>
        <v>4.3625416899143348</v>
      </c>
      <c r="Z170" s="15">
        <f t="shared" si="33"/>
        <v>0.50161019308649268</v>
      </c>
    </row>
    <row r="171" spans="1:26">
      <c r="A171" s="84">
        <f>'Q.6 Rand()'!R169</f>
        <v>4.2</v>
      </c>
      <c r="B171" s="141">
        <f>'Q.6 Rand()'!S169</f>
        <v>31.5002</v>
      </c>
      <c r="D171" s="23"/>
      <c r="E171" s="24"/>
      <c r="F171" s="22">
        <f t="shared" si="30"/>
        <v>0.73712737127371186</v>
      </c>
      <c r="G171" s="22">
        <f t="shared" si="31"/>
        <v>-3.2080444444444964</v>
      </c>
      <c r="H171" s="18">
        <f t="shared" si="36"/>
        <v>-2.3647373682626069</v>
      </c>
      <c r="I171" s="18">
        <f t="shared" si="37"/>
        <v>0.54335676148089262</v>
      </c>
      <c r="J171" s="24"/>
      <c r="K171" s="24"/>
      <c r="L171" s="19">
        <f t="shared" si="32"/>
        <v>31.382025499543662</v>
      </c>
      <c r="O171" s="9">
        <f t="shared" si="34"/>
        <v>0.11817450045633748</v>
      </c>
      <c r="P171" s="10">
        <f t="shared" si="35"/>
        <v>1.3965212558104909E-2</v>
      </c>
      <c r="V171" s="10">
        <f t="shared" si="38"/>
        <v>8.2262184761890969E-2</v>
      </c>
      <c r="W171" s="13">
        <f t="shared" si="39"/>
        <v>11.063732469417216</v>
      </c>
      <c r="Z171" s="15">
        <f t="shared" si="33"/>
        <v>10.291549157531199</v>
      </c>
    </row>
    <row r="172" spans="1:26">
      <c r="A172" s="84">
        <f>'Q.6 Rand()'!R170</f>
        <v>4.2</v>
      </c>
      <c r="B172" s="141">
        <f>'Q.6 Rand()'!S170</f>
        <v>29.3</v>
      </c>
      <c r="D172" s="23"/>
      <c r="E172" s="24"/>
      <c r="F172" s="22">
        <f t="shared" si="30"/>
        <v>0.73712737127371186</v>
      </c>
      <c r="G172" s="22">
        <f t="shared" si="31"/>
        <v>-5.4082444444444953</v>
      </c>
      <c r="H172" s="18">
        <f t="shared" si="36"/>
        <v>-3.9865650105390271</v>
      </c>
      <c r="I172" s="18">
        <f t="shared" si="37"/>
        <v>0.54335676148089262</v>
      </c>
      <c r="J172" s="24"/>
      <c r="K172" s="24"/>
      <c r="L172" s="19">
        <f t="shared" si="32"/>
        <v>31.382025499543662</v>
      </c>
      <c r="O172" s="9">
        <f t="shared" si="34"/>
        <v>-2.0820254995436613</v>
      </c>
      <c r="P172" s="10">
        <f t="shared" si="35"/>
        <v>4.3348301807500329</v>
      </c>
      <c r="V172" s="10">
        <f t="shared" si="38"/>
        <v>3.7515476237083411E-3</v>
      </c>
      <c r="W172" s="13">
        <f t="shared" si="39"/>
        <v>11.063732469417216</v>
      </c>
      <c r="Z172" s="15">
        <f t="shared" si="33"/>
        <v>29.249107970864745</v>
      </c>
    </row>
    <row r="173" spans="1:26">
      <c r="A173" s="84">
        <f>'Q.6 Rand()'!R171</f>
        <v>4.8</v>
      </c>
      <c r="B173" s="141">
        <f>'Q.6 Rand()'!S171</f>
        <v>32.026299999999999</v>
      </c>
      <c r="D173" s="23"/>
      <c r="E173" s="24"/>
      <c r="F173" s="22">
        <f t="shared" si="30"/>
        <v>1.3371273712737115</v>
      </c>
      <c r="G173" s="22">
        <f t="shared" si="31"/>
        <v>-2.6819444444444969</v>
      </c>
      <c r="H173" s="18">
        <f t="shared" si="36"/>
        <v>-3.5861013249022049</v>
      </c>
      <c r="I173" s="18">
        <f t="shared" si="37"/>
        <v>1.7879096070093459</v>
      </c>
      <c r="J173" s="24"/>
      <c r="K173" s="24"/>
      <c r="L173" s="19">
        <f t="shared" si="32"/>
        <v>28.674581108363348</v>
      </c>
      <c r="O173" s="9">
        <f t="shared" si="34"/>
        <v>3.3517188916366507</v>
      </c>
      <c r="P173" s="10">
        <f t="shared" si="35"/>
        <v>11.234019528554018</v>
      </c>
      <c r="V173" s="10">
        <f t="shared" si="38"/>
        <v>7.1058890769408231E-2</v>
      </c>
      <c r="W173" s="13">
        <f t="shared" si="39"/>
        <v>36.405093253169881</v>
      </c>
      <c r="Z173" s="15">
        <f t="shared" si="33"/>
        <v>7.1928260030867008</v>
      </c>
    </row>
    <row r="174" spans="1:26">
      <c r="A174" s="84">
        <f>'Q.6 Rand()'!R172</f>
        <v>3</v>
      </c>
      <c r="B174" s="141">
        <f>'Q.6 Rand()'!S172</f>
        <v>36.798000000000002</v>
      </c>
      <c r="D174" s="23"/>
      <c r="E174" s="24"/>
      <c r="F174" s="22">
        <f t="shared" si="30"/>
        <v>-0.46287262872628832</v>
      </c>
      <c r="G174" s="22">
        <f t="shared" si="31"/>
        <v>2.0897555555555059</v>
      </c>
      <c r="H174" s="18">
        <f t="shared" si="36"/>
        <v>-0.96729064739534198</v>
      </c>
      <c r="I174" s="18">
        <f t="shared" si="37"/>
        <v>0.21425107042398434</v>
      </c>
      <c r="J174" s="24"/>
      <c r="K174" s="24"/>
      <c r="L174" s="19">
        <f t="shared" si="32"/>
        <v>36.796914281904293</v>
      </c>
      <c r="O174" s="9">
        <f t="shared" si="34"/>
        <v>1.0857180957088985E-3</v>
      </c>
      <c r="P174" s="10">
        <f t="shared" si="35"/>
        <v>1.178783783349757E-6</v>
      </c>
      <c r="V174" s="10">
        <f t="shared" si="38"/>
        <v>0.10465520186960875</v>
      </c>
      <c r="W174" s="13">
        <f t="shared" si="39"/>
        <v>4.3625416899143348</v>
      </c>
      <c r="Z174" s="15">
        <f t="shared" si="33"/>
        <v>4.3670782819751013</v>
      </c>
    </row>
    <row r="175" spans="1:26">
      <c r="A175" s="84">
        <f>'Q.6 Rand()'!R173</f>
        <v>2</v>
      </c>
      <c r="B175" s="141">
        <f>'Q.6 Rand()'!S173</f>
        <v>42</v>
      </c>
      <c r="D175" s="23"/>
      <c r="E175" s="24"/>
      <c r="F175" s="22">
        <f t="shared" si="30"/>
        <v>-1.4628726287262883</v>
      </c>
      <c r="G175" s="22">
        <f t="shared" si="31"/>
        <v>7.291755555555504</v>
      </c>
      <c r="H175" s="18">
        <f t="shared" si="36"/>
        <v>-10.666909617584997</v>
      </c>
      <c r="I175" s="18">
        <f t="shared" si="37"/>
        <v>2.139996327876561</v>
      </c>
      <c r="J175" s="24"/>
      <c r="K175" s="24"/>
      <c r="L175" s="19">
        <f t="shared" si="32"/>
        <v>41.309321600538148</v>
      </c>
      <c r="O175" s="9">
        <f t="shared" si="34"/>
        <v>0.69067839946185217</v>
      </c>
      <c r="P175" s="10">
        <f t="shared" si="35"/>
        <v>0.4770366514831858</v>
      </c>
      <c r="V175" s="10">
        <f t="shared" si="38"/>
        <v>2.9504812644950773E-5</v>
      </c>
      <c r="W175" s="13">
        <f t="shared" si="39"/>
        <v>43.574219620701456</v>
      </c>
      <c r="Z175" s="15">
        <f t="shared" si="33"/>
        <v>53.169699081974557</v>
      </c>
    </row>
    <row r="176" spans="1:26">
      <c r="A176" s="84">
        <f>'Q.6 Rand()'!R174</f>
        <v>1.6</v>
      </c>
      <c r="B176" s="141">
        <f>'Q.6 Rand()'!S174</f>
        <v>51.655500000000004</v>
      </c>
      <c r="D176" s="23"/>
      <c r="E176" s="24"/>
      <c r="F176" s="22">
        <f t="shared" si="30"/>
        <v>-1.8628726287262882</v>
      </c>
      <c r="G176" s="22">
        <f t="shared" si="31"/>
        <v>16.947255555555508</v>
      </c>
      <c r="H176" s="18">
        <f t="shared" si="36"/>
        <v>-31.570578506473879</v>
      </c>
      <c r="I176" s="18">
        <f t="shared" si="37"/>
        <v>3.4702944308575914</v>
      </c>
      <c r="J176" s="24"/>
      <c r="K176" s="24"/>
      <c r="L176" s="19">
        <f t="shared" si="32"/>
        <v>43.114284527991693</v>
      </c>
      <c r="O176" s="9">
        <f t="shared" si="34"/>
        <v>8.5412154720083109</v>
      </c>
      <c r="P176" s="10">
        <f t="shared" si="35"/>
        <v>72.952361739274153</v>
      </c>
      <c r="V176" s="10">
        <f t="shared" si="38"/>
        <v>1.6444723796710765E-2</v>
      </c>
      <c r="W176" s="13">
        <f t="shared" si="39"/>
        <v>70.661509886202168</v>
      </c>
      <c r="Z176" s="15">
        <f t="shared" si="33"/>
        <v>287.20947086530703</v>
      </c>
    </row>
    <row r="177" spans="1:26">
      <c r="A177" s="84">
        <f>'Q.6 Rand()'!R175</f>
        <v>3</v>
      </c>
      <c r="B177" s="141">
        <f>'Q.6 Rand()'!S175</f>
        <v>36.154800000000002</v>
      </c>
      <c r="D177" s="23"/>
      <c r="E177" s="24"/>
      <c r="F177" s="22">
        <f t="shared" si="30"/>
        <v>-0.46287262872628832</v>
      </c>
      <c r="G177" s="22">
        <f t="shared" si="31"/>
        <v>1.4465555555555056</v>
      </c>
      <c r="H177" s="18">
        <f t="shared" si="36"/>
        <v>-0.66957097259859333</v>
      </c>
      <c r="I177" s="18">
        <f t="shared" si="37"/>
        <v>0.21425107042398434</v>
      </c>
      <c r="J177" s="24"/>
      <c r="K177" s="24"/>
      <c r="L177" s="19">
        <f t="shared" si="32"/>
        <v>36.796914281904293</v>
      </c>
      <c r="O177" s="9">
        <f t="shared" si="34"/>
        <v>-0.64211428190429132</v>
      </c>
      <c r="P177" s="10">
        <f t="shared" si="35"/>
        <v>0.41231075102546372</v>
      </c>
      <c r="V177" s="10">
        <f t="shared" si="38"/>
        <v>0.16534958469104569</v>
      </c>
      <c r="W177" s="13">
        <f t="shared" si="39"/>
        <v>4.3625416899143348</v>
      </c>
      <c r="Z177" s="15">
        <f t="shared" si="33"/>
        <v>2.0925229753084977</v>
      </c>
    </row>
    <row r="178" spans="1:26">
      <c r="A178" s="84">
        <f>'Q.6 Rand()'!R176</f>
        <v>2.4</v>
      </c>
      <c r="B178" s="141">
        <f>'Q.6 Rand()'!S176</f>
        <v>33.6</v>
      </c>
      <c r="D178" s="23"/>
      <c r="E178" s="24"/>
      <c r="F178" s="22">
        <f t="shared" si="30"/>
        <v>-1.0628726287262884</v>
      </c>
      <c r="G178" s="22">
        <f t="shared" si="31"/>
        <v>-1.1082444444444945</v>
      </c>
      <c r="H178" s="18">
        <f t="shared" si="36"/>
        <v>1.177922685938025</v>
      </c>
      <c r="I178" s="18">
        <f t="shared" si="37"/>
        <v>1.1296982248955305</v>
      </c>
      <c r="J178" s="24"/>
      <c r="K178" s="24"/>
      <c r="L178" s="19">
        <f t="shared" si="32"/>
        <v>39.50435867308461</v>
      </c>
      <c r="O178" s="9">
        <f t="shared" si="34"/>
        <v>-5.9043586730846087</v>
      </c>
      <c r="P178" s="10">
        <f t="shared" si="35"/>
        <v>34.86145134042944</v>
      </c>
      <c r="V178" s="10">
        <f t="shared" si="38"/>
        <v>1.7760139231977255E-2</v>
      </c>
      <c r="W178" s="13">
        <f t="shared" si="39"/>
        <v>23.002711694164159</v>
      </c>
      <c r="Z178" s="15">
        <f t="shared" si="33"/>
        <v>1.2282057486420863</v>
      </c>
    </row>
    <row r="179" spans="1:26">
      <c r="A179" s="84">
        <f>'Q.6 Rand()'!R177</f>
        <v>6</v>
      </c>
      <c r="B179" s="141">
        <f>'Q.6 Rand()'!S177</f>
        <v>23.1</v>
      </c>
      <c r="D179" s="23"/>
      <c r="E179" s="24"/>
      <c r="F179" s="22">
        <f t="shared" si="30"/>
        <v>2.5371273712737117</v>
      </c>
      <c r="G179" s="22">
        <f t="shared" si="31"/>
        <v>-11.608244444444495</v>
      </c>
      <c r="H179" s="18">
        <f t="shared" si="36"/>
        <v>-29.45159471243613</v>
      </c>
      <c r="I179" s="18">
        <f t="shared" si="37"/>
        <v>6.4370152980662541</v>
      </c>
      <c r="J179" s="24"/>
      <c r="K179" s="24"/>
      <c r="L179" s="19">
        <f t="shared" si="32"/>
        <v>23.259692326002721</v>
      </c>
      <c r="O179" s="9">
        <f t="shared" si="34"/>
        <v>-0.15969232600271965</v>
      </c>
      <c r="P179" s="10">
        <f t="shared" si="35"/>
        <v>2.550163898415889E-2</v>
      </c>
      <c r="V179" s="10">
        <f t="shared" si="38"/>
        <v>0.1757249605084705</v>
      </c>
      <c r="W179" s="13">
        <f t="shared" si="39"/>
        <v>131.06934560867765</v>
      </c>
      <c r="Z179" s="15">
        <f t="shared" si="33"/>
        <v>134.75133908197648</v>
      </c>
    </row>
    <row r="180" spans="1:26">
      <c r="A180" s="84">
        <f>'Q.6 Rand()'!R178</f>
        <v>2</v>
      </c>
      <c r="B180" s="141">
        <f>'Q.6 Rand()'!S178</f>
        <v>41.315600000000003</v>
      </c>
      <c r="D180" s="23"/>
      <c r="E180" s="24"/>
      <c r="F180" s="22">
        <f t="shared" si="30"/>
        <v>-1.4628726287262883</v>
      </c>
      <c r="G180" s="22">
        <f t="shared" si="31"/>
        <v>6.6073555555555075</v>
      </c>
      <c r="H180" s="18">
        <f t="shared" si="36"/>
        <v>-9.6657195904847306</v>
      </c>
      <c r="I180" s="18">
        <f t="shared" si="37"/>
        <v>2.139996327876561</v>
      </c>
      <c r="J180" s="24"/>
      <c r="K180" s="24"/>
      <c r="L180" s="19">
        <f t="shared" si="32"/>
        <v>41.309321600538148</v>
      </c>
      <c r="O180" s="9">
        <f t="shared" si="34"/>
        <v>6.2783994618555994E-3</v>
      </c>
      <c r="P180" s="10">
        <f t="shared" si="35"/>
        <v>3.941829980262868E-5</v>
      </c>
      <c r="V180" s="10">
        <f t="shared" si="38"/>
        <v>6.9130877057454387E-3</v>
      </c>
      <c r="W180" s="13">
        <f t="shared" si="39"/>
        <v>43.574219620701456</v>
      </c>
      <c r="Z180" s="15">
        <f t="shared" si="33"/>
        <v>43.657147437530227</v>
      </c>
    </row>
    <row r="181" spans="1:26">
      <c r="A181" s="84">
        <f>'Q.6 Rand()'!R179</f>
        <v>4.2</v>
      </c>
      <c r="B181" s="141">
        <f>'Q.6 Rand()'!S179</f>
        <v>34.485500000000002</v>
      </c>
      <c r="D181" s="23"/>
      <c r="E181" s="24"/>
      <c r="F181" s="22">
        <f t="shared" si="30"/>
        <v>0.73712737127371186</v>
      </c>
      <c r="G181" s="22">
        <f t="shared" si="31"/>
        <v>-0.22274444444449415</v>
      </c>
      <c r="H181" s="18">
        <f t="shared" si="36"/>
        <v>-0.16419102679919331</v>
      </c>
      <c r="I181" s="18">
        <f t="shared" si="37"/>
        <v>0.54335676148089262</v>
      </c>
      <c r="J181" s="24"/>
      <c r="K181" s="24"/>
      <c r="L181" s="19">
        <f t="shared" si="32"/>
        <v>31.382025499543662</v>
      </c>
      <c r="O181" s="9">
        <f t="shared" si="34"/>
        <v>3.1034745004563398</v>
      </c>
      <c r="P181" s="10">
        <f t="shared" si="35"/>
        <v>9.6315539749827277</v>
      </c>
      <c r="V181" s="10">
        <f t="shared" si="38"/>
        <v>1.5196195775580166E-4</v>
      </c>
      <c r="W181" s="13">
        <f t="shared" si="39"/>
        <v>11.063732469417216</v>
      </c>
      <c r="Z181" s="15">
        <f t="shared" si="33"/>
        <v>4.9615087530886344E-2</v>
      </c>
    </row>
    <row r="182" spans="1:26">
      <c r="A182" s="84">
        <f>'Q.6 Rand()'!R180</f>
        <v>5.7</v>
      </c>
      <c r="B182" s="141">
        <f>'Q.6 Rand()'!S180</f>
        <v>25.555099999999999</v>
      </c>
      <c r="D182" s="23"/>
      <c r="E182" s="24"/>
      <c r="F182" s="22">
        <f t="shared" si="30"/>
        <v>2.2371273712737119</v>
      </c>
      <c r="G182" s="22">
        <f t="shared" si="31"/>
        <v>-9.1531444444444965</v>
      </c>
      <c r="H182" s="18">
        <f t="shared" si="36"/>
        <v>-20.476749969888697</v>
      </c>
      <c r="I182" s="18">
        <f t="shared" si="37"/>
        <v>5.0047388753020279</v>
      </c>
      <c r="J182" s="24"/>
      <c r="K182" s="24"/>
      <c r="L182" s="19">
        <f t="shared" si="32"/>
        <v>24.613414521592876</v>
      </c>
      <c r="O182" s="9">
        <f t="shared" si="34"/>
        <v>0.94168547840712336</v>
      </c>
      <c r="P182" s="10">
        <f t="shared" si="35"/>
        <v>0.88677154024285276</v>
      </c>
      <c r="V182" s="10">
        <f t="shared" si="38"/>
        <v>8.9993606021555136E-2</v>
      </c>
      <c r="W182" s="13">
        <f t="shared" si="39"/>
        <v>101.90559117130044</v>
      </c>
      <c r="Z182" s="15">
        <f t="shared" si="33"/>
        <v>83.780053220865156</v>
      </c>
    </row>
    <row r="183" spans="1:26">
      <c r="A183" s="84">
        <f>'Q.6 Rand()'!R181</f>
        <v>3.7</v>
      </c>
      <c r="B183" s="141">
        <f>'Q.6 Rand()'!S181</f>
        <v>26.6</v>
      </c>
      <c r="D183" s="23"/>
      <c r="E183" s="24"/>
      <c r="F183" s="22">
        <f t="shared" si="30"/>
        <v>0.23712737127371186</v>
      </c>
      <c r="G183" s="22">
        <f t="shared" si="31"/>
        <v>-8.1082444444444945</v>
      </c>
      <c r="H183" s="18">
        <f t="shared" si="36"/>
        <v>-1.9226866907558013</v>
      </c>
      <c r="I183" s="18">
        <f t="shared" si="37"/>
        <v>5.6229390207180791E-2</v>
      </c>
      <c r="J183" s="24"/>
      <c r="K183" s="24"/>
      <c r="L183" s="19">
        <f t="shared" si="32"/>
        <v>33.63822915886059</v>
      </c>
      <c r="O183" s="9">
        <f t="shared" si="34"/>
        <v>-7.0382291588605881</v>
      </c>
      <c r="P183" s="10">
        <f t="shared" si="35"/>
        <v>49.536669692635421</v>
      </c>
      <c r="V183" s="10">
        <f t="shared" si="38"/>
        <v>3.6849219075923138E-2</v>
      </c>
      <c r="W183" s="13">
        <f t="shared" si="39"/>
        <v>1.1449327113832088</v>
      </c>
      <c r="Z183" s="15">
        <f t="shared" si="33"/>
        <v>65.743627970865006</v>
      </c>
    </row>
    <row r="184" spans="1:26">
      <c r="A184" s="84">
        <f>'Q.6 Rand()'!R182</f>
        <v>3</v>
      </c>
      <c r="B184" s="141">
        <f>'Q.6 Rand()'!S182</f>
        <v>35.460599999999999</v>
      </c>
      <c r="D184" s="23"/>
      <c r="E184" s="24"/>
      <c r="F184" s="22">
        <f t="shared" si="30"/>
        <v>-0.46287262872628832</v>
      </c>
      <c r="G184" s="22">
        <f t="shared" si="31"/>
        <v>0.75235555555550349</v>
      </c>
      <c r="H184" s="18">
        <f t="shared" si="36"/>
        <v>-0.34824479373680295</v>
      </c>
      <c r="I184" s="18">
        <f t="shared" si="37"/>
        <v>0.21425107042398434</v>
      </c>
      <c r="J184" s="24"/>
      <c r="K184" s="24"/>
      <c r="L184" s="19">
        <f t="shared" si="32"/>
        <v>36.796914281904293</v>
      </c>
      <c r="O184" s="9">
        <f t="shared" si="34"/>
        <v>-1.3363142819042935</v>
      </c>
      <c r="P184" s="10">
        <f t="shared" si="35"/>
        <v>1.7857358600213875</v>
      </c>
      <c r="V184" s="10">
        <f t="shared" si="38"/>
        <v>0.2645950811601725</v>
      </c>
      <c r="W184" s="13">
        <f t="shared" si="39"/>
        <v>4.3625416899143348</v>
      </c>
      <c r="Z184" s="15">
        <f t="shared" si="33"/>
        <v>0.56603888197523033</v>
      </c>
    </row>
    <row r="185" spans="1:26">
      <c r="A185" s="84">
        <f>'Q.6 Rand()'!R183</f>
        <v>3</v>
      </c>
      <c r="B185" s="141">
        <f>'Q.6 Rand()'!S183</f>
        <v>38.169600000000003</v>
      </c>
      <c r="D185" s="23"/>
      <c r="E185" s="24"/>
      <c r="F185" s="22">
        <f t="shared" si="30"/>
        <v>-0.46287262872628832</v>
      </c>
      <c r="G185" s="22">
        <f t="shared" si="31"/>
        <v>3.4613555555555067</v>
      </c>
      <c r="H185" s="18">
        <f t="shared" si="36"/>
        <v>-1.6021667449563195</v>
      </c>
      <c r="I185" s="18">
        <f t="shared" si="37"/>
        <v>0.21425107042398434</v>
      </c>
      <c r="J185" s="24"/>
      <c r="K185" s="24"/>
      <c r="L185" s="19">
        <f t="shared" si="32"/>
        <v>36.796914281904293</v>
      </c>
      <c r="O185" s="9">
        <f t="shared" si="34"/>
        <v>1.3726857180957097</v>
      </c>
      <c r="P185" s="10">
        <f t="shared" si="35"/>
        <v>1.8842660806639342</v>
      </c>
      <c r="V185" s="10">
        <f t="shared" si="38"/>
        <v>3.7684480293742731E-2</v>
      </c>
      <c r="W185" s="13">
        <f t="shared" si="39"/>
        <v>4.3625416899143348</v>
      </c>
      <c r="Z185" s="15">
        <f t="shared" si="33"/>
        <v>11.980982281974971</v>
      </c>
    </row>
    <row r="186" spans="1:26">
      <c r="A186" s="84">
        <f>'Q.6 Rand()'!R184</f>
        <v>3.8</v>
      </c>
      <c r="B186" s="141">
        <f>'Q.6 Rand()'!S184</f>
        <v>34.514800000000001</v>
      </c>
      <c r="D186" s="23"/>
      <c r="E186" s="24"/>
      <c r="F186" s="22">
        <f t="shared" si="30"/>
        <v>0.33712737127371151</v>
      </c>
      <c r="G186" s="22">
        <f t="shared" si="31"/>
        <v>-0.19344444444449493</v>
      </c>
      <c r="H186" s="18">
        <f t="shared" si="36"/>
        <v>-6.5215417043076096E-2</v>
      </c>
      <c r="I186" s="18">
        <f t="shared" si="37"/>
        <v>0.11365486446192292</v>
      </c>
      <c r="J186" s="24"/>
      <c r="K186" s="24"/>
      <c r="L186" s="19">
        <f t="shared" si="32"/>
        <v>33.186988426997203</v>
      </c>
      <c r="O186" s="9">
        <f t="shared" si="34"/>
        <v>1.3278115730027977</v>
      </c>
      <c r="P186" s="10">
        <f t="shared" si="35"/>
        <v>1.763083573400164</v>
      </c>
      <c r="V186" s="10">
        <f t="shared" si="38"/>
        <v>3.5962800713020562E-2</v>
      </c>
      <c r="W186" s="13">
        <f t="shared" si="39"/>
        <v>2.3142198706195978</v>
      </c>
      <c r="Z186" s="15">
        <f t="shared" si="33"/>
        <v>3.7420753086439287E-2</v>
      </c>
    </row>
    <row r="187" spans="1:26">
      <c r="A187" s="84">
        <f>'Q.6 Rand()'!R185</f>
        <v>2.4</v>
      </c>
      <c r="B187" s="141">
        <f>'Q.6 Rand()'!S185</f>
        <v>38.700000000000003</v>
      </c>
      <c r="D187" s="23"/>
      <c r="E187" s="24"/>
      <c r="F187" s="22">
        <f t="shared" si="30"/>
        <v>-1.0628726287262884</v>
      </c>
      <c r="G187" s="22">
        <f t="shared" si="31"/>
        <v>3.9917555555555069</v>
      </c>
      <c r="H187" s="18">
        <f t="shared" si="36"/>
        <v>-4.2427277205660472</v>
      </c>
      <c r="I187" s="18">
        <f t="shared" si="37"/>
        <v>1.1296982248955305</v>
      </c>
      <c r="J187" s="24"/>
      <c r="K187" s="24"/>
      <c r="L187" s="19">
        <f t="shared" si="32"/>
        <v>39.50435867308461</v>
      </c>
      <c r="O187" s="9">
        <f t="shared" si="34"/>
        <v>-0.80435867308460729</v>
      </c>
      <c r="P187" s="10">
        <f t="shared" si="35"/>
        <v>0.6469928749664301</v>
      </c>
      <c r="V187" s="10">
        <f t="shared" si="38"/>
        <v>3.8470788560350855E-2</v>
      </c>
      <c r="W187" s="13">
        <f t="shared" si="39"/>
        <v>23.002711694164159</v>
      </c>
      <c r="Z187" s="15">
        <f t="shared" si="33"/>
        <v>15.934112415308253</v>
      </c>
    </row>
    <row r="188" spans="1:26">
      <c r="A188" s="84">
        <f>'Q.6 Rand()'!R186</f>
        <v>4.4000000000000004</v>
      </c>
      <c r="B188" s="141">
        <f>'Q.6 Rand()'!S186</f>
        <v>30.8</v>
      </c>
      <c r="D188" s="23"/>
      <c r="E188" s="24"/>
      <c r="F188" s="22">
        <f t="shared" si="30"/>
        <v>0.93712737127371204</v>
      </c>
      <c r="G188" s="22">
        <f t="shared" si="31"/>
        <v>-3.9082444444444953</v>
      </c>
      <c r="H188" s="18">
        <f t="shared" si="36"/>
        <v>-3.662522842517359</v>
      </c>
      <c r="I188" s="18">
        <f t="shared" si="37"/>
        <v>0.87820770999037778</v>
      </c>
      <c r="J188" s="24"/>
      <c r="K188" s="24"/>
      <c r="L188" s="19">
        <f t="shared" si="32"/>
        <v>30.47954403581689</v>
      </c>
      <c r="O188" s="9">
        <f t="shared" si="34"/>
        <v>0.32045596418311106</v>
      </c>
      <c r="P188" s="10">
        <f t="shared" si="35"/>
        <v>0.10269202498052736</v>
      </c>
      <c r="V188" s="10">
        <f t="shared" si="38"/>
        <v>2.0784461836811555E-2</v>
      </c>
      <c r="W188" s="13">
        <f t="shared" si="39"/>
        <v>17.881907145927286</v>
      </c>
      <c r="Z188" s="15">
        <f t="shared" si="33"/>
        <v>15.274374637531261</v>
      </c>
    </row>
    <row r="189" spans="1:26">
      <c r="A189" s="84">
        <f>'Q.6 Rand()'!R187</f>
        <v>5.3</v>
      </c>
      <c r="B189" s="141">
        <f>'Q.6 Rand()'!S187</f>
        <v>28.993500000000001</v>
      </c>
      <c r="D189" s="23"/>
      <c r="E189" s="24"/>
      <c r="F189" s="22">
        <f t="shared" si="30"/>
        <v>1.8371273712737115</v>
      </c>
      <c r="G189" s="22">
        <f t="shared" si="31"/>
        <v>-5.714744444444495</v>
      </c>
      <c r="H189" s="18">
        <f t="shared" si="36"/>
        <v>-10.498713438723362</v>
      </c>
      <c r="I189" s="18">
        <f t="shared" si="37"/>
        <v>3.3750369782830574</v>
      </c>
      <c r="J189" s="24"/>
      <c r="K189" s="24"/>
      <c r="L189" s="19">
        <f t="shared" si="32"/>
        <v>26.418377449046421</v>
      </c>
      <c r="O189" s="9">
        <f t="shared" si="34"/>
        <v>2.57512255095358</v>
      </c>
      <c r="P189" s="10">
        <f t="shared" si="35"/>
        <v>6.6312561524296729</v>
      </c>
      <c r="V189" s="10">
        <f t="shared" si="38"/>
        <v>1.0404414421529579E-2</v>
      </c>
      <c r="W189" s="13">
        <f t="shared" si="39"/>
        <v>68.721894801390306</v>
      </c>
      <c r="Z189" s="15">
        <f t="shared" si="33"/>
        <v>32.658304065309217</v>
      </c>
    </row>
    <row r="190" spans="1:26">
      <c r="A190" s="84">
        <f>'Q.6 Rand()'!R188</f>
        <v>3.7</v>
      </c>
      <c r="B190" s="141">
        <f>'Q.6 Rand()'!S188</f>
        <v>28.5</v>
      </c>
      <c r="D190" s="23"/>
      <c r="E190" s="24"/>
      <c r="F190" s="22">
        <f t="shared" si="30"/>
        <v>0.23712737127371186</v>
      </c>
      <c r="G190" s="22">
        <f t="shared" si="31"/>
        <v>-6.208244444444496</v>
      </c>
      <c r="H190" s="18">
        <f t="shared" si="36"/>
        <v>-1.4721446853357489</v>
      </c>
      <c r="I190" s="18">
        <f t="shared" si="37"/>
        <v>5.6229390207180791E-2</v>
      </c>
      <c r="J190" s="24"/>
      <c r="K190" s="24"/>
      <c r="L190" s="19">
        <f t="shared" si="32"/>
        <v>33.63822915886059</v>
      </c>
      <c r="O190" s="9">
        <f t="shared" si="34"/>
        <v>-5.1382291588605895</v>
      </c>
      <c r="P190" s="10">
        <f t="shared" si="35"/>
        <v>26.4013988889652</v>
      </c>
      <c r="V190" s="10">
        <f t="shared" si="38"/>
        <v>8.8817236654890927E-2</v>
      </c>
      <c r="W190" s="13">
        <f t="shared" si="39"/>
        <v>1.1449327113832088</v>
      </c>
      <c r="Z190" s="15">
        <f t="shared" si="33"/>
        <v>38.542299081975948</v>
      </c>
    </row>
    <row r="191" spans="1:26">
      <c r="A191" s="84">
        <f>'Q.6 Rand()'!R189</f>
        <v>4</v>
      </c>
      <c r="B191" s="141">
        <f>'Q.6 Rand()'!S189</f>
        <v>28.0488</v>
      </c>
      <c r="D191" s="23"/>
      <c r="E191" s="24"/>
      <c r="F191" s="22">
        <f t="shared" si="30"/>
        <v>0.53712737127371168</v>
      </c>
      <c r="G191" s="22">
        <f t="shared" si="31"/>
        <v>-6.659444444444496</v>
      </c>
      <c r="H191" s="18">
        <f t="shared" si="36"/>
        <v>-3.5769698885877954</v>
      </c>
      <c r="I191" s="18">
        <f t="shared" si="37"/>
        <v>0.2885058129714077</v>
      </c>
      <c r="J191" s="24"/>
      <c r="K191" s="24"/>
      <c r="L191" s="19">
        <f t="shared" si="32"/>
        <v>32.284506963270431</v>
      </c>
      <c r="O191" s="9">
        <f t="shared" si="34"/>
        <v>-4.2357069632704309</v>
      </c>
      <c r="P191" s="10">
        <f t="shared" si="35"/>
        <v>17.941213478697616</v>
      </c>
      <c r="V191" s="10">
        <f t="shared" si="38"/>
        <v>0.18028874241616102</v>
      </c>
      <c r="W191" s="13">
        <f t="shared" si="39"/>
        <v>5.8745033776480016</v>
      </c>
      <c r="Z191" s="15">
        <f t="shared" si="33"/>
        <v>44.34820030864266</v>
      </c>
    </row>
    <row r="192" spans="1:26">
      <c r="A192" s="84">
        <f>'Q.6 Rand()'!R190</f>
        <v>3</v>
      </c>
      <c r="B192" s="141">
        <f>'Q.6 Rand()'!S190</f>
        <v>38.169600000000003</v>
      </c>
      <c r="D192" s="23"/>
      <c r="E192" s="24"/>
      <c r="F192" s="22">
        <f t="shared" si="30"/>
        <v>-0.46287262872628832</v>
      </c>
      <c r="G192" s="22">
        <f t="shared" si="31"/>
        <v>3.4613555555555067</v>
      </c>
      <c r="H192" s="18">
        <f t="shared" si="36"/>
        <v>-1.6021667449563195</v>
      </c>
      <c r="I192" s="18">
        <f t="shared" si="37"/>
        <v>0.21425107042398434</v>
      </c>
      <c r="J192" s="24"/>
      <c r="K192" s="24"/>
      <c r="L192" s="19">
        <f t="shared" si="32"/>
        <v>36.796914281904293</v>
      </c>
      <c r="O192" s="9">
        <f t="shared" si="34"/>
        <v>1.3726857180957097</v>
      </c>
      <c r="P192" s="10">
        <f t="shared" si="35"/>
        <v>1.8842660806639342</v>
      </c>
      <c r="V192" s="10">
        <f t="shared" si="38"/>
        <v>0.15101205624734146</v>
      </c>
      <c r="W192" s="13">
        <f t="shared" si="39"/>
        <v>4.3625416899143348</v>
      </c>
      <c r="Z192" s="15">
        <f t="shared" si="33"/>
        <v>11.980982281974971</v>
      </c>
    </row>
    <row r="193" spans="1:26">
      <c r="A193" s="84">
        <f>'Q.6 Rand()'!R191</f>
        <v>1.8</v>
      </c>
      <c r="B193" s="141">
        <f>'Q.6 Rand()'!S191</f>
        <v>47.5</v>
      </c>
      <c r="D193" s="23"/>
      <c r="E193" s="24"/>
      <c r="F193" s="22">
        <f t="shared" si="30"/>
        <v>-1.6628726287262883</v>
      </c>
      <c r="G193" s="22">
        <f t="shared" si="31"/>
        <v>12.791755555555504</v>
      </c>
      <c r="H193" s="18">
        <f t="shared" si="36"/>
        <v>-21.271060186690683</v>
      </c>
      <c r="I193" s="18">
        <f t="shared" si="37"/>
        <v>2.7651453793670759</v>
      </c>
      <c r="J193" s="24"/>
      <c r="K193" s="24"/>
      <c r="L193" s="19">
        <f t="shared" si="32"/>
        <v>42.21180306426492</v>
      </c>
      <c r="O193" s="9">
        <f t="shared" si="34"/>
        <v>5.2881969357350798</v>
      </c>
      <c r="P193" s="10">
        <f t="shared" si="35"/>
        <v>27.965026831117886</v>
      </c>
      <c r="V193" s="10">
        <f t="shared" si="38"/>
        <v>3.5962800713020562E-2</v>
      </c>
      <c r="W193" s="13">
        <f t="shared" si="39"/>
        <v>56.303391961081388</v>
      </c>
      <c r="Z193" s="15">
        <f t="shared" si="33"/>
        <v>163.62901019308509</v>
      </c>
    </row>
    <row r="194" spans="1:26">
      <c r="A194" s="84">
        <f>'Q.6 Rand()'!R192</f>
        <v>3.5</v>
      </c>
      <c r="B194" s="141">
        <f>'Q.6 Rand()'!S192</f>
        <v>34.700000000000003</v>
      </c>
      <c r="D194" s="23"/>
      <c r="E194" s="24"/>
      <c r="F194" s="22">
        <f t="shared" si="30"/>
        <v>3.7127371273711685E-2</v>
      </c>
      <c r="G194" s="22">
        <f t="shared" si="31"/>
        <v>-8.2444444444931264E-3</v>
      </c>
      <c r="H194" s="18">
        <f t="shared" si="36"/>
        <v>-3.0609454983618599E-4</v>
      </c>
      <c r="I194" s="18">
        <f t="shared" si="37"/>
        <v>1.3784416976960316E-3</v>
      </c>
      <c r="J194" s="24"/>
      <c r="K194" s="24"/>
      <c r="L194" s="19">
        <f t="shared" si="32"/>
        <v>34.540710622587362</v>
      </c>
      <c r="O194" s="9">
        <f t="shared" si="34"/>
        <v>0.15928937741264093</v>
      </c>
      <c r="P194" s="10">
        <f t="shared" si="35"/>
        <v>2.5373105756506763E-2</v>
      </c>
      <c r="V194" s="10">
        <f t="shared" si="38"/>
        <v>0.11133046180494904</v>
      </c>
      <c r="W194" s="13">
        <f t="shared" si="39"/>
        <v>2.806758146605793E-2</v>
      </c>
      <c r="Z194" s="15">
        <f t="shared" si="33"/>
        <v>6.7970864198333569E-5</v>
      </c>
    </row>
    <row r="195" spans="1:26">
      <c r="A195" s="84">
        <f>'Q.6 Rand()'!R193</f>
        <v>2.5</v>
      </c>
      <c r="B195" s="141">
        <f>'Q.6 Rand()'!S193</f>
        <v>42.921500000000002</v>
      </c>
      <c r="D195" s="23"/>
      <c r="E195" s="24"/>
      <c r="F195" s="22">
        <f t="shared" si="30"/>
        <v>-0.96287262872628832</v>
      </c>
      <c r="G195" s="22">
        <f t="shared" si="31"/>
        <v>8.2132555555555058</v>
      </c>
      <c r="H195" s="18">
        <f t="shared" si="36"/>
        <v>-7.9083189671785217</v>
      </c>
      <c r="I195" s="18">
        <f t="shared" si="37"/>
        <v>0.92712369915027271</v>
      </c>
      <c r="J195" s="24"/>
      <c r="K195" s="24"/>
      <c r="L195" s="19">
        <f t="shared" si="32"/>
        <v>39.053117941221217</v>
      </c>
      <c r="O195" s="9">
        <f t="shared" si="34"/>
        <v>3.8683820587787849</v>
      </c>
      <c r="P195" s="10">
        <f t="shared" si="35"/>
        <v>14.964379752681591</v>
      </c>
      <c r="V195" s="10">
        <f t="shared" si="38"/>
        <v>4.5904719715458477E-3</v>
      </c>
      <c r="W195" s="13">
        <f t="shared" si="39"/>
        <v>18.877925702992769</v>
      </c>
      <c r="Z195" s="15">
        <f t="shared" si="33"/>
        <v>67.457566820863377</v>
      </c>
    </row>
    <row r="196" spans="1:26">
      <c r="A196" s="84">
        <f>'Q.6 Rand()'!R194</f>
        <v>4.8</v>
      </c>
      <c r="B196" s="141">
        <f>'Q.6 Rand()'!S194</f>
        <v>28.8</v>
      </c>
      <c r="D196" s="23"/>
      <c r="E196" s="24"/>
      <c r="F196" s="22">
        <f t="shared" si="30"/>
        <v>1.3371273712737115</v>
      </c>
      <c r="G196" s="22">
        <f t="shared" si="31"/>
        <v>-5.9082444444444953</v>
      </c>
      <c r="H196" s="18">
        <f t="shared" si="36"/>
        <v>-7.9000753628425784</v>
      </c>
      <c r="I196" s="18">
        <f t="shared" si="37"/>
        <v>1.7879096070093459</v>
      </c>
      <c r="J196" s="24"/>
      <c r="K196" s="24"/>
      <c r="L196" s="19">
        <f t="shared" si="32"/>
        <v>28.674581108363348</v>
      </c>
      <c r="O196" s="9">
        <f t="shared" si="34"/>
        <v>0.12541889163665232</v>
      </c>
      <c r="P196" s="10">
        <f t="shared" si="35"/>
        <v>1.5729898379366336E-2</v>
      </c>
      <c r="V196" s="10">
        <f t="shared" si="38"/>
        <v>9.0126907465461009E-2</v>
      </c>
      <c r="W196" s="13">
        <f t="shared" si="39"/>
        <v>36.405093253169881</v>
      </c>
      <c r="Z196" s="15">
        <f t="shared" si="33"/>
        <v>34.907352415309241</v>
      </c>
    </row>
    <row r="197" spans="1:26">
      <c r="A197" s="84">
        <f>'Q.6 Rand()'!R195</f>
        <v>5.7</v>
      </c>
      <c r="B197" s="141">
        <f>'Q.6 Rand()'!S195</f>
        <v>31.9</v>
      </c>
      <c r="D197" s="23"/>
      <c r="E197" s="24"/>
      <c r="F197" s="22">
        <f t="shared" ref="F197:F260" si="40">A197-$D$5</f>
        <v>2.2371273712737119</v>
      </c>
      <c r="G197" s="22">
        <f t="shared" si="31"/>
        <v>-2.8082444444444974</v>
      </c>
      <c r="H197" s="18">
        <f t="shared" si="36"/>
        <v>-6.2824005118941235</v>
      </c>
      <c r="I197" s="18">
        <f t="shared" si="37"/>
        <v>5.0047388753020279</v>
      </c>
      <c r="J197" s="24"/>
      <c r="K197" s="24"/>
      <c r="L197" s="19">
        <f t="shared" si="32"/>
        <v>24.613414521592876</v>
      </c>
      <c r="O197" s="9">
        <f t="shared" si="34"/>
        <v>7.2865854784071225</v>
      </c>
      <c r="P197" s="10">
        <f t="shared" si="35"/>
        <v>53.094327934133553</v>
      </c>
      <c r="V197" s="10">
        <f t="shared" si="38"/>
        <v>4.3548226262726496E-3</v>
      </c>
      <c r="W197" s="13">
        <f t="shared" si="39"/>
        <v>101.90559117130044</v>
      </c>
      <c r="Z197" s="15">
        <f t="shared" si="33"/>
        <v>7.8862368597533834</v>
      </c>
    </row>
    <row r="198" spans="1:26">
      <c r="A198" s="84">
        <f>'Q.6 Rand()'!R196</f>
        <v>2.2000000000000002</v>
      </c>
      <c r="B198" s="141">
        <f>'Q.6 Rand()'!S196</f>
        <v>46.8</v>
      </c>
      <c r="D198" s="23"/>
      <c r="E198" s="24"/>
      <c r="F198" s="22">
        <f t="shared" si="40"/>
        <v>-1.2628726287262881</v>
      </c>
      <c r="G198" s="22">
        <f t="shared" ref="G198:G261" si="41">B198-$E$5</f>
        <v>12.091755555555501</v>
      </c>
      <c r="H198" s="18">
        <f t="shared" si="36"/>
        <v>-15.270347124360075</v>
      </c>
      <c r="I198" s="18">
        <f t="shared" si="37"/>
        <v>1.5948472763860453</v>
      </c>
      <c r="J198" s="24"/>
      <c r="K198" s="24"/>
      <c r="L198" s="19">
        <f t="shared" ref="L198:L261" si="42">$K$5+$J$5*A198</f>
        <v>40.406840136811375</v>
      </c>
      <c r="O198" s="9">
        <f t="shared" si="34"/>
        <v>6.3931598631886217</v>
      </c>
      <c r="P198" s="10">
        <f t="shared" si="35"/>
        <v>40.87249303628596</v>
      </c>
      <c r="V198" s="10">
        <f t="shared" si="38"/>
        <v>0.22841960747357751</v>
      </c>
      <c r="W198" s="13">
        <f t="shared" si="39"/>
        <v>32.473992865062357</v>
      </c>
      <c r="Z198" s="15">
        <f t="shared" ref="Z198:Z261" si="43">(B198-$E$5)^2</f>
        <v>146.21055241530732</v>
      </c>
    </row>
    <row r="199" spans="1:26">
      <c r="A199" s="84">
        <f>'Q.6 Rand()'!R197</f>
        <v>2.4</v>
      </c>
      <c r="B199" s="141">
        <f>'Q.6 Rand()'!S197</f>
        <v>40.1</v>
      </c>
      <c r="D199" s="23"/>
      <c r="E199" s="24"/>
      <c r="F199" s="22">
        <f t="shared" si="40"/>
        <v>-1.0628726287262884</v>
      </c>
      <c r="G199" s="22">
        <f t="shared" si="41"/>
        <v>5.3917555555555055</v>
      </c>
      <c r="H199" s="18">
        <f t="shared" si="36"/>
        <v>-5.7307494007828499</v>
      </c>
      <c r="I199" s="18">
        <f t="shared" si="37"/>
        <v>1.1296982248955305</v>
      </c>
      <c r="J199" s="24"/>
      <c r="K199" s="24"/>
      <c r="L199" s="19">
        <f t="shared" si="42"/>
        <v>39.50435867308461</v>
      </c>
      <c r="O199" s="9">
        <f t="shared" si="34"/>
        <v>0.59564132691539129</v>
      </c>
      <c r="P199" s="10">
        <f t="shared" si="35"/>
        <v>0.35478859032952803</v>
      </c>
      <c r="V199" s="10">
        <f t="shared" si="38"/>
        <v>0.13660597998266286</v>
      </c>
      <c r="W199" s="13">
        <f t="shared" si="39"/>
        <v>23.002711694164159</v>
      </c>
      <c r="Z199" s="15">
        <f t="shared" si="43"/>
        <v>29.071027970863657</v>
      </c>
    </row>
    <row r="200" spans="1:26">
      <c r="A200" s="84">
        <f>'Q.6 Rand()'!R198</f>
        <v>2.5</v>
      </c>
      <c r="B200" s="141">
        <f>'Q.6 Rand()'!S198</f>
        <v>44.736499999999999</v>
      </c>
      <c r="D200" s="23"/>
      <c r="E200" s="24"/>
      <c r="F200" s="22">
        <f t="shared" si="40"/>
        <v>-0.96287262872628832</v>
      </c>
      <c r="G200" s="22">
        <f t="shared" si="41"/>
        <v>10.028255555555504</v>
      </c>
      <c r="H200" s="18">
        <f t="shared" si="36"/>
        <v>-9.6559327883167327</v>
      </c>
      <c r="I200" s="18">
        <f t="shared" si="37"/>
        <v>0.92712369915027271</v>
      </c>
      <c r="J200" s="24"/>
      <c r="K200" s="24"/>
      <c r="L200" s="19">
        <f t="shared" si="42"/>
        <v>39.053117941221217</v>
      </c>
      <c r="O200" s="9">
        <f t="shared" si="34"/>
        <v>5.6833820587787827</v>
      </c>
      <c r="P200" s="10">
        <f t="shared" si="35"/>
        <v>32.300831626048556</v>
      </c>
      <c r="V200" s="10">
        <f t="shared" si="38"/>
        <v>1.4853898426817738E-2</v>
      </c>
      <c r="W200" s="13">
        <f t="shared" si="39"/>
        <v>18.877925702992769</v>
      </c>
      <c r="Z200" s="15">
        <f t="shared" si="43"/>
        <v>100.56590948752982</v>
      </c>
    </row>
    <row r="201" spans="1:26">
      <c r="A201" s="84">
        <f>'Q.6 Rand()'!R199</f>
        <v>2.4</v>
      </c>
      <c r="B201" s="141">
        <f>'Q.6 Rand()'!S199</f>
        <v>32.276499999999999</v>
      </c>
      <c r="D201" s="23"/>
      <c r="E201" s="24"/>
      <c r="F201" s="22">
        <f t="shared" si="40"/>
        <v>-1.0628726287262884</v>
      </c>
      <c r="G201" s="22">
        <f t="shared" si="41"/>
        <v>-2.4317444444444973</v>
      </c>
      <c r="H201" s="18">
        <f t="shared" si="36"/>
        <v>2.5846346100572708</v>
      </c>
      <c r="I201" s="18">
        <f t="shared" si="37"/>
        <v>1.1296982248955305</v>
      </c>
      <c r="J201" s="24"/>
      <c r="K201" s="24"/>
      <c r="L201" s="19">
        <f t="shared" si="42"/>
        <v>39.50435867308461</v>
      </c>
      <c r="O201" s="9">
        <f t="shared" si="34"/>
        <v>-7.2278586730846115</v>
      </c>
      <c r="P201" s="10">
        <f t="shared" si="35"/>
        <v>52.241940998084438</v>
      </c>
      <c r="V201" s="10">
        <f t="shared" si="38"/>
        <v>0.1270412763354036</v>
      </c>
      <c r="W201" s="13">
        <f t="shared" si="39"/>
        <v>23.002711694164159</v>
      </c>
      <c r="Z201" s="15">
        <f t="shared" si="43"/>
        <v>5.9133810430866767</v>
      </c>
    </row>
    <row r="202" spans="1:26">
      <c r="A202" s="84">
        <f>'Q.6 Rand()'!R200</f>
        <v>3.2</v>
      </c>
      <c r="B202" s="141">
        <f>'Q.6 Rand()'!S200</f>
        <v>38.9</v>
      </c>
      <c r="D202" s="23"/>
      <c r="E202" s="24"/>
      <c r="F202" s="22">
        <f t="shared" si="40"/>
        <v>-0.26287262872628814</v>
      </c>
      <c r="G202" s="22">
        <f t="shared" si="41"/>
        <v>4.1917555555555026</v>
      </c>
      <c r="H202" s="18">
        <f t="shared" si="36"/>
        <v>-1.1018978018668972</v>
      </c>
      <c r="I202" s="18">
        <f t="shared" si="37"/>
        <v>6.9102018933468928E-2</v>
      </c>
      <c r="J202" s="24"/>
      <c r="K202" s="24"/>
      <c r="L202" s="19">
        <f t="shared" si="42"/>
        <v>35.894432818177521</v>
      </c>
      <c r="O202" s="9">
        <f t="shared" si="34"/>
        <v>3.0055671818224781</v>
      </c>
      <c r="P202" s="10">
        <f t="shared" si="35"/>
        <v>9.033434084448313</v>
      </c>
      <c r="V202" s="10">
        <f t="shared" si="38"/>
        <v>0.22393563964756438</v>
      </c>
      <c r="W202" s="13">
        <f t="shared" si="39"/>
        <v>1.4070428579793974</v>
      </c>
      <c r="Z202" s="15">
        <f t="shared" si="43"/>
        <v>17.570814637530422</v>
      </c>
    </row>
    <row r="203" spans="1:26">
      <c r="A203" s="84">
        <f>'Q.6 Rand()'!R201</f>
        <v>3.5</v>
      </c>
      <c r="B203" s="141">
        <f>'Q.6 Rand()'!S201</f>
        <v>38.0169</v>
      </c>
      <c r="D203" s="23"/>
      <c r="E203" s="24"/>
      <c r="F203" s="22">
        <f t="shared" si="40"/>
        <v>3.7127371273711685E-2</v>
      </c>
      <c r="G203" s="22">
        <f t="shared" si="41"/>
        <v>3.3086555555555037</v>
      </c>
      <c r="H203" s="18">
        <f t="shared" si="36"/>
        <v>0.12284168322793798</v>
      </c>
      <c r="I203" s="18">
        <f t="shared" si="37"/>
        <v>1.3784416976960316E-3</v>
      </c>
      <c r="J203" s="24"/>
      <c r="K203" s="24"/>
      <c r="L203" s="19">
        <f t="shared" si="42"/>
        <v>34.540710622587362</v>
      </c>
      <c r="O203" s="9">
        <f t="shared" si="34"/>
        <v>3.4761893774126378</v>
      </c>
      <c r="P203" s="10">
        <f t="shared" si="35"/>
        <v>12.083892587636463</v>
      </c>
      <c r="V203" s="10">
        <f t="shared" si="38"/>
        <v>7.7263937836053426E-2</v>
      </c>
      <c r="W203" s="13">
        <f t="shared" si="39"/>
        <v>2.806758146605793E-2</v>
      </c>
      <c r="Z203" s="15">
        <f t="shared" si="43"/>
        <v>10.947201585308299</v>
      </c>
    </row>
    <row r="204" spans="1:26">
      <c r="A204" s="84">
        <f>'Q.6 Rand()'!R202</f>
        <v>2.4</v>
      </c>
      <c r="B204" s="141">
        <f>'Q.6 Rand()'!S202</f>
        <v>43.291600000000003</v>
      </c>
      <c r="D204" s="23"/>
      <c r="E204" s="24"/>
      <c r="F204" s="22">
        <f t="shared" si="40"/>
        <v>-1.0628726287262884</v>
      </c>
      <c r="G204" s="22">
        <f t="shared" si="41"/>
        <v>8.5833555555555066</v>
      </c>
      <c r="H204" s="18">
        <f t="shared" si="36"/>
        <v>-9.1230136826256736</v>
      </c>
      <c r="I204" s="18">
        <f t="shared" si="37"/>
        <v>1.1296982248955305</v>
      </c>
      <c r="J204" s="24"/>
      <c r="K204" s="24"/>
      <c r="L204" s="19">
        <f t="shared" si="42"/>
        <v>39.50435867308461</v>
      </c>
      <c r="O204" s="9">
        <f t="shared" si="34"/>
        <v>3.7872413269153924</v>
      </c>
      <c r="P204" s="10">
        <f t="shared" si="35"/>
        <v>14.343196868295863</v>
      </c>
      <c r="V204" s="10">
        <f t="shared" si="38"/>
        <v>9.1438001978400074E-2</v>
      </c>
      <c r="W204" s="13">
        <f t="shared" si="39"/>
        <v>23.002711694164159</v>
      </c>
      <c r="Z204" s="15">
        <f t="shared" si="43"/>
        <v>73.673992593085572</v>
      </c>
    </row>
    <row r="205" spans="1:26">
      <c r="A205" s="84">
        <f>'Q.6 Rand()'!R203</f>
        <v>1.8</v>
      </c>
      <c r="B205" s="141">
        <f>'Q.6 Rand()'!S203</f>
        <v>43.260899999999999</v>
      </c>
      <c r="D205" s="23"/>
      <c r="E205" s="24"/>
      <c r="F205" s="22">
        <f t="shared" si="40"/>
        <v>-1.6628726287262883</v>
      </c>
      <c r="G205" s="22">
        <f t="shared" si="41"/>
        <v>8.5526555555555035</v>
      </c>
      <c r="H205" s="18">
        <f t="shared" si="36"/>
        <v>-14.221976826257073</v>
      </c>
      <c r="I205" s="18">
        <f t="shared" si="37"/>
        <v>2.7651453793670759</v>
      </c>
      <c r="J205" s="24"/>
      <c r="K205" s="24"/>
      <c r="L205" s="19">
        <f t="shared" si="42"/>
        <v>42.21180306426492</v>
      </c>
      <c r="O205" s="9">
        <f t="shared" si="34"/>
        <v>1.0490969357350792</v>
      </c>
      <c r="P205" s="10">
        <f t="shared" si="35"/>
        <v>1.1006043805687329</v>
      </c>
      <c r="V205" s="10">
        <f t="shared" si="38"/>
        <v>8.7482128794394112E-2</v>
      </c>
      <c r="W205" s="13">
        <f t="shared" si="39"/>
        <v>56.303391961081388</v>
      </c>
      <c r="Z205" s="15">
        <f t="shared" si="43"/>
        <v>73.147917051974417</v>
      </c>
    </row>
    <row r="206" spans="1:26">
      <c r="A206" s="84">
        <f>'Q.6 Rand()'!R204</f>
        <v>5.6</v>
      </c>
      <c r="B206" s="141">
        <f>'Q.6 Rand()'!S204</f>
        <v>24.299600000000002</v>
      </c>
      <c r="D206" s="23"/>
      <c r="E206" s="24"/>
      <c r="F206" s="22">
        <f t="shared" si="40"/>
        <v>2.1371273712737113</v>
      </c>
      <c r="G206" s="22">
        <f t="shared" si="41"/>
        <v>-10.408644444444494</v>
      </c>
      <c r="H206" s="18">
        <f t="shared" si="36"/>
        <v>-22.244598940078383</v>
      </c>
      <c r="I206" s="18">
        <f t="shared" si="37"/>
        <v>4.5673134010472838</v>
      </c>
      <c r="J206" s="24"/>
      <c r="K206" s="24"/>
      <c r="L206" s="19">
        <f t="shared" si="42"/>
        <v>25.064655253456262</v>
      </c>
      <c r="O206" s="9">
        <f t="shared" si="34"/>
        <v>-0.76505525345626069</v>
      </c>
      <c r="P206" s="10">
        <f t="shared" si="35"/>
        <v>0.58530954084102327</v>
      </c>
      <c r="V206" s="10">
        <f t="shared" si="38"/>
        <v>2.4250464870936093E-2</v>
      </c>
      <c r="W206" s="13">
        <f t="shared" si="39"/>
        <v>92.998812484545098</v>
      </c>
      <c r="Z206" s="15">
        <f t="shared" si="43"/>
        <v>108.33987917086523</v>
      </c>
    </row>
    <row r="207" spans="1:26">
      <c r="A207" s="84">
        <f>'Q.6 Rand()'!R205</f>
        <v>1.6</v>
      </c>
      <c r="B207" s="141">
        <f>'Q.6 Rand()'!S205</f>
        <v>48.9</v>
      </c>
      <c r="D207" s="23"/>
      <c r="E207" s="24"/>
      <c r="F207" s="22">
        <f t="shared" si="40"/>
        <v>-1.8628726287262882</v>
      </c>
      <c r="G207" s="22">
        <f t="shared" si="41"/>
        <v>14.191755555555503</v>
      </c>
      <c r="H207" s="18">
        <f t="shared" si="36"/>
        <v>-26.437432978018585</v>
      </c>
      <c r="I207" s="18">
        <f t="shared" si="37"/>
        <v>3.4702944308575914</v>
      </c>
      <c r="J207" s="24"/>
      <c r="K207" s="24"/>
      <c r="L207" s="19">
        <f t="shared" si="42"/>
        <v>43.114284527991693</v>
      </c>
      <c r="O207" s="9">
        <f t="shared" si="34"/>
        <v>5.7857154720083059</v>
      </c>
      <c r="P207" s="10">
        <f t="shared" si="35"/>
        <v>33.474503523036297</v>
      </c>
      <c r="V207" s="10">
        <f t="shared" si="38"/>
        <v>3.1484273545912718E-2</v>
      </c>
      <c r="W207" s="13">
        <f t="shared" si="39"/>
        <v>70.661509886202168</v>
      </c>
      <c r="Z207" s="15">
        <f t="shared" si="43"/>
        <v>201.40592574864047</v>
      </c>
    </row>
    <row r="208" spans="1:26">
      <c r="A208" s="84">
        <f>'Q.6 Rand()'!R206</f>
        <v>5</v>
      </c>
      <c r="B208" s="141">
        <f>'Q.6 Rand()'!S206</f>
        <v>31.073599999999999</v>
      </c>
      <c r="D208" s="23"/>
      <c r="E208" s="24"/>
      <c r="F208" s="22">
        <f t="shared" si="40"/>
        <v>1.5371273712737117</v>
      </c>
      <c r="G208" s="22">
        <f t="shared" si="41"/>
        <v>-3.634644444444497</v>
      </c>
      <c r="H208" s="18">
        <f t="shared" si="36"/>
        <v>-5.5869114604035701</v>
      </c>
      <c r="I208" s="18">
        <f t="shared" si="37"/>
        <v>2.3627605555188311</v>
      </c>
      <c r="J208" s="24"/>
      <c r="K208" s="24"/>
      <c r="L208" s="19">
        <f t="shared" si="42"/>
        <v>27.772099644636576</v>
      </c>
      <c r="O208" s="9">
        <f t="shared" si="34"/>
        <v>3.301500355363423</v>
      </c>
      <c r="P208" s="10">
        <f t="shared" si="35"/>
        <v>10.899904596464808</v>
      </c>
      <c r="V208" s="10">
        <f t="shared" si="38"/>
        <v>0.11831728981612077</v>
      </c>
      <c r="W208" s="13">
        <f t="shared" si="39"/>
        <v>48.110104683902449</v>
      </c>
      <c r="Z208" s="15">
        <f t="shared" si="43"/>
        <v>13.210640237531246</v>
      </c>
    </row>
    <row r="209" spans="1:26">
      <c r="A209" s="84">
        <f>'Q.6 Rand()'!R207</f>
        <v>5.3</v>
      </c>
      <c r="B209" s="141">
        <f>'Q.6 Rand()'!S207</f>
        <v>27.9</v>
      </c>
      <c r="D209" s="23"/>
      <c r="E209" s="24"/>
      <c r="F209" s="22">
        <f t="shared" si="40"/>
        <v>1.8371273712737115</v>
      </c>
      <c r="G209" s="22">
        <f t="shared" si="41"/>
        <v>-6.8082444444444974</v>
      </c>
      <c r="H209" s="18">
        <f t="shared" si="36"/>
        <v>-12.50761221921117</v>
      </c>
      <c r="I209" s="18">
        <f t="shared" si="37"/>
        <v>3.3750369782830574</v>
      </c>
      <c r="J209" s="24"/>
      <c r="K209" s="24"/>
      <c r="L209" s="19">
        <f t="shared" si="42"/>
        <v>26.418377449046421</v>
      </c>
      <c r="O209" s="9">
        <f t="shared" si="34"/>
        <v>1.4816225509535776</v>
      </c>
      <c r="P209" s="10">
        <f t="shared" si="35"/>
        <v>2.1952053834941867</v>
      </c>
      <c r="V209" s="10">
        <f t="shared" si="38"/>
        <v>0.10624775872005249</v>
      </c>
      <c r="W209" s="13">
        <f t="shared" si="39"/>
        <v>68.721894801390306</v>
      </c>
      <c r="Z209" s="15">
        <f t="shared" si="43"/>
        <v>46.352192415309361</v>
      </c>
    </row>
    <row r="210" spans="1:26">
      <c r="A210" s="84">
        <f>'Q.6 Rand()'!R208</f>
        <v>4.5999999999999996</v>
      </c>
      <c r="B210" s="141">
        <f>'Q.6 Rand()'!S208</f>
        <v>28.0212</v>
      </c>
      <c r="D210" s="23"/>
      <c r="E210" s="24"/>
      <c r="F210" s="22">
        <f t="shared" si="40"/>
        <v>1.1371273712737113</v>
      </c>
      <c r="G210" s="22">
        <f t="shared" si="41"/>
        <v>-6.6870444444444956</v>
      </c>
      <c r="H210" s="18">
        <f t="shared" si="36"/>
        <v>-7.6040212707016446</v>
      </c>
      <c r="I210" s="18">
        <f t="shared" si="37"/>
        <v>1.2930586584998609</v>
      </c>
      <c r="J210" s="24"/>
      <c r="K210" s="24"/>
      <c r="L210" s="19">
        <f t="shared" si="42"/>
        <v>29.577062572090121</v>
      </c>
      <c r="O210" s="9">
        <f t="shared" si="34"/>
        <v>-1.5558625720901205</v>
      </c>
      <c r="P210" s="10">
        <f t="shared" si="35"/>
        <v>2.4207083432308854</v>
      </c>
      <c r="V210" s="10">
        <f t="shared" si="38"/>
        <v>5.3104750930235763E-2</v>
      </c>
      <c r="W210" s="13">
        <f t="shared" si="39"/>
        <v>26.329027407178152</v>
      </c>
      <c r="Z210" s="15">
        <f t="shared" si="43"/>
        <v>44.716563401975996</v>
      </c>
    </row>
    <row r="211" spans="1:26">
      <c r="A211" s="84">
        <f>'Q.6 Rand()'!R209</f>
        <v>3.5</v>
      </c>
      <c r="B211" s="141">
        <f>'Q.6 Rand()'!S209</f>
        <v>32.4</v>
      </c>
      <c r="D211" s="23"/>
      <c r="E211" s="24"/>
      <c r="F211" s="22">
        <f t="shared" si="40"/>
        <v>3.7127371273711685E-2</v>
      </c>
      <c r="G211" s="22">
        <f t="shared" si="41"/>
        <v>-2.3082444444444974</v>
      </c>
      <c r="H211" s="18">
        <f t="shared" si="36"/>
        <v>-8.5699048479373222E-2</v>
      </c>
      <c r="I211" s="18">
        <f t="shared" si="37"/>
        <v>1.3784416976960316E-3</v>
      </c>
      <c r="J211" s="24"/>
      <c r="K211" s="24"/>
      <c r="L211" s="19">
        <f t="shared" si="42"/>
        <v>34.540710622587362</v>
      </c>
      <c r="O211" s="9">
        <f t="shared" si="34"/>
        <v>-2.1407106225873633</v>
      </c>
      <c r="P211" s="10">
        <f t="shared" si="35"/>
        <v>4.5826419696583764</v>
      </c>
      <c r="V211" s="10">
        <f t="shared" si="38"/>
        <v>5.5524480468007099E-2</v>
      </c>
      <c r="W211" s="13">
        <f t="shared" si="39"/>
        <v>2.806758146605793E-2</v>
      </c>
      <c r="Z211" s="15">
        <f t="shared" si="43"/>
        <v>5.327992415308886</v>
      </c>
    </row>
    <row r="212" spans="1:26">
      <c r="A212" s="84">
        <f>'Q.6 Rand()'!R210</f>
        <v>4.5999999999999996</v>
      </c>
      <c r="B212" s="141">
        <f>'Q.6 Rand()'!S210</f>
        <v>33.799999999999997</v>
      </c>
      <c r="D212" s="23"/>
      <c r="E212" s="24"/>
      <c r="F212" s="22">
        <f t="shared" si="40"/>
        <v>1.1371273712737113</v>
      </c>
      <c r="G212" s="22">
        <f t="shared" si="41"/>
        <v>-0.90824444444449881</v>
      </c>
      <c r="H212" s="18">
        <f t="shared" si="36"/>
        <v>-1.0327896175851252</v>
      </c>
      <c r="I212" s="18">
        <f t="shared" si="37"/>
        <v>1.2930586584998609</v>
      </c>
      <c r="J212" s="24"/>
      <c r="K212" s="24"/>
      <c r="L212" s="19">
        <f t="shared" si="42"/>
        <v>29.577062572090121</v>
      </c>
      <c r="O212" s="9">
        <f t="shared" si="34"/>
        <v>4.2229374279098764</v>
      </c>
      <c r="P212" s="10">
        <f t="shared" si="35"/>
        <v>17.833200520042084</v>
      </c>
      <c r="V212" s="10">
        <f t="shared" si="38"/>
        <v>6.6071315511955664E-2</v>
      </c>
      <c r="W212" s="13">
        <f t="shared" si="39"/>
        <v>26.329027407178152</v>
      </c>
      <c r="Z212" s="15">
        <f t="shared" si="43"/>
        <v>0.82490797086429624</v>
      </c>
    </row>
    <row r="213" spans="1:26">
      <c r="A213" s="84">
        <f>'Q.6 Rand()'!R211</f>
        <v>4.5999999999999996</v>
      </c>
      <c r="B213" s="141">
        <f>'Q.6 Rand()'!S211</f>
        <v>33.305199999999999</v>
      </c>
      <c r="D213" s="23"/>
      <c r="E213" s="24"/>
      <c r="F213" s="22">
        <f t="shared" si="40"/>
        <v>1.1371273712737113</v>
      </c>
      <c r="G213" s="22">
        <f t="shared" si="41"/>
        <v>-1.4030444444444967</v>
      </c>
      <c r="H213" s="18">
        <f t="shared" si="36"/>
        <v>-1.5954402408913553</v>
      </c>
      <c r="I213" s="18">
        <f t="shared" si="37"/>
        <v>1.2930586584998609</v>
      </c>
      <c r="J213" s="24"/>
      <c r="K213" s="24"/>
      <c r="L213" s="19">
        <f t="shared" si="42"/>
        <v>29.577062572090121</v>
      </c>
      <c r="O213" s="9">
        <f t="shared" si="34"/>
        <v>3.7281374279098785</v>
      </c>
      <c r="P213" s="10">
        <f t="shared" si="35"/>
        <v>13.899008681382485</v>
      </c>
      <c r="V213" s="10">
        <f t="shared" si="38"/>
        <v>0.12493897715709694</v>
      </c>
      <c r="W213" s="13">
        <f t="shared" si="39"/>
        <v>26.329027407178152</v>
      </c>
      <c r="Z213" s="15">
        <f t="shared" si="43"/>
        <v>1.9685337130865666</v>
      </c>
    </row>
    <row r="214" spans="1:26">
      <c r="A214" s="84">
        <f>'Q.6 Rand()'!R212</f>
        <v>2.2000000000000002</v>
      </c>
      <c r="B214" s="141">
        <f>'Q.6 Rand()'!S212</f>
        <v>46.8</v>
      </c>
      <c r="D214" s="23"/>
      <c r="E214" s="24"/>
      <c r="F214" s="22">
        <f t="shared" si="40"/>
        <v>-1.2628726287262881</v>
      </c>
      <c r="G214" s="22">
        <f t="shared" si="41"/>
        <v>12.091755555555501</v>
      </c>
      <c r="H214" s="18">
        <f t="shared" si="36"/>
        <v>-15.270347124360075</v>
      </c>
      <c r="I214" s="18">
        <f t="shared" si="37"/>
        <v>1.5948472763860453</v>
      </c>
      <c r="J214" s="24"/>
      <c r="K214" s="24"/>
      <c r="L214" s="19">
        <f t="shared" si="42"/>
        <v>40.406840136811375</v>
      </c>
      <c r="O214" s="9">
        <f t="shared" si="34"/>
        <v>6.3931598631886217</v>
      </c>
      <c r="P214" s="10">
        <f t="shared" si="35"/>
        <v>40.87249303628596</v>
      </c>
      <c r="V214" s="10">
        <f t="shared" si="38"/>
        <v>0.1119385990148649</v>
      </c>
      <c r="W214" s="13">
        <f t="shared" si="39"/>
        <v>32.473992865062357</v>
      </c>
      <c r="Z214" s="15">
        <f t="shared" si="43"/>
        <v>146.21055241530732</v>
      </c>
    </row>
    <row r="215" spans="1:26">
      <c r="A215" s="84">
        <f>'Q.6 Rand()'!R213</f>
        <v>6</v>
      </c>
      <c r="B215" s="141">
        <f>'Q.6 Rand()'!S213</f>
        <v>24.4</v>
      </c>
      <c r="D215" s="23"/>
      <c r="E215" s="24"/>
      <c r="F215" s="22">
        <f t="shared" si="40"/>
        <v>2.5371273712737117</v>
      </c>
      <c r="G215" s="22">
        <f t="shared" si="41"/>
        <v>-10.308244444444497</v>
      </c>
      <c r="H215" s="18">
        <f t="shared" si="36"/>
        <v>-26.15332912978031</v>
      </c>
      <c r="I215" s="18">
        <f t="shared" si="37"/>
        <v>6.4370152980662541</v>
      </c>
      <c r="J215" s="24"/>
      <c r="K215" s="24"/>
      <c r="L215" s="19">
        <f t="shared" si="42"/>
        <v>23.259692326002721</v>
      </c>
      <c r="O215" s="9">
        <f t="shared" si="34"/>
        <v>1.1403076739972775</v>
      </c>
      <c r="P215" s="10">
        <f t="shared" si="35"/>
        <v>1.3003015913770812</v>
      </c>
      <c r="V215" s="10">
        <f t="shared" si="38"/>
        <v>0.13660597998266286</v>
      </c>
      <c r="W215" s="13">
        <f t="shared" si="39"/>
        <v>131.06934560867765</v>
      </c>
      <c r="Z215" s="15">
        <f t="shared" si="43"/>
        <v>106.25990352642084</v>
      </c>
    </row>
    <row r="216" spans="1:26">
      <c r="A216" s="84">
        <f>'Q.6 Rand()'!R214</f>
        <v>2.5</v>
      </c>
      <c r="B216" s="141">
        <f>'Q.6 Rand()'!S214</f>
        <v>32.910299999999999</v>
      </c>
      <c r="D216" s="23"/>
      <c r="E216" s="24"/>
      <c r="F216" s="22">
        <f t="shared" si="40"/>
        <v>-0.96287262872628832</v>
      </c>
      <c r="G216" s="22">
        <f t="shared" si="41"/>
        <v>-1.7979444444444965</v>
      </c>
      <c r="H216" s="18">
        <f t="shared" si="36"/>
        <v>1.7311914935260984</v>
      </c>
      <c r="I216" s="18">
        <f t="shared" si="37"/>
        <v>0.92712369915027271</v>
      </c>
      <c r="J216" s="24"/>
      <c r="K216" s="24"/>
      <c r="L216" s="19">
        <f t="shared" si="42"/>
        <v>39.053117941221217</v>
      </c>
      <c r="O216" s="9">
        <f t="shared" ref="O216:O279" si="44">B216-L216</f>
        <v>-6.1428179412212174</v>
      </c>
      <c r="P216" s="10">
        <f t="shared" ref="P216:P279" si="45">O216^2</f>
        <v>37.734212258989274</v>
      </c>
      <c r="V216" s="10">
        <f t="shared" si="38"/>
        <v>4.6733921065462196E-2</v>
      </c>
      <c r="W216" s="13">
        <f t="shared" si="39"/>
        <v>18.877925702992769</v>
      </c>
      <c r="Z216" s="15">
        <f t="shared" si="43"/>
        <v>3.2326042253088292</v>
      </c>
    </row>
    <row r="217" spans="1:26">
      <c r="A217" s="84">
        <f>'Q.6 Rand()'!R215</f>
        <v>3.5</v>
      </c>
      <c r="B217" s="141">
        <f>'Q.6 Rand()'!S215</f>
        <v>36.4</v>
      </c>
      <c r="D217" s="23"/>
      <c r="E217" s="24"/>
      <c r="F217" s="22">
        <f t="shared" si="40"/>
        <v>3.7127371273711685E-2</v>
      </c>
      <c r="G217" s="22">
        <f t="shared" si="41"/>
        <v>1.6917555555555026</v>
      </c>
      <c r="H217" s="18">
        <f t="shared" ref="H217:H280" si="46">F217*G217</f>
        <v>6.2810436615473517E-2</v>
      </c>
      <c r="I217" s="18">
        <f t="shared" ref="I217:I280" si="47">F217^2</f>
        <v>1.3784416976960316E-3</v>
      </c>
      <c r="J217" s="24"/>
      <c r="K217" s="24"/>
      <c r="L217" s="19">
        <f t="shared" si="42"/>
        <v>34.540710622587362</v>
      </c>
      <c r="O217" s="9">
        <f t="shared" si="44"/>
        <v>1.8592893774126367</v>
      </c>
      <c r="P217" s="10">
        <f t="shared" si="45"/>
        <v>3.4569569889594702</v>
      </c>
      <c r="V217" s="10">
        <f t="shared" ref="V217:V280" si="48">ABS(O216) / B216</f>
        <v>0.186653355977345</v>
      </c>
      <c r="W217" s="13">
        <f t="shared" ref="W217:W280" si="49">(L217-$E$5)^2</f>
        <v>2.806758146605793E-2</v>
      </c>
      <c r="Z217" s="15">
        <f t="shared" si="43"/>
        <v>2.8620368597529073</v>
      </c>
    </row>
    <row r="218" spans="1:26">
      <c r="A218" s="84">
        <f>'Q.6 Rand()'!R216</f>
        <v>4</v>
      </c>
      <c r="B218" s="141">
        <f>'Q.6 Rand()'!S216</f>
        <v>27.9711</v>
      </c>
      <c r="D218" s="23"/>
      <c r="E218" s="24"/>
      <c r="F218" s="22">
        <f t="shared" si="40"/>
        <v>0.53712737127371168</v>
      </c>
      <c r="G218" s="22">
        <f t="shared" si="41"/>
        <v>-6.7371444444444961</v>
      </c>
      <c r="H218" s="18">
        <f t="shared" si="46"/>
        <v>-3.6187046853357629</v>
      </c>
      <c r="I218" s="18">
        <f t="shared" si="47"/>
        <v>0.2885058129714077</v>
      </c>
      <c r="J218" s="24"/>
      <c r="K218" s="24"/>
      <c r="L218" s="19">
        <f t="shared" si="42"/>
        <v>32.284506963270431</v>
      </c>
      <c r="O218" s="9">
        <f t="shared" si="44"/>
        <v>-4.313406963270431</v>
      </c>
      <c r="P218" s="10">
        <f t="shared" si="45"/>
        <v>18.605479630789841</v>
      </c>
      <c r="V218" s="10">
        <f t="shared" si="48"/>
        <v>5.1079378500347161E-2</v>
      </c>
      <c r="W218" s="13">
        <f t="shared" si="49"/>
        <v>5.8745033776480016</v>
      </c>
      <c r="Z218" s="15">
        <f t="shared" si="43"/>
        <v>45.389115265309336</v>
      </c>
    </row>
    <row r="219" spans="1:26">
      <c r="A219" s="84">
        <f>'Q.6 Rand()'!R217</f>
        <v>2</v>
      </c>
      <c r="B219" s="141">
        <f>'Q.6 Rand()'!S217</f>
        <v>43.541400000000003</v>
      </c>
      <c r="D219" s="23"/>
      <c r="E219" s="24"/>
      <c r="F219" s="22">
        <f t="shared" si="40"/>
        <v>-1.4628726287262883</v>
      </c>
      <c r="G219" s="22">
        <f t="shared" si="41"/>
        <v>8.833155555555507</v>
      </c>
      <c r="H219" s="18">
        <f t="shared" si="46"/>
        <v>-12.921781487503702</v>
      </c>
      <c r="I219" s="18">
        <f t="shared" si="47"/>
        <v>2.139996327876561</v>
      </c>
      <c r="J219" s="24"/>
      <c r="K219" s="24"/>
      <c r="L219" s="19">
        <f t="shared" si="42"/>
        <v>41.309321600538148</v>
      </c>
      <c r="O219" s="9">
        <f t="shared" si="44"/>
        <v>2.2320783994618552</v>
      </c>
      <c r="P219" s="10">
        <f t="shared" si="45"/>
        <v>4.9821739813441974</v>
      </c>
      <c r="V219" s="10">
        <f t="shared" si="48"/>
        <v>0.15420941483425504</v>
      </c>
      <c r="W219" s="13">
        <f t="shared" si="49"/>
        <v>43.574219620701456</v>
      </c>
      <c r="Z219" s="15">
        <f t="shared" si="43"/>
        <v>78.024637068641113</v>
      </c>
    </row>
    <row r="220" spans="1:26">
      <c r="A220" s="84">
        <f>'Q.6 Rand()'!R218</f>
        <v>5.4</v>
      </c>
      <c r="B220" s="141">
        <f>'Q.6 Rand()'!S218</f>
        <v>20.7</v>
      </c>
      <c r="D220" s="23"/>
      <c r="E220" s="24"/>
      <c r="F220" s="22">
        <f t="shared" si="40"/>
        <v>1.937127371273712</v>
      </c>
      <c r="G220" s="22">
        <f t="shared" si="41"/>
        <v>-14.008244444444497</v>
      </c>
      <c r="H220" s="18">
        <f t="shared" si="46"/>
        <v>-27.135753736826349</v>
      </c>
      <c r="I220" s="18">
        <f t="shared" si="47"/>
        <v>3.7524624525378019</v>
      </c>
      <c r="J220" s="24"/>
      <c r="K220" s="24"/>
      <c r="L220" s="19">
        <f t="shared" si="42"/>
        <v>25.967136717183031</v>
      </c>
      <c r="O220" s="9">
        <f t="shared" si="44"/>
        <v>-5.2671367171830319</v>
      </c>
      <c r="P220" s="10">
        <f t="shared" si="45"/>
        <v>27.742729197497646</v>
      </c>
      <c r="V220" s="10">
        <f t="shared" si="48"/>
        <v>5.1263358538353267E-2</v>
      </c>
      <c r="W220" s="13">
        <f t="shared" si="49"/>
        <v>76.406964299590086</v>
      </c>
      <c r="Z220" s="15">
        <f t="shared" si="43"/>
        <v>196.23091241531012</v>
      </c>
    </row>
    <row r="221" spans="1:26">
      <c r="A221" s="84">
        <f>'Q.6 Rand()'!R219</f>
        <v>2.7</v>
      </c>
      <c r="B221" s="141">
        <f>'Q.6 Rand()'!S219</f>
        <v>31.3</v>
      </c>
      <c r="D221" s="23"/>
      <c r="E221" s="24"/>
      <c r="F221" s="22">
        <f t="shared" si="40"/>
        <v>-0.76287262872628814</v>
      </c>
      <c r="G221" s="22">
        <f t="shared" si="41"/>
        <v>-3.4082444444444953</v>
      </c>
      <c r="H221" s="18">
        <f t="shared" si="46"/>
        <v>2.6000563986751395</v>
      </c>
      <c r="I221" s="18">
        <f t="shared" si="47"/>
        <v>0.58197464765975704</v>
      </c>
      <c r="J221" s="24"/>
      <c r="K221" s="24"/>
      <c r="L221" s="19">
        <f t="shared" si="42"/>
        <v>38.150636477494444</v>
      </c>
      <c r="O221" s="9">
        <f t="shared" si="44"/>
        <v>-6.8506364774944437</v>
      </c>
      <c r="P221" s="10">
        <f t="shared" si="45"/>
        <v>46.931220146777477</v>
      </c>
      <c r="V221" s="10">
        <f t="shared" si="48"/>
        <v>0.25445104913927691</v>
      </c>
      <c r="W221" s="13">
        <f t="shared" si="49"/>
        <v>11.850062909205757</v>
      </c>
      <c r="Z221" s="15">
        <f t="shared" si="43"/>
        <v>11.616130193086766</v>
      </c>
    </row>
    <row r="222" spans="1:26">
      <c r="A222" s="84">
        <f>'Q.6 Rand()'!R220</f>
        <v>3</v>
      </c>
      <c r="B222" s="141">
        <f>'Q.6 Rand()'!S220</f>
        <v>29.789200000000001</v>
      </c>
      <c r="D222" s="23"/>
      <c r="E222" s="24"/>
      <c r="F222" s="22">
        <f t="shared" si="40"/>
        <v>-0.46287262872628832</v>
      </c>
      <c r="G222" s="22">
        <f t="shared" si="41"/>
        <v>-4.919044444444495</v>
      </c>
      <c r="H222" s="18">
        <f t="shared" si="46"/>
        <v>2.2768910328214678</v>
      </c>
      <c r="I222" s="18">
        <f t="shared" si="47"/>
        <v>0.21425107042398434</v>
      </c>
      <c r="J222" s="24"/>
      <c r="K222" s="24"/>
      <c r="L222" s="19">
        <f t="shared" si="42"/>
        <v>36.796914281904293</v>
      </c>
      <c r="O222" s="9">
        <f t="shared" si="44"/>
        <v>-7.0077142819042919</v>
      </c>
      <c r="P222" s="10">
        <f t="shared" si="45"/>
        <v>49.108059456805385</v>
      </c>
      <c r="V222" s="10">
        <f t="shared" si="48"/>
        <v>0.21887017499982248</v>
      </c>
      <c r="W222" s="13">
        <f t="shared" si="49"/>
        <v>4.3625416899143348</v>
      </c>
      <c r="Z222" s="15">
        <f t="shared" si="43"/>
        <v>24.19699824642025</v>
      </c>
    </row>
    <row r="223" spans="1:26">
      <c r="A223" s="84">
        <f>'Q.6 Rand()'!R221</f>
        <v>2.9</v>
      </c>
      <c r="B223" s="141">
        <f>'Q.6 Rand()'!S221</f>
        <v>35.5</v>
      </c>
      <c r="D223" s="23"/>
      <c r="E223" s="24"/>
      <c r="F223" s="22">
        <f t="shared" si="40"/>
        <v>-0.5628726287262884</v>
      </c>
      <c r="G223" s="22">
        <f t="shared" si="41"/>
        <v>0.79175555555550403</v>
      </c>
      <c r="H223" s="18">
        <f t="shared" si="46"/>
        <v>-0.44565753086416943</v>
      </c>
      <c r="I223" s="18">
        <f t="shared" si="47"/>
        <v>0.31682559616924211</v>
      </c>
      <c r="J223" s="24"/>
      <c r="K223" s="24"/>
      <c r="L223" s="19">
        <f t="shared" si="42"/>
        <v>37.248155013767679</v>
      </c>
      <c r="O223" s="9">
        <f t="shared" si="44"/>
        <v>-1.7481550137676791</v>
      </c>
      <c r="P223" s="10">
        <f t="shared" si="45"/>
        <v>3.0560459521610746</v>
      </c>
      <c r="V223" s="10">
        <f t="shared" si="48"/>
        <v>0.23524345339600566</v>
      </c>
      <c r="W223" s="13">
        <f t="shared" si="49"/>
        <v>6.451145700159616</v>
      </c>
      <c r="Z223" s="15">
        <f t="shared" si="43"/>
        <v>0.62687685975300478</v>
      </c>
    </row>
    <row r="224" spans="1:26">
      <c r="A224" s="84">
        <f>'Q.6 Rand()'!R222</f>
        <v>3.6</v>
      </c>
      <c r="B224" s="141">
        <f>'Q.6 Rand()'!S222</f>
        <v>34.270800000000001</v>
      </c>
      <c r="D224" s="23"/>
      <c r="E224" s="24"/>
      <c r="F224" s="22">
        <f t="shared" si="40"/>
        <v>0.13712737127371177</v>
      </c>
      <c r="G224" s="22">
        <f t="shared" si="41"/>
        <v>-0.43744444444449471</v>
      </c>
      <c r="H224" s="18">
        <f t="shared" si="46"/>
        <v>-5.9985606744962811E-2</v>
      </c>
      <c r="I224" s="18">
        <f t="shared" si="47"/>
        <v>1.8803915952438393E-2</v>
      </c>
      <c r="J224" s="24"/>
      <c r="K224" s="24"/>
      <c r="L224" s="19">
        <f t="shared" si="42"/>
        <v>34.089469890723976</v>
      </c>
      <c r="O224" s="9">
        <f t="shared" si="44"/>
        <v>0.18133010927602555</v>
      </c>
      <c r="P224" s="10">
        <f t="shared" si="45"/>
        <v>3.2880608530055366E-2</v>
      </c>
      <c r="V224" s="10">
        <f t="shared" si="48"/>
        <v>4.9243803204723359E-2</v>
      </c>
      <c r="W224" s="13">
        <f t="shared" si="49"/>
        <v>0.38288194833202899</v>
      </c>
      <c r="Z224" s="15">
        <f t="shared" si="43"/>
        <v>0.19135764197535263</v>
      </c>
    </row>
    <row r="225" spans="1:26">
      <c r="A225" s="84">
        <f>'Q.6 Rand()'!R223</f>
        <v>2</v>
      </c>
      <c r="B225" s="141">
        <f>'Q.6 Rand()'!S223</f>
        <v>42.774299999999997</v>
      </c>
      <c r="D225" s="23"/>
      <c r="E225" s="24"/>
      <c r="F225" s="22">
        <f t="shared" si="40"/>
        <v>-1.4628726287262883</v>
      </c>
      <c r="G225" s="22">
        <f t="shared" si="41"/>
        <v>8.0660555555555007</v>
      </c>
      <c r="H225" s="18">
        <f t="shared" si="46"/>
        <v>-11.799611894007757</v>
      </c>
      <c r="I225" s="18">
        <f t="shared" si="47"/>
        <v>2.139996327876561</v>
      </c>
      <c r="J225" s="24"/>
      <c r="K225" s="24"/>
      <c r="L225" s="19">
        <f t="shared" si="42"/>
        <v>41.309321600538148</v>
      </c>
      <c r="O225" s="9">
        <f t="shared" si="44"/>
        <v>1.4649783994618488</v>
      </c>
      <c r="P225" s="10">
        <f t="shared" si="45"/>
        <v>2.1461617108898001</v>
      </c>
      <c r="V225" s="10">
        <f t="shared" si="48"/>
        <v>5.2910964808532499E-3</v>
      </c>
      <c r="W225" s="13">
        <f t="shared" si="49"/>
        <v>43.574219620701456</v>
      </c>
      <c r="Z225" s="15">
        <f t="shared" si="43"/>
        <v>65.061252225307754</v>
      </c>
    </row>
    <row r="226" spans="1:26">
      <c r="A226" s="84">
        <f>'Q.6 Rand()'!R224</f>
        <v>6.2</v>
      </c>
      <c r="B226" s="141">
        <f>'Q.6 Rand()'!S224</f>
        <v>28.4</v>
      </c>
      <c r="D226" s="23"/>
      <c r="E226" s="24"/>
      <c r="F226" s="22">
        <f t="shared" si="40"/>
        <v>2.7371273712737119</v>
      </c>
      <c r="G226" s="22">
        <f t="shared" si="41"/>
        <v>-6.3082444444444974</v>
      </c>
      <c r="H226" s="18">
        <f t="shared" si="46"/>
        <v>-17.266468533574365</v>
      </c>
      <c r="I226" s="18">
        <f t="shared" si="47"/>
        <v>7.4918662465757402</v>
      </c>
      <c r="J226" s="24"/>
      <c r="K226" s="24"/>
      <c r="L226" s="19">
        <f t="shared" si="42"/>
        <v>22.357210862275949</v>
      </c>
      <c r="O226" s="9">
        <f t="shared" si="44"/>
        <v>6.0427891377240499</v>
      </c>
      <c r="P226" s="10">
        <f t="shared" si="45"/>
        <v>36.515300562995769</v>
      </c>
      <c r="V226" s="10">
        <f t="shared" si="48"/>
        <v>3.4249032700987482E-2</v>
      </c>
      <c r="W226" s="13">
        <f t="shared" si="49"/>
        <v>152.54803054785521</v>
      </c>
      <c r="Z226" s="15">
        <f t="shared" si="43"/>
        <v>39.793947970864863</v>
      </c>
    </row>
    <row r="227" spans="1:26">
      <c r="A227" s="84">
        <f>'Q.6 Rand()'!R225</f>
        <v>1</v>
      </c>
      <c r="B227" s="141">
        <f>'Q.6 Rand()'!S225</f>
        <v>57.8</v>
      </c>
      <c r="D227" s="23"/>
      <c r="E227" s="24"/>
      <c r="F227" s="22">
        <f t="shared" si="40"/>
        <v>-2.4628726287262883</v>
      </c>
      <c r="G227" s="22">
        <f t="shared" si="41"/>
        <v>23.091755555555501</v>
      </c>
      <c r="H227" s="18">
        <f t="shared" si="46"/>
        <v>-56.872052707015847</v>
      </c>
      <c r="I227" s="18">
        <f t="shared" si="47"/>
        <v>6.0657415853291372</v>
      </c>
      <c r="J227" s="24"/>
      <c r="K227" s="24"/>
      <c r="L227" s="19">
        <f t="shared" si="42"/>
        <v>45.82172891917201</v>
      </c>
      <c r="O227" s="9">
        <f t="shared" si="44"/>
        <v>11.978271080827987</v>
      </c>
      <c r="P227" s="10">
        <f t="shared" si="45"/>
        <v>143.47897808580007</v>
      </c>
      <c r="V227" s="10">
        <f t="shared" si="48"/>
        <v>0.21277426541281866</v>
      </c>
      <c r="W227" s="13">
        <f t="shared" si="49"/>
        <v>123.50953717000948</v>
      </c>
      <c r="Z227" s="15">
        <f t="shared" si="43"/>
        <v>533.22917463752833</v>
      </c>
    </row>
    <row r="228" spans="1:26">
      <c r="A228" s="84">
        <f>'Q.6 Rand()'!R226</f>
        <v>2</v>
      </c>
      <c r="B228" s="141">
        <f>'Q.6 Rand()'!S226</f>
        <v>43.1</v>
      </c>
      <c r="D228" s="23"/>
      <c r="E228" s="24"/>
      <c r="F228" s="22">
        <f t="shared" si="40"/>
        <v>-1.4628726287262883</v>
      </c>
      <c r="G228" s="22">
        <f t="shared" si="41"/>
        <v>8.3917555555555055</v>
      </c>
      <c r="H228" s="18">
        <f t="shared" si="46"/>
        <v>-12.276069509183916</v>
      </c>
      <c r="I228" s="18">
        <f t="shared" si="47"/>
        <v>2.139996327876561</v>
      </c>
      <c r="J228" s="24"/>
      <c r="K228" s="24"/>
      <c r="L228" s="19">
        <f t="shared" si="42"/>
        <v>41.309321600538148</v>
      </c>
      <c r="O228" s="9">
        <f t="shared" si="44"/>
        <v>1.7906783994618536</v>
      </c>
      <c r="P228" s="10">
        <f t="shared" si="45"/>
        <v>3.2065291302992658</v>
      </c>
      <c r="V228" s="10">
        <f t="shared" si="48"/>
        <v>0.20723652388975758</v>
      </c>
      <c r="W228" s="13">
        <f t="shared" si="49"/>
        <v>43.574219620701456</v>
      </c>
      <c r="Z228" s="15">
        <f t="shared" si="43"/>
        <v>70.421561304196686</v>
      </c>
    </row>
    <row r="229" spans="1:26">
      <c r="A229" s="84">
        <f>'Q.6 Rand()'!R227</f>
        <v>3.5</v>
      </c>
      <c r="B229" s="141">
        <f>'Q.6 Rand()'!S227</f>
        <v>41.2</v>
      </c>
      <c r="D229" s="23"/>
      <c r="E229" s="24"/>
      <c r="F229" s="22">
        <f t="shared" si="40"/>
        <v>3.7127371273711685E-2</v>
      </c>
      <c r="G229" s="22">
        <f t="shared" si="41"/>
        <v>6.4917555555555069</v>
      </c>
      <c r="H229" s="18">
        <f t="shared" si="46"/>
        <v>0.24102181872928977</v>
      </c>
      <c r="I229" s="18">
        <f t="shared" si="47"/>
        <v>1.3784416976960316E-3</v>
      </c>
      <c r="J229" s="24"/>
      <c r="K229" s="24"/>
      <c r="L229" s="19">
        <f t="shared" si="42"/>
        <v>34.540710622587362</v>
      </c>
      <c r="O229" s="9">
        <f t="shared" si="44"/>
        <v>6.6592893774126409</v>
      </c>
      <c r="P229" s="10">
        <f t="shared" si="45"/>
        <v>44.34613501212084</v>
      </c>
      <c r="V229" s="10">
        <f t="shared" si="48"/>
        <v>4.1547062632525604E-2</v>
      </c>
      <c r="W229" s="13">
        <f t="shared" si="49"/>
        <v>2.806758146605793E-2</v>
      </c>
      <c r="Z229" s="15">
        <f t="shared" si="43"/>
        <v>42.14289019308579</v>
      </c>
    </row>
    <row r="230" spans="1:26">
      <c r="A230" s="84">
        <f>'Q.6 Rand()'!R228</f>
        <v>3.2</v>
      </c>
      <c r="B230" s="141">
        <f>'Q.6 Rand()'!S228</f>
        <v>30.492599999999999</v>
      </c>
      <c r="D230" s="23"/>
      <c r="E230" s="24"/>
      <c r="F230" s="22">
        <f t="shared" si="40"/>
        <v>-0.26287262872628814</v>
      </c>
      <c r="G230" s="22">
        <f t="shared" si="41"/>
        <v>-4.2156444444444965</v>
      </c>
      <c r="H230" s="18">
        <f t="shared" si="46"/>
        <v>1.1081775368864974</v>
      </c>
      <c r="I230" s="18">
        <f t="shared" si="47"/>
        <v>6.9102018933468928E-2</v>
      </c>
      <c r="J230" s="24"/>
      <c r="K230" s="24"/>
      <c r="L230" s="19">
        <f t="shared" si="42"/>
        <v>35.894432818177521</v>
      </c>
      <c r="O230" s="9">
        <f t="shared" si="44"/>
        <v>-5.401832818177521</v>
      </c>
      <c r="P230" s="10">
        <f t="shared" si="45"/>
        <v>29.179797795539699</v>
      </c>
      <c r="V230" s="10">
        <f t="shared" si="48"/>
        <v>0.16163323731584078</v>
      </c>
      <c r="W230" s="13">
        <f t="shared" si="49"/>
        <v>1.4070428579793974</v>
      </c>
      <c r="Z230" s="15">
        <f t="shared" si="43"/>
        <v>17.771658081975747</v>
      </c>
    </row>
    <row r="231" spans="1:26">
      <c r="A231" s="84">
        <f>'Q.6 Rand()'!R229</f>
        <v>3.5</v>
      </c>
      <c r="B231" s="141">
        <f>'Q.6 Rand()'!S229</f>
        <v>32.1</v>
      </c>
      <c r="D231" s="23"/>
      <c r="E231" s="24"/>
      <c r="F231" s="22">
        <f t="shared" si="40"/>
        <v>3.7127371273711685E-2</v>
      </c>
      <c r="G231" s="22">
        <f t="shared" si="41"/>
        <v>-2.6082444444444945</v>
      </c>
      <c r="H231" s="18">
        <f t="shared" si="46"/>
        <v>-9.6837259861486613E-2</v>
      </c>
      <c r="I231" s="18">
        <f t="shared" si="47"/>
        <v>1.3784416976960316E-3</v>
      </c>
      <c r="J231" s="24"/>
      <c r="K231" s="24"/>
      <c r="L231" s="19">
        <f t="shared" si="42"/>
        <v>34.540710622587362</v>
      </c>
      <c r="O231" s="9">
        <f t="shared" si="44"/>
        <v>-2.4407106225873605</v>
      </c>
      <c r="P231" s="10">
        <f t="shared" si="45"/>
        <v>5.9570683432107812</v>
      </c>
      <c r="V231" s="10">
        <f t="shared" si="48"/>
        <v>0.17715225392972461</v>
      </c>
      <c r="W231" s="13">
        <f t="shared" si="49"/>
        <v>2.806758146605793E-2</v>
      </c>
      <c r="Z231" s="15">
        <f t="shared" si="43"/>
        <v>6.8029390819755697</v>
      </c>
    </row>
    <row r="232" spans="1:26">
      <c r="A232" s="84">
        <f>'Q.6 Rand()'!R230</f>
        <v>2</v>
      </c>
      <c r="B232" s="141">
        <f>'Q.6 Rand()'!S230</f>
        <v>42.575000000000003</v>
      </c>
      <c r="D232" s="23"/>
      <c r="E232" s="24"/>
      <c r="F232" s="22">
        <f t="shared" si="40"/>
        <v>-1.4628726287262883</v>
      </c>
      <c r="G232" s="22">
        <f t="shared" si="41"/>
        <v>7.8667555555555069</v>
      </c>
      <c r="H232" s="18">
        <f t="shared" si="46"/>
        <v>-11.508061379102617</v>
      </c>
      <c r="I232" s="18">
        <f t="shared" si="47"/>
        <v>2.139996327876561</v>
      </c>
      <c r="J232" s="24"/>
      <c r="K232" s="24"/>
      <c r="L232" s="19">
        <f t="shared" si="42"/>
        <v>41.309321600538148</v>
      </c>
      <c r="O232" s="9">
        <f t="shared" si="44"/>
        <v>1.265678399461855</v>
      </c>
      <c r="P232" s="10">
        <f t="shared" si="45"/>
        <v>1.6019418108643231</v>
      </c>
      <c r="V232" s="10">
        <f t="shared" si="48"/>
        <v>7.6034598834497202E-2</v>
      </c>
      <c r="W232" s="13">
        <f t="shared" si="49"/>
        <v>43.574219620701456</v>
      </c>
      <c r="Z232" s="15">
        <f t="shared" si="43"/>
        <v>61.885842970863429</v>
      </c>
    </row>
    <row r="233" spans="1:26">
      <c r="A233" s="84">
        <f>'Q.6 Rand()'!R231</f>
        <v>3.5</v>
      </c>
      <c r="B233" s="141">
        <f>'Q.6 Rand()'!S231</f>
        <v>33.1</v>
      </c>
      <c r="D233" s="23"/>
      <c r="E233" s="24"/>
      <c r="F233" s="22">
        <f t="shared" si="40"/>
        <v>3.7127371273711685E-2</v>
      </c>
      <c r="G233" s="22">
        <f t="shared" si="41"/>
        <v>-1.6082444444444945</v>
      </c>
      <c r="H233" s="18">
        <f t="shared" si="46"/>
        <v>-5.9709888587774936E-2</v>
      </c>
      <c r="I233" s="18">
        <f t="shared" si="47"/>
        <v>1.3784416976960316E-3</v>
      </c>
      <c r="J233" s="24"/>
      <c r="K233" s="24"/>
      <c r="L233" s="19">
        <f t="shared" si="42"/>
        <v>34.540710622587362</v>
      </c>
      <c r="O233" s="9">
        <f t="shared" si="44"/>
        <v>-1.4407106225873605</v>
      </c>
      <c r="P233" s="10">
        <f t="shared" si="45"/>
        <v>2.0756470980360597</v>
      </c>
      <c r="V233" s="10">
        <f t="shared" si="48"/>
        <v>2.9728206681429357E-2</v>
      </c>
      <c r="W233" s="13">
        <f t="shared" si="49"/>
        <v>2.806758146605793E-2</v>
      </c>
      <c r="Z233" s="15">
        <f t="shared" si="43"/>
        <v>2.5864501930865811</v>
      </c>
    </row>
    <row r="234" spans="1:26">
      <c r="A234" s="84">
        <f>'Q.6 Rand()'!R232</f>
        <v>2.5</v>
      </c>
      <c r="B234" s="141">
        <f>'Q.6 Rand()'!S232</f>
        <v>36.290100000000002</v>
      </c>
      <c r="D234" s="23"/>
      <c r="E234" s="24"/>
      <c r="F234" s="22">
        <f t="shared" si="40"/>
        <v>-0.96287262872628832</v>
      </c>
      <c r="G234" s="22">
        <f t="shared" si="41"/>
        <v>1.5818555555555065</v>
      </c>
      <c r="H234" s="18">
        <f t="shared" si="46"/>
        <v>-1.5231254170430137</v>
      </c>
      <c r="I234" s="18">
        <f t="shared" si="47"/>
        <v>0.92712369915027271</v>
      </c>
      <c r="J234" s="24"/>
      <c r="K234" s="24"/>
      <c r="L234" s="19">
        <f t="shared" si="42"/>
        <v>39.053117941221217</v>
      </c>
      <c r="O234" s="9">
        <f t="shared" si="44"/>
        <v>-2.7630179412212144</v>
      </c>
      <c r="P234" s="10">
        <f t="shared" si="45"/>
        <v>7.6342681435103179</v>
      </c>
      <c r="V234" s="10">
        <f t="shared" si="48"/>
        <v>4.3526000682397599E-2</v>
      </c>
      <c r="W234" s="13">
        <f t="shared" si="49"/>
        <v>18.877925702992769</v>
      </c>
      <c r="Z234" s="15">
        <f t="shared" si="43"/>
        <v>2.50226699864182</v>
      </c>
    </row>
    <row r="235" spans="1:26">
      <c r="A235" s="84">
        <f>'Q.6 Rand()'!R233</f>
        <v>2</v>
      </c>
      <c r="B235" s="141">
        <f>'Q.6 Rand()'!S233</f>
        <v>46.438699999999997</v>
      </c>
      <c r="D235" s="23"/>
      <c r="E235" s="24"/>
      <c r="F235" s="22">
        <f t="shared" si="40"/>
        <v>-1.4628726287262883</v>
      </c>
      <c r="G235" s="22">
        <f t="shared" si="41"/>
        <v>11.730455555555501</v>
      </c>
      <c r="H235" s="18">
        <f t="shared" si="46"/>
        <v>-17.160162354712369</v>
      </c>
      <c r="I235" s="18">
        <f t="shared" si="47"/>
        <v>2.139996327876561</v>
      </c>
      <c r="J235" s="24"/>
      <c r="K235" s="24"/>
      <c r="L235" s="19">
        <f t="shared" si="42"/>
        <v>41.309321600538148</v>
      </c>
      <c r="O235" s="9">
        <f t="shared" si="44"/>
        <v>5.1293783994618494</v>
      </c>
      <c r="P235" s="10">
        <f t="shared" si="45"/>
        <v>26.310522764865805</v>
      </c>
      <c r="V235" s="10">
        <f t="shared" si="48"/>
        <v>7.6136961353680865E-2</v>
      </c>
      <c r="W235" s="13">
        <f t="shared" si="49"/>
        <v>43.574219620701456</v>
      </c>
      <c r="Z235" s="15">
        <f t="shared" si="43"/>
        <v>137.60358754086292</v>
      </c>
    </row>
    <row r="236" spans="1:26">
      <c r="A236" s="84">
        <f>'Q.6 Rand()'!R234</f>
        <v>5.7</v>
      </c>
      <c r="B236" s="141">
        <f>'Q.6 Rand()'!S234</f>
        <v>24.749099999999999</v>
      </c>
      <c r="D236" s="23"/>
      <c r="E236" s="24"/>
      <c r="F236" s="22">
        <f t="shared" si="40"/>
        <v>2.2371273712737119</v>
      </c>
      <c r="G236" s="22">
        <f t="shared" si="41"/>
        <v>-9.9591444444444974</v>
      </c>
      <c r="H236" s="18">
        <f t="shared" si="46"/>
        <v>-22.279874631135311</v>
      </c>
      <c r="I236" s="18">
        <f t="shared" si="47"/>
        <v>5.0047388753020279</v>
      </c>
      <c r="J236" s="24"/>
      <c r="K236" s="24"/>
      <c r="L236" s="19">
        <f t="shared" si="42"/>
        <v>24.613414521592876</v>
      </c>
      <c r="O236" s="9">
        <f t="shared" si="44"/>
        <v>0.13568547840712242</v>
      </c>
      <c r="P236" s="10">
        <f t="shared" si="45"/>
        <v>1.8410549050569682E-2</v>
      </c>
      <c r="V236" s="10">
        <f t="shared" si="48"/>
        <v>0.11045482322851091</v>
      </c>
      <c r="W236" s="13">
        <f t="shared" si="49"/>
        <v>101.90559117130044</v>
      </c>
      <c r="Z236" s="15">
        <f t="shared" si="43"/>
        <v>99.184558065309702</v>
      </c>
    </row>
    <row r="237" spans="1:26">
      <c r="A237" s="84">
        <f>'Q.6 Rand()'!R235</f>
        <v>1.8</v>
      </c>
      <c r="B237" s="141">
        <f>'Q.6 Rand()'!S235</f>
        <v>69.6404</v>
      </c>
      <c r="D237" s="23"/>
      <c r="E237" s="24"/>
      <c r="F237" s="22">
        <f t="shared" si="40"/>
        <v>-1.6628726287262883</v>
      </c>
      <c r="G237" s="22">
        <f t="shared" si="41"/>
        <v>34.932155555555504</v>
      </c>
      <c r="H237" s="18">
        <f t="shared" si="46"/>
        <v>-58.087725335742192</v>
      </c>
      <c r="I237" s="18">
        <f t="shared" si="47"/>
        <v>2.7651453793670759</v>
      </c>
      <c r="J237" s="24"/>
      <c r="K237" s="24"/>
      <c r="L237" s="19">
        <f t="shared" si="42"/>
        <v>42.21180306426492</v>
      </c>
      <c r="O237" s="9">
        <f t="shared" si="44"/>
        <v>27.428596935735079</v>
      </c>
      <c r="P237" s="10">
        <f t="shared" si="45"/>
        <v>752.32792986301581</v>
      </c>
      <c r="V237" s="10">
        <f t="shared" si="48"/>
        <v>5.4824409132906825E-3</v>
      </c>
      <c r="W237" s="13">
        <f t="shared" si="49"/>
        <v>56.303391961081388</v>
      </c>
      <c r="Z237" s="15">
        <f t="shared" si="43"/>
        <v>1220.2554917575274</v>
      </c>
    </row>
    <row r="238" spans="1:26">
      <c r="A238" s="84">
        <f>'Q.6 Rand()'!R236</f>
        <v>1.8</v>
      </c>
      <c r="B238" s="141">
        <f>'Q.6 Rand()'!S236</f>
        <v>44.7393</v>
      </c>
      <c r="D238" s="23"/>
      <c r="E238" s="24"/>
      <c r="F238" s="22">
        <f t="shared" si="40"/>
        <v>-1.6628726287262883</v>
      </c>
      <c r="G238" s="22">
        <f t="shared" si="41"/>
        <v>10.031055555555504</v>
      </c>
      <c r="H238" s="18">
        <f t="shared" si="46"/>
        <v>-16.680367720566018</v>
      </c>
      <c r="I238" s="18">
        <f t="shared" si="47"/>
        <v>2.7651453793670759</v>
      </c>
      <c r="J238" s="24"/>
      <c r="K238" s="24"/>
      <c r="L238" s="19">
        <f t="shared" si="42"/>
        <v>42.21180306426492</v>
      </c>
      <c r="O238" s="9">
        <f t="shared" si="44"/>
        <v>2.5274969357350798</v>
      </c>
      <c r="P238" s="10">
        <f t="shared" si="45"/>
        <v>6.388240760150218</v>
      </c>
      <c r="V238" s="10">
        <f t="shared" si="48"/>
        <v>0.39386041630626878</v>
      </c>
      <c r="W238" s="13">
        <f t="shared" si="49"/>
        <v>56.303391961081388</v>
      </c>
      <c r="Z238" s="15">
        <f t="shared" si="43"/>
        <v>100.62207555864094</v>
      </c>
    </row>
    <row r="239" spans="1:26">
      <c r="A239" s="84">
        <f>'Q.6 Rand()'!R237</f>
        <v>2</v>
      </c>
      <c r="B239" s="141">
        <f>'Q.6 Rand()'!S237</f>
        <v>47.296399999999998</v>
      </c>
      <c r="D239" s="23"/>
      <c r="E239" s="24"/>
      <c r="F239" s="22">
        <f t="shared" si="40"/>
        <v>-1.4628726287262883</v>
      </c>
      <c r="G239" s="22">
        <f t="shared" si="41"/>
        <v>12.588155555555502</v>
      </c>
      <c r="H239" s="18">
        <f t="shared" si="46"/>
        <v>-18.414868208370908</v>
      </c>
      <c r="I239" s="18">
        <f t="shared" si="47"/>
        <v>2.139996327876561</v>
      </c>
      <c r="J239" s="24"/>
      <c r="K239" s="24"/>
      <c r="L239" s="19">
        <f t="shared" si="42"/>
        <v>41.309321600538148</v>
      </c>
      <c r="O239" s="9">
        <f t="shared" si="44"/>
        <v>5.9870783994618506</v>
      </c>
      <c r="P239" s="10">
        <f t="shared" si="45"/>
        <v>35.845107761302678</v>
      </c>
      <c r="V239" s="10">
        <f t="shared" si="48"/>
        <v>5.6493886487608877E-2</v>
      </c>
      <c r="W239" s="13">
        <f t="shared" si="49"/>
        <v>43.574219620701456</v>
      </c>
      <c r="Z239" s="15">
        <f t="shared" si="43"/>
        <v>158.46166029086285</v>
      </c>
    </row>
    <row r="240" spans="1:26">
      <c r="A240" s="84">
        <f>'Q.6 Rand()'!R238</f>
        <v>3.5</v>
      </c>
      <c r="B240" s="141">
        <f>'Q.6 Rand()'!S238</f>
        <v>41.2</v>
      </c>
      <c r="D240" s="23"/>
      <c r="E240" s="24"/>
      <c r="F240" s="22">
        <f t="shared" si="40"/>
        <v>3.7127371273711685E-2</v>
      </c>
      <c r="G240" s="22">
        <f t="shared" si="41"/>
        <v>6.4917555555555069</v>
      </c>
      <c r="H240" s="18">
        <f t="shared" si="46"/>
        <v>0.24102181872928977</v>
      </c>
      <c r="I240" s="18">
        <f t="shared" si="47"/>
        <v>1.3784416976960316E-3</v>
      </c>
      <c r="J240" s="24"/>
      <c r="K240" s="24"/>
      <c r="L240" s="19">
        <f t="shared" si="42"/>
        <v>34.540710622587362</v>
      </c>
      <c r="O240" s="9">
        <f t="shared" si="44"/>
        <v>6.6592893774126409</v>
      </c>
      <c r="P240" s="10">
        <f t="shared" si="45"/>
        <v>44.34613501212084</v>
      </c>
      <c r="V240" s="10">
        <f t="shared" si="48"/>
        <v>0.12658634482670669</v>
      </c>
      <c r="W240" s="13">
        <f t="shared" si="49"/>
        <v>2.806758146605793E-2</v>
      </c>
      <c r="Z240" s="15">
        <f t="shared" si="43"/>
        <v>42.14289019308579</v>
      </c>
    </row>
    <row r="241" spans="1:26">
      <c r="A241" s="84">
        <f>'Q.6 Rand()'!R239</f>
        <v>4</v>
      </c>
      <c r="B241" s="141">
        <f>'Q.6 Rand()'!S239</f>
        <v>26.6538</v>
      </c>
      <c r="D241" s="23"/>
      <c r="E241" s="24"/>
      <c r="F241" s="22">
        <f t="shared" si="40"/>
        <v>0.53712737127371168</v>
      </c>
      <c r="G241" s="22">
        <f t="shared" si="41"/>
        <v>-8.0544444444444956</v>
      </c>
      <c r="H241" s="18">
        <f t="shared" si="46"/>
        <v>-4.326262571514623</v>
      </c>
      <c r="I241" s="18">
        <f t="shared" si="47"/>
        <v>0.2885058129714077</v>
      </c>
      <c r="J241" s="24"/>
      <c r="K241" s="24"/>
      <c r="L241" s="19">
        <f t="shared" si="42"/>
        <v>32.284506963270431</v>
      </c>
      <c r="O241" s="9">
        <f t="shared" si="44"/>
        <v>-5.6307069632704305</v>
      </c>
      <c r="P241" s="10">
        <f t="shared" si="45"/>
        <v>31.704860906222113</v>
      </c>
      <c r="V241" s="10">
        <f t="shared" si="48"/>
        <v>0.16163323731584078</v>
      </c>
      <c r="W241" s="13">
        <f t="shared" si="49"/>
        <v>5.8745033776480016</v>
      </c>
      <c r="Z241" s="15">
        <f t="shared" si="43"/>
        <v>64.874075308642801</v>
      </c>
    </row>
    <row r="242" spans="1:26">
      <c r="A242" s="84">
        <f>'Q.6 Rand()'!R240</f>
        <v>2</v>
      </c>
      <c r="B242" s="141">
        <f>'Q.6 Rand()'!S240</f>
        <v>36.200000000000003</v>
      </c>
      <c r="D242" s="23"/>
      <c r="E242" s="24"/>
      <c r="F242" s="22">
        <f t="shared" si="40"/>
        <v>-1.4628726287262883</v>
      </c>
      <c r="G242" s="22">
        <f t="shared" si="41"/>
        <v>1.4917555555555069</v>
      </c>
      <c r="H242" s="18">
        <f t="shared" si="46"/>
        <v>-2.1822483709725291</v>
      </c>
      <c r="I242" s="18">
        <f t="shared" si="47"/>
        <v>2.139996327876561</v>
      </c>
      <c r="J242" s="24"/>
      <c r="K242" s="24"/>
      <c r="L242" s="19">
        <f t="shared" si="42"/>
        <v>41.309321600538148</v>
      </c>
      <c r="O242" s="9">
        <f t="shared" si="44"/>
        <v>-5.109321600538145</v>
      </c>
      <c r="P242" s="10">
        <f t="shared" si="45"/>
        <v>26.105167217725672</v>
      </c>
      <c r="V242" s="10">
        <f t="shared" si="48"/>
        <v>0.2112534409078792</v>
      </c>
      <c r="W242" s="13">
        <f t="shared" si="49"/>
        <v>43.574219620701456</v>
      </c>
      <c r="Z242" s="15">
        <f t="shared" si="43"/>
        <v>2.225334637530719</v>
      </c>
    </row>
    <row r="243" spans="1:26">
      <c r="A243" s="84">
        <f>'Q.6 Rand()'!R241</f>
        <v>3.2</v>
      </c>
      <c r="B243" s="141">
        <f>'Q.6 Rand()'!S241</f>
        <v>36.4</v>
      </c>
      <c r="D243" s="23"/>
      <c r="E243" s="24"/>
      <c r="F243" s="22">
        <f t="shared" si="40"/>
        <v>-0.26287262872628814</v>
      </c>
      <c r="G243" s="22">
        <f t="shared" si="41"/>
        <v>1.6917555555555026</v>
      </c>
      <c r="H243" s="18">
        <f t="shared" si="46"/>
        <v>-0.44471623005117694</v>
      </c>
      <c r="I243" s="18">
        <f t="shared" si="47"/>
        <v>6.9102018933468928E-2</v>
      </c>
      <c r="J243" s="24"/>
      <c r="K243" s="24"/>
      <c r="L243" s="19">
        <f t="shared" si="42"/>
        <v>35.894432818177521</v>
      </c>
      <c r="O243" s="9">
        <f t="shared" si="44"/>
        <v>0.50556718182247806</v>
      </c>
      <c r="P243" s="10">
        <f t="shared" si="45"/>
        <v>0.25559817533592261</v>
      </c>
      <c r="V243" s="10">
        <f t="shared" si="48"/>
        <v>0.14114148067784929</v>
      </c>
      <c r="W243" s="13">
        <f t="shared" si="49"/>
        <v>1.4070428579793974</v>
      </c>
      <c r="Z243" s="15">
        <f t="shared" si="43"/>
        <v>2.8620368597529073</v>
      </c>
    </row>
    <row r="244" spans="1:26">
      <c r="A244" s="84">
        <f>'Q.6 Rand()'!R242</f>
        <v>3.8</v>
      </c>
      <c r="B244" s="141">
        <f>'Q.6 Rand()'!S242</f>
        <v>34.514800000000001</v>
      </c>
      <c r="D244" s="23"/>
      <c r="E244" s="24"/>
      <c r="F244" s="22">
        <f t="shared" si="40"/>
        <v>0.33712737127371151</v>
      </c>
      <c r="G244" s="22">
        <f t="shared" si="41"/>
        <v>-0.19344444444449493</v>
      </c>
      <c r="H244" s="18">
        <f t="shared" si="46"/>
        <v>-6.5215417043076096E-2</v>
      </c>
      <c r="I244" s="18">
        <f t="shared" si="47"/>
        <v>0.11365486446192292</v>
      </c>
      <c r="J244" s="24"/>
      <c r="K244" s="24"/>
      <c r="L244" s="19">
        <f t="shared" si="42"/>
        <v>33.186988426997203</v>
      </c>
      <c r="O244" s="9">
        <f t="shared" si="44"/>
        <v>1.3278115730027977</v>
      </c>
      <c r="P244" s="10">
        <f t="shared" si="45"/>
        <v>1.763083573400164</v>
      </c>
      <c r="V244" s="10">
        <f t="shared" si="48"/>
        <v>1.388920829182632E-2</v>
      </c>
      <c r="W244" s="13">
        <f t="shared" si="49"/>
        <v>2.3142198706195978</v>
      </c>
      <c r="Z244" s="15">
        <f t="shared" si="43"/>
        <v>3.7420753086439287E-2</v>
      </c>
    </row>
    <row r="245" spans="1:26">
      <c r="A245" s="84">
        <f>'Q.6 Rand()'!R243</f>
        <v>3.8</v>
      </c>
      <c r="B245" s="141">
        <f>'Q.6 Rand()'!S243</f>
        <v>36.934699999999999</v>
      </c>
      <c r="D245" s="23"/>
      <c r="E245" s="24"/>
      <c r="F245" s="22">
        <f t="shared" si="40"/>
        <v>0.33712737127371151</v>
      </c>
      <c r="G245" s="22">
        <f t="shared" si="41"/>
        <v>2.2264555555555035</v>
      </c>
      <c r="H245" s="18">
        <f t="shared" si="46"/>
        <v>0.75059910870217783</v>
      </c>
      <c r="I245" s="18">
        <f t="shared" si="47"/>
        <v>0.11365486446192292</v>
      </c>
      <c r="J245" s="24"/>
      <c r="K245" s="24"/>
      <c r="L245" s="19">
        <f t="shared" si="42"/>
        <v>33.186988426997203</v>
      </c>
      <c r="O245" s="9">
        <f t="shared" si="44"/>
        <v>3.7477115730027961</v>
      </c>
      <c r="P245" s="10">
        <f t="shared" si="45"/>
        <v>14.045342034419093</v>
      </c>
      <c r="V245" s="10">
        <f t="shared" si="48"/>
        <v>3.8470788560350855E-2</v>
      </c>
      <c r="W245" s="13">
        <f t="shared" si="49"/>
        <v>2.3142198706195978</v>
      </c>
      <c r="Z245" s="15">
        <f t="shared" si="43"/>
        <v>4.9571043408639657</v>
      </c>
    </row>
    <row r="246" spans="1:26">
      <c r="A246" s="84">
        <f>'Q.6 Rand()'!R244</f>
        <v>2.4</v>
      </c>
      <c r="B246" s="141">
        <f>'Q.6 Rand()'!S244</f>
        <v>35.587699999999998</v>
      </c>
      <c r="D246" s="23"/>
      <c r="E246" s="24"/>
      <c r="F246" s="22">
        <f t="shared" si="40"/>
        <v>-1.0628726287262884</v>
      </c>
      <c r="G246" s="22">
        <f t="shared" si="41"/>
        <v>0.87945555555550214</v>
      </c>
      <c r="H246" s="18">
        <f t="shared" si="46"/>
        <v>-0.93474923818121491</v>
      </c>
      <c r="I246" s="18">
        <f t="shared" si="47"/>
        <v>1.1296982248955305</v>
      </c>
      <c r="J246" s="24"/>
      <c r="K246" s="24"/>
      <c r="L246" s="19">
        <f t="shared" si="42"/>
        <v>39.50435867308461</v>
      </c>
      <c r="O246" s="9">
        <f t="shared" si="44"/>
        <v>-3.916658673084612</v>
      </c>
      <c r="P246" s="10">
        <f t="shared" si="45"/>
        <v>15.340215161448914</v>
      </c>
      <c r="V246" s="10">
        <f t="shared" si="48"/>
        <v>0.10146858030531712</v>
      </c>
      <c r="W246" s="13">
        <f t="shared" si="49"/>
        <v>23.002711694164159</v>
      </c>
      <c r="Z246" s="15">
        <f t="shared" si="43"/>
        <v>0.77344207419743694</v>
      </c>
    </row>
    <row r="247" spans="1:26">
      <c r="A247" s="84">
        <f>'Q.6 Rand()'!R245</f>
        <v>3.4</v>
      </c>
      <c r="B247" s="141">
        <f>'Q.6 Rand()'!S245</f>
        <v>36.729900000000001</v>
      </c>
      <c r="D247" s="23"/>
      <c r="E247" s="24"/>
      <c r="F247" s="22">
        <f t="shared" si="40"/>
        <v>-6.2872628726288404E-2</v>
      </c>
      <c r="G247" s="22">
        <f t="shared" si="41"/>
        <v>2.0216555555555047</v>
      </c>
      <c r="H247" s="18">
        <f t="shared" si="46"/>
        <v>-0.12710679915687956</v>
      </c>
      <c r="I247" s="18">
        <f t="shared" si="47"/>
        <v>3.9529674429537058E-3</v>
      </c>
      <c r="J247" s="24"/>
      <c r="K247" s="24"/>
      <c r="L247" s="19">
        <f t="shared" si="42"/>
        <v>34.991951354450748</v>
      </c>
      <c r="O247" s="9">
        <f t="shared" si="44"/>
        <v>1.7379486455492525</v>
      </c>
      <c r="P247" s="10">
        <f t="shared" si="45"/>
        <v>3.0204654945664813</v>
      </c>
      <c r="V247" s="10">
        <f t="shared" si="48"/>
        <v>0.11005652720138172</v>
      </c>
      <c r="W247" s="13">
        <f t="shared" si="49"/>
        <v>8.0489610785295651E-2</v>
      </c>
      <c r="Z247" s="15">
        <f t="shared" si="43"/>
        <v>4.0870911853084362</v>
      </c>
    </row>
    <row r="248" spans="1:26">
      <c r="A248" s="84">
        <f>'Q.6 Rand()'!R246</f>
        <v>3</v>
      </c>
      <c r="B248" s="141">
        <f>'Q.6 Rand()'!S246</f>
        <v>34.7288</v>
      </c>
      <c r="D248" s="23"/>
      <c r="E248" s="24"/>
      <c r="F248" s="22">
        <f t="shared" si="40"/>
        <v>-0.46287262872628832</v>
      </c>
      <c r="G248" s="22">
        <f t="shared" si="41"/>
        <v>2.0555555555503702E-2</v>
      </c>
      <c r="H248" s="18">
        <f t="shared" si="46"/>
        <v>-9.5146040349052587E-3</v>
      </c>
      <c r="I248" s="18">
        <f t="shared" si="47"/>
        <v>0.21425107042398434</v>
      </c>
      <c r="J248" s="24"/>
      <c r="K248" s="24"/>
      <c r="L248" s="19">
        <f t="shared" si="42"/>
        <v>36.796914281904293</v>
      </c>
      <c r="O248" s="9">
        <f t="shared" si="44"/>
        <v>-2.0681142819042933</v>
      </c>
      <c r="P248" s="10">
        <f t="shared" si="45"/>
        <v>4.2770966830165102</v>
      </c>
      <c r="V248" s="10">
        <f t="shared" si="48"/>
        <v>4.7316999108335513E-2</v>
      </c>
      <c r="W248" s="13">
        <f t="shared" si="49"/>
        <v>4.3625416899143348</v>
      </c>
      <c r="Z248" s="15">
        <f t="shared" si="43"/>
        <v>4.2253086419539912E-4</v>
      </c>
    </row>
    <row r="249" spans="1:26">
      <c r="A249" s="84">
        <f>'Q.6 Rand()'!R247</f>
        <v>3.8</v>
      </c>
      <c r="B249" s="141">
        <f>'Q.6 Rand()'!S247</f>
        <v>31.1</v>
      </c>
      <c r="D249" s="23"/>
      <c r="E249" s="24"/>
      <c r="F249" s="22">
        <f t="shared" si="40"/>
        <v>0.33712737127371151</v>
      </c>
      <c r="G249" s="22">
        <f t="shared" si="41"/>
        <v>-3.6082444444444945</v>
      </c>
      <c r="H249" s="18">
        <f t="shared" si="46"/>
        <v>-1.2164379644685461</v>
      </c>
      <c r="I249" s="18">
        <f t="shared" si="47"/>
        <v>0.11365486446192292</v>
      </c>
      <c r="J249" s="24"/>
      <c r="K249" s="24"/>
      <c r="L249" s="19">
        <f t="shared" si="42"/>
        <v>33.186988426997203</v>
      </c>
      <c r="O249" s="9">
        <f t="shared" si="44"/>
        <v>-2.0869884269972019</v>
      </c>
      <c r="P249" s="10">
        <f t="shared" si="45"/>
        <v>4.3555206944202549</v>
      </c>
      <c r="V249" s="10">
        <f t="shared" si="48"/>
        <v>5.9550410089156354E-2</v>
      </c>
      <c r="W249" s="13">
        <f t="shared" si="49"/>
        <v>2.3142198706195978</v>
      </c>
      <c r="Z249" s="15">
        <f t="shared" si="43"/>
        <v>13.019427970864559</v>
      </c>
    </row>
    <row r="250" spans="1:26">
      <c r="A250" s="84">
        <f>'Q.6 Rand()'!R248</f>
        <v>3</v>
      </c>
      <c r="B250" s="141">
        <f>'Q.6 Rand()'!S248</f>
        <v>39.710299999999997</v>
      </c>
      <c r="D250" s="23"/>
      <c r="E250" s="24"/>
      <c r="F250" s="22">
        <f t="shared" si="40"/>
        <v>-0.46287262872628832</v>
      </c>
      <c r="G250" s="22">
        <f t="shared" si="41"/>
        <v>5.0020555555555006</v>
      </c>
      <c r="H250" s="18">
        <f t="shared" si="46"/>
        <v>-2.3153146040349091</v>
      </c>
      <c r="I250" s="18">
        <f t="shared" si="47"/>
        <v>0.21425107042398434</v>
      </c>
      <c r="J250" s="24"/>
      <c r="K250" s="24"/>
      <c r="L250" s="19">
        <f t="shared" si="42"/>
        <v>36.796914281904293</v>
      </c>
      <c r="O250" s="9">
        <f t="shared" si="44"/>
        <v>2.9133857180957037</v>
      </c>
      <c r="P250" s="10">
        <f t="shared" si="45"/>
        <v>8.4878163424040185</v>
      </c>
      <c r="V250" s="10">
        <f t="shared" si="48"/>
        <v>6.7105737202482377E-2</v>
      </c>
      <c r="W250" s="13">
        <f t="shared" si="49"/>
        <v>4.3625416899143348</v>
      </c>
      <c r="Z250" s="15">
        <f t="shared" si="43"/>
        <v>25.02055978086365</v>
      </c>
    </row>
    <row r="251" spans="1:26">
      <c r="A251" s="84">
        <f>'Q.6 Rand()'!R249</f>
        <v>5.7</v>
      </c>
      <c r="B251" s="141">
        <f>'Q.6 Rand()'!S249</f>
        <v>27.1</v>
      </c>
      <c r="D251" s="23"/>
      <c r="E251" s="24"/>
      <c r="F251" s="22">
        <f t="shared" si="40"/>
        <v>2.2371273712737119</v>
      </c>
      <c r="G251" s="22">
        <f t="shared" si="41"/>
        <v>-7.6082444444444945</v>
      </c>
      <c r="H251" s="18">
        <f t="shared" si="46"/>
        <v>-17.020611894007935</v>
      </c>
      <c r="I251" s="18">
        <f t="shared" si="47"/>
        <v>5.0047388753020279</v>
      </c>
      <c r="J251" s="24"/>
      <c r="K251" s="24"/>
      <c r="L251" s="19">
        <f t="shared" si="42"/>
        <v>24.613414521592876</v>
      </c>
      <c r="O251" s="9">
        <f t="shared" si="44"/>
        <v>2.4865854784071253</v>
      </c>
      <c r="P251" s="10">
        <f t="shared" si="45"/>
        <v>6.1831073414251918</v>
      </c>
      <c r="V251" s="10">
        <f t="shared" si="48"/>
        <v>7.3365996179724252E-2</v>
      </c>
      <c r="W251" s="13">
        <f t="shared" si="49"/>
        <v>101.90559117130044</v>
      </c>
      <c r="Z251" s="15">
        <f t="shared" si="43"/>
        <v>57.885383526420519</v>
      </c>
    </row>
    <row r="252" spans="1:26">
      <c r="A252" s="84">
        <f>'Q.6 Rand()'!R250</f>
        <v>2</v>
      </c>
      <c r="B252" s="141">
        <f>'Q.6 Rand()'!S250</f>
        <v>40.6</v>
      </c>
      <c r="D252" s="23"/>
      <c r="E252" s="24"/>
      <c r="F252" s="22">
        <f t="shared" si="40"/>
        <v>-1.4628726287262883</v>
      </c>
      <c r="G252" s="22">
        <f t="shared" si="41"/>
        <v>5.8917555555555055</v>
      </c>
      <c r="H252" s="18">
        <f t="shared" si="46"/>
        <v>-8.6188879373681964</v>
      </c>
      <c r="I252" s="18">
        <f t="shared" si="47"/>
        <v>2.139996327876561</v>
      </c>
      <c r="J252" s="24"/>
      <c r="K252" s="24"/>
      <c r="L252" s="19">
        <f t="shared" si="42"/>
        <v>41.309321600538148</v>
      </c>
      <c r="O252" s="9">
        <f t="shared" si="44"/>
        <v>-0.70932160053814641</v>
      </c>
      <c r="P252" s="10">
        <f t="shared" si="45"/>
        <v>0.50313713298999774</v>
      </c>
      <c r="V252" s="10">
        <f t="shared" si="48"/>
        <v>9.1755921712440042E-2</v>
      </c>
      <c r="W252" s="13">
        <f t="shared" si="49"/>
        <v>43.574219620701456</v>
      </c>
      <c r="Z252" s="15">
        <f t="shared" si="43"/>
        <v>34.712783526419166</v>
      </c>
    </row>
    <row r="253" spans="1:26">
      <c r="A253" s="84">
        <f>'Q.6 Rand()'!R251</f>
        <v>2.4</v>
      </c>
      <c r="B253" s="141">
        <f>'Q.6 Rand()'!S251</f>
        <v>44.6</v>
      </c>
      <c r="D253" s="23"/>
      <c r="E253" s="24"/>
      <c r="F253" s="22">
        <f t="shared" si="40"/>
        <v>-1.0628726287262884</v>
      </c>
      <c r="G253" s="22">
        <f t="shared" si="41"/>
        <v>9.8917555555555055</v>
      </c>
      <c r="H253" s="18">
        <f t="shared" si="46"/>
        <v>-10.513676230051148</v>
      </c>
      <c r="I253" s="18">
        <f t="shared" si="47"/>
        <v>1.1296982248955305</v>
      </c>
      <c r="J253" s="24"/>
      <c r="K253" s="24"/>
      <c r="L253" s="19">
        <f t="shared" si="42"/>
        <v>39.50435867308461</v>
      </c>
      <c r="O253" s="9">
        <f t="shared" si="44"/>
        <v>5.0956413269153913</v>
      </c>
      <c r="P253" s="10">
        <f t="shared" si="45"/>
        <v>25.965560532568048</v>
      </c>
      <c r="V253" s="10">
        <f t="shared" si="48"/>
        <v>1.7470975382712965E-2</v>
      </c>
      <c r="W253" s="13">
        <f t="shared" si="49"/>
        <v>23.002711694164159</v>
      </c>
      <c r="Z253" s="15">
        <f t="shared" si="43"/>
        <v>97.846827970863202</v>
      </c>
    </row>
    <row r="254" spans="1:26">
      <c r="A254" s="84">
        <f>'Q.6 Rand()'!R252</f>
        <v>2</v>
      </c>
      <c r="B254" s="141">
        <f>'Q.6 Rand()'!S252</f>
        <v>42.774299999999997</v>
      </c>
      <c r="D254" s="23"/>
      <c r="E254" s="24"/>
      <c r="F254" s="22">
        <f t="shared" si="40"/>
        <v>-1.4628726287262883</v>
      </c>
      <c r="G254" s="22">
        <f t="shared" si="41"/>
        <v>8.0660555555555007</v>
      </c>
      <c r="H254" s="18">
        <f t="shared" si="46"/>
        <v>-11.799611894007757</v>
      </c>
      <c r="I254" s="18">
        <f t="shared" si="47"/>
        <v>2.139996327876561</v>
      </c>
      <c r="J254" s="24"/>
      <c r="K254" s="24"/>
      <c r="L254" s="19">
        <f t="shared" si="42"/>
        <v>41.309321600538148</v>
      </c>
      <c r="O254" s="9">
        <f t="shared" si="44"/>
        <v>1.4649783994618488</v>
      </c>
      <c r="P254" s="10">
        <f t="shared" si="45"/>
        <v>2.1461617108898001</v>
      </c>
      <c r="V254" s="10">
        <f t="shared" si="48"/>
        <v>0.1142520476886859</v>
      </c>
      <c r="W254" s="13">
        <f t="shared" si="49"/>
        <v>43.574219620701456</v>
      </c>
      <c r="Z254" s="15">
        <f t="shared" si="43"/>
        <v>65.061252225307754</v>
      </c>
    </row>
    <row r="255" spans="1:26">
      <c r="A255" s="84">
        <f>'Q.6 Rand()'!R253</f>
        <v>6.7</v>
      </c>
      <c r="B255" s="141">
        <f>'Q.6 Rand()'!S253</f>
        <v>24.2</v>
      </c>
      <c r="D255" s="23"/>
      <c r="E255" s="24"/>
      <c r="F255" s="22">
        <f t="shared" si="40"/>
        <v>3.2371273712737119</v>
      </c>
      <c r="G255" s="22">
        <f t="shared" si="41"/>
        <v>-10.508244444444497</v>
      </c>
      <c r="H255" s="18">
        <f t="shared" si="46"/>
        <v>-34.016525715146201</v>
      </c>
      <c r="I255" s="18">
        <f t="shared" si="47"/>
        <v>10.478993617849452</v>
      </c>
      <c r="J255" s="24"/>
      <c r="K255" s="24"/>
      <c r="L255" s="19">
        <f t="shared" si="42"/>
        <v>20.101007202959018</v>
      </c>
      <c r="O255" s="9">
        <f t="shared" si="44"/>
        <v>4.0989927970409816</v>
      </c>
      <c r="P255" s="10">
        <f t="shared" si="45"/>
        <v>16.801741950193851</v>
      </c>
      <c r="V255" s="10">
        <f t="shared" si="48"/>
        <v>3.4249032700987482E-2</v>
      </c>
      <c r="W255" s="13">
        <f t="shared" si="49"/>
        <v>213.37137982904028</v>
      </c>
      <c r="Z255" s="15">
        <f t="shared" si="43"/>
        <v>110.42320130419863</v>
      </c>
    </row>
    <row r="256" spans="1:26">
      <c r="A256" s="84">
        <f>'Q.6 Rand()'!R254</f>
        <v>4.5999999999999996</v>
      </c>
      <c r="B256" s="141">
        <f>'Q.6 Rand()'!S254</f>
        <v>26.662199999999999</v>
      </c>
      <c r="D256" s="23"/>
      <c r="E256" s="24"/>
      <c r="F256" s="22">
        <f t="shared" si="40"/>
        <v>1.1371273712737113</v>
      </c>
      <c r="G256" s="22">
        <f t="shared" si="41"/>
        <v>-8.0460444444444974</v>
      </c>
      <c r="H256" s="18">
        <f t="shared" si="46"/>
        <v>-9.1493773682626198</v>
      </c>
      <c r="I256" s="18">
        <f t="shared" si="47"/>
        <v>1.2930586584998609</v>
      </c>
      <c r="J256" s="24"/>
      <c r="K256" s="24"/>
      <c r="L256" s="19">
        <f t="shared" si="42"/>
        <v>29.577062572090121</v>
      </c>
      <c r="O256" s="9">
        <f t="shared" si="44"/>
        <v>-2.9148625720901222</v>
      </c>
      <c r="P256" s="10">
        <f t="shared" si="45"/>
        <v>8.4964238141718429</v>
      </c>
      <c r="V256" s="10">
        <f t="shared" si="48"/>
        <v>0.16937986764632157</v>
      </c>
      <c r="W256" s="13">
        <f t="shared" si="49"/>
        <v>26.329027407178152</v>
      </c>
      <c r="Z256" s="15">
        <f t="shared" si="43"/>
        <v>64.738831201976154</v>
      </c>
    </row>
    <row r="257" spans="1:26">
      <c r="A257" s="84">
        <f>'Q.6 Rand()'!R255</f>
        <v>6</v>
      </c>
      <c r="B257" s="141">
        <f>'Q.6 Rand()'!S255</f>
        <v>30.299900000000001</v>
      </c>
      <c r="D257" s="23"/>
      <c r="E257" s="24"/>
      <c r="F257" s="22">
        <f t="shared" si="40"/>
        <v>2.5371273712737117</v>
      </c>
      <c r="G257" s="22">
        <f t="shared" si="41"/>
        <v>-4.408344444444495</v>
      </c>
      <c r="H257" s="18">
        <f t="shared" si="46"/>
        <v>-11.184531352002532</v>
      </c>
      <c r="I257" s="18">
        <f t="shared" si="47"/>
        <v>6.4370152980662541</v>
      </c>
      <c r="J257" s="24"/>
      <c r="K257" s="24"/>
      <c r="L257" s="19">
        <f t="shared" si="42"/>
        <v>23.259692326002721</v>
      </c>
      <c r="O257" s="9">
        <f t="shared" si="44"/>
        <v>7.0402076739972799</v>
      </c>
      <c r="P257" s="10">
        <f t="shared" si="45"/>
        <v>49.564524093010192</v>
      </c>
      <c r="V257" s="10">
        <f t="shared" si="48"/>
        <v>0.10932565850117854</v>
      </c>
      <c r="W257" s="13">
        <f t="shared" si="49"/>
        <v>131.06934560867765</v>
      </c>
      <c r="Z257" s="15">
        <f t="shared" si="43"/>
        <v>19.433500740864645</v>
      </c>
    </row>
    <row r="258" spans="1:26">
      <c r="A258" s="84">
        <f>'Q.6 Rand()'!R256</f>
        <v>2.5</v>
      </c>
      <c r="B258" s="141">
        <f>'Q.6 Rand()'!S256</f>
        <v>37.070999999999998</v>
      </c>
      <c r="D258" s="23"/>
      <c r="E258" s="24"/>
      <c r="F258" s="22">
        <f t="shared" si="40"/>
        <v>-0.96287262872628832</v>
      </c>
      <c r="G258" s="22">
        <f t="shared" si="41"/>
        <v>2.362755555555502</v>
      </c>
      <c r="H258" s="18">
        <f t="shared" si="46"/>
        <v>-2.2750326528153679</v>
      </c>
      <c r="I258" s="18">
        <f t="shared" si="47"/>
        <v>0.92712369915027271</v>
      </c>
      <c r="J258" s="24"/>
      <c r="K258" s="24"/>
      <c r="L258" s="19">
        <f t="shared" si="42"/>
        <v>39.053117941221217</v>
      </c>
      <c r="O258" s="9">
        <f t="shared" si="44"/>
        <v>-1.9821179412212189</v>
      </c>
      <c r="P258" s="10">
        <f t="shared" si="45"/>
        <v>3.9287915329110432</v>
      </c>
      <c r="V258" s="10">
        <f t="shared" si="48"/>
        <v>0.23235085508524053</v>
      </c>
      <c r="W258" s="13">
        <f t="shared" si="49"/>
        <v>18.877925702992769</v>
      </c>
      <c r="Z258" s="15">
        <f t="shared" si="43"/>
        <v>5.5826138153083891</v>
      </c>
    </row>
    <row r="259" spans="1:26">
      <c r="A259" s="84">
        <f>'Q.6 Rand()'!R257</f>
        <v>5.7</v>
      </c>
      <c r="B259" s="141">
        <f>'Q.6 Rand()'!S257</f>
        <v>21.7</v>
      </c>
      <c r="D259" s="23"/>
      <c r="E259" s="24"/>
      <c r="F259" s="22">
        <f t="shared" si="40"/>
        <v>2.2371273712737119</v>
      </c>
      <c r="G259" s="22">
        <f t="shared" si="41"/>
        <v>-13.008244444444497</v>
      </c>
      <c r="H259" s="18">
        <f t="shared" si="46"/>
        <v>-29.101099698885982</v>
      </c>
      <c r="I259" s="18">
        <f t="shared" si="47"/>
        <v>5.0047388753020279</v>
      </c>
      <c r="J259" s="24"/>
      <c r="K259" s="24"/>
      <c r="L259" s="19">
        <f t="shared" si="42"/>
        <v>24.613414521592876</v>
      </c>
      <c r="O259" s="9">
        <f t="shared" si="44"/>
        <v>-2.9134145215928768</v>
      </c>
      <c r="P259" s="10">
        <f t="shared" si="45"/>
        <v>8.4879841746282523</v>
      </c>
      <c r="V259" s="10">
        <f t="shared" si="48"/>
        <v>5.3468154115648862E-2</v>
      </c>
      <c r="W259" s="13">
        <f t="shared" si="49"/>
        <v>101.90559117130044</v>
      </c>
      <c r="Z259" s="15">
        <f t="shared" si="43"/>
        <v>169.21442352642111</v>
      </c>
    </row>
    <row r="260" spans="1:26">
      <c r="A260" s="84">
        <f>'Q.6 Rand()'!R258</f>
        <v>3</v>
      </c>
      <c r="B260" s="141">
        <f>'Q.6 Rand()'!S258</f>
        <v>35.799999999999997</v>
      </c>
      <c r="D260" s="23"/>
      <c r="E260" s="24"/>
      <c r="F260" s="22">
        <f t="shared" si="40"/>
        <v>-0.46287262872628832</v>
      </c>
      <c r="G260" s="22">
        <f t="shared" si="41"/>
        <v>1.0917555555555012</v>
      </c>
      <c r="H260" s="18">
        <f t="shared" si="46"/>
        <v>-0.50534376392650415</v>
      </c>
      <c r="I260" s="18">
        <f t="shared" si="47"/>
        <v>0.21425107042398434</v>
      </c>
      <c r="J260" s="24"/>
      <c r="K260" s="24"/>
      <c r="L260" s="19">
        <f t="shared" si="42"/>
        <v>36.796914281904293</v>
      </c>
      <c r="O260" s="9">
        <f t="shared" si="44"/>
        <v>-0.99691428190429576</v>
      </c>
      <c r="P260" s="10">
        <f t="shared" si="45"/>
        <v>0.99383808546475771</v>
      </c>
      <c r="V260" s="10">
        <f t="shared" si="48"/>
        <v>0.13425873371395747</v>
      </c>
      <c r="W260" s="13">
        <f t="shared" si="49"/>
        <v>4.3625416899143348</v>
      </c>
      <c r="Z260" s="15">
        <f t="shared" si="43"/>
        <v>1.1919301930863011</v>
      </c>
    </row>
    <row r="261" spans="1:26">
      <c r="A261" s="84">
        <f>'Q.6 Rand()'!R259</f>
        <v>1.8</v>
      </c>
      <c r="B261" s="141">
        <f>'Q.6 Rand()'!S259</f>
        <v>43.7</v>
      </c>
      <c r="D261" s="23"/>
      <c r="E261" s="24"/>
      <c r="F261" s="22">
        <f t="shared" ref="F261:F324" si="50">A261-$D$5</f>
        <v>-1.6628726287262883</v>
      </c>
      <c r="G261" s="22">
        <f t="shared" si="41"/>
        <v>8.9917555555555069</v>
      </c>
      <c r="H261" s="18">
        <f t="shared" si="46"/>
        <v>-14.952144197530792</v>
      </c>
      <c r="I261" s="18">
        <f t="shared" si="47"/>
        <v>2.7651453793670759</v>
      </c>
      <c r="J261" s="24"/>
      <c r="K261" s="24"/>
      <c r="L261" s="19">
        <f t="shared" si="42"/>
        <v>42.21180306426492</v>
      </c>
      <c r="O261" s="9">
        <f t="shared" si="44"/>
        <v>1.4881969357350826</v>
      </c>
      <c r="P261" s="10">
        <f t="shared" si="45"/>
        <v>2.2147301195312896</v>
      </c>
      <c r="V261" s="10">
        <f t="shared" si="48"/>
        <v>2.7846767650957983E-2</v>
      </c>
      <c r="W261" s="13">
        <f t="shared" si="49"/>
        <v>56.303391961081388</v>
      </c>
      <c r="Z261" s="15">
        <f t="shared" si="43"/>
        <v>80.851667970863318</v>
      </c>
    </row>
    <row r="262" spans="1:26">
      <c r="A262" s="84">
        <f>'Q.6 Rand()'!R260</f>
        <v>4</v>
      </c>
      <c r="B262" s="141">
        <f>'Q.6 Rand()'!S260</f>
        <v>26.82</v>
      </c>
      <c r="D262" s="23"/>
      <c r="E262" s="24"/>
      <c r="F262" s="22">
        <f t="shared" si="50"/>
        <v>0.53712737127371168</v>
      </c>
      <c r="G262" s="22">
        <f t="shared" ref="G262:G325" si="51">B262-$E$5</f>
        <v>-7.8882444444444957</v>
      </c>
      <c r="H262" s="18">
        <f t="shared" si="46"/>
        <v>-4.2369920024089325</v>
      </c>
      <c r="I262" s="18">
        <f t="shared" si="47"/>
        <v>0.2885058129714077</v>
      </c>
      <c r="J262" s="24"/>
      <c r="K262" s="24"/>
      <c r="L262" s="19">
        <f t="shared" ref="L262:L325" si="52">$K$5+$J$5*A262</f>
        <v>32.284506963270431</v>
      </c>
      <c r="O262" s="9">
        <f t="shared" si="44"/>
        <v>-5.4645069632704306</v>
      </c>
      <c r="P262" s="10">
        <f t="shared" si="45"/>
        <v>29.860836351631022</v>
      </c>
      <c r="V262" s="10">
        <f t="shared" si="48"/>
        <v>3.4054849787988159E-2</v>
      </c>
      <c r="W262" s="13">
        <f t="shared" si="49"/>
        <v>5.8745033776480016</v>
      </c>
      <c r="Z262" s="15">
        <f t="shared" ref="Z262:Z325" si="53">(B262-$E$5)^2</f>
        <v>62.224400415309454</v>
      </c>
    </row>
    <row r="263" spans="1:26">
      <c r="A263" s="84">
        <f>'Q.6 Rand()'!R261</f>
        <v>3.6</v>
      </c>
      <c r="B263" s="141">
        <f>'Q.6 Rand()'!S261</f>
        <v>33</v>
      </c>
      <c r="D263" s="23"/>
      <c r="E263" s="24"/>
      <c r="F263" s="22">
        <f t="shared" si="50"/>
        <v>0.13712737127371177</v>
      </c>
      <c r="G263" s="22">
        <f t="shared" si="51"/>
        <v>-1.708244444444496</v>
      </c>
      <c r="H263" s="18">
        <f t="shared" si="46"/>
        <v>-0.23424707015959589</v>
      </c>
      <c r="I263" s="18">
        <f t="shared" si="47"/>
        <v>1.8803915952438393E-2</v>
      </c>
      <c r="J263" s="24"/>
      <c r="K263" s="24"/>
      <c r="L263" s="19">
        <f t="shared" si="52"/>
        <v>34.089469890723976</v>
      </c>
      <c r="O263" s="9">
        <f t="shared" si="44"/>
        <v>-1.0894698907239757</v>
      </c>
      <c r="P263" s="10">
        <f t="shared" si="45"/>
        <v>1.1869446427941115</v>
      </c>
      <c r="V263" s="10">
        <f t="shared" si="48"/>
        <v>0.20374746320918832</v>
      </c>
      <c r="W263" s="13">
        <f t="shared" si="49"/>
        <v>0.38288194833202899</v>
      </c>
      <c r="Z263" s="15">
        <f t="shared" si="53"/>
        <v>2.9180990819754848</v>
      </c>
    </row>
    <row r="264" spans="1:26">
      <c r="A264" s="84">
        <f>'Q.6 Rand()'!R262</f>
        <v>2.2999999999999998</v>
      </c>
      <c r="B264" s="141">
        <f>'Q.6 Rand()'!S262</f>
        <v>31.7</v>
      </c>
      <c r="D264" s="23"/>
      <c r="E264" s="24"/>
      <c r="F264" s="22">
        <f t="shared" si="50"/>
        <v>-1.1628726287262885</v>
      </c>
      <c r="G264" s="22">
        <f t="shared" si="51"/>
        <v>-3.0082444444444967</v>
      </c>
      <c r="H264" s="18">
        <f t="shared" si="46"/>
        <v>3.4982051249624253</v>
      </c>
      <c r="I264" s="18">
        <f t="shared" si="47"/>
        <v>1.3522727506407883</v>
      </c>
      <c r="J264" s="24"/>
      <c r="K264" s="24"/>
      <c r="L264" s="19">
        <f t="shared" si="52"/>
        <v>39.955599404947989</v>
      </c>
      <c r="O264" s="9">
        <f t="shared" si="44"/>
        <v>-8.2555994049479899</v>
      </c>
      <c r="P264" s="10">
        <f t="shared" si="45"/>
        <v>68.154921534977603</v>
      </c>
      <c r="V264" s="10">
        <f t="shared" si="48"/>
        <v>3.3014239112847746E-2</v>
      </c>
      <c r="W264" s="13">
        <f t="shared" si="49"/>
        <v>27.534734081520618</v>
      </c>
      <c r="Z264" s="15">
        <f t="shared" si="53"/>
        <v>9.0495346375311776</v>
      </c>
    </row>
    <row r="265" spans="1:26">
      <c r="A265" s="84">
        <f>'Q.6 Rand()'!R263</f>
        <v>2</v>
      </c>
      <c r="B265" s="141">
        <f>'Q.6 Rand()'!S263</f>
        <v>37.5</v>
      </c>
      <c r="D265" s="23"/>
      <c r="E265" s="24"/>
      <c r="F265" s="22">
        <f t="shared" si="50"/>
        <v>-1.4628726287262883</v>
      </c>
      <c r="G265" s="22">
        <f t="shared" si="51"/>
        <v>2.791755555555504</v>
      </c>
      <c r="H265" s="18">
        <f t="shared" si="46"/>
        <v>-4.0839827883166997</v>
      </c>
      <c r="I265" s="18">
        <f t="shared" si="47"/>
        <v>2.139996327876561</v>
      </c>
      <c r="J265" s="24"/>
      <c r="K265" s="24"/>
      <c r="L265" s="19">
        <f t="shared" si="52"/>
        <v>41.309321600538148</v>
      </c>
      <c r="O265" s="9">
        <f t="shared" si="44"/>
        <v>-3.8093216005381478</v>
      </c>
      <c r="P265" s="10">
        <f t="shared" si="45"/>
        <v>14.510931056326516</v>
      </c>
      <c r="V265" s="10">
        <f t="shared" si="48"/>
        <v>0.26042900331066215</v>
      </c>
      <c r="W265" s="13">
        <f t="shared" si="49"/>
        <v>43.574219620701456</v>
      </c>
      <c r="Z265" s="15">
        <f t="shared" si="53"/>
        <v>7.7938990819750211</v>
      </c>
    </row>
    <row r="266" spans="1:26">
      <c r="A266" s="84">
        <f>'Q.6 Rand()'!R264</f>
        <v>2.7</v>
      </c>
      <c r="B266" s="141">
        <f>'Q.6 Rand()'!S264</f>
        <v>35.9</v>
      </c>
      <c r="D266" s="23"/>
      <c r="E266" s="24"/>
      <c r="F266" s="22">
        <f t="shared" si="50"/>
        <v>-0.76287262872628814</v>
      </c>
      <c r="G266" s="22">
        <f t="shared" si="51"/>
        <v>1.1917555555555026</v>
      </c>
      <c r="H266" s="18">
        <f t="shared" si="46"/>
        <v>-0.90915769346578423</v>
      </c>
      <c r="I266" s="18">
        <f t="shared" si="47"/>
        <v>0.58197464765975704</v>
      </c>
      <c r="J266" s="24"/>
      <c r="K266" s="24"/>
      <c r="L266" s="19">
        <f t="shared" si="52"/>
        <v>38.150636477494444</v>
      </c>
      <c r="O266" s="9">
        <f t="shared" si="44"/>
        <v>-2.2506364774944458</v>
      </c>
      <c r="P266" s="10">
        <f t="shared" si="45"/>
        <v>5.0653645538286076</v>
      </c>
      <c r="V266" s="10">
        <f t="shared" si="48"/>
        <v>0.10158190934768395</v>
      </c>
      <c r="W266" s="13">
        <f t="shared" si="49"/>
        <v>11.850062909205757</v>
      </c>
      <c r="Z266" s="15">
        <f t="shared" si="53"/>
        <v>1.4202813041974047</v>
      </c>
    </row>
    <row r="267" spans="1:26">
      <c r="A267" s="84">
        <f>'Q.6 Rand()'!R265</f>
        <v>2</v>
      </c>
      <c r="B267" s="141">
        <f>'Q.6 Rand()'!S265</f>
        <v>34.1</v>
      </c>
      <c r="D267" s="23"/>
      <c r="E267" s="24"/>
      <c r="F267" s="22">
        <f t="shared" si="50"/>
        <v>-1.4628726287262883</v>
      </c>
      <c r="G267" s="22">
        <f t="shared" si="51"/>
        <v>-0.60824444444449455</v>
      </c>
      <c r="H267" s="18">
        <f t="shared" si="46"/>
        <v>0.88978414935267858</v>
      </c>
      <c r="I267" s="18">
        <f t="shared" si="47"/>
        <v>2.139996327876561</v>
      </c>
      <c r="J267" s="24"/>
      <c r="K267" s="24"/>
      <c r="L267" s="19">
        <f t="shared" si="52"/>
        <v>41.309321600538148</v>
      </c>
      <c r="O267" s="9">
        <f t="shared" si="44"/>
        <v>-7.2093216005381464</v>
      </c>
      <c r="P267" s="10">
        <f t="shared" si="45"/>
        <v>51.974317939985902</v>
      </c>
      <c r="V267" s="10">
        <f t="shared" si="48"/>
        <v>6.2691823885639167E-2</v>
      </c>
      <c r="W267" s="13">
        <f t="shared" si="49"/>
        <v>43.574219620701456</v>
      </c>
      <c r="Z267" s="15">
        <f t="shared" si="53"/>
        <v>0.36996130419759182</v>
      </c>
    </row>
    <row r="268" spans="1:26">
      <c r="A268" s="84">
        <f>'Q.6 Rand()'!R266</f>
        <v>3.6</v>
      </c>
      <c r="B268" s="141">
        <f>'Q.6 Rand()'!S266</f>
        <v>38.1</v>
      </c>
      <c r="D268" s="23"/>
      <c r="E268" s="24"/>
      <c r="F268" s="22">
        <f t="shared" si="50"/>
        <v>0.13712737127371177</v>
      </c>
      <c r="G268" s="22">
        <f t="shared" si="51"/>
        <v>3.3917555555555055</v>
      </c>
      <c r="H268" s="18">
        <f t="shared" si="46"/>
        <v>0.46510252333633434</v>
      </c>
      <c r="I268" s="18">
        <f t="shared" si="47"/>
        <v>1.8803915952438393E-2</v>
      </c>
      <c r="J268" s="24"/>
      <c r="K268" s="24"/>
      <c r="L268" s="19">
        <f t="shared" si="52"/>
        <v>34.089469890723976</v>
      </c>
      <c r="O268" s="9">
        <f t="shared" si="44"/>
        <v>4.0105301092760257</v>
      </c>
      <c r="P268" s="10">
        <f t="shared" si="45"/>
        <v>16.084351757409571</v>
      </c>
      <c r="V268" s="10">
        <f t="shared" si="48"/>
        <v>0.21141705573425648</v>
      </c>
      <c r="W268" s="13">
        <f t="shared" si="49"/>
        <v>0.38288194833202899</v>
      </c>
      <c r="Z268" s="15">
        <f t="shared" si="53"/>
        <v>11.504005748641635</v>
      </c>
    </row>
    <row r="269" spans="1:26">
      <c r="A269" s="84">
        <f>'Q.6 Rand()'!R267</f>
        <v>5.4</v>
      </c>
      <c r="B269" s="141">
        <f>'Q.6 Rand()'!S267</f>
        <v>27</v>
      </c>
      <c r="D269" s="23"/>
      <c r="E269" s="24"/>
      <c r="F269" s="22">
        <f t="shared" si="50"/>
        <v>1.937127371273712</v>
      </c>
      <c r="G269" s="22">
        <f t="shared" si="51"/>
        <v>-7.708244444444496</v>
      </c>
      <c r="H269" s="18">
        <f t="shared" si="46"/>
        <v>-14.931851297801961</v>
      </c>
      <c r="I269" s="18">
        <f t="shared" si="47"/>
        <v>3.7524624525378019</v>
      </c>
      <c r="J269" s="24"/>
      <c r="K269" s="24"/>
      <c r="L269" s="19">
        <f t="shared" si="52"/>
        <v>25.967136717183031</v>
      </c>
      <c r="O269" s="9">
        <f t="shared" si="44"/>
        <v>1.0328632828169688</v>
      </c>
      <c r="P269" s="10">
        <f t="shared" si="45"/>
        <v>1.0668065609914457</v>
      </c>
      <c r="V269" s="10">
        <f t="shared" si="48"/>
        <v>0.105263257461313</v>
      </c>
      <c r="W269" s="13">
        <f t="shared" si="49"/>
        <v>76.406964299590086</v>
      </c>
      <c r="Z269" s="15">
        <f t="shared" si="53"/>
        <v>59.417032415309436</v>
      </c>
    </row>
    <row r="270" spans="1:26">
      <c r="A270" s="84">
        <f>'Q.6 Rand()'!R268</f>
        <v>2.4</v>
      </c>
      <c r="B270" s="141">
        <f>'Q.6 Rand()'!S268</f>
        <v>34.283099999999997</v>
      </c>
      <c r="D270" s="23"/>
      <c r="E270" s="24"/>
      <c r="F270" s="22">
        <f t="shared" si="50"/>
        <v>-1.0628726287262884</v>
      </c>
      <c r="G270" s="22">
        <f t="shared" si="51"/>
        <v>-0.4251444444444985</v>
      </c>
      <c r="H270" s="18">
        <f t="shared" si="46"/>
        <v>0.45187439325510159</v>
      </c>
      <c r="I270" s="18">
        <f t="shared" si="47"/>
        <v>1.1296982248955305</v>
      </c>
      <c r="J270" s="24"/>
      <c r="K270" s="24"/>
      <c r="L270" s="19">
        <f t="shared" si="52"/>
        <v>39.50435867308461</v>
      </c>
      <c r="O270" s="9">
        <f t="shared" si="44"/>
        <v>-5.2212586730846127</v>
      </c>
      <c r="P270" s="10">
        <f t="shared" si="45"/>
        <v>27.26154213126129</v>
      </c>
      <c r="V270" s="10">
        <f t="shared" si="48"/>
        <v>3.8254195659887733E-2</v>
      </c>
      <c r="W270" s="13">
        <f t="shared" si="49"/>
        <v>23.002711694164159</v>
      </c>
      <c r="Z270" s="15">
        <f t="shared" si="53"/>
        <v>0.18074779864202128</v>
      </c>
    </row>
    <row r="271" spans="1:26">
      <c r="A271" s="84">
        <f>'Q.6 Rand()'!R269</f>
        <v>5.6</v>
      </c>
      <c r="B271" s="141">
        <f>'Q.6 Rand()'!S269</f>
        <v>25.008900000000001</v>
      </c>
      <c r="D271" s="23"/>
      <c r="E271" s="24"/>
      <c r="F271" s="22">
        <f t="shared" si="50"/>
        <v>2.1371273712737113</v>
      </c>
      <c r="G271" s="22">
        <f t="shared" si="51"/>
        <v>-9.6993444444444954</v>
      </c>
      <c r="H271" s="18">
        <f t="shared" si="46"/>
        <v>-20.72873449563394</v>
      </c>
      <c r="I271" s="18">
        <f t="shared" si="47"/>
        <v>4.5673134010472838</v>
      </c>
      <c r="J271" s="24"/>
      <c r="K271" s="24"/>
      <c r="L271" s="19">
        <f t="shared" si="52"/>
        <v>25.064655253456262</v>
      </c>
      <c r="O271" s="9">
        <f t="shared" si="44"/>
        <v>-5.5755253456261755E-2</v>
      </c>
      <c r="P271" s="10">
        <f t="shared" si="45"/>
        <v>3.1086482879719886E-3</v>
      </c>
      <c r="V271" s="10">
        <f t="shared" si="48"/>
        <v>0.15229832404550969</v>
      </c>
      <c r="W271" s="13">
        <f t="shared" si="49"/>
        <v>92.998812484545098</v>
      </c>
      <c r="Z271" s="15">
        <f t="shared" si="53"/>
        <v>94.07728265197629</v>
      </c>
    </row>
    <row r="272" spans="1:26">
      <c r="A272" s="84">
        <f>'Q.6 Rand()'!R270</f>
        <v>2.5</v>
      </c>
      <c r="B272" s="141">
        <f>'Q.6 Rand()'!S270</f>
        <v>35.922600000000003</v>
      </c>
      <c r="D272" s="23"/>
      <c r="E272" s="24"/>
      <c r="F272" s="22">
        <f t="shared" si="50"/>
        <v>-0.96287262872628832</v>
      </c>
      <c r="G272" s="22">
        <f t="shared" si="51"/>
        <v>1.2143555555555068</v>
      </c>
      <c r="H272" s="18">
        <f t="shared" si="46"/>
        <v>-1.1692697259861031</v>
      </c>
      <c r="I272" s="18">
        <f t="shared" si="47"/>
        <v>0.92712369915027271</v>
      </c>
      <c r="J272" s="24"/>
      <c r="K272" s="24"/>
      <c r="L272" s="19">
        <f t="shared" si="52"/>
        <v>39.053117941221217</v>
      </c>
      <c r="O272" s="9">
        <f t="shared" si="44"/>
        <v>-3.1305179412212141</v>
      </c>
      <c r="P272" s="10">
        <f t="shared" si="45"/>
        <v>9.8001425803079094</v>
      </c>
      <c r="V272" s="10">
        <f t="shared" si="48"/>
        <v>2.2294164659885781E-3</v>
      </c>
      <c r="W272" s="13">
        <f t="shared" si="49"/>
        <v>18.877925702992769</v>
      </c>
      <c r="Z272" s="15">
        <f t="shared" si="53"/>
        <v>1.4746594153085235</v>
      </c>
    </row>
    <row r="273" spans="1:26">
      <c r="A273" s="84">
        <f>'Q.6 Rand()'!R271</f>
        <v>7</v>
      </c>
      <c r="B273" s="141">
        <f>'Q.6 Rand()'!S271</f>
        <v>33.700000000000003</v>
      </c>
      <c r="D273" s="23"/>
      <c r="E273" s="24"/>
      <c r="F273" s="22">
        <f t="shared" si="50"/>
        <v>3.5371273712737117</v>
      </c>
      <c r="G273" s="22">
        <f t="shared" si="51"/>
        <v>-1.0082444444444931</v>
      </c>
      <c r="H273" s="18">
        <f t="shared" si="46"/>
        <v>-3.5662890213792737</v>
      </c>
      <c r="I273" s="18">
        <f t="shared" si="47"/>
        <v>12.511270040613677</v>
      </c>
      <c r="J273" s="24"/>
      <c r="K273" s="24"/>
      <c r="L273" s="19">
        <f t="shared" si="52"/>
        <v>18.747285007368863</v>
      </c>
      <c r="O273" s="9">
        <f t="shared" si="44"/>
        <v>14.95271499263114</v>
      </c>
      <c r="P273" s="10">
        <f t="shared" si="45"/>
        <v>223.58368565085607</v>
      </c>
      <c r="V273" s="10">
        <f t="shared" si="48"/>
        <v>8.7146196022036646E-2</v>
      </c>
      <c r="W273" s="13">
        <f t="shared" si="49"/>
        <v>254.75222615197373</v>
      </c>
      <c r="Z273" s="15">
        <f t="shared" si="53"/>
        <v>1.0165568597531847</v>
      </c>
    </row>
    <row r="274" spans="1:26">
      <c r="A274" s="84">
        <f>'Q.6 Rand()'!R272</f>
        <v>6</v>
      </c>
      <c r="B274" s="141">
        <f>'Q.6 Rand()'!S272</f>
        <v>23.8</v>
      </c>
      <c r="D274" s="23"/>
      <c r="E274" s="24"/>
      <c r="F274" s="22">
        <f t="shared" si="50"/>
        <v>2.5371273712737117</v>
      </c>
      <c r="G274" s="22">
        <f t="shared" si="51"/>
        <v>-10.908244444444495</v>
      </c>
      <c r="H274" s="18">
        <f t="shared" si="46"/>
        <v>-27.675605552544532</v>
      </c>
      <c r="I274" s="18">
        <f t="shared" si="47"/>
        <v>6.4370152980662541</v>
      </c>
      <c r="J274" s="24"/>
      <c r="K274" s="24"/>
      <c r="L274" s="19">
        <f t="shared" si="52"/>
        <v>23.259692326002721</v>
      </c>
      <c r="O274" s="9">
        <f t="shared" si="44"/>
        <v>0.54030767399727964</v>
      </c>
      <c r="P274" s="10">
        <f t="shared" si="45"/>
        <v>0.29193238258035059</v>
      </c>
      <c r="V274" s="10">
        <f t="shared" si="48"/>
        <v>0.44370074162110207</v>
      </c>
      <c r="W274" s="13">
        <f t="shared" si="49"/>
        <v>131.06934560867765</v>
      </c>
      <c r="Z274" s="15">
        <f t="shared" si="53"/>
        <v>118.98979685975419</v>
      </c>
    </row>
    <row r="275" spans="1:26">
      <c r="A275" s="84">
        <f>'Q.6 Rand()'!R273</f>
        <v>3.4</v>
      </c>
      <c r="B275" s="141">
        <f>'Q.6 Rand()'!S273</f>
        <v>40.997799999999998</v>
      </c>
      <c r="D275" s="23"/>
      <c r="E275" s="24"/>
      <c r="F275" s="22">
        <f t="shared" si="50"/>
        <v>-6.2872628726288404E-2</v>
      </c>
      <c r="G275" s="22">
        <f t="shared" si="51"/>
        <v>6.2895555555555021</v>
      </c>
      <c r="H275" s="18">
        <f t="shared" si="46"/>
        <v>-0.39544089129780569</v>
      </c>
      <c r="I275" s="18">
        <f t="shared" si="47"/>
        <v>3.9529674429537058E-3</v>
      </c>
      <c r="J275" s="24"/>
      <c r="K275" s="24"/>
      <c r="L275" s="19">
        <f t="shared" si="52"/>
        <v>34.991951354450748</v>
      </c>
      <c r="O275" s="9">
        <f t="shared" si="44"/>
        <v>6.0058486455492499</v>
      </c>
      <c r="P275" s="10">
        <f t="shared" si="45"/>
        <v>36.070217953245759</v>
      </c>
      <c r="V275" s="10">
        <f t="shared" si="48"/>
        <v>2.2702003109129395E-2</v>
      </c>
      <c r="W275" s="13">
        <f t="shared" si="49"/>
        <v>8.0489610785295651E-2</v>
      </c>
      <c r="Z275" s="15">
        <f t="shared" si="53"/>
        <v>39.558509086419079</v>
      </c>
    </row>
    <row r="276" spans="1:26">
      <c r="A276" s="84">
        <f>'Q.6 Rand()'!R274</f>
        <v>2.5</v>
      </c>
      <c r="B276" s="141">
        <f>'Q.6 Rand()'!S274</f>
        <v>34.143500000000003</v>
      </c>
      <c r="D276" s="23"/>
      <c r="E276" s="24"/>
      <c r="F276" s="22">
        <f t="shared" si="50"/>
        <v>-0.96287262872628832</v>
      </c>
      <c r="G276" s="22">
        <f t="shared" si="51"/>
        <v>-0.5647444444444929</v>
      </c>
      <c r="H276" s="18">
        <f t="shared" si="46"/>
        <v>0.54377696778083617</v>
      </c>
      <c r="I276" s="18">
        <f t="shared" si="47"/>
        <v>0.92712369915027271</v>
      </c>
      <c r="J276" s="24"/>
      <c r="K276" s="24"/>
      <c r="L276" s="19">
        <f t="shared" si="52"/>
        <v>39.053117941221217</v>
      </c>
      <c r="O276" s="9">
        <f t="shared" si="44"/>
        <v>-4.9096179412212138</v>
      </c>
      <c r="P276" s="10">
        <f t="shared" si="45"/>
        <v>24.10434832876123</v>
      </c>
      <c r="V276" s="10">
        <f t="shared" si="48"/>
        <v>0.14649197385101762</v>
      </c>
      <c r="W276" s="13">
        <f t="shared" si="49"/>
        <v>18.877925702992769</v>
      </c>
      <c r="Z276" s="15">
        <f t="shared" si="53"/>
        <v>0.3189362875309189</v>
      </c>
    </row>
    <row r="277" spans="1:26">
      <c r="A277" s="84">
        <f>'Q.6 Rand()'!R275</f>
        <v>3.2</v>
      </c>
      <c r="B277" s="141">
        <f>'Q.6 Rand()'!S275</f>
        <v>29.743099999999998</v>
      </c>
      <c r="D277" s="23"/>
      <c r="E277" s="24"/>
      <c r="F277" s="22">
        <f t="shared" si="50"/>
        <v>-0.26287262872628814</v>
      </c>
      <c r="G277" s="22">
        <f t="shared" si="51"/>
        <v>-4.9651444444444977</v>
      </c>
      <c r="H277" s="18">
        <f t="shared" si="46"/>
        <v>1.3052005721168507</v>
      </c>
      <c r="I277" s="18">
        <f t="shared" si="47"/>
        <v>6.9102018933468928E-2</v>
      </c>
      <c r="J277" s="24"/>
      <c r="K277" s="24"/>
      <c r="L277" s="19">
        <f t="shared" si="52"/>
        <v>35.894432818177521</v>
      </c>
      <c r="O277" s="9">
        <f t="shared" si="44"/>
        <v>-6.1513328181775222</v>
      </c>
      <c r="P277" s="10">
        <f t="shared" si="45"/>
        <v>37.838895439987816</v>
      </c>
      <c r="V277" s="10">
        <f t="shared" si="48"/>
        <v>0.14379363396316175</v>
      </c>
      <c r="W277" s="13">
        <f t="shared" si="49"/>
        <v>1.4070428579793974</v>
      </c>
      <c r="Z277" s="15">
        <f t="shared" si="53"/>
        <v>24.652659354198061</v>
      </c>
    </row>
    <row r="278" spans="1:26">
      <c r="A278" s="84">
        <f>'Q.6 Rand()'!R276</f>
        <v>3.7</v>
      </c>
      <c r="B278" s="141">
        <f>'Q.6 Rand()'!S276</f>
        <v>31.6</v>
      </c>
      <c r="D278" s="23"/>
      <c r="E278" s="24"/>
      <c r="F278" s="22">
        <f t="shared" si="50"/>
        <v>0.23712737127371186</v>
      </c>
      <c r="G278" s="22">
        <f t="shared" si="51"/>
        <v>-3.1082444444444945</v>
      </c>
      <c r="H278" s="18">
        <f t="shared" si="46"/>
        <v>-0.73704983438724192</v>
      </c>
      <c r="I278" s="18">
        <f t="shared" si="47"/>
        <v>5.6229390207180791E-2</v>
      </c>
      <c r="J278" s="24"/>
      <c r="K278" s="24"/>
      <c r="L278" s="19">
        <f t="shared" si="52"/>
        <v>33.63822915886059</v>
      </c>
      <c r="O278" s="9">
        <f t="shared" si="44"/>
        <v>-2.0382291588605881</v>
      </c>
      <c r="P278" s="10">
        <f t="shared" si="45"/>
        <v>4.15437810402954</v>
      </c>
      <c r="V278" s="10">
        <f t="shared" si="48"/>
        <v>0.20681545696909612</v>
      </c>
      <c r="W278" s="13">
        <f t="shared" si="49"/>
        <v>1.1449327113832088</v>
      </c>
      <c r="Z278" s="15">
        <f t="shared" si="53"/>
        <v>9.6611835264200643</v>
      </c>
    </row>
    <row r="279" spans="1:26">
      <c r="A279" s="84">
        <f>'Q.6 Rand()'!R277</f>
        <v>3</v>
      </c>
      <c r="B279" s="141">
        <f>'Q.6 Rand()'!S277</f>
        <v>38.299999999999997</v>
      </c>
      <c r="D279" s="23"/>
      <c r="E279" s="24"/>
      <c r="F279" s="22">
        <f t="shared" si="50"/>
        <v>-0.46287262872628832</v>
      </c>
      <c r="G279" s="22">
        <f t="shared" si="51"/>
        <v>3.5917555555555012</v>
      </c>
      <c r="H279" s="18">
        <f t="shared" si="46"/>
        <v>-1.6625253357422249</v>
      </c>
      <c r="I279" s="18">
        <f t="shared" si="47"/>
        <v>0.21425107042398434</v>
      </c>
      <c r="J279" s="24"/>
      <c r="K279" s="24"/>
      <c r="L279" s="19">
        <f t="shared" si="52"/>
        <v>36.796914281904293</v>
      </c>
      <c r="O279" s="9">
        <f t="shared" si="44"/>
        <v>1.5030857180957042</v>
      </c>
      <c r="P279" s="10">
        <f t="shared" si="45"/>
        <v>2.2592666759432789</v>
      </c>
      <c r="V279" s="10">
        <f t="shared" si="48"/>
        <v>6.4500922748752784E-2</v>
      </c>
      <c r="W279" s="13">
        <f t="shared" si="49"/>
        <v>4.3625416899143348</v>
      </c>
      <c r="Z279" s="15">
        <f t="shared" si="53"/>
        <v>12.900707970863808</v>
      </c>
    </row>
    <row r="280" spans="1:26">
      <c r="A280" s="84">
        <f>'Q.6 Rand()'!R278</f>
        <v>3.5</v>
      </c>
      <c r="B280" s="141">
        <f>'Q.6 Rand()'!S278</f>
        <v>36.200000000000003</v>
      </c>
      <c r="D280" s="23"/>
      <c r="E280" s="24"/>
      <c r="F280" s="22">
        <f t="shared" si="50"/>
        <v>3.7127371273711685E-2</v>
      </c>
      <c r="G280" s="22">
        <f t="shared" si="51"/>
        <v>1.4917555555555069</v>
      </c>
      <c r="H280" s="18">
        <f t="shared" si="46"/>
        <v>5.5384962360731343E-2</v>
      </c>
      <c r="I280" s="18">
        <f t="shared" si="47"/>
        <v>1.3784416976960316E-3</v>
      </c>
      <c r="J280" s="24"/>
      <c r="K280" s="24"/>
      <c r="L280" s="19">
        <f t="shared" si="52"/>
        <v>34.540710622587362</v>
      </c>
      <c r="O280" s="9">
        <f t="shared" ref="O280:O343" si="54">B280-L280</f>
        <v>1.6592893774126409</v>
      </c>
      <c r="P280" s="10">
        <f t="shared" ref="P280:P343" si="55">O280^2</f>
        <v>2.7532412379944295</v>
      </c>
      <c r="V280" s="10">
        <f t="shared" si="48"/>
        <v>3.9245057913725963E-2</v>
      </c>
      <c r="W280" s="13">
        <f t="shared" si="49"/>
        <v>2.806758146605793E-2</v>
      </c>
      <c r="Z280" s="15">
        <f t="shared" si="53"/>
        <v>2.225334637530719</v>
      </c>
    </row>
    <row r="281" spans="1:26">
      <c r="A281" s="84">
        <f>'Q.6 Rand()'!R279</f>
        <v>3.6</v>
      </c>
      <c r="B281" s="141">
        <f>'Q.6 Rand()'!S279</f>
        <v>36.439500000000002</v>
      </c>
      <c r="D281" s="23"/>
      <c r="E281" s="24"/>
      <c r="F281" s="22">
        <f t="shared" si="50"/>
        <v>0.13712737127371177</v>
      </c>
      <c r="G281" s="22">
        <f t="shared" si="51"/>
        <v>1.7312555555555065</v>
      </c>
      <c r="H281" s="18">
        <f t="shared" ref="H281:H344" si="56">F281*G281</f>
        <v>0.23740252333633607</v>
      </c>
      <c r="I281" s="18">
        <f t="shared" ref="I281:I344" si="57">F281^2</f>
        <v>1.8803915952438393E-2</v>
      </c>
      <c r="J281" s="24"/>
      <c r="K281" s="24"/>
      <c r="L281" s="19">
        <f t="shared" si="52"/>
        <v>34.089469890723976</v>
      </c>
      <c r="O281" s="9">
        <f t="shared" si="54"/>
        <v>2.3500301092760267</v>
      </c>
      <c r="P281" s="10">
        <f t="shared" si="55"/>
        <v>5.5226415145038938</v>
      </c>
      <c r="V281" s="10">
        <f t="shared" ref="V281:V344" si="58">ABS(O280) / B280</f>
        <v>4.5836723132945879E-2</v>
      </c>
      <c r="W281" s="13">
        <f t="shared" ref="W281:W344" si="59">(L281-$E$5)^2</f>
        <v>0.38288194833202899</v>
      </c>
      <c r="Z281" s="15">
        <f t="shared" si="53"/>
        <v>2.9972457986418055</v>
      </c>
    </row>
    <row r="282" spans="1:26">
      <c r="A282" s="84">
        <f>'Q.6 Rand()'!R280</f>
        <v>4</v>
      </c>
      <c r="B282" s="141">
        <f>'Q.6 Rand()'!S280</f>
        <v>27.3704</v>
      </c>
      <c r="D282" s="23"/>
      <c r="E282" s="24"/>
      <c r="F282" s="22">
        <f t="shared" si="50"/>
        <v>0.53712737127371168</v>
      </c>
      <c r="G282" s="22">
        <f t="shared" si="51"/>
        <v>-7.3378444444444959</v>
      </c>
      <c r="H282" s="18">
        <f t="shared" si="56"/>
        <v>-3.9413570972598815</v>
      </c>
      <c r="I282" s="18">
        <f t="shared" si="57"/>
        <v>0.2885058129714077</v>
      </c>
      <c r="J282" s="24"/>
      <c r="K282" s="24"/>
      <c r="L282" s="19">
        <f t="shared" si="52"/>
        <v>32.284506963270431</v>
      </c>
      <c r="O282" s="9">
        <f t="shared" si="54"/>
        <v>-4.9141069632704308</v>
      </c>
      <c r="P282" s="10">
        <f t="shared" si="55"/>
        <v>24.148447246462936</v>
      </c>
      <c r="V282" s="10">
        <f t="shared" si="58"/>
        <v>6.4491283065794713E-2</v>
      </c>
      <c r="W282" s="13">
        <f t="shared" si="59"/>
        <v>5.8745033776480016</v>
      </c>
      <c r="Z282" s="15">
        <f t="shared" si="53"/>
        <v>53.843961090864951</v>
      </c>
    </row>
    <row r="283" spans="1:26">
      <c r="A283" s="84">
        <f>'Q.6 Rand()'!R281</f>
        <v>5</v>
      </c>
      <c r="B283" s="141">
        <f>'Q.6 Rand()'!S281</f>
        <v>29.7559</v>
      </c>
      <c r="D283" s="23"/>
      <c r="E283" s="24"/>
      <c r="F283" s="22">
        <f t="shared" si="50"/>
        <v>1.5371273712737117</v>
      </c>
      <c r="G283" s="22">
        <f t="shared" si="51"/>
        <v>-4.9523444444444955</v>
      </c>
      <c r="H283" s="18">
        <f t="shared" si="56"/>
        <v>-7.6123841975309379</v>
      </c>
      <c r="I283" s="18">
        <f t="shared" si="57"/>
        <v>2.3627605555188311</v>
      </c>
      <c r="J283" s="24"/>
      <c r="K283" s="24"/>
      <c r="L283" s="19">
        <f t="shared" si="52"/>
        <v>27.772099644636576</v>
      </c>
      <c r="O283" s="9">
        <f t="shared" si="54"/>
        <v>1.9838003553634245</v>
      </c>
      <c r="P283" s="10">
        <f t="shared" si="55"/>
        <v>3.9354638499400494</v>
      </c>
      <c r="V283" s="10">
        <f t="shared" si="58"/>
        <v>0.1795409260833028</v>
      </c>
      <c r="W283" s="13">
        <f t="shared" si="59"/>
        <v>48.110104683902449</v>
      </c>
      <c r="Z283" s="15">
        <f t="shared" si="53"/>
        <v>24.525715496420258</v>
      </c>
    </row>
    <row r="284" spans="1:26">
      <c r="A284" s="84">
        <f>'Q.6 Rand()'!R282</f>
        <v>4</v>
      </c>
      <c r="B284" s="141">
        <f>'Q.6 Rand()'!S282</f>
        <v>31.4</v>
      </c>
      <c r="D284" s="23"/>
      <c r="E284" s="24"/>
      <c r="F284" s="22">
        <f t="shared" si="50"/>
        <v>0.53712737127371168</v>
      </c>
      <c r="G284" s="22">
        <f t="shared" si="51"/>
        <v>-3.3082444444444974</v>
      </c>
      <c r="H284" s="18">
        <f t="shared" si="56"/>
        <v>-1.7769486419753335</v>
      </c>
      <c r="I284" s="18">
        <f t="shared" si="57"/>
        <v>0.2885058129714077</v>
      </c>
      <c r="J284" s="24"/>
      <c r="K284" s="24"/>
      <c r="L284" s="19">
        <f t="shared" si="52"/>
        <v>32.284506963270431</v>
      </c>
      <c r="O284" s="9">
        <f t="shared" si="54"/>
        <v>-0.88450696327043232</v>
      </c>
      <c r="P284" s="10">
        <f t="shared" si="55"/>
        <v>0.78235256807388187</v>
      </c>
      <c r="V284" s="10">
        <f t="shared" si="58"/>
        <v>6.6669143106524234E-2</v>
      </c>
      <c r="W284" s="13">
        <f t="shared" si="59"/>
        <v>5.8745033776480016</v>
      </c>
      <c r="Z284" s="15">
        <f t="shared" si="53"/>
        <v>10.944481304197881</v>
      </c>
    </row>
    <row r="285" spans="1:26">
      <c r="A285" s="84">
        <f>'Q.6 Rand()'!R283</f>
        <v>2</v>
      </c>
      <c r="B285" s="141">
        <f>'Q.6 Rand()'!S283</f>
        <v>41.707799999999999</v>
      </c>
      <c r="D285" s="23"/>
      <c r="E285" s="24"/>
      <c r="F285" s="22">
        <f t="shared" si="50"/>
        <v>-1.4628726287262883</v>
      </c>
      <c r="G285" s="22">
        <f t="shared" si="51"/>
        <v>6.9995555555555029</v>
      </c>
      <c r="H285" s="18">
        <f t="shared" si="56"/>
        <v>-10.239458235471174</v>
      </c>
      <c r="I285" s="18">
        <f t="shared" si="57"/>
        <v>2.139996327876561</v>
      </c>
      <c r="J285" s="24"/>
      <c r="K285" s="24"/>
      <c r="L285" s="19">
        <f t="shared" si="52"/>
        <v>41.309321600538148</v>
      </c>
      <c r="O285" s="9">
        <f t="shared" si="54"/>
        <v>0.39847839946185104</v>
      </c>
      <c r="P285" s="10">
        <f t="shared" si="55"/>
        <v>0.15878503483767853</v>
      </c>
      <c r="V285" s="10">
        <f t="shared" si="58"/>
        <v>2.8169011569122049E-2</v>
      </c>
      <c r="W285" s="13">
        <f t="shared" si="59"/>
        <v>43.574219620701456</v>
      </c>
      <c r="Z285" s="15">
        <f t="shared" si="53"/>
        <v>48.993777975307907</v>
      </c>
    </row>
    <row r="286" spans="1:26">
      <c r="A286" s="84">
        <f>'Q.6 Rand()'!R284</f>
        <v>4</v>
      </c>
      <c r="B286" s="141">
        <f>'Q.6 Rand()'!S284</f>
        <v>27.234000000000002</v>
      </c>
      <c r="D286" s="23"/>
      <c r="E286" s="24"/>
      <c r="F286" s="22">
        <f t="shared" si="50"/>
        <v>0.53712737127371168</v>
      </c>
      <c r="G286" s="22">
        <f t="shared" si="51"/>
        <v>-7.4742444444444942</v>
      </c>
      <c r="H286" s="18">
        <f t="shared" si="56"/>
        <v>-4.0146212707016149</v>
      </c>
      <c r="I286" s="18">
        <f t="shared" si="57"/>
        <v>0.2885058129714077</v>
      </c>
      <c r="J286" s="24"/>
      <c r="K286" s="24"/>
      <c r="L286" s="19">
        <f t="shared" si="52"/>
        <v>32.284506963270431</v>
      </c>
      <c r="O286" s="9">
        <f t="shared" si="54"/>
        <v>-5.0505069632704291</v>
      </c>
      <c r="P286" s="10">
        <f t="shared" si="55"/>
        <v>25.507620586043092</v>
      </c>
      <c r="V286" s="10">
        <f t="shared" si="58"/>
        <v>9.5540498290931451E-3</v>
      </c>
      <c r="W286" s="13">
        <f t="shared" si="59"/>
        <v>5.8745033776480016</v>
      </c>
      <c r="Z286" s="15">
        <f t="shared" si="53"/>
        <v>55.864330015309385</v>
      </c>
    </row>
    <row r="287" spans="1:26">
      <c r="A287" s="84">
        <f>'Q.6 Rand()'!R285</f>
        <v>6.5</v>
      </c>
      <c r="B287" s="141">
        <f>'Q.6 Rand()'!S285</f>
        <v>19.899999999999999</v>
      </c>
      <c r="D287" s="23"/>
      <c r="E287" s="24"/>
      <c r="F287" s="22">
        <f t="shared" si="50"/>
        <v>3.0371273712737117</v>
      </c>
      <c r="G287" s="22">
        <f t="shared" si="51"/>
        <v>-14.808244444444497</v>
      </c>
      <c r="H287" s="18">
        <f t="shared" si="56"/>
        <v>-44.974524522734264</v>
      </c>
      <c r="I287" s="18">
        <f t="shared" si="57"/>
        <v>9.2241426693399653</v>
      </c>
      <c r="J287" s="24"/>
      <c r="K287" s="24"/>
      <c r="L287" s="19">
        <f t="shared" si="52"/>
        <v>21.00348866668579</v>
      </c>
      <c r="O287" s="9">
        <f t="shared" si="54"/>
        <v>-1.1034886666857915</v>
      </c>
      <c r="P287" s="10">
        <f t="shared" si="55"/>
        <v>1.2176872375039858</v>
      </c>
      <c r="V287" s="10">
        <f t="shared" si="58"/>
        <v>0.18544859232101155</v>
      </c>
      <c r="W287" s="13">
        <f t="shared" si="59"/>
        <v>187.82033092801063</v>
      </c>
      <c r="Z287" s="15">
        <f t="shared" si="53"/>
        <v>219.28410352642132</v>
      </c>
    </row>
    <row r="288" spans="1:26">
      <c r="A288" s="84">
        <f>'Q.6 Rand()'!R286</f>
        <v>4.7</v>
      </c>
      <c r="B288" s="141">
        <f>'Q.6 Rand()'!S286</f>
        <v>26.702200000000001</v>
      </c>
      <c r="D288" s="23"/>
      <c r="E288" s="24"/>
      <c r="F288" s="22">
        <f t="shared" si="50"/>
        <v>1.2371273712737119</v>
      </c>
      <c r="G288" s="22">
        <f t="shared" si="51"/>
        <v>-8.0060444444444947</v>
      </c>
      <c r="H288" s="18">
        <f t="shared" si="56"/>
        <v>-9.904496717856123</v>
      </c>
      <c r="I288" s="18">
        <f t="shared" si="57"/>
        <v>1.5304841327546046</v>
      </c>
      <c r="J288" s="24"/>
      <c r="K288" s="24"/>
      <c r="L288" s="19">
        <f t="shared" si="52"/>
        <v>29.125821840226735</v>
      </c>
      <c r="O288" s="9">
        <f t="shared" si="54"/>
        <v>-2.4236218402267333</v>
      </c>
      <c r="P288" s="10">
        <f t="shared" si="55"/>
        <v>5.8739428244240175</v>
      </c>
      <c r="V288" s="10">
        <f t="shared" si="58"/>
        <v>5.5451691793255854E-2</v>
      </c>
      <c r="W288" s="13">
        <f t="shared" si="59"/>
        <v>31.163442132081414</v>
      </c>
      <c r="Z288" s="15">
        <f t="shared" si="53"/>
        <v>64.096747646420553</v>
      </c>
    </row>
    <row r="289" spans="1:26">
      <c r="A289" s="84">
        <f>'Q.6 Rand()'!R287</f>
        <v>3.6</v>
      </c>
      <c r="B289" s="141">
        <f>'Q.6 Rand()'!S287</f>
        <v>29.5</v>
      </c>
      <c r="D289" s="23"/>
      <c r="E289" s="24"/>
      <c r="F289" s="22">
        <f t="shared" si="50"/>
        <v>0.13712737127371177</v>
      </c>
      <c r="G289" s="22">
        <f t="shared" si="51"/>
        <v>-5.208244444444496</v>
      </c>
      <c r="H289" s="18">
        <f t="shared" si="56"/>
        <v>-0.7141928696175871</v>
      </c>
      <c r="I289" s="18">
        <f t="shared" si="57"/>
        <v>1.8803915952438393E-2</v>
      </c>
      <c r="J289" s="24"/>
      <c r="K289" s="24"/>
      <c r="L289" s="19">
        <f t="shared" si="52"/>
        <v>34.089469890723976</v>
      </c>
      <c r="O289" s="9">
        <f t="shared" si="54"/>
        <v>-4.5894698907239757</v>
      </c>
      <c r="P289" s="10">
        <f t="shared" si="55"/>
        <v>21.06323387786194</v>
      </c>
      <c r="V289" s="10">
        <f t="shared" si="58"/>
        <v>9.0764874812814422E-2</v>
      </c>
      <c r="W289" s="13">
        <f t="shared" si="59"/>
        <v>0.38288194833202899</v>
      </c>
      <c r="Z289" s="15">
        <f t="shared" si="53"/>
        <v>27.125810193086956</v>
      </c>
    </row>
    <row r="290" spans="1:26">
      <c r="A290" s="84">
        <f>'Q.6 Rand()'!R288</f>
        <v>2.2999999999999998</v>
      </c>
      <c r="B290" s="141">
        <f>'Q.6 Rand()'!S288</f>
        <v>34.700000000000003</v>
      </c>
      <c r="D290" s="23"/>
      <c r="E290" s="24"/>
      <c r="F290" s="22">
        <f t="shared" si="50"/>
        <v>-1.1628726287262885</v>
      </c>
      <c r="G290" s="22">
        <f t="shared" si="51"/>
        <v>-8.2444444444931264E-3</v>
      </c>
      <c r="H290" s="18">
        <f t="shared" si="56"/>
        <v>9.5872387835555673E-3</v>
      </c>
      <c r="I290" s="18">
        <f t="shared" si="57"/>
        <v>1.3522727506407883</v>
      </c>
      <c r="J290" s="24"/>
      <c r="K290" s="24"/>
      <c r="L290" s="19">
        <f t="shared" si="52"/>
        <v>39.955599404947989</v>
      </c>
      <c r="O290" s="9">
        <f t="shared" si="54"/>
        <v>-5.2555994049479864</v>
      </c>
      <c r="P290" s="10">
        <f t="shared" si="55"/>
        <v>27.621325105289628</v>
      </c>
      <c r="V290" s="10">
        <f t="shared" si="58"/>
        <v>0.15557525053301613</v>
      </c>
      <c r="W290" s="13">
        <f t="shared" si="59"/>
        <v>27.534734081520618</v>
      </c>
      <c r="Z290" s="15">
        <f t="shared" si="53"/>
        <v>6.7970864198333569E-5</v>
      </c>
    </row>
    <row r="291" spans="1:26">
      <c r="A291" s="84">
        <f>'Q.6 Rand()'!R289</f>
        <v>2.4</v>
      </c>
      <c r="B291" s="141">
        <f>'Q.6 Rand()'!S289</f>
        <v>38.200000000000003</v>
      </c>
      <c r="D291" s="23"/>
      <c r="E291" s="24"/>
      <c r="F291" s="22">
        <f t="shared" si="50"/>
        <v>-1.0628726287262884</v>
      </c>
      <c r="G291" s="22">
        <f t="shared" si="51"/>
        <v>3.4917555555555069</v>
      </c>
      <c r="H291" s="18">
        <f t="shared" si="56"/>
        <v>-3.711291406202903</v>
      </c>
      <c r="I291" s="18">
        <f t="shared" si="57"/>
        <v>1.1296982248955305</v>
      </c>
      <c r="J291" s="24"/>
      <c r="K291" s="24"/>
      <c r="L291" s="19">
        <f t="shared" si="52"/>
        <v>39.50435867308461</v>
      </c>
      <c r="O291" s="9">
        <f t="shared" si="54"/>
        <v>-1.3043586730846073</v>
      </c>
      <c r="P291" s="10">
        <f t="shared" si="55"/>
        <v>1.7013515480510375</v>
      </c>
      <c r="V291" s="10">
        <f t="shared" si="58"/>
        <v>0.15145819610801112</v>
      </c>
      <c r="W291" s="13">
        <f t="shared" si="59"/>
        <v>23.002711694164159</v>
      </c>
      <c r="Z291" s="15">
        <f t="shared" si="53"/>
        <v>12.192356859752746</v>
      </c>
    </row>
    <row r="292" spans="1:26">
      <c r="A292" s="84">
        <f>'Q.6 Rand()'!R290</f>
        <v>5.3</v>
      </c>
      <c r="B292" s="141">
        <f>'Q.6 Rand()'!S290</f>
        <v>28.993500000000001</v>
      </c>
      <c r="D292" s="23"/>
      <c r="E292" s="24"/>
      <c r="F292" s="22">
        <f t="shared" si="50"/>
        <v>1.8371273712737115</v>
      </c>
      <c r="G292" s="22">
        <f t="shared" si="51"/>
        <v>-5.714744444444495</v>
      </c>
      <c r="H292" s="18">
        <f t="shared" si="56"/>
        <v>-10.498713438723362</v>
      </c>
      <c r="I292" s="18">
        <f t="shared" si="57"/>
        <v>3.3750369782830574</v>
      </c>
      <c r="J292" s="24"/>
      <c r="K292" s="24"/>
      <c r="L292" s="19">
        <f t="shared" si="52"/>
        <v>26.418377449046421</v>
      </c>
      <c r="O292" s="9">
        <f t="shared" si="54"/>
        <v>2.57512255095358</v>
      </c>
      <c r="P292" s="10">
        <f t="shared" si="55"/>
        <v>6.6312561524296729</v>
      </c>
      <c r="V292" s="10">
        <f t="shared" si="58"/>
        <v>3.4145515002214848E-2</v>
      </c>
      <c r="W292" s="13">
        <f t="shared" si="59"/>
        <v>68.721894801390306</v>
      </c>
      <c r="Z292" s="15">
        <f t="shared" si="53"/>
        <v>32.658304065309217</v>
      </c>
    </row>
    <row r="293" spans="1:26">
      <c r="A293" s="84">
        <f>'Q.6 Rand()'!R291</f>
        <v>4.4000000000000004</v>
      </c>
      <c r="B293" s="141">
        <f>'Q.6 Rand()'!S291</f>
        <v>26.6</v>
      </c>
      <c r="D293" s="23"/>
      <c r="E293" s="24"/>
      <c r="F293" s="22">
        <f t="shared" si="50"/>
        <v>0.93712737127371204</v>
      </c>
      <c r="G293" s="22">
        <f t="shared" si="51"/>
        <v>-8.1082444444444945</v>
      </c>
      <c r="H293" s="18">
        <f t="shared" si="56"/>
        <v>-7.5984578018669486</v>
      </c>
      <c r="I293" s="18">
        <f t="shared" si="57"/>
        <v>0.87820770999037778</v>
      </c>
      <c r="J293" s="24"/>
      <c r="K293" s="24"/>
      <c r="L293" s="19">
        <f t="shared" si="52"/>
        <v>30.47954403581689</v>
      </c>
      <c r="O293" s="9">
        <f t="shared" si="54"/>
        <v>-3.8795440358168882</v>
      </c>
      <c r="P293" s="10">
        <f t="shared" si="55"/>
        <v>15.050861925842389</v>
      </c>
      <c r="V293" s="10">
        <f t="shared" si="58"/>
        <v>8.8817236654890927E-2</v>
      </c>
      <c r="W293" s="13">
        <f t="shared" si="59"/>
        <v>17.881907145927286</v>
      </c>
      <c r="Z293" s="15">
        <f t="shared" si="53"/>
        <v>65.743627970865006</v>
      </c>
    </row>
    <row r="294" spans="1:26">
      <c r="A294" s="84">
        <f>'Q.6 Rand()'!R292</f>
        <v>2.4</v>
      </c>
      <c r="B294" s="141">
        <f>'Q.6 Rand()'!S292</f>
        <v>35</v>
      </c>
      <c r="D294" s="23"/>
      <c r="E294" s="24"/>
      <c r="F294" s="22">
        <f t="shared" si="50"/>
        <v>-1.0628726287262884</v>
      </c>
      <c r="G294" s="22">
        <f t="shared" si="51"/>
        <v>0.29175555555550403</v>
      </c>
      <c r="H294" s="18">
        <f t="shared" si="56"/>
        <v>-0.31009899427877724</v>
      </c>
      <c r="I294" s="18">
        <f t="shared" si="57"/>
        <v>1.1296982248955305</v>
      </c>
      <c r="J294" s="24"/>
      <c r="K294" s="24"/>
      <c r="L294" s="19">
        <f t="shared" si="52"/>
        <v>39.50435867308461</v>
      </c>
      <c r="O294" s="9">
        <f t="shared" si="54"/>
        <v>-4.5043586730846101</v>
      </c>
      <c r="P294" s="10">
        <f t="shared" si="55"/>
        <v>20.289247055792551</v>
      </c>
      <c r="V294" s="10">
        <f t="shared" si="58"/>
        <v>0.14584752014349203</v>
      </c>
      <c r="W294" s="13">
        <f t="shared" si="59"/>
        <v>23.002711694164159</v>
      </c>
      <c r="Z294" s="15">
        <f t="shared" si="53"/>
        <v>8.5121304197500802E-2</v>
      </c>
    </row>
    <row r="295" spans="1:26">
      <c r="A295" s="84">
        <f>'Q.6 Rand()'!R293</f>
        <v>3.8</v>
      </c>
      <c r="B295" s="141">
        <f>'Q.6 Rand()'!S293</f>
        <v>33.200000000000003</v>
      </c>
      <c r="D295" s="23"/>
      <c r="E295" s="24"/>
      <c r="F295" s="22">
        <f t="shared" si="50"/>
        <v>0.33712737127371151</v>
      </c>
      <c r="G295" s="22">
        <f t="shared" si="51"/>
        <v>-1.5082444444444931</v>
      </c>
      <c r="H295" s="18">
        <f t="shared" si="56"/>
        <v>-0.50847048479375134</v>
      </c>
      <c r="I295" s="18">
        <f t="shared" si="57"/>
        <v>0.11365486446192292</v>
      </c>
      <c r="J295" s="24"/>
      <c r="K295" s="24"/>
      <c r="L295" s="19">
        <f t="shared" si="52"/>
        <v>33.186988426997203</v>
      </c>
      <c r="O295" s="9">
        <f t="shared" si="54"/>
        <v>1.3011573002799537E-2</v>
      </c>
      <c r="P295" s="10">
        <f t="shared" si="55"/>
        <v>1.6930103200718175E-4</v>
      </c>
      <c r="V295" s="10">
        <f t="shared" si="58"/>
        <v>0.12869596208813172</v>
      </c>
      <c r="W295" s="13">
        <f t="shared" si="59"/>
        <v>2.3142198706195978</v>
      </c>
      <c r="Z295" s="15">
        <f t="shared" si="53"/>
        <v>2.2748013041976778</v>
      </c>
    </row>
    <row r="296" spans="1:26">
      <c r="A296" s="84">
        <f>'Q.6 Rand()'!R294</f>
        <v>2.7</v>
      </c>
      <c r="B296" s="141">
        <f>'Q.6 Rand()'!S294</f>
        <v>35.700000000000003</v>
      </c>
      <c r="D296" s="23"/>
      <c r="E296" s="24"/>
      <c r="F296" s="22">
        <f t="shared" si="50"/>
        <v>-0.76287262872628814</v>
      </c>
      <c r="G296" s="22">
        <f t="shared" si="51"/>
        <v>0.99175555555550687</v>
      </c>
      <c r="H296" s="18">
        <f t="shared" si="56"/>
        <v>-0.7565831677205298</v>
      </c>
      <c r="I296" s="18">
        <f t="shared" si="57"/>
        <v>0.58197464765975704</v>
      </c>
      <c r="J296" s="24"/>
      <c r="K296" s="24"/>
      <c r="L296" s="19">
        <f t="shared" si="52"/>
        <v>38.150636477494444</v>
      </c>
      <c r="O296" s="9">
        <f t="shared" si="54"/>
        <v>-2.4506364774944416</v>
      </c>
      <c r="P296" s="10">
        <f t="shared" si="55"/>
        <v>6.0056191448263645</v>
      </c>
      <c r="V296" s="10">
        <f t="shared" si="58"/>
        <v>3.9191484948191373E-4</v>
      </c>
      <c r="W296" s="13">
        <f t="shared" si="59"/>
        <v>11.850062909205757</v>
      </c>
      <c r="Z296" s="15">
        <f t="shared" si="53"/>
        <v>0.98357908197521204</v>
      </c>
    </row>
    <row r="297" spans="1:26">
      <c r="A297" s="84">
        <f>'Q.6 Rand()'!R295</f>
        <v>2</v>
      </c>
      <c r="B297" s="141">
        <f>'Q.6 Rand()'!S295</f>
        <v>47.327800000000003</v>
      </c>
      <c r="D297" s="23"/>
      <c r="E297" s="24"/>
      <c r="F297" s="22">
        <f t="shared" si="50"/>
        <v>-1.4628726287262883</v>
      </c>
      <c r="G297" s="22">
        <f t="shared" si="51"/>
        <v>12.619555555555507</v>
      </c>
      <c r="H297" s="18">
        <f t="shared" si="56"/>
        <v>-18.460802408912922</v>
      </c>
      <c r="I297" s="18">
        <f t="shared" si="57"/>
        <v>2.139996327876561</v>
      </c>
      <c r="J297" s="24"/>
      <c r="K297" s="24"/>
      <c r="L297" s="19">
        <f t="shared" si="52"/>
        <v>41.309321600538148</v>
      </c>
      <c r="O297" s="9">
        <f t="shared" si="54"/>
        <v>6.0184783994618556</v>
      </c>
      <c r="P297" s="10">
        <f t="shared" si="55"/>
        <v>36.222082244788936</v>
      </c>
      <c r="V297" s="10">
        <f t="shared" si="58"/>
        <v>6.8645279481637012E-2</v>
      </c>
      <c r="W297" s="13">
        <f t="shared" si="59"/>
        <v>43.574219620701456</v>
      </c>
      <c r="Z297" s="15">
        <f t="shared" si="53"/>
        <v>159.25318241975188</v>
      </c>
    </row>
    <row r="298" spans="1:26">
      <c r="A298" s="84">
        <f>'Q.6 Rand()'!R296</f>
        <v>4.8</v>
      </c>
      <c r="B298" s="141">
        <f>'Q.6 Rand()'!S296</f>
        <v>25.7761</v>
      </c>
      <c r="D298" s="23"/>
      <c r="E298" s="24"/>
      <c r="F298" s="22">
        <f t="shared" si="50"/>
        <v>1.3371273712737115</v>
      </c>
      <c r="G298" s="22">
        <f t="shared" si="51"/>
        <v>-8.9321444444444964</v>
      </c>
      <c r="H298" s="18">
        <f t="shared" si="56"/>
        <v>-11.943414820837155</v>
      </c>
      <c r="I298" s="18">
        <f t="shared" si="57"/>
        <v>1.7879096070093459</v>
      </c>
      <c r="J298" s="24"/>
      <c r="K298" s="24"/>
      <c r="L298" s="19">
        <f t="shared" si="52"/>
        <v>28.674581108363348</v>
      </c>
      <c r="O298" s="9">
        <f t="shared" si="54"/>
        <v>-2.8984811083633488</v>
      </c>
      <c r="P298" s="10">
        <f t="shared" si="55"/>
        <v>8.4011927355392277</v>
      </c>
      <c r="V298" s="10">
        <f t="shared" si="58"/>
        <v>0.12716581796453363</v>
      </c>
      <c r="W298" s="13">
        <f t="shared" si="59"/>
        <v>36.405093253169881</v>
      </c>
      <c r="Z298" s="15">
        <f t="shared" si="53"/>
        <v>79.783204376420684</v>
      </c>
    </row>
    <row r="299" spans="1:26">
      <c r="A299" s="84">
        <f>'Q.6 Rand()'!R297</f>
        <v>2.4</v>
      </c>
      <c r="B299" s="141">
        <f>'Q.6 Rand()'!S297</f>
        <v>42.3947</v>
      </c>
      <c r="D299" s="23"/>
      <c r="E299" s="24"/>
      <c r="F299" s="22">
        <f t="shared" si="50"/>
        <v>-1.0628726287262884</v>
      </c>
      <c r="G299" s="22">
        <f t="shared" si="51"/>
        <v>7.6864555555555043</v>
      </c>
      <c r="H299" s="18">
        <f t="shared" si="56"/>
        <v>-8.1697232219210623</v>
      </c>
      <c r="I299" s="18">
        <f t="shared" si="57"/>
        <v>1.1296982248955305</v>
      </c>
      <c r="J299" s="24"/>
      <c r="K299" s="24"/>
      <c r="L299" s="19">
        <f t="shared" si="52"/>
        <v>39.50435867308461</v>
      </c>
      <c r="O299" s="9">
        <f t="shared" si="54"/>
        <v>2.8903413269153901</v>
      </c>
      <c r="P299" s="10">
        <f t="shared" si="55"/>
        <v>8.3540729860750176</v>
      </c>
      <c r="V299" s="10">
        <f t="shared" si="58"/>
        <v>0.11244839631920069</v>
      </c>
      <c r="W299" s="13">
        <f t="shared" si="59"/>
        <v>23.002711694164159</v>
      </c>
      <c r="Z299" s="15">
        <f t="shared" si="53"/>
        <v>59.081599007530073</v>
      </c>
    </row>
    <row r="300" spans="1:26">
      <c r="A300" s="84">
        <f>'Q.6 Rand()'!R298</f>
        <v>5.2</v>
      </c>
      <c r="B300" s="141">
        <f>'Q.6 Rand()'!S298</f>
        <v>24</v>
      </c>
      <c r="D300" s="23"/>
      <c r="E300" s="24"/>
      <c r="F300" s="22">
        <f t="shared" si="50"/>
        <v>1.7371273712737119</v>
      </c>
      <c r="G300" s="22">
        <f t="shared" si="51"/>
        <v>-10.708244444444496</v>
      </c>
      <c r="H300" s="18">
        <f t="shared" si="56"/>
        <v>-18.601584522734196</v>
      </c>
      <c r="I300" s="18">
        <f t="shared" si="57"/>
        <v>3.0176115040283165</v>
      </c>
      <c r="J300" s="24"/>
      <c r="K300" s="24"/>
      <c r="L300" s="19">
        <f t="shared" si="52"/>
        <v>26.869618180909804</v>
      </c>
      <c r="O300" s="9">
        <f t="shared" si="54"/>
        <v>-2.8696181809098036</v>
      </c>
      <c r="P300" s="10">
        <f t="shared" si="55"/>
        <v>8.2347085042080899</v>
      </c>
      <c r="V300" s="10">
        <f t="shared" si="58"/>
        <v>6.8176949640294429E-2</v>
      </c>
      <c r="W300" s="13">
        <f t="shared" si="59"/>
        <v>61.444061699375851</v>
      </c>
      <c r="Z300" s="15">
        <f t="shared" si="53"/>
        <v>114.66649908197641</v>
      </c>
    </row>
    <row r="301" spans="1:26">
      <c r="A301" s="84">
        <f>'Q.6 Rand()'!R299</f>
        <v>3.5</v>
      </c>
      <c r="B301" s="141">
        <f>'Q.6 Rand()'!S299</f>
        <v>38.034700000000001</v>
      </c>
      <c r="D301" s="23"/>
      <c r="E301" s="24"/>
      <c r="F301" s="22">
        <f t="shared" si="50"/>
        <v>3.7127371273711685E-2</v>
      </c>
      <c r="G301" s="22">
        <f t="shared" si="51"/>
        <v>3.3264555555555049</v>
      </c>
      <c r="H301" s="18">
        <f t="shared" si="56"/>
        <v>0.1235025504366101</v>
      </c>
      <c r="I301" s="18">
        <f t="shared" si="57"/>
        <v>1.3784416976960316E-3</v>
      </c>
      <c r="J301" s="24"/>
      <c r="K301" s="24"/>
      <c r="L301" s="19">
        <f t="shared" si="52"/>
        <v>34.540710622587362</v>
      </c>
      <c r="O301" s="9">
        <f t="shared" si="54"/>
        <v>3.4939893774126389</v>
      </c>
      <c r="P301" s="10">
        <f t="shared" si="55"/>
        <v>12.207961769472361</v>
      </c>
      <c r="V301" s="10">
        <f t="shared" si="58"/>
        <v>0.11956742420457515</v>
      </c>
      <c r="W301" s="13">
        <f t="shared" si="59"/>
        <v>2.806758146605793E-2</v>
      </c>
      <c r="Z301" s="15">
        <f t="shared" si="53"/>
        <v>11.065306563086082</v>
      </c>
    </row>
    <row r="302" spans="1:26">
      <c r="A302" s="84">
        <f>'Q.6 Rand()'!R300</f>
        <v>4.5999999999999996</v>
      </c>
      <c r="B302" s="141">
        <f>'Q.6 Rand()'!S300</f>
        <v>32.149900000000002</v>
      </c>
      <c r="D302" s="23"/>
      <c r="E302" s="24"/>
      <c r="F302" s="22">
        <f t="shared" si="50"/>
        <v>1.1371273712737113</v>
      </c>
      <c r="G302" s="22">
        <f t="shared" si="51"/>
        <v>-2.5583444444444936</v>
      </c>
      <c r="H302" s="18">
        <f t="shared" si="56"/>
        <v>-2.9091634929238706</v>
      </c>
      <c r="I302" s="18">
        <f t="shared" si="57"/>
        <v>1.2930586584998609</v>
      </c>
      <c r="J302" s="24"/>
      <c r="K302" s="24"/>
      <c r="L302" s="19">
        <f t="shared" si="52"/>
        <v>29.577062572090121</v>
      </c>
      <c r="O302" s="9">
        <f t="shared" si="54"/>
        <v>2.5728374279098816</v>
      </c>
      <c r="P302" s="10">
        <f t="shared" si="55"/>
        <v>6.6194924304539349</v>
      </c>
      <c r="V302" s="10">
        <f t="shared" si="58"/>
        <v>9.1863203269978169E-2</v>
      </c>
      <c r="W302" s="13">
        <f t="shared" si="59"/>
        <v>26.329027407178152</v>
      </c>
      <c r="Z302" s="15">
        <f t="shared" si="53"/>
        <v>6.5451262964200048</v>
      </c>
    </row>
    <row r="303" spans="1:26">
      <c r="A303" s="84">
        <f>'Q.6 Rand()'!R301</f>
        <v>3</v>
      </c>
      <c r="B303" s="141">
        <f>'Q.6 Rand()'!S301</f>
        <v>38.7896</v>
      </c>
      <c r="D303" s="23"/>
      <c r="E303" s="24"/>
      <c r="F303" s="22">
        <f t="shared" si="50"/>
        <v>-0.46287262872628832</v>
      </c>
      <c r="G303" s="22">
        <f t="shared" si="51"/>
        <v>4.0813555555555041</v>
      </c>
      <c r="H303" s="18">
        <f t="shared" si="56"/>
        <v>-1.889147774766617</v>
      </c>
      <c r="I303" s="18">
        <f t="shared" si="57"/>
        <v>0.21425107042398434</v>
      </c>
      <c r="J303" s="24"/>
      <c r="K303" s="24"/>
      <c r="L303" s="19">
        <f t="shared" si="52"/>
        <v>36.796914281904293</v>
      </c>
      <c r="O303" s="9">
        <f t="shared" si="54"/>
        <v>1.9926857180957072</v>
      </c>
      <c r="P303" s="10">
        <f t="shared" si="55"/>
        <v>3.9707963711026042</v>
      </c>
      <c r="V303" s="10">
        <f t="shared" si="58"/>
        <v>8.0026296439798611E-2</v>
      </c>
      <c r="W303" s="13">
        <f t="shared" si="59"/>
        <v>4.3625416899143348</v>
      </c>
      <c r="Z303" s="15">
        <f t="shared" si="53"/>
        <v>16.657463170863778</v>
      </c>
    </row>
    <row r="304" spans="1:26">
      <c r="A304" s="84">
        <f>'Q.6 Rand()'!R302</f>
        <v>2.7</v>
      </c>
      <c r="B304" s="141">
        <f>'Q.6 Rand()'!S302</f>
        <v>32.700000000000003</v>
      </c>
      <c r="D304" s="23"/>
      <c r="E304" s="24"/>
      <c r="F304" s="22">
        <f t="shared" si="50"/>
        <v>-0.76287262872628814</v>
      </c>
      <c r="G304" s="22">
        <f t="shared" si="51"/>
        <v>-2.0082444444444931</v>
      </c>
      <c r="H304" s="18">
        <f t="shared" si="56"/>
        <v>1.5320347184583345</v>
      </c>
      <c r="I304" s="18">
        <f t="shared" si="57"/>
        <v>0.58197464765975704</v>
      </c>
      <c r="J304" s="24"/>
      <c r="K304" s="24"/>
      <c r="L304" s="19">
        <f t="shared" si="52"/>
        <v>38.150636477494444</v>
      </c>
      <c r="O304" s="9">
        <f t="shared" si="54"/>
        <v>-5.4506364774944416</v>
      </c>
      <c r="P304" s="10">
        <f t="shared" si="55"/>
        <v>29.709438009793015</v>
      </c>
      <c r="V304" s="10">
        <f t="shared" si="58"/>
        <v>5.1371649052728237E-2</v>
      </c>
      <c r="W304" s="13">
        <f t="shared" si="59"/>
        <v>11.850062909205757</v>
      </c>
      <c r="Z304" s="15">
        <f t="shared" si="53"/>
        <v>4.0330457486421709</v>
      </c>
    </row>
    <row r="305" spans="1:26">
      <c r="A305" s="84">
        <f>'Q.6 Rand()'!R303</f>
        <v>2.5</v>
      </c>
      <c r="B305" s="141">
        <f>'Q.6 Rand()'!S303</f>
        <v>38.377800000000001</v>
      </c>
      <c r="D305" s="23"/>
      <c r="E305" s="24"/>
      <c r="F305" s="22">
        <f t="shared" si="50"/>
        <v>-0.96287262872628832</v>
      </c>
      <c r="G305" s="22">
        <f t="shared" si="51"/>
        <v>3.6695555555555046</v>
      </c>
      <c r="H305" s="18">
        <f t="shared" si="56"/>
        <v>-3.5333146040348842</v>
      </c>
      <c r="I305" s="18">
        <f t="shared" si="57"/>
        <v>0.92712369915027271</v>
      </c>
      <c r="J305" s="24"/>
      <c r="K305" s="24"/>
      <c r="L305" s="19">
        <f t="shared" si="52"/>
        <v>39.053117941221217</v>
      </c>
      <c r="O305" s="9">
        <f t="shared" si="54"/>
        <v>-0.67531794122121624</v>
      </c>
      <c r="P305" s="10">
        <f t="shared" si="55"/>
        <v>0.45605432173526206</v>
      </c>
      <c r="V305" s="10">
        <f t="shared" si="58"/>
        <v>0.16668613081022757</v>
      </c>
      <c r="W305" s="13">
        <f t="shared" si="59"/>
        <v>18.877925702992769</v>
      </c>
      <c r="Z305" s="15">
        <f t="shared" si="53"/>
        <v>13.465637975308269</v>
      </c>
    </row>
    <row r="306" spans="1:26">
      <c r="A306" s="84">
        <f>'Q.6 Rand()'!R304</f>
        <v>2</v>
      </c>
      <c r="B306" s="141">
        <f>'Q.6 Rand()'!S304</f>
        <v>37.5</v>
      </c>
      <c r="D306" s="23"/>
      <c r="E306" s="24"/>
      <c r="F306" s="22">
        <f t="shared" si="50"/>
        <v>-1.4628726287262883</v>
      </c>
      <c r="G306" s="22">
        <f t="shared" si="51"/>
        <v>2.791755555555504</v>
      </c>
      <c r="H306" s="18">
        <f t="shared" si="56"/>
        <v>-4.0839827883166997</v>
      </c>
      <c r="I306" s="18">
        <f t="shared" si="57"/>
        <v>2.139996327876561</v>
      </c>
      <c r="J306" s="24"/>
      <c r="K306" s="24"/>
      <c r="L306" s="19">
        <f t="shared" si="52"/>
        <v>41.309321600538148</v>
      </c>
      <c r="O306" s="9">
        <f t="shared" si="54"/>
        <v>-3.8093216005381478</v>
      </c>
      <c r="P306" s="10">
        <f t="shared" si="55"/>
        <v>14.510931056326516</v>
      </c>
      <c r="V306" s="10">
        <f t="shared" si="58"/>
        <v>1.7596577740808913E-2</v>
      </c>
      <c r="W306" s="13">
        <f t="shared" si="59"/>
        <v>43.574219620701456</v>
      </c>
      <c r="Z306" s="15">
        <f t="shared" si="53"/>
        <v>7.7938990819750211</v>
      </c>
    </row>
    <row r="307" spans="1:26">
      <c r="A307" s="84">
        <f>'Q.6 Rand()'!R305</f>
        <v>3</v>
      </c>
      <c r="B307" s="141">
        <f>'Q.6 Rand()'!S305</f>
        <v>34.548200000000001</v>
      </c>
      <c r="D307" s="23"/>
      <c r="E307" s="24"/>
      <c r="F307" s="22">
        <f t="shared" si="50"/>
        <v>-0.46287262872628832</v>
      </c>
      <c r="G307" s="22">
        <f t="shared" si="51"/>
        <v>-0.16004444444449462</v>
      </c>
      <c r="H307" s="18">
        <f t="shared" si="56"/>
        <v>7.4080192713061627E-2</v>
      </c>
      <c r="I307" s="18">
        <f t="shared" si="57"/>
        <v>0.21425107042398434</v>
      </c>
      <c r="J307" s="24"/>
      <c r="K307" s="24"/>
      <c r="L307" s="19">
        <f t="shared" si="52"/>
        <v>36.796914281904293</v>
      </c>
      <c r="O307" s="9">
        <f t="shared" si="54"/>
        <v>-2.2487142819042916</v>
      </c>
      <c r="P307" s="10">
        <f t="shared" si="55"/>
        <v>5.0567159216403335</v>
      </c>
      <c r="V307" s="10">
        <f t="shared" si="58"/>
        <v>0.10158190934768395</v>
      </c>
      <c r="W307" s="13">
        <f t="shared" si="59"/>
        <v>4.3625416899143348</v>
      </c>
      <c r="Z307" s="15">
        <f t="shared" si="53"/>
        <v>2.5614224197546925E-2</v>
      </c>
    </row>
    <row r="308" spans="1:26">
      <c r="A308" s="84">
        <f>'Q.6 Rand()'!R306</f>
        <v>6.3</v>
      </c>
      <c r="B308" s="141">
        <f>'Q.6 Rand()'!S306</f>
        <v>24.6</v>
      </c>
      <c r="D308" s="23"/>
      <c r="E308" s="24"/>
      <c r="F308" s="22">
        <f t="shared" si="50"/>
        <v>2.8371273712737115</v>
      </c>
      <c r="G308" s="22">
        <f t="shared" si="51"/>
        <v>-10.108244444444495</v>
      </c>
      <c r="H308" s="18">
        <f t="shared" si="56"/>
        <v>-28.678376988858908</v>
      </c>
      <c r="I308" s="18">
        <f t="shared" si="57"/>
        <v>8.0492917208304799</v>
      </c>
      <c r="J308" s="24"/>
      <c r="K308" s="24"/>
      <c r="L308" s="19">
        <f t="shared" si="52"/>
        <v>21.905970130412562</v>
      </c>
      <c r="O308" s="9">
        <f t="shared" si="54"/>
        <v>2.694029869587439</v>
      </c>
      <c r="P308" s="10">
        <f t="shared" si="55"/>
        <v>7.2577969382293137</v>
      </c>
      <c r="V308" s="10">
        <f t="shared" si="58"/>
        <v>6.5089187914400506E-2</v>
      </c>
      <c r="W308" s="13">
        <f t="shared" si="59"/>
        <v>163.89822761172181</v>
      </c>
      <c r="Z308" s="15">
        <f t="shared" si="53"/>
        <v>102.17660574864298</v>
      </c>
    </row>
    <row r="309" spans="1:26">
      <c r="A309" s="84">
        <f>'Q.6 Rand()'!R307</f>
        <v>2.7</v>
      </c>
      <c r="B309" s="141">
        <f>'Q.6 Rand()'!S307</f>
        <v>30.3</v>
      </c>
      <c r="D309" s="23"/>
      <c r="E309" s="24"/>
      <c r="F309" s="22">
        <f t="shared" si="50"/>
        <v>-0.76287262872628814</v>
      </c>
      <c r="G309" s="22">
        <f t="shared" si="51"/>
        <v>-4.4082444444444953</v>
      </c>
      <c r="H309" s="18">
        <f t="shared" si="56"/>
        <v>3.3629290274014276</v>
      </c>
      <c r="I309" s="18">
        <f t="shared" si="57"/>
        <v>0.58197464765975704</v>
      </c>
      <c r="J309" s="24"/>
      <c r="K309" s="24"/>
      <c r="L309" s="19">
        <f t="shared" si="52"/>
        <v>38.150636477494444</v>
      </c>
      <c r="O309" s="9">
        <f t="shared" si="54"/>
        <v>-7.8506364774944437</v>
      </c>
      <c r="P309" s="10">
        <f t="shared" si="55"/>
        <v>61.632493101766364</v>
      </c>
      <c r="V309" s="10">
        <f t="shared" si="58"/>
        <v>0.10951340933282272</v>
      </c>
      <c r="W309" s="13">
        <f t="shared" si="59"/>
        <v>11.850062909205757</v>
      </c>
      <c r="Z309" s="15">
        <f t="shared" si="53"/>
        <v>19.432619081975755</v>
      </c>
    </row>
    <row r="310" spans="1:26">
      <c r="A310" s="84">
        <f>'Q.6 Rand()'!R308</f>
        <v>2.5</v>
      </c>
      <c r="B310" s="141">
        <f>'Q.6 Rand()'!S308</f>
        <v>34.6</v>
      </c>
      <c r="D310" s="23"/>
      <c r="E310" s="24"/>
      <c r="F310" s="22">
        <f t="shared" si="50"/>
        <v>-0.96287262872628832</v>
      </c>
      <c r="G310" s="22">
        <f t="shared" si="51"/>
        <v>-0.10824444444449455</v>
      </c>
      <c r="H310" s="18">
        <f t="shared" si="56"/>
        <v>0.10422561276728715</v>
      </c>
      <c r="I310" s="18">
        <f t="shared" si="57"/>
        <v>0.92712369915027271</v>
      </c>
      <c r="J310" s="24"/>
      <c r="K310" s="24"/>
      <c r="L310" s="19">
        <f t="shared" si="52"/>
        <v>39.053117941221217</v>
      </c>
      <c r="O310" s="9">
        <f t="shared" si="54"/>
        <v>-4.4531179412212154</v>
      </c>
      <c r="P310" s="10">
        <f t="shared" si="55"/>
        <v>19.830259398426275</v>
      </c>
      <c r="V310" s="10">
        <f t="shared" si="58"/>
        <v>0.25909691344866148</v>
      </c>
      <c r="W310" s="13">
        <f t="shared" si="59"/>
        <v>18.877925702992769</v>
      </c>
      <c r="Z310" s="15">
        <f t="shared" si="53"/>
        <v>1.1716859753097266E-2</v>
      </c>
    </row>
    <row r="311" spans="1:26">
      <c r="A311" s="84">
        <f>'Q.6 Rand()'!R309</f>
        <v>3</v>
      </c>
      <c r="B311" s="141">
        <f>'Q.6 Rand()'!S309</f>
        <v>33.200000000000003</v>
      </c>
      <c r="D311" s="23"/>
      <c r="E311" s="24"/>
      <c r="F311" s="22">
        <f t="shared" si="50"/>
        <v>-0.46287262872628832</v>
      </c>
      <c r="G311" s="22">
        <f t="shared" si="51"/>
        <v>-1.5082444444444931</v>
      </c>
      <c r="H311" s="18">
        <f t="shared" si="56"/>
        <v>0.69812507076184283</v>
      </c>
      <c r="I311" s="18">
        <f t="shared" si="57"/>
        <v>0.21425107042398434</v>
      </c>
      <c r="J311" s="24"/>
      <c r="K311" s="24"/>
      <c r="L311" s="19">
        <f t="shared" si="52"/>
        <v>36.796914281904293</v>
      </c>
      <c r="O311" s="9">
        <f t="shared" si="54"/>
        <v>-3.5969142819042901</v>
      </c>
      <c r="P311" s="10">
        <f t="shared" si="55"/>
        <v>12.937792351367055</v>
      </c>
      <c r="V311" s="10">
        <f t="shared" si="58"/>
        <v>0.12870283067113339</v>
      </c>
      <c r="W311" s="13">
        <f t="shared" si="59"/>
        <v>4.3625416899143348</v>
      </c>
      <c r="Z311" s="15">
        <f t="shared" si="53"/>
        <v>2.2748013041976778</v>
      </c>
    </row>
    <row r="312" spans="1:26">
      <c r="A312" s="84">
        <f>'Q.6 Rand()'!R310</f>
        <v>3.8</v>
      </c>
      <c r="B312" s="141">
        <f>'Q.6 Rand()'!S310</f>
        <v>31.9</v>
      </c>
      <c r="D312" s="23"/>
      <c r="E312" s="24"/>
      <c r="F312" s="22">
        <f t="shared" si="50"/>
        <v>0.33712737127371151</v>
      </c>
      <c r="G312" s="22">
        <f t="shared" si="51"/>
        <v>-2.8082444444444974</v>
      </c>
      <c r="H312" s="18">
        <f t="shared" si="56"/>
        <v>-0.94673606744957783</v>
      </c>
      <c r="I312" s="18">
        <f t="shared" si="57"/>
        <v>0.11365486446192292</v>
      </c>
      <c r="J312" s="24"/>
      <c r="K312" s="24"/>
      <c r="L312" s="19">
        <f t="shared" si="52"/>
        <v>33.186988426997203</v>
      </c>
      <c r="O312" s="9">
        <f t="shared" si="54"/>
        <v>-1.2869884269972047</v>
      </c>
      <c r="P312" s="10">
        <f t="shared" si="55"/>
        <v>1.6563392112247393</v>
      </c>
      <c r="V312" s="10">
        <f t="shared" si="58"/>
        <v>0.10834079162362319</v>
      </c>
      <c r="W312" s="13">
        <f t="shared" si="59"/>
        <v>2.3142198706195978</v>
      </c>
      <c r="Z312" s="15">
        <f t="shared" si="53"/>
        <v>7.8862368597533834</v>
      </c>
    </row>
    <row r="313" spans="1:26">
      <c r="A313" s="84">
        <f>'Q.6 Rand()'!R311</f>
        <v>3.5</v>
      </c>
      <c r="B313" s="141">
        <f>'Q.6 Rand()'!S311</f>
        <v>32.407600000000002</v>
      </c>
      <c r="D313" s="23"/>
      <c r="E313" s="24"/>
      <c r="F313" s="22">
        <f t="shared" si="50"/>
        <v>3.7127371273711685E-2</v>
      </c>
      <c r="G313" s="22">
        <f t="shared" si="51"/>
        <v>-2.3006444444444938</v>
      </c>
      <c r="H313" s="18">
        <f t="shared" si="56"/>
        <v>-8.541688045769287E-2</v>
      </c>
      <c r="I313" s="18">
        <f t="shared" si="57"/>
        <v>1.3784416976960316E-3</v>
      </c>
      <c r="J313" s="24"/>
      <c r="K313" s="24"/>
      <c r="L313" s="19">
        <f t="shared" si="52"/>
        <v>34.540710622587362</v>
      </c>
      <c r="O313" s="9">
        <f t="shared" si="54"/>
        <v>-2.1331106225873597</v>
      </c>
      <c r="P313" s="10">
        <f t="shared" si="55"/>
        <v>4.5501609281950337</v>
      </c>
      <c r="V313" s="10">
        <f t="shared" si="58"/>
        <v>4.0344464796150621E-2</v>
      </c>
      <c r="W313" s="13">
        <f t="shared" si="59"/>
        <v>2.806758146605793E-2</v>
      </c>
      <c r="Z313" s="15">
        <f t="shared" si="53"/>
        <v>5.2929648597533134</v>
      </c>
    </row>
    <row r="314" spans="1:26">
      <c r="A314" s="84">
        <f>'Q.6 Rand()'!R312</f>
        <v>2.4</v>
      </c>
      <c r="B314" s="141">
        <f>'Q.6 Rand()'!S312</f>
        <v>40.299999999999997</v>
      </c>
      <c r="D314" s="23"/>
      <c r="E314" s="24"/>
      <c r="F314" s="22">
        <f t="shared" si="50"/>
        <v>-1.0628726287262884</v>
      </c>
      <c r="G314" s="22">
        <f t="shared" si="51"/>
        <v>5.5917555555555012</v>
      </c>
      <c r="H314" s="18">
        <f t="shared" si="56"/>
        <v>-5.9433239265281026</v>
      </c>
      <c r="I314" s="18">
        <f t="shared" si="57"/>
        <v>1.1296982248955305</v>
      </c>
      <c r="J314" s="24"/>
      <c r="K314" s="24"/>
      <c r="L314" s="19">
        <f t="shared" si="52"/>
        <v>39.50435867308461</v>
      </c>
      <c r="O314" s="9">
        <f t="shared" si="54"/>
        <v>0.79564132691538703</v>
      </c>
      <c r="P314" s="10">
        <f t="shared" si="55"/>
        <v>0.63304512109567779</v>
      </c>
      <c r="V314" s="10">
        <f t="shared" si="58"/>
        <v>6.5821308044636428E-2</v>
      </c>
      <c r="W314" s="13">
        <f t="shared" si="59"/>
        <v>23.002711694164159</v>
      </c>
      <c r="Z314" s="15">
        <f t="shared" si="53"/>
        <v>31.267730193085811</v>
      </c>
    </row>
    <row r="315" spans="1:26">
      <c r="A315" s="84">
        <f>'Q.6 Rand()'!R313</f>
        <v>4.5999999999999996</v>
      </c>
      <c r="B315" s="141">
        <f>'Q.6 Rand()'!S313</f>
        <v>26.662199999999999</v>
      </c>
      <c r="D315" s="23"/>
      <c r="E315" s="24"/>
      <c r="F315" s="22">
        <f t="shared" si="50"/>
        <v>1.1371273712737113</v>
      </c>
      <c r="G315" s="22">
        <f t="shared" si="51"/>
        <v>-8.0460444444444974</v>
      </c>
      <c r="H315" s="18">
        <f t="shared" si="56"/>
        <v>-9.1493773682626198</v>
      </c>
      <c r="I315" s="18">
        <f t="shared" si="57"/>
        <v>1.2930586584998609</v>
      </c>
      <c r="J315" s="24"/>
      <c r="K315" s="24"/>
      <c r="L315" s="19">
        <f t="shared" si="52"/>
        <v>29.577062572090121</v>
      </c>
      <c r="O315" s="9">
        <f t="shared" si="54"/>
        <v>-2.9148625720901222</v>
      </c>
      <c r="P315" s="10">
        <f t="shared" si="55"/>
        <v>8.4964238141718429</v>
      </c>
      <c r="V315" s="10">
        <f t="shared" si="58"/>
        <v>1.9742960965642358E-2</v>
      </c>
      <c r="W315" s="13">
        <f t="shared" si="59"/>
        <v>26.329027407178152</v>
      </c>
      <c r="Z315" s="15">
        <f t="shared" si="53"/>
        <v>64.738831201976154</v>
      </c>
    </row>
    <row r="316" spans="1:26">
      <c r="A316" s="84">
        <f>'Q.6 Rand()'!R314</f>
        <v>1.8</v>
      </c>
      <c r="B316" s="141">
        <f>'Q.6 Rand()'!S314</f>
        <v>48.6</v>
      </c>
      <c r="D316" s="23"/>
      <c r="E316" s="24"/>
      <c r="F316" s="22">
        <f t="shared" si="50"/>
        <v>-1.6628726287262883</v>
      </c>
      <c r="G316" s="22">
        <f t="shared" si="51"/>
        <v>13.891755555555505</v>
      </c>
      <c r="H316" s="18">
        <f t="shared" si="56"/>
        <v>-23.100220078289603</v>
      </c>
      <c r="I316" s="18">
        <f t="shared" si="57"/>
        <v>2.7651453793670759</v>
      </c>
      <c r="J316" s="24"/>
      <c r="K316" s="24"/>
      <c r="L316" s="19">
        <f t="shared" si="52"/>
        <v>42.21180306426492</v>
      </c>
      <c r="O316" s="9">
        <f t="shared" si="54"/>
        <v>6.3881969357350812</v>
      </c>
      <c r="P316" s="10">
        <f t="shared" si="55"/>
        <v>40.809060089735084</v>
      </c>
      <c r="V316" s="10">
        <f t="shared" si="58"/>
        <v>0.10932565850117854</v>
      </c>
      <c r="W316" s="13">
        <f t="shared" si="59"/>
        <v>56.303391961081388</v>
      </c>
      <c r="Z316" s="15">
        <f t="shared" si="53"/>
        <v>192.98087241530726</v>
      </c>
    </row>
    <row r="317" spans="1:26">
      <c r="A317" s="84">
        <f>'Q.6 Rand()'!R315</f>
        <v>2</v>
      </c>
      <c r="B317" s="141">
        <f>'Q.6 Rand()'!S315</f>
        <v>41.0456</v>
      </c>
      <c r="D317" s="23"/>
      <c r="E317" s="24"/>
      <c r="F317" s="22">
        <f t="shared" si="50"/>
        <v>-1.4628726287262883</v>
      </c>
      <c r="G317" s="22">
        <f t="shared" si="51"/>
        <v>6.3373555555555043</v>
      </c>
      <c r="H317" s="18">
        <f t="shared" si="56"/>
        <v>-9.2707439807286285</v>
      </c>
      <c r="I317" s="18">
        <f t="shared" si="57"/>
        <v>2.139996327876561</v>
      </c>
      <c r="J317" s="24"/>
      <c r="K317" s="24"/>
      <c r="L317" s="19">
        <f t="shared" si="52"/>
        <v>41.309321600538148</v>
      </c>
      <c r="O317" s="9">
        <f t="shared" si="54"/>
        <v>-0.26372160053814753</v>
      </c>
      <c r="P317" s="10">
        <f t="shared" si="55"/>
        <v>6.9549082590402253E-2</v>
      </c>
      <c r="V317" s="10">
        <f t="shared" si="58"/>
        <v>0.13144438139372594</v>
      </c>
      <c r="W317" s="13">
        <f t="shared" si="59"/>
        <v>43.574219620701456</v>
      </c>
      <c r="Z317" s="15">
        <f t="shared" si="53"/>
        <v>40.162075437530213</v>
      </c>
    </row>
    <row r="318" spans="1:26">
      <c r="A318" s="84">
        <f>'Q.6 Rand()'!R316</f>
        <v>2.4</v>
      </c>
      <c r="B318" s="141">
        <f>'Q.6 Rand()'!S316</f>
        <v>38.957500000000003</v>
      </c>
      <c r="D318" s="23"/>
      <c r="E318" s="24"/>
      <c r="F318" s="22">
        <f t="shared" si="50"/>
        <v>-1.0628726287262884</v>
      </c>
      <c r="G318" s="22">
        <f t="shared" si="51"/>
        <v>4.2492555555555072</v>
      </c>
      <c r="H318" s="18">
        <f t="shared" si="56"/>
        <v>-4.5164174224630669</v>
      </c>
      <c r="I318" s="18">
        <f t="shared" si="57"/>
        <v>1.1296982248955305</v>
      </c>
      <c r="J318" s="24"/>
      <c r="K318" s="24"/>
      <c r="L318" s="19">
        <f t="shared" si="52"/>
        <v>39.50435867308461</v>
      </c>
      <c r="O318" s="9">
        <f t="shared" si="54"/>
        <v>-0.54685867308460701</v>
      </c>
      <c r="P318" s="10">
        <f t="shared" si="55"/>
        <v>0.29905440832785707</v>
      </c>
      <c r="V318" s="10">
        <f t="shared" si="58"/>
        <v>6.425088207704298E-3</v>
      </c>
      <c r="W318" s="13">
        <f t="shared" si="59"/>
        <v>23.002711694164159</v>
      </c>
      <c r="Z318" s="15">
        <f t="shared" si="53"/>
        <v>18.056172776419341</v>
      </c>
    </row>
    <row r="319" spans="1:26">
      <c r="A319" s="84">
        <f>'Q.6 Rand()'!R317</f>
        <v>3</v>
      </c>
      <c r="B319" s="141">
        <f>'Q.6 Rand()'!S317</f>
        <v>34.781799999999997</v>
      </c>
      <c r="D319" s="23"/>
      <c r="E319" s="24"/>
      <c r="F319" s="22">
        <f t="shared" si="50"/>
        <v>-0.46287262872628832</v>
      </c>
      <c r="G319" s="22">
        <f t="shared" si="51"/>
        <v>7.3555555555500973E-2</v>
      </c>
      <c r="H319" s="18">
        <f t="shared" si="56"/>
        <v>-3.4046853357397273E-2</v>
      </c>
      <c r="I319" s="18">
        <f t="shared" si="57"/>
        <v>0.21425107042398434</v>
      </c>
      <c r="J319" s="24"/>
      <c r="K319" s="24"/>
      <c r="L319" s="19">
        <f t="shared" si="52"/>
        <v>36.796914281904293</v>
      </c>
      <c r="O319" s="9">
        <f t="shared" si="54"/>
        <v>-2.015114281904296</v>
      </c>
      <c r="P319" s="10">
        <f t="shared" si="55"/>
        <v>4.0606855691346668</v>
      </c>
      <c r="V319" s="10">
        <f t="shared" si="58"/>
        <v>1.4037314331890059E-2</v>
      </c>
      <c r="W319" s="13">
        <f t="shared" si="59"/>
        <v>4.3625416899143348</v>
      </c>
      <c r="Z319" s="15">
        <f t="shared" si="53"/>
        <v>5.4104197530783901E-3</v>
      </c>
    </row>
    <row r="320" spans="1:26">
      <c r="A320" s="84">
        <f>'Q.6 Rand()'!R318</f>
        <v>2.5</v>
      </c>
      <c r="B320" s="141">
        <f>'Q.6 Rand()'!S318</f>
        <v>40.8247</v>
      </c>
      <c r="D320" s="23"/>
      <c r="E320" s="24"/>
      <c r="F320" s="22">
        <f t="shared" si="50"/>
        <v>-0.96287262872628832</v>
      </c>
      <c r="G320" s="22">
        <f t="shared" si="51"/>
        <v>6.116455555555504</v>
      </c>
      <c r="H320" s="18">
        <f t="shared" si="56"/>
        <v>-5.8893676392652381</v>
      </c>
      <c r="I320" s="18">
        <f t="shared" si="57"/>
        <v>0.92712369915027271</v>
      </c>
      <c r="J320" s="24"/>
      <c r="K320" s="24"/>
      <c r="L320" s="19">
        <f t="shared" si="52"/>
        <v>39.053117941221217</v>
      </c>
      <c r="O320" s="9">
        <f t="shared" si="54"/>
        <v>1.7715820587787832</v>
      </c>
      <c r="P320" s="10">
        <f t="shared" si="55"/>
        <v>3.138502990986872</v>
      </c>
      <c r="V320" s="10">
        <f t="shared" si="58"/>
        <v>5.7935882614019288E-2</v>
      </c>
      <c r="W320" s="13">
        <f t="shared" si="59"/>
        <v>18.877925702992769</v>
      </c>
      <c r="Z320" s="15">
        <f t="shared" si="53"/>
        <v>37.411028563085786</v>
      </c>
    </row>
    <row r="321" spans="1:26">
      <c r="A321" s="84">
        <f>'Q.6 Rand()'!R319</f>
        <v>2</v>
      </c>
      <c r="B321" s="141">
        <f>'Q.6 Rand()'!S319</f>
        <v>34.9</v>
      </c>
      <c r="D321" s="23"/>
      <c r="E321" s="24"/>
      <c r="F321" s="22">
        <f t="shared" si="50"/>
        <v>-1.4628726287262883</v>
      </c>
      <c r="G321" s="22">
        <f t="shared" si="51"/>
        <v>0.19175555555550261</v>
      </c>
      <c r="H321" s="18">
        <f t="shared" si="56"/>
        <v>-0.28051395362834791</v>
      </c>
      <c r="I321" s="18">
        <f t="shared" si="57"/>
        <v>2.139996327876561</v>
      </c>
      <c r="J321" s="24"/>
      <c r="K321" s="24"/>
      <c r="L321" s="19">
        <f t="shared" si="52"/>
        <v>41.309321600538148</v>
      </c>
      <c r="O321" s="9">
        <f t="shared" si="54"/>
        <v>-6.4093216005381493</v>
      </c>
      <c r="P321" s="10">
        <f t="shared" si="55"/>
        <v>41.079403379124905</v>
      </c>
      <c r="V321" s="10">
        <f t="shared" si="58"/>
        <v>4.339485798496457E-2</v>
      </c>
      <c r="W321" s="13">
        <f t="shared" si="59"/>
        <v>43.574219620701456</v>
      </c>
      <c r="Z321" s="15">
        <f t="shared" si="53"/>
        <v>3.677019308639945E-2</v>
      </c>
    </row>
    <row r="322" spans="1:26">
      <c r="A322" s="84">
        <f>'Q.6 Rand()'!R320</f>
        <v>6.2</v>
      </c>
      <c r="B322" s="141">
        <f>'Q.6 Rand()'!S320</f>
        <v>26.299900000000001</v>
      </c>
      <c r="D322" s="23"/>
      <c r="E322" s="24"/>
      <c r="F322" s="22">
        <f t="shared" si="50"/>
        <v>2.7371273712737119</v>
      </c>
      <c r="G322" s="22">
        <f t="shared" si="51"/>
        <v>-8.408344444444495</v>
      </c>
      <c r="H322" s="18">
        <f t="shared" si="56"/>
        <v>-23.014709725986279</v>
      </c>
      <c r="I322" s="18">
        <f t="shared" si="57"/>
        <v>7.4918662465757402</v>
      </c>
      <c r="J322" s="24"/>
      <c r="K322" s="24"/>
      <c r="L322" s="19">
        <f t="shared" si="52"/>
        <v>22.357210862275949</v>
      </c>
      <c r="O322" s="9">
        <f t="shared" si="54"/>
        <v>3.9426891377240523</v>
      </c>
      <c r="P322" s="10">
        <f t="shared" si="55"/>
        <v>15.54479763672723</v>
      </c>
      <c r="V322" s="10">
        <f t="shared" si="58"/>
        <v>0.18364818339650857</v>
      </c>
      <c r="W322" s="13">
        <f t="shared" si="59"/>
        <v>152.54803054785521</v>
      </c>
      <c r="Z322" s="15">
        <f t="shared" si="53"/>
        <v>70.700256296420605</v>
      </c>
    </row>
    <row r="323" spans="1:26">
      <c r="A323" s="84">
        <f>'Q.6 Rand()'!R321</f>
        <v>2.5</v>
      </c>
      <c r="B323" s="141">
        <f>'Q.6 Rand()'!S321</f>
        <v>37.070999999999998</v>
      </c>
      <c r="D323" s="23"/>
      <c r="E323" s="24"/>
      <c r="F323" s="22">
        <f t="shared" si="50"/>
        <v>-0.96287262872628832</v>
      </c>
      <c r="G323" s="22">
        <f t="shared" si="51"/>
        <v>2.362755555555502</v>
      </c>
      <c r="H323" s="18">
        <f t="shared" si="56"/>
        <v>-2.2750326528153679</v>
      </c>
      <c r="I323" s="18">
        <f t="shared" si="57"/>
        <v>0.92712369915027271</v>
      </c>
      <c r="J323" s="24"/>
      <c r="K323" s="24"/>
      <c r="L323" s="19">
        <f t="shared" si="52"/>
        <v>39.053117941221217</v>
      </c>
      <c r="O323" s="9">
        <f t="shared" si="54"/>
        <v>-1.9821179412212189</v>
      </c>
      <c r="P323" s="10">
        <f t="shared" si="55"/>
        <v>3.9287915329110432</v>
      </c>
      <c r="V323" s="10">
        <f t="shared" si="58"/>
        <v>0.14991270452450589</v>
      </c>
      <c r="W323" s="13">
        <f t="shared" si="59"/>
        <v>18.877925702992769</v>
      </c>
      <c r="Z323" s="15">
        <f t="shared" si="53"/>
        <v>5.5826138153083891</v>
      </c>
    </row>
    <row r="324" spans="1:26">
      <c r="A324" s="84">
        <f>'Q.6 Rand()'!R322</f>
        <v>6.5</v>
      </c>
      <c r="B324" s="141">
        <f>'Q.6 Rand()'!S322</f>
        <v>19.899999999999999</v>
      </c>
      <c r="D324" s="23"/>
      <c r="E324" s="24"/>
      <c r="F324" s="22">
        <f t="shared" si="50"/>
        <v>3.0371273712737117</v>
      </c>
      <c r="G324" s="22">
        <f t="shared" si="51"/>
        <v>-14.808244444444497</v>
      </c>
      <c r="H324" s="18">
        <f t="shared" si="56"/>
        <v>-44.974524522734264</v>
      </c>
      <c r="I324" s="18">
        <f t="shared" si="57"/>
        <v>9.2241426693399653</v>
      </c>
      <c r="J324" s="24"/>
      <c r="K324" s="24"/>
      <c r="L324" s="19">
        <f t="shared" si="52"/>
        <v>21.00348866668579</v>
      </c>
      <c r="O324" s="9">
        <f t="shared" si="54"/>
        <v>-1.1034886666857915</v>
      </c>
      <c r="P324" s="10">
        <f t="shared" si="55"/>
        <v>1.2176872375039858</v>
      </c>
      <c r="V324" s="10">
        <f t="shared" si="58"/>
        <v>5.3468154115648862E-2</v>
      </c>
      <c r="W324" s="13">
        <f t="shared" si="59"/>
        <v>187.82033092801063</v>
      </c>
      <c r="Z324" s="15">
        <f t="shared" si="53"/>
        <v>219.28410352642132</v>
      </c>
    </row>
    <row r="325" spans="1:26">
      <c r="A325" s="84">
        <f>'Q.6 Rand()'!R323</f>
        <v>3</v>
      </c>
      <c r="B325" s="141">
        <f>'Q.6 Rand()'!S323</f>
        <v>36.154800000000002</v>
      </c>
      <c r="D325" s="23"/>
      <c r="E325" s="24"/>
      <c r="F325" s="22">
        <f t="shared" ref="F325:F373" si="60">A325-$D$5</f>
        <v>-0.46287262872628832</v>
      </c>
      <c r="G325" s="22">
        <f t="shared" si="51"/>
        <v>1.4465555555555056</v>
      </c>
      <c r="H325" s="18">
        <f t="shared" si="56"/>
        <v>-0.66957097259859333</v>
      </c>
      <c r="I325" s="18">
        <f t="shared" si="57"/>
        <v>0.21425107042398434</v>
      </c>
      <c r="J325" s="24"/>
      <c r="K325" s="24"/>
      <c r="L325" s="19">
        <f t="shared" si="52"/>
        <v>36.796914281904293</v>
      </c>
      <c r="O325" s="9">
        <f t="shared" si="54"/>
        <v>-0.64211428190429132</v>
      </c>
      <c r="P325" s="10">
        <f t="shared" si="55"/>
        <v>0.41231075102546372</v>
      </c>
      <c r="V325" s="10">
        <f t="shared" si="58"/>
        <v>5.5451691793255854E-2</v>
      </c>
      <c r="W325" s="13">
        <f t="shared" si="59"/>
        <v>4.3625416899143348</v>
      </c>
      <c r="Z325" s="15">
        <f t="shared" si="53"/>
        <v>2.0925229753084977</v>
      </c>
    </row>
    <row r="326" spans="1:26">
      <c r="A326" s="84">
        <f>'Q.6 Rand()'!R324</f>
        <v>5.3</v>
      </c>
      <c r="B326" s="141">
        <f>'Q.6 Rand()'!S324</f>
        <v>29.020499999999998</v>
      </c>
      <c r="D326" s="23"/>
      <c r="E326" s="24"/>
      <c r="F326" s="22">
        <f t="shared" si="60"/>
        <v>1.8371273712737115</v>
      </c>
      <c r="G326" s="22">
        <f t="shared" ref="G326:G373" si="61">B326-$E$5</f>
        <v>-5.6877444444444976</v>
      </c>
      <c r="H326" s="18">
        <f t="shared" si="56"/>
        <v>-10.449110999698977</v>
      </c>
      <c r="I326" s="18">
        <f t="shared" si="57"/>
        <v>3.3750369782830574</v>
      </c>
      <c r="J326" s="24"/>
      <c r="K326" s="24"/>
      <c r="L326" s="19">
        <f t="shared" ref="L326:L373" si="62">$K$5+$J$5*A326</f>
        <v>26.418377449046421</v>
      </c>
      <c r="O326" s="9">
        <f t="shared" si="54"/>
        <v>2.6021225509535775</v>
      </c>
      <c r="P326" s="10">
        <f t="shared" si="55"/>
        <v>6.7710417701811538</v>
      </c>
      <c r="V326" s="10">
        <f t="shared" si="58"/>
        <v>1.7760139231977255E-2</v>
      </c>
      <c r="W326" s="13">
        <f t="shared" si="59"/>
        <v>68.721894801390306</v>
      </c>
      <c r="Z326" s="15">
        <f t="shared" ref="Z326:Z373" si="63">(B326-$E$5)^2</f>
        <v>32.350436865309248</v>
      </c>
    </row>
    <row r="327" spans="1:26">
      <c r="A327" s="84">
        <f>'Q.6 Rand()'!R325</f>
        <v>2.5</v>
      </c>
      <c r="B327" s="141">
        <f>'Q.6 Rand()'!S325</f>
        <v>32.910299999999999</v>
      </c>
      <c r="D327" s="23"/>
      <c r="E327" s="24"/>
      <c r="F327" s="22">
        <f t="shared" si="60"/>
        <v>-0.96287262872628832</v>
      </c>
      <c r="G327" s="22">
        <f t="shared" si="61"/>
        <v>-1.7979444444444965</v>
      </c>
      <c r="H327" s="18">
        <f t="shared" si="56"/>
        <v>1.7311914935260984</v>
      </c>
      <c r="I327" s="18">
        <f t="shared" si="57"/>
        <v>0.92712369915027271</v>
      </c>
      <c r="J327" s="24"/>
      <c r="K327" s="24"/>
      <c r="L327" s="19">
        <f t="shared" si="62"/>
        <v>39.053117941221217</v>
      </c>
      <c r="O327" s="9">
        <f t="shared" si="54"/>
        <v>-6.1428179412212174</v>
      </c>
      <c r="P327" s="10">
        <f t="shared" si="55"/>
        <v>37.734212258989274</v>
      </c>
      <c r="V327" s="10">
        <f t="shared" si="58"/>
        <v>8.9664979960840704E-2</v>
      </c>
      <c r="W327" s="13">
        <f t="shared" si="59"/>
        <v>18.877925702992769</v>
      </c>
      <c r="Z327" s="15">
        <f t="shared" si="63"/>
        <v>3.2326042253088292</v>
      </c>
    </row>
    <row r="328" spans="1:26">
      <c r="A328" s="84">
        <f>'Q.6 Rand()'!R326</f>
        <v>3.7</v>
      </c>
      <c r="B328" s="141">
        <f>'Q.6 Rand()'!S326</f>
        <v>35.980200000000004</v>
      </c>
      <c r="D328" s="23"/>
      <c r="E328" s="24"/>
      <c r="F328" s="22">
        <f t="shared" si="60"/>
        <v>0.23712737127371186</v>
      </c>
      <c r="G328" s="22">
        <f t="shared" si="61"/>
        <v>1.2719555555555075</v>
      </c>
      <c r="H328" s="18">
        <f t="shared" si="56"/>
        <v>0.30161547726587129</v>
      </c>
      <c r="I328" s="18">
        <f t="shared" si="57"/>
        <v>5.6229390207180791E-2</v>
      </c>
      <c r="J328" s="24"/>
      <c r="K328" s="24"/>
      <c r="L328" s="19">
        <f t="shared" si="62"/>
        <v>33.63822915886059</v>
      </c>
      <c r="O328" s="9">
        <f t="shared" si="54"/>
        <v>2.341970841139414</v>
      </c>
      <c r="P328" s="10">
        <f t="shared" si="55"/>
        <v>5.484827420747254</v>
      </c>
      <c r="V328" s="10">
        <f t="shared" si="58"/>
        <v>0.186653355977345</v>
      </c>
      <c r="W328" s="13">
        <f t="shared" si="59"/>
        <v>1.1449327113832088</v>
      </c>
      <c r="Z328" s="15">
        <f t="shared" si="63"/>
        <v>1.6178709353085199</v>
      </c>
    </row>
    <row r="329" spans="1:26">
      <c r="A329" s="84">
        <f>'Q.6 Rand()'!R327</f>
        <v>2</v>
      </c>
      <c r="B329" s="141">
        <f>'Q.6 Rand()'!S327</f>
        <v>41.799799999999998</v>
      </c>
      <c r="D329" s="23"/>
      <c r="E329" s="24"/>
      <c r="F329" s="22">
        <f t="shared" si="60"/>
        <v>-1.4628726287262883</v>
      </c>
      <c r="G329" s="22">
        <f t="shared" si="61"/>
        <v>7.0915555555555017</v>
      </c>
      <c r="H329" s="18">
        <f t="shared" si="56"/>
        <v>-10.37404251731399</v>
      </c>
      <c r="I329" s="18">
        <f t="shared" si="57"/>
        <v>2.139996327876561</v>
      </c>
      <c r="J329" s="24"/>
      <c r="K329" s="24"/>
      <c r="L329" s="19">
        <f t="shared" si="62"/>
        <v>41.309321600538148</v>
      </c>
      <c r="O329" s="9">
        <f t="shared" si="54"/>
        <v>0.49047839946184979</v>
      </c>
      <c r="P329" s="10">
        <f t="shared" si="55"/>
        <v>0.24056906033865788</v>
      </c>
      <c r="V329" s="10">
        <f t="shared" si="58"/>
        <v>6.509054538716888E-2</v>
      </c>
      <c r="W329" s="13">
        <f t="shared" si="59"/>
        <v>43.574219620701456</v>
      </c>
      <c r="Z329" s="15">
        <f t="shared" si="63"/>
        <v>50.290160197530099</v>
      </c>
    </row>
    <row r="330" spans="1:26">
      <c r="A330" s="84">
        <f>'Q.6 Rand()'!R328</f>
        <v>2.5</v>
      </c>
      <c r="B330" s="141">
        <f>'Q.6 Rand()'!S328</f>
        <v>34.143500000000003</v>
      </c>
      <c r="D330" s="23"/>
      <c r="E330" s="24"/>
      <c r="F330" s="22">
        <f t="shared" si="60"/>
        <v>-0.96287262872628832</v>
      </c>
      <c r="G330" s="22">
        <f t="shared" si="61"/>
        <v>-0.5647444444444929</v>
      </c>
      <c r="H330" s="18">
        <f t="shared" si="56"/>
        <v>0.54377696778083617</v>
      </c>
      <c r="I330" s="18">
        <f t="shared" si="57"/>
        <v>0.92712369915027271</v>
      </c>
      <c r="J330" s="24"/>
      <c r="K330" s="24"/>
      <c r="L330" s="19">
        <f t="shared" si="62"/>
        <v>39.053117941221217</v>
      </c>
      <c r="O330" s="9">
        <f t="shared" si="54"/>
        <v>-4.9096179412212138</v>
      </c>
      <c r="P330" s="10">
        <f t="shared" si="55"/>
        <v>24.10434832876123</v>
      </c>
      <c r="V330" s="10">
        <f t="shared" si="58"/>
        <v>1.1733989144968393E-2</v>
      </c>
      <c r="W330" s="13">
        <f t="shared" si="59"/>
        <v>18.877925702992769</v>
      </c>
      <c r="Z330" s="15">
        <f t="shared" si="63"/>
        <v>0.3189362875309189</v>
      </c>
    </row>
    <row r="331" spans="1:26">
      <c r="A331" s="84">
        <f>'Q.6 Rand()'!R329</f>
        <v>2</v>
      </c>
      <c r="B331" s="141">
        <f>'Q.6 Rand()'!S329</f>
        <v>46.624000000000002</v>
      </c>
      <c r="D331" s="23"/>
      <c r="E331" s="24"/>
      <c r="F331" s="22">
        <f t="shared" si="60"/>
        <v>-1.4628726287262883</v>
      </c>
      <c r="G331" s="22">
        <f t="shared" si="61"/>
        <v>11.915755555555506</v>
      </c>
      <c r="H331" s="18">
        <f t="shared" si="56"/>
        <v>-17.431232652815357</v>
      </c>
      <c r="I331" s="18">
        <f t="shared" si="57"/>
        <v>2.139996327876561</v>
      </c>
      <c r="J331" s="24"/>
      <c r="K331" s="24"/>
      <c r="L331" s="19">
        <f t="shared" si="62"/>
        <v>41.309321600538148</v>
      </c>
      <c r="O331" s="9">
        <f t="shared" si="54"/>
        <v>5.3146783994618545</v>
      </c>
      <c r="P331" s="10">
        <f t="shared" si="55"/>
        <v>28.245806489706421</v>
      </c>
      <c r="V331" s="10">
        <f t="shared" si="58"/>
        <v>0.14379363396316175</v>
      </c>
      <c r="W331" s="13">
        <f t="shared" si="59"/>
        <v>43.574219620701456</v>
      </c>
      <c r="Z331" s="15">
        <f t="shared" si="63"/>
        <v>141.9852304597519</v>
      </c>
    </row>
    <row r="332" spans="1:26">
      <c r="A332" s="84">
        <f>'Q.6 Rand()'!R330</f>
        <v>1.8</v>
      </c>
      <c r="B332" s="141">
        <f>'Q.6 Rand()'!S330</f>
        <v>51.191499999999998</v>
      </c>
      <c r="D332" s="23"/>
      <c r="E332" s="24"/>
      <c r="F332" s="22">
        <f t="shared" si="60"/>
        <v>-1.6628726287262883</v>
      </c>
      <c r="G332" s="22">
        <f t="shared" si="61"/>
        <v>16.483255555555502</v>
      </c>
      <c r="H332" s="18">
        <f t="shared" si="56"/>
        <v>-27.409554495633774</v>
      </c>
      <c r="I332" s="18">
        <f t="shared" si="57"/>
        <v>2.7651453793670759</v>
      </c>
      <c r="J332" s="24"/>
      <c r="K332" s="24"/>
      <c r="L332" s="19">
        <f t="shared" si="62"/>
        <v>42.21180306426492</v>
      </c>
      <c r="O332" s="9">
        <f t="shared" si="54"/>
        <v>8.9796969357350775</v>
      </c>
      <c r="P332" s="10">
        <f t="shared" si="55"/>
        <v>80.634957057649942</v>
      </c>
      <c r="V332" s="10">
        <f t="shared" si="58"/>
        <v>0.11399018530074327</v>
      </c>
      <c r="W332" s="13">
        <f t="shared" si="59"/>
        <v>56.303391961081388</v>
      </c>
      <c r="Z332" s="15">
        <f t="shared" si="63"/>
        <v>271.69771370975133</v>
      </c>
    </row>
    <row r="333" spans="1:26">
      <c r="A333" s="84">
        <f>'Q.6 Rand()'!R331</f>
        <v>4</v>
      </c>
      <c r="B333" s="141">
        <f>'Q.6 Rand()'!S331</f>
        <v>29.4</v>
      </c>
      <c r="D333" s="23"/>
      <c r="E333" s="24"/>
      <c r="F333" s="22">
        <f t="shared" si="60"/>
        <v>0.53712737127371168</v>
      </c>
      <c r="G333" s="22">
        <f t="shared" si="61"/>
        <v>-5.3082444444444974</v>
      </c>
      <c r="H333" s="18">
        <f t="shared" si="56"/>
        <v>-2.8512033845227571</v>
      </c>
      <c r="I333" s="18">
        <f t="shared" si="57"/>
        <v>0.2885058129714077</v>
      </c>
      <c r="J333" s="24"/>
      <c r="K333" s="24"/>
      <c r="L333" s="19">
        <f t="shared" si="62"/>
        <v>32.284506963270431</v>
      </c>
      <c r="O333" s="9">
        <f t="shared" si="54"/>
        <v>-2.8845069632704323</v>
      </c>
      <c r="P333" s="10">
        <f t="shared" si="55"/>
        <v>8.3203804211556118</v>
      </c>
      <c r="V333" s="10">
        <f t="shared" si="58"/>
        <v>0.17541382721223403</v>
      </c>
      <c r="W333" s="13">
        <f t="shared" si="59"/>
        <v>5.8745033776480016</v>
      </c>
      <c r="Z333" s="15">
        <f t="shared" si="63"/>
        <v>28.177459081975872</v>
      </c>
    </row>
    <row r="334" spans="1:26">
      <c r="A334" s="84">
        <f>'Q.6 Rand()'!R332</f>
        <v>2.5</v>
      </c>
      <c r="B334" s="141">
        <f>'Q.6 Rand()'!S332</f>
        <v>44.2</v>
      </c>
      <c r="D334" s="23"/>
      <c r="E334" s="24"/>
      <c r="F334" s="22">
        <f t="shared" si="60"/>
        <v>-0.96287262872628832</v>
      </c>
      <c r="G334" s="22">
        <f t="shared" si="61"/>
        <v>9.4917555555555069</v>
      </c>
      <c r="H334" s="18">
        <f t="shared" si="56"/>
        <v>-9.1393516230050817</v>
      </c>
      <c r="I334" s="18">
        <f t="shared" si="57"/>
        <v>0.92712369915027271</v>
      </c>
      <c r="J334" s="24"/>
      <c r="K334" s="24"/>
      <c r="L334" s="19">
        <f t="shared" si="62"/>
        <v>39.053117941221217</v>
      </c>
      <c r="O334" s="9">
        <f t="shared" si="54"/>
        <v>5.146882058778786</v>
      </c>
      <c r="P334" s="10">
        <f t="shared" si="55"/>
        <v>26.490394926978954</v>
      </c>
      <c r="V334" s="10">
        <f t="shared" si="58"/>
        <v>9.8112481743892255E-2</v>
      </c>
      <c r="W334" s="13">
        <f t="shared" si="59"/>
        <v>18.877925702992769</v>
      </c>
      <c r="Z334" s="15">
        <f t="shared" si="63"/>
        <v>90.093423526418832</v>
      </c>
    </row>
    <row r="335" spans="1:26">
      <c r="A335" s="84">
        <f>'Q.6 Rand()'!R333</f>
        <v>5.5</v>
      </c>
      <c r="B335" s="141">
        <f>'Q.6 Rand()'!S333</f>
        <v>33</v>
      </c>
      <c r="D335" s="23"/>
      <c r="E335" s="24"/>
      <c r="F335" s="22">
        <f t="shared" si="60"/>
        <v>2.0371273712737117</v>
      </c>
      <c r="G335" s="22">
        <f t="shared" si="61"/>
        <v>-1.708244444444496</v>
      </c>
      <c r="H335" s="18">
        <f t="shared" si="56"/>
        <v>-3.4799115146041379</v>
      </c>
      <c r="I335" s="18">
        <f t="shared" si="57"/>
        <v>4.1498879267925428</v>
      </c>
      <c r="J335" s="24"/>
      <c r="K335" s="24"/>
      <c r="L335" s="19">
        <f t="shared" si="62"/>
        <v>25.515895985319649</v>
      </c>
      <c r="O335" s="9">
        <f t="shared" si="54"/>
        <v>7.4841040146803515</v>
      </c>
      <c r="P335" s="10">
        <f t="shared" si="55"/>
        <v>56.011812902554553</v>
      </c>
      <c r="V335" s="10">
        <f t="shared" si="58"/>
        <v>0.11644529544748385</v>
      </c>
      <c r="W335" s="13">
        <f t="shared" si="59"/>
        <v>84.499270193974951</v>
      </c>
      <c r="Z335" s="15">
        <f t="shared" si="63"/>
        <v>2.9180990819754848</v>
      </c>
    </row>
    <row r="336" spans="1:26">
      <c r="A336" s="84">
        <f>'Q.6 Rand()'!R334</f>
        <v>6</v>
      </c>
      <c r="B336" s="141">
        <f>'Q.6 Rand()'!S334</f>
        <v>30.299900000000001</v>
      </c>
      <c r="D336" s="23"/>
      <c r="E336" s="24"/>
      <c r="F336" s="22">
        <f t="shared" si="60"/>
        <v>2.5371273712737117</v>
      </c>
      <c r="G336" s="22">
        <f t="shared" si="61"/>
        <v>-4.408344444444495</v>
      </c>
      <c r="H336" s="18">
        <f t="shared" si="56"/>
        <v>-11.184531352002532</v>
      </c>
      <c r="I336" s="18">
        <f t="shared" si="57"/>
        <v>6.4370152980662541</v>
      </c>
      <c r="J336" s="24"/>
      <c r="K336" s="24"/>
      <c r="L336" s="19">
        <f t="shared" si="62"/>
        <v>23.259692326002721</v>
      </c>
      <c r="O336" s="9">
        <f t="shared" si="54"/>
        <v>7.0402076739972799</v>
      </c>
      <c r="P336" s="10">
        <f t="shared" si="55"/>
        <v>49.564524093010192</v>
      </c>
      <c r="V336" s="10">
        <f t="shared" si="58"/>
        <v>0.22679103074788945</v>
      </c>
      <c r="W336" s="13">
        <f t="shared" si="59"/>
        <v>131.06934560867765</v>
      </c>
      <c r="Z336" s="15">
        <f t="shared" si="63"/>
        <v>19.433500740864645</v>
      </c>
    </row>
    <row r="337" spans="1:26">
      <c r="A337" s="84">
        <f>'Q.6 Rand()'!R335</f>
        <v>4.7</v>
      </c>
      <c r="B337" s="141">
        <f>'Q.6 Rand()'!S335</f>
        <v>25.6</v>
      </c>
      <c r="D337" s="23"/>
      <c r="E337" s="24"/>
      <c r="F337" s="22">
        <f t="shared" si="60"/>
        <v>1.2371273712737119</v>
      </c>
      <c r="G337" s="22">
        <f t="shared" si="61"/>
        <v>-9.1082444444444945</v>
      </c>
      <c r="H337" s="18">
        <f t="shared" si="56"/>
        <v>-11.268058506474008</v>
      </c>
      <c r="I337" s="18">
        <f t="shared" si="57"/>
        <v>1.5304841327546046</v>
      </c>
      <c r="J337" s="24"/>
      <c r="K337" s="24"/>
      <c r="L337" s="19">
        <f t="shared" si="62"/>
        <v>29.125821840226735</v>
      </c>
      <c r="O337" s="9">
        <f t="shared" si="54"/>
        <v>-3.5258218402267332</v>
      </c>
      <c r="P337" s="10">
        <f t="shared" si="55"/>
        <v>12.431419649019826</v>
      </c>
      <c r="V337" s="10">
        <f t="shared" si="58"/>
        <v>0.23235085508524053</v>
      </c>
      <c r="W337" s="13">
        <f t="shared" si="59"/>
        <v>31.163442132081414</v>
      </c>
      <c r="Z337" s="15">
        <f t="shared" si="63"/>
        <v>82.960116859753995</v>
      </c>
    </row>
    <row r="338" spans="1:26">
      <c r="A338" s="84">
        <f>'Q.6 Rand()'!R336</f>
        <v>3.5</v>
      </c>
      <c r="B338" s="141">
        <f>'Q.6 Rand()'!S336</f>
        <v>37.6</v>
      </c>
      <c r="D338" s="23"/>
      <c r="E338" s="24"/>
      <c r="F338" s="22">
        <f t="shared" si="60"/>
        <v>3.7127371273711685E-2</v>
      </c>
      <c r="G338" s="22">
        <f t="shared" si="61"/>
        <v>2.8917555555555055</v>
      </c>
      <c r="H338" s="18">
        <f t="shared" si="56"/>
        <v>0.10736328214392765</v>
      </c>
      <c r="I338" s="18">
        <f t="shared" si="57"/>
        <v>1.3784416976960316E-3</v>
      </c>
      <c r="J338" s="24"/>
      <c r="K338" s="24"/>
      <c r="L338" s="19">
        <f t="shared" si="62"/>
        <v>34.540710622587362</v>
      </c>
      <c r="O338" s="9">
        <f t="shared" si="54"/>
        <v>3.0592893774126395</v>
      </c>
      <c r="P338" s="10">
        <f t="shared" si="55"/>
        <v>9.3592514947498149</v>
      </c>
      <c r="V338" s="10">
        <f t="shared" si="58"/>
        <v>0.13772741563385676</v>
      </c>
      <c r="W338" s="13">
        <f t="shared" si="59"/>
        <v>2.806758146605793E-2</v>
      </c>
      <c r="Z338" s="15">
        <f t="shared" si="63"/>
        <v>8.3622501930861297</v>
      </c>
    </row>
    <row r="339" spans="1:26">
      <c r="A339" s="84">
        <f>'Q.6 Rand()'!R337</f>
        <v>5.3</v>
      </c>
      <c r="B339" s="141">
        <f>'Q.6 Rand()'!S337</f>
        <v>28.993500000000001</v>
      </c>
      <c r="D339" s="23"/>
      <c r="E339" s="24"/>
      <c r="F339" s="22">
        <f t="shared" si="60"/>
        <v>1.8371273712737115</v>
      </c>
      <c r="G339" s="22">
        <f t="shared" si="61"/>
        <v>-5.714744444444495</v>
      </c>
      <c r="H339" s="18">
        <f t="shared" si="56"/>
        <v>-10.498713438723362</v>
      </c>
      <c r="I339" s="18">
        <f t="shared" si="57"/>
        <v>3.3750369782830574</v>
      </c>
      <c r="J339" s="24"/>
      <c r="K339" s="24"/>
      <c r="L339" s="19">
        <f t="shared" si="62"/>
        <v>26.418377449046421</v>
      </c>
      <c r="O339" s="9">
        <f t="shared" si="54"/>
        <v>2.57512255095358</v>
      </c>
      <c r="P339" s="10">
        <f t="shared" si="55"/>
        <v>6.6312561524296729</v>
      </c>
      <c r="V339" s="10">
        <f t="shared" si="58"/>
        <v>8.1364079186506372E-2</v>
      </c>
      <c r="W339" s="13">
        <f t="shared" si="59"/>
        <v>68.721894801390306</v>
      </c>
      <c r="Z339" s="15">
        <f t="shared" si="63"/>
        <v>32.658304065309217</v>
      </c>
    </row>
    <row r="340" spans="1:26">
      <c r="A340" s="84">
        <f>'Q.6 Rand()'!R338</f>
        <v>2</v>
      </c>
      <c r="B340" s="141">
        <f>'Q.6 Rand()'!S338</f>
        <v>42</v>
      </c>
      <c r="D340" s="23"/>
      <c r="E340" s="24"/>
      <c r="F340" s="22">
        <f t="shared" si="60"/>
        <v>-1.4628726287262883</v>
      </c>
      <c r="G340" s="22">
        <f t="shared" si="61"/>
        <v>7.291755555555504</v>
      </c>
      <c r="H340" s="18">
        <f t="shared" si="56"/>
        <v>-10.666909617584997</v>
      </c>
      <c r="I340" s="18">
        <f t="shared" si="57"/>
        <v>2.139996327876561</v>
      </c>
      <c r="J340" s="24"/>
      <c r="K340" s="24"/>
      <c r="L340" s="19">
        <f t="shared" si="62"/>
        <v>41.309321600538148</v>
      </c>
      <c r="O340" s="9">
        <f t="shared" si="54"/>
        <v>0.69067839946185217</v>
      </c>
      <c r="P340" s="10">
        <f t="shared" si="55"/>
        <v>0.4770366514831858</v>
      </c>
      <c r="V340" s="10">
        <f t="shared" si="58"/>
        <v>8.8817236654890927E-2</v>
      </c>
      <c r="W340" s="13">
        <f t="shared" si="59"/>
        <v>43.574219620701456</v>
      </c>
      <c r="Z340" s="15">
        <f t="shared" si="63"/>
        <v>53.169699081974557</v>
      </c>
    </row>
    <row r="341" spans="1:26">
      <c r="A341" s="84">
        <f>'Q.6 Rand()'!R339</f>
        <v>3.6</v>
      </c>
      <c r="B341" s="141">
        <f>'Q.6 Rand()'!S339</f>
        <v>40</v>
      </c>
      <c r="D341" s="23"/>
      <c r="E341" s="24"/>
      <c r="F341" s="22">
        <f t="shared" si="60"/>
        <v>0.13712737127371177</v>
      </c>
      <c r="G341" s="22">
        <f t="shared" si="61"/>
        <v>5.291755555555504</v>
      </c>
      <c r="H341" s="18">
        <f t="shared" si="56"/>
        <v>0.72564452875638652</v>
      </c>
      <c r="I341" s="18">
        <f t="shared" si="57"/>
        <v>1.8803915952438393E-2</v>
      </c>
      <c r="J341" s="24"/>
      <c r="K341" s="24"/>
      <c r="L341" s="19">
        <f t="shared" si="62"/>
        <v>34.089469890723976</v>
      </c>
      <c r="O341" s="9">
        <f t="shared" si="54"/>
        <v>5.9105301092760243</v>
      </c>
      <c r="P341" s="10">
        <f t="shared" si="55"/>
        <v>34.93436617265845</v>
      </c>
      <c r="V341" s="10">
        <f t="shared" si="58"/>
        <v>1.6444723796710765E-2</v>
      </c>
      <c r="W341" s="13">
        <f t="shared" si="59"/>
        <v>0.38288194833202899</v>
      </c>
      <c r="Z341" s="15">
        <f t="shared" si="63"/>
        <v>28.00267685975254</v>
      </c>
    </row>
    <row r="342" spans="1:26">
      <c r="A342" s="84">
        <f>'Q.6 Rand()'!R340</f>
        <v>3.9</v>
      </c>
      <c r="B342" s="141">
        <f>'Q.6 Rand()'!S340</f>
        <v>37.299999999999997</v>
      </c>
      <c r="D342" s="23"/>
      <c r="E342" s="24"/>
      <c r="F342" s="22">
        <f t="shared" si="60"/>
        <v>0.4371273712737116</v>
      </c>
      <c r="G342" s="22">
        <f t="shared" si="61"/>
        <v>2.5917555555555012</v>
      </c>
      <c r="H342" s="18">
        <f t="shared" si="56"/>
        <v>1.1329272929840142</v>
      </c>
      <c r="I342" s="18">
        <f t="shared" si="57"/>
        <v>0.1910803387166653</v>
      </c>
      <c r="J342" s="24"/>
      <c r="K342" s="24"/>
      <c r="L342" s="19">
        <f t="shared" si="62"/>
        <v>32.735747695133824</v>
      </c>
      <c r="O342" s="9">
        <f t="shared" si="54"/>
        <v>4.5642523048661729</v>
      </c>
      <c r="P342" s="10">
        <f t="shared" si="55"/>
        <v>20.832399102476174</v>
      </c>
      <c r="V342" s="10">
        <f t="shared" si="58"/>
        <v>0.14776325273190061</v>
      </c>
      <c r="W342" s="13">
        <f t="shared" si="59"/>
        <v>3.8907434260411669</v>
      </c>
      <c r="Z342" s="15">
        <f t="shared" si="63"/>
        <v>6.7171968597528044</v>
      </c>
    </row>
    <row r="343" spans="1:26">
      <c r="A343" s="84">
        <f>'Q.6 Rand()'!R341</f>
        <v>2.9</v>
      </c>
      <c r="B343" s="141">
        <f>'Q.6 Rand()'!S341</f>
        <v>32.4</v>
      </c>
      <c r="D343" s="23"/>
      <c r="E343" s="24"/>
      <c r="F343" s="22">
        <f t="shared" si="60"/>
        <v>-0.5628726287262884</v>
      </c>
      <c r="G343" s="22">
        <f t="shared" si="61"/>
        <v>-2.3082444444444974</v>
      </c>
      <c r="H343" s="18">
        <f t="shared" si="56"/>
        <v>1.2992476181873254</v>
      </c>
      <c r="I343" s="18">
        <f t="shared" si="57"/>
        <v>0.31682559616924211</v>
      </c>
      <c r="J343" s="24"/>
      <c r="K343" s="24"/>
      <c r="L343" s="19">
        <f t="shared" si="62"/>
        <v>37.248155013767679</v>
      </c>
      <c r="O343" s="9">
        <f t="shared" si="54"/>
        <v>-4.8481550137676805</v>
      </c>
      <c r="P343" s="10">
        <f t="shared" si="55"/>
        <v>23.504607037520699</v>
      </c>
      <c r="V343" s="10">
        <f t="shared" si="58"/>
        <v>0.12236601353528614</v>
      </c>
      <c r="W343" s="13">
        <f t="shared" si="59"/>
        <v>6.451145700159616</v>
      </c>
      <c r="Z343" s="15">
        <f t="shared" si="63"/>
        <v>5.327992415308886</v>
      </c>
    </row>
    <row r="344" spans="1:26">
      <c r="A344" s="84">
        <f>'Q.6 Rand()'!R342</f>
        <v>2.4</v>
      </c>
      <c r="B344" s="141">
        <f>'Q.6 Rand()'!S342</f>
        <v>46.8</v>
      </c>
      <c r="D344" s="23"/>
      <c r="E344" s="24"/>
      <c r="F344" s="22">
        <f t="shared" si="60"/>
        <v>-1.0628726287262884</v>
      </c>
      <c r="G344" s="22">
        <f t="shared" si="61"/>
        <v>12.091755555555501</v>
      </c>
      <c r="H344" s="18">
        <f t="shared" si="56"/>
        <v>-12.851996013248977</v>
      </c>
      <c r="I344" s="18">
        <f t="shared" si="57"/>
        <v>1.1296982248955305</v>
      </c>
      <c r="J344" s="24"/>
      <c r="K344" s="24"/>
      <c r="L344" s="19">
        <f t="shared" si="62"/>
        <v>39.50435867308461</v>
      </c>
      <c r="O344" s="9">
        <f t="shared" ref="O344:O373" si="64">B344-L344</f>
        <v>7.295641326915387</v>
      </c>
      <c r="P344" s="10">
        <f t="shared" ref="P344:P373" si="65">O344^2</f>
        <v>53.226382370995708</v>
      </c>
      <c r="V344" s="10">
        <f t="shared" si="58"/>
        <v>0.14963441400517533</v>
      </c>
      <c r="W344" s="13">
        <f t="shared" si="59"/>
        <v>23.002711694164159</v>
      </c>
      <c r="Z344" s="15">
        <f t="shared" si="63"/>
        <v>146.21055241530732</v>
      </c>
    </row>
    <row r="345" spans="1:26">
      <c r="A345" s="84">
        <f>'Q.6 Rand()'!R343</f>
        <v>5.2</v>
      </c>
      <c r="B345" s="141">
        <f>'Q.6 Rand()'!S343</f>
        <v>26.7</v>
      </c>
      <c r="D345" s="23"/>
      <c r="E345" s="24"/>
      <c r="F345" s="22">
        <f t="shared" si="60"/>
        <v>1.7371273712737119</v>
      </c>
      <c r="G345" s="22">
        <f t="shared" si="61"/>
        <v>-8.0082444444444967</v>
      </c>
      <c r="H345" s="18">
        <f t="shared" ref="H345:H373" si="66">F345*G345</f>
        <v>-13.911340620295176</v>
      </c>
      <c r="I345" s="18">
        <f t="shared" ref="I345:I373" si="67">F345^2</f>
        <v>3.0176115040283165</v>
      </c>
      <c r="J345" s="24"/>
      <c r="K345" s="24"/>
      <c r="L345" s="19">
        <f t="shared" si="62"/>
        <v>26.869618180909804</v>
      </c>
      <c r="O345" s="9">
        <f t="shared" si="64"/>
        <v>-0.16961818090980429</v>
      </c>
      <c r="P345" s="10">
        <f t="shared" si="65"/>
        <v>2.87703272951511E-2</v>
      </c>
      <c r="V345" s="10">
        <f t="shared" ref="V345:V373" si="68">ABS(O344) / B344</f>
        <v>0.15588977194263648</v>
      </c>
      <c r="W345" s="13">
        <f t="shared" ref="W345:W373" si="69">(L345-$E$5)^2</f>
        <v>61.444061699375851</v>
      </c>
      <c r="Z345" s="15">
        <f t="shared" si="63"/>
        <v>64.131979081976141</v>
      </c>
    </row>
    <row r="346" spans="1:26">
      <c r="A346" s="84">
        <f>'Q.6 Rand()'!R344</f>
        <v>3</v>
      </c>
      <c r="B346" s="141">
        <f>'Q.6 Rand()'!S344</f>
        <v>35.731099999999998</v>
      </c>
      <c r="D346" s="23"/>
      <c r="E346" s="24"/>
      <c r="F346" s="22">
        <f t="shared" si="60"/>
        <v>-0.46287262872628832</v>
      </c>
      <c r="G346" s="22">
        <f t="shared" si="61"/>
        <v>1.0228555555555019</v>
      </c>
      <c r="H346" s="18">
        <f t="shared" si="66"/>
        <v>-0.47345183980726319</v>
      </c>
      <c r="I346" s="18">
        <f t="shared" si="67"/>
        <v>0.21425107042398434</v>
      </c>
      <c r="J346" s="24"/>
      <c r="K346" s="24"/>
      <c r="L346" s="19">
        <f t="shared" si="62"/>
        <v>36.796914281904293</v>
      </c>
      <c r="O346" s="9">
        <f t="shared" si="64"/>
        <v>-1.0658142819042951</v>
      </c>
      <c r="P346" s="10">
        <f t="shared" si="65"/>
        <v>1.1359600835111681</v>
      </c>
      <c r="V346" s="10">
        <f t="shared" si="68"/>
        <v>6.3527408580451045E-3</v>
      </c>
      <c r="W346" s="13">
        <f t="shared" si="69"/>
        <v>4.3625416899143348</v>
      </c>
      <c r="Z346" s="15">
        <f t="shared" si="63"/>
        <v>1.0462334875307544</v>
      </c>
    </row>
    <row r="347" spans="1:26">
      <c r="A347" s="84">
        <f>'Q.6 Rand()'!R345</f>
        <v>2.4</v>
      </c>
      <c r="B347" s="141">
        <f>'Q.6 Rand()'!S345</f>
        <v>33.6</v>
      </c>
      <c r="D347" s="23"/>
      <c r="E347" s="24"/>
      <c r="F347" s="22">
        <f t="shared" si="60"/>
        <v>-1.0628726287262884</v>
      </c>
      <c r="G347" s="22">
        <f t="shared" si="61"/>
        <v>-1.1082444444444945</v>
      </c>
      <c r="H347" s="18">
        <f t="shared" si="66"/>
        <v>1.177922685938025</v>
      </c>
      <c r="I347" s="18">
        <f t="shared" si="67"/>
        <v>1.1296982248955305</v>
      </c>
      <c r="J347" s="24"/>
      <c r="K347" s="24"/>
      <c r="L347" s="19">
        <f t="shared" si="62"/>
        <v>39.50435867308461</v>
      </c>
      <c r="O347" s="9">
        <f t="shared" si="64"/>
        <v>-5.9043586730846087</v>
      </c>
      <c r="P347" s="10">
        <f t="shared" si="65"/>
        <v>34.86145134042944</v>
      </c>
      <c r="V347" s="10">
        <f t="shared" si="68"/>
        <v>2.9828756514753117E-2</v>
      </c>
      <c r="W347" s="13">
        <f t="shared" si="69"/>
        <v>23.002711694164159</v>
      </c>
      <c r="Z347" s="15">
        <f t="shared" si="63"/>
        <v>1.2282057486420863</v>
      </c>
    </row>
    <row r="348" spans="1:26">
      <c r="A348" s="84">
        <f>'Q.6 Rand()'!R346</f>
        <v>3.8</v>
      </c>
      <c r="B348" s="141">
        <f>'Q.6 Rand()'!S346</f>
        <v>29.809899999999999</v>
      </c>
      <c r="D348" s="23"/>
      <c r="E348" s="24"/>
      <c r="F348" s="22">
        <f t="shared" si="60"/>
        <v>0.33712737127371151</v>
      </c>
      <c r="G348" s="22">
        <f t="shared" si="61"/>
        <v>-4.898344444444497</v>
      </c>
      <c r="H348" s="18">
        <f t="shared" si="66"/>
        <v>-1.6513659861487622</v>
      </c>
      <c r="I348" s="18">
        <f t="shared" si="67"/>
        <v>0.11365486446192292</v>
      </c>
      <c r="J348" s="24"/>
      <c r="K348" s="24"/>
      <c r="L348" s="19">
        <f t="shared" si="62"/>
        <v>33.186988426997203</v>
      </c>
      <c r="O348" s="9">
        <f t="shared" si="64"/>
        <v>-3.3770884269972044</v>
      </c>
      <c r="P348" s="10">
        <f t="shared" si="65"/>
        <v>11.404726243758452</v>
      </c>
      <c r="V348" s="10">
        <f t="shared" si="68"/>
        <v>0.1757249605084705</v>
      </c>
      <c r="W348" s="13">
        <f t="shared" si="69"/>
        <v>2.3142198706195978</v>
      </c>
      <c r="Z348" s="15">
        <f t="shared" si="63"/>
        <v>23.993778296420267</v>
      </c>
    </row>
    <row r="349" spans="1:26">
      <c r="A349" s="84">
        <f>'Q.6 Rand()'!R347</f>
        <v>3.5</v>
      </c>
      <c r="B349" s="141">
        <f>'Q.6 Rand()'!S347</f>
        <v>32.348999999999997</v>
      </c>
      <c r="D349" s="23"/>
      <c r="E349" s="24"/>
      <c r="F349" s="22">
        <f t="shared" si="60"/>
        <v>3.7127371273711685E-2</v>
      </c>
      <c r="G349" s="22">
        <f t="shared" si="61"/>
        <v>-2.3592444444444993</v>
      </c>
      <c r="H349" s="18">
        <f t="shared" si="66"/>
        <v>-8.759254441433259E-2</v>
      </c>
      <c r="I349" s="18">
        <f t="shared" si="67"/>
        <v>1.3784416976960316E-3</v>
      </c>
      <c r="J349" s="24"/>
      <c r="K349" s="24"/>
      <c r="L349" s="19">
        <f t="shared" si="62"/>
        <v>34.540710622587362</v>
      </c>
      <c r="O349" s="9">
        <f t="shared" si="64"/>
        <v>-2.1917106225873653</v>
      </c>
      <c r="P349" s="10">
        <f t="shared" si="65"/>
        <v>4.8035954531622966</v>
      </c>
      <c r="V349" s="10">
        <f t="shared" si="68"/>
        <v>0.11328747922660608</v>
      </c>
      <c r="W349" s="13">
        <f t="shared" si="69"/>
        <v>2.806758146605793E-2</v>
      </c>
      <c r="Z349" s="15">
        <f t="shared" si="63"/>
        <v>5.5660343486422343</v>
      </c>
    </row>
    <row r="350" spans="1:26">
      <c r="A350" s="84">
        <f>'Q.6 Rand()'!R348</f>
        <v>3.8</v>
      </c>
      <c r="B350" s="141">
        <f>'Q.6 Rand()'!S348</f>
        <v>34.6</v>
      </c>
      <c r="D350" s="23"/>
      <c r="E350" s="24"/>
      <c r="F350" s="22">
        <f t="shared" si="60"/>
        <v>0.33712737127371151</v>
      </c>
      <c r="G350" s="22">
        <f t="shared" si="61"/>
        <v>-0.10824444444449455</v>
      </c>
      <c r="H350" s="18">
        <f t="shared" si="66"/>
        <v>-3.6492165010555751E-2</v>
      </c>
      <c r="I350" s="18">
        <f t="shared" si="67"/>
        <v>0.11365486446192292</v>
      </c>
      <c r="J350" s="24"/>
      <c r="K350" s="24"/>
      <c r="L350" s="19">
        <f t="shared" si="62"/>
        <v>33.186988426997203</v>
      </c>
      <c r="O350" s="9">
        <f t="shared" si="64"/>
        <v>1.4130115730027981</v>
      </c>
      <c r="P350" s="10">
        <f t="shared" si="65"/>
        <v>1.9966017054398419</v>
      </c>
      <c r="V350" s="10">
        <f t="shared" si="68"/>
        <v>6.7752036309850855E-2</v>
      </c>
      <c r="W350" s="13">
        <f t="shared" si="69"/>
        <v>2.3142198706195978</v>
      </c>
      <c r="Z350" s="15">
        <f t="shared" si="63"/>
        <v>1.1716859753097266E-2</v>
      </c>
    </row>
    <row r="351" spans="1:26">
      <c r="A351" s="84">
        <f>'Q.6 Rand()'!R349</f>
        <v>2.5</v>
      </c>
      <c r="B351" s="141">
        <f>'Q.6 Rand()'!S349</f>
        <v>37.9</v>
      </c>
      <c r="D351" s="23"/>
      <c r="E351" s="24"/>
      <c r="F351" s="22">
        <f t="shared" si="60"/>
        <v>-0.96287262872628832</v>
      </c>
      <c r="G351" s="22">
        <f t="shared" si="61"/>
        <v>3.1917555555555026</v>
      </c>
      <c r="H351" s="18">
        <f t="shared" si="66"/>
        <v>-3.0732540620294615</v>
      </c>
      <c r="I351" s="18">
        <f t="shared" si="67"/>
        <v>0.92712369915027271</v>
      </c>
      <c r="J351" s="24"/>
      <c r="K351" s="24"/>
      <c r="L351" s="19">
        <f t="shared" si="62"/>
        <v>39.053117941221217</v>
      </c>
      <c r="O351" s="9">
        <f t="shared" si="64"/>
        <v>-1.1531179412212182</v>
      </c>
      <c r="P351" s="10">
        <f t="shared" si="65"/>
        <v>1.3296809863662609</v>
      </c>
      <c r="V351" s="10">
        <f t="shared" si="68"/>
        <v>4.0838484768866999E-2</v>
      </c>
      <c r="W351" s="13">
        <f t="shared" si="69"/>
        <v>18.877925702992769</v>
      </c>
      <c r="Z351" s="15">
        <f t="shared" si="63"/>
        <v>10.187303526419415</v>
      </c>
    </row>
    <row r="352" spans="1:26">
      <c r="A352" s="84">
        <f>'Q.6 Rand()'!R350</f>
        <v>3.8</v>
      </c>
      <c r="B352" s="141">
        <f>'Q.6 Rand()'!S350</f>
        <v>33.848199999999999</v>
      </c>
      <c r="D352" s="23"/>
      <c r="E352" s="24"/>
      <c r="F352" s="22">
        <f t="shared" si="60"/>
        <v>0.33712737127371151</v>
      </c>
      <c r="G352" s="22">
        <f t="shared" si="61"/>
        <v>-0.86004444444449746</v>
      </c>
      <c r="H352" s="18">
        <f t="shared" si="66"/>
        <v>-0.28994452273413307</v>
      </c>
      <c r="I352" s="18">
        <f t="shared" si="67"/>
        <v>0.11365486446192292</v>
      </c>
      <c r="J352" s="24"/>
      <c r="K352" s="24"/>
      <c r="L352" s="19">
        <f t="shared" si="62"/>
        <v>33.186988426997203</v>
      </c>
      <c r="O352" s="9">
        <f t="shared" si="64"/>
        <v>0.66121157300279521</v>
      </c>
      <c r="P352" s="10">
        <f t="shared" si="65"/>
        <v>0.43720074427283079</v>
      </c>
      <c r="V352" s="10">
        <f t="shared" si="68"/>
        <v>3.0425275493963542E-2</v>
      </c>
      <c r="W352" s="13">
        <f t="shared" si="69"/>
        <v>2.3142198706195978</v>
      </c>
      <c r="Z352" s="15">
        <f t="shared" si="63"/>
        <v>0.73967644641984431</v>
      </c>
    </row>
    <row r="353" spans="1:26">
      <c r="A353" s="84">
        <f>'Q.6 Rand()'!R351</f>
        <v>3.7</v>
      </c>
      <c r="B353" s="141">
        <f>'Q.6 Rand()'!S351</f>
        <v>29.799900000000001</v>
      </c>
      <c r="D353" s="23"/>
      <c r="E353" s="24"/>
      <c r="F353" s="22">
        <f t="shared" si="60"/>
        <v>0.23712737127371186</v>
      </c>
      <c r="G353" s="22">
        <f t="shared" si="61"/>
        <v>-4.908344444444495</v>
      </c>
      <c r="H353" s="18">
        <f t="shared" si="66"/>
        <v>-1.1639028154170508</v>
      </c>
      <c r="I353" s="18">
        <f t="shared" si="67"/>
        <v>5.6229390207180791E-2</v>
      </c>
      <c r="J353" s="24"/>
      <c r="K353" s="24"/>
      <c r="L353" s="19">
        <f t="shared" si="62"/>
        <v>33.63822915886059</v>
      </c>
      <c r="O353" s="9">
        <f t="shared" si="64"/>
        <v>-3.8383291588605886</v>
      </c>
      <c r="P353" s="10">
        <f t="shared" si="65"/>
        <v>14.732770731759434</v>
      </c>
      <c r="V353" s="10">
        <f t="shared" si="68"/>
        <v>1.953461551878077E-2</v>
      </c>
      <c r="W353" s="13">
        <f t="shared" si="69"/>
        <v>1.1449327113832088</v>
      </c>
      <c r="Z353" s="15">
        <f t="shared" si="63"/>
        <v>24.09184518530914</v>
      </c>
    </row>
    <row r="354" spans="1:26">
      <c r="A354" s="84">
        <f>'Q.6 Rand()'!R352</f>
        <v>3.8</v>
      </c>
      <c r="B354" s="141">
        <f>'Q.6 Rand()'!S352</f>
        <v>33.848199999999999</v>
      </c>
      <c r="D354" s="23"/>
      <c r="E354" s="24"/>
      <c r="F354" s="22">
        <f t="shared" si="60"/>
        <v>0.33712737127371151</v>
      </c>
      <c r="G354" s="22">
        <f t="shared" si="61"/>
        <v>-0.86004444444449746</v>
      </c>
      <c r="H354" s="18">
        <f t="shared" si="66"/>
        <v>-0.28994452273413307</v>
      </c>
      <c r="I354" s="18">
        <f t="shared" si="67"/>
        <v>0.11365486446192292</v>
      </c>
      <c r="J354" s="24"/>
      <c r="K354" s="24"/>
      <c r="L354" s="19">
        <f t="shared" si="62"/>
        <v>33.186988426997203</v>
      </c>
      <c r="O354" s="9">
        <f t="shared" si="64"/>
        <v>0.66121157300279521</v>
      </c>
      <c r="P354" s="10">
        <f t="shared" si="65"/>
        <v>0.43720074427283079</v>
      </c>
      <c r="V354" s="10">
        <f t="shared" si="68"/>
        <v>0.12880342413432891</v>
      </c>
      <c r="W354" s="13">
        <f t="shared" si="69"/>
        <v>2.3142198706195978</v>
      </c>
      <c r="Z354" s="15">
        <f t="shared" si="63"/>
        <v>0.73967644641984431</v>
      </c>
    </row>
    <row r="355" spans="1:26">
      <c r="A355" s="84">
        <f>'Q.6 Rand()'!R353</f>
        <v>3.5</v>
      </c>
      <c r="B355" s="141">
        <f>'Q.6 Rand()'!S353</f>
        <v>33.793700000000001</v>
      </c>
      <c r="D355" s="23"/>
      <c r="E355" s="24"/>
      <c r="F355" s="22">
        <f t="shared" si="60"/>
        <v>3.7127371273711685E-2</v>
      </c>
      <c r="G355" s="22">
        <f t="shared" si="61"/>
        <v>-0.91454444444449479</v>
      </c>
      <c r="H355" s="18">
        <f t="shared" si="66"/>
        <v>-3.3954631135201148E-2</v>
      </c>
      <c r="I355" s="18">
        <f t="shared" si="67"/>
        <v>1.3784416976960316E-3</v>
      </c>
      <c r="J355" s="24"/>
      <c r="K355" s="24"/>
      <c r="L355" s="19">
        <f t="shared" si="62"/>
        <v>34.540710622587362</v>
      </c>
      <c r="O355" s="9">
        <f t="shared" si="64"/>
        <v>-0.74701062258736073</v>
      </c>
      <c r="P355" s="10">
        <f t="shared" si="65"/>
        <v>0.55802487025835634</v>
      </c>
      <c r="V355" s="10">
        <f t="shared" si="68"/>
        <v>1.953461551878077E-2</v>
      </c>
      <c r="W355" s="13">
        <f t="shared" si="69"/>
        <v>2.806758146605793E-2</v>
      </c>
      <c r="Z355" s="15">
        <f t="shared" si="63"/>
        <v>0.83639154086428957</v>
      </c>
    </row>
    <row r="356" spans="1:26">
      <c r="A356" s="84">
        <f>'Q.6 Rand()'!R354</f>
        <v>3.7</v>
      </c>
      <c r="B356" s="141">
        <f>'Q.6 Rand()'!S354</f>
        <v>29.799900000000001</v>
      </c>
      <c r="D356" s="23"/>
      <c r="E356" s="24"/>
      <c r="F356" s="22">
        <f t="shared" si="60"/>
        <v>0.23712737127371186</v>
      </c>
      <c r="G356" s="22">
        <f t="shared" si="61"/>
        <v>-4.908344444444495</v>
      </c>
      <c r="H356" s="18">
        <f t="shared" si="66"/>
        <v>-1.1639028154170508</v>
      </c>
      <c r="I356" s="18">
        <f t="shared" si="67"/>
        <v>5.6229390207180791E-2</v>
      </c>
      <c r="J356" s="24"/>
      <c r="K356" s="24"/>
      <c r="L356" s="19">
        <f t="shared" si="62"/>
        <v>33.63822915886059</v>
      </c>
      <c r="O356" s="9">
        <f t="shared" si="64"/>
        <v>-3.8383291588605886</v>
      </c>
      <c r="P356" s="10">
        <f t="shared" si="65"/>
        <v>14.732770731759434</v>
      </c>
      <c r="V356" s="10">
        <f t="shared" si="68"/>
        <v>2.2105026161307009E-2</v>
      </c>
      <c r="W356" s="13">
        <f t="shared" si="69"/>
        <v>1.1449327113832088</v>
      </c>
      <c r="Z356" s="15">
        <f t="shared" si="63"/>
        <v>24.09184518530914</v>
      </c>
    </row>
    <row r="357" spans="1:26">
      <c r="A357" s="84">
        <f>'Q.6 Rand()'!R355</f>
        <v>3.5</v>
      </c>
      <c r="B357" s="141">
        <f>'Q.6 Rand()'!S355</f>
        <v>28.7</v>
      </c>
      <c r="D357" s="23"/>
      <c r="E357" s="24"/>
      <c r="F357" s="22">
        <f t="shared" si="60"/>
        <v>3.7127371273711685E-2</v>
      </c>
      <c r="G357" s="22">
        <f t="shared" si="61"/>
        <v>-6.0082444444444967</v>
      </c>
      <c r="H357" s="18">
        <f t="shared" si="66"/>
        <v>-0.22307032219210643</v>
      </c>
      <c r="I357" s="18">
        <f t="shared" si="67"/>
        <v>1.3784416976960316E-3</v>
      </c>
      <c r="J357" s="24"/>
      <c r="K357" s="24"/>
      <c r="L357" s="19">
        <f t="shared" si="62"/>
        <v>34.540710622587362</v>
      </c>
      <c r="O357" s="9">
        <f t="shared" si="64"/>
        <v>-5.8407106225873626</v>
      </c>
      <c r="P357" s="10">
        <f t="shared" si="65"/>
        <v>34.113900576804859</v>
      </c>
      <c r="V357" s="10">
        <f t="shared" si="68"/>
        <v>0.12880342413432891</v>
      </c>
      <c r="W357" s="13">
        <f t="shared" si="69"/>
        <v>2.806758146605793E-2</v>
      </c>
      <c r="Z357" s="15">
        <f t="shared" si="63"/>
        <v>36.099001304198161</v>
      </c>
    </row>
    <row r="358" spans="1:26">
      <c r="A358" s="84">
        <f>'Q.6 Rand()'!R356</f>
        <v>3.7</v>
      </c>
      <c r="B358" s="141">
        <f>'Q.6 Rand()'!S356</f>
        <v>34.9</v>
      </c>
      <c r="D358" s="23"/>
      <c r="E358" s="24"/>
      <c r="F358" s="22">
        <f t="shared" si="60"/>
        <v>0.23712737127371186</v>
      </c>
      <c r="G358" s="22">
        <f t="shared" si="61"/>
        <v>0.19175555555550261</v>
      </c>
      <c r="H358" s="18">
        <f t="shared" si="66"/>
        <v>4.5470490816006549E-2</v>
      </c>
      <c r="I358" s="18">
        <f t="shared" si="67"/>
        <v>5.6229390207180791E-2</v>
      </c>
      <c r="J358" s="24"/>
      <c r="K358" s="24"/>
      <c r="L358" s="19">
        <f t="shared" si="62"/>
        <v>33.63822915886059</v>
      </c>
      <c r="O358" s="9">
        <f t="shared" si="64"/>
        <v>1.2617708411394091</v>
      </c>
      <c r="P358" s="10">
        <f t="shared" si="65"/>
        <v>1.592065655549652</v>
      </c>
      <c r="V358" s="10">
        <f t="shared" si="68"/>
        <v>0.20350908092638895</v>
      </c>
      <c r="W358" s="13">
        <f t="shared" si="69"/>
        <v>1.1449327113832088</v>
      </c>
      <c r="Z358" s="15">
        <f t="shared" si="63"/>
        <v>3.677019308639945E-2</v>
      </c>
    </row>
    <row r="359" spans="1:26">
      <c r="A359" s="84">
        <f>'Q.6 Rand()'!R357</f>
        <v>5</v>
      </c>
      <c r="B359" s="141">
        <f>'Q.6 Rand()'!S357</f>
        <v>32.670099999999998</v>
      </c>
      <c r="D359" s="23"/>
      <c r="E359" s="24"/>
      <c r="F359" s="22">
        <f t="shared" si="60"/>
        <v>1.5371273712737117</v>
      </c>
      <c r="G359" s="22">
        <f t="shared" si="61"/>
        <v>-2.038144444444498</v>
      </c>
      <c r="H359" s="18">
        <f t="shared" si="66"/>
        <v>-3.1328876121650908</v>
      </c>
      <c r="I359" s="18">
        <f t="shared" si="67"/>
        <v>2.3627605555188311</v>
      </c>
      <c r="J359" s="24"/>
      <c r="K359" s="24"/>
      <c r="L359" s="19">
        <f t="shared" si="62"/>
        <v>27.772099644636576</v>
      </c>
      <c r="O359" s="9">
        <f t="shared" si="64"/>
        <v>4.8980003553634219</v>
      </c>
      <c r="P359" s="10">
        <f t="shared" si="65"/>
        <v>23.990407481140206</v>
      </c>
      <c r="V359" s="10">
        <f t="shared" si="68"/>
        <v>3.6153892296258143E-2</v>
      </c>
      <c r="W359" s="13">
        <f t="shared" si="69"/>
        <v>48.110104683902449</v>
      </c>
      <c r="Z359" s="15">
        <f t="shared" si="63"/>
        <v>4.1540327764199718</v>
      </c>
    </row>
    <row r="360" spans="1:26">
      <c r="A360" s="84">
        <f>'Q.6 Rand()'!R358</f>
        <v>5.7</v>
      </c>
      <c r="B360" s="141">
        <f>'Q.6 Rand()'!S358</f>
        <v>27.1</v>
      </c>
      <c r="D360" s="23"/>
      <c r="E360" s="24"/>
      <c r="F360" s="22">
        <f t="shared" si="60"/>
        <v>2.2371273712737119</v>
      </c>
      <c r="G360" s="22">
        <f t="shared" si="61"/>
        <v>-7.6082444444444945</v>
      </c>
      <c r="H360" s="18">
        <f t="shared" si="66"/>
        <v>-17.020611894007935</v>
      </c>
      <c r="I360" s="18">
        <f t="shared" si="67"/>
        <v>5.0047388753020279</v>
      </c>
      <c r="J360" s="24"/>
      <c r="K360" s="24"/>
      <c r="L360" s="19">
        <f t="shared" si="62"/>
        <v>24.613414521592876</v>
      </c>
      <c r="O360" s="9">
        <f t="shared" si="64"/>
        <v>2.4865854784071253</v>
      </c>
      <c r="P360" s="10">
        <f t="shared" si="65"/>
        <v>6.1831073414251918</v>
      </c>
      <c r="V360" s="10">
        <f t="shared" si="68"/>
        <v>0.14992302917234482</v>
      </c>
      <c r="W360" s="13">
        <f t="shared" si="69"/>
        <v>101.90559117130044</v>
      </c>
      <c r="Z360" s="15">
        <f t="shared" si="63"/>
        <v>57.885383526420519</v>
      </c>
    </row>
    <row r="361" spans="1:26">
      <c r="A361" s="84">
        <f>'Q.6 Rand()'!R359</f>
        <v>3.5</v>
      </c>
      <c r="B361" s="141">
        <f>'Q.6 Rand()'!S359</f>
        <v>39.0959</v>
      </c>
      <c r="D361" s="23"/>
      <c r="E361" s="24"/>
      <c r="F361" s="22">
        <f t="shared" si="60"/>
        <v>3.7127371273711685E-2</v>
      </c>
      <c r="G361" s="22">
        <f t="shared" si="61"/>
        <v>4.3876555555555043</v>
      </c>
      <c r="H361" s="18">
        <f t="shared" si="66"/>
        <v>0.1629021168322729</v>
      </c>
      <c r="I361" s="18">
        <f t="shared" si="67"/>
        <v>1.3784416976960316E-3</v>
      </c>
      <c r="J361" s="24"/>
      <c r="K361" s="24"/>
      <c r="L361" s="19">
        <f t="shared" si="62"/>
        <v>34.540710622587362</v>
      </c>
      <c r="O361" s="9">
        <f t="shared" si="64"/>
        <v>4.5551893774126384</v>
      </c>
      <c r="P361" s="10">
        <f t="shared" si="65"/>
        <v>20.749750264092942</v>
      </c>
      <c r="V361" s="10">
        <f t="shared" si="68"/>
        <v>9.1755921712440042E-2</v>
      </c>
      <c r="W361" s="13">
        <f t="shared" si="69"/>
        <v>2.806758146605793E-2</v>
      </c>
      <c r="Z361" s="15">
        <f t="shared" si="63"/>
        <v>19.251521274197081</v>
      </c>
    </row>
    <row r="362" spans="1:26">
      <c r="A362" s="84">
        <f>'Q.6 Rand()'!R360</f>
        <v>4.5999999999999996</v>
      </c>
      <c r="B362" s="141">
        <f>'Q.6 Rand()'!S360</f>
        <v>33.305199999999999</v>
      </c>
      <c r="D362" s="23"/>
      <c r="E362" s="24"/>
      <c r="F362" s="22">
        <f t="shared" si="60"/>
        <v>1.1371273712737113</v>
      </c>
      <c r="G362" s="22">
        <f t="shared" si="61"/>
        <v>-1.4030444444444967</v>
      </c>
      <c r="H362" s="18">
        <f t="shared" si="66"/>
        <v>-1.5954402408913553</v>
      </c>
      <c r="I362" s="18">
        <f t="shared" si="67"/>
        <v>1.2930586584998609</v>
      </c>
      <c r="J362" s="24"/>
      <c r="K362" s="24"/>
      <c r="L362" s="19">
        <f t="shared" si="62"/>
        <v>29.577062572090121</v>
      </c>
      <c r="O362" s="9">
        <f t="shared" si="64"/>
        <v>3.7281374279098785</v>
      </c>
      <c r="P362" s="10">
        <f t="shared" si="65"/>
        <v>13.899008681382485</v>
      </c>
      <c r="V362" s="10">
        <f t="shared" si="68"/>
        <v>0.11651322459420652</v>
      </c>
      <c r="W362" s="13">
        <f t="shared" si="69"/>
        <v>26.329027407178152</v>
      </c>
      <c r="Z362" s="15">
        <f t="shared" si="63"/>
        <v>1.9685337130865666</v>
      </c>
    </row>
    <row r="363" spans="1:26">
      <c r="A363" s="84">
        <f>'Q.6 Rand()'!R361</f>
        <v>4</v>
      </c>
      <c r="B363" s="141">
        <f>'Q.6 Rand()'!S361</f>
        <v>27.566500000000001</v>
      </c>
      <c r="D363" s="23"/>
      <c r="E363" s="24"/>
      <c r="F363" s="22">
        <f t="shared" si="60"/>
        <v>0.53712737127371168</v>
      </c>
      <c r="G363" s="22">
        <f t="shared" si="61"/>
        <v>-7.1417444444444946</v>
      </c>
      <c r="H363" s="18">
        <f t="shared" si="66"/>
        <v>-3.836026419753106</v>
      </c>
      <c r="I363" s="18">
        <f t="shared" si="67"/>
        <v>0.2885058129714077</v>
      </c>
      <c r="J363" s="24"/>
      <c r="K363" s="24"/>
      <c r="L363" s="19">
        <f t="shared" si="62"/>
        <v>32.284506963270431</v>
      </c>
      <c r="O363" s="9">
        <f t="shared" si="64"/>
        <v>-4.7180069632704296</v>
      </c>
      <c r="P363" s="10">
        <f t="shared" si="65"/>
        <v>22.259589705468262</v>
      </c>
      <c r="V363" s="10">
        <f t="shared" si="68"/>
        <v>0.1119385990148649</v>
      </c>
      <c r="W363" s="13">
        <f t="shared" si="69"/>
        <v>5.8745033776480016</v>
      </c>
      <c r="Z363" s="15">
        <f t="shared" si="63"/>
        <v>51.004513709753802</v>
      </c>
    </row>
    <row r="364" spans="1:26">
      <c r="A364" s="84">
        <f>'Q.6 Rand()'!R362</f>
        <v>5.2</v>
      </c>
      <c r="B364" s="141">
        <f>'Q.6 Rand()'!S362</f>
        <v>25.4</v>
      </c>
      <c r="D364" s="23"/>
      <c r="E364" s="24"/>
      <c r="F364" s="22">
        <f t="shared" si="60"/>
        <v>1.7371273712737119</v>
      </c>
      <c r="G364" s="22">
        <f t="shared" si="61"/>
        <v>-9.3082444444444974</v>
      </c>
      <c r="H364" s="18">
        <f t="shared" si="66"/>
        <v>-16.169606202951002</v>
      </c>
      <c r="I364" s="18">
        <f t="shared" si="67"/>
        <v>3.0176115040283165</v>
      </c>
      <c r="J364" s="24"/>
      <c r="K364" s="24"/>
      <c r="L364" s="19">
        <f t="shared" si="62"/>
        <v>26.869618180909804</v>
      </c>
      <c r="O364" s="9">
        <f t="shared" si="64"/>
        <v>-1.469618180909805</v>
      </c>
      <c r="P364" s="10">
        <f t="shared" si="65"/>
        <v>2.1597775976606441</v>
      </c>
      <c r="V364" s="10">
        <f t="shared" si="68"/>
        <v>0.17115001771245639</v>
      </c>
      <c r="W364" s="13">
        <f t="shared" si="69"/>
        <v>61.444061699375851</v>
      </c>
      <c r="Z364" s="15">
        <f t="shared" si="63"/>
        <v>86.643414637531848</v>
      </c>
    </row>
    <row r="365" spans="1:26">
      <c r="A365" s="84">
        <f>'Q.6 Rand()'!R363</f>
        <v>1.8</v>
      </c>
      <c r="B365" s="141">
        <f>'Q.6 Rand()'!S363</f>
        <v>47.2</v>
      </c>
      <c r="D365" s="23"/>
      <c r="E365" s="24"/>
      <c r="F365" s="22">
        <f t="shared" si="60"/>
        <v>-1.6628726287262883</v>
      </c>
      <c r="G365" s="22">
        <f t="shared" si="61"/>
        <v>12.491755555555507</v>
      </c>
      <c r="H365" s="18">
        <f t="shared" si="66"/>
        <v>-20.772198398072803</v>
      </c>
      <c r="I365" s="18">
        <f t="shared" si="67"/>
        <v>2.7651453793670759</v>
      </c>
      <c r="J365" s="24"/>
      <c r="K365" s="24"/>
      <c r="L365" s="19">
        <f t="shared" si="62"/>
        <v>42.21180306426492</v>
      </c>
      <c r="O365" s="9">
        <f t="shared" si="64"/>
        <v>4.9881969357350826</v>
      </c>
      <c r="P365" s="10">
        <f t="shared" si="65"/>
        <v>24.882108669676867</v>
      </c>
      <c r="V365" s="10">
        <f t="shared" si="68"/>
        <v>5.7858983500386027E-2</v>
      </c>
      <c r="W365" s="13">
        <f t="shared" si="69"/>
        <v>56.303391961081388</v>
      </c>
      <c r="Z365" s="15">
        <f t="shared" si="63"/>
        <v>156.04395685975186</v>
      </c>
    </row>
    <row r="366" spans="1:26">
      <c r="A366" s="84">
        <f>'Q.6 Rand()'!R364</f>
        <v>4.8</v>
      </c>
      <c r="B366" s="141">
        <f>'Q.6 Rand()'!S364</f>
        <v>24.1496</v>
      </c>
      <c r="D366" s="23"/>
      <c r="E366" s="24"/>
      <c r="F366" s="22">
        <f t="shared" si="60"/>
        <v>1.3371273712737115</v>
      </c>
      <c r="G366" s="22">
        <f t="shared" si="61"/>
        <v>-10.558644444444496</v>
      </c>
      <c r="H366" s="18">
        <f t="shared" si="66"/>
        <v>-14.118252490213848</v>
      </c>
      <c r="I366" s="18">
        <f t="shared" si="67"/>
        <v>1.7879096070093459</v>
      </c>
      <c r="J366" s="24"/>
      <c r="K366" s="24"/>
      <c r="L366" s="19">
        <f t="shared" si="62"/>
        <v>28.674581108363348</v>
      </c>
      <c r="O366" s="9">
        <f t="shared" si="64"/>
        <v>-4.5249811083633489</v>
      </c>
      <c r="P366" s="10">
        <f t="shared" si="65"/>
        <v>20.475454031045203</v>
      </c>
      <c r="V366" s="10">
        <f t="shared" si="68"/>
        <v>0.10568213846896361</v>
      </c>
      <c r="W366" s="13">
        <f t="shared" si="69"/>
        <v>36.405093253169881</v>
      </c>
      <c r="Z366" s="15">
        <f t="shared" si="63"/>
        <v>111.48497250419862</v>
      </c>
    </row>
    <row r="367" spans="1:26">
      <c r="A367" s="84">
        <f>'Q.6 Rand()'!R365</f>
        <v>2.5</v>
      </c>
      <c r="B367" s="141">
        <f>'Q.6 Rand()'!S365</f>
        <v>41.664200000000001</v>
      </c>
      <c r="D367" s="23"/>
      <c r="E367" s="24"/>
      <c r="F367" s="22">
        <f t="shared" si="60"/>
        <v>-0.96287262872628832</v>
      </c>
      <c r="G367" s="22">
        <f t="shared" si="61"/>
        <v>6.955955555555505</v>
      </c>
      <c r="H367" s="18">
        <f t="shared" si="66"/>
        <v>-6.6976992110809581</v>
      </c>
      <c r="I367" s="18">
        <f t="shared" si="67"/>
        <v>0.92712369915027271</v>
      </c>
      <c r="J367" s="24"/>
      <c r="K367" s="24"/>
      <c r="L367" s="19">
        <f t="shared" si="62"/>
        <v>39.053117941221217</v>
      </c>
      <c r="O367" s="9">
        <f t="shared" si="64"/>
        <v>2.6110820587787842</v>
      </c>
      <c r="P367" s="10">
        <f t="shared" si="65"/>
        <v>6.8177495176764538</v>
      </c>
      <c r="V367" s="10">
        <f t="shared" si="68"/>
        <v>0.18737292163693597</v>
      </c>
      <c r="W367" s="13">
        <f t="shared" si="69"/>
        <v>18.877925702992769</v>
      </c>
      <c r="Z367" s="15">
        <f t="shared" si="63"/>
        <v>48.385317690863495</v>
      </c>
    </row>
    <row r="368" spans="1:26">
      <c r="A368" s="84">
        <f>'Q.6 Rand()'!R366</f>
        <v>2</v>
      </c>
      <c r="B368" s="141">
        <f>'Q.6 Rand()'!S366</f>
        <v>43.9</v>
      </c>
      <c r="D368" s="23"/>
      <c r="E368" s="24"/>
      <c r="F368" s="22">
        <f t="shared" si="60"/>
        <v>-1.4628726287262883</v>
      </c>
      <c r="G368" s="22">
        <f t="shared" si="61"/>
        <v>9.1917555555555026</v>
      </c>
      <c r="H368" s="18">
        <f t="shared" si="66"/>
        <v>-13.446367612164943</v>
      </c>
      <c r="I368" s="18">
        <f t="shared" si="67"/>
        <v>2.139996327876561</v>
      </c>
      <c r="J368" s="24"/>
      <c r="K368" s="24"/>
      <c r="L368" s="19">
        <f t="shared" si="62"/>
        <v>41.309321600538148</v>
      </c>
      <c r="O368" s="9">
        <f t="shared" si="64"/>
        <v>2.5906783994618507</v>
      </c>
      <c r="P368" s="10">
        <f t="shared" si="65"/>
        <v>6.7116145694382165</v>
      </c>
      <c r="V368" s="10">
        <f t="shared" si="68"/>
        <v>6.2669679455714597E-2</v>
      </c>
      <c r="W368" s="13">
        <f t="shared" si="69"/>
        <v>43.574219620701456</v>
      </c>
      <c r="Z368" s="15">
        <f t="shared" si="63"/>
        <v>84.488370193085444</v>
      </c>
    </row>
    <row r="369" spans="1:26">
      <c r="A369" s="84">
        <f>'Q.6 Rand()'!R367</f>
        <v>1.6</v>
      </c>
      <c r="B369" s="141">
        <f>'Q.6 Rand()'!S367</f>
        <v>46.5</v>
      </c>
      <c r="D369" s="23"/>
      <c r="E369" s="24"/>
      <c r="F369" s="22">
        <f t="shared" si="60"/>
        <v>-1.8628726287262882</v>
      </c>
      <c r="G369" s="22">
        <f t="shared" si="61"/>
        <v>11.791755555555504</v>
      </c>
      <c r="H369" s="18">
        <f t="shared" si="66"/>
        <v>-21.966538669075494</v>
      </c>
      <c r="I369" s="18">
        <f t="shared" si="67"/>
        <v>3.4702944308575914</v>
      </c>
      <c r="J369" s="24"/>
      <c r="K369" s="24"/>
      <c r="L369" s="19">
        <f t="shared" si="62"/>
        <v>43.114284527991693</v>
      </c>
      <c r="O369" s="9">
        <f t="shared" si="64"/>
        <v>3.3857154720083074</v>
      </c>
      <c r="P369" s="10">
        <f t="shared" si="65"/>
        <v>11.463069257396436</v>
      </c>
      <c r="V369" s="10">
        <f t="shared" si="68"/>
        <v>5.9013175386374732E-2</v>
      </c>
      <c r="W369" s="13">
        <f t="shared" si="69"/>
        <v>70.661509886202168</v>
      </c>
      <c r="Z369" s="15">
        <f t="shared" si="63"/>
        <v>139.0454990819741</v>
      </c>
    </row>
    <row r="370" spans="1:26">
      <c r="A370" s="84">
        <f>'Q.6 Rand()'!R368</f>
        <v>6.7</v>
      </c>
      <c r="B370" s="141">
        <f>'Q.6 Rand()'!S368</f>
        <v>24.2</v>
      </c>
      <c r="D370" s="23"/>
      <c r="E370" s="24"/>
      <c r="F370" s="22">
        <f t="shared" si="60"/>
        <v>3.2371273712737119</v>
      </c>
      <c r="G370" s="22">
        <f t="shared" si="61"/>
        <v>-10.508244444444497</v>
      </c>
      <c r="H370" s="18">
        <f t="shared" si="66"/>
        <v>-34.016525715146201</v>
      </c>
      <c r="I370" s="18">
        <f t="shared" si="67"/>
        <v>10.478993617849452</v>
      </c>
      <c r="J370" s="24"/>
      <c r="K370" s="24"/>
      <c r="L370" s="19">
        <f t="shared" si="62"/>
        <v>20.101007202959018</v>
      </c>
      <c r="O370" s="9">
        <f t="shared" si="64"/>
        <v>4.0989927970409816</v>
      </c>
      <c r="P370" s="10">
        <f t="shared" si="65"/>
        <v>16.801741950193851</v>
      </c>
      <c r="V370" s="10">
        <f t="shared" si="68"/>
        <v>7.2811085419533489E-2</v>
      </c>
      <c r="W370" s="13">
        <f t="shared" si="69"/>
        <v>213.37137982904028</v>
      </c>
      <c r="Z370" s="15">
        <f t="shared" si="63"/>
        <v>110.42320130419863</v>
      </c>
    </row>
    <row r="371" spans="1:26">
      <c r="A371" s="84">
        <f>'Q.6 Rand()'!R369</f>
        <v>3</v>
      </c>
      <c r="B371" s="141">
        <f>'Q.6 Rand()'!S369</f>
        <v>35.708100000000002</v>
      </c>
      <c r="D371" s="23"/>
      <c r="E371" s="24"/>
      <c r="F371" s="22">
        <f t="shared" si="60"/>
        <v>-0.46287262872628832</v>
      </c>
      <c r="G371" s="22">
        <f t="shared" si="61"/>
        <v>0.99985555555550576</v>
      </c>
      <c r="H371" s="18">
        <f t="shared" si="66"/>
        <v>-0.46280576934656037</v>
      </c>
      <c r="I371" s="18">
        <f t="shared" si="67"/>
        <v>0.21425107042398434</v>
      </c>
      <c r="J371" s="24"/>
      <c r="K371" s="24"/>
      <c r="L371" s="19">
        <f t="shared" si="62"/>
        <v>36.796914281904293</v>
      </c>
      <c r="O371" s="9">
        <f t="shared" si="64"/>
        <v>-1.0888142819042912</v>
      </c>
      <c r="P371" s="10">
        <f t="shared" si="65"/>
        <v>1.1855165404787573</v>
      </c>
      <c r="V371" s="10">
        <f t="shared" si="68"/>
        <v>0.16937986764632157</v>
      </c>
      <c r="W371" s="13">
        <f t="shared" si="69"/>
        <v>4.3625416899143348</v>
      </c>
      <c r="Z371" s="15">
        <f t="shared" si="63"/>
        <v>0.99971113197520911</v>
      </c>
    </row>
    <row r="372" spans="1:26">
      <c r="A372" s="84">
        <f>'Q.6 Rand()'!R370</f>
        <v>2.5</v>
      </c>
      <c r="B372" s="141">
        <f>'Q.6 Rand()'!S370</f>
        <v>35.860599999999998</v>
      </c>
      <c r="D372" s="23"/>
      <c r="E372" s="24"/>
      <c r="F372" s="22">
        <f t="shared" si="60"/>
        <v>-0.96287262872628832</v>
      </c>
      <c r="G372" s="22">
        <f t="shared" si="61"/>
        <v>1.1523555555555021</v>
      </c>
      <c r="H372" s="18">
        <f t="shared" si="66"/>
        <v>-1.1095716230050687</v>
      </c>
      <c r="I372" s="18">
        <f t="shared" si="67"/>
        <v>0.92712369915027271</v>
      </c>
      <c r="J372" s="24"/>
      <c r="K372" s="24"/>
      <c r="L372" s="19">
        <f t="shared" si="62"/>
        <v>39.053117941221217</v>
      </c>
      <c r="O372" s="9">
        <f t="shared" si="64"/>
        <v>-3.1925179412212188</v>
      </c>
      <c r="P372" s="10">
        <f t="shared" si="65"/>
        <v>10.192170805019369</v>
      </c>
      <c r="V372" s="10">
        <f t="shared" si="68"/>
        <v>3.0492081121770442E-2</v>
      </c>
      <c r="W372" s="13">
        <f t="shared" si="69"/>
        <v>18.877925702992769</v>
      </c>
      <c r="Z372" s="15">
        <f t="shared" si="63"/>
        <v>1.3279233264196297</v>
      </c>
    </row>
    <row r="373" spans="1:26">
      <c r="A373" s="84">
        <f>'Q.6 Rand()'!R371</f>
        <v>2.4</v>
      </c>
      <c r="B373" s="141">
        <f>'Q.6 Rand()'!S371</f>
        <v>37.490200000000002</v>
      </c>
      <c r="D373" s="23"/>
      <c r="E373" s="24"/>
      <c r="F373" s="22">
        <f t="shared" si="60"/>
        <v>-1.0628726287262884</v>
      </c>
      <c r="G373" s="22">
        <f t="shared" si="61"/>
        <v>2.7819555555555056</v>
      </c>
      <c r="H373" s="18">
        <f t="shared" si="66"/>
        <v>-2.9568644143329821</v>
      </c>
      <c r="I373" s="18">
        <f t="shared" si="67"/>
        <v>1.1296982248955305</v>
      </c>
      <c r="J373" s="24"/>
      <c r="K373" s="24"/>
      <c r="L373" s="19">
        <f t="shared" si="62"/>
        <v>39.50435867308461</v>
      </c>
      <c r="O373" s="9">
        <f t="shared" si="64"/>
        <v>-2.0141586730846086</v>
      </c>
      <c r="P373" s="10">
        <f t="shared" si="65"/>
        <v>4.0568351603619517</v>
      </c>
      <c r="V373" s="10">
        <f t="shared" si="68"/>
        <v>8.902578153241214E-2</v>
      </c>
      <c r="W373" s="13">
        <f t="shared" si="69"/>
        <v>23.002711694164159</v>
      </c>
      <c r="Z373" s="15">
        <f t="shared" si="63"/>
        <v>7.7392767130861415</v>
      </c>
    </row>
    <row r="374" spans="1:26" ht="15.75" thickBot="1">
      <c r="A374" s="85">
        <f>SUM(A5:A373)</f>
        <v>1277.8000000000004</v>
      </c>
      <c r="B374" s="85">
        <f>SUM(B5:B373)</f>
        <v>12807.342200000019</v>
      </c>
      <c r="C374" s="155">
        <f t="shared" ref="C374:P374" si="70">SUM(C5:C373)</f>
        <v>369</v>
      </c>
      <c r="D374" s="25"/>
      <c r="E374" s="26"/>
      <c r="F374" s="27">
        <f t="shared" si="70"/>
        <v>-3.765876499528531E-13</v>
      </c>
      <c r="G374" s="27">
        <f t="shared" si="70"/>
        <v>-1.9014123608940281E-11</v>
      </c>
      <c r="H374" s="27">
        <f t="shared" si="70"/>
        <v>-2839.1225511111115</v>
      </c>
      <c r="I374" s="27">
        <f t="shared" si="70"/>
        <v>629.18135501355027</v>
      </c>
      <c r="J374" s="26"/>
      <c r="K374" s="26"/>
      <c r="L374" s="157">
        <f t="shared" si="70"/>
        <v>12807.342199999994</v>
      </c>
      <c r="O374" s="85">
        <f t="shared" si="70"/>
        <v>-2.0655477328546112E-11</v>
      </c>
      <c r="P374" s="85">
        <f t="shared" si="70"/>
        <v>7151.2946125588996</v>
      </c>
      <c r="V374" s="85">
        <f t="shared" ref="V374" si="71">SUM(V5:V373)</f>
        <v>47.090748119944244</v>
      </c>
      <c r="W374" s="85">
        <f t="shared" ref="W374" si="72">SUM(W5:W373)</f>
        <v>12811.277378132181</v>
      </c>
      <c r="Z374" s="85">
        <f t="shared" ref="Z374" si="73">SUM(Z5:Z373)</f>
        <v>19962.571990691114</v>
      </c>
    </row>
    <row r="375" spans="1:26">
      <c r="A375" s="146"/>
      <c r="B375" s="146"/>
    </row>
  </sheetData>
  <mergeCells count="19">
    <mergeCell ref="Z2:AA2"/>
    <mergeCell ref="D3:E3"/>
    <mergeCell ref="M3:N3"/>
    <mergeCell ref="W3:X3"/>
    <mergeCell ref="Z3:AA3"/>
    <mergeCell ref="D2:E2"/>
    <mergeCell ref="W2:Y2"/>
    <mergeCell ref="AE6:AH6"/>
    <mergeCell ref="S9:T9"/>
    <mergeCell ref="S10:T10"/>
    <mergeCell ref="S11:T11"/>
    <mergeCell ref="S12:T12"/>
    <mergeCell ref="A1:R1"/>
    <mergeCell ref="S18:T18"/>
    <mergeCell ref="S13:T13"/>
    <mergeCell ref="S14:T14"/>
    <mergeCell ref="S15:T15"/>
    <mergeCell ref="S16:T16"/>
    <mergeCell ref="S17:T17"/>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375"/>
  <sheetViews>
    <sheetView zoomScaleNormal="100" workbookViewId="0">
      <selection activeCell="G29" sqref="G29"/>
    </sheetView>
  </sheetViews>
  <sheetFormatPr defaultColWidth="10.28515625" defaultRowHeight="15"/>
  <cols>
    <col min="1" max="1" width="10.140625" style="62" customWidth="1"/>
    <col min="2" max="2" width="8.5703125" style="62" customWidth="1"/>
    <col min="3" max="3" width="6.5703125" style="62" customWidth="1"/>
    <col min="4" max="4" width="6" style="62" customWidth="1"/>
    <col min="5" max="5" width="7.28515625" style="62" customWidth="1"/>
    <col min="6" max="6" width="7.5703125" style="62" customWidth="1"/>
    <col min="7" max="7" width="7.28515625" style="62" customWidth="1"/>
    <col min="8" max="8" width="17.140625" style="62" customWidth="1"/>
    <col min="9" max="9" width="10.140625" style="62" customWidth="1"/>
    <col min="10" max="10" width="14.42578125" style="62" customWidth="1"/>
    <col min="11" max="11" width="10.85546875" style="62" customWidth="1"/>
    <col min="12" max="12" width="16.140625" style="62" customWidth="1"/>
    <col min="13" max="14" width="7.140625" style="62" customWidth="1"/>
    <col min="15" max="15" width="12" style="62" customWidth="1"/>
    <col min="16" max="16" width="11" style="62" customWidth="1"/>
    <col min="17" max="17" width="15.85546875" style="62" customWidth="1"/>
    <col min="18" max="18" width="20.85546875" style="62" customWidth="1"/>
    <col min="19" max="19" width="26.85546875" style="62" customWidth="1"/>
    <col min="20" max="20" width="37.85546875" style="62" customWidth="1"/>
    <col min="21" max="21" width="68.140625" style="62" customWidth="1"/>
    <col min="22" max="22" width="28.28515625" style="62" customWidth="1"/>
    <col min="23" max="23" width="10.42578125" style="62" customWidth="1"/>
    <col min="24" max="24" width="11.85546875" style="62" customWidth="1"/>
    <col min="25" max="25" width="25.5703125" style="62" customWidth="1"/>
    <col min="26" max="26" width="10.42578125" style="62" customWidth="1"/>
    <col min="27" max="27" width="11.85546875" style="62" customWidth="1"/>
    <col min="28" max="28" width="39.5703125" style="62" customWidth="1"/>
    <col min="29" max="29" width="16.5703125" style="62" customWidth="1"/>
    <col min="30" max="30" width="39.5703125" style="62" customWidth="1"/>
    <col min="31" max="31" width="13.28515625" style="62" customWidth="1"/>
    <col min="32" max="33" width="8.5703125" style="62" customWidth="1"/>
    <col min="34" max="34" width="14" style="62" customWidth="1"/>
    <col min="35" max="35" width="20.85546875" style="62" customWidth="1"/>
    <col min="36" max="16384" width="10.28515625" style="62"/>
  </cols>
  <sheetData>
    <row r="1" spans="1:36">
      <c r="A1" s="369" t="s">
        <v>103</v>
      </c>
      <c r="B1" s="369"/>
      <c r="C1" s="369"/>
      <c r="D1" s="369"/>
      <c r="E1" s="369"/>
      <c r="F1" s="369"/>
      <c r="G1" s="369"/>
      <c r="H1" s="369"/>
      <c r="I1" s="369"/>
      <c r="J1" s="369"/>
      <c r="K1" s="369"/>
      <c r="L1" s="369"/>
      <c r="M1" s="369"/>
      <c r="N1" s="369"/>
      <c r="O1" s="369"/>
      <c r="P1" s="369"/>
      <c r="Q1" s="369"/>
      <c r="R1" s="369"/>
      <c r="S1" s="142"/>
      <c r="T1" s="117"/>
      <c r="U1" s="117"/>
      <c r="V1" s="117"/>
      <c r="W1" s="152"/>
      <c r="X1" s="152"/>
      <c r="Y1" s="152"/>
      <c r="Z1" s="152"/>
      <c r="AA1" s="152"/>
      <c r="AB1" s="152"/>
    </row>
    <row r="2" spans="1:36" ht="15" customHeight="1" thickBot="1">
      <c r="A2" s="82" t="s">
        <v>22</v>
      </c>
      <c r="B2" s="75" t="s">
        <v>23</v>
      </c>
      <c r="C2" s="75" t="s">
        <v>40</v>
      </c>
      <c r="D2" s="355" t="s">
        <v>41</v>
      </c>
      <c r="E2" s="356"/>
      <c r="F2" s="95"/>
      <c r="G2" s="95"/>
      <c r="H2" s="95"/>
      <c r="I2" s="95"/>
      <c r="J2" s="79" t="s">
        <v>64</v>
      </c>
      <c r="K2" s="78" t="s">
        <v>70</v>
      </c>
      <c r="L2" s="96"/>
      <c r="M2" s="128"/>
      <c r="N2" s="128"/>
      <c r="O2" s="99" t="s">
        <v>78</v>
      </c>
      <c r="P2" s="98" t="s">
        <v>77</v>
      </c>
      <c r="Q2" s="98" t="s">
        <v>76</v>
      </c>
      <c r="R2" s="99" t="s">
        <v>75</v>
      </c>
      <c r="S2" s="99" t="s">
        <v>88</v>
      </c>
      <c r="T2" s="86"/>
      <c r="U2" s="86"/>
      <c r="V2" s="86"/>
      <c r="W2" s="363" t="s">
        <v>35</v>
      </c>
      <c r="X2" s="363"/>
      <c r="Y2" s="364"/>
      <c r="Z2" s="378" t="s">
        <v>74</v>
      </c>
      <c r="AA2" s="378"/>
      <c r="AB2" s="92" t="s">
        <v>45</v>
      </c>
      <c r="AC2" s="57" t="s">
        <v>39</v>
      </c>
      <c r="AD2" s="93" t="s">
        <v>46</v>
      </c>
    </row>
    <row r="3" spans="1:36">
      <c r="A3" s="82"/>
      <c r="B3" s="75"/>
      <c r="C3" s="7"/>
      <c r="D3" s="379"/>
      <c r="E3" s="380"/>
      <c r="F3" s="21"/>
      <c r="G3" s="21"/>
      <c r="H3" s="21"/>
      <c r="I3" s="21"/>
      <c r="J3" s="28" t="s">
        <v>68</v>
      </c>
      <c r="K3" s="29" t="s">
        <v>69</v>
      </c>
      <c r="L3" s="17" t="s">
        <v>20</v>
      </c>
      <c r="M3" s="362" t="s">
        <v>89</v>
      </c>
      <c r="N3" s="381"/>
      <c r="O3" s="8" t="s">
        <v>66</v>
      </c>
      <c r="P3" s="8" t="s">
        <v>65</v>
      </c>
      <c r="Q3" s="81" t="s">
        <v>24</v>
      </c>
      <c r="R3" s="8" t="s">
        <v>67</v>
      </c>
      <c r="S3" s="8" t="s">
        <v>34</v>
      </c>
      <c r="T3" s="8" t="s">
        <v>50</v>
      </c>
      <c r="U3" s="8" t="s">
        <v>73</v>
      </c>
      <c r="V3" s="8" t="s">
        <v>54</v>
      </c>
      <c r="W3" s="382" t="s">
        <v>28</v>
      </c>
      <c r="X3" s="383"/>
      <c r="Y3" s="12" t="s">
        <v>80</v>
      </c>
      <c r="Z3" s="384" t="s">
        <v>30</v>
      </c>
      <c r="AA3" s="383"/>
      <c r="AB3" s="57" t="s">
        <v>38</v>
      </c>
      <c r="AC3" s="57"/>
      <c r="AD3" s="94" t="s">
        <v>44</v>
      </c>
      <c r="AE3" s="3"/>
      <c r="AF3" s="3"/>
      <c r="AG3" s="3"/>
      <c r="AH3" s="3"/>
      <c r="AI3" s="3"/>
    </row>
    <row r="4" spans="1:36" ht="30.75" customHeight="1" thickBot="1">
      <c r="A4" s="83" t="s">
        <v>0</v>
      </c>
      <c r="B4" s="32" t="s">
        <v>2</v>
      </c>
      <c r="C4" s="77" t="s">
        <v>40</v>
      </c>
      <c r="D4" s="33" t="s">
        <v>13</v>
      </c>
      <c r="E4" s="34" t="s">
        <v>14</v>
      </c>
      <c r="F4" s="34" t="s">
        <v>15</v>
      </c>
      <c r="G4" s="34" t="s">
        <v>16</v>
      </c>
      <c r="H4" s="34" t="s">
        <v>17</v>
      </c>
      <c r="I4" s="34" t="s">
        <v>18</v>
      </c>
      <c r="J4" s="43"/>
      <c r="K4" s="43" t="s">
        <v>19</v>
      </c>
      <c r="L4" s="35" t="s">
        <v>21</v>
      </c>
      <c r="M4" s="61" t="s">
        <v>90</v>
      </c>
      <c r="N4" s="60" t="s">
        <v>91</v>
      </c>
      <c r="O4" s="36" t="s">
        <v>26</v>
      </c>
      <c r="P4" s="36" t="s">
        <v>25</v>
      </c>
      <c r="Q4" s="37" t="s">
        <v>27</v>
      </c>
      <c r="R4" s="87" t="s">
        <v>42</v>
      </c>
      <c r="S4" s="36" t="s">
        <v>43</v>
      </c>
      <c r="T4" s="90" t="s">
        <v>71</v>
      </c>
      <c r="U4" s="91" t="s">
        <v>72</v>
      </c>
      <c r="V4" s="120" t="s">
        <v>87</v>
      </c>
      <c r="W4" s="38" t="s">
        <v>32</v>
      </c>
      <c r="X4" s="39" t="s">
        <v>29</v>
      </c>
      <c r="Y4" s="38" t="s">
        <v>48</v>
      </c>
      <c r="Z4" s="40" t="s">
        <v>33</v>
      </c>
      <c r="AA4" s="41" t="s">
        <v>31</v>
      </c>
      <c r="AB4" s="60" t="s">
        <v>47</v>
      </c>
      <c r="AC4" s="61" t="s">
        <v>39</v>
      </c>
      <c r="AD4" s="121" t="s">
        <v>44</v>
      </c>
      <c r="AE4" s="42"/>
      <c r="AF4" s="42"/>
      <c r="AG4" s="42"/>
      <c r="AH4" s="42"/>
      <c r="AI4" s="42"/>
    </row>
    <row r="5" spans="1:36" ht="15.75" thickBot="1">
      <c r="A5" s="84">
        <f>'Q.6 Rand()'!T3</f>
        <v>4.5999999999999996</v>
      </c>
      <c r="B5" s="141">
        <f>'Q.6 Rand()'!U3</f>
        <v>32.149900000000002</v>
      </c>
      <c r="C5" s="44">
        <f>COUNT($B$5:$B$373)</f>
        <v>369</v>
      </c>
      <c r="D5" s="45">
        <f>AVERAGE(A5:A373)</f>
        <v>3.6203252032520323</v>
      </c>
      <c r="E5" s="46">
        <f>AVERAGE(B5:B373)</f>
        <v>34.430609485094863</v>
      </c>
      <c r="F5" s="47">
        <f t="shared" ref="F5:F68" si="0">A5-$D$5</f>
        <v>0.97967479674796731</v>
      </c>
      <c r="G5" s="47">
        <f>B5-$E$5</f>
        <v>-2.2807094850948602</v>
      </c>
      <c r="H5" s="48">
        <f>F5*G5</f>
        <v>-2.2343536012514682</v>
      </c>
      <c r="I5" s="48">
        <f>F5^2</f>
        <v>0.95976270738317104</v>
      </c>
      <c r="J5" s="76">
        <f>H374 / I374</f>
        <v>-4.2156046482739882</v>
      </c>
      <c r="K5" s="76">
        <f>E5-(J5*D5)</f>
        <v>49.692469240187599</v>
      </c>
      <c r="L5" s="49">
        <f>$K$5+$J$5*A5</f>
        <v>30.300687858127255</v>
      </c>
      <c r="M5" s="129">
        <f>CORREL(A5:A373, O5:O373)</f>
        <v>-2.6306385104638052E-15</v>
      </c>
      <c r="N5" s="129">
        <f>CORREL(B5:B373, O5:O373)</f>
        <v>0.63845879789924942</v>
      </c>
      <c r="O5" s="50">
        <f t="shared" ref="O5:O68" si="1">B5-L5</f>
        <v>1.8492121418727478</v>
      </c>
      <c r="P5" s="51">
        <f>O5^2</f>
        <v>3.4195855456495958</v>
      </c>
      <c r="Q5" s="124">
        <f>P374</f>
        <v>8532.1677119676806</v>
      </c>
      <c r="R5" s="124">
        <f>Q5/(C5 - 2)</f>
        <v>23.248413384108122</v>
      </c>
      <c r="S5" s="125">
        <f>SQRT(Q5/(C5-2))</f>
        <v>4.821660853285735</v>
      </c>
      <c r="T5" s="125">
        <f>S5 / SQRT(I374)</f>
        <v>0.18254210623310907</v>
      </c>
      <c r="U5" s="123">
        <f>S5 * SQRT((1/$C$5)+($D$5^2)/$I$374)</f>
        <v>0.70692441813118123</v>
      </c>
      <c r="V5" s="123">
        <f>AVERAGE(V6:V373) * 100</f>
        <v>10.777307348903816</v>
      </c>
      <c r="W5" s="52">
        <f t="shared" ref="W5:W68" si="2">(L5-$E$5)^2</f>
        <v>17.056252644894773</v>
      </c>
      <c r="X5" s="53">
        <f>W374</f>
        <v>12399.008398829055</v>
      </c>
      <c r="Y5" s="88">
        <f>X5/AA5</f>
        <v>0.59237036338504434</v>
      </c>
      <c r="Z5" s="54">
        <f>(B5-$E$5)^2</f>
        <v>5.2016357554016626</v>
      </c>
      <c r="AA5" s="55">
        <f>Z374</f>
        <v>20931.176110796794</v>
      </c>
      <c r="AB5" s="58">
        <f>X5 / R5</f>
        <v>533.32707888378411</v>
      </c>
      <c r="AC5" s="59">
        <f>FDIST(INDEX(LINEST($B$5:$B$373,$A$5:$A$373,1,1),4,1),1,INDEX(LINEST($B$5:$B$373,$A$5:$A$373,1,1),4,2))</f>
        <v>1.6442725058755889E-73</v>
      </c>
      <c r="AD5" s="122">
        <f>_xlfn.F.DIST.RT(AB5,1,C5-2)</f>
        <v>1.6442725058762914E-73</v>
      </c>
      <c r="AE5" s="3"/>
      <c r="AF5" s="3"/>
      <c r="AG5" s="3"/>
      <c r="AH5" s="3"/>
      <c r="AI5" s="3"/>
    </row>
    <row r="6" spans="1:36">
      <c r="A6" s="84">
        <f>'Q.6 Rand()'!T4</f>
        <v>5.7</v>
      </c>
      <c r="B6" s="141">
        <f>'Q.6 Rand()'!U4</f>
        <v>34.5</v>
      </c>
      <c r="C6" s="5"/>
      <c r="D6" s="23"/>
      <c r="E6" s="24"/>
      <c r="F6" s="22">
        <f t="shared" si="0"/>
        <v>2.0796747967479678</v>
      </c>
      <c r="G6" s="22">
        <f t="shared" ref="G6:G69" si="3">B6-$E$5</f>
        <v>6.9390514905137479E-2</v>
      </c>
      <c r="H6" s="18">
        <f t="shared" ref="H6:H69" si="4">F6*G6</f>
        <v>0.14430970498157861</v>
      </c>
      <c r="I6" s="18">
        <f t="shared" ref="I6:I69" si="5">F6^2</f>
        <v>4.3250472602287013</v>
      </c>
      <c r="J6" s="22">
        <f>SLOPE(B5:B373,A5:A373)</f>
        <v>-4.2156046482739882</v>
      </c>
      <c r="K6" s="22">
        <f>INTERCEPT(B5:B373,A5:A373)</f>
        <v>49.692469240187599</v>
      </c>
      <c r="L6" s="19">
        <f t="shared" ref="L6:L69" si="6">$K$5+$J$5*A6</f>
        <v>25.663522745025865</v>
      </c>
      <c r="N6" s="126"/>
      <c r="O6" s="9">
        <f t="shared" si="1"/>
        <v>8.8364772549741346</v>
      </c>
      <c r="P6" s="10">
        <f t="shared" ref="P6:P69" si="7">O6^2</f>
        <v>78.083330277675216</v>
      </c>
      <c r="Q6" s="152"/>
      <c r="S6" s="100">
        <f>SQRT(R5)</f>
        <v>4.821660853285735</v>
      </c>
      <c r="T6" s="152"/>
      <c r="U6" s="152"/>
      <c r="V6" s="10">
        <f>ABS(O5) / B5</f>
        <v>5.7518441484195833E-2</v>
      </c>
      <c r="W6" s="13">
        <f t="shared" si="2"/>
        <v>76.86180990789363</v>
      </c>
      <c r="X6" s="152"/>
      <c r="Y6" s="152"/>
      <c r="Z6" s="15">
        <f t="shared" ref="Z6:Z69" si="8">(B6-$E$5)^2</f>
        <v>4.8150435588001066E-3</v>
      </c>
      <c r="AA6" s="68"/>
      <c r="AB6" s="152"/>
      <c r="AC6" s="152"/>
      <c r="AD6" s="152"/>
      <c r="AE6" s="366" t="s">
        <v>81</v>
      </c>
      <c r="AF6" s="367"/>
      <c r="AG6" s="367"/>
      <c r="AH6" s="368"/>
    </row>
    <row r="7" spans="1:36">
      <c r="A7" s="84">
        <f>'Q.6 Rand()'!T5</f>
        <v>4.8</v>
      </c>
      <c r="B7" s="141">
        <f>'Q.6 Rand()'!U5</f>
        <v>23.577999999999999</v>
      </c>
      <c r="C7" s="5"/>
      <c r="D7" s="23"/>
      <c r="E7" s="24"/>
      <c r="F7" s="22">
        <f t="shared" si="0"/>
        <v>1.1796747967479675</v>
      </c>
      <c r="G7" s="22">
        <f t="shared" si="3"/>
        <v>-10.852609485094863</v>
      </c>
      <c r="H7" s="18">
        <f t="shared" si="4"/>
        <v>-12.802549888514347</v>
      </c>
      <c r="I7" s="18">
        <f t="shared" si="5"/>
        <v>1.3916326260823584</v>
      </c>
      <c r="J7" s="24"/>
      <c r="K7" s="24"/>
      <c r="L7" s="19">
        <f t="shared" si="6"/>
        <v>29.457566928472456</v>
      </c>
      <c r="M7" s="126"/>
      <c r="N7" s="126"/>
      <c r="O7" s="9">
        <f t="shared" si="1"/>
        <v>-5.8795669284724568</v>
      </c>
      <c r="P7" s="10">
        <f t="shared" si="7"/>
        <v>34.569307266387042</v>
      </c>
      <c r="Q7" s="152"/>
      <c r="R7" s="152"/>
      <c r="S7" s="152"/>
      <c r="T7" s="152"/>
      <c r="U7" s="152"/>
      <c r="V7" s="10">
        <f t="shared" ref="V7:V70" si="9">ABS(O6) / B6</f>
        <v>0.25612977550649668</v>
      </c>
      <c r="W7" s="13">
        <f t="shared" si="2"/>
        <v>24.731152269977521</v>
      </c>
      <c r="X7" s="68"/>
      <c r="Y7" s="68"/>
      <c r="Z7" s="15">
        <f t="shared" si="8"/>
        <v>117.779132635971</v>
      </c>
      <c r="AA7" s="152"/>
      <c r="AC7" s="64"/>
      <c r="AE7" s="112" t="s">
        <v>55</v>
      </c>
      <c r="AF7" s="110">
        <f t="array" ref="AF7:AG11">LINEST(B5:B373,A5:A373,,TRUE)</f>
        <v>-4.2156046482739997</v>
      </c>
      <c r="AG7" s="106">
        <v>49.692469240187641</v>
      </c>
      <c r="AH7" s="114" t="s">
        <v>55</v>
      </c>
      <c r="AI7" s="56">
        <f>AF7-J5</f>
        <v>-1.1546319456101628E-14</v>
      </c>
      <c r="AJ7" s="56">
        <f>AG7-K5</f>
        <v>0</v>
      </c>
    </row>
    <row r="8" spans="1:36">
      <c r="A8" s="84">
        <f>'Q.6 Rand()'!T6</f>
        <v>5.3</v>
      </c>
      <c r="B8" s="141">
        <f>'Q.6 Rand()'!U6</f>
        <v>29.0185</v>
      </c>
      <c r="C8" s="5"/>
      <c r="D8" s="23"/>
      <c r="E8" s="24"/>
      <c r="F8" s="22">
        <f t="shared" si="0"/>
        <v>1.6796747967479675</v>
      </c>
      <c r="G8" s="22">
        <f t="shared" si="3"/>
        <v>-5.412109485094863</v>
      </c>
      <c r="H8" s="18">
        <f t="shared" si="4"/>
        <v>-9.0905838993544616</v>
      </c>
      <c r="I8" s="18">
        <f t="shared" si="5"/>
        <v>2.8213074228303259</v>
      </c>
      <c r="J8" s="24"/>
      <c r="K8" s="24"/>
      <c r="L8" s="19">
        <f t="shared" si="6"/>
        <v>27.349764604335462</v>
      </c>
      <c r="M8" s="126"/>
      <c r="N8" s="126"/>
      <c r="O8" s="9">
        <f t="shared" si="1"/>
        <v>1.6687353956645374</v>
      </c>
      <c r="P8" s="10">
        <f t="shared" si="7"/>
        <v>2.7846778207436804</v>
      </c>
      <c r="Q8" s="152"/>
      <c r="R8" s="152"/>
      <c r="S8" s="152"/>
      <c r="T8" s="152"/>
      <c r="U8" s="152"/>
      <c r="V8" s="10">
        <f t="shared" si="9"/>
        <v>0.24936665232303235</v>
      </c>
      <c r="W8" s="13">
        <f t="shared" si="2"/>
        <v>50.138364225376606</v>
      </c>
      <c r="X8" s="68"/>
      <c r="Y8" s="68"/>
      <c r="Z8" s="15">
        <f t="shared" si="8"/>
        <v>29.290929078653782</v>
      </c>
      <c r="AC8" s="152"/>
      <c r="AE8" s="112" t="s">
        <v>56</v>
      </c>
      <c r="AF8" s="109">
        <v>0.18254210623310912</v>
      </c>
      <c r="AG8" s="105">
        <v>0.70692441813118134</v>
      </c>
      <c r="AH8" s="114" t="s">
        <v>57</v>
      </c>
      <c r="AI8" s="56">
        <f>AF8-T5</f>
        <v>0</v>
      </c>
      <c r="AJ8" s="56">
        <f>AG8-U5</f>
        <v>0</v>
      </c>
    </row>
    <row r="9" spans="1:36" ht="18">
      <c r="A9" s="84">
        <f>'Q.6 Rand()'!T7</f>
        <v>2.5</v>
      </c>
      <c r="B9" s="141">
        <f>'Q.6 Rand()'!U7</f>
        <v>40.887300000000003</v>
      </c>
      <c r="C9" s="5"/>
      <c r="D9" s="23"/>
      <c r="E9" s="24"/>
      <c r="F9" s="22">
        <f t="shared" si="0"/>
        <v>-1.1203252032520323</v>
      </c>
      <c r="G9" s="22">
        <f t="shared" si="3"/>
        <v>6.4566905149051408</v>
      </c>
      <c r="H9" s="18">
        <f t="shared" si="4"/>
        <v>-7.2335931134465712</v>
      </c>
      <c r="I9" s="18">
        <f t="shared" si="5"/>
        <v>1.2551285610417076</v>
      </c>
      <c r="J9" s="24"/>
      <c r="K9" s="24"/>
      <c r="L9" s="19">
        <f t="shared" si="6"/>
        <v>39.153457619502632</v>
      </c>
      <c r="M9" s="126"/>
      <c r="N9" s="126"/>
      <c r="O9" s="9">
        <f t="shared" si="1"/>
        <v>1.7338423804973715</v>
      </c>
      <c r="P9" s="10">
        <f t="shared" si="7"/>
        <v>3.006209400408792</v>
      </c>
      <c r="Q9" s="151"/>
      <c r="R9" s="151"/>
      <c r="S9" s="364" t="s">
        <v>85</v>
      </c>
      <c r="T9" s="364"/>
      <c r="U9" s="152" t="s">
        <v>85</v>
      </c>
      <c r="V9" s="10">
        <f t="shared" si="9"/>
        <v>5.7505915042629273E-2</v>
      </c>
      <c r="W9" s="13">
        <f t="shared" si="2"/>
        <v>22.305294500678947</v>
      </c>
      <c r="X9" s="68"/>
      <c r="Y9" s="68"/>
      <c r="Z9" s="15">
        <f t="shared" si="8"/>
        <v>41.688852405266012</v>
      </c>
      <c r="AE9" s="112" t="s">
        <v>58</v>
      </c>
      <c r="AF9" s="110">
        <v>0.59237036338504689</v>
      </c>
      <c r="AG9" s="106">
        <v>4.8216608532857359</v>
      </c>
      <c r="AH9" s="114" t="s">
        <v>59</v>
      </c>
      <c r="AI9" s="56">
        <f>AF9-Y5</f>
        <v>2.55351295663786E-15</v>
      </c>
      <c r="AJ9" s="56">
        <f>AG9-S5</f>
        <v>0</v>
      </c>
    </row>
    <row r="10" spans="1:36">
      <c r="A10" s="84">
        <f>'Q.6 Rand()'!T8</f>
        <v>5.3</v>
      </c>
      <c r="B10" s="141">
        <f>'Q.6 Rand()'!U8</f>
        <v>29</v>
      </c>
      <c r="C10" s="5"/>
      <c r="D10" s="23"/>
      <c r="E10" s="24"/>
      <c r="F10" s="22">
        <f t="shared" si="0"/>
        <v>1.6796747967479675</v>
      </c>
      <c r="G10" s="22">
        <f t="shared" si="3"/>
        <v>-5.4306094850948625</v>
      </c>
      <c r="H10" s="18">
        <f t="shared" si="4"/>
        <v>-9.1216578830942971</v>
      </c>
      <c r="I10" s="18">
        <f t="shared" si="5"/>
        <v>2.8213074228303259</v>
      </c>
      <c r="J10" s="24"/>
      <c r="K10" s="24"/>
      <c r="L10" s="19">
        <f t="shared" si="6"/>
        <v>27.349764604335462</v>
      </c>
      <c r="M10" s="126"/>
      <c r="N10" s="126"/>
      <c r="O10" s="9">
        <f t="shared" si="1"/>
        <v>1.6502353956645379</v>
      </c>
      <c r="P10" s="10">
        <f t="shared" si="7"/>
        <v>2.7232768611040941</v>
      </c>
      <c r="Q10" s="151"/>
      <c r="R10" s="151"/>
      <c r="S10" s="376"/>
      <c r="T10" s="376"/>
      <c r="U10" s="151"/>
      <c r="V10" s="10">
        <f t="shared" si="9"/>
        <v>4.2405401689457882E-2</v>
      </c>
      <c r="W10" s="13">
        <f t="shared" si="2"/>
        <v>50.138364225376606</v>
      </c>
      <c r="X10" s="68"/>
      <c r="Y10" s="68"/>
      <c r="Z10" s="15">
        <f t="shared" si="8"/>
        <v>29.491519379602288</v>
      </c>
      <c r="AE10" s="112" t="s">
        <v>60</v>
      </c>
      <c r="AF10" s="110">
        <v>533.32707888378627</v>
      </c>
      <c r="AG10" s="108">
        <v>367</v>
      </c>
      <c r="AH10" s="115" t="s">
        <v>37</v>
      </c>
      <c r="AI10" s="56">
        <f>AF10-AB5</f>
        <v>2.1600499167107046E-12</v>
      </c>
      <c r="AJ10" s="56">
        <f>AG10-(C5-2)</f>
        <v>0</v>
      </c>
    </row>
    <row r="11" spans="1:36" ht="18.75" thickBot="1">
      <c r="A11" s="84">
        <f>'Q.6 Rand()'!T9</f>
        <v>3.5</v>
      </c>
      <c r="B11" s="141">
        <f>'Q.6 Rand()'!U9</f>
        <v>32.1</v>
      </c>
      <c r="C11" s="5"/>
      <c r="D11" s="23"/>
      <c r="E11" s="24"/>
      <c r="F11" s="22">
        <f t="shared" si="0"/>
        <v>-0.12032520325203233</v>
      </c>
      <c r="G11" s="22">
        <f t="shared" si="3"/>
        <v>-2.3306094850948611</v>
      </c>
      <c r="H11" s="18">
        <f t="shared" si="4"/>
        <v>0.28043105999515355</v>
      </c>
      <c r="I11" s="18">
        <f t="shared" si="5"/>
        <v>1.4478154537642892E-2</v>
      </c>
      <c r="J11" s="119"/>
      <c r="K11" s="24"/>
      <c r="L11" s="19">
        <f t="shared" si="6"/>
        <v>34.937852971228637</v>
      </c>
      <c r="M11" s="126"/>
      <c r="N11" s="126"/>
      <c r="O11" s="9">
        <f t="shared" si="1"/>
        <v>-2.8378529712286351</v>
      </c>
      <c r="P11" s="10">
        <f t="shared" si="7"/>
        <v>8.0534094863111925</v>
      </c>
      <c r="Q11" s="151"/>
      <c r="R11" s="151"/>
      <c r="S11" s="364" t="s">
        <v>65</v>
      </c>
      <c r="T11" s="364"/>
      <c r="U11" s="152" t="s">
        <v>86</v>
      </c>
      <c r="V11" s="10">
        <f t="shared" si="9"/>
        <v>5.690466881601855E-2</v>
      </c>
      <c r="W11" s="13">
        <f t="shared" si="2"/>
        <v>0.25729595422514417</v>
      </c>
      <c r="X11" s="68"/>
      <c r="Y11" s="68"/>
      <c r="Z11" s="15">
        <f t="shared" si="8"/>
        <v>5.4317405720141334</v>
      </c>
      <c r="AE11" s="113" t="s">
        <v>61</v>
      </c>
      <c r="AF11" s="111">
        <v>12399.00839882911</v>
      </c>
      <c r="AG11" s="107">
        <v>8532.1677119676842</v>
      </c>
      <c r="AH11" s="116" t="s">
        <v>62</v>
      </c>
      <c r="AI11" s="56">
        <f>AF11-X5</f>
        <v>5.4569682106375694E-11</v>
      </c>
      <c r="AJ11" s="56">
        <f>AG11-Q5</f>
        <v>0</v>
      </c>
    </row>
    <row r="12" spans="1:36">
      <c r="A12" s="84">
        <f>'Q.6 Rand()'!T10</f>
        <v>2</v>
      </c>
      <c r="B12" s="141">
        <f>'Q.6 Rand()'!U10</f>
        <v>40.239699999999999</v>
      </c>
      <c r="C12" s="5"/>
      <c r="D12" s="23"/>
      <c r="E12" s="24"/>
      <c r="F12" s="22">
        <f t="shared" si="0"/>
        <v>-1.6203252032520323</v>
      </c>
      <c r="G12" s="22">
        <f t="shared" si="3"/>
        <v>5.8090905149051366</v>
      </c>
      <c r="H12" s="18">
        <f t="shared" si="4"/>
        <v>-9.4126157692731187</v>
      </c>
      <c r="I12" s="18">
        <f t="shared" si="5"/>
        <v>2.6254537642937397</v>
      </c>
      <c r="J12" s="24"/>
      <c r="K12" s="24"/>
      <c r="L12" s="19">
        <f t="shared" si="6"/>
        <v>41.261259943639622</v>
      </c>
      <c r="M12" s="126"/>
      <c r="N12" s="126"/>
      <c r="O12" s="9">
        <f t="shared" si="1"/>
        <v>-1.0215599436396232</v>
      </c>
      <c r="P12" s="10">
        <f t="shared" si="7"/>
        <v>1.0435847184489901</v>
      </c>
      <c r="Q12" s="151"/>
      <c r="R12" s="151"/>
      <c r="S12" s="376"/>
      <c r="T12" s="376"/>
      <c r="U12" s="152"/>
      <c r="V12" s="10">
        <f t="shared" si="9"/>
        <v>8.8406634617714488E-2</v>
      </c>
      <c r="W12" s="13">
        <f t="shared" si="2"/>
        <v>46.657785686817739</v>
      </c>
      <c r="X12" s="68"/>
      <c r="Y12" s="68"/>
      <c r="Z12" s="15">
        <f t="shared" si="8"/>
        <v>33.745532610360826</v>
      </c>
    </row>
    <row r="13" spans="1:36">
      <c r="A13" s="84">
        <f>'Q.6 Rand()'!T11</f>
        <v>5.3</v>
      </c>
      <c r="B13" s="141">
        <f>'Q.6 Rand()'!U11</f>
        <v>23.299900000000001</v>
      </c>
      <c r="C13" s="5"/>
      <c r="D13" s="23"/>
      <c r="E13" s="24"/>
      <c r="F13" s="22">
        <f t="shared" si="0"/>
        <v>1.6796747967479675</v>
      </c>
      <c r="G13" s="22">
        <f t="shared" si="3"/>
        <v>-11.130709485094862</v>
      </c>
      <c r="H13" s="18">
        <f t="shared" si="4"/>
        <v>-18.695972192037384</v>
      </c>
      <c r="I13" s="18">
        <f t="shared" si="5"/>
        <v>2.8213074228303259</v>
      </c>
      <c r="J13" s="24"/>
      <c r="K13" s="24"/>
      <c r="L13" s="19">
        <f t="shared" si="6"/>
        <v>27.349764604335462</v>
      </c>
      <c r="M13" s="126"/>
      <c r="N13" s="126"/>
      <c r="O13" s="9">
        <f t="shared" si="1"/>
        <v>-4.0498646043354611</v>
      </c>
      <c r="P13" s="10">
        <f t="shared" si="7"/>
        <v>16.401403313449222</v>
      </c>
      <c r="Q13" s="151"/>
      <c r="R13" s="151"/>
      <c r="S13" s="377" t="s">
        <v>24</v>
      </c>
      <c r="T13" s="364"/>
      <c r="U13" s="152" t="s">
        <v>84</v>
      </c>
      <c r="V13" s="10">
        <f t="shared" si="9"/>
        <v>2.5386867785784268E-2</v>
      </c>
      <c r="W13" s="13">
        <f t="shared" si="2"/>
        <v>50.138364225376606</v>
      </c>
      <c r="X13" s="68"/>
      <c r="Y13" s="68"/>
      <c r="Z13" s="15">
        <f t="shared" si="8"/>
        <v>123.89269364158072</v>
      </c>
    </row>
    <row r="14" spans="1:36">
      <c r="A14" s="84">
        <f>'Q.6 Rand()'!T12</f>
        <v>2.9</v>
      </c>
      <c r="B14" s="141">
        <f>'Q.6 Rand()'!U12</f>
        <v>35.5</v>
      </c>
      <c r="C14" s="5"/>
      <c r="D14" s="23"/>
      <c r="E14" s="24"/>
      <c r="F14" s="22">
        <f t="shared" si="0"/>
        <v>-0.72032520325203242</v>
      </c>
      <c r="G14" s="22">
        <f t="shared" si="3"/>
        <v>1.0693905149051375</v>
      </c>
      <c r="H14" s="18">
        <f t="shared" si="4"/>
        <v>-0.77030894000483874</v>
      </c>
      <c r="I14" s="18">
        <f t="shared" si="5"/>
        <v>0.51886839844008181</v>
      </c>
      <c r="J14" s="24"/>
      <c r="K14" s="24"/>
      <c r="L14" s="19">
        <f t="shared" si="6"/>
        <v>37.467215760193035</v>
      </c>
      <c r="M14" s="126"/>
      <c r="N14" s="126"/>
      <c r="O14" s="9">
        <f t="shared" si="1"/>
        <v>-1.9672157601930351</v>
      </c>
      <c r="P14" s="10">
        <f t="shared" si="7"/>
        <v>3.8699378471518613</v>
      </c>
      <c r="Q14" s="151"/>
      <c r="R14" s="151"/>
      <c r="S14" s="376"/>
      <c r="T14" s="376"/>
      <c r="U14" s="152"/>
      <c r="V14" s="10">
        <f t="shared" si="9"/>
        <v>0.17381467750228374</v>
      </c>
      <c r="W14" s="13">
        <f t="shared" si="2"/>
        <v>9.220977669965599</v>
      </c>
      <c r="X14" s="68"/>
      <c r="Y14" s="68"/>
      <c r="Z14" s="15">
        <f t="shared" si="8"/>
        <v>1.1435960733690751</v>
      </c>
      <c r="AB14" s="67"/>
    </row>
    <row r="15" spans="1:36">
      <c r="A15" s="84">
        <f>'Q.6 Rand()'!T13</f>
        <v>2.7</v>
      </c>
      <c r="B15" s="141">
        <f>'Q.6 Rand()'!U13</f>
        <v>37.799999999999997</v>
      </c>
      <c r="C15" s="5"/>
      <c r="D15" s="23"/>
      <c r="E15" s="24"/>
      <c r="F15" s="22">
        <f t="shared" si="0"/>
        <v>-0.92032520325203215</v>
      </c>
      <c r="G15" s="22">
        <f t="shared" si="3"/>
        <v>3.3693905149051346</v>
      </c>
      <c r="H15" s="18">
        <f t="shared" si="4"/>
        <v>-3.1009350104655371</v>
      </c>
      <c r="I15" s="18">
        <f t="shared" si="5"/>
        <v>0.84699847974089426</v>
      </c>
      <c r="J15" s="24"/>
      <c r="K15" s="24"/>
      <c r="L15" s="19">
        <f t="shared" si="6"/>
        <v>38.31033668984783</v>
      </c>
      <c r="M15" s="126"/>
      <c r="N15" s="126"/>
      <c r="O15" s="9">
        <f t="shared" si="1"/>
        <v>-0.51033668984783276</v>
      </c>
      <c r="P15" s="10">
        <f t="shared" si="7"/>
        <v>0.26044353700484307</v>
      </c>
      <c r="Q15" s="151"/>
      <c r="R15" s="102"/>
      <c r="S15" s="377" t="s">
        <v>67</v>
      </c>
      <c r="T15" s="364"/>
      <c r="U15" s="152" t="s">
        <v>54</v>
      </c>
      <c r="V15" s="10">
        <f t="shared" si="9"/>
        <v>5.5414528456141837E-2</v>
      </c>
      <c r="W15" s="13">
        <f t="shared" si="2"/>
        <v>15.052283183300274</v>
      </c>
      <c r="X15" s="68"/>
      <c r="Y15" s="68"/>
      <c r="Z15" s="15">
        <f t="shared" si="8"/>
        <v>11.352792441932689</v>
      </c>
      <c r="AB15" s="67"/>
    </row>
    <row r="16" spans="1:36">
      <c r="A16" s="84">
        <f>'Q.6 Rand()'!T14</f>
        <v>2.4</v>
      </c>
      <c r="B16" s="141">
        <f>'Q.6 Rand()'!U14</f>
        <v>40</v>
      </c>
      <c r="C16" s="5"/>
      <c r="D16" s="23"/>
      <c r="E16" s="24"/>
      <c r="F16" s="22">
        <f t="shared" si="0"/>
        <v>-1.2203252032520324</v>
      </c>
      <c r="G16" s="22">
        <f t="shared" si="3"/>
        <v>5.5693905149051375</v>
      </c>
      <c r="H16" s="18">
        <f t="shared" si="4"/>
        <v>-6.7964676120915533</v>
      </c>
      <c r="I16" s="18">
        <f t="shared" si="5"/>
        <v>1.4891936016921143</v>
      </c>
      <c r="J16" s="24"/>
      <c r="K16" s="24"/>
      <c r="L16" s="19">
        <f t="shared" si="6"/>
        <v>39.575018084330026</v>
      </c>
      <c r="M16" s="126"/>
      <c r="N16" s="126"/>
      <c r="O16" s="9">
        <f t="shared" si="1"/>
        <v>0.42498191566997434</v>
      </c>
      <c r="P16" s="10">
        <f t="shared" si="7"/>
        <v>0.18060962864652119</v>
      </c>
      <c r="Q16" s="151"/>
      <c r="R16" s="151"/>
      <c r="S16" s="376"/>
      <c r="T16" s="376"/>
      <c r="U16" s="151"/>
      <c r="V16" s="10">
        <f t="shared" si="9"/>
        <v>1.3500970630895047E-2</v>
      </c>
      <c r="W16" s="13">
        <f t="shared" si="2"/>
        <v>26.464939835884692</v>
      </c>
      <c r="X16" s="68"/>
      <c r="Y16" s="68"/>
      <c r="Z16" s="15">
        <f t="shared" si="8"/>
        <v>31.018110707515312</v>
      </c>
    </row>
    <row r="17" spans="1:28">
      <c r="A17" s="84">
        <f>'Q.6 Rand()'!T15</f>
        <v>4.4000000000000004</v>
      </c>
      <c r="B17" s="141">
        <f>'Q.6 Rand()'!U15</f>
        <v>29.452100000000002</v>
      </c>
      <c r="C17" s="5"/>
      <c r="D17" s="23"/>
      <c r="E17" s="24"/>
      <c r="F17" s="22">
        <f t="shared" si="0"/>
        <v>0.77967479674796802</v>
      </c>
      <c r="G17" s="22">
        <f t="shared" si="3"/>
        <v>-4.978509485094861</v>
      </c>
      <c r="H17" s="18">
        <f t="shared" si="4"/>
        <v>-3.8816183708991665</v>
      </c>
      <c r="I17" s="18">
        <f t="shared" si="5"/>
        <v>0.60789278868398522</v>
      </c>
      <c r="J17" s="24"/>
      <c r="K17" s="24"/>
      <c r="L17" s="19">
        <f t="shared" si="6"/>
        <v>31.143808787782049</v>
      </c>
      <c r="M17" s="126"/>
      <c r="N17" s="126"/>
      <c r="O17" s="9">
        <f t="shared" si="1"/>
        <v>-1.6917087877820478</v>
      </c>
      <c r="P17" s="10">
        <f t="shared" si="7"/>
        <v>2.8618786226590056</v>
      </c>
      <c r="Q17" s="151"/>
      <c r="R17" s="151"/>
      <c r="S17" s="364" t="s">
        <v>79</v>
      </c>
      <c r="T17" s="364"/>
      <c r="U17" s="151"/>
      <c r="V17" s="10">
        <f t="shared" si="9"/>
        <v>1.0624547891749358E-2</v>
      </c>
      <c r="W17" s="13">
        <f t="shared" si="2"/>
        <v>10.803058823855995</v>
      </c>
      <c r="X17" s="68"/>
      <c r="Y17" s="68"/>
      <c r="Z17" s="15">
        <f t="shared" si="8"/>
        <v>24.785556693179498</v>
      </c>
      <c r="AB17" s="97"/>
    </row>
    <row r="18" spans="1:28">
      <c r="A18" s="84">
        <f>'Q.6 Rand()'!T16</f>
        <v>2.4</v>
      </c>
      <c r="B18" s="141">
        <f>'Q.6 Rand()'!U16</f>
        <v>46.8</v>
      </c>
      <c r="C18" s="5"/>
      <c r="D18" s="23"/>
      <c r="E18" s="24"/>
      <c r="F18" s="22">
        <f t="shared" si="0"/>
        <v>-1.2203252032520324</v>
      </c>
      <c r="G18" s="22">
        <f t="shared" si="3"/>
        <v>12.369390514905135</v>
      </c>
      <c r="H18" s="18">
        <f t="shared" si="4"/>
        <v>-15.094678994205371</v>
      </c>
      <c r="I18" s="18">
        <f t="shared" si="5"/>
        <v>1.4891936016921143</v>
      </c>
      <c r="J18" s="24"/>
      <c r="K18" s="24"/>
      <c r="L18" s="19">
        <f t="shared" si="6"/>
        <v>39.575018084330026</v>
      </c>
      <c r="M18" s="126"/>
      <c r="N18" s="126"/>
      <c r="O18" s="9">
        <f t="shared" si="1"/>
        <v>7.2249819156699715</v>
      </c>
      <c r="P18" s="10">
        <f t="shared" si="7"/>
        <v>52.200363681758134</v>
      </c>
      <c r="Q18" s="151"/>
      <c r="R18" s="151"/>
      <c r="S18" s="376"/>
      <c r="T18" s="376"/>
      <c r="U18" s="151"/>
      <c r="V18" s="10">
        <f t="shared" si="9"/>
        <v>5.7439326492238166E-2</v>
      </c>
      <c r="W18" s="13">
        <f t="shared" si="2"/>
        <v>26.464939835884692</v>
      </c>
      <c r="X18" s="68"/>
      <c r="Y18" s="68"/>
      <c r="Z18" s="15">
        <f t="shared" si="8"/>
        <v>153.0018217102251</v>
      </c>
    </row>
    <row r="19" spans="1:28">
      <c r="A19" s="84">
        <f>'Q.6 Rand()'!T17</f>
        <v>3</v>
      </c>
      <c r="B19" s="141">
        <f>'Q.6 Rand()'!U17</f>
        <v>34.799999999999997</v>
      </c>
      <c r="C19" s="5"/>
      <c r="D19" s="23"/>
      <c r="E19" s="24"/>
      <c r="F19" s="22">
        <f t="shared" si="0"/>
        <v>-0.62032520325203233</v>
      </c>
      <c r="G19" s="22">
        <f t="shared" si="3"/>
        <v>0.36939051490513464</v>
      </c>
      <c r="H19" s="18">
        <f t="shared" si="4"/>
        <v>-0.22914224623790053</v>
      </c>
      <c r="I19" s="18">
        <f t="shared" si="5"/>
        <v>0.38480335778967523</v>
      </c>
      <c r="J19" s="24"/>
      <c r="K19" s="24"/>
      <c r="L19" s="19">
        <f t="shared" si="6"/>
        <v>37.045655295365634</v>
      </c>
      <c r="M19" s="126"/>
      <c r="N19" s="126"/>
      <c r="O19" s="9">
        <f t="shared" si="1"/>
        <v>-2.245655295365637</v>
      </c>
      <c r="P19" s="10">
        <f t="shared" si="7"/>
        <v>5.0429677056037265</v>
      </c>
      <c r="Q19" s="151"/>
      <c r="R19" s="103"/>
      <c r="S19" s="104" t="s">
        <v>50</v>
      </c>
      <c r="T19" s="151" t="s">
        <v>73</v>
      </c>
      <c r="U19" s="151"/>
      <c r="V19" s="10">
        <f t="shared" si="9"/>
        <v>0.1543799554630336</v>
      </c>
      <c r="W19" s="13">
        <f t="shared" si="2"/>
        <v>6.8384645898147163</v>
      </c>
      <c r="X19" s="68"/>
      <c r="Y19" s="68"/>
      <c r="Z19" s="15">
        <f t="shared" si="8"/>
        <v>0.13644935250188051</v>
      </c>
    </row>
    <row r="20" spans="1:28">
      <c r="A20" s="84">
        <f>'Q.6 Rand()'!T18</f>
        <v>2.5</v>
      </c>
      <c r="B20" s="141">
        <f>'Q.6 Rand()'!U18</f>
        <v>37.6</v>
      </c>
      <c r="C20" s="5"/>
      <c r="D20" s="23"/>
      <c r="E20" s="24"/>
      <c r="F20" s="22">
        <f t="shared" si="0"/>
        <v>-1.1203252032520323</v>
      </c>
      <c r="G20" s="22">
        <f t="shared" si="3"/>
        <v>3.1693905149051389</v>
      </c>
      <c r="H20" s="18">
        <f t="shared" si="4"/>
        <v>-3.5507480727961633</v>
      </c>
      <c r="I20" s="18">
        <f t="shared" si="5"/>
        <v>1.2551285610417076</v>
      </c>
      <c r="J20" s="24"/>
      <c r="K20" s="24"/>
      <c r="L20" s="19">
        <f t="shared" si="6"/>
        <v>39.153457619502632</v>
      </c>
      <c r="M20" s="126"/>
      <c r="N20" s="126"/>
      <c r="O20" s="9">
        <f t="shared" si="1"/>
        <v>-1.5534576195026304</v>
      </c>
      <c r="P20" s="10">
        <f t="shared" si="7"/>
        <v>2.413230575590779</v>
      </c>
      <c r="Q20" s="151"/>
      <c r="R20" s="151"/>
      <c r="S20" s="151"/>
      <c r="T20" s="151"/>
      <c r="U20" s="151"/>
      <c r="V20" s="10">
        <f t="shared" si="9"/>
        <v>6.4530324579472331E-2</v>
      </c>
      <c r="W20" s="13">
        <f t="shared" si="2"/>
        <v>22.305294500678947</v>
      </c>
      <c r="X20" s="68"/>
      <c r="Y20" s="68"/>
      <c r="Z20" s="15">
        <f t="shared" si="8"/>
        <v>10.045036235970661</v>
      </c>
    </row>
    <row r="21" spans="1:28">
      <c r="A21" s="84">
        <f>'Q.6 Rand()'!T19</f>
        <v>3.5</v>
      </c>
      <c r="B21" s="141">
        <f>'Q.6 Rand()'!U19</f>
        <v>36</v>
      </c>
      <c r="C21" s="5"/>
      <c r="D21" s="23"/>
      <c r="E21" s="24"/>
      <c r="F21" s="22">
        <f t="shared" si="0"/>
        <v>-0.12032520325203233</v>
      </c>
      <c r="G21" s="22">
        <f t="shared" si="3"/>
        <v>1.5693905149051375</v>
      </c>
      <c r="H21" s="18">
        <f t="shared" si="4"/>
        <v>-0.18883723268777233</v>
      </c>
      <c r="I21" s="18">
        <f t="shared" si="5"/>
        <v>1.4478154537642892E-2</v>
      </c>
      <c r="J21" s="24"/>
      <c r="K21" s="24"/>
      <c r="L21" s="19">
        <f t="shared" si="6"/>
        <v>34.937852971228637</v>
      </c>
      <c r="M21" s="126"/>
      <c r="N21" s="126"/>
      <c r="O21" s="9">
        <f t="shared" si="1"/>
        <v>1.0621470287713635</v>
      </c>
      <c r="P21" s="10">
        <f t="shared" si="7"/>
        <v>1.1281563107278356</v>
      </c>
      <c r="Q21" s="151"/>
      <c r="R21" s="151"/>
      <c r="S21" s="151"/>
      <c r="T21" s="151"/>
      <c r="U21" s="151"/>
      <c r="V21" s="10">
        <f t="shared" si="9"/>
        <v>4.1315362220814639E-2</v>
      </c>
      <c r="W21" s="13">
        <f t="shared" si="2"/>
        <v>0.25729595422514417</v>
      </c>
      <c r="X21" s="68"/>
      <c r="Y21" s="68"/>
      <c r="Z21" s="15">
        <f t="shared" si="8"/>
        <v>2.4629865882742124</v>
      </c>
    </row>
    <row r="22" spans="1:28">
      <c r="A22" s="84">
        <f>'Q.6 Rand()'!T20</f>
        <v>2</v>
      </c>
      <c r="B22" s="141">
        <f>'Q.6 Rand()'!U20</f>
        <v>37.798900000000003</v>
      </c>
      <c r="C22" s="5"/>
      <c r="D22" s="23"/>
      <c r="E22" s="24"/>
      <c r="F22" s="22">
        <f t="shared" si="0"/>
        <v>-1.6203252032520323</v>
      </c>
      <c r="G22" s="22">
        <f t="shared" si="3"/>
        <v>3.3682905149051408</v>
      </c>
      <c r="H22" s="18">
        <f t="shared" si="4"/>
        <v>-5.4577260131755647</v>
      </c>
      <c r="I22" s="18">
        <f t="shared" si="5"/>
        <v>2.6254537642937397</v>
      </c>
      <c r="J22" s="24"/>
      <c r="K22" s="24"/>
      <c r="L22" s="19">
        <f t="shared" si="6"/>
        <v>41.261259943639622</v>
      </c>
      <c r="M22" s="126"/>
      <c r="N22" s="126"/>
      <c r="O22" s="9">
        <f t="shared" si="1"/>
        <v>-3.4623599436396191</v>
      </c>
      <c r="P22" s="10">
        <f t="shared" si="7"/>
        <v>11.987936379320146</v>
      </c>
      <c r="Q22" s="151"/>
      <c r="R22" s="151"/>
      <c r="S22" s="151"/>
      <c r="T22" s="151"/>
      <c r="U22" s="151"/>
      <c r="V22" s="10">
        <f t="shared" si="9"/>
        <v>2.9504084132537873E-2</v>
      </c>
      <c r="W22" s="13">
        <f t="shared" si="2"/>
        <v>46.657785686817739</v>
      </c>
      <c r="X22" s="68"/>
      <c r="Y22" s="68"/>
      <c r="Z22" s="15">
        <f t="shared" si="8"/>
        <v>11.345380992799939</v>
      </c>
      <c r="AA22" s="152"/>
    </row>
    <row r="23" spans="1:28">
      <c r="A23" s="84">
        <f>'Q.6 Rand()'!T21</f>
        <v>1.6</v>
      </c>
      <c r="B23" s="141">
        <f>'Q.6 Rand()'!U21</f>
        <v>47.3</v>
      </c>
      <c r="C23" s="5"/>
      <c r="D23" s="23"/>
      <c r="E23" s="24"/>
      <c r="F23" s="22">
        <f t="shared" si="0"/>
        <v>-2.0203252032520322</v>
      </c>
      <c r="G23" s="22">
        <f t="shared" si="3"/>
        <v>12.869390514905135</v>
      </c>
      <c r="H23" s="18">
        <f t="shared" si="4"/>
        <v>-26.000354007755494</v>
      </c>
      <c r="I23" s="18">
        <f t="shared" si="5"/>
        <v>4.0817139268953655</v>
      </c>
      <c r="J23" s="24"/>
      <c r="K23" s="24"/>
      <c r="L23" s="19">
        <f t="shared" si="6"/>
        <v>42.947501802949219</v>
      </c>
      <c r="M23" s="126"/>
      <c r="N23" s="126"/>
      <c r="O23" s="9">
        <f t="shared" si="1"/>
        <v>4.3524981970507781</v>
      </c>
      <c r="P23" s="10">
        <f t="shared" si="7"/>
        <v>18.944240555330275</v>
      </c>
      <c r="Q23" s="151"/>
      <c r="R23" s="151"/>
      <c r="S23" s="151"/>
      <c r="T23" s="151"/>
      <c r="U23" s="151"/>
      <c r="V23" s="10">
        <f t="shared" si="9"/>
        <v>9.1599489499419789E-2</v>
      </c>
      <c r="W23" s="13">
        <f t="shared" si="2"/>
        <v>72.537454753926554</v>
      </c>
      <c r="X23" s="68"/>
      <c r="Y23" s="68"/>
      <c r="Z23" s="15">
        <f t="shared" si="8"/>
        <v>165.62121222513025</v>
      </c>
      <c r="AA23" s="152"/>
    </row>
    <row r="24" spans="1:28">
      <c r="A24" s="84">
        <f>'Q.6 Rand()'!T22</f>
        <v>3.6</v>
      </c>
      <c r="B24" s="141">
        <f>'Q.6 Rand()'!U22</f>
        <v>31</v>
      </c>
      <c r="C24" s="5"/>
      <c r="D24" s="23"/>
      <c r="E24" s="24"/>
      <c r="F24" s="22">
        <f t="shared" si="0"/>
        <v>-2.0325203252032242E-2</v>
      </c>
      <c r="G24" s="22">
        <f t="shared" si="3"/>
        <v>-3.4306094850948625</v>
      </c>
      <c r="H24" s="18">
        <f t="shared" si="4"/>
        <v>6.9727835062902754E-2</v>
      </c>
      <c r="I24" s="18">
        <f t="shared" si="5"/>
        <v>4.1311388723642203E-4</v>
      </c>
      <c r="J24" s="24"/>
      <c r="K24" s="24"/>
      <c r="L24" s="19">
        <f t="shared" si="6"/>
        <v>34.516292506401243</v>
      </c>
      <c r="M24" s="126"/>
      <c r="N24" s="126"/>
      <c r="O24" s="9">
        <f t="shared" si="1"/>
        <v>-3.5162925064012427</v>
      </c>
      <c r="P24" s="10">
        <f t="shared" si="7"/>
        <v>12.364312990573533</v>
      </c>
      <c r="Q24" s="152"/>
      <c r="R24" s="152"/>
      <c r="S24" s="152"/>
      <c r="T24" s="152"/>
      <c r="U24" s="152"/>
      <c r="V24" s="10">
        <f t="shared" si="9"/>
        <v>9.2018989366824067E-2</v>
      </c>
      <c r="W24" s="13">
        <f t="shared" si="2"/>
        <v>7.3415801401895981E-3</v>
      </c>
      <c r="X24" s="68"/>
      <c r="Y24" s="68"/>
      <c r="Z24" s="15">
        <f t="shared" si="8"/>
        <v>11.769081439222838</v>
      </c>
      <c r="AA24" s="152"/>
      <c r="AB24" s="152"/>
    </row>
    <row r="25" spans="1:28">
      <c r="A25" s="84">
        <f>'Q.6 Rand()'!T23</f>
        <v>8.4</v>
      </c>
      <c r="B25" s="141">
        <f>'Q.6 Rand()'!U23</f>
        <v>30</v>
      </c>
      <c r="C25" s="5"/>
      <c r="D25" s="23"/>
      <c r="E25" s="24"/>
      <c r="F25" s="22">
        <f t="shared" si="0"/>
        <v>4.779674796747968</v>
      </c>
      <c r="G25" s="22">
        <f t="shared" si="3"/>
        <v>-4.4306094850948625</v>
      </c>
      <c r="H25" s="18">
        <f t="shared" si="4"/>
        <v>-21.176872490140408</v>
      </c>
      <c r="I25" s="18">
        <f t="shared" si="5"/>
        <v>22.845291162667728</v>
      </c>
      <c r="J25" s="24"/>
      <c r="K25" s="24"/>
      <c r="L25" s="19">
        <f t="shared" si="6"/>
        <v>14.281390194686097</v>
      </c>
      <c r="M25" s="126"/>
      <c r="N25" s="126"/>
      <c r="O25" s="9">
        <f t="shared" si="1"/>
        <v>15.718609805313903</v>
      </c>
      <c r="P25" s="10">
        <f t="shared" si="7"/>
        <v>247.07469421171038</v>
      </c>
      <c r="Q25" s="152"/>
      <c r="R25" s="152"/>
      <c r="S25" s="152"/>
      <c r="T25" s="152"/>
      <c r="U25" s="152"/>
      <c r="V25" s="10">
        <f t="shared" si="9"/>
        <v>0.11342879052907234</v>
      </c>
      <c r="W25" s="13">
        <f t="shared" si="2"/>
        <v>405.99103801298071</v>
      </c>
      <c r="X25" s="68"/>
      <c r="Y25" s="68"/>
      <c r="Z25" s="15">
        <f t="shared" si="8"/>
        <v>19.630300409412563</v>
      </c>
      <c r="AA25" s="152"/>
      <c r="AB25" s="152"/>
    </row>
    <row r="26" spans="1:28">
      <c r="A26" s="84">
        <f>'Q.6 Rand()'!T24</f>
        <v>3.6</v>
      </c>
      <c r="B26" s="141">
        <f>'Q.6 Rand()'!U24</f>
        <v>36.439500000000002</v>
      </c>
      <c r="C26" s="5"/>
      <c r="D26" s="23"/>
      <c r="E26" s="24"/>
      <c r="F26" s="22">
        <f t="shared" si="0"/>
        <v>-2.0325203252032242E-2</v>
      </c>
      <c r="G26" s="22">
        <f t="shared" si="3"/>
        <v>2.0088905149051399</v>
      </c>
      <c r="H26" s="18">
        <f t="shared" si="4"/>
        <v>-4.0831108026526675E-2</v>
      </c>
      <c r="I26" s="18">
        <f t="shared" si="5"/>
        <v>4.1311388723642203E-4</v>
      </c>
      <c r="J26" s="24"/>
      <c r="K26" s="24"/>
      <c r="L26" s="19">
        <f t="shared" si="6"/>
        <v>34.516292506401243</v>
      </c>
      <c r="M26" s="126"/>
      <c r="N26" s="126"/>
      <c r="O26" s="9">
        <f t="shared" si="1"/>
        <v>1.9232074935987598</v>
      </c>
      <c r="P26" s="10">
        <f t="shared" si="7"/>
        <v>3.6987270634344234</v>
      </c>
      <c r="Q26" s="152"/>
      <c r="R26" s="152"/>
      <c r="S26" s="152"/>
      <c r="T26" s="152"/>
      <c r="U26" s="152"/>
      <c r="V26" s="10">
        <f t="shared" si="9"/>
        <v>0.52395366017713008</v>
      </c>
      <c r="W26" s="13">
        <f t="shared" si="2"/>
        <v>7.3415801401895981E-3</v>
      </c>
      <c r="X26" s="68"/>
      <c r="Y26" s="68"/>
      <c r="Z26" s="15">
        <f t="shared" si="8"/>
        <v>4.0356411008758384</v>
      </c>
      <c r="AA26" s="152"/>
      <c r="AB26" s="152"/>
    </row>
    <row r="27" spans="1:28">
      <c r="A27" s="84">
        <f>'Q.6 Rand()'!T25</f>
        <v>3.8</v>
      </c>
      <c r="B27" s="141">
        <f>'Q.6 Rand()'!U25</f>
        <v>33.164900000000003</v>
      </c>
      <c r="C27" s="5"/>
      <c r="D27" s="23"/>
      <c r="E27" s="24"/>
      <c r="F27" s="22">
        <f t="shared" si="0"/>
        <v>0.17967479674796749</v>
      </c>
      <c r="G27" s="22">
        <f t="shared" si="3"/>
        <v>-1.2657094850948596</v>
      </c>
      <c r="H27" s="18">
        <f t="shared" si="4"/>
        <v>-0.22741609447639349</v>
      </c>
      <c r="I27" s="18">
        <f t="shared" si="5"/>
        <v>3.2283032586423427E-2</v>
      </c>
      <c r="J27" s="24"/>
      <c r="K27" s="24"/>
      <c r="L27" s="19">
        <f t="shared" si="6"/>
        <v>33.673171576746441</v>
      </c>
      <c r="M27" s="126"/>
      <c r="N27" s="126"/>
      <c r="O27" s="9">
        <f t="shared" si="1"/>
        <v>-0.50827157674643786</v>
      </c>
      <c r="P27" s="10">
        <f t="shared" si="7"/>
        <v>0.25833999572831007</v>
      </c>
      <c r="Q27" s="152"/>
      <c r="R27" s="152"/>
      <c r="S27" s="152"/>
      <c r="T27" s="152"/>
      <c r="U27" s="152"/>
      <c r="V27" s="10">
        <f t="shared" si="9"/>
        <v>5.2778097767498443E-2</v>
      </c>
      <c r="W27" s="13">
        <f t="shared" si="2"/>
        <v>0.57371218500323207</v>
      </c>
      <c r="X27" s="68"/>
      <c r="Y27" s="68"/>
      <c r="Z27" s="15">
        <f t="shared" si="8"/>
        <v>1.6020205006590946</v>
      </c>
      <c r="AA27" s="152"/>
      <c r="AB27" s="152"/>
    </row>
    <row r="28" spans="1:28">
      <c r="A28" s="84">
        <f>'Q.6 Rand()'!T26</f>
        <v>2</v>
      </c>
      <c r="B28" s="141">
        <f>'Q.6 Rand()'!U26</f>
        <v>42.936300000000003</v>
      </c>
      <c r="C28" s="5"/>
      <c r="D28" s="23"/>
      <c r="E28" s="24"/>
      <c r="F28" s="22">
        <f t="shared" si="0"/>
        <v>-1.6203252032520323</v>
      </c>
      <c r="G28" s="22">
        <f t="shared" si="3"/>
        <v>8.5056905149051403</v>
      </c>
      <c r="H28" s="18">
        <f t="shared" si="4"/>
        <v>-13.781984712362554</v>
      </c>
      <c r="I28" s="18">
        <f t="shared" si="5"/>
        <v>2.6254537642937397</v>
      </c>
      <c r="J28" s="24"/>
      <c r="K28" s="24"/>
      <c r="L28" s="19">
        <f t="shared" si="6"/>
        <v>41.261259943639622</v>
      </c>
      <c r="M28" s="126"/>
      <c r="N28" s="126"/>
      <c r="O28" s="9">
        <f t="shared" si="1"/>
        <v>1.6750400563603804</v>
      </c>
      <c r="P28" s="10">
        <f t="shared" si="7"/>
        <v>2.8057591904117865</v>
      </c>
      <c r="Q28" s="152"/>
      <c r="R28" s="152"/>
      <c r="S28" s="152"/>
      <c r="T28" s="152"/>
      <c r="U28" s="152"/>
      <c r="V28" s="10">
        <f t="shared" si="9"/>
        <v>1.5325587496010476E-2</v>
      </c>
      <c r="W28" s="13">
        <f t="shared" si="2"/>
        <v>46.657785686817739</v>
      </c>
      <c r="X28" s="68"/>
      <c r="Y28" s="68"/>
      <c r="Z28" s="15">
        <f t="shared" si="8"/>
        <v>72.346771135347268</v>
      </c>
      <c r="AA28" s="152"/>
      <c r="AB28" s="152"/>
    </row>
    <row r="29" spans="1:28">
      <c r="A29" s="84">
        <f>'Q.6 Rand()'!T27</f>
        <v>3.5</v>
      </c>
      <c r="B29" s="141">
        <f>'Q.6 Rand()'!U27</f>
        <v>34.1997</v>
      </c>
      <c r="C29" s="5"/>
      <c r="D29" s="23"/>
      <c r="E29" s="24"/>
      <c r="F29" s="22">
        <f t="shared" si="0"/>
        <v>-0.12032520325203233</v>
      </c>
      <c r="G29" s="22">
        <f t="shared" si="3"/>
        <v>-0.23090948509486253</v>
      </c>
      <c r="H29" s="18">
        <f t="shared" si="4"/>
        <v>2.7784230726861463E-2</v>
      </c>
      <c r="I29" s="18">
        <f t="shared" si="5"/>
        <v>1.4478154537642892E-2</v>
      </c>
      <c r="J29" s="24"/>
      <c r="K29" s="24"/>
      <c r="L29" s="19">
        <f t="shared" si="6"/>
        <v>34.937852971228637</v>
      </c>
      <c r="M29" s="126"/>
      <c r="N29" s="126"/>
      <c r="O29" s="9">
        <f t="shared" si="1"/>
        <v>-0.73815297122863655</v>
      </c>
      <c r="P29" s="10">
        <f t="shared" si="7"/>
        <v>0.54486980893366432</v>
      </c>
      <c r="Q29" s="152"/>
      <c r="R29" s="152"/>
      <c r="S29" s="152"/>
      <c r="T29" s="152"/>
      <c r="U29" s="152"/>
      <c r="V29" s="10">
        <f t="shared" si="9"/>
        <v>3.901221242539251E-2</v>
      </c>
      <c r="W29" s="13">
        <f t="shared" si="2"/>
        <v>0.25729595422514417</v>
      </c>
      <c r="X29" s="68"/>
      <c r="Y29" s="68"/>
      <c r="Z29" s="15">
        <f t="shared" si="8"/>
        <v>5.3319190306774539E-2</v>
      </c>
      <c r="AA29" s="152"/>
      <c r="AB29" s="152"/>
    </row>
    <row r="30" spans="1:28">
      <c r="A30" s="84">
        <f>'Q.6 Rand()'!T28</f>
        <v>5</v>
      </c>
      <c r="B30" s="141">
        <f>'Q.6 Rand()'!U28</f>
        <v>23.618200000000002</v>
      </c>
      <c r="C30" s="5"/>
      <c r="D30" s="23"/>
      <c r="E30" s="24"/>
      <c r="F30" s="22">
        <f t="shared" si="0"/>
        <v>1.3796747967479677</v>
      </c>
      <c r="G30" s="22">
        <f t="shared" si="3"/>
        <v>-10.812409485094861</v>
      </c>
      <c r="H30" s="18">
        <f t="shared" si="4"/>
        <v>-14.91760885870405</v>
      </c>
      <c r="I30" s="18">
        <f t="shared" si="5"/>
        <v>1.9035025447815459</v>
      </c>
      <c r="J30" s="24"/>
      <c r="K30" s="24"/>
      <c r="L30" s="19">
        <f t="shared" si="6"/>
        <v>28.614445998817658</v>
      </c>
      <c r="M30" s="126"/>
      <c r="N30" s="126"/>
      <c r="O30" s="9">
        <f t="shared" si="1"/>
        <v>-4.9962459988176562</v>
      </c>
      <c r="P30" s="10">
        <f t="shared" si="7"/>
        <v>24.96247408070144</v>
      </c>
      <c r="Q30" s="152"/>
      <c r="R30" s="152"/>
      <c r="S30" s="152"/>
      <c r="T30" s="152"/>
      <c r="U30" s="152"/>
      <c r="V30" s="10">
        <f t="shared" si="9"/>
        <v>2.1583609541271899E-2</v>
      </c>
      <c r="W30" s="13">
        <f t="shared" si="2"/>
        <v>33.827757699104211</v>
      </c>
      <c r="X30" s="68"/>
      <c r="Y30" s="68"/>
      <c r="Z30" s="15">
        <f t="shared" si="8"/>
        <v>116.90819887336932</v>
      </c>
      <c r="AA30" s="152"/>
      <c r="AB30" s="152"/>
    </row>
    <row r="31" spans="1:28">
      <c r="A31" s="84">
        <f>'Q.6 Rand()'!T29</f>
        <v>6</v>
      </c>
      <c r="B31" s="141">
        <f>'Q.6 Rand()'!U29</f>
        <v>30.5</v>
      </c>
      <c r="C31" s="5"/>
      <c r="D31" s="23"/>
      <c r="E31" s="24"/>
      <c r="F31" s="22">
        <f t="shared" si="0"/>
        <v>2.3796747967479677</v>
      </c>
      <c r="G31" s="22">
        <f t="shared" si="3"/>
        <v>-3.9306094850948625</v>
      </c>
      <c r="H31" s="18">
        <f t="shared" si="4"/>
        <v>-9.3535723275387515</v>
      </c>
      <c r="I31" s="18">
        <f t="shared" si="5"/>
        <v>5.662852138277481</v>
      </c>
      <c r="J31" s="24"/>
      <c r="K31" s="24"/>
      <c r="L31" s="19">
        <f t="shared" si="6"/>
        <v>24.39884135054367</v>
      </c>
      <c r="M31" s="126"/>
      <c r="N31" s="126"/>
      <c r="O31" s="9">
        <f t="shared" si="1"/>
        <v>6.1011586494563304</v>
      </c>
      <c r="P31" s="10">
        <f t="shared" si="7"/>
        <v>37.224136865835796</v>
      </c>
      <c r="Q31" s="152"/>
      <c r="R31" s="152"/>
      <c r="S31" s="152"/>
      <c r="T31" s="152"/>
      <c r="U31" s="152"/>
      <c r="V31" s="10">
        <f t="shared" si="9"/>
        <v>0.21154220045632841</v>
      </c>
      <c r="W31" s="13">
        <f t="shared" si="2"/>
        <v>100.63637190539671</v>
      </c>
      <c r="X31" s="68"/>
      <c r="Y31" s="68"/>
      <c r="Z31" s="15">
        <f t="shared" si="8"/>
        <v>15.4496909243177</v>
      </c>
      <c r="AA31" s="152"/>
      <c r="AB31" s="152"/>
    </row>
    <row r="32" spans="1:28">
      <c r="A32" s="84">
        <f>'Q.6 Rand()'!T30</f>
        <v>2.4</v>
      </c>
      <c r="B32" s="141">
        <f>'Q.6 Rand()'!U30</f>
        <v>42.2</v>
      </c>
      <c r="C32" s="5"/>
      <c r="D32" s="23"/>
      <c r="E32" s="24"/>
      <c r="F32" s="22">
        <f t="shared" si="0"/>
        <v>-1.2203252032520324</v>
      </c>
      <c r="G32" s="22">
        <f t="shared" si="3"/>
        <v>7.7693905149051403</v>
      </c>
      <c r="H32" s="18">
        <f t="shared" si="4"/>
        <v>-9.4811830592460282</v>
      </c>
      <c r="I32" s="18">
        <f t="shared" si="5"/>
        <v>1.4891936016921143</v>
      </c>
      <c r="J32" s="24"/>
      <c r="K32" s="24"/>
      <c r="L32" s="19">
        <f t="shared" si="6"/>
        <v>39.575018084330026</v>
      </c>
      <c r="M32" s="126"/>
      <c r="N32" s="126"/>
      <c r="O32" s="9">
        <f t="shared" si="1"/>
        <v>2.6249819156699772</v>
      </c>
      <c r="P32" s="10">
        <f t="shared" si="7"/>
        <v>6.8905300575944235</v>
      </c>
      <c r="Q32" s="152"/>
      <c r="R32" s="152"/>
      <c r="S32" s="152"/>
      <c r="T32" s="152"/>
      <c r="U32" s="152"/>
      <c r="V32" s="10">
        <f t="shared" si="9"/>
        <v>0.20003798850676494</v>
      </c>
      <c r="W32" s="13">
        <f t="shared" si="2"/>
        <v>26.464939835884692</v>
      </c>
      <c r="X32" s="68"/>
      <c r="Y32" s="68"/>
      <c r="Z32" s="15">
        <f t="shared" si="8"/>
        <v>60.36342897309796</v>
      </c>
      <c r="AA32" s="152"/>
      <c r="AB32" s="152"/>
    </row>
    <row r="33" spans="1:28">
      <c r="A33" s="84">
        <f>'Q.6 Rand()'!T31</f>
        <v>4.2</v>
      </c>
      <c r="B33" s="141">
        <f>'Q.6 Rand()'!U31</f>
        <v>26.8</v>
      </c>
      <c r="C33" s="5"/>
      <c r="D33" s="23"/>
      <c r="E33" s="24"/>
      <c r="F33" s="22">
        <f t="shared" si="0"/>
        <v>0.57967479674796785</v>
      </c>
      <c r="G33" s="22">
        <f t="shared" si="3"/>
        <v>-7.6306094850948618</v>
      </c>
      <c r="H33" s="18">
        <f t="shared" si="4"/>
        <v>-4.4232720023354792</v>
      </c>
      <c r="I33" s="18">
        <f t="shared" si="5"/>
        <v>0.33602286998479786</v>
      </c>
      <c r="J33" s="24"/>
      <c r="K33" s="24"/>
      <c r="L33" s="19">
        <f t="shared" si="6"/>
        <v>31.986929717436848</v>
      </c>
      <c r="M33" s="126"/>
      <c r="N33" s="126"/>
      <c r="O33" s="9">
        <f t="shared" si="1"/>
        <v>-5.1869297174368469</v>
      </c>
      <c r="P33" s="10">
        <f t="shared" si="7"/>
        <v>26.904239893629487</v>
      </c>
      <c r="Q33" s="152"/>
      <c r="R33" s="152"/>
      <c r="S33" s="152"/>
      <c r="T33" s="152"/>
      <c r="U33" s="152"/>
      <c r="V33" s="10">
        <f t="shared" si="9"/>
        <v>6.2203362930568176E-2</v>
      </c>
      <c r="W33" s="13">
        <f t="shared" si="2"/>
        <v>5.9715708068611297</v>
      </c>
      <c r="X33" s="68"/>
      <c r="Y33" s="68"/>
      <c r="Z33" s="15">
        <f t="shared" si="8"/>
        <v>58.226201114019673</v>
      </c>
      <c r="AA33" s="152"/>
      <c r="AB33" s="152"/>
    </row>
    <row r="34" spans="1:28">
      <c r="A34" s="84">
        <f>'Q.6 Rand()'!T32</f>
        <v>2</v>
      </c>
      <c r="B34" s="141">
        <f>'Q.6 Rand()'!U32</f>
        <v>39</v>
      </c>
      <c r="C34" s="5"/>
      <c r="D34" s="23"/>
      <c r="E34" s="24"/>
      <c r="F34" s="22">
        <f t="shared" si="0"/>
        <v>-1.6203252032520323</v>
      </c>
      <c r="G34" s="22">
        <f t="shared" si="3"/>
        <v>4.5693905149051375</v>
      </c>
      <c r="H34" s="18">
        <f t="shared" si="4"/>
        <v>-7.4038986148015757</v>
      </c>
      <c r="I34" s="18">
        <f t="shared" si="5"/>
        <v>2.6254537642937397</v>
      </c>
      <c r="J34" s="24"/>
      <c r="K34" s="24"/>
      <c r="L34" s="19">
        <f t="shared" si="6"/>
        <v>41.261259943639622</v>
      </c>
      <c r="M34" s="126"/>
      <c r="N34" s="126"/>
      <c r="O34" s="9">
        <f t="shared" si="1"/>
        <v>-2.2612599436396223</v>
      </c>
      <c r="P34" s="10">
        <f t="shared" si="7"/>
        <v>5.113296532709068</v>
      </c>
      <c r="Q34" s="152"/>
      <c r="R34" s="152"/>
      <c r="S34" s="152"/>
      <c r="T34" s="152"/>
      <c r="U34" s="152"/>
      <c r="V34" s="10">
        <f t="shared" si="9"/>
        <v>0.19354215363570323</v>
      </c>
      <c r="W34" s="13">
        <f t="shared" si="2"/>
        <v>46.657785686817739</v>
      </c>
      <c r="X34" s="68"/>
      <c r="Y34" s="68"/>
      <c r="Z34" s="15">
        <f t="shared" si="8"/>
        <v>20.879329677705037</v>
      </c>
      <c r="AA34" s="152"/>
      <c r="AB34" s="152"/>
    </row>
    <row r="35" spans="1:28">
      <c r="A35" s="84">
        <f>'Q.6 Rand()'!T33</f>
        <v>2.5</v>
      </c>
      <c r="B35" s="141">
        <f>'Q.6 Rand()'!U33</f>
        <v>39.614699999999999</v>
      </c>
      <c r="C35" s="5"/>
      <c r="D35" s="23"/>
      <c r="E35" s="24"/>
      <c r="F35" s="22">
        <f t="shared" si="0"/>
        <v>-1.1203252032520323</v>
      </c>
      <c r="G35" s="22">
        <f t="shared" si="3"/>
        <v>5.1840905149051366</v>
      </c>
      <c r="H35" s="18">
        <f t="shared" si="4"/>
        <v>-5.8078672597880301</v>
      </c>
      <c r="I35" s="18">
        <f t="shared" si="5"/>
        <v>1.2551285610417076</v>
      </c>
      <c r="J35" s="24"/>
      <c r="K35" s="24"/>
      <c r="L35" s="19">
        <f t="shared" si="6"/>
        <v>39.153457619502632</v>
      </c>
      <c r="M35" s="126"/>
      <c r="N35" s="126"/>
      <c r="O35" s="9">
        <f t="shared" si="1"/>
        <v>0.46124238049736732</v>
      </c>
      <c r="P35" s="10">
        <f t="shared" si="7"/>
        <v>0.21274453356687817</v>
      </c>
      <c r="Q35" s="152"/>
      <c r="R35" s="152"/>
      <c r="S35" s="152"/>
      <c r="T35" s="152"/>
      <c r="U35" s="152"/>
      <c r="V35" s="10">
        <f t="shared" si="9"/>
        <v>5.798102419588775E-2</v>
      </c>
      <c r="W35" s="13">
        <f t="shared" si="2"/>
        <v>22.305294500678947</v>
      </c>
      <c r="X35" s="68"/>
      <c r="Y35" s="68"/>
      <c r="Z35" s="15">
        <f t="shared" si="8"/>
        <v>26.874794466729405</v>
      </c>
      <c r="AA35" s="152"/>
      <c r="AB35" s="152"/>
    </row>
    <row r="36" spans="1:28">
      <c r="A36" s="84">
        <f>'Q.6 Rand()'!T34</f>
        <v>3.7</v>
      </c>
      <c r="B36" s="141">
        <f>'Q.6 Rand()'!U34</f>
        <v>31.6</v>
      </c>
      <c r="C36" s="5"/>
      <c r="D36" s="23"/>
      <c r="E36" s="24"/>
      <c r="F36" s="22">
        <f t="shared" si="0"/>
        <v>7.9674796747967846E-2</v>
      </c>
      <c r="G36" s="22">
        <f t="shared" si="3"/>
        <v>-2.8306094850948611</v>
      </c>
      <c r="H36" s="18">
        <f t="shared" si="4"/>
        <v>-0.22552823539780298</v>
      </c>
      <c r="I36" s="18">
        <f t="shared" si="5"/>
        <v>6.348073236829988E-3</v>
      </c>
      <c r="J36" s="24"/>
      <c r="K36" s="24"/>
      <c r="L36" s="19">
        <f t="shared" si="6"/>
        <v>34.094732041573842</v>
      </c>
      <c r="M36" s="126"/>
      <c r="N36" s="126"/>
      <c r="O36" s="9">
        <f t="shared" si="1"/>
        <v>-2.4947320415738403</v>
      </c>
      <c r="P36" s="10">
        <f t="shared" si="7"/>
        <v>6.223687959255181</v>
      </c>
      <c r="Q36" s="152"/>
      <c r="R36" s="152"/>
      <c r="S36" s="152"/>
      <c r="T36" s="152"/>
      <c r="U36" s="152"/>
      <c r="V36" s="10">
        <f t="shared" si="9"/>
        <v>1.1643212759338512E-2</v>
      </c>
      <c r="W36" s="13">
        <f t="shared" si="2"/>
        <v>0.1128136570662165</v>
      </c>
      <c r="X36" s="68"/>
      <c r="Y36" s="68"/>
      <c r="Z36" s="15">
        <f t="shared" si="8"/>
        <v>8.0123500571089945</v>
      </c>
      <c r="AA36" s="152"/>
      <c r="AB36" s="152"/>
    </row>
    <row r="37" spans="1:28">
      <c r="A37" s="84">
        <f>'Q.6 Rand()'!T35</f>
        <v>2.4</v>
      </c>
      <c r="B37" s="141">
        <f>'Q.6 Rand()'!U35</f>
        <v>39.347999999999999</v>
      </c>
      <c r="C37" s="5"/>
      <c r="D37" s="23"/>
      <c r="E37" s="24"/>
      <c r="F37" s="22">
        <f t="shared" si="0"/>
        <v>-1.2203252032520324</v>
      </c>
      <c r="G37" s="22">
        <f t="shared" si="3"/>
        <v>4.9173905149051365</v>
      </c>
      <c r="H37" s="18">
        <f t="shared" si="4"/>
        <v>-6.0008155795712268</v>
      </c>
      <c r="I37" s="18">
        <f t="shared" si="5"/>
        <v>1.4891936016921143</v>
      </c>
      <c r="J37" s="24"/>
      <c r="K37" s="24"/>
      <c r="L37" s="19">
        <f t="shared" si="6"/>
        <v>39.575018084330026</v>
      </c>
      <c r="M37" s="126"/>
      <c r="N37" s="126"/>
      <c r="O37" s="9">
        <f t="shared" si="1"/>
        <v>-0.22701808433002668</v>
      </c>
      <c r="P37" s="10">
        <f t="shared" si="7"/>
        <v>5.1537210612875105E-2</v>
      </c>
      <c r="Q37" s="152"/>
      <c r="R37" s="152"/>
      <c r="S37" s="152"/>
      <c r="T37" s="152"/>
      <c r="U37" s="152"/>
      <c r="V37" s="10">
        <f t="shared" si="9"/>
        <v>7.8947216505501266E-2</v>
      </c>
      <c r="W37" s="13">
        <f t="shared" si="2"/>
        <v>26.464939835884692</v>
      </c>
      <c r="X37" s="68"/>
      <c r="Y37" s="68"/>
      <c r="Z37" s="15">
        <f t="shared" si="8"/>
        <v>24.180729476079001</v>
      </c>
      <c r="AA37" s="152"/>
      <c r="AB37" s="152"/>
    </row>
    <row r="38" spans="1:28">
      <c r="A38" s="84">
        <f>'Q.6 Rand()'!T36</f>
        <v>2.2000000000000002</v>
      </c>
      <c r="B38" s="141">
        <f>'Q.6 Rand()'!U36</f>
        <v>44.999099999999999</v>
      </c>
      <c r="C38" s="5"/>
      <c r="D38" s="23"/>
      <c r="E38" s="24"/>
      <c r="F38" s="22">
        <f t="shared" si="0"/>
        <v>-1.4203252032520322</v>
      </c>
      <c r="G38" s="22">
        <f t="shared" si="3"/>
        <v>10.568490514905136</v>
      </c>
      <c r="H38" s="18">
        <f t="shared" si="4"/>
        <v>-15.010693438649811</v>
      </c>
      <c r="I38" s="18">
        <f t="shared" si="5"/>
        <v>2.0173236829929264</v>
      </c>
      <c r="J38" s="24"/>
      <c r="K38" s="24"/>
      <c r="L38" s="19">
        <f t="shared" si="6"/>
        <v>40.418139013984828</v>
      </c>
      <c r="M38" s="126"/>
      <c r="N38" s="126"/>
      <c r="O38" s="9">
        <f t="shared" si="1"/>
        <v>4.580960986015171</v>
      </c>
      <c r="P38" s="10">
        <f t="shared" si="7"/>
        <v>20.985203555393088</v>
      </c>
      <c r="Q38" s="152"/>
      <c r="R38" s="152"/>
      <c r="S38" s="152"/>
      <c r="T38" s="152"/>
      <c r="U38" s="152"/>
      <c r="V38" s="10">
        <f t="shared" si="9"/>
        <v>5.7694948747084142E-3</v>
      </c>
      <c r="W38" s="13">
        <f t="shared" si="2"/>
        <v>35.850509859329286</v>
      </c>
      <c r="X38" s="68"/>
      <c r="Y38" s="68"/>
      <c r="Z38" s="15">
        <f t="shared" si="8"/>
        <v>111.69299176363982</v>
      </c>
      <c r="AA38" s="152"/>
      <c r="AB38" s="152"/>
    </row>
    <row r="39" spans="1:28">
      <c r="A39" s="84">
        <f>'Q.6 Rand()'!T37</f>
        <v>3.5</v>
      </c>
      <c r="B39" s="141">
        <f>'Q.6 Rand()'!U37</f>
        <v>30.2</v>
      </c>
      <c r="C39" s="5"/>
      <c r="D39" s="23"/>
      <c r="E39" s="24"/>
      <c r="F39" s="22">
        <f t="shared" si="0"/>
        <v>-0.12032520325203233</v>
      </c>
      <c r="G39" s="22">
        <f t="shared" si="3"/>
        <v>-4.2306094850948632</v>
      </c>
      <c r="H39" s="18">
        <f t="shared" si="4"/>
        <v>0.5090489461740153</v>
      </c>
      <c r="I39" s="18">
        <f t="shared" si="5"/>
        <v>1.4478154537642892E-2</v>
      </c>
      <c r="J39" s="24"/>
      <c r="K39" s="24"/>
      <c r="L39" s="19">
        <f t="shared" si="6"/>
        <v>34.937852971228637</v>
      </c>
      <c r="M39" s="126"/>
      <c r="N39" s="126"/>
      <c r="O39" s="9">
        <f t="shared" si="1"/>
        <v>-4.7378529712286372</v>
      </c>
      <c r="P39" s="10">
        <f t="shared" si="7"/>
        <v>22.447250776980027</v>
      </c>
      <c r="Q39" s="152"/>
      <c r="R39" s="152"/>
      <c r="S39" s="152"/>
      <c r="T39" s="152"/>
      <c r="U39" s="152"/>
      <c r="V39" s="10">
        <f t="shared" si="9"/>
        <v>0.10180116904594028</v>
      </c>
      <c r="W39" s="13">
        <f t="shared" si="2"/>
        <v>0.25729595422514417</v>
      </c>
      <c r="X39" s="68"/>
      <c r="Y39" s="68"/>
      <c r="Z39" s="15">
        <f t="shared" si="8"/>
        <v>17.898056615374625</v>
      </c>
      <c r="AA39" s="152"/>
      <c r="AB39" s="152"/>
    </row>
    <row r="40" spans="1:28">
      <c r="A40" s="84">
        <f>'Q.6 Rand()'!T38</f>
        <v>3.5</v>
      </c>
      <c r="B40" s="141">
        <f>'Q.6 Rand()'!U38</f>
        <v>34.5</v>
      </c>
      <c r="C40" s="5"/>
      <c r="D40" s="23"/>
      <c r="E40" s="24"/>
      <c r="F40" s="22">
        <f t="shared" si="0"/>
        <v>-0.12032520325203233</v>
      </c>
      <c r="G40" s="22">
        <f t="shared" si="3"/>
        <v>6.9390514905137479E-2</v>
      </c>
      <c r="H40" s="18">
        <f t="shared" si="4"/>
        <v>-8.3494278097238465E-3</v>
      </c>
      <c r="I40" s="18">
        <f t="shared" si="5"/>
        <v>1.4478154537642892E-2</v>
      </c>
      <c r="J40" s="24"/>
      <c r="K40" s="24"/>
      <c r="L40" s="19">
        <f t="shared" si="6"/>
        <v>34.937852971228637</v>
      </c>
      <c r="M40" s="126"/>
      <c r="N40" s="126"/>
      <c r="O40" s="9">
        <f t="shared" si="1"/>
        <v>-0.43785297122863653</v>
      </c>
      <c r="P40" s="10">
        <f t="shared" si="7"/>
        <v>0.19171522441374522</v>
      </c>
      <c r="Q40" s="152"/>
      <c r="R40" s="152"/>
      <c r="S40" s="152"/>
      <c r="T40" s="152"/>
      <c r="U40" s="152"/>
      <c r="V40" s="10">
        <f t="shared" si="9"/>
        <v>0.15688254871618004</v>
      </c>
      <c r="W40" s="13">
        <f t="shared" si="2"/>
        <v>0.25729595422514417</v>
      </c>
      <c r="X40" s="68"/>
      <c r="Y40" s="68"/>
      <c r="Z40" s="15">
        <f t="shared" si="8"/>
        <v>4.8150435588001066E-3</v>
      </c>
      <c r="AA40" s="152"/>
      <c r="AB40" s="152"/>
    </row>
    <row r="41" spans="1:28">
      <c r="A41" s="84">
        <f>'Q.6 Rand()'!T39</f>
        <v>2.5</v>
      </c>
      <c r="B41" s="141">
        <f>'Q.6 Rand()'!U39</f>
        <v>31.8</v>
      </c>
      <c r="C41" s="5"/>
      <c r="D41" s="23"/>
      <c r="E41" s="24"/>
      <c r="F41" s="22">
        <f t="shared" si="0"/>
        <v>-1.1203252032520323</v>
      </c>
      <c r="G41" s="22">
        <f t="shared" si="3"/>
        <v>-2.6306094850948618</v>
      </c>
      <c r="H41" s="18">
        <f t="shared" si="4"/>
        <v>2.947138106065625</v>
      </c>
      <c r="I41" s="18">
        <f t="shared" si="5"/>
        <v>1.2551285610417076</v>
      </c>
      <c r="J41" s="24"/>
      <c r="K41" s="24"/>
      <c r="L41" s="19">
        <f t="shared" si="6"/>
        <v>39.153457619502632</v>
      </c>
      <c r="M41" s="126"/>
      <c r="N41" s="126"/>
      <c r="O41" s="9">
        <f t="shared" si="1"/>
        <v>-7.3534576195026311</v>
      </c>
      <c r="P41" s="10">
        <f t="shared" si="7"/>
        <v>54.0733389618213</v>
      </c>
      <c r="Q41" s="152"/>
      <c r="R41" s="152"/>
      <c r="S41" s="152"/>
      <c r="T41" s="152"/>
      <c r="U41" s="152"/>
      <c r="V41" s="10">
        <f t="shared" si="9"/>
        <v>1.2691390470395261E-2</v>
      </c>
      <c r="W41" s="13">
        <f t="shared" si="2"/>
        <v>22.305294500678947</v>
      </c>
      <c r="X41" s="68"/>
      <c r="Y41" s="68"/>
      <c r="Z41" s="15">
        <f t="shared" si="8"/>
        <v>6.9201062630710544</v>
      </c>
      <c r="AA41" s="152"/>
      <c r="AB41" s="152"/>
    </row>
    <row r="42" spans="1:28">
      <c r="A42" s="84">
        <f>'Q.6 Rand()'!T40</f>
        <v>3.8</v>
      </c>
      <c r="B42" s="141">
        <f>'Q.6 Rand()'!U40</f>
        <v>35.359400000000001</v>
      </c>
      <c r="C42" s="5"/>
      <c r="D42" s="23"/>
      <c r="E42" s="24"/>
      <c r="F42" s="22">
        <f t="shared" si="0"/>
        <v>0.17967479674796749</v>
      </c>
      <c r="G42" s="22">
        <f t="shared" si="3"/>
        <v>0.92879051490513831</v>
      </c>
      <c r="H42" s="18">
        <f t="shared" si="4"/>
        <v>0.16688024698702081</v>
      </c>
      <c r="I42" s="18">
        <f t="shared" si="5"/>
        <v>3.2283032586423427E-2</v>
      </c>
      <c r="J42" s="24"/>
      <c r="K42" s="24"/>
      <c r="L42" s="19">
        <f t="shared" si="6"/>
        <v>33.673171576746441</v>
      </c>
      <c r="M42" s="126"/>
      <c r="N42" s="126"/>
      <c r="O42" s="9">
        <f t="shared" si="1"/>
        <v>1.68622842325356</v>
      </c>
      <c r="P42" s="10">
        <f t="shared" si="7"/>
        <v>2.8433662953881873</v>
      </c>
      <c r="Q42" s="152"/>
      <c r="R42" s="152"/>
      <c r="S42" s="152"/>
      <c r="T42" s="152"/>
      <c r="U42" s="152"/>
      <c r="V42" s="10">
        <f t="shared" si="9"/>
        <v>0.23124080564473681</v>
      </c>
      <c r="W42" s="13">
        <f t="shared" si="2"/>
        <v>0.57371218500323207</v>
      </c>
      <c r="X42" s="68"/>
      <c r="Y42" s="68"/>
      <c r="Z42" s="15">
        <f t="shared" si="8"/>
        <v>0.86265182057775192</v>
      </c>
      <c r="AA42" s="152"/>
      <c r="AB42" s="152"/>
    </row>
    <row r="43" spans="1:28">
      <c r="A43" s="84">
        <f>'Q.6 Rand()'!T41</f>
        <v>3.5</v>
      </c>
      <c r="B43" s="141">
        <f>'Q.6 Rand()'!U41</f>
        <v>36.6</v>
      </c>
      <c r="C43" s="5"/>
      <c r="D43" s="23"/>
      <c r="E43" s="24"/>
      <c r="F43" s="22">
        <f t="shared" si="0"/>
        <v>-0.12032520325203233</v>
      </c>
      <c r="G43" s="22">
        <f t="shared" si="3"/>
        <v>2.1693905149051389</v>
      </c>
      <c r="H43" s="18">
        <f t="shared" si="4"/>
        <v>-0.26103235463899194</v>
      </c>
      <c r="I43" s="18">
        <f t="shared" si="5"/>
        <v>1.4478154537642892E-2</v>
      </c>
      <c r="J43" s="24"/>
      <c r="K43" s="24"/>
      <c r="L43" s="19">
        <f t="shared" si="6"/>
        <v>34.937852971228637</v>
      </c>
      <c r="M43" s="126"/>
      <c r="N43" s="126"/>
      <c r="O43" s="9">
        <f t="shared" si="1"/>
        <v>1.6621470287713649</v>
      </c>
      <c r="P43" s="10">
        <f t="shared" si="7"/>
        <v>2.7627327452534765</v>
      </c>
      <c r="Q43" s="152"/>
      <c r="R43" s="152"/>
      <c r="S43" s="152"/>
      <c r="T43" s="152"/>
      <c r="U43" s="152"/>
      <c r="V43" s="10">
        <f t="shared" si="9"/>
        <v>4.7688264598764685E-2</v>
      </c>
      <c r="W43" s="13">
        <f t="shared" si="2"/>
        <v>0.25729595422514417</v>
      </c>
      <c r="X43" s="68"/>
      <c r="Y43" s="68"/>
      <c r="Z43" s="15">
        <f t="shared" si="8"/>
        <v>4.7062552061603835</v>
      </c>
      <c r="AA43" s="152"/>
      <c r="AB43" s="152"/>
    </row>
    <row r="44" spans="1:28">
      <c r="A44" s="84">
        <f>'Q.6 Rand()'!T42</f>
        <v>3.7</v>
      </c>
      <c r="B44" s="141">
        <f>'Q.6 Rand()'!U42</f>
        <v>31.8217</v>
      </c>
      <c r="C44" s="5"/>
      <c r="D44" s="23"/>
      <c r="E44" s="24"/>
      <c r="F44" s="22">
        <f t="shared" si="0"/>
        <v>7.9674796747967846E-2</v>
      </c>
      <c r="G44" s="22">
        <f t="shared" si="3"/>
        <v>-2.6089094850948626</v>
      </c>
      <c r="H44" s="18">
        <f t="shared" si="4"/>
        <v>-0.20786433295877862</v>
      </c>
      <c r="I44" s="18">
        <f t="shared" si="5"/>
        <v>6.348073236829988E-3</v>
      </c>
      <c r="J44" s="24"/>
      <c r="K44" s="24"/>
      <c r="L44" s="19">
        <f t="shared" si="6"/>
        <v>34.094732041573842</v>
      </c>
      <c r="M44" s="126"/>
      <c r="N44" s="126"/>
      <c r="O44" s="9">
        <f t="shared" si="1"/>
        <v>-2.2730320415738419</v>
      </c>
      <c r="P44" s="10">
        <f t="shared" si="7"/>
        <v>5.1666746620213475</v>
      </c>
      <c r="Q44" s="152"/>
      <c r="R44" s="152"/>
      <c r="S44" s="152"/>
      <c r="T44" s="152"/>
      <c r="U44" s="152"/>
      <c r="V44" s="10">
        <f t="shared" si="9"/>
        <v>4.5413853245119255E-2</v>
      </c>
      <c r="W44" s="13">
        <f t="shared" si="2"/>
        <v>0.1128136570662165</v>
      </c>
      <c r="X44" s="68"/>
      <c r="Y44" s="68"/>
      <c r="Z44" s="15">
        <f t="shared" si="8"/>
        <v>6.8064087014179417</v>
      </c>
      <c r="AA44" s="152"/>
      <c r="AB44" s="152"/>
    </row>
    <row r="45" spans="1:28">
      <c r="A45" s="84">
        <f>'Q.6 Rand()'!T43</f>
        <v>2.2000000000000002</v>
      </c>
      <c r="B45" s="141">
        <f>'Q.6 Rand()'!U43</f>
        <v>51.9</v>
      </c>
      <c r="C45" s="5"/>
      <c r="D45" s="23"/>
      <c r="E45" s="24"/>
      <c r="F45" s="22">
        <f t="shared" si="0"/>
        <v>-1.4203252032520322</v>
      </c>
      <c r="G45" s="22">
        <f t="shared" si="3"/>
        <v>17.469390514905136</v>
      </c>
      <c r="H45" s="18">
        <f t="shared" si="4"/>
        <v>-24.812215633771761</v>
      </c>
      <c r="I45" s="18">
        <f t="shared" si="5"/>
        <v>2.0173236829929264</v>
      </c>
      <c r="J45" s="24"/>
      <c r="K45" s="24"/>
      <c r="L45" s="19">
        <f t="shared" si="6"/>
        <v>40.418139013984828</v>
      </c>
      <c r="M45" s="126"/>
      <c r="N45" s="126"/>
      <c r="O45" s="9">
        <f t="shared" si="1"/>
        <v>11.481860986015171</v>
      </c>
      <c r="P45" s="10">
        <f t="shared" si="7"/>
        <v>131.83313170217727</v>
      </c>
      <c r="Q45" s="152"/>
      <c r="R45" s="152"/>
      <c r="S45" s="152"/>
      <c r="T45" s="152"/>
      <c r="U45" s="152"/>
      <c r="V45" s="10">
        <f t="shared" si="9"/>
        <v>7.1430251733057684E-2</v>
      </c>
      <c r="W45" s="13">
        <f t="shared" si="2"/>
        <v>35.850509859329286</v>
      </c>
      <c r="X45" s="68"/>
      <c r="Y45" s="68"/>
      <c r="Z45" s="15">
        <f t="shared" si="8"/>
        <v>305.17960496225754</v>
      </c>
      <c r="AA45" s="152"/>
      <c r="AB45" s="152"/>
    </row>
    <row r="46" spans="1:28">
      <c r="A46" s="84">
        <f>'Q.6 Rand()'!T44</f>
        <v>3.5</v>
      </c>
      <c r="B46" s="141">
        <f>'Q.6 Rand()'!U44</f>
        <v>37.4</v>
      </c>
      <c r="C46" s="5"/>
      <c r="D46" s="23"/>
      <c r="E46" s="24"/>
      <c r="F46" s="22">
        <f t="shared" si="0"/>
        <v>-0.12032520325203233</v>
      </c>
      <c r="G46" s="22">
        <f t="shared" si="3"/>
        <v>2.9693905149051361</v>
      </c>
      <c r="H46" s="18">
        <f t="shared" si="4"/>
        <v>-0.35729251724061745</v>
      </c>
      <c r="I46" s="18">
        <f t="shared" si="5"/>
        <v>1.4478154537642892E-2</v>
      </c>
      <c r="J46" s="24"/>
      <c r="K46" s="24"/>
      <c r="L46" s="19">
        <f t="shared" si="6"/>
        <v>34.937852971228637</v>
      </c>
      <c r="M46" s="126"/>
      <c r="N46" s="126"/>
      <c r="O46" s="9">
        <f t="shared" si="1"/>
        <v>2.462147028771362</v>
      </c>
      <c r="P46" s="10">
        <f t="shared" si="7"/>
        <v>6.0621679912876463</v>
      </c>
      <c r="Q46" s="152"/>
      <c r="R46" s="152"/>
      <c r="S46" s="152"/>
      <c r="T46" s="152"/>
      <c r="U46" s="152"/>
      <c r="V46" s="10">
        <f t="shared" si="9"/>
        <v>0.22123046215828845</v>
      </c>
      <c r="W46" s="13">
        <f t="shared" si="2"/>
        <v>0.25729595422514417</v>
      </c>
      <c r="X46" s="68"/>
      <c r="Y46" s="68"/>
      <c r="Z46" s="15">
        <f t="shared" si="8"/>
        <v>8.8172800300085896</v>
      </c>
      <c r="AA46" s="152"/>
      <c r="AB46" s="152"/>
    </row>
    <row r="47" spans="1:28">
      <c r="A47" s="84">
        <f>'Q.6 Rand()'!T45</f>
        <v>3.6</v>
      </c>
      <c r="B47" s="141">
        <f>'Q.6 Rand()'!U45</f>
        <v>32.1</v>
      </c>
      <c r="C47" s="5"/>
      <c r="D47" s="23"/>
      <c r="E47" s="24"/>
      <c r="F47" s="22">
        <f t="shared" si="0"/>
        <v>-2.0325203252032242E-2</v>
      </c>
      <c r="G47" s="22">
        <f t="shared" si="3"/>
        <v>-2.3306094850948611</v>
      </c>
      <c r="H47" s="18">
        <f t="shared" si="4"/>
        <v>4.7370111485667263E-2</v>
      </c>
      <c r="I47" s="18">
        <f t="shared" si="5"/>
        <v>4.1311388723642203E-4</v>
      </c>
      <c r="J47" s="24"/>
      <c r="K47" s="24"/>
      <c r="L47" s="19">
        <f t="shared" si="6"/>
        <v>34.516292506401243</v>
      </c>
      <c r="M47" s="126"/>
      <c r="N47" s="126"/>
      <c r="O47" s="9">
        <f t="shared" si="1"/>
        <v>-2.4162925064012413</v>
      </c>
      <c r="P47" s="10">
        <f t="shared" si="7"/>
        <v>5.8384694764907925</v>
      </c>
      <c r="Q47" s="152"/>
      <c r="R47" s="152"/>
      <c r="S47" s="152"/>
      <c r="T47" s="152"/>
      <c r="U47" s="152"/>
      <c r="V47" s="10">
        <f t="shared" si="9"/>
        <v>6.5832808255918779E-2</v>
      </c>
      <c r="W47" s="13">
        <f t="shared" si="2"/>
        <v>7.3415801401895981E-3</v>
      </c>
      <c r="X47" s="68"/>
      <c r="Y47" s="68"/>
      <c r="Z47" s="15">
        <f t="shared" si="8"/>
        <v>5.4317405720141334</v>
      </c>
      <c r="AA47" s="152"/>
      <c r="AB47" s="152"/>
    </row>
    <row r="48" spans="1:28">
      <c r="A48" s="84">
        <f>'Q.6 Rand()'!T46</f>
        <v>2.4</v>
      </c>
      <c r="B48" s="141">
        <f>'Q.6 Rand()'!U46</f>
        <v>45.1</v>
      </c>
      <c r="C48" s="5"/>
      <c r="D48" s="23"/>
      <c r="E48" s="24"/>
      <c r="F48" s="22">
        <f t="shared" si="0"/>
        <v>-1.2203252032520324</v>
      </c>
      <c r="G48" s="22">
        <f t="shared" si="3"/>
        <v>10.669390514905139</v>
      </c>
      <c r="H48" s="18">
        <f t="shared" si="4"/>
        <v>-13.020126148676921</v>
      </c>
      <c r="I48" s="18">
        <f t="shared" si="5"/>
        <v>1.4891936016921143</v>
      </c>
      <c r="J48" s="24"/>
      <c r="K48" s="24"/>
      <c r="L48" s="19">
        <f t="shared" si="6"/>
        <v>39.575018084330026</v>
      </c>
      <c r="M48" s="126"/>
      <c r="N48" s="126"/>
      <c r="O48" s="9">
        <f t="shared" si="1"/>
        <v>5.5249819156699758</v>
      </c>
      <c r="P48" s="10">
        <f t="shared" si="7"/>
        <v>30.525425168480275</v>
      </c>
      <c r="Q48" s="152"/>
      <c r="R48" s="152"/>
      <c r="S48" s="152"/>
      <c r="T48" s="152"/>
      <c r="U48" s="152"/>
      <c r="V48" s="10">
        <f t="shared" si="9"/>
        <v>7.5273909856736487E-2</v>
      </c>
      <c r="W48" s="13">
        <f t="shared" si="2"/>
        <v>26.464939835884692</v>
      </c>
      <c r="X48" s="68"/>
      <c r="Y48" s="68"/>
      <c r="Z48" s="15">
        <f t="shared" si="8"/>
        <v>113.83589395954775</v>
      </c>
      <c r="AA48" s="152"/>
      <c r="AB48" s="152"/>
    </row>
    <row r="49" spans="1:28">
      <c r="A49" s="84">
        <f>'Q.6 Rand()'!T47</f>
        <v>5</v>
      </c>
      <c r="B49" s="141">
        <f>'Q.6 Rand()'!U47</f>
        <v>24.572199999999999</v>
      </c>
      <c r="C49" s="5"/>
      <c r="D49" s="23"/>
      <c r="E49" s="24"/>
      <c r="F49" s="22">
        <f t="shared" si="0"/>
        <v>1.3796747967479677</v>
      </c>
      <c r="G49" s="22">
        <f t="shared" si="3"/>
        <v>-9.8584094850948638</v>
      </c>
      <c r="H49" s="18">
        <f t="shared" si="4"/>
        <v>-13.601399102606493</v>
      </c>
      <c r="I49" s="18">
        <f t="shared" si="5"/>
        <v>1.9035025447815459</v>
      </c>
      <c r="J49" s="24"/>
      <c r="K49" s="24"/>
      <c r="L49" s="19">
        <f t="shared" si="6"/>
        <v>28.614445998817658</v>
      </c>
      <c r="M49" s="126"/>
      <c r="N49" s="126"/>
      <c r="O49" s="9">
        <f t="shared" si="1"/>
        <v>-4.0422459988176591</v>
      </c>
      <c r="P49" s="10">
        <f t="shared" si="7"/>
        <v>16.339752714957374</v>
      </c>
      <c r="Q49" s="152"/>
      <c r="R49" s="152"/>
      <c r="S49" s="152"/>
      <c r="T49" s="152"/>
      <c r="U49" s="152"/>
      <c r="V49" s="10">
        <f t="shared" si="9"/>
        <v>0.12250514225432318</v>
      </c>
      <c r="W49" s="13">
        <f t="shared" si="2"/>
        <v>33.827757699104211</v>
      </c>
      <c r="X49" s="68"/>
      <c r="Y49" s="68"/>
      <c r="Z49" s="15">
        <f t="shared" si="8"/>
        <v>97.188237575808373</v>
      </c>
      <c r="AA49" s="152"/>
      <c r="AB49" s="152"/>
    </row>
    <row r="50" spans="1:28">
      <c r="A50" s="84">
        <f>'Q.6 Rand()'!T48</f>
        <v>5.3</v>
      </c>
      <c r="B50" s="141">
        <f>'Q.6 Rand()'!U48</f>
        <v>22.761900000000001</v>
      </c>
      <c r="C50" s="5"/>
      <c r="D50" s="23"/>
      <c r="E50" s="24"/>
      <c r="F50" s="22">
        <f t="shared" si="0"/>
        <v>1.6796747967479675</v>
      </c>
      <c r="G50" s="22">
        <f t="shared" si="3"/>
        <v>-11.668709485094862</v>
      </c>
      <c r="H50" s="18">
        <f t="shared" si="4"/>
        <v>-19.599637232687794</v>
      </c>
      <c r="I50" s="18">
        <f t="shared" si="5"/>
        <v>2.8213074228303259</v>
      </c>
      <c r="J50" s="24"/>
      <c r="K50" s="24"/>
      <c r="L50" s="19">
        <f t="shared" si="6"/>
        <v>27.349764604335462</v>
      </c>
      <c r="M50" s="126"/>
      <c r="N50" s="126"/>
      <c r="O50" s="9">
        <f t="shared" si="1"/>
        <v>-4.5878646043354614</v>
      </c>
      <c r="P50" s="10">
        <f t="shared" si="7"/>
        <v>21.048501627714181</v>
      </c>
      <c r="Q50" s="152"/>
      <c r="R50" s="152"/>
      <c r="S50" s="152"/>
      <c r="T50" s="152"/>
      <c r="U50" s="152"/>
      <c r="V50" s="10">
        <f t="shared" si="9"/>
        <v>0.16450484689273484</v>
      </c>
      <c r="W50" s="13">
        <f t="shared" si="2"/>
        <v>50.138364225376606</v>
      </c>
      <c r="X50" s="68"/>
      <c r="Y50" s="68"/>
      <c r="Z50" s="15">
        <f t="shared" si="8"/>
        <v>136.15878104754279</v>
      </c>
      <c r="AA50" s="152"/>
      <c r="AB50" s="152"/>
    </row>
    <row r="51" spans="1:28">
      <c r="A51" s="84">
        <f>'Q.6 Rand()'!T49</f>
        <v>5.7</v>
      </c>
      <c r="B51" s="141">
        <f>'Q.6 Rand()'!U49</f>
        <v>24.149100000000001</v>
      </c>
      <c r="C51" s="5"/>
      <c r="D51" s="23"/>
      <c r="E51" s="24"/>
      <c r="F51" s="22">
        <f t="shared" si="0"/>
        <v>2.0796747967479678</v>
      </c>
      <c r="G51" s="22">
        <f t="shared" si="3"/>
        <v>-10.281509485094862</v>
      </c>
      <c r="H51" s="18">
        <f t="shared" si="4"/>
        <v>-21.382196148676961</v>
      </c>
      <c r="I51" s="18">
        <f t="shared" si="5"/>
        <v>4.3250472602287013</v>
      </c>
      <c r="J51" s="24"/>
      <c r="K51" s="24"/>
      <c r="L51" s="19">
        <f t="shared" si="6"/>
        <v>25.663522745025865</v>
      </c>
      <c r="M51" s="126"/>
      <c r="N51" s="126"/>
      <c r="O51" s="9">
        <f t="shared" si="1"/>
        <v>-1.5144227450258647</v>
      </c>
      <c r="P51" s="10">
        <f t="shared" si="7"/>
        <v>2.293476250651675</v>
      </c>
      <c r="Q51" s="152"/>
      <c r="R51" s="152"/>
      <c r="S51" s="152"/>
      <c r="T51" s="152"/>
      <c r="U51" s="152"/>
      <c r="V51" s="10">
        <f t="shared" si="9"/>
        <v>0.20155894737853436</v>
      </c>
      <c r="W51" s="13">
        <f t="shared" si="2"/>
        <v>76.86180990789363</v>
      </c>
      <c r="X51" s="68"/>
      <c r="Y51" s="68"/>
      <c r="Z51" s="15">
        <f t="shared" si="8"/>
        <v>105.70943729209561</v>
      </c>
      <c r="AA51" s="152"/>
      <c r="AB51" s="152"/>
    </row>
    <row r="52" spans="1:28">
      <c r="A52" s="84">
        <f>'Q.6 Rand()'!T50</f>
        <v>2</v>
      </c>
      <c r="B52" s="141">
        <f>'Q.6 Rand()'!U50</f>
        <v>58.534999999999997</v>
      </c>
      <c r="C52" s="5"/>
      <c r="D52" s="23"/>
      <c r="E52" s="24"/>
      <c r="F52" s="22">
        <f t="shared" si="0"/>
        <v>-1.6203252032520323</v>
      </c>
      <c r="G52" s="22">
        <f t="shared" si="3"/>
        <v>24.104390514905134</v>
      </c>
      <c r="H52" s="18">
        <f t="shared" si="4"/>
        <v>-39.056951460330019</v>
      </c>
      <c r="I52" s="18">
        <f t="shared" si="5"/>
        <v>2.6254537642937397</v>
      </c>
      <c r="J52" s="24"/>
      <c r="K52" s="24"/>
      <c r="L52" s="19">
        <f t="shared" si="6"/>
        <v>41.261259943639622</v>
      </c>
      <c r="M52" s="126"/>
      <c r="N52" s="126"/>
      <c r="O52" s="9">
        <f t="shared" si="1"/>
        <v>17.273740056360374</v>
      </c>
      <c r="P52" s="10">
        <f t="shared" si="7"/>
        <v>298.38209553470892</v>
      </c>
      <c r="Q52" s="152"/>
      <c r="R52" s="152"/>
      <c r="S52" s="152"/>
      <c r="T52" s="152"/>
      <c r="U52" s="152"/>
      <c r="V52" s="10">
        <f t="shared" si="9"/>
        <v>6.2711353426250449E-2</v>
      </c>
      <c r="W52" s="13">
        <f t="shared" si="2"/>
        <v>46.657785686817739</v>
      </c>
      <c r="X52" s="68"/>
      <c r="Y52" s="68"/>
      <c r="Z52" s="15">
        <f t="shared" si="8"/>
        <v>581.02164209504861</v>
      </c>
      <c r="AA52" s="152"/>
      <c r="AB52" s="152"/>
    </row>
    <row r="53" spans="1:28">
      <c r="A53" s="84">
        <f>'Q.6 Rand()'!T51</f>
        <v>3.5</v>
      </c>
      <c r="B53" s="141">
        <f>'Q.6 Rand()'!U51</f>
        <v>34.749400000000001</v>
      </c>
      <c r="C53" s="5"/>
      <c r="D53" s="23"/>
      <c r="E53" s="24"/>
      <c r="F53" s="22">
        <f t="shared" si="0"/>
        <v>-0.12032520325203233</v>
      </c>
      <c r="G53" s="22">
        <f t="shared" si="3"/>
        <v>0.31879051490513888</v>
      </c>
      <c r="H53" s="18">
        <f t="shared" si="4"/>
        <v>-3.8358533500780875E-2</v>
      </c>
      <c r="I53" s="18">
        <f t="shared" si="5"/>
        <v>1.4478154537642892E-2</v>
      </c>
      <c r="J53" s="24"/>
      <c r="K53" s="24"/>
      <c r="L53" s="19">
        <f t="shared" si="6"/>
        <v>34.937852971228637</v>
      </c>
      <c r="M53" s="126"/>
      <c r="N53" s="126"/>
      <c r="O53" s="9">
        <f t="shared" si="1"/>
        <v>-0.18845297122863514</v>
      </c>
      <c r="P53" s="10">
        <f t="shared" si="7"/>
        <v>3.5514522364900783E-2</v>
      </c>
      <c r="Q53" s="152"/>
      <c r="R53" s="152"/>
      <c r="S53" s="152"/>
      <c r="T53" s="152"/>
      <c r="U53" s="152"/>
      <c r="V53" s="10">
        <f t="shared" si="9"/>
        <v>0.29510105161630434</v>
      </c>
      <c r="W53" s="13">
        <f t="shared" si="2"/>
        <v>0.25729595422514417</v>
      </c>
      <c r="X53" s="68"/>
      <c r="Y53" s="68"/>
      <c r="Z53" s="15">
        <f t="shared" si="8"/>
        <v>0.10162739239348358</v>
      </c>
      <c r="AA53" s="152"/>
      <c r="AB53" s="152"/>
    </row>
    <row r="54" spans="1:28">
      <c r="A54" s="84">
        <f>'Q.6 Rand()'!T52</f>
        <v>5.7</v>
      </c>
      <c r="B54" s="141">
        <f>'Q.6 Rand()'!U52</f>
        <v>26</v>
      </c>
      <c r="C54" s="5"/>
      <c r="D54" s="23"/>
      <c r="E54" s="24"/>
      <c r="F54" s="22">
        <f t="shared" si="0"/>
        <v>2.0796747967479678</v>
      </c>
      <c r="G54" s="22">
        <f t="shared" si="3"/>
        <v>-8.4306094850948625</v>
      </c>
      <c r="H54" s="18">
        <f t="shared" si="4"/>
        <v>-17.532926067376149</v>
      </c>
      <c r="I54" s="18">
        <f t="shared" si="5"/>
        <v>4.3250472602287013</v>
      </c>
      <c r="J54" s="24"/>
      <c r="K54" s="24"/>
      <c r="L54" s="19">
        <f t="shared" si="6"/>
        <v>25.663522745025865</v>
      </c>
      <c r="M54" s="126"/>
      <c r="N54" s="126"/>
      <c r="O54" s="9">
        <f t="shared" si="1"/>
        <v>0.33647725497413461</v>
      </c>
      <c r="P54" s="10">
        <f t="shared" si="7"/>
        <v>0.11321694311492879</v>
      </c>
      <c r="Q54" s="152"/>
      <c r="R54" s="152"/>
      <c r="S54" s="152"/>
      <c r="T54" s="152"/>
      <c r="U54" s="152"/>
      <c r="V54" s="10">
        <f t="shared" si="9"/>
        <v>5.4232007237142261E-3</v>
      </c>
      <c r="W54" s="13">
        <f t="shared" si="2"/>
        <v>76.86180990789363</v>
      </c>
      <c r="X54" s="68"/>
      <c r="Y54" s="68"/>
      <c r="Z54" s="15">
        <f t="shared" si="8"/>
        <v>71.07517629017147</v>
      </c>
      <c r="AA54" s="152"/>
      <c r="AB54" s="152"/>
    </row>
    <row r="55" spans="1:28">
      <c r="A55" s="84">
        <f>'Q.6 Rand()'!T53</f>
        <v>2.4</v>
      </c>
      <c r="B55" s="141">
        <f>'Q.6 Rand()'!U53</f>
        <v>45.1</v>
      </c>
      <c r="C55" s="5"/>
      <c r="D55" s="23"/>
      <c r="E55" s="24"/>
      <c r="F55" s="22">
        <f t="shared" si="0"/>
        <v>-1.2203252032520324</v>
      </c>
      <c r="G55" s="22">
        <f t="shared" si="3"/>
        <v>10.669390514905139</v>
      </c>
      <c r="H55" s="18">
        <f t="shared" si="4"/>
        <v>-13.020126148676921</v>
      </c>
      <c r="I55" s="18">
        <f t="shared" si="5"/>
        <v>1.4891936016921143</v>
      </c>
      <c r="J55" s="24"/>
      <c r="K55" s="24"/>
      <c r="L55" s="19">
        <f t="shared" si="6"/>
        <v>39.575018084330026</v>
      </c>
      <c r="M55" s="126"/>
      <c r="N55" s="126"/>
      <c r="O55" s="9">
        <f t="shared" si="1"/>
        <v>5.5249819156699758</v>
      </c>
      <c r="P55" s="10">
        <f t="shared" si="7"/>
        <v>30.525425168480275</v>
      </c>
      <c r="Q55" s="152"/>
      <c r="R55" s="152"/>
      <c r="S55" s="152"/>
      <c r="T55" s="152"/>
      <c r="U55" s="152"/>
      <c r="V55" s="10">
        <f t="shared" si="9"/>
        <v>1.2941432883620561E-2</v>
      </c>
      <c r="W55" s="13">
        <f t="shared" si="2"/>
        <v>26.464939835884692</v>
      </c>
      <c r="X55" s="68"/>
      <c r="Y55" s="68"/>
      <c r="Z55" s="15">
        <f t="shared" si="8"/>
        <v>113.83589395954775</v>
      </c>
      <c r="AA55" s="152"/>
      <c r="AB55" s="152"/>
    </row>
    <row r="56" spans="1:28">
      <c r="A56" s="84">
        <f>'Q.6 Rand()'!T54</f>
        <v>1.3</v>
      </c>
      <c r="B56" s="141">
        <f>'Q.6 Rand()'!U54</f>
        <v>62.267400000000002</v>
      </c>
      <c r="C56" s="5"/>
      <c r="D56" s="23"/>
      <c r="E56" s="24"/>
      <c r="F56" s="22">
        <f t="shared" si="0"/>
        <v>-2.3203252032520325</v>
      </c>
      <c r="G56" s="22">
        <f t="shared" si="3"/>
        <v>27.83679051490514</v>
      </c>
      <c r="H56" s="18">
        <f t="shared" si="4"/>
        <v>-64.590406609381517</v>
      </c>
      <c r="I56" s="18">
        <f t="shared" si="5"/>
        <v>5.3839090488465864</v>
      </c>
      <c r="J56" s="24"/>
      <c r="K56" s="24"/>
      <c r="L56" s="19">
        <f t="shared" si="6"/>
        <v>44.212183197431415</v>
      </c>
      <c r="M56" s="126"/>
      <c r="N56" s="126"/>
      <c r="O56" s="9">
        <f t="shared" si="1"/>
        <v>18.055216802568587</v>
      </c>
      <c r="P56" s="10">
        <f t="shared" si="7"/>
        <v>325.99085378775504</v>
      </c>
      <c r="Q56" s="152"/>
      <c r="R56" s="152"/>
      <c r="S56" s="152"/>
      <c r="T56" s="152"/>
      <c r="U56" s="152"/>
      <c r="V56" s="10">
        <f t="shared" si="9"/>
        <v>0.12250514225432318</v>
      </c>
      <c r="W56" s="13">
        <f t="shared" si="2"/>
        <v>95.679184289873476</v>
      </c>
      <c r="X56" s="68"/>
      <c r="Y56" s="68"/>
      <c r="Z56" s="15">
        <f t="shared" si="8"/>
        <v>774.88690617071279</v>
      </c>
      <c r="AA56" s="152"/>
      <c r="AB56" s="152"/>
    </row>
    <row r="57" spans="1:28">
      <c r="A57" s="84">
        <f>'Q.6 Rand()'!T55</f>
        <v>3.4</v>
      </c>
      <c r="B57" s="141">
        <f>'Q.6 Rand()'!U55</f>
        <v>36.729900000000001</v>
      </c>
      <c r="C57" s="5"/>
      <c r="D57" s="23"/>
      <c r="E57" s="24"/>
      <c r="F57" s="22">
        <f t="shared" si="0"/>
        <v>-0.22032520325203242</v>
      </c>
      <c r="G57" s="22">
        <f t="shared" si="3"/>
        <v>2.2992905149051381</v>
      </c>
      <c r="H57" s="18">
        <f t="shared" si="4"/>
        <v>-0.50659165003194484</v>
      </c>
      <c r="I57" s="18">
        <f t="shared" si="5"/>
        <v>4.85431951880494E-2</v>
      </c>
      <c r="J57" s="24"/>
      <c r="K57" s="24"/>
      <c r="L57" s="19">
        <f t="shared" si="6"/>
        <v>35.359413436056037</v>
      </c>
      <c r="M57" s="126"/>
      <c r="N57" s="126"/>
      <c r="O57" s="9">
        <f t="shared" si="1"/>
        <v>1.3704865639439632</v>
      </c>
      <c r="P57" s="10">
        <f t="shared" si="7"/>
        <v>1.8782334219509307</v>
      </c>
      <c r="Q57" s="152"/>
      <c r="R57" s="152"/>
      <c r="S57" s="152"/>
      <c r="T57" s="152"/>
      <c r="U57" s="152"/>
      <c r="V57" s="10">
        <f t="shared" si="9"/>
        <v>0.28996259362954913</v>
      </c>
      <c r="W57" s="13">
        <f t="shared" si="2"/>
        <v>0.86267677932108866</v>
      </c>
      <c r="X57" s="68"/>
      <c r="Y57" s="68"/>
      <c r="Z57" s="15">
        <f t="shared" si="8"/>
        <v>5.2867368719327352</v>
      </c>
      <c r="AA57" s="152"/>
      <c r="AB57" s="152"/>
    </row>
    <row r="58" spans="1:28">
      <c r="A58" s="84">
        <f>'Q.6 Rand()'!T56</f>
        <v>3</v>
      </c>
      <c r="B58" s="141">
        <f>'Q.6 Rand()'!U56</f>
        <v>35.708100000000002</v>
      </c>
      <c r="C58" s="5"/>
      <c r="D58" s="23"/>
      <c r="E58" s="24"/>
      <c r="F58" s="22">
        <f t="shared" si="0"/>
        <v>-0.62032520325203233</v>
      </c>
      <c r="G58" s="22">
        <f t="shared" si="3"/>
        <v>1.2774905149051392</v>
      </c>
      <c r="H58" s="18">
        <f t="shared" si="4"/>
        <v>-0.79245956331107392</v>
      </c>
      <c r="I58" s="18">
        <f t="shared" si="5"/>
        <v>0.38480335778967523</v>
      </c>
      <c r="J58" s="24"/>
      <c r="K58" s="24"/>
      <c r="L58" s="19">
        <f t="shared" si="6"/>
        <v>37.045655295365634</v>
      </c>
      <c r="M58" s="126"/>
      <c r="N58" s="126"/>
      <c r="O58" s="9">
        <f t="shared" si="1"/>
        <v>-1.3375552953656324</v>
      </c>
      <c r="P58" s="10">
        <f t="shared" si="7"/>
        <v>1.7890541681606442</v>
      </c>
      <c r="Q58" s="152"/>
      <c r="R58" s="152"/>
      <c r="S58" s="152"/>
      <c r="T58" s="152"/>
      <c r="U58" s="152"/>
      <c r="V58" s="10">
        <f t="shared" si="9"/>
        <v>3.731255908521295E-2</v>
      </c>
      <c r="W58" s="13">
        <f t="shared" si="2"/>
        <v>6.8384645898147163</v>
      </c>
      <c r="X58" s="68"/>
      <c r="Y58" s="68"/>
      <c r="Z58" s="15">
        <f t="shared" si="8"/>
        <v>1.6319820156725977</v>
      </c>
      <c r="AA58" s="152"/>
      <c r="AB58" s="152"/>
    </row>
    <row r="59" spans="1:28">
      <c r="A59" s="84">
        <f>'Q.6 Rand()'!T57</f>
        <v>3.5</v>
      </c>
      <c r="B59" s="141">
        <f>'Q.6 Rand()'!U57</f>
        <v>33.9</v>
      </c>
      <c r="C59" s="5"/>
      <c r="D59" s="23"/>
      <c r="E59" s="24"/>
      <c r="F59" s="22">
        <f t="shared" si="0"/>
        <v>-0.12032520325203233</v>
      </c>
      <c r="G59" s="22">
        <f t="shared" si="3"/>
        <v>-0.53060948509486394</v>
      </c>
      <c r="H59" s="18">
        <f t="shared" si="4"/>
        <v>6.3845694141495726E-2</v>
      </c>
      <c r="I59" s="18">
        <f t="shared" si="5"/>
        <v>1.4478154537642892E-2</v>
      </c>
      <c r="J59" s="24"/>
      <c r="K59" s="24"/>
      <c r="L59" s="19">
        <f t="shared" si="6"/>
        <v>34.937852971228637</v>
      </c>
      <c r="M59" s="126"/>
      <c r="N59" s="126"/>
      <c r="O59" s="9">
        <f t="shared" si="1"/>
        <v>-1.037852971228638</v>
      </c>
      <c r="P59" s="10">
        <f t="shared" si="7"/>
        <v>1.077138789888112</v>
      </c>
      <c r="Q59" s="152"/>
      <c r="R59" s="152"/>
      <c r="S59" s="152"/>
      <c r="T59" s="152"/>
      <c r="U59" s="152"/>
      <c r="V59" s="10">
        <f t="shared" si="9"/>
        <v>3.7458036002073265E-2</v>
      </c>
      <c r="W59" s="13">
        <f t="shared" si="2"/>
        <v>0.25729595422514417</v>
      </c>
      <c r="X59" s="68"/>
      <c r="Y59" s="68"/>
      <c r="Z59" s="15">
        <f t="shared" si="8"/>
        <v>0.28154642567263666</v>
      </c>
      <c r="AA59" s="152"/>
      <c r="AB59" s="152"/>
    </row>
    <row r="60" spans="1:28">
      <c r="A60" s="84">
        <f>'Q.6 Rand()'!T58</f>
        <v>4.4000000000000004</v>
      </c>
      <c r="B60" s="141">
        <f>'Q.6 Rand()'!U58</f>
        <v>24.9</v>
      </c>
      <c r="C60" s="5"/>
      <c r="D60" s="23"/>
      <c r="E60" s="24"/>
      <c r="F60" s="22">
        <f t="shared" si="0"/>
        <v>0.77967479674796802</v>
      </c>
      <c r="G60" s="22">
        <f t="shared" si="3"/>
        <v>-9.5306094850948639</v>
      </c>
      <c r="H60" s="18">
        <f t="shared" si="4"/>
        <v>-7.4307760131755947</v>
      </c>
      <c r="I60" s="18">
        <f t="shared" si="5"/>
        <v>0.60789278868398522</v>
      </c>
      <c r="J60" s="24"/>
      <c r="K60" s="24"/>
      <c r="L60" s="19">
        <f t="shared" si="6"/>
        <v>31.143808787782049</v>
      </c>
      <c r="M60" s="126"/>
      <c r="N60" s="126"/>
      <c r="O60" s="9">
        <f t="shared" si="1"/>
        <v>-6.2438087877820507</v>
      </c>
      <c r="P60" s="10">
        <f t="shared" si="7"/>
        <v>38.985148178384364</v>
      </c>
      <c r="Q60" s="152"/>
      <c r="R60" s="152"/>
      <c r="S60" s="152"/>
      <c r="T60" s="152"/>
      <c r="U60" s="152"/>
      <c r="V60" s="10">
        <f t="shared" si="9"/>
        <v>3.0615131894650087E-2</v>
      </c>
      <c r="W60" s="13">
        <f t="shared" si="2"/>
        <v>10.803058823855995</v>
      </c>
      <c r="X60" s="68"/>
      <c r="Y60" s="68"/>
      <c r="Z60" s="15">
        <f t="shared" si="8"/>
        <v>90.832517157380181</v>
      </c>
      <c r="AA60" s="152"/>
      <c r="AB60" s="152"/>
    </row>
    <row r="61" spans="1:28">
      <c r="A61" s="84">
        <f>'Q.6 Rand()'!T59</f>
        <v>3.7</v>
      </c>
      <c r="B61" s="141">
        <f>'Q.6 Rand()'!U59</f>
        <v>25.1</v>
      </c>
      <c r="C61" s="5"/>
      <c r="D61" s="23"/>
      <c r="E61" s="24"/>
      <c r="F61" s="22">
        <f t="shared" si="0"/>
        <v>7.9674796747967846E-2</v>
      </c>
      <c r="G61" s="22">
        <f t="shared" si="3"/>
        <v>-9.3306094850948611</v>
      </c>
      <c r="H61" s="18">
        <f t="shared" si="4"/>
        <v>-0.74341441425959398</v>
      </c>
      <c r="I61" s="18">
        <f t="shared" si="5"/>
        <v>6.348073236829988E-3</v>
      </c>
      <c r="J61" s="24"/>
      <c r="K61" s="24"/>
      <c r="L61" s="19">
        <f t="shared" si="6"/>
        <v>34.094732041573842</v>
      </c>
      <c r="M61" s="126"/>
      <c r="N61" s="126"/>
      <c r="O61" s="9">
        <f t="shared" si="1"/>
        <v>-8.9947320415738403</v>
      </c>
      <c r="P61" s="10">
        <f t="shared" si="7"/>
        <v>80.905204499715111</v>
      </c>
      <c r="Q61" s="152"/>
      <c r="R61" s="152"/>
      <c r="S61" s="152"/>
      <c r="T61" s="152"/>
      <c r="U61" s="152"/>
      <c r="V61" s="10">
        <f t="shared" si="9"/>
        <v>0.2507553730032952</v>
      </c>
      <c r="W61" s="13">
        <f t="shared" si="2"/>
        <v>0.1128136570662165</v>
      </c>
      <c r="X61" s="68"/>
      <c r="Y61" s="68"/>
      <c r="Z61" s="15">
        <f t="shared" si="8"/>
        <v>87.060273363342191</v>
      </c>
      <c r="AA61" s="152"/>
      <c r="AB61" s="152"/>
    </row>
    <row r="62" spans="1:28">
      <c r="A62" s="84">
        <f>'Q.6 Rand()'!T60</f>
        <v>3.6</v>
      </c>
      <c r="B62" s="141">
        <f>'Q.6 Rand()'!U60</f>
        <v>35.6</v>
      </c>
      <c r="C62" s="5"/>
      <c r="D62" s="23"/>
      <c r="E62" s="24"/>
      <c r="F62" s="22">
        <f t="shared" si="0"/>
        <v>-2.0325203252032242E-2</v>
      </c>
      <c r="G62" s="22">
        <f t="shared" si="3"/>
        <v>1.1693905149051389</v>
      </c>
      <c r="H62" s="18">
        <f t="shared" si="4"/>
        <v>-2.3768099896445589E-2</v>
      </c>
      <c r="I62" s="18">
        <f t="shared" si="5"/>
        <v>4.1311388723642203E-4</v>
      </c>
      <c r="J62" s="24"/>
      <c r="K62" s="24"/>
      <c r="L62" s="19">
        <f t="shared" si="6"/>
        <v>34.516292506401243</v>
      </c>
      <c r="M62" s="126"/>
      <c r="N62" s="126"/>
      <c r="O62" s="9">
        <f t="shared" si="1"/>
        <v>1.0837074935987587</v>
      </c>
      <c r="P62" s="10">
        <f t="shared" si="7"/>
        <v>1.1744219316821036</v>
      </c>
      <c r="Q62" s="152"/>
      <c r="R62" s="152"/>
      <c r="S62" s="152"/>
      <c r="T62" s="152"/>
      <c r="U62" s="152"/>
      <c r="V62" s="10">
        <f t="shared" si="9"/>
        <v>0.35835585823003346</v>
      </c>
      <c r="W62" s="13">
        <f t="shared" si="2"/>
        <v>7.3415801401895981E-3</v>
      </c>
      <c r="X62" s="68"/>
      <c r="Y62" s="68"/>
      <c r="Z62" s="15">
        <f t="shared" si="8"/>
        <v>1.3674741763501059</v>
      </c>
      <c r="AA62" s="152"/>
      <c r="AB62" s="152"/>
    </row>
    <row r="63" spans="1:28">
      <c r="A63" s="84">
        <f>'Q.6 Rand()'!T61</f>
        <v>5</v>
      </c>
      <c r="B63" s="141">
        <f>'Q.6 Rand()'!U61</f>
        <v>23.618200000000002</v>
      </c>
      <c r="C63" s="5"/>
      <c r="D63" s="23"/>
      <c r="E63" s="24"/>
      <c r="F63" s="22">
        <f t="shared" si="0"/>
        <v>1.3796747967479677</v>
      </c>
      <c r="G63" s="22">
        <f t="shared" si="3"/>
        <v>-10.812409485094861</v>
      </c>
      <c r="H63" s="18">
        <f t="shared" si="4"/>
        <v>-14.91760885870405</v>
      </c>
      <c r="I63" s="18">
        <f t="shared" si="5"/>
        <v>1.9035025447815459</v>
      </c>
      <c r="J63" s="24"/>
      <c r="K63" s="24"/>
      <c r="L63" s="19">
        <f t="shared" si="6"/>
        <v>28.614445998817658</v>
      </c>
      <c r="M63" s="126"/>
      <c r="N63" s="126"/>
      <c r="O63" s="9">
        <f t="shared" si="1"/>
        <v>-4.9962459988176562</v>
      </c>
      <c r="P63" s="10">
        <f t="shared" si="7"/>
        <v>24.96247408070144</v>
      </c>
      <c r="Q63" s="152"/>
      <c r="R63" s="152"/>
      <c r="S63" s="152"/>
      <c r="T63" s="152"/>
      <c r="U63" s="152"/>
      <c r="V63" s="10">
        <f t="shared" si="9"/>
        <v>3.0441221730302212E-2</v>
      </c>
      <c r="W63" s="13">
        <f t="shared" si="2"/>
        <v>33.827757699104211</v>
      </c>
      <c r="X63" s="68"/>
      <c r="Y63" s="68"/>
      <c r="Z63" s="15">
        <f t="shared" si="8"/>
        <v>116.90819887336932</v>
      </c>
      <c r="AA63" s="152"/>
      <c r="AB63" s="152"/>
    </row>
    <row r="64" spans="1:28">
      <c r="A64" s="84">
        <f>'Q.6 Rand()'!T62</f>
        <v>4.8</v>
      </c>
      <c r="B64" s="141">
        <f>'Q.6 Rand()'!U62</f>
        <v>23.577999999999999</v>
      </c>
      <c r="C64" s="5"/>
      <c r="D64" s="23"/>
      <c r="E64" s="24"/>
      <c r="F64" s="22">
        <f t="shared" si="0"/>
        <v>1.1796747967479675</v>
      </c>
      <c r="G64" s="22">
        <f t="shared" si="3"/>
        <v>-10.852609485094863</v>
      </c>
      <c r="H64" s="18">
        <f t="shared" si="4"/>
        <v>-12.802549888514347</v>
      </c>
      <c r="I64" s="18">
        <f t="shared" si="5"/>
        <v>1.3916326260823584</v>
      </c>
      <c r="J64" s="24"/>
      <c r="K64" s="24"/>
      <c r="L64" s="19">
        <f t="shared" si="6"/>
        <v>29.457566928472456</v>
      </c>
      <c r="M64" s="126"/>
      <c r="N64" s="126"/>
      <c r="O64" s="9">
        <f t="shared" si="1"/>
        <v>-5.8795669284724568</v>
      </c>
      <c r="P64" s="10">
        <f t="shared" si="7"/>
        <v>34.569307266387042</v>
      </c>
      <c r="Q64" s="152"/>
      <c r="R64" s="152"/>
      <c r="S64" s="152"/>
      <c r="T64" s="152"/>
      <c r="U64" s="152"/>
      <c r="V64" s="10">
        <f t="shared" si="9"/>
        <v>0.21154220045632841</v>
      </c>
      <c r="W64" s="13">
        <f t="shared" si="2"/>
        <v>24.731152269977521</v>
      </c>
      <c r="X64" s="68"/>
      <c r="Y64" s="68"/>
      <c r="Z64" s="15">
        <f t="shared" si="8"/>
        <v>117.779132635971</v>
      </c>
      <c r="AA64" s="152"/>
      <c r="AB64" s="152"/>
    </row>
    <row r="65" spans="1:28">
      <c r="A65" s="84">
        <f>'Q.6 Rand()'!T63</f>
        <v>4.5999999999999996</v>
      </c>
      <c r="B65" s="141">
        <f>'Q.6 Rand()'!U63</f>
        <v>29</v>
      </c>
      <c r="C65" s="5"/>
      <c r="D65" s="23"/>
      <c r="E65" s="24"/>
      <c r="F65" s="22">
        <f t="shared" si="0"/>
        <v>0.97967479674796731</v>
      </c>
      <c r="G65" s="22">
        <f t="shared" si="3"/>
        <v>-5.4306094850948625</v>
      </c>
      <c r="H65" s="18">
        <f t="shared" si="4"/>
        <v>-5.3202312435278927</v>
      </c>
      <c r="I65" s="18">
        <f t="shared" si="5"/>
        <v>0.95976270738317104</v>
      </c>
      <c r="J65" s="24"/>
      <c r="K65" s="24"/>
      <c r="L65" s="19">
        <f t="shared" si="6"/>
        <v>30.300687858127255</v>
      </c>
      <c r="M65" s="126"/>
      <c r="N65" s="126"/>
      <c r="O65" s="9">
        <f t="shared" si="1"/>
        <v>-1.3006878581272545</v>
      </c>
      <c r="P65" s="10">
        <f t="shared" si="7"/>
        <v>1.691788904279665</v>
      </c>
      <c r="Q65" s="152"/>
      <c r="R65" s="152"/>
      <c r="S65" s="152"/>
      <c r="T65" s="152"/>
      <c r="U65" s="152"/>
      <c r="V65" s="10">
        <f t="shared" si="9"/>
        <v>0.24936665232303235</v>
      </c>
      <c r="W65" s="13">
        <f t="shared" si="2"/>
        <v>17.056252644894773</v>
      </c>
      <c r="X65" s="68"/>
      <c r="Y65" s="68"/>
      <c r="Z65" s="15">
        <f t="shared" si="8"/>
        <v>29.491519379602288</v>
      </c>
      <c r="AA65" s="152"/>
      <c r="AB65" s="152"/>
    </row>
    <row r="66" spans="1:28">
      <c r="A66" s="84">
        <f>'Q.6 Rand()'!T64</f>
        <v>2.4</v>
      </c>
      <c r="B66" s="141">
        <f>'Q.6 Rand()'!U64</f>
        <v>41.699800000000003</v>
      </c>
      <c r="C66" s="5"/>
      <c r="D66" s="23"/>
      <c r="E66" s="24"/>
      <c r="F66" s="22">
        <f t="shared" si="0"/>
        <v>-1.2203252032520324</v>
      </c>
      <c r="G66" s="22">
        <f t="shared" si="3"/>
        <v>7.2691905149051408</v>
      </c>
      <c r="H66" s="18">
        <f t="shared" si="4"/>
        <v>-8.8707763925793621</v>
      </c>
      <c r="I66" s="18">
        <f t="shared" si="5"/>
        <v>1.4891936016921143</v>
      </c>
      <c r="J66" s="24"/>
      <c r="K66" s="24"/>
      <c r="L66" s="19">
        <f t="shared" si="6"/>
        <v>39.575018084330026</v>
      </c>
      <c r="M66" s="126"/>
      <c r="N66" s="126"/>
      <c r="O66" s="9">
        <f t="shared" si="1"/>
        <v>2.1247819156699776</v>
      </c>
      <c r="P66" s="10">
        <f t="shared" si="7"/>
        <v>4.5146981891581799</v>
      </c>
      <c r="Q66" s="152"/>
      <c r="R66" s="152"/>
      <c r="S66" s="152"/>
      <c r="T66" s="152"/>
      <c r="U66" s="152"/>
      <c r="V66" s="10">
        <f t="shared" si="9"/>
        <v>4.4851305452663949E-2</v>
      </c>
      <c r="W66" s="13">
        <f t="shared" si="2"/>
        <v>26.464939835884692</v>
      </c>
      <c r="X66" s="68"/>
      <c r="Y66" s="68"/>
      <c r="Z66" s="15">
        <f t="shared" si="8"/>
        <v>52.841130741986866</v>
      </c>
      <c r="AA66" s="152"/>
      <c r="AB66" s="152"/>
    </row>
    <row r="67" spans="1:28">
      <c r="A67" s="84">
        <f>'Q.6 Rand()'!T65</f>
        <v>5.7</v>
      </c>
      <c r="B67" s="141">
        <f>'Q.6 Rand()'!U65</f>
        <v>34.5</v>
      </c>
      <c r="C67" s="5"/>
      <c r="D67" s="23"/>
      <c r="E67" s="24"/>
      <c r="F67" s="22">
        <f t="shared" si="0"/>
        <v>2.0796747967479678</v>
      </c>
      <c r="G67" s="22">
        <f t="shared" si="3"/>
        <v>6.9390514905137479E-2</v>
      </c>
      <c r="H67" s="18">
        <f t="shared" si="4"/>
        <v>0.14430970498157861</v>
      </c>
      <c r="I67" s="18">
        <f t="shared" si="5"/>
        <v>4.3250472602287013</v>
      </c>
      <c r="J67" s="24"/>
      <c r="K67" s="24"/>
      <c r="L67" s="19">
        <f t="shared" si="6"/>
        <v>25.663522745025865</v>
      </c>
      <c r="M67" s="126"/>
      <c r="N67" s="126"/>
      <c r="O67" s="9">
        <f t="shared" si="1"/>
        <v>8.8364772549741346</v>
      </c>
      <c r="P67" s="10">
        <f t="shared" si="7"/>
        <v>78.083330277675216</v>
      </c>
      <c r="Q67" s="152"/>
      <c r="R67" s="152"/>
      <c r="S67" s="152"/>
      <c r="T67" s="152"/>
      <c r="U67" s="152"/>
      <c r="V67" s="10">
        <f t="shared" si="9"/>
        <v>5.0954247158738829E-2</v>
      </c>
      <c r="W67" s="13">
        <f t="shared" si="2"/>
        <v>76.86180990789363</v>
      </c>
      <c r="X67" s="68"/>
      <c r="Y67" s="68"/>
      <c r="Z67" s="15">
        <f t="shared" si="8"/>
        <v>4.8150435588001066E-3</v>
      </c>
      <c r="AA67" s="152"/>
      <c r="AB67" s="152"/>
    </row>
    <row r="68" spans="1:28">
      <c r="A68" s="84">
        <f>'Q.6 Rand()'!T66</f>
        <v>2.9</v>
      </c>
      <c r="B68" s="141">
        <f>'Q.6 Rand()'!U66</f>
        <v>37.329599999999999</v>
      </c>
      <c r="C68" s="5"/>
      <c r="D68" s="23"/>
      <c r="E68" s="24"/>
      <c r="F68" s="22">
        <f t="shared" si="0"/>
        <v>-0.72032520325203242</v>
      </c>
      <c r="G68" s="22">
        <f t="shared" si="3"/>
        <v>2.8989905149051367</v>
      </c>
      <c r="H68" s="18">
        <f t="shared" si="4"/>
        <v>-2.0882159318747568</v>
      </c>
      <c r="I68" s="18">
        <f t="shared" si="5"/>
        <v>0.51886839844008181</v>
      </c>
      <c r="J68" s="24"/>
      <c r="K68" s="24"/>
      <c r="L68" s="19">
        <f t="shared" si="6"/>
        <v>37.467215760193035</v>
      </c>
      <c r="M68" s="126"/>
      <c r="N68" s="126"/>
      <c r="O68" s="9">
        <f t="shared" si="1"/>
        <v>-0.1376157601930359</v>
      </c>
      <c r="P68" s="10">
        <f t="shared" si="7"/>
        <v>1.8938097453507163E-2</v>
      </c>
      <c r="Q68" s="152"/>
      <c r="R68" s="152"/>
      <c r="S68" s="152"/>
      <c r="T68" s="152"/>
      <c r="U68" s="152"/>
      <c r="V68" s="10">
        <f t="shared" si="9"/>
        <v>0.25612977550649668</v>
      </c>
      <c r="W68" s="13">
        <f t="shared" si="2"/>
        <v>9.220977669965599</v>
      </c>
      <c r="X68" s="68"/>
      <c r="Y68" s="68"/>
      <c r="Z68" s="15">
        <f t="shared" si="8"/>
        <v>8.4041460055099488</v>
      </c>
      <c r="AA68" s="152"/>
      <c r="AB68" s="152"/>
    </row>
    <row r="69" spans="1:28">
      <c r="A69" s="84">
        <f>'Q.6 Rand()'!T67</f>
        <v>3.6</v>
      </c>
      <c r="B69" s="141">
        <f>'Q.6 Rand()'!U67</f>
        <v>37.690800000000003</v>
      </c>
      <c r="C69" s="5"/>
      <c r="D69" s="23"/>
      <c r="E69" s="24"/>
      <c r="F69" s="22">
        <f t="shared" ref="F69:F132" si="10">A69-$D$5</f>
        <v>-2.0325203252032242E-2</v>
      </c>
      <c r="G69" s="22">
        <f t="shared" si="3"/>
        <v>3.2601905149051404</v>
      </c>
      <c r="H69" s="18">
        <f t="shared" si="4"/>
        <v>-6.6264034855794629E-2</v>
      </c>
      <c r="I69" s="18">
        <f t="shared" si="5"/>
        <v>4.1311388723642203E-4</v>
      </c>
      <c r="J69" s="24"/>
      <c r="K69" s="24"/>
      <c r="L69" s="19">
        <f t="shared" si="6"/>
        <v>34.516292506401243</v>
      </c>
      <c r="M69" s="126"/>
      <c r="N69" s="126"/>
      <c r="O69" s="9">
        <f t="shared" ref="O69:O132" si="11">B69-L69</f>
        <v>3.1745074935987603</v>
      </c>
      <c r="P69" s="10">
        <f t="shared" si="7"/>
        <v>10.077497826914684</v>
      </c>
      <c r="Q69" s="152"/>
      <c r="R69" s="152"/>
      <c r="S69" s="152"/>
      <c r="T69" s="152"/>
      <c r="U69" s="152"/>
      <c r="V69" s="10">
        <f t="shared" si="9"/>
        <v>3.6865050842504582E-3</v>
      </c>
      <c r="W69" s="13">
        <f t="shared" ref="W69:W132" si="12">(L69-$E$5)^2</f>
        <v>7.3415801401895981E-3</v>
      </c>
      <c r="X69" s="68"/>
      <c r="Y69" s="68"/>
      <c r="Z69" s="15">
        <f t="shared" si="8"/>
        <v>10.628842193477444</v>
      </c>
      <c r="AA69" s="152"/>
      <c r="AB69" s="152"/>
    </row>
    <row r="70" spans="1:28">
      <c r="A70" s="84">
        <f>'Q.6 Rand()'!T68</f>
        <v>3</v>
      </c>
      <c r="B70" s="141">
        <f>'Q.6 Rand()'!U68</f>
        <v>35.460599999999999</v>
      </c>
      <c r="C70" s="5"/>
      <c r="D70" s="23"/>
      <c r="E70" s="24"/>
      <c r="F70" s="22">
        <f t="shared" si="10"/>
        <v>-0.62032520325203233</v>
      </c>
      <c r="G70" s="22">
        <f t="shared" ref="G70:G133" si="13">B70-$E$5</f>
        <v>1.0299905149051369</v>
      </c>
      <c r="H70" s="18">
        <f t="shared" ref="H70:H133" si="14">F70*G70</f>
        <v>-0.63892907550619449</v>
      </c>
      <c r="I70" s="18">
        <f t="shared" ref="I70:I133" si="15">F70^2</f>
        <v>0.38480335778967523</v>
      </c>
      <c r="J70" s="24"/>
      <c r="K70" s="24"/>
      <c r="L70" s="19">
        <f t="shared" ref="L70:L133" si="16">$K$5+$J$5*A70</f>
        <v>37.045655295365634</v>
      </c>
      <c r="M70" s="126"/>
      <c r="N70" s="126"/>
      <c r="O70" s="9">
        <f t="shared" si="11"/>
        <v>-1.5850552953656347</v>
      </c>
      <c r="P70" s="10">
        <f t="shared" ref="P70:P133" si="17">O70^2</f>
        <v>2.5124002893666395</v>
      </c>
      <c r="Q70" s="152"/>
      <c r="R70" s="152"/>
      <c r="S70" s="152"/>
      <c r="T70" s="152"/>
      <c r="U70" s="152"/>
      <c r="V70" s="10">
        <f t="shared" si="9"/>
        <v>8.4224996381046829E-2</v>
      </c>
      <c r="W70" s="13">
        <f t="shared" si="12"/>
        <v>6.8384645898147163</v>
      </c>
      <c r="X70" s="68"/>
      <c r="Y70" s="68"/>
      <c r="Z70" s="15">
        <f t="shared" ref="Z70:Z133" si="18">(B70-$E$5)^2</f>
        <v>1.060880460794549</v>
      </c>
      <c r="AA70" s="152"/>
      <c r="AB70" s="152"/>
    </row>
    <row r="71" spans="1:28">
      <c r="A71" s="84">
        <f>'Q.6 Rand()'!T69</f>
        <v>5.7</v>
      </c>
      <c r="B71" s="141">
        <f>'Q.6 Rand()'!U69</f>
        <v>24.5</v>
      </c>
      <c r="C71" s="5"/>
      <c r="D71" s="23"/>
      <c r="E71" s="24"/>
      <c r="F71" s="22">
        <f t="shared" si="10"/>
        <v>2.0796747967479678</v>
      </c>
      <c r="G71" s="22">
        <f t="shared" si="13"/>
        <v>-9.9306094850948625</v>
      </c>
      <c r="H71" s="18">
        <f t="shared" si="14"/>
        <v>-20.652438262498102</v>
      </c>
      <c r="I71" s="18">
        <f t="shared" si="15"/>
        <v>4.3250472602287013</v>
      </c>
      <c r="J71" s="24"/>
      <c r="K71" s="24"/>
      <c r="L71" s="19">
        <f t="shared" si="16"/>
        <v>25.663522745025865</v>
      </c>
      <c r="M71" s="126"/>
      <c r="N71" s="126"/>
      <c r="O71" s="9">
        <f t="shared" si="11"/>
        <v>-1.1635227450258654</v>
      </c>
      <c r="P71" s="10">
        <f t="shared" si="17"/>
        <v>1.353785178192525</v>
      </c>
      <c r="Q71" s="152"/>
      <c r="R71" s="152"/>
      <c r="S71" s="152"/>
      <c r="T71" s="152"/>
      <c r="U71" s="152"/>
      <c r="V71" s="10">
        <f t="shared" ref="V71:V134" si="19">ABS(O70) / B70</f>
        <v>4.4699054594835808E-2</v>
      </c>
      <c r="W71" s="13">
        <f t="shared" si="12"/>
        <v>76.86180990789363</v>
      </c>
      <c r="X71" s="68"/>
      <c r="Y71" s="68"/>
      <c r="Z71" s="15">
        <f t="shared" si="18"/>
        <v>98.617004745456057</v>
      </c>
      <c r="AA71" s="152"/>
      <c r="AB71" s="152"/>
    </row>
    <row r="72" spans="1:28">
      <c r="A72" s="84">
        <f>'Q.6 Rand()'!T70</f>
        <v>3</v>
      </c>
      <c r="B72" s="141">
        <f>'Q.6 Rand()'!U70</f>
        <v>35.288699999999999</v>
      </c>
      <c r="C72" s="5"/>
      <c r="D72" s="23"/>
      <c r="E72" s="24"/>
      <c r="F72" s="22">
        <f t="shared" si="10"/>
        <v>-0.62032520325203233</v>
      </c>
      <c r="G72" s="22">
        <f t="shared" si="13"/>
        <v>0.8580905149051361</v>
      </c>
      <c r="H72" s="18">
        <f t="shared" si="14"/>
        <v>-0.53229517306716967</v>
      </c>
      <c r="I72" s="18">
        <f t="shared" si="15"/>
        <v>0.38480335778967523</v>
      </c>
      <c r="J72" s="24"/>
      <c r="K72" s="24"/>
      <c r="L72" s="19">
        <f t="shared" si="16"/>
        <v>37.045655295365634</v>
      </c>
      <c r="M72" s="126"/>
      <c r="N72" s="126"/>
      <c r="O72" s="9">
        <f t="shared" si="11"/>
        <v>-1.7569552953656355</v>
      </c>
      <c r="P72" s="10">
        <f t="shared" si="17"/>
        <v>3.0868919099133478</v>
      </c>
      <c r="Q72" s="152"/>
      <c r="R72" s="152"/>
      <c r="S72" s="152"/>
      <c r="T72" s="152"/>
      <c r="U72" s="152"/>
      <c r="V72" s="10">
        <f t="shared" si="19"/>
        <v>4.7490724286770016E-2</v>
      </c>
      <c r="W72" s="13">
        <f t="shared" si="12"/>
        <v>6.8384645898147163</v>
      </c>
      <c r="X72" s="68"/>
      <c r="Y72" s="68"/>
      <c r="Z72" s="15">
        <f t="shared" si="18"/>
        <v>0.73631933177016162</v>
      </c>
      <c r="AA72" s="152"/>
      <c r="AB72" s="152"/>
    </row>
    <row r="73" spans="1:28">
      <c r="A73" s="84">
        <f>'Q.6 Rand()'!T71</f>
        <v>2</v>
      </c>
      <c r="B73" s="141">
        <f>'Q.6 Rand()'!U71</f>
        <v>46.362900000000003</v>
      </c>
      <c r="C73" s="5"/>
      <c r="D73" s="23"/>
      <c r="E73" s="24"/>
      <c r="F73" s="22">
        <f t="shared" si="10"/>
        <v>-1.6203252032520323</v>
      </c>
      <c r="G73" s="22">
        <f t="shared" si="13"/>
        <v>11.932290514905141</v>
      </c>
      <c r="H73" s="18">
        <f t="shared" si="14"/>
        <v>-19.334191053825968</v>
      </c>
      <c r="I73" s="18">
        <f t="shared" si="15"/>
        <v>2.6254537642937397</v>
      </c>
      <c r="J73" s="24"/>
      <c r="K73" s="24"/>
      <c r="L73" s="19">
        <f t="shared" si="16"/>
        <v>41.261259943639622</v>
      </c>
      <c r="M73" s="126"/>
      <c r="N73" s="126"/>
      <c r="O73" s="9">
        <f t="shared" si="11"/>
        <v>5.101640056360381</v>
      </c>
      <c r="P73" s="10">
        <f t="shared" si="17"/>
        <v>26.02673126466075</v>
      </c>
      <c r="Q73" s="152"/>
      <c r="R73" s="152"/>
      <c r="S73" s="152"/>
      <c r="T73" s="152"/>
      <c r="U73" s="152"/>
      <c r="V73" s="10">
        <f t="shared" si="19"/>
        <v>4.978804249988341E-2</v>
      </c>
      <c r="W73" s="13">
        <f t="shared" si="12"/>
        <v>46.657785686817739</v>
      </c>
      <c r="X73" s="68"/>
      <c r="Y73" s="68"/>
      <c r="Z73" s="15">
        <f t="shared" si="18"/>
        <v>142.3795569320952</v>
      </c>
      <c r="AA73" s="152"/>
      <c r="AB73" s="152"/>
    </row>
    <row r="74" spans="1:28">
      <c r="A74" s="84">
        <f>'Q.6 Rand()'!T72</f>
        <v>5.4</v>
      </c>
      <c r="B74" s="141">
        <f>'Q.6 Rand()'!U72</f>
        <v>30.4</v>
      </c>
      <c r="C74" s="5"/>
      <c r="D74" s="23"/>
      <c r="E74" s="24"/>
      <c r="F74" s="22">
        <f t="shared" si="10"/>
        <v>1.779674796747968</v>
      </c>
      <c r="G74" s="22">
        <f t="shared" si="13"/>
        <v>-4.0306094850948639</v>
      </c>
      <c r="H74" s="18">
        <f t="shared" si="14"/>
        <v>-7.173174116156634</v>
      </c>
      <c r="I74" s="18">
        <f t="shared" si="15"/>
        <v>3.1672423821799214</v>
      </c>
      <c r="J74" s="24"/>
      <c r="K74" s="24"/>
      <c r="L74" s="19">
        <f t="shared" si="16"/>
        <v>26.928204139508061</v>
      </c>
      <c r="M74" s="126"/>
      <c r="N74" s="126"/>
      <c r="O74" s="9">
        <f t="shared" si="11"/>
        <v>3.4717958604919374</v>
      </c>
      <c r="P74" s="10">
        <f t="shared" si="17"/>
        <v>12.053366496928952</v>
      </c>
      <c r="Q74" s="152"/>
      <c r="R74" s="152"/>
      <c r="S74" s="152"/>
      <c r="T74" s="152"/>
      <c r="U74" s="152"/>
      <c r="V74" s="10">
        <f t="shared" si="19"/>
        <v>0.11003712141303457</v>
      </c>
      <c r="W74" s="13">
        <f t="shared" si="12"/>
        <v>56.286085969489413</v>
      </c>
      <c r="X74" s="68"/>
      <c r="Y74" s="68"/>
      <c r="Z74" s="15">
        <f t="shared" si="18"/>
        <v>16.245812821336685</v>
      </c>
      <c r="AA74" s="152"/>
      <c r="AB74" s="152"/>
    </row>
    <row r="75" spans="1:28">
      <c r="A75" s="84">
        <f>'Q.6 Rand()'!T73</f>
        <v>2.4</v>
      </c>
      <c r="B75" s="141">
        <f>'Q.6 Rand()'!U73</f>
        <v>46.9</v>
      </c>
      <c r="C75" s="5"/>
      <c r="D75" s="23"/>
      <c r="E75" s="24"/>
      <c r="F75" s="22">
        <f t="shared" si="10"/>
        <v>-1.2203252032520324</v>
      </c>
      <c r="G75" s="22">
        <f t="shared" si="13"/>
        <v>12.469390514905136</v>
      </c>
      <c r="H75" s="18">
        <f t="shared" si="14"/>
        <v>-15.216711514530575</v>
      </c>
      <c r="I75" s="18">
        <f t="shared" si="15"/>
        <v>1.4891936016921143</v>
      </c>
      <c r="J75" s="24"/>
      <c r="K75" s="24"/>
      <c r="L75" s="19">
        <f t="shared" si="16"/>
        <v>39.575018084330026</v>
      </c>
      <c r="M75" s="126"/>
      <c r="N75" s="126"/>
      <c r="O75" s="9">
        <f t="shared" si="11"/>
        <v>7.3249819156699729</v>
      </c>
      <c r="P75" s="10">
        <f t="shared" si="17"/>
        <v>53.655360064892143</v>
      </c>
      <c r="Q75" s="152"/>
      <c r="R75" s="152"/>
      <c r="S75" s="152"/>
      <c r="T75" s="152"/>
      <c r="U75" s="152"/>
      <c r="V75" s="10">
        <f t="shared" si="19"/>
        <v>0.11420381120039269</v>
      </c>
      <c r="W75" s="13">
        <f t="shared" si="12"/>
        <v>26.464939835884692</v>
      </c>
      <c r="X75" s="68"/>
      <c r="Y75" s="68"/>
      <c r="Z75" s="15">
        <f t="shared" si="18"/>
        <v>155.48569981320617</v>
      </c>
      <c r="AA75" s="152"/>
      <c r="AB75" s="152"/>
    </row>
    <row r="76" spans="1:28">
      <c r="A76" s="84">
        <f>'Q.6 Rand()'!T74</f>
        <v>2.5</v>
      </c>
      <c r="B76" s="141">
        <f>'Q.6 Rand()'!U74</f>
        <v>46.6</v>
      </c>
      <c r="C76" s="5"/>
      <c r="D76" s="23"/>
      <c r="E76" s="24"/>
      <c r="F76" s="22">
        <f t="shared" si="10"/>
        <v>-1.1203252032520323</v>
      </c>
      <c r="G76" s="22">
        <f t="shared" si="13"/>
        <v>12.169390514905139</v>
      </c>
      <c r="H76" s="18">
        <f t="shared" si="14"/>
        <v>-13.633674902064454</v>
      </c>
      <c r="I76" s="18">
        <f t="shared" si="15"/>
        <v>1.2551285610417076</v>
      </c>
      <c r="J76" s="24"/>
      <c r="K76" s="24"/>
      <c r="L76" s="19">
        <f t="shared" si="16"/>
        <v>39.153457619502632</v>
      </c>
      <c r="M76" s="126"/>
      <c r="N76" s="126"/>
      <c r="O76" s="9">
        <f t="shared" si="11"/>
        <v>7.4465423804973696</v>
      </c>
      <c r="P76" s="10">
        <f t="shared" si="17"/>
        <v>55.450993424543434</v>
      </c>
      <c r="Q76" s="152"/>
      <c r="R76" s="152"/>
      <c r="S76" s="152"/>
      <c r="T76" s="152"/>
      <c r="U76" s="152"/>
      <c r="V76" s="10">
        <f t="shared" si="19"/>
        <v>0.15618298327654526</v>
      </c>
      <c r="W76" s="13">
        <f t="shared" si="12"/>
        <v>22.305294500678947</v>
      </c>
      <c r="X76" s="68"/>
      <c r="Y76" s="68"/>
      <c r="Z76" s="15">
        <f t="shared" si="18"/>
        <v>148.09406550426317</v>
      </c>
      <c r="AA76" s="152"/>
      <c r="AB76" s="152"/>
    </row>
    <row r="77" spans="1:28">
      <c r="A77" s="84">
        <f>'Q.6 Rand()'!T75</f>
        <v>2.5</v>
      </c>
      <c r="B77" s="141">
        <f>'Q.6 Rand()'!U75</f>
        <v>37.057400000000001</v>
      </c>
      <c r="C77" s="5"/>
      <c r="D77" s="23"/>
      <c r="E77" s="24"/>
      <c r="F77" s="22">
        <f t="shared" si="10"/>
        <v>-1.1203252032520323</v>
      </c>
      <c r="G77" s="22">
        <f t="shared" si="13"/>
        <v>2.6267905149051387</v>
      </c>
      <c r="H77" s="18">
        <f t="shared" si="14"/>
        <v>-2.9428596175116102</v>
      </c>
      <c r="I77" s="18">
        <f t="shared" si="15"/>
        <v>1.2551285610417076</v>
      </c>
      <c r="J77" s="24"/>
      <c r="K77" s="24"/>
      <c r="L77" s="19">
        <f t="shared" si="16"/>
        <v>39.153457619502632</v>
      </c>
      <c r="M77" s="126"/>
      <c r="N77" s="126"/>
      <c r="O77" s="9">
        <f t="shared" si="11"/>
        <v>-2.0960576195026306</v>
      </c>
      <c r="P77" s="10">
        <f t="shared" si="17"/>
        <v>4.3934575442750345</v>
      </c>
      <c r="Q77" s="152"/>
      <c r="R77" s="152"/>
      <c r="S77" s="152"/>
      <c r="T77" s="152"/>
      <c r="U77" s="152"/>
      <c r="V77" s="10">
        <f t="shared" si="19"/>
        <v>0.15979704679178905</v>
      </c>
      <c r="W77" s="13">
        <f t="shared" si="12"/>
        <v>22.305294500678947</v>
      </c>
      <c r="X77" s="68"/>
      <c r="Y77" s="68"/>
      <c r="Z77" s="15">
        <f t="shared" si="18"/>
        <v>6.9000284091956035</v>
      </c>
      <c r="AA77" s="152"/>
      <c r="AB77" s="152"/>
    </row>
    <row r="78" spans="1:28">
      <c r="A78" s="84">
        <f>'Q.6 Rand()'!T76</f>
        <v>4.7</v>
      </c>
      <c r="B78" s="141">
        <f>'Q.6 Rand()'!U76</f>
        <v>25.609400000000001</v>
      </c>
      <c r="C78" s="5"/>
      <c r="D78" s="23"/>
      <c r="E78" s="24"/>
      <c r="F78" s="22">
        <f t="shared" si="10"/>
        <v>1.0796747967479678</v>
      </c>
      <c r="G78" s="22">
        <f t="shared" si="13"/>
        <v>-8.8212094850948617</v>
      </c>
      <c r="H78" s="18">
        <f t="shared" si="14"/>
        <v>-9.5240375578910417</v>
      </c>
      <c r="I78" s="18">
        <f t="shared" si="15"/>
        <v>1.1656976667327656</v>
      </c>
      <c r="J78" s="24"/>
      <c r="K78" s="24"/>
      <c r="L78" s="19">
        <f t="shared" si="16"/>
        <v>29.879127393299854</v>
      </c>
      <c r="M78" s="126"/>
      <c r="N78" s="126"/>
      <c r="O78" s="9">
        <f t="shared" si="11"/>
        <v>-4.2697273932998527</v>
      </c>
      <c r="P78" s="10">
        <f t="shared" si="17"/>
        <v>18.230572013095156</v>
      </c>
      <c r="Q78" s="152"/>
      <c r="R78" s="152"/>
      <c r="S78" s="152"/>
      <c r="T78" s="152"/>
      <c r="U78" s="152"/>
      <c r="V78" s="10">
        <f t="shared" si="19"/>
        <v>5.6562457687334526E-2</v>
      </c>
      <c r="W78" s="13">
        <f t="shared" si="12"/>
        <v>20.715989231930671</v>
      </c>
      <c r="X78" s="68"/>
      <c r="Y78" s="68"/>
      <c r="Z78" s="15">
        <f t="shared" si="18"/>
        <v>77.813736779927552</v>
      </c>
      <c r="AA78" s="152"/>
      <c r="AB78" s="152"/>
    </row>
    <row r="79" spans="1:28">
      <c r="A79" s="84">
        <f>'Q.6 Rand()'!T77</f>
        <v>5.3</v>
      </c>
      <c r="B79" s="141">
        <f>'Q.6 Rand()'!U77</f>
        <v>24.299900000000001</v>
      </c>
      <c r="C79" s="5"/>
      <c r="D79" s="23"/>
      <c r="E79" s="24"/>
      <c r="F79" s="22">
        <f t="shared" si="10"/>
        <v>1.6796747967479675</v>
      </c>
      <c r="G79" s="22">
        <f t="shared" si="13"/>
        <v>-10.130709485094862</v>
      </c>
      <c r="H79" s="18">
        <f t="shared" si="14"/>
        <v>-17.016297395289417</v>
      </c>
      <c r="I79" s="18">
        <f t="shared" si="15"/>
        <v>2.8213074228303259</v>
      </c>
      <c r="J79" s="24"/>
      <c r="K79" s="24"/>
      <c r="L79" s="19">
        <f t="shared" si="16"/>
        <v>27.349764604335462</v>
      </c>
      <c r="M79" s="126"/>
      <c r="N79" s="126"/>
      <c r="O79" s="9">
        <f t="shared" si="11"/>
        <v>-3.0498646043354611</v>
      </c>
      <c r="P79" s="10">
        <f t="shared" si="17"/>
        <v>9.3016741047782983</v>
      </c>
      <c r="Q79" s="152"/>
      <c r="R79" s="152"/>
      <c r="S79" s="152"/>
      <c r="T79" s="152"/>
      <c r="U79" s="152"/>
      <c r="V79" s="10">
        <f t="shared" si="19"/>
        <v>0.16672500696228154</v>
      </c>
      <c r="W79" s="13">
        <f t="shared" si="12"/>
        <v>50.138364225376606</v>
      </c>
      <c r="X79" s="68"/>
      <c r="Y79" s="68"/>
      <c r="Z79" s="15">
        <f t="shared" si="18"/>
        <v>102.631274671391</v>
      </c>
      <c r="AA79" s="152"/>
      <c r="AB79" s="152"/>
    </row>
    <row r="80" spans="1:28">
      <c r="A80" s="84">
        <f>'Q.6 Rand()'!T78</f>
        <v>4</v>
      </c>
      <c r="B80" s="141">
        <f>'Q.6 Rand()'!U78</f>
        <v>35.200000000000003</v>
      </c>
      <c r="C80" s="5"/>
      <c r="D80" s="23"/>
      <c r="E80" s="24"/>
      <c r="F80" s="22">
        <f t="shared" si="10"/>
        <v>0.37967479674796767</v>
      </c>
      <c r="G80" s="22">
        <f t="shared" si="13"/>
        <v>0.76939051490514032</v>
      </c>
      <c r="H80" s="18">
        <f t="shared" si="14"/>
        <v>0.29211818736642337</v>
      </c>
      <c r="I80" s="18">
        <f t="shared" si="15"/>
        <v>0.14415295128561056</v>
      </c>
      <c r="J80" s="24"/>
      <c r="K80" s="24"/>
      <c r="L80" s="19">
        <f t="shared" si="16"/>
        <v>32.830050647091646</v>
      </c>
      <c r="M80" s="126"/>
      <c r="N80" s="126"/>
      <c r="O80" s="9">
        <f t="shared" si="11"/>
        <v>2.3699493529083568</v>
      </c>
      <c r="P80" s="10">
        <f t="shared" si="17"/>
        <v>5.6166599353507394</v>
      </c>
      <c r="Q80" s="152"/>
      <c r="R80" s="152"/>
      <c r="S80" s="152"/>
      <c r="T80" s="152"/>
      <c r="U80" s="152"/>
      <c r="V80" s="10">
        <f t="shared" si="19"/>
        <v>0.12550934795350849</v>
      </c>
      <c r="W80" s="13">
        <f t="shared" si="12"/>
        <v>2.5617885939102067</v>
      </c>
      <c r="X80" s="68"/>
      <c r="Y80" s="68"/>
      <c r="Z80" s="15">
        <f t="shared" si="18"/>
        <v>0.59196176442599691</v>
      </c>
      <c r="AA80" s="152"/>
      <c r="AB80" s="152"/>
    </row>
    <row r="81" spans="1:28">
      <c r="A81" s="84">
        <f>'Q.6 Rand()'!T79</f>
        <v>2</v>
      </c>
      <c r="B81" s="141">
        <f>'Q.6 Rand()'!U79</f>
        <v>38.499699999999997</v>
      </c>
      <c r="C81" s="5"/>
      <c r="D81" s="23"/>
      <c r="E81" s="24"/>
      <c r="F81" s="22">
        <f t="shared" si="10"/>
        <v>-1.6203252032520323</v>
      </c>
      <c r="G81" s="22">
        <f t="shared" si="13"/>
        <v>4.0690905149051346</v>
      </c>
      <c r="H81" s="18">
        <f t="shared" si="14"/>
        <v>-6.593249915614579</v>
      </c>
      <c r="I81" s="18">
        <f t="shared" si="15"/>
        <v>2.6254537642937397</v>
      </c>
      <c r="J81" s="24"/>
      <c r="K81" s="24"/>
      <c r="L81" s="19">
        <f t="shared" si="16"/>
        <v>41.261259943639622</v>
      </c>
      <c r="M81" s="126"/>
      <c r="N81" s="126"/>
      <c r="O81" s="9">
        <f t="shared" si="11"/>
        <v>-2.7615599436396252</v>
      </c>
      <c r="P81" s="10">
        <f t="shared" si="17"/>
        <v>7.6262133223148902</v>
      </c>
      <c r="Q81" s="152"/>
      <c r="R81" s="152"/>
      <c r="S81" s="152"/>
      <c r="T81" s="152"/>
      <c r="U81" s="152"/>
      <c r="V81" s="10">
        <f t="shared" si="19"/>
        <v>6.7328106616714678E-2</v>
      </c>
      <c r="W81" s="13">
        <f t="shared" si="12"/>
        <v>46.657785686817739</v>
      </c>
      <c r="X81" s="68"/>
      <c r="Y81" s="68"/>
      <c r="Z81" s="15">
        <f t="shared" si="18"/>
        <v>16.557497618490935</v>
      </c>
      <c r="AA81" s="152"/>
      <c r="AB81" s="152"/>
    </row>
    <row r="82" spans="1:28">
      <c r="A82" s="84">
        <f>'Q.6 Rand()'!T80</f>
        <v>6</v>
      </c>
      <c r="B82" s="141">
        <f>'Q.6 Rand()'!U80</f>
        <v>30.5</v>
      </c>
      <c r="C82" s="5"/>
      <c r="D82" s="23"/>
      <c r="E82" s="24"/>
      <c r="F82" s="22">
        <f t="shared" si="10"/>
        <v>2.3796747967479677</v>
      </c>
      <c r="G82" s="22">
        <f t="shared" si="13"/>
        <v>-3.9306094850948625</v>
      </c>
      <c r="H82" s="18">
        <f t="shared" si="14"/>
        <v>-9.3535723275387515</v>
      </c>
      <c r="I82" s="18">
        <f t="shared" si="15"/>
        <v>5.662852138277481</v>
      </c>
      <c r="J82" s="24"/>
      <c r="K82" s="24"/>
      <c r="L82" s="19">
        <f t="shared" si="16"/>
        <v>24.39884135054367</v>
      </c>
      <c r="M82" s="126"/>
      <c r="N82" s="126"/>
      <c r="O82" s="9">
        <f t="shared" si="11"/>
        <v>6.1011586494563304</v>
      </c>
      <c r="P82" s="10">
        <f t="shared" si="17"/>
        <v>37.224136865835796</v>
      </c>
      <c r="Q82" s="152"/>
      <c r="R82" s="152"/>
      <c r="S82" s="152"/>
      <c r="T82" s="152"/>
      <c r="U82" s="152"/>
      <c r="V82" s="10">
        <f t="shared" si="19"/>
        <v>7.172938863522639E-2</v>
      </c>
      <c r="W82" s="13">
        <f t="shared" si="12"/>
        <v>100.63637190539671</v>
      </c>
      <c r="X82" s="68"/>
      <c r="Y82" s="68"/>
      <c r="Z82" s="15">
        <f t="shared" si="18"/>
        <v>15.4496909243177</v>
      </c>
      <c r="AA82" s="152"/>
      <c r="AB82" s="152"/>
    </row>
    <row r="83" spans="1:28">
      <c r="A83" s="84">
        <f>'Q.6 Rand()'!T81</f>
        <v>3</v>
      </c>
      <c r="B83" s="141">
        <f>'Q.6 Rand()'!U81</f>
        <v>36.798000000000002</v>
      </c>
      <c r="C83" s="5"/>
      <c r="D83" s="23"/>
      <c r="E83" s="24"/>
      <c r="F83" s="22">
        <f t="shared" si="10"/>
        <v>-0.62032520325203233</v>
      </c>
      <c r="G83" s="22">
        <f t="shared" si="13"/>
        <v>2.3673905149051393</v>
      </c>
      <c r="H83" s="18">
        <f t="shared" si="14"/>
        <v>-1.4685520023354639</v>
      </c>
      <c r="I83" s="18">
        <f t="shared" si="15"/>
        <v>0.38480335778967523</v>
      </c>
      <c r="J83" s="24"/>
      <c r="K83" s="24"/>
      <c r="L83" s="19">
        <f t="shared" si="16"/>
        <v>37.045655295365634</v>
      </c>
      <c r="M83" s="126"/>
      <c r="N83" s="126"/>
      <c r="O83" s="9">
        <f t="shared" si="11"/>
        <v>-0.24765529536563236</v>
      </c>
      <c r="P83" s="10">
        <f t="shared" si="17"/>
        <v>6.1333145322638602E-2</v>
      </c>
      <c r="Q83" s="152"/>
      <c r="R83" s="152"/>
      <c r="S83" s="152"/>
      <c r="T83" s="152"/>
      <c r="U83" s="152"/>
      <c r="V83" s="10">
        <f t="shared" si="19"/>
        <v>0.20003798850676494</v>
      </c>
      <c r="W83" s="13">
        <f t="shared" si="12"/>
        <v>6.8384645898147163</v>
      </c>
      <c r="X83" s="68"/>
      <c r="Y83" s="68"/>
      <c r="Z83" s="15">
        <f t="shared" si="18"/>
        <v>5.6045378500628207</v>
      </c>
      <c r="AA83" s="152"/>
      <c r="AB83" s="152"/>
    </row>
    <row r="84" spans="1:28">
      <c r="A84" s="84">
        <f>'Q.6 Rand()'!T82</f>
        <v>3</v>
      </c>
      <c r="B84" s="141">
        <f>'Q.6 Rand()'!U82</f>
        <v>35.460599999999999</v>
      </c>
      <c r="C84" s="5"/>
      <c r="D84" s="23"/>
      <c r="E84" s="24"/>
      <c r="F84" s="22">
        <f t="shared" si="10"/>
        <v>-0.62032520325203233</v>
      </c>
      <c r="G84" s="22">
        <f t="shared" si="13"/>
        <v>1.0299905149051369</v>
      </c>
      <c r="H84" s="18">
        <f t="shared" si="14"/>
        <v>-0.63892907550619449</v>
      </c>
      <c r="I84" s="18">
        <f t="shared" si="15"/>
        <v>0.38480335778967523</v>
      </c>
      <c r="J84" s="24"/>
      <c r="K84" s="24"/>
      <c r="L84" s="19">
        <f t="shared" si="16"/>
        <v>37.045655295365634</v>
      </c>
      <c r="M84" s="126"/>
      <c r="N84" s="126"/>
      <c r="O84" s="9">
        <f t="shared" si="11"/>
        <v>-1.5850552953656347</v>
      </c>
      <c r="P84" s="10">
        <f t="shared" si="17"/>
        <v>2.5124002893666395</v>
      </c>
      <c r="Q84" s="152"/>
      <c r="R84" s="152"/>
      <c r="S84" s="152"/>
      <c r="T84" s="152"/>
      <c r="U84" s="152"/>
      <c r="V84" s="10">
        <f t="shared" si="19"/>
        <v>6.7301292289154938E-3</v>
      </c>
      <c r="W84" s="13">
        <f t="shared" si="12"/>
        <v>6.8384645898147163</v>
      </c>
      <c r="X84" s="68"/>
      <c r="Y84" s="68"/>
      <c r="Z84" s="15">
        <f t="shared" si="18"/>
        <v>1.060880460794549</v>
      </c>
      <c r="AA84" s="152"/>
      <c r="AB84" s="152"/>
    </row>
    <row r="85" spans="1:28">
      <c r="A85" s="84">
        <f>'Q.6 Rand()'!T83</f>
        <v>3.6</v>
      </c>
      <c r="B85" s="141">
        <f>'Q.6 Rand()'!U83</f>
        <v>33</v>
      </c>
      <c r="C85" s="5"/>
      <c r="D85" s="23"/>
      <c r="E85" s="24"/>
      <c r="F85" s="22">
        <f t="shared" si="10"/>
        <v>-2.0325203252032242E-2</v>
      </c>
      <c r="G85" s="22">
        <f t="shared" si="13"/>
        <v>-1.4306094850948625</v>
      </c>
      <c r="H85" s="18">
        <f t="shared" si="14"/>
        <v>2.907742855883827E-2</v>
      </c>
      <c r="I85" s="18">
        <f t="shared" si="15"/>
        <v>4.1311388723642203E-4</v>
      </c>
      <c r="J85" s="24"/>
      <c r="K85" s="24"/>
      <c r="L85" s="19">
        <f t="shared" si="16"/>
        <v>34.516292506401243</v>
      </c>
      <c r="M85" s="126"/>
      <c r="N85" s="126"/>
      <c r="O85" s="9">
        <f t="shared" si="11"/>
        <v>-1.5162925064012427</v>
      </c>
      <c r="P85" s="10">
        <f t="shared" si="17"/>
        <v>2.2991429649685626</v>
      </c>
      <c r="Q85" s="152"/>
      <c r="R85" s="152"/>
      <c r="S85" s="152"/>
      <c r="T85" s="152"/>
      <c r="U85" s="152"/>
      <c r="V85" s="10">
        <f t="shared" si="19"/>
        <v>4.4699054594835808E-2</v>
      </c>
      <c r="W85" s="13">
        <f t="shared" si="12"/>
        <v>7.3415801401895981E-3</v>
      </c>
      <c r="X85" s="68"/>
      <c r="Y85" s="68"/>
      <c r="Z85" s="15">
        <f t="shared" si="18"/>
        <v>2.0466434988433875</v>
      </c>
      <c r="AA85" s="152"/>
      <c r="AB85" s="152"/>
    </row>
    <row r="86" spans="1:28">
      <c r="A86" s="84">
        <f>'Q.6 Rand()'!T84</f>
        <v>6.2</v>
      </c>
      <c r="B86" s="141">
        <f>'Q.6 Rand()'!U84</f>
        <v>25.799900000000001</v>
      </c>
      <c r="C86" s="5"/>
      <c r="D86" s="23"/>
      <c r="E86" s="24"/>
      <c r="F86" s="22">
        <f t="shared" si="10"/>
        <v>2.5796747967479678</v>
      </c>
      <c r="G86" s="22">
        <f t="shared" si="13"/>
        <v>-8.6307094850948616</v>
      </c>
      <c r="H86" s="18">
        <f t="shared" si="14"/>
        <v>-22.264423736752846</v>
      </c>
      <c r="I86" s="18">
        <f t="shared" si="15"/>
        <v>6.6547220569766692</v>
      </c>
      <c r="J86" s="24"/>
      <c r="K86" s="24"/>
      <c r="L86" s="19">
        <f t="shared" si="16"/>
        <v>23.555720420888871</v>
      </c>
      <c r="M86" s="126"/>
      <c r="N86" s="126"/>
      <c r="O86" s="9">
        <f t="shared" si="11"/>
        <v>2.2441795791111296</v>
      </c>
      <c r="P86" s="10">
        <f t="shared" si="17"/>
        <v>5.0363419832994074</v>
      </c>
      <c r="Q86" s="152"/>
      <c r="R86" s="152"/>
      <c r="S86" s="152"/>
      <c r="T86" s="152"/>
      <c r="U86" s="152"/>
      <c r="V86" s="10">
        <f t="shared" si="19"/>
        <v>4.5948257769734629E-2</v>
      </c>
      <c r="W86" s="13">
        <f t="shared" si="12"/>
        <v>118.26321215878706</v>
      </c>
      <c r="X86" s="68"/>
      <c r="Y86" s="68"/>
      <c r="Z86" s="15">
        <f t="shared" si="18"/>
        <v>74.489146216106406</v>
      </c>
      <c r="AA86" s="152"/>
      <c r="AB86" s="152"/>
    </row>
    <row r="87" spans="1:28">
      <c r="A87" s="84">
        <f>'Q.6 Rand()'!T85</f>
        <v>3.2</v>
      </c>
      <c r="B87" s="141">
        <f>'Q.6 Rand()'!U85</f>
        <v>36.200000000000003</v>
      </c>
      <c r="C87" s="30"/>
      <c r="D87" s="23"/>
      <c r="E87" s="24"/>
      <c r="F87" s="22">
        <f t="shared" si="10"/>
        <v>-0.42032520325203215</v>
      </c>
      <c r="G87" s="22">
        <f t="shared" si="13"/>
        <v>1.7693905149051403</v>
      </c>
      <c r="H87" s="18">
        <f t="shared" si="14"/>
        <v>-0.74371942780972089</v>
      </c>
      <c r="I87" s="18">
        <f t="shared" si="15"/>
        <v>0.17667327648886214</v>
      </c>
      <c r="J87" s="24"/>
      <c r="K87" s="24"/>
      <c r="L87" s="19">
        <f t="shared" si="16"/>
        <v>36.202534365710832</v>
      </c>
      <c r="M87" s="156"/>
      <c r="N87" s="127"/>
      <c r="O87" s="9">
        <f t="shared" si="11"/>
        <v>-2.5343657108294337E-3</v>
      </c>
      <c r="P87" s="10">
        <f t="shared" si="17"/>
        <v>6.4230095562279811E-6</v>
      </c>
      <c r="Q87" s="152"/>
      <c r="R87" s="152"/>
      <c r="S87" s="152"/>
      <c r="T87" s="152"/>
      <c r="U87" s="152"/>
      <c r="V87" s="10">
        <f t="shared" si="19"/>
        <v>8.6984041764159151E-2</v>
      </c>
      <c r="W87" s="13">
        <f t="shared" si="12"/>
        <v>3.1397177825459188</v>
      </c>
      <c r="X87" s="72"/>
      <c r="Y87" s="72"/>
      <c r="Z87" s="15">
        <f t="shared" si="18"/>
        <v>3.1307427942362778</v>
      </c>
      <c r="AA87" s="152"/>
      <c r="AB87" s="152"/>
    </row>
    <row r="88" spans="1:28">
      <c r="A88" s="84">
        <f>'Q.6 Rand()'!T86</f>
        <v>1.6</v>
      </c>
      <c r="B88" s="141">
        <f>'Q.6 Rand()'!U86</f>
        <v>46.5047</v>
      </c>
      <c r="D88" s="23"/>
      <c r="E88" s="24"/>
      <c r="F88" s="22">
        <f t="shared" si="10"/>
        <v>-2.0203252032520322</v>
      </c>
      <c r="G88" s="22">
        <f t="shared" si="13"/>
        <v>12.074090514905137</v>
      </c>
      <c r="H88" s="18">
        <f t="shared" si="14"/>
        <v>-24.393589373609156</v>
      </c>
      <c r="I88" s="18">
        <f t="shared" si="15"/>
        <v>4.0817139268953655</v>
      </c>
      <c r="J88" s="24"/>
      <c r="K88" s="24"/>
      <c r="L88" s="19">
        <f t="shared" si="16"/>
        <v>42.947501802949219</v>
      </c>
      <c r="O88" s="9">
        <f t="shared" si="11"/>
        <v>3.5571981970507807</v>
      </c>
      <c r="P88" s="10">
        <f t="shared" si="17"/>
        <v>12.653659013101324</v>
      </c>
      <c r="V88" s="10">
        <f t="shared" si="19"/>
        <v>7.0010102509100372E-5</v>
      </c>
      <c r="W88" s="13">
        <f t="shared" si="12"/>
        <v>72.537454753926554</v>
      </c>
      <c r="Z88" s="15">
        <f t="shared" si="18"/>
        <v>145.78366176212219</v>
      </c>
    </row>
    <row r="89" spans="1:28">
      <c r="A89" s="84">
        <f>'Q.6 Rand()'!T87</f>
        <v>3.8</v>
      </c>
      <c r="B89" s="141">
        <f>'Q.6 Rand()'!U87</f>
        <v>26.163</v>
      </c>
      <c r="D89" s="23"/>
      <c r="E89" s="24"/>
      <c r="F89" s="22">
        <f t="shared" si="10"/>
        <v>0.17967479674796749</v>
      </c>
      <c r="G89" s="22">
        <f t="shared" si="13"/>
        <v>-8.2676094850948623</v>
      </c>
      <c r="H89" s="18">
        <f t="shared" si="14"/>
        <v>-1.4854810538259875</v>
      </c>
      <c r="I89" s="18">
        <f t="shared" si="15"/>
        <v>3.2283032586423427E-2</v>
      </c>
      <c r="J89" s="24"/>
      <c r="K89" s="24"/>
      <c r="L89" s="19">
        <f t="shared" si="16"/>
        <v>33.673171576746441</v>
      </c>
      <c r="O89" s="9">
        <f t="shared" si="11"/>
        <v>-7.5101715767464405</v>
      </c>
      <c r="P89" s="10">
        <f t="shared" si="17"/>
        <v>56.402677112170117</v>
      </c>
      <c r="V89" s="10">
        <f t="shared" si="19"/>
        <v>7.6491154594068578E-2</v>
      </c>
      <c r="W89" s="13">
        <f t="shared" si="12"/>
        <v>0.57371218500323207</v>
      </c>
      <c r="Z89" s="15">
        <f t="shared" si="18"/>
        <v>68.353366598030533</v>
      </c>
    </row>
    <row r="90" spans="1:28">
      <c r="A90" s="84">
        <f>'Q.6 Rand()'!T88</f>
        <v>3.5</v>
      </c>
      <c r="B90" s="141">
        <f>'Q.6 Rand()'!U88</f>
        <v>37.4</v>
      </c>
      <c r="D90" s="23"/>
      <c r="E90" s="24"/>
      <c r="F90" s="22">
        <f t="shared" si="10"/>
        <v>-0.12032520325203233</v>
      </c>
      <c r="G90" s="22">
        <f t="shared" si="13"/>
        <v>2.9693905149051361</v>
      </c>
      <c r="H90" s="18">
        <f t="shared" si="14"/>
        <v>-0.35729251724061745</v>
      </c>
      <c r="I90" s="18">
        <f t="shared" si="15"/>
        <v>1.4478154537642892E-2</v>
      </c>
      <c r="J90" s="24"/>
      <c r="K90" s="24"/>
      <c r="L90" s="19">
        <f t="shared" si="16"/>
        <v>34.937852971228637</v>
      </c>
      <c r="O90" s="9">
        <f t="shared" si="11"/>
        <v>2.462147028771362</v>
      </c>
      <c r="P90" s="10">
        <f t="shared" si="17"/>
        <v>6.0621679912876463</v>
      </c>
      <c r="V90" s="10">
        <f t="shared" si="19"/>
        <v>0.28705315050821545</v>
      </c>
      <c r="W90" s="13">
        <f t="shared" si="12"/>
        <v>0.25729595422514417</v>
      </c>
      <c r="Z90" s="15">
        <f t="shared" si="18"/>
        <v>8.8172800300085896</v>
      </c>
    </row>
    <row r="91" spans="1:28">
      <c r="A91" s="84">
        <f>'Q.6 Rand()'!T89</f>
        <v>6.3</v>
      </c>
      <c r="B91" s="141">
        <f>'Q.6 Rand()'!U89</f>
        <v>27.1158</v>
      </c>
      <c r="D91" s="23"/>
      <c r="E91" s="24"/>
      <c r="F91" s="22">
        <f t="shared" si="10"/>
        <v>2.6796747967479675</v>
      </c>
      <c r="G91" s="22">
        <f t="shared" si="13"/>
        <v>-7.3148094850948624</v>
      </c>
      <c r="H91" s="18">
        <f t="shared" si="14"/>
        <v>-19.601310620221682</v>
      </c>
      <c r="I91" s="18">
        <f t="shared" si="15"/>
        <v>7.1806570163262613</v>
      </c>
      <c r="J91" s="24"/>
      <c r="K91" s="24"/>
      <c r="L91" s="19">
        <f t="shared" si="16"/>
        <v>23.134159956061474</v>
      </c>
      <c r="O91" s="9">
        <f t="shared" si="11"/>
        <v>3.9816400439385262</v>
      </c>
      <c r="P91" s="10">
        <f t="shared" si="17"/>
        <v>15.85345743949479</v>
      </c>
      <c r="V91" s="10">
        <f t="shared" si="19"/>
        <v>6.5832808255918779E-2</v>
      </c>
      <c r="W91" s="13">
        <f t="shared" si="12"/>
        <v>127.60977196199866</v>
      </c>
      <c r="Z91" s="15">
        <f t="shared" si="18"/>
        <v>53.506437803233766</v>
      </c>
    </row>
    <row r="92" spans="1:28">
      <c r="A92" s="84">
        <f>'Q.6 Rand()'!T90</f>
        <v>6.2</v>
      </c>
      <c r="B92" s="141">
        <f>'Q.6 Rand()'!U90</f>
        <v>28.4</v>
      </c>
      <c r="D92" s="23"/>
      <c r="E92" s="24"/>
      <c r="F92" s="22">
        <f t="shared" si="10"/>
        <v>2.5796747967479678</v>
      </c>
      <c r="G92" s="22">
        <f t="shared" si="13"/>
        <v>-6.0306094850948639</v>
      </c>
      <c r="H92" s="18">
        <f t="shared" si="14"/>
        <v>-15.55701129772846</v>
      </c>
      <c r="I92" s="18">
        <f t="shared" si="15"/>
        <v>6.6547220569766692</v>
      </c>
      <c r="J92" s="24"/>
      <c r="K92" s="24"/>
      <c r="L92" s="19">
        <f t="shared" si="16"/>
        <v>23.555720420888871</v>
      </c>
      <c r="O92" s="9">
        <f t="shared" si="11"/>
        <v>4.8442795791111273</v>
      </c>
      <c r="P92" s="10">
        <f t="shared" si="17"/>
        <v>23.46704464059308</v>
      </c>
      <c r="V92" s="10">
        <f t="shared" si="19"/>
        <v>0.14683837629494709</v>
      </c>
      <c r="W92" s="13">
        <f t="shared" si="12"/>
        <v>118.26321215878706</v>
      </c>
      <c r="Z92" s="15">
        <f t="shared" si="18"/>
        <v>36.368250761716141</v>
      </c>
    </row>
    <row r="93" spans="1:28">
      <c r="A93" s="84">
        <f>'Q.6 Rand()'!T91</f>
        <v>3.3</v>
      </c>
      <c r="B93" s="141">
        <f>'Q.6 Rand()'!U91</f>
        <v>34.998899999999999</v>
      </c>
      <c r="D93" s="23"/>
      <c r="E93" s="24"/>
      <c r="F93" s="22">
        <f t="shared" si="10"/>
        <v>-0.32032520325203251</v>
      </c>
      <c r="G93" s="22">
        <f t="shared" si="13"/>
        <v>0.56829051490513649</v>
      </c>
      <c r="H93" s="18">
        <f t="shared" si="14"/>
        <v>-0.18203777469319005</v>
      </c>
      <c r="I93" s="18">
        <f t="shared" si="15"/>
        <v>0.10260823583845594</v>
      </c>
      <c r="J93" s="24"/>
      <c r="K93" s="24"/>
      <c r="L93" s="19">
        <f t="shared" si="16"/>
        <v>35.780973900883438</v>
      </c>
      <c r="O93" s="9">
        <f t="shared" si="11"/>
        <v>-0.78207390088343942</v>
      </c>
      <c r="P93" s="10">
        <f t="shared" si="17"/>
        <v>0.61163958644303984</v>
      </c>
      <c r="V93" s="10">
        <f t="shared" si="19"/>
        <v>0.170573224616589</v>
      </c>
      <c r="W93" s="13">
        <f t="shared" si="12"/>
        <v>1.8234840554280218</v>
      </c>
      <c r="Z93" s="15">
        <f t="shared" si="18"/>
        <v>0.32295410933114516</v>
      </c>
    </row>
    <row r="94" spans="1:28">
      <c r="A94" s="84">
        <f>'Q.6 Rand()'!T92</f>
        <v>6</v>
      </c>
      <c r="B94" s="141">
        <f>'Q.6 Rand()'!U92</f>
        <v>23.2715</v>
      </c>
      <c r="D94" s="23"/>
      <c r="E94" s="24"/>
      <c r="F94" s="22">
        <f t="shared" si="10"/>
        <v>2.3796747967479677</v>
      </c>
      <c r="G94" s="22">
        <f t="shared" si="13"/>
        <v>-11.159109485094863</v>
      </c>
      <c r="H94" s="18">
        <f t="shared" si="14"/>
        <v>-26.555051595831436</v>
      </c>
      <c r="I94" s="18">
        <f t="shared" si="15"/>
        <v>5.662852138277481</v>
      </c>
      <c r="J94" s="24"/>
      <c r="K94" s="24"/>
      <c r="L94" s="19">
        <f t="shared" si="16"/>
        <v>24.39884135054367</v>
      </c>
      <c r="O94" s="9">
        <f t="shared" si="11"/>
        <v>-1.12734135054367</v>
      </c>
      <c r="P94" s="10">
        <f t="shared" si="17"/>
        <v>1.2708985206456258</v>
      </c>
      <c r="V94" s="10">
        <f t="shared" si="19"/>
        <v>2.2345670889183357E-2</v>
      </c>
      <c r="W94" s="13">
        <f t="shared" si="12"/>
        <v>100.63637190539671</v>
      </c>
      <c r="Z94" s="15">
        <f t="shared" si="18"/>
        <v>124.52572450033414</v>
      </c>
    </row>
    <row r="95" spans="1:28">
      <c r="A95" s="84">
        <f>'Q.6 Rand()'!T93</f>
        <v>2.4</v>
      </c>
      <c r="B95" s="141">
        <f>'Q.6 Rand()'!U93</f>
        <v>31.9</v>
      </c>
      <c r="D95" s="23"/>
      <c r="E95" s="24"/>
      <c r="F95" s="22">
        <f t="shared" si="10"/>
        <v>-1.2203252032520324</v>
      </c>
      <c r="G95" s="22">
        <f t="shared" si="13"/>
        <v>-2.5306094850948639</v>
      </c>
      <c r="H95" s="18">
        <f t="shared" si="14"/>
        <v>3.0881665342499112</v>
      </c>
      <c r="I95" s="18">
        <f t="shared" si="15"/>
        <v>1.4891936016921143</v>
      </c>
      <c r="J95" s="24"/>
      <c r="K95" s="24"/>
      <c r="L95" s="19">
        <f t="shared" si="16"/>
        <v>39.575018084330026</v>
      </c>
      <c r="O95" s="9">
        <f t="shared" si="11"/>
        <v>-7.6750180843300271</v>
      </c>
      <c r="P95" s="10">
        <f t="shared" si="17"/>
        <v>58.905902594792956</v>
      </c>
      <c r="V95" s="10">
        <f t="shared" si="19"/>
        <v>4.8443003267673763E-2</v>
      </c>
      <c r="W95" s="13">
        <f t="shared" si="12"/>
        <v>26.464939835884692</v>
      </c>
      <c r="Z95" s="15">
        <f t="shared" si="18"/>
        <v>6.4039843660520921</v>
      </c>
    </row>
    <row r="96" spans="1:28">
      <c r="A96" s="84">
        <f>'Q.6 Rand()'!T94</f>
        <v>4.5999999999999996</v>
      </c>
      <c r="B96" s="141">
        <f>'Q.6 Rand()'!U94</f>
        <v>29.14</v>
      </c>
      <c r="D96" s="23"/>
      <c r="E96" s="24"/>
      <c r="F96" s="22">
        <f t="shared" si="10"/>
        <v>0.97967479674796731</v>
      </c>
      <c r="G96" s="22">
        <f t="shared" si="13"/>
        <v>-5.290609485094862</v>
      </c>
      <c r="H96" s="18">
        <f t="shared" si="14"/>
        <v>-5.1830767719831767</v>
      </c>
      <c r="I96" s="18">
        <f t="shared" si="15"/>
        <v>0.95976270738317104</v>
      </c>
      <c r="J96" s="24"/>
      <c r="K96" s="24"/>
      <c r="L96" s="19">
        <f t="shared" si="16"/>
        <v>30.300687858127255</v>
      </c>
      <c r="O96" s="9">
        <f t="shared" si="11"/>
        <v>-1.1606878581272539</v>
      </c>
      <c r="P96" s="10">
        <f t="shared" si="17"/>
        <v>1.3471963040040325</v>
      </c>
      <c r="V96" s="10">
        <f t="shared" si="19"/>
        <v>0.24059617819216386</v>
      </c>
      <c r="W96" s="13">
        <f t="shared" si="12"/>
        <v>17.056252644894773</v>
      </c>
      <c r="Z96" s="15">
        <f t="shared" si="18"/>
        <v>27.990548723775721</v>
      </c>
    </row>
    <row r="97" spans="1:26">
      <c r="A97" s="84">
        <f>'Q.6 Rand()'!T95</f>
        <v>4.8</v>
      </c>
      <c r="B97" s="141">
        <f>'Q.6 Rand()'!U95</f>
        <v>26.388000000000002</v>
      </c>
      <c r="D97" s="23"/>
      <c r="E97" s="24"/>
      <c r="F97" s="22">
        <f t="shared" si="10"/>
        <v>1.1796747967479675</v>
      </c>
      <c r="G97" s="22">
        <f t="shared" si="13"/>
        <v>-8.0426094850948608</v>
      </c>
      <c r="H97" s="18">
        <f t="shared" si="14"/>
        <v>-9.4876637096525549</v>
      </c>
      <c r="I97" s="18">
        <f t="shared" si="15"/>
        <v>1.3916326260823584</v>
      </c>
      <c r="J97" s="24"/>
      <c r="K97" s="24"/>
      <c r="L97" s="19">
        <f t="shared" si="16"/>
        <v>29.457566928472456</v>
      </c>
      <c r="O97" s="9">
        <f t="shared" si="11"/>
        <v>-3.0695669284724545</v>
      </c>
      <c r="P97" s="10">
        <f t="shared" si="17"/>
        <v>9.4222411283718177</v>
      </c>
      <c r="V97" s="10">
        <f t="shared" si="19"/>
        <v>3.9831429585698484E-2</v>
      </c>
      <c r="W97" s="13">
        <f t="shared" si="12"/>
        <v>24.731152269977521</v>
      </c>
      <c r="Z97" s="15">
        <f t="shared" si="18"/>
        <v>64.683567329737826</v>
      </c>
    </row>
    <row r="98" spans="1:26">
      <c r="A98" s="84">
        <f>'Q.6 Rand()'!T96</f>
        <v>1.6</v>
      </c>
      <c r="B98" s="141">
        <f>'Q.6 Rand()'!U96</f>
        <v>50.4</v>
      </c>
      <c r="D98" s="23"/>
      <c r="E98" s="24"/>
      <c r="F98" s="22">
        <f t="shared" si="10"/>
        <v>-2.0203252032520322</v>
      </c>
      <c r="G98" s="22">
        <f t="shared" si="13"/>
        <v>15.969390514905136</v>
      </c>
      <c r="H98" s="18">
        <f t="shared" si="14"/>
        <v>-32.263362137836793</v>
      </c>
      <c r="I98" s="18">
        <f t="shared" si="15"/>
        <v>4.0817139268953655</v>
      </c>
      <c r="J98" s="24"/>
      <c r="K98" s="24"/>
      <c r="L98" s="19">
        <f t="shared" si="16"/>
        <v>42.947501802949219</v>
      </c>
      <c r="O98" s="9">
        <f t="shared" si="11"/>
        <v>7.4524981970507795</v>
      </c>
      <c r="P98" s="10">
        <f t="shared" si="17"/>
        <v>55.53972937704512</v>
      </c>
      <c r="V98" s="10">
        <f t="shared" si="19"/>
        <v>0.11632434926756308</v>
      </c>
      <c r="W98" s="13">
        <f t="shared" si="12"/>
        <v>72.537454753926554</v>
      </c>
      <c r="Z98" s="15">
        <f t="shared" si="18"/>
        <v>255.02143341754211</v>
      </c>
    </row>
    <row r="99" spans="1:26">
      <c r="A99" s="84">
        <f>'Q.6 Rand()'!T97</f>
        <v>2</v>
      </c>
      <c r="B99" s="141">
        <f>'Q.6 Rand()'!U97</f>
        <v>41.566099999999999</v>
      </c>
      <c r="D99" s="23"/>
      <c r="E99" s="24"/>
      <c r="F99" s="22">
        <f t="shared" si="10"/>
        <v>-1.6203252032520323</v>
      </c>
      <c r="G99" s="22">
        <f t="shared" si="13"/>
        <v>7.1354905149051362</v>
      </c>
      <c r="H99" s="18">
        <f t="shared" si="14"/>
        <v>-11.561815118866614</v>
      </c>
      <c r="I99" s="18">
        <f t="shared" si="15"/>
        <v>2.6254537642937397</v>
      </c>
      <c r="J99" s="24"/>
      <c r="K99" s="24"/>
      <c r="L99" s="19">
        <f t="shared" si="16"/>
        <v>41.261259943639622</v>
      </c>
      <c r="O99" s="9">
        <f t="shared" si="11"/>
        <v>0.30484005636037637</v>
      </c>
      <c r="P99" s="10">
        <f t="shared" si="17"/>
        <v>9.2927459961797437E-2</v>
      </c>
      <c r="V99" s="10">
        <f t="shared" si="19"/>
        <v>0.1478670277192615</v>
      </c>
      <c r="W99" s="13">
        <f t="shared" si="12"/>
        <v>46.657785686817739</v>
      </c>
      <c r="Z99" s="15">
        <f t="shared" si="18"/>
        <v>50.915224888301168</v>
      </c>
    </row>
    <row r="100" spans="1:26">
      <c r="A100" s="84">
        <f>'Q.6 Rand()'!T98</f>
        <v>3.8</v>
      </c>
      <c r="B100" s="141">
        <f>'Q.6 Rand()'!U98</f>
        <v>28.2</v>
      </c>
      <c r="D100" s="23"/>
      <c r="E100" s="24"/>
      <c r="F100" s="22">
        <f t="shared" si="10"/>
        <v>0.17967479674796749</v>
      </c>
      <c r="G100" s="22">
        <f t="shared" si="13"/>
        <v>-6.2306094850948632</v>
      </c>
      <c r="H100" s="18">
        <f t="shared" si="14"/>
        <v>-1.1194834928503778</v>
      </c>
      <c r="I100" s="18">
        <f t="shared" si="15"/>
        <v>3.2283032586423427E-2</v>
      </c>
      <c r="J100" s="24"/>
      <c r="K100" s="24"/>
      <c r="L100" s="19">
        <f t="shared" si="16"/>
        <v>33.673171576746441</v>
      </c>
      <c r="O100" s="9">
        <f t="shared" si="11"/>
        <v>-5.4731715767464415</v>
      </c>
      <c r="P100" s="10">
        <f t="shared" si="17"/>
        <v>29.955607108505127</v>
      </c>
      <c r="V100" s="10">
        <f t="shared" si="19"/>
        <v>7.3338623628480025E-3</v>
      </c>
      <c r="W100" s="13">
        <f t="shared" si="12"/>
        <v>0.57371218500323207</v>
      </c>
      <c r="Z100" s="15">
        <f t="shared" si="18"/>
        <v>38.820494555754074</v>
      </c>
    </row>
    <row r="101" spans="1:26">
      <c r="A101" s="84">
        <f>'Q.6 Rand()'!T99</f>
        <v>3.5</v>
      </c>
      <c r="B101" s="141">
        <f>'Q.6 Rand()'!U99</f>
        <v>31.4</v>
      </c>
      <c r="D101" s="23"/>
      <c r="E101" s="24"/>
      <c r="F101" s="22">
        <f t="shared" si="10"/>
        <v>-0.12032520325203233</v>
      </c>
      <c r="G101" s="22">
        <f t="shared" si="13"/>
        <v>-3.0306094850948639</v>
      </c>
      <c r="H101" s="18">
        <f t="shared" si="14"/>
        <v>0.36465870227157654</v>
      </c>
      <c r="I101" s="18">
        <f t="shared" si="15"/>
        <v>1.4478154537642892E-2</v>
      </c>
      <c r="J101" s="24"/>
      <c r="K101" s="24"/>
      <c r="L101" s="19">
        <f t="shared" si="16"/>
        <v>34.937852971228637</v>
      </c>
      <c r="O101" s="9">
        <f t="shared" si="11"/>
        <v>-3.537852971228638</v>
      </c>
      <c r="P101" s="10">
        <f t="shared" si="17"/>
        <v>12.516403646031302</v>
      </c>
      <c r="V101" s="10">
        <f t="shared" si="19"/>
        <v>0.19408409846618588</v>
      </c>
      <c r="W101" s="13">
        <f t="shared" si="12"/>
        <v>0.25729595422514417</v>
      </c>
      <c r="Z101" s="15">
        <f t="shared" si="18"/>
        <v>9.1845938511469569</v>
      </c>
    </row>
    <row r="102" spans="1:26">
      <c r="A102" s="84">
        <f>'Q.6 Rand()'!T100</f>
        <v>4</v>
      </c>
      <c r="B102" s="141">
        <f>'Q.6 Rand()'!U100</f>
        <v>26.813700000000001</v>
      </c>
      <c r="D102" s="23"/>
      <c r="E102" s="24"/>
      <c r="F102" s="22">
        <f t="shared" si="10"/>
        <v>0.37967479674796767</v>
      </c>
      <c r="G102" s="22">
        <f t="shared" si="13"/>
        <v>-7.6169094850948618</v>
      </c>
      <c r="H102" s="18">
        <f t="shared" si="14"/>
        <v>-2.8919485606010586</v>
      </c>
      <c r="I102" s="18">
        <f t="shared" si="15"/>
        <v>0.14415295128561056</v>
      </c>
      <c r="J102" s="24"/>
      <c r="K102" s="24"/>
      <c r="L102" s="19">
        <f t="shared" si="16"/>
        <v>32.830050647091646</v>
      </c>
      <c r="O102" s="9">
        <f t="shared" si="11"/>
        <v>-6.0163506470916452</v>
      </c>
      <c r="P102" s="10">
        <f t="shared" si="17"/>
        <v>36.196475108760062</v>
      </c>
      <c r="V102" s="10">
        <f t="shared" si="19"/>
        <v>0.11267047679072095</v>
      </c>
      <c r="W102" s="13">
        <f t="shared" si="12"/>
        <v>2.5617885939102067</v>
      </c>
      <c r="Z102" s="15">
        <f t="shared" si="18"/>
        <v>58.017310104128072</v>
      </c>
    </row>
    <row r="103" spans="1:26">
      <c r="A103" s="84">
        <f>'Q.6 Rand()'!T101</f>
        <v>5.3</v>
      </c>
      <c r="B103" s="141">
        <f>'Q.6 Rand()'!U101</f>
        <v>22.299900000000001</v>
      </c>
      <c r="D103" s="23"/>
      <c r="E103" s="24"/>
      <c r="F103" s="22">
        <f t="shared" si="10"/>
        <v>1.6796747967479675</v>
      </c>
      <c r="G103" s="22">
        <f t="shared" si="13"/>
        <v>-12.130709485094862</v>
      </c>
      <c r="H103" s="18">
        <f t="shared" si="14"/>
        <v>-20.375646988785352</v>
      </c>
      <c r="I103" s="18">
        <f t="shared" si="15"/>
        <v>2.8213074228303259</v>
      </c>
      <c r="J103" s="24"/>
      <c r="K103" s="24"/>
      <c r="L103" s="19">
        <f t="shared" si="16"/>
        <v>27.349764604335462</v>
      </c>
      <c r="O103" s="9">
        <f t="shared" si="11"/>
        <v>-5.0498646043354611</v>
      </c>
      <c r="P103" s="10">
        <f t="shared" si="17"/>
        <v>25.501132522120145</v>
      </c>
      <c r="V103" s="10">
        <f t="shared" si="19"/>
        <v>0.22437599611734468</v>
      </c>
      <c r="W103" s="13">
        <f t="shared" si="12"/>
        <v>50.138364225376606</v>
      </c>
      <c r="Z103" s="15">
        <f t="shared" si="18"/>
        <v>147.15411261177044</v>
      </c>
    </row>
    <row r="104" spans="1:26">
      <c r="A104" s="84">
        <f>'Q.6 Rand()'!T102</f>
        <v>2.9</v>
      </c>
      <c r="B104" s="141">
        <f>'Q.6 Rand()'!U102</f>
        <v>41.360799999999998</v>
      </c>
      <c r="D104" s="23"/>
      <c r="E104" s="24"/>
      <c r="F104" s="22">
        <f t="shared" si="10"/>
        <v>-0.72032520325203242</v>
      </c>
      <c r="G104" s="22">
        <f t="shared" si="13"/>
        <v>6.930190514905135</v>
      </c>
      <c r="H104" s="18">
        <f t="shared" si="14"/>
        <v>-4.9919908912243489</v>
      </c>
      <c r="I104" s="18">
        <f t="shared" si="15"/>
        <v>0.51886839844008181</v>
      </c>
      <c r="J104" s="24"/>
      <c r="K104" s="24"/>
      <c r="L104" s="19">
        <f t="shared" si="16"/>
        <v>37.467215760193035</v>
      </c>
      <c r="O104" s="9">
        <f t="shared" si="11"/>
        <v>3.8935842398069624</v>
      </c>
      <c r="P104" s="10">
        <f t="shared" si="17"/>
        <v>15.159998232473162</v>
      </c>
      <c r="V104" s="10">
        <f t="shared" si="19"/>
        <v>0.22645234303003425</v>
      </c>
      <c r="W104" s="13">
        <f t="shared" si="12"/>
        <v>9.220977669965599</v>
      </c>
      <c r="Z104" s="15">
        <f t="shared" si="18"/>
        <v>48.027540572881101</v>
      </c>
    </row>
    <row r="105" spans="1:26">
      <c r="A105" s="84">
        <f>'Q.6 Rand()'!T103</f>
        <v>6.2</v>
      </c>
      <c r="B105" s="141">
        <f>'Q.6 Rand()'!U103</f>
        <v>25.802600000000002</v>
      </c>
      <c r="D105" s="23"/>
      <c r="E105" s="24"/>
      <c r="F105" s="22">
        <f t="shared" si="10"/>
        <v>2.5796747967479678</v>
      </c>
      <c r="G105" s="22">
        <f t="shared" si="13"/>
        <v>-8.6280094850948608</v>
      </c>
      <c r="H105" s="18">
        <f t="shared" si="14"/>
        <v>-22.257458614801624</v>
      </c>
      <c r="I105" s="18">
        <f t="shared" si="15"/>
        <v>6.6547220569766692</v>
      </c>
      <c r="J105" s="24"/>
      <c r="K105" s="24"/>
      <c r="L105" s="19">
        <f t="shared" si="16"/>
        <v>23.555720420888871</v>
      </c>
      <c r="O105" s="9">
        <f t="shared" si="11"/>
        <v>2.2468795791111305</v>
      </c>
      <c r="P105" s="10">
        <f t="shared" si="17"/>
        <v>5.0484678430266108</v>
      </c>
      <c r="V105" s="10">
        <f t="shared" si="19"/>
        <v>9.4137063108232014E-2</v>
      </c>
      <c r="W105" s="13">
        <f t="shared" si="12"/>
        <v>118.26321215878706</v>
      </c>
      <c r="Z105" s="15">
        <f t="shared" si="18"/>
        <v>74.442547674886882</v>
      </c>
    </row>
    <row r="106" spans="1:26">
      <c r="A106" s="84">
        <f>'Q.6 Rand()'!T104</f>
        <v>2.4</v>
      </c>
      <c r="B106" s="141">
        <f>'Q.6 Rand()'!U104</f>
        <v>36.159599999999998</v>
      </c>
      <c r="D106" s="23"/>
      <c r="E106" s="24"/>
      <c r="F106" s="22">
        <f t="shared" si="10"/>
        <v>-1.2203252032520324</v>
      </c>
      <c r="G106" s="22">
        <f t="shared" si="13"/>
        <v>1.728990514905135</v>
      </c>
      <c r="H106" s="18">
        <f t="shared" si="14"/>
        <v>-2.1099307015224449</v>
      </c>
      <c r="I106" s="18">
        <f t="shared" si="15"/>
        <v>1.4891936016921143</v>
      </c>
      <c r="J106" s="24"/>
      <c r="K106" s="24"/>
      <c r="L106" s="19">
        <f t="shared" si="16"/>
        <v>39.575018084330026</v>
      </c>
      <c r="O106" s="9">
        <f t="shared" si="11"/>
        <v>-3.4154180843300281</v>
      </c>
      <c r="P106" s="10">
        <f t="shared" si="17"/>
        <v>11.665080690768599</v>
      </c>
      <c r="V106" s="10">
        <f t="shared" si="19"/>
        <v>8.7079580317918751E-2</v>
      </c>
      <c r="W106" s="13">
        <f t="shared" si="12"/>
        <v>26.464939835884692</v>
      </c>
      <c r="Z106" s="15">
        <f t="shared" si="18"/>
        <v>2.989408200631924</v>
      </c>
    </row>
    <row r="107" spans="1:26">
      <c r="A107" s="84">
        <f>'Q.6 Rand()'!T105</f>
        <v>5.5</v>
      </c>
      <c r="B107" s="141">
        <f>'Q.6 Rand()'!U105</f>
        <v>24.6</v>
      </c>
      <c r="D107" s="23"/>
      <c r="E107" s="24"/>
      <c r="F107" s="22">
        <f t="shared" si="10"/>
        <v>1.8796747967479677</v>
      </c>
      <c r="G107" s="22">
        <f t="shared" si="13"/>
        <v>-9.8306094850948611</v>
      </c>
      <c r="H107" s="18">
        <f t="shared" si="14"/>
        <v>-18.478348885804326</v>
      </c>
      <c r="I107" s="18">
        <f t="shared" si="15"/>
        <v>3.5331773415295133</v>
      </c>
      <c r="J107" s="24"/>
      <c r="K107" s="24"/>
      <c r="L107" s="19">
        <f t="shared" si="16"/>
        <v>26.506643674680664</v>
      </c>
      <c r="O107" s="9">
        <f t="shared" si="11"/>
        <v>-1.9066436746806623</v>
      </c>
      <c r="P107" s="10">
        <f t="shared" si="17"/>
        <v>3.6352901021997792</v>
      </c>
      <c r="V107" s="10">
        <f t="shared" si="19"/>
        <v>9.4453978592960883E-2</v>
      </c>
      <c r="W107" s="13">
        <f t="shared" si="12"/>
        <v>62.789234164613148</v>
      </c>
      <c r="Z107" s="15">
        <f t="shared" si="18"/>
        <v>96.640882848437045</v>
      </c>
    </row>
    <row r="108" spans="1:26">
      <c r="A108" s="84">
        <f>'Q.6 Rand()'!T106</f>
        <v>6.6</v>
      </c>
      <c r="B108" s="141">
        <f>'Q.6 Rand()'!U106</f>
        <v>27.3</v>
      </c>
      <c r="D108" s="23"/>
      <c r="E108" s="24"/>
      <c r="F108" s="22">
        <f t="shared" si="10"/>
        <v>2.9796747967479673</v>
      </c>
      <c r="G108" s="22">
        <f t="shared" si="13"/>
        <v>-7.1306094850948618</v>
      </c>
      <c r="H108" s="18">
        <f t="shared" si="14"/>
        <v>-21.24689736818916</v>
      </c>
      <c r="I108" s="18">
        <f t="shared" si="15"/>
        <v>8.8784618943750395</v>
      </c>
      <c r="J108" s="24"/>
      <c r="K108" s="24"/>
      <c r="L108" s="19">
        <f t="shared" si="16"/>
        <v>21.869478561579278</v>
      </c>
      <c r="O108" s="9">
        <f t="shared" si="11"/>
        <v>5.4305214384207225</v>
      </c>
      <c r="P108" s="10">
        <f t="shared" si="17"/>
        <v>29.490563093147074</v>
      </c>
      <c r="V108" s="10">
        <f t="shared" si="19"/>
        <v>7.7505840434173259E-2</v>
      </c>
      <c r="W108" s="13">
        <f t="shared" si="12"/>
        <v>157.78201007769948</v>
      </c>
      <c r="Z108" s="15">
        <f t="shared" si="18"/>
        <v>50.845591628924808</v>
      </c>
    </row>
    <row r="109" spans="1:26">
      <c r="A109" s="84">
        <f>'Q.6 Rand()'!T107</f>
        <v>2.4</v>
      </c>
      <c r="B109" s="141">
        <f>'Q.6 Rand()'!U107</f>
        <v>44.4</v>
      </c>
      <c r="D109" s="23"/>
      <c r="E109" s="24"/>
      <c r="F109" s="22">
        <f t="shared" si="10"/>
        <v>-1.2203252032520324</v>
      </c>
      <c r="G109" s="22">
        <f t="shared" si="13"/>
        <v>9.9693905149051361</v>
      </c>
      <c r="H109" s="18">
        <f t="shared" si="14"/>
        <v>-12.165898506400493</v>
      </c>
      <c r="I109" s="18">
        <f t="shared" si="15"/>
        <v>1.4891936016921143</v>
      </c>
      <c r="J109" s="24"/>
      <c r="K109" s="24"/>
      <c r="L109" s="19">
        <f t="shared" si="16"/>
        <v>39.575018084330026</v>
      </c>
      <c r="O109" s="9">
        <f t="shared" si="11"/>
        <v>4.8249819156699729</v>
      </c>
      <c r="P109" s="10">
        <f t="shared" si="17"/>
        <v>23.280450486542282</v>
      </c>
      <c r="V109" s="10">
        <f t="shared" si="19"/>
        <v>0.19892019920955026</v>
      </c>
      <c r="W109" s="13">
        <f t="shared" si="12"/>
        <v>26.464939835884692</v>
      </c>
      <c r="Z109" s="15">
        <f t="shared" si="18"/>
        <v>99.388747238680494</v>
      </c>
    </row>
    <row r="110" spans="1:26">
      <c r="A110" s="84">
        <f>'Q.6 Rand()'!T108</f>
        <v>4.5999999999999996</v>
      </c>
      <c r="B110" s="141">
        <f>'Q.6 Rand()'!U108</f>
        <v>22.7</v>
      </c>
      <c r="D110" s="23"/>
      <c r="E110" s="24"/>
      <c r="F110" s="22">
        <f t="shared" si="10"/>
        <v>0.97967479674796731</v>
      </c>
      <c r="G110" s="22">
        <f t="shared" si="13"/>
        <v>-11.730609485094863</v>
      </c>
      <c r="H110" s="18">
        <f t="shared" si="14"/>
        <v>-11.492182463040088</v>
      </c>
      <c r="I110" s="18">
        <f t="shared" si="15"/>
        <v>0.95976270738317104</v>
      </c>
      <c r="J110" s="24"/>
      <c r="K110" s="24"/>
      <c r="L110" s="19">
        <f t="shared" si="16"/>
        <v>30.300687858127255</v>
      </c>
      <c r="O110" s="9">
        <f t="shared" si="11"/>
        <v>-7.6006878581272552</v>
      </c>
      <c r="P110" s="10">
        <f t="shared" si="17"/>
        <v>57.770455916683083</v>
      </c>
      <c r="V110" s="10">
        <f t="shared" si="19"/>
        <v>0.10867076386644084</v>
      </c>
      <c r="W110" s="13">
        <f t="shared" si="12"/>
        <v>17.056252644894773</v>
      </c>
      <c r="Z110" s="15">
        <f t="shared" si="18"/>
        <v>137.60719889179757</v>
      </c>
    </row>
    <row r="111" spans="1:26">
      <c r="A111" s="84">
        <f>'Q.6 Rand()'!T109</f>
        <v>6.2</v>
      </c>
      <c r="B111" s="141">
        <f>'Q.6 Rand()'!U109</f>
        <v>35.799999999999997</v>
      </c>
      <c r="D111" s="23"/>
      <c r="E111" s="24"/>
      <c r="F111" s="22">
        <f t="shared" si="10"/>
        <v>2.5796747967479678</v>
      </c>
      <c r="G111" s="22">
        <f t="shared" si="13"/>
        <v>1.3693905149051346</v>
      </c>
      <c r="H111" s="18">
        <f t="shared" si="14"/>
        <v>3.5325821982064984</v>
      </c>
      <c r="I111" s="18">
        <f t="shared" si="15"/>
        <v>6.6547220569766692</v>
      </c>
      <c r="J111" s="24"/>
      <c r="K111" s="24"/>
      <c r="L111" s="19">
        <f t="shared" si="16"/>
        <v>23.555720420888871</v>
      </c>
      <c r="O111" s="9">
        <f t="shared" si="11"/>
        <v>12.244279579111126</v>
      </c>
      <c r="P111" s="10">
        <f t="shared" si="17"/>
        <v>149.92238241143772</v>
      </c>
      <c r="V111" s="10">
        <f t="shared" si="19"/>
        <v>0.33483206423468087</v>
      </c>
      <c r="W111" s="13">
        <f t="shared" si="12"/>
        <v>118.26321215878706</v>
      </c>
      <c r="Z111" s="15">
        <f t="shared" si="18"/>
        <v>1.8752303823121497</v>
      </c>
    </row>
    <row r="112" spans="1:26">
      <c r="A112" s="84">
        <f>'Q.6 Rand()'!T110</f>
        <v>3.7</v>
      </c>
      <c r="B112" s="141">
        <f>'Q.6 Rand()'!U110</f>
        <v>36.9</v>
      </c>
      <c r="D112" s="23"/>
      <c r="E112" s="24"/>
      <c r="F112" s="22">
        <f t="shared" si="10"/>
        <v>7.9674796747967846E-2</v>
      </c>
      <c r="G112" s="22">
        <f t="shared" si="13"/>
        <v>2.4693905149051361</v>
      </c>
      <c r="H112" s="18">
        <f t="shared" si="14"/>
        <v>0.19674818736642638</v>
      </c>
      <c r="I112" s="18">
        <f t="shared" si="15"/>
        <v>6.348073236829988E-3</v>
      </c>
      <c r="J112" s="24"/>
      <c r="K112" s="24"/>
      <c r="L112" s="19">
        <f t="shared" si="16"/>
        <v>34.094732041573842</v>
      </c>
      <c r="O112" s="9">
        <f t="shared" si="11"/>
        <v>2.8052679584261568</v>
      </c>
      <c r="P112" s="10">
        <f t="shared" si="17"/>
        <v>7.869528318572458</v>
      </c>
      <c r="V112" s="10">
        <f t="shared" si="19"/>
        <v>0.34201898265673536</v>
      </c>
      <c r="W112" s="13">
        <f t="shared" si="12"/>
        <v>0.1128136570662165</v>
      </c>
      <c r="Z112" s="15">
        <f t="shared" si="18"/>
        <v>6.0978895151034527</v>
      </c>
    </row>
    <row r="113" spans="1:26">
      <c r="A113" s="84">
        <f>'Q.6 Rand()'!T111</f>
        <v>3.5</v>
      </c>
      <c r="B113" s="141">
        <f>'Q.6 Rand()'!U111</f>
        <v>33.700000000000003</v>
      </c>
      <c r="D113" s="23"/>
      <c r="E113" s="24"/>
      <c r="F113" s="22">
        <f t="shared" si="10"/>
        <v>-0.12032520325203233</v>
      </c>
      <c r="G113" s="22">
        <f t="shared" si="13"/>
        <v>-0.73060948509485968</v>
      </c>
      <c r="H113" s="18">
        <f t="shared" si="14"/>
        <v>8.7910734791901674E-2</v>
      </c>
      <c r="I113" s="18">
        <f t="shared" si="15"/>
        <v>1.4478154537642892E-2</v>
      </c>
      <c r="J113" s="24"/>
      <c r="K113" s="24"/>
      <c r="L113" s="19">
        <f t="shared" si="16"/>
        <v>34.937852971228637</v>
      </c>
      <c r="O113" s="9">
        <f t="shared" si="11"/>
        <v>-1.2378529712286337</v>
      </c>
      <c r="P113" s="10">
        <f t="shared" si="17"/>
        <v>1.5322799783795567</v>
      </c>
      <c r="V113" s="10">
        <f t="shared" si="19"/>
        <v>7.602352190856794E-2</v>
      </c>
      <c r="W113" s="13">
        <f t="shared" si="12"/>
        <v>0.25729595422514417</v>
      </c>
      <c r="Z113" s="15">
        <f t="shared" si="18"/>
        <v>0.53379021971057594</v>
      </c>
    </row>
    <row r="114" spans="1:26">
      <c r="A114" s="84">
        <f>'Q.6 Rand()'!T112</f>
        <v>1.6</v>
      </c>
      <c r="B114" s="141">
        <f>'Q.6 Rand()'!U112</f>
        <v>43.5</v>
      </c>
      <c r="D114" s="23"/>
      <c r="E114" s="24"/>
      <c r="F114" s="22">
        <f t="shared" si="10"/>
        <v>-2.0203252032520322</v>
      </c>
      <c r="G114" s="22">
        <f t="shared" si="13"/>
        <v>9.0693905149051375</v>
      </c>
      <c r="H114" s="18">
        <f t="shared" si="14"/>
        <v>-18.323118235397775</v>
      </c>
      <c r="I114" s="18">
        <f t="shared" si="15"/>
        <v>4.0817139268953655</v>
      </c>
      <c r="J114" s="24"/>
      <c r="K114" s="24"/>
      <c r="L114" s="19">
        <f t="shared" si="16"/>
        <v>42.947501802949219</v>
      </c>
      <c r="O114" s="9">
        <f t="shared" si="11"/>
        <v>0.55249819705078096</v>
      </c>
      <c r="P114" s="10">
        <f t="shared" si="17"/>
        <v>0.3052542577443636</v>
      </c>
      <c r="V114" s="10">
        <f t="shared" si="19"/>
        <v>3.6731542172956488E-2</v>
      </c>
      <c r="W114" s="13">
        <f t="shared" si="12"/>
        <v>72.537454753926554</v>
      </c>
      <c r="Z114" s="15">
        <f t="shared" si="18"/>
        <v>82.253844311851282</v>
      </c>
    </row>
    <row r="115" spans="1:26">
      <c r="A115" s="84">
        <f>'Q.6 Rand()'!T113</f>
        <v>3.5</v>
      </c>
      <c r="B115" s="141">
        <f>'Q.6 Rand()'!U113</f>
        <v>31.4</v>
      </c>
      <c r="D115" s="23"/>
      <c r="E115" s="24"/>
      <c r="F115" s="22">
        <f t="shared" si="10"/>
        <v>-0.12032520325203233</v>
      </c>
      <c r="G115" s="22">
        <f t="shared" si="13"/>
        <v>-3.0306094850948639</v>
      </c>
      <c r="H115" s="18">
        <f t="shared" si="14"/>
        <v>0.36465870227157654</v>
      </c>
      <c r="I115" s="18">
        <f t="shared" si="15"/>
        <v>1.4478154537642892E-2</v>
      </c>
      <c r="J115" s="24"/>
      <c r="K115" s="24"/>
      <c r="L115" s="19">
        <f t="shared" si="16"/>
        <v>34.937852971228637</v>
      </c>
      <c r="O115" s="9">
        <f t="shared" si="11"/>
        <v>-3.537852971228638</v>
      </c>
      <c r="P115" s="10">
        <f t="shared" si="17"/>
        <v>12.516403646031302</v>
      </c>
      <c r="V115" s="10">
        <f t="shared" si="19"/>
        <v>1.2701107978178873E-2</v>
      </c>
      <c r="W115" s="13">
        <f t="shared" si="12"/>
        <v>0.25729595422514417</v>
      </c>
      <c r="Z115" s="15">
        <f t="shared" si="18"/>
        <v>9.1845938511469569</v>
      </c>
    </row>
    <row r="116" spans="1:26">
      <c r="A116" s="84">
        <f>'Q.6 Rand()'!T114</f>
        <v>5.3</v>
      </c>
      <c r="B116" s="141">
        <f>'Q.6 Rand()'!U114</f>
        <v>29</v>
      </c>
      <c r="D116" s="23"/>
      <c r="E116" s="24"/>
      <c r="F116" s="22">
        <f t="shared" si="10"/>
        <v>1.6796747967479675</v>
      </c>
      <c r="G116" s="22">
        <f t="shared" si="13"/>
        <v>-5.4306094850948625</v>
      </c>
      <c r="H116" s="18">
        <f t="shared" si="14"/>
        <v>-9.1216578830942971</v>
      </c>
      <c r="I116" s="18">
        <f t="shared" si="15"/>
        <v>2.8213074228303259</v>
      </c>
      <c r="J116" s="24"/>
      <c r="K116" s="24"/>
      <c r="L116" s="19">
        <f t="shared" si="16"/>
        <v>27.349764604335462</v>
      </c>
      <c r="O116" s="9">
        <f t="shared" si="11"/>
        <v>1.6502353956645379</v>
      </c>
      <c r="P116" s="10">
        <f t="shared" si="17"/>
        <v>2.7232768611040941</v>
      </c>
      <c r="V116" s="10">
        <f t="shared" si="19"/>
        <v>0.11267047679072095</v>
      </c>
      <c r="W116" s="13">
        <f t="shared" si="12"/>
        <v>50.138364225376606</v>
      </c>
      <c r="Z116" s="15">
        <f t="shared" si="18"/>
        <v>29.491519379602288</v>
      </c>
    </row>
    <row r="117" spans="1:26">
      <c r="A117" s="84">
        <f>'Q.6 Rand()'!T115</f>
        <v>6.1</v>
      </c>
      <c r="B117" s="141">
        <f>'Q.6 Rand()'!U115</f>
        <v>20.9</v>
      </c>
      <c r="D117" s="23"/>
      <c r="E117" s="24"/>
      <c r="F117" s="22">
        <f t="shared" si="10"/>
        <v>2.4796747967479673</v>
      </c>
      <c r="G117" s="22">
        <f t="shared" si="13"/>
        <v>-13.530609485094864</v>
      </c>
      <c r="H117" s="18">
        <f t="shared" si="14"/>
        <v>-33.551511324828724</v>
      </c>
      <c r="I117" s="18">
        <f t="shared" si="15"/>
        <v>6.1487870976270731</v>
      </c>
      <c r="J117" s="24"/>
      <c r="K117" s="24"/>
      <c r="L117" s="19">
        <f t="shared" si="16"/>
        <v>23.977280885716272</v>
      </c>
      <c r="O117" s="9">
        <f t="shared" si="11"/>
        <v>-3.0772808857162737</v>
      </c>
      <c r="P117" s="10">
        <f t="shared" si="17"/>
        <v>9.4696576495947333</v>
      </c>
      <c r="V117" s="10">
        <f t="shared" si="19"/>
        <v>5.690466881601855E-2</v>
      </c>
      <c r="W117" s="13">
        <f t="shared" si="12"/>
        <v>109.27207880658636</v>
      </c>
      <c r="Z117" s="15">
        <f t="shared" si="18"/>
        <v>183.07739303813909</v>
      </c>
    </row>
    <row r="118" spans="1:26">
      <c r="A118" s="84">
        <f>'Q.6 Rand()'!T116</f>
        <v>2.5</v>
      </c>
      <c r="B118" s="141">
        <f>'Q.6 Rand()'!U116</f>
        <v>42.699800000000003</v>
      </c>
      <c r="D118" s="23"/>
      <c r="E118" s="24"/>
      <c r="F118" s="22">
        <f t="shared" si="10"/>
        <v>-1.1203252032520323</v>
      </c>
      <c r="G118" s="22">
        <f t="shared" si="13"/>
        <v>8.2691905149051408</v>
      </c>
      <c r="H118" s="18">
        <f t="shared" si="14"/>
        <v>-9.2641825443408798</v>
      </c>
      <c r="I118" s="18">
        <f t="shared" si="15"/>
        <v>1.2551285610417076</v>
      </c>
      <c r="J118" s="24"/>
      <c r="K118" s="24"/>
      <c r="L118" s="19">
        <f t="shared" si="16"/>
        <v>39.153457619502632</v>
      </c>
      <c r="O118" s="9">
        <f t="shared" si="11"/>
        <v>3.5463423804973715</v>
      </c>
      <c r="P118" s="10">
        <f t="shared" si="17"/>
        <v>12.576544279711763</v>
      </c>
      <c r="V118" s="10">
        <f t="shared" si="19"/>
        <v>0.1472383198907308</v>
      </c>
      <c r="W118" s="13">
        <f t="shared" si="12"/>
        <v>22.305294500678947</v>
      </c>
      <c r="Z118" s="15">
        <f t="shared" si="18"/>
        <v>68.379511771797141</v>
      </c>
    </row>
    <row r="119" spans="1:26">
      <c r="A119" s="84">
        <f>'Q.6 Rand()'!T117</f>
        <v>1.5</v>
      </c>
      <c r="B119" s="141">
        <f>'Q.6 Rand()'!U117</f>
        <v>49.3</v>
      </c>
      <c r="D119" s="23"/>
      <c r="E119" s="24"/>
      <c r="F119" s="22">
        <f t="shared" si="10"/>
        <v>-2.1203252032520323</v>
      </c>
      <c r="G119" s="22">
        <f t="shared" si="13"/>
        <v>14.869390514905135</v>
      </c>
      <c r="H119" s="18">
        <f t="shared" si="14"/>
        <v>-31.52794346575007</v>
      </c>
      <c r="I119" s="18">
        <f t="shared" si="15"/>
        <v>4.495778967545772</v>
      </c>
      <c r="J119" s="24"/>
      <c r="K119" s="24"/>
      <c r="L119" s="19">
        <f t="shared" si="16"/>
        <v>43.369062267776613</v>
      </c>
      <c r="O119" s="9">
        <f t="shared" si="11"/>
        <v>5.9309377322233843</v>
      </c>
      <c r="P119" s="10">
        <f t="shared" si="17"/>
        <v>35.176022383511061</v>
      </c>
      <c r="V119" s="10">
        <f t="shared" si="19"/>
        <v>8.305290377232144E-2</v>
      </c>
      <c r="W119" s="13">
        <f t="shared" si="12"/>
        <v>79.895938148231124</v>
      </c>
      <c r="Z119" s="15">
        <f t="shared" si="18"/>
        <v>221.09877428475079</v>
      </c>
    </row>
    <row r="120" spans="1:26">
      <c r="A120" s="84">
        <f>'Q.6 Rand()'!T118</f>
        <v>3.6</v>
      </c>
      <c r="B120" s="141">
        <f>'Q.6 Rand()'!U118</f>
        <v>35.242699999999999</v>
      </c>
      <c r="D120" s="23"/>
      <c r="E120" s="24"/>
      <c r="F120" s="22">
        <f t="shared" si="10"/>
        <v>-2.0325203252032242E-2</v>
      </c>
      <c r="G120" s="22">
        <f t="shared" si="13"/>
        <v>0.81209051490513673</v>
      </c>
      <c r="H120" s="18">
        <f t="shared" si="14"/>
        <v>-1.6505904774494422E-2</v>
      </c>
      <c r="I120" s="18">
        <f t="shared" si="15"/>
        <v>4.1311388723642203E-4</v>
      </c>
      <c r="J120" s="24"/>
      <c r="K120" s="24"/>
      <c r="L120" s="19">
        <f t="shared" si="16"/>
        <v>34.516292506401243</v>
      </c>
      <c r="O120" s="9">
        <f t="shared" si="11"/>
        <v>0.72640749359875656</v>
      </c>
      <c r="P120" s="10">
        <f t="shared" si="17"/>
        <v>0.52766784675642753</v>
      </c>
      <c r="V120" s="10">
        <f t="shared" si="19"/>
        <v>0.12030299659682321</v>
      </c>
      <c r="W120" s="13">
        <f t="shared" si="12"/>
        <v>7.3415801401895981E-3</v>
      </c>
      <c r="Z120" s="15">
        <f t="shared" si="18"/>
        <v>0.65949100439889008</v>
      </c>
    </row>
    <row r="121" spans="1:26">
      <c r="A121" s="84">
        <f>'Q.6 Rand()'!T119</f>
        <v>2</v>
      </c>
      <c r="B121" s="141">
        <f>'Q.6 Rand()'!U119</f>
        <v>58.534999999999997</v>
      </c>
      <c r="D121" s="23"/>
      <c r="E121" s="24"/>
      <c r="F121" s="22">
        <f t="shared" si="10"/>
        <v>-1.6203252032520323</v>
      </c>
      <c r="G121" s="22">
        <f t="shared" si="13"/>
        <v>24.104390514905134</v>
      </c>
      <c r="H121" s="18">
        <f t="shared" si="14"/>
        <v>-39.056951460330019</v>
      </c>
      <c r="I121" s="18">
        <f t="shared" si="15"/>
        <v>2.6254537642937397</v>
      </c>
      <c r="J121" s="24"/>
      <c r="K121" s="24"/>
      <c r="L121" s="19">
        <f t="shared" si="16"/>
        <v>41.261259943639622</v>
      </c>
      <c r="O121" s="9">
        <f t="shared" si="11"/>
        <v>17.273740056360374</v>
      </c>
      <c r="P121" s="10">
        <f t="shared" si="17"/>
        <v>298.38209553470892</v>
      </c>
      <c r="V121" s="10">
        <f t="shared" si="19"/>
        <v>2.0611573278970015E-2</v>
      </c>
      <c r="W121" s="13">
        <f t="shared" si="12"/>
        <v>46.657785686817739</v>
      </c>
      <c r="Z121" s="15">
        <f t="shared" si="18"/>
        <v>581.02164209504861</v>
      </c>
    </row>
    <row r="122" spans="1:26">
      <c r="A122" s="84">
        <f>'Q.6 Rand()'!T120</f>
        <v>1.6</v>
      </c>
      <c r="B122" s="141">
        <f>'Q.6 Rand()'!U120</f>
        <v>47.7592</v>
      </c>
      <c r="D122" s="23"/>
      <c r="E122" s="24"/>
      <c r="F122" s="22">
        <f t="shared" si="10"/>
        <v>-2.0203252032520322</v>
      </c>
      <c r="G122" s="22">
        <f t="shared" si="13"/>
        <v>13.328590514905137</v>
      </c>
      <c r="H122" s="18">
        <f t="shared" si="14"/>
        <v>-26.92808734108883</v>
      </c>
      <c r="I122" s="18">
        <f t="shared" si="15"/>
        <v>4.0817139268953655</v>
      </c>
      <c r="J122" s="24"/>
      <c r="K122" s="24"/>
      <c r="L122" s="19">
        <f t="shared" si="16"/>
        <v>42.947501802949219</v>
      </c>
      <c r="O122" s="9">
        <f t="shared" si="11"/>
        <v>4.8116981970507808</v>
      </c>
      <c r="P122" s="10">
        <f t="shared" si="17"/>
        <v>23.152439539501735</v>
      </c>
      <c r="V122" s="10">
        <f t="shared" si="19"/>
        <v>0.29510105161630434</v>
      </c>
      <c r="W122" s="13">
        <f t="shared" si="12"/>
        <v>72.537454753926554</v>
      </c>
      <c r="Z122" s="15">
        <f t="shared" si="18"/>
        <v>177.65132511401919</v>
      </c>
    </row>
    <row r="123" spans="1:26">
      <c r="A123" s="84">
        <f>'Q.6 Rand()'!T121</f>
        <v>3.2</v>
      </c>
      <c r="B123" s="141">
        <f>'Q.6 Rand()'!U121</f>
        <v>30.7</v>
      </c>
      <c r="D123" s="23"/>
      <c r="E123" s="24"/>
      <c r="F123" s="22">
        <f t="shared" si="10"/>
        <v>-0.42032520325203215</v>
      </c>
      <c r="G123" s="22">
        <f t="shared" si="13"/>
        <v>-3.7306094850948632</v>
      </c>
      <c r="H123" s="18">
        <f t="shared" si="14"/>
        <v>1.5680691900764574</v>
      </c>
      <c r="I123" s="18">
        <f t="shared" si="15"/>
        <v>0.17667327648886214</v>
      </c>
      <c r="J123" s="24"/>
      <c r="K123" s="24"/>
      <c r="L123" s="19">
        <f t="shared" si="16"/>
        <v>36.202534365710832</v>
      </c>
      <c r="O123" s="9">
        <f t="shared" si="11"/>
        <v>-5.502534365710833</v>
      </c>
      <c r="P123" s="10">
        <f t="shared" si="17"/>
        <v>30.277884445828718</v>
      </c>
      <c r="V123" s="10">
        <f t="shared" si="19"/>
        <v>0.10074913727723205</v>
      </c>
      <c r="W123" s="13">
        <f t="shared" si="12"/>
        <v>3.1397177825459188</v>
      </c>
      <c r="Z123" s="15">
        <f t="shared" si="18"/>
        <v>13.917447130279761</v>
      </c>
    </row>
    <row r="124" spans="1:26">
      <c r="A124" s="84">
        <f>'Q.6 Rand()'!T122</f>
        <v>3</v>
      </c>
      <c r="B124" s="141">
        <f>'Q.6 Rand()'!U122</f>
        <v>36</v>
      </c>
      <c r="D124" s="23"/>
      <c r="E124" s="24"/>
      <c r="F124" s="22">
        <f t="shared" si="10"/>
        <v>-0.62032520325203233</v>
      </c>
      <c r="G124" s="22">
        <f t="shared" si="13"/>
        <v>1.5693905149051375</v>
      </c>
      <c r="H124" s="18">
        <f t="shared" si="14"/>
        <v>-0.97353249014034104</v>
      </c>
      <c r="I124" s="18">
        <f t="shared" si="15"/>
        <v>0.38480335778967523</v>
      </c>
      <c r="J124" s="24"/>
      <c r="K124" s="24"/>
      <c r="L124" s="19">
        <f t="shared" si="16"/>
        <v>37.045655295365634</v>
      </c>
      <c r="O124" s="9">
        <f t="shared" si="11"/>
        <v>-1.0456552953656342</v>
      </c>
      <c r="P124" s="10">
        <f t="shared" si="17"/>
        <v>1.0933949967261916</v>
      </c>
      <c r="V124" s="10">
        <f t="shared" si="19"/>
        <v>0.17923564709155809</v>
      </c>
      <c r="W124" s="13">
        <f t="shared" si="12"/>
        <v>6.8384645898147163</v>
      </c>
      <c r="Z124" s="15">
        <f t="shared" si="18"/>
        <v>2.4629865882742124</v>
      </c>
    </row>
    <row r="125" spans="1:26">
      <c r="A125" s="84">
        <f>'Q.6 Rand()'!T123</f>
        <v>3</v>
      </c>
      <c r="B125" s="141">
        <f>'Q.6 Rand()'!U123</f>
        <v>31.3</v>
      </c>
      <c r="D125" s="23"/>
      <c r="E125" s="24"/>
      <c r="F125" s="22">
        <f t="shared" si="10"/>
        <v>-0.62032520325203233</v>
      </c>
      <c r="G125" s="22">
        <f t="shared" si="13"/>
        <v>-3.1306094850948618</v>
      </c>
      <c r="H125" s="18">
        <f t="shared" si="14"/>
        <v>1.9419959651442105</v>
      </c>
      <c r="I125" s="18">
        <f t="shared" si="15"/>
        <v>0.38480335778967523</v>
      </c>
      <c r="J125" s="24"/>
      <c r="K125" s="24"/>
      <c r="L125" s="19">
        <f t="shared" si="16"/>
        <v>37.045655295365634</v>
      </c>
      <c r="O125" s="9">
        <f t="shared" si="11"/>
        <v>-5.7456552953656335</v>
      </c>
      <c r="P125" s="10">
        <f t="shared" si="17"/>
        <v>33.012554773163146</v>
      </c>
      <c r="V125" s="10">
        <f t="shared" si="19"/>
        <v>2.9045980426823173E-2</v>
      </c>
      <c r="W125" s="13">
        <f t="shared" si="12"/>
        <v>6.8384645898147163</v>
      </c>
      <c r="Z125" s="15">
        <f t="shared" si="18"/>
        <v>9.8007157481659153</v>
      </c>
    </row>
    <row r="126" spans="1:26">
      <c r="A126" s="84">
        <f>'Q.6 Rand()'!T124</f>
        <v>2.4</v>
      </c>
      <c r="B126" s="141">
        <f>'Q.6 Rand()'!U124</f>
        <v>44.8</v>
      </c>
      <c r="D126" s="23"/>
      <c r="E126" s="24"/>
      <c r="F126" s="22">
        <f t="shared" si="10"/>
        <v>-1.2203252032520324</v>
      </c>
      <c r="G126" s="22">
        <f t="shared" si="13"/>
        <v>10.369390514905135</v>
      </c>
      <c r="H126" s="18">
        <f t="shared" si="14"/>
        <v>-12.654028587701305</v>
      </c>
      <c r="I126" s="18">
        <f t="shared" si="15"/>
        <v>1.4891936016921143</v>
      </c>
      <c r="J126" s="24"/>
      <c r="K126" s="24"/>
      <c r="L126" s="19">
        <f t="shared" si="16"/>
        <v>39.575018084330026</v>
      </c>
      <c r="O126" s="9">
        <f t="shared" si="11"/>
        <v>5.2249819156699715</v>
      </c>
      <c r="P126" s="10">
        <f t="shared" si="17"/>
        <v>27.300436019078244</v>
      </c>
      <c r="V126" s="10">
        <f t="shared" si="19"/>
        <v>0.18356726183276784</v>
      </c>
      <c r="W126" s="13">
        <f t="shared" si="12"/>
        <v>26.464939835884692</v>
      </c>
      <c r="Z126" s="15">
        <f t="shared" si="18"/>
        <v>107.52425965060458</v>
      </c>
    </row>
    <row r="127" spans="1:26">
      <c r="A127" s="84">
        <f>'Q.6 Rand()'!T125</f>
        <v>2.4</v>
      </c>
      <c r="B127" s="141">
        <f>'Q.6 Rand()'!U125</f>
        <v>42.3</v>
      </c>
      <c r="D127" s="23"/>
      <c r="E127" s="24"/>
      <c r="F127" s="22">
        <f t="shared" si="10"/>
        <v>-1.2203252032520324</v>
      </c>
      <c r="G127" s="22">
        <f t="shared" si="13"/>
        <v>7.8693905149051346</v>
      </c>
      <c r="H127" s="18">
        <f t="shared" si="14"/>
        <v>-9.6032155795712253</v>
      </c>
      <c r="I127" s="18">
        <f t="shared" si="15"/>
        <v>1.4891936016921143</v>
      </c>
      <c r="J127" s="24"/>
      <c r="K127" s="24"/>
      <c r="L127" s="19">
        <f t="shared" si="16"/>
        <v>39.575018084330026</v>
      </c>
      <c r="O127" s="9">
        <f t="shared" si="11"/>
        <v>2.7249819156699715</v>
      </c>
      <c r="P127" s="10">
        <f t="shared" si="17"/>
        <v>7.4255264407283876</v>
      </c>
      <c r="V127" s="10">
        <f t="shared" si="19"/>
        <v>0.1166290606176333</v>
      </c>
      <c r="W127" s="13">
        <f t="shared" si="12"/>
        <v>26.464939835884692</v>
      </c>
      <c r="Z127" s="15">
        <f t="shared" si="18"/>
        <v>61.927307076078897</v>
      </c>
    </row>
    <row r="128" spans="1:26">
      <c r="A128" s="84">
        <f>'Q.6 Rand()'!T126</f>
        <v>3</v>
      </c>
      <c r="B128" s="141">
        <f>'Q.6 Rand()'!U126</f>
        <v>34.285299999999999</v>
      </c>
      <c r="D128" s="23"/>
      <c r="E128" s="24"/>
      <c r="F128" s="22">
        <f t="shared" si="10"/>
        <v>-0.62032520325203233</v>
      </c>
      <c r="G128" s="22">
        <f t="shared" si="13"/>
        <v>-0.14530948509486308</v>
      </c>
      <c r="H128" s="18">
        <f t="shared" si="14"/>
        <v>9.0139135875919096E-2</v>
      </c>
      <c r="I128" s="18">
        <f t="shared" si="15"/>
        <v>0.38480335778967523</v>
      </c>
      <c r="J128" s="24"/>
      <c r="K128" s="24"/>
      <c r="L128" s="19">
        <f t="shared" si="16"/>
        <v>37.045655295365634</v>
      </c>
      <c r="O128" s="9">
        <f t="shared" si="11"/>
        <v>-2.7603552953656347</v>
      </c>
      <c r="P128" s="10">
        <f t="shared" si="17"/>
        <v>7.6195613566531009</v>
      </c>
      <c r="V128" s="10">
        <f t="shared" si="19"/>
        <v>6.4420376256973319E-2</v>
      </c>
      <c r="W128" s="13">
        <f t="shared" si="12"/>
        <v>6.8384645898147163</v>
      </c>
      <c r="Z128" s="15">
        <f t="shared" si="18"/>
        <v>2.1114846458534235E-2</v>
      </c>
    </row>
    <row r="129" spans="1:26">
      <c r="A129" s="84">
        <f>'Q.6 Rand()'!T127</f>
        <v>2.2000000000000002</v>
      </c>
      <c r="B129" s="141">
        <f>'Q.6 Rand()'!U127</f>
        <v>46.8</v>
      </c>
      <c r="D129" s="23"/>
      <c r="E129" s="24"/>
      <c r="F129" s="22">
        <f t="shared" si="10"/>
        <v>-1.4203252032520322</v>
      </c>
      <c r="G129" s="22">
        <f t="shared" si="13"/>
        <v>12.369390514905135</v>
      </c>
      <c r="H129" s="18">
        <f t="shared" si="14"/>
        <v>-17.568557097186392</v>
      </c>
      <c r="I129" s="18">
        <f t="shared" si="15"/>
        <v>2.0173236829929264</v>
      </c>
      <c r="J129" s="24"/>
      <c r="K129" s="24"/>
      <c r="L129" s="19">
        <f t="shared" si="16"/>
        <v>40.418139013984828</v>
      </c>
      <c r="O129" s="9">
        <f t="shared" si="11"/>
        <v>6.3818609860151696</v>
      </c>
      <c r="P129" s="10">
        <f t="shared" si="17"/>
        <v>40.728149644822516</v>
      </c>
      <c r="V129" s="10">
        <f t="shared" si="19"/>
        <v>8.0511335626803168E-2</v>
      </c>
      <c r="W129" s="13">
        <f t="shared" si="12"/>
        <v>35.850509859329286</v>
      </c>
      <c r="Z129" s="15">
        <f t="shared" si="18"/>
        <v>153.0018217102251</v>
      </c>
    </row>
    <row r="130" spans="1:26">
      <c r="A130" s="84">
        <f>'Q.6 Rand()'!T128</f>
        <v>4.8</v>
      </c>
      <c r="B130" s="141">
        <f>'Q.6 Rand()'!U128</f>
        <v>31.374700000000001</v>
      </c>
      <c r="D130" s="23"/>
      <c r="E130" s="24"/>
      <c r="F130" s="22">
        <f t="shared" si="10"/>
        <v>1.1796747967479675</v>
      </c>
      <c r="G130" s="22">
        <f t="shared" si="13"/>
        <v>-3.0559094850948618</v>
      </c>
      <c r="H130" s="18">
        <f t="shared" si="14"/>
        <v>-3.6049794007094671</v>
      </c>
      <c r="I130" s="18">
        <f t="shared" si="15"/>
        <v>1.3916326260823584</v>
      </c>
      <c r="J130" s="24"/>
      <c r="K130" s="24"/>
      <c r="L130" s="19">
        <f t="shared" si="16"/>
        <v>29.457566928472456</v>
      </c>
      <c r="O130" s="9">
        <f t="shared" si="11"/>
        <v>1.9171330715275445</v>
      </c>
      <c r="P130" s="10">
        <f t="shared" si="17"/>
        <v>3.6753992139446372</v>
      </c>
      <c r="V130" s="10">
        <f t="shared" si="19"/>
        <v>0.13636455098323014</v>
      </c>
      <c r="W130" s="13">
        <f t="shared" si="12"/>
        <v>24.731152269977521</v>
      </c>
      <c r="Z130" s="15">
        <f t="shared" si="18"/>
        <v>9.3385827810927431</v>
      </c>
    </row>
    <row r="131" spans="1:26">
      <c r="A131" s="84">
        <f>'Q.6 Rand()'!T129</f>
        <v>3.7</v>
      </c>
      <c r="B131" s="141">
        <f>'Q.6 Rand()'!U129</f>
        <v>25.2</v>
      </c>
      <c r="D131" s="23"/>
      <c r="E131" s="24"/>
      <c r="F131" s="22">
        <f t="shared" si="10"/>
        <v>7.9674796747967846E-2</v>
      </c>
      <c r="G131" s="22">
        <f t="shared" si="13"/>
        <v>-9.2306094850948632</v>
      </c>
      <c r="H131" s="18">
        <f t="shared" si="14"/>
        <v>-0.73544693458479737</v>
      </c>
      <c r="I131" s="18">
        <f t="shared" si="15"/>
        <v>6.348073236829988E-3</v>
      </c>
      <c r="J131" s="24"/>
      <c r="K131" s="24"/>
      <c r="L131" s="19">
        <f t="shared" si="16"/>
        <v>34.094732041573842</v>
      </c>
      <c r="O131" s="9">
        <f t="shared" si="11"/>
        <v>-8.8947320415738425</v>
      </c>
      <c r="P131" s="10">
        <f t="shared" si="17"/>
        <v>79.116258091400368</v>
      </c>
      <c r="V131" s="10">
        <f t="shared" si="19"/>
        <v>6.1104427182651772E-2</v>
      </c>
      <c r="W131" s="13">
        <f t="shared" si="12"/>
        <v>0.1128136570662165</v>
      </c>
      <c r="Z131" s="15">
        <f t="shared" si="18"/>
        <v>85.204151466323253</v>
      </c>
    </row>
    <row r="132" spans="1:26">
      <c r="A132" s="84">
        <f>'Q.6 Rand()'!T130</f>
        <v>2</v>
      </c>
      <c r="B132" s="141">
        <f>'Q.6 Rand()'!U130</f>
        <v>37.5</v>
      </c>
      <c r="D132" s="23"/>
      <c r="E132" s="24"/>
      <c r="F132" s="22">
        <f t="shared" si="10"/>
        <v>-1.6203252032520323</v>
      </c>
      <c r="G132" s="22">
        <f t="shared" si="13"/>
        <v>3.0693905149051375</v>
      </c>
      <c r="H132" s="18">
        <f t="shared" si="14"/>
        <v>-4.9734108099235268</v>
      </c>
      <c r="I132" s="18">
        <f t="shared" si="15"/>
        <v>2.6254537642937397</v>
      </c>
      <c r="J132" s="24"/>
      <c r="K132" s="24"/>
      <c r="L132" s="19">
        <f t="shared" si="16"/>
        <v>41.261259943639622</v>
      </c>
      <c r="O132" s="9">
        <f t="shared" si="11"/>
        <v>-3.7612599436396223</v>
      </c>
      <c r="P132" s="10">
        <f t="shared" si="17"/>
        <v>14.147076363627935</v>
      </c>
      <c r="V132" s="10">
        <f t="shared" si="19"/>
        <v>0.3529655572053112</v>
      </c>
      <c r="W132" s="13">
        <f t="shared" si="12"/>
        <v>46.657785686817739</v>
      </c>
      <c r="Z132" s="15">
        <f t="shared" si="18"/>
        <v>9.4211581329896248</v>
      </c>
    </row>
    <row r="133" spans="1:26">
      <c r="A133" s="84">
        <f>'Q.6 Rand()'!T131</f>
        <v>4.4000000000000004</v>
      </c>
      <c r="B133" s="141">
        <f>'Q.6 Rand()'!U131</f>
        <v>26.2</v>
      </c>
      <c r="D133" s="23"/>
      <c r="E133" s="24"/>
      <c r="F133" s="22">
        <f t="shared" ref="F133:F196" si="20">A133-$D$5</f>
        <v>0.77967479674796802</v>
      </c>
      <c r="G133" s="22">
        <f t="shared" si="13"/>
        <v>-8.2306094850948632</v>
      </c>
      <c r="H133" s="18">
        <f t="shared" si="14"/>
        <v>-6.4171987774032351</v>
      </c>
      <c r="I133" s="18">
        <f t="shared" si="15"/>
        <v>0.60789278868398522</v>
      </c>
      <c r="J133" s="24"/>
      <c r="K133" s="24"/>
      <c r="L133" s="19">
        <f t="shared" si="16"/>
        <v>31.143808787782049</v>
      </c>
      <c r="O133" s="9">
        <f t="shared" ref="O133:O196" si="21">B133-L133</f>
        <v>-4.94380878778205</v>
      </c>
      <c r="P133" s="10">
        <f t="shared" si="17"/>
        <v>24.441245330151023</v>
      </c>
      <c r="V133" s="10">
        <f t="shared" si="19"/>
        <v>0.10030026516372326</v>
      </c>
      <c r="W133" s="13">
        <f t="shared" ref="W133:W196" si="22">(L133-$E$5)^2</f>
        <v>10.803058823855995</v>
      </c>
      <c r="Z133" s="15">
        <f t="shared" si="18"/>
        <v>67.742932496133534</v>
      </c>
    </row>
    <row r="134" spans="1:26">
      <c r="A134" s="84">
        <f>'Q.6 Rand()'!T132</f>
        <v>2.5</v>
      </c>
      <c r="B134" s="141">
        <f>'Q.6 Rand()'!U132</f>
        <v>40.799999999999997</v>
      </c>
      <c r="D134" s="23"/>
      <c r="E134" s="24"/>
      <c r="F134" s="22">
        <f t="shared" si="20"/>
        <v>-1.1203252032520323</v>
      </c>
      <c r="G134" s="22">
        <f t="shared" ref="G134:G197" si="23">B134-$E$5</f>
        <v>6.3693905149051346</v>
      </c>
      <c r="H134" s="18">
        <f t="shared" ref="H134:H197" si="24">F134*G134</f>
        <v>-7.135788723202662</v>
      </c>
      <c r="I134" s="18">
        <f t="shared" ref="I134:I197" si="25">F134^2</f>
        <v>1.2551285610417076</v>
      </c>
      <c r="J134" s="24"/>
      <c r="K134" s="24"/>
      <c r="L134" s="19">
        <f t="shared" ref="L134:L197" si="26">$K$5+$J$5*A134</f>
        <v>39.153457619502632</v>
      </c>
      <c r="O134" s="9">
        <f t="shared" si="21"/>
        <v>1.6465423804973653</v>
      </c>
      <c r="P134" s="10">
        <f t="shared" ref="P134:P197" si="27">O134^2</f>
        <v>2.7111018107739304</v>
      </c>
      <c r="V134" s="10">
        <f t="shared" si="19"/>
        <v>0.18869499190007824</v>
      </c>
      <c r="W134" s="13">
        <f t="shared" si="22"/>
        <v>22.305294500678947</v>
      </c>
      <c r="Z134" s="15">
        <f t="shared" ref="Z134:Z197" si="28">(B134-$E$5)^2</f>
        <v>40.569135531363493</v>
      </c>
    </row>
    <row r="135" spans="1:26">
      <c r="A135" s="84">
        <f>'Q.6 Rand()'!T133</f>
        <v>3</v>
      </c>
      <c r="B135" s="141">
        <f>'Q.6 Rand()'!U133</f>
        <v>34.548200000000001</v>
      </c>
      <c r="D135" s="23"/>
      <c r="E135" s="24"/>
      <c r="F135" s="22">
        <f t="shared" si="20"/>
        <v>-0.62032520325203233</v>
      </c>
      <c r="G135" s="22">
        <f t="shared" si="23"/>
        <v>0.11759051490513883</v>
      </c>
      <c r="H135" s="18">
        <f t="shared" si="24"/>
        <v>-7.2944360059041383E-2</v>
      </c>
      <c r="I135" s="18">
        <f t="shared" si="25"/>
        <v>0.38480335778967523</v>
      </c>
      <c r="J135" s="24"/>
      <c r="K135" s="24"/>
      <c r="L135" s="19">
        <f t="shared" si="26"/>
        <v>37.045655295365634</v>
      </c>
      <c r="O135" s="9">
        <f t="shared" si="21"/>
        <v>-2.4974552953656328</v>
      </c>
      <c r="P135" s="10">
        <f t="shared" si="27"/>
        <v>6.2372829523498403</v>
      </c>
      <c r="V135" s="10">
        <f t="shared" ref="V135:V198" si="29">ABS(O134) / B134</f>
        <v>4.0356430894543271E-2</v>
      </c>
      <c r="W135" s="13">
        <f t="shared" si="22"/>
        <v>6.8384645898147163</v>
      </c>
      <c r="Z135" s="15">
        <f t="shared" si="28"/>
        <v>1.3827529195655677E-2</v>
      </c>
    </row>
    <row r="136" spans="1:26">
      <c r="A136" s="84">
        <f>'Q.6 Rand()'!T134</f>
        <v>2.5</v>
      </c>
      <c r="B136" s="141">
        <f>'Q.6 Rand()'!U134</f>
        <v>39.6</v>
      </c>
      <c r="D136" s="23"/>
      <c r="E136" s="24"/>
      <c r="F136" s="22">
        <f t="shared" si="20"/>
        <v>-1.1203252032520323</v>
      </c>
      <c r="G136" s="22">
        <f t="shared" si="23"/>
        <v>5.1693905149051389</v>
      </c>
      <c r="H136" s="18">
        <f t="shared" si="24"/>
        <v>-5.791398479300228</v>
      </c>
      <c r="I136" s="18">
        <f t="shared" si="25"/>
        <v>1.2551285610417076</v>
      </c>
      <c r="J136" s="24"/>
      <c r="K136" s="24"/>
      <c r="L136" s="19">
        <f t="shared" si="26"/>
        <v>39.153457619502632</v>
      </c>
      <c r="O136" s="9">
        <f t="shared" si="21"/>
        <v>0.44654238049736961</v>
      </c>
      <c r="P136" s="10">
        <f t="shared" si="27"/>
        <v>0.19940009758025762</v>
      </c>
      <c r="V136" s="10">
        <f t="shared" si="29"/>
        <v>7.2289013475828917E-2</v>
      </c>
      <c r="W136" s="13">
        <f t="shared" si="22"/>
        <v>22.305294500678947</v>
      </c>
      <c r="Z136" s="15">
        <f t="shared" si="28"/>
        <v>26.722598295591219</v>
      </c>
    </row>
    <row r="137" spans="1:26">
      <c r="A137" s="84">
        <f>'Q.6 Rand()'!T135</f>
        <v>4</v>
      </c>
      <c r="B137" s="141">
        <f>'Q.6 Rand()'!U135</f>
        <v>27.8</v>
      </c>
      <c r="D137" s="23"/>
      <c r="E137" s="24"/>
      <c r="F137" s="22">
        <f t="shared" si="20"/>
        <v>0.37967479674796767</v>
      </c>
      <c r="G137" s="22">
        <f t="shared" si="23"/>
        <v>-6.6306094850948618</v>
      </c>
      <c r="H137" s="18">
        <f t="shared" si="24"/>
        <v>-2.5174753085685384</v>
      </c>
      <c r="I137" s="18">
        <f t="shared" si="25"/>
        <v>0.14415295128561056</v>
      </c>
      <c r="J137" s="24"/>
      <c r="K137" s="24"/>
      <c r="L137" s="19">
        <f t="shared" si="26"/>
        <v>32.830050647091646</v>
      </c>
      <c r="O137" s="9">
        <f t="shared" si="21"/>
        <v>-5.0300506470916453</v>
      </c>
      <c r="P137" s="10">
        <f t="shared" si="27"/>
        <v>25.301409512307078</v>
      </c>
      <c r="V137" s="10">
        <f t="shared" si="29"/>
        <v>1.1276322739832565E-2</v>
      </c>
      <c r="W137" s="13">
        <f t="shared" si="22"/>
        <v>2.5617885939102067</v>
      </c>
      <c r="Z137" s="15">
        <f t="shared" si="28"/>
        <v>43.96498214382995</v>
      </c>
    </row>
    <row r="138" spans="1:26">
      <c r="A138" s="84">
        <f>'Q.6 Rand()'!T136</f>
        <v>6.2</v>
      </c>
      <c r="B138" s="141">
        <f>'Q.6 Rand()'!U136</f>
        <v>28.4</v>
      </c>
      <c r="D138" s="23"/>
      <c r="E138" s="24"/>
      <c r="F138" s="22">
        <f t="shared" si="20"/>
        <v>2.5796747967479678</v>
      </c>
      <c r="G138" s="22">
        <f t="shared" si="23"/>
        <v>-6.0306094850948639</v>
      </c>
      <c r="H138" s="18">
        <f t="shared" si="24"/>
        <v>-15.55701129772846</v>
      </c>
      <c r="I138" s="18">
        <f t="shared" si="25"/>
        <v>6.6547220569766692</v>
      </c>
      <c r="J138" s="24"/>
      <c r="K138" s="24"/>
      <c r="L138" s="19">
        <f t="shared" si="26"/>
        <v>23.555720420888871</v>
      </c>
      <c r="O138" s="9">
        <f t="shared" si="21"/>
        <v>4.8442795791111273</v>
      </c>
      <c r="P138" s="10">
        <f t="shared" si="27"/>
        <v>23.46704464059308</v>
      </c>
      <c r="V138" s="10">
        <f t="shared" si="29"/>
        <v>0.18093707363639011</v>
      </c>
      <c r="W138" s="13">
        <f t="shared" si="22"/>
        <v>118.26321215878706</v>
      </c>
      <c r="Z138" s="15">
        <f t="shared" si="28"/>
        <v>36.368250761716141</v>
      </c>
    </row>
    <row r="139" spans="1:26">
      <c r="A139" s="84">
        <f>'Q.6 Rand()'!T137</f>
        <v>2</v>
      </c>
      <c r="B139" s="141">
        <f>'Q.6 Rand()'!U137</f>
        <v>31.1</v>
      </c>
      <c r="D139" s="23"/>
      <c r="E139" s="24"/>
      <c r="F139" s="22">
        <f t="shared" si="20"/>
        <v>-1.6203252032520323</v>
      </c>
      <c r="G139" s="22">
        <f t="shared" si="23"/>
        <v>-3.3306094850948611</v>
      </c>
      <c r="H139" s="18">
        <f t="shared" si="24"/>
        <v>5.3966704908894778</v>
      </c>
      <c r="I139" s="18">
        <f t="shared" si="25"/>
        <v>2.6254537642937397</v>
      </c>
      <c r="J139" s="24"/>
      <c r="K139" s="24"/>
      <c r="L139" s="19">
        <f t="shared" si="26"/>
        <v>41.261259943639622</v>
      </c>
      <c r="O139" s="9">
        <f t="shared" si="21"/>
        <v>-10.161259943639621</v>
      </c>
      <c r="P139" s="10">
        <f t="shared" si="27"/>
        <v>103.25120364221507</v>
      </c>
      <c r="V139" s="10">
        <f t="shared" si="29"/>
        <v>0.170573224616589</v>
      </c>
      <c r="W139" s="13">
        <f t="shared" si="22"/>
        <v>46.657785686817739</v>
      </c>
      <c r="Z139" s="15">
        <f t="shared" si="28"/>
        <v>11.092959542203856</v>
      </c>
    </row>
    <row r="140" spans="1:26">
      <c r="A140" s="84">
        <f>'Q.6 Rand()'!T138</f>
        <v>5.5</v>
      </c>
      <c r="B140" s="141">
        <f>'Q.6 Rand()'!U138</f>
        <v>31.7</v>
      </c>
      <c r="D140" s="23"/>
      <c r="E140" s="24"/>
      <c r="F140" s="22">
        <f t="shared" si="20"/>
        <v>1.8796747967479677</v>
      </c>
      <c r="G140" s="22">
        <f t="shared" si="23"/>
        <v>-2.7306094850948632</v>
      </c>
      <c r="H140" s="18">
        <f t="shared" si="24"/>
        <v>-5.1326578288937599</v>
      </c>
      <c r="I140" s="18">
        <f t="shared" si="25"/>
        <v>3.5331773415295133</v>
      </c>
      <c r="J140" s="24"/>
      <c r="K140" s="24"/>
      <c r="L140" s="19">
        <f t="shared" si="26"/>
        <v>26.506643674680664</v>
      </c>
      <c r="O140" s="9">
        <f t="shared" si="21"/>
        <v>5.1933563253193356</v>
      </c>
      <c r="P140" s="10">
        <f t="shared" si="27"/>
        <v>26.970949921734352</v>
      </c>
      <c r="V140" s="10">
        <f t="shared" si="29"/>
        <v>0.32672861555111321</v>
      </c>
      <c r="W140" s="13">
        <f t="shared" si="22"/>
        <v>62.789234164613148</v>
      </c>
      <c r="Z140" s="15">
        <f t="shared" si="28"/>
        <v>7.456228160090034</v>
      </c>
    </row>
    <row r="141" spans="1:26">
      <c r="A141" s="84">
        <f>'Q.6 Rand()'!T139</f>
        <v>5.7</v>
      </c>
      <c r="B141" s="141">
        <f>'Q.6 Rand()'!U139</f>
        <v>20.99</v>
      </c>
      <c r="D141" s="23"/>
      <c r="E141" s="24"/>
      <c r="F141" s="22">
        <f t="shared" si="20"/>
        <v>2.0796747967479678</v>
      </c>
      <c r="G141" s="22">
        <f t="shared" si="23"/>
        <v>-13.440609485094864</v>
      </c>
      <c r="H141" s="18">
        <f t="shared" si="24"/>
        <v>-27.952096799083471</v>
      </c>
      <c r="I141" s="18">
        <f t="shared" si="25"/>
        <v>4.3250472602287013</v>
      </c>
      <c r="J141" s="24"/>
      <c r="K141" s="24"/>
      <c r="L141" s="19">
        <f t="shared" si="26"/>
        <v>25.663522745025865</v>
      </c>
      <c r="O141" s="9">
        <f t="shared" si="21"/>
        <v>-4.673522745025867</v>
      </c>
      <c r="P141" s="10">
        <f t="shared" si="27"/>
        <v>21.841814848274115</v>
      </c>
      <c r="V141" s="10">
        <f t="shared" si="29"/>
        <v>0.16382827524666674</v>
      </c>
      <c r="W141" s="13">
        <f t="shared" si="22"/>
        <v>76.86180990789363</v>
      </c>
      <c r="Z141" s="15">
        <f t="shared" si="28"/>
        <v>180.64998333082204</v>
      </c>
    </row>
    <row r="142" spans="1:26">
      <c r="A142" s="84">
        <f>'Q.6 Rand()'!T140</f>
        <v>2.5</v>
      </c>
      <c r="B142" s="141">
        <f>'Q.6 Rand()'!U140</f>
        <v>42.9</v>
      </c>
      <c r="D142" s="23"/>
      <c r="E142" s="24"/>
      <c r="F142" s="22">
        <f t="shared" si="20"/>
        <v>-1.1203252032520323</v>
      </c>
      <c r="G142" s="22">
        <f t="shared" si="23"/>
        <v>8.4693905149051361</v>
      </c>
      <c r="H142" s="18">
        <f t="shared" si="24"/>
        <v>-9.488471650031931</v>
      </c>
      <c r="I142" s="18">
        <f t="shared" si="25"/>
        <v>1.2551285610417076</v>
      </c>
      <c r="J142" s="24"/>
      <c r="K142" s="24"/>
      <c r="L142" s="19">
        <f t="shared" si="26"/>
        <v>39.153457619502632</v>
      </c>
      <c r="O142" s="9">
        <f t="shared" si="21"/>
        <v>3.7465423804973668</v>
      </c>
      <c r="P142" s="10">
        <f t="shared" si="27"/>
        <v>14.036579808862875</v>
      </c>
      <c r="V142" s="10">
        <f t="shared" si="29"/>
        <v>0.22265472820513899</v>
      </c>
      <c r="W142" s="13">
        <f t="shared" si="22"/>
        <v>22.305294500678947</v>
      </c>
      <c r="Z142" s="15">
        <f t="shared" si="28"/>
        <v>71.730575693965079</v>
      </c>
    </row>
    <row r="143" spans="1:26">
      <c r="A143" s="84">
        <f>'Q.6 Rand()'!T141</f>
        <v>2.4</v>
      </c>
      <c r="B143" s="141">
        <f>'Q.6 Rand()'!U141</f>
        <v>38.6</v>
      </c>
      <c r="D143" s="23"/>
      <c r="E143" s="24"/>
      <c r="F143" s="22">
        <f t="shared" si="20"/>
        <v>-1.2203252032520324</v>
      </c>
      <c r="G143" s="22">
        <f t="shared" si="23"/>
        <v>4.1693905149051389</v>
      </c>
      <c r="H143" s="18">
        <f t="shared" si="24"/>
        <v>-5.0880123275387099</v>
      </c>
      <c r="I143" s="18">
        <f t="shared" si="25"/>
        <v>1.4891936016921143</v>
      </c>
      <c r="J143" s="24"/>
      <c r="K143" s="24"/>
      <c r="L143" s="19">
        <f t="shared" si="26"/>
        <v>39.575018084330026</v>
      </c>
      <c r="O143" s="9">
        <f t="shared" si="21"/>
        <v>-0.97501808433002424</v>
      </c>
      <c r="P143" s="10">
        <f t="shared" si="27"/>
        <v>0.95066026477059029</v>
      </c>
      <c r="V143" s="10">
        <f t="shared" si="29"/>
        <v>8.733199022138384E-2</v>
      </c>
      <c r="W143" s="13">
        <f t="shared" si="22"/>
        <v>26.464939835884692</v>
      </c>
      <c r="Z143" s="15">
        <f t="shared" si="28"/>
        <v>17.383817265780941</v>
      </c>
    </row>
    <row r="144" spans="1:26">
      <c r="A144" s="84">
        <f>'Q.6 Rand()'!T142</f>
        <v>4.3</v>
      </c>
      <c r="B144" s="141">
        <f>'Q.6 Rand()'!U142</f>
        <v>27.6</v>
      </c>
      <c r="D144" s="23"/>
      <c r="E144" s="24"/>
      <c r="F144" s="22">
        <f t="shared" si="20"/>
        <v>0.67967479674796749</v>
      </c>
      <c r="G144" s="22">
        <f t="shared" si="23"/>
        <v>-6.8306094850948611</v>
      </c>
      <c r="H144" s="18">
        <f t="shared" si="24"/>
        <v>-4.6425931134465888</v>
      </c>
      <c r="I144" s="18">
        <f t="shared" si="25"/>
        <v>0.46195782933439095</v>
      </c>
      <c r="J144" s="24"/>
      <c r="K144" s="24"/>
      <c r="L144" s="19">
        <f t="shared" si="26"/>
        <v>31.56536925260945</v>
      </c>
      <c r="O144" s="9">
        <f t="shared" si="21"/>
        <v>-3.9653692526094488</v>
      </c>
      <c r="P144" s="10">
        <f t="shared" si="27"/>
        <v>15.724153309540419</v>
      </c>
      <c r="V144" s="10">
        <f t="shared" si="29"/>
        <v>2.525953586347213E-2</v>
      </c>
      <c r="W144" s="13">
        <f t="shared" si="22"/>
        <v>8.2096015898530599</v>
      </c>
      <c r="Z144" s="15">
        <f t="shared" si="28"/>
        <v>46.657225937867885</v>
      </c>
    </row>
    <row r="145" spans="1:26">
      <c r="A145" s="84">
        <f>'Q.6 Rand()'!T143</f>
        <v>4.8</v>
      </c>
      <c r="B145" s="141">
        <f>'Q.6 Rand()'!U143</f>
        <v>33.260300000000001</v>
      </c>
      <c r="D145" s="23"/>
      <c r="E145" s="24"/>
      <c r="F145" s="22">
        <f t="shared" si="20"/>
        <v>1.1796747967479675</v>
      </c>
      <c r="G145" s="22">
        <f t="shared" si="23"/>
        <v>-1.1703094850948617</v>
      </c>
      <c r="H145" s="18">
        <f t="shared" si="24"/>
        <v>-1.3805846039614995</v>
      </c>
      <c r="I145" s="18">
        <f t="shared" si="25"/>
        <v>1.3916326260823584</v>
      </c>
      <c r="J145" s="24"/>
      <c r="K145" s="24"/>
      <c r="L145" s="19">
        <f t="shared" si="26"/>
        <v>29.457566928472456</v>
      </c>
      <c r="O145" s="9">
        <f t="shared" si="21"/>
        <v>3.8027330715275447</v>
      </c>
      <c r="P145" s="10">
        <f t="shared" si="27"/>
        <v>14.460778813289314</v>
      </c>
      <c r="V145" s="10">
        <f t="shared" si="29"/>
        <v>0.14367279900758873</v>
      </c>
      <c r="W145" s="13">
        <f t="shared" si="22"/>
        <v>24.731152269977521</v>
      </c>
      <c r="Z145" s="15">
        <f t="shared" si="28"/>
        <v>1.3696242909030003</v>
      </c>
    </row>
    <row r="146" spans="1:26">
      <c r="A146" s="84">
        <f>'Q.6 Rand()'!T144</f>
        <v>2.5</v>
      </c>
      <c r="B146" s="141">
        <f>'Q.6 Rand()'!U144</f>
        <v>39.200000000000003</v>
      </c>
      <c r="D146" s="23"/>
      <c r="E146" s="24"/>
      <c r="F146" s="22">
        <f t="shared" si="20"/>
        <v>-1.1203252032520323</v>
      </c>
      <c r="G146" s="22">
        <f t="shared" si="23"/>
        <v>4.7693905149051403</v>
      </c>
      <c r="H146" s="18">
        <f t="shared" si="24"/>
        <v>-5.3432683979994167</v>
      </c>
      <c r="I146" s="18">
        <f t="shared" si="25"/>
        <v>1.2551285610417076</v>
      </c>
      <c r="J146" s="24"/>
      <c r="K146" s="24"/>
      <c r="L146" s="19">
        <f t="shared" si="26"/>
        <v>39.153457619502632</v>
      </c>
      <c r="O146" s="9">
        <f t="shared" si="21"/>
        <v>4.6542380497371028E-2</v>
      </c>
      <c r="P146" s="10">
        <f t="shared" si="27"/>
        <v>2.1661931823620628E-3</v>
      </c>
      <c r="V146" s="10">
        <f t="shared" si="29"/>
        <v>0.11433249464158605</v>
      </c>
      <c r="W146" s="13">
        <f t="shared" si="22"/>
        <v>22.305294500678947</v>
      </c>
      <c r="Z146" s="15">
        <f t="shared" si="28"/>
        <v>22.747085883667118</v>
      </c>
    </row>
    <row r="147" spans="1:26">
      <c r="A147" s="84">
        <f>'Q.6 Rand()'!T145</f>
        <v>3.6</v>
      </c>
      <c r="B147" s="141">
        <f>'Q.6 Rand()'!U145</f>
        <v>32.6</v>
      </c>
      <c r="D147" s="23"/>
      <c r="E147" s="24"/>
      <c r="F147" s="22">
        <f t="shared" si="20"/>
        <v>-2.0325203252032242E-2</v>
      </c>
      <c r="G147" s="22">
        <f t="shared" si="23"/>
        <v>-1.8306094850948611</v>
      </c>
      <c r="H147" s="18">
        <f t="shared" si="24"/>
        <v>3.7207509859651142E-2</v>
      </c>
      <c r="I147" s="18">
        <f t="shared" si="25"/>
        <v>4.1311388723642203E-4</v>
      </c>
      <c r="J147" s="24"/>
      <c r="K147" s="24"/>
      <c r="L147" s="19">
        <f t="shared" si="26"/>
        <v>34.516292506401243</v>
      </c>
      <c r="O147" s="9">
        <f t="shared" si="21"/>
        <v>-1.9162925064012413</v>
      </c>
      <c r="P147" s="10">
        <f t="shared" si="27"/>
        <v>3.6721769700895512</v>
      </c>
      <c r="V147" s="10">
        <f t="shared" si="29"/>
        <v>1.1873056249329342E-3</v>
      </c>
      <c r="W147" s="13">
        <f t="shared" si="22"/>
        <v>7.3415801401895981E-3</v>
      </c>
      <c r="Z147" s="15">
        <f t="shared" si="28"/>
        <v>3.3511310869192723</v>
      </c>
    </row>
    <row r="148" spans="1:26">
      <c r="A148" s="84">
        <f>'Q.6 Rand()'!T146</f>
        <v>3.7</v>
      </c>
      <c r="B148" s="141">
        <f>'Q.6 Rand()'!U146</f>
        <v>31.3858</v>
      </c>
      <c r="D148" s="23"/>
      <c r="E148" s="24"/>
      <c r="F148" s="22">
        <f t="shared" si="20"/>
        <v>7.9674796747967846E-2</v>
      </c>
      <c r="G148" s="22">
        <f t="shared" si="23"/>
        <v>-3.0448094850948628</v>
      </c>
      <c r="H148" s="18">
        <f t="shared" si="24"/>
        <v>-0.24259457686121783</v>
      </c>
      <c r="I148" s="18">
        <f t="shared" si="25"/>
        <v>6.348073236829988E-3</v>
      </c>
      <c r="J148" s="24"/>
      <c r="K148" s="24"/>
      <c r="L148" s="19">
        <f t="shared" si="26"/>
        <v>34.094732041573842</v>
      </c>
      <c r="O148" s="9">
        <f t="shared" si="21"/>
        <v>-2.708932041573842</v>
      </c>
      <c r="P148" s="10">
        <f t="shared" si="27"/>
        <v>7.3383128058654234</v>
      </c>
      <c r="V148" s="10">
        <f t="shared" si="29"/>
        <v>5.8781978723964456E-2</v>
      </c>
      <c r="W148" s="13">
        <f t="shared" si="22"/>
        <v>0.1128136570662165</v>
      </c>
      <c r="Z148" s="15">
        <f t="shared" si="28"/>
        <v>9.2708648005236434</v>
      </c>
    </row>
    <row r="149" spans="1:26">
      <c r="A149" s="84">
        <f>'Q.6 Rand()'!T147</f>
        <v>2.4</v>
      </c>
      <c r="B149" s="141">
        <f>'Q.6 Rand()'!U147</f>
        <v>35.810299999999998</v>
      </c>
      <c r="D149" s="23"/>
      <c r="E149" s="24"/>
      <c r="F149" s="22">
        <f t="shared" si="20"/>
        <v>-1.2203252032520324</v>
      </c>
      <c r="G149" s="22">
        <f t="shared" si="23"/>
        <v>1.3796905149051355</v>
      </c>
      <c r="H149" s="18">
        <f t="shared" si="24"/>
        <v>-1.6836711080265108</v>
      </c>
      <c r="I149" s="18">
        <f t="shared" si="25"/>
        <v>1.4891936016921143</v>
      </c>
      <c r="J149" s="24"/>
      <c r="K149" s="24"/>
      <c r="L149" s="19">
        <f t="shared" si="26"/>
        <v>39.575018084330026</v>
      </c>
      <c r="O149" s="9">
        <f t="shared" si="21"/>
        <v>-3.7647180843300276</v>
      </c>
      <c r="P149" s="10">
        <f t="shared" si="27"/>
        <v>14.173102254481552</v>
      </c>
      <c r="V149" s="10">
        <f t="shared" si="29"/>
        <v>8.6310753320732375E-2</v>
      </c>
      <c r="W149" s="13">
        <f t="shared" si="22"/>
        <v>26.464939835884692</v>
      </c>
      <c r="Z149" s="15">
        <f t="shared" si="28"/>
        <v>1.9035459169191979</v>
      </c>
    </row>
    <row r="150" spans="1:26">
      <c r="A150" s="84">
        <f>'Q.6 Rand()'!T148</f>
        <v>2.4</v>
      </c>
      <c r="B150" s="141">
        <f>'Q.6 Rand()'!U148</f>
        <v>39.299999999999997</v>
      </c>
      <c r="D150" s="23"/>
      <c r="E150" s="24"/>
      <c r="F150" s="22">
        <f t="shared" si="20"/>
        <v>-1.2203252032520324</v>
      </c>
      <c r="G150" s="22">
        <f t="shared" si="23"/>
        <v>4.8693905149051346</v>
      </c>
      <c r="H150" s="18">
        <f t="shared" si="24"/>
        <v>-5.9422399698151276</v>
      </c>
      <c r="I150" s="18">
        <f t="shared" si="25"/>
        <v>1.4891936016921143</v>
      </c>
      <c r="J150" s="24"/>
      <c r="K150" s="24"/>
      <c r="L150" s="19">
        <f t="shared" si="26"/>
        <v>39.575018084330026</v>
      </c>
      <c r="O150" s="9">
        <f t="shared" si="21"/>
        <v>-0.2750180843300285</v>
      </c>
      <c r="P150" s="10">
        <f t="shared" si="27"/>
        <v>7.5634946708558665E-2</v>
      </c>
      <c r="V150" s="10">
        <f t="shared" si="29"/>
        <v>0.10512947627721711</v>
      </c>
      <c r="W150" s="13">
        <f t="shared" si="22"/>
        <v>26.464939835884692</v>
      </c>
      <c r="Z150" s="15">
        <f t="shared" si="28"/>
        <v>23.710963986648093</v>
      </c>
    </row>
    <row r="151" spans="1:26">
      <c r="A151" s="84">
        <f>'Q.6 Rand()'!T149</f>
        <v>3</v>
      </c>
      <c r="B151" s="141">
        <f>'Q.6 Rand()'!U149</f>
        <v>35.465499999999999</v>
      </c>
      <c r="D151" s="23"/>
      <c r="E151" s="24"/>
      <c r="F151" s="22">
        <f t="shared" si="20"/>
        <v>-0.62032520325203233</v>
      </c>
      <c r="G151" s="22">
        <f t="shared" si="23"/>
        <v>1.0348905149051362</v>
      </c>
      <c r="H151" s="18">
        <f t="shared" si="24"/>
        <v>-0.64196866900212901</v>
      </c>
      <c r="I151" s="18">
        <f t="shared" si="25"/>
        <v>0.38480335778967523</v>
      </c>
      <c r="J151" s="24"/>
      <c r="K151" s="24"/>
      <c r="L151" s="19">
        <f t="shared" si="26"/>
        <v>37.045655295365634</v>
      </c>
      <c r="O151" s="9">
        <f t="shared" si="21"/>
        <v>-1.5801552953656355</v>
      </c>
      <c r="P151" s="10">
        <f t="shared" si="27"/>
        <v>2.4968907574720589</v>
      </c>
      <c r="V151" s="10">
        <f t="shared" si="29"/>
        <v>6.9979156318073412E-3</v>
      </c>
      <c r="W151" s="13">
        <f t="shared" si="22"/>
        <v>6.8384645898147163</v>
      </c>
      <c r="Z151" s="15">
        <f t="shared" si="28"/>
        <v>1.0709983778406178</v>
      </c>
    </row>
    <row r="152" spans="1:26">
      <c r="A152" s="84">
        <f>'Q.6 Rand()'!T150</f>
        <v>2</v>
      </c>
      <c r="B152" s="141">
        <f>'Q.6 Rand()'!U150</f>
        <v>47.4</v>
      </c>
      <c r="D152" s="23"/>
      <c r="E152" s="24"/>
      <c r="F152" s="22">
        <f t="shared" si="20"/>
        <v>-1.6203252032520323</v>
      </c>
      <c r="G152" s="22">
        <f t="shared" si="23"/>
        <v>12.969390514905136</v>
      </c>
      <c r="H152" s="18">
        <f t="shared" si="24"/>
        <v>-21.014630322118645</v>
      </c>
      <c r="I152" s="18">
        <f t="shared" si="25"/>
        <v>2.6254537642937397</v>
      </c>
      <c r="J152" s="24"/>
      <c r="K152" s="24"/>
      <c r="L152" s="19">
        <f t="shared" si="26"/>
        <v>41.261259943639622</v>
      </c>
      <c r="O152" s="9">
        <f t="shared" si="21"/>
        <v>6.1387400563603762</v>
      </c>
      <c r="P152" s="10">
        <f t="shared" si="27"/>
        <v>37.684129479563396</v>
      </c>
      <c r="V152" s="10">
        <f t="shared" si="29"/>
        <v>4.455471642485332E-2</v>
      </c>
      <c r="W152" s="13">
        <f t="shared" si="22"/>
        <v>46.657785686817739</v>
      </c>
      <c r="Z152" s="15">
        <f t="shared" si="28"/>
        <v>168.20509032811131</v>
      </c>
    </row>
    <row r="153" spans="1:26">
      <c r="A153" s="84">
        <f>'Q.6 Rand()'!T151</f>
        <v>2.4</v>
      </c>
      <c r="B153" s="141">
        <f>'Q.6 Rand()'!U151</f>
        <v>36.700000000000003</v>
      </c>
      <c r="D153" s="23"/>
      <c r="E153" s="24"/>
      <c r="F153" s="22">
        <f t="shared" si="20"/>
        <v>-1.2203252032520324</v>
      </c>
      <c r="G153" s="22">
        <f t="shared" si="23"/>
        <v>2.2693905149051403</v>
      </c>
      <c r="H153" s="18">
        <f t="shared" si="24"/>
        <v>-2.7693944413598497</v>
      </c>
      <c r="I153" s="18">
        <f t="shared" si="25"/>
        <v>1.4891936016921143</v>
      </c>
      <c r="J153" s="24"/>
      <c r="K153" s="24"/>
      <c r="L153" s="19">
        <f t="shared" si="26"/>
        <v>39.575018084330026</v>
      </c>
      <c r="O153" s="9">
        <f t="shared" si="21"/>
        <v>-2.8750180843300228</v>
      </c>
      <c r="P153" s="10">
        <f t="shared" si="27"/>
        <v>8.2657289852246745</v>
      </c>
      <c r="V153" s="10">
        <f t="shared" si="29"/>
        <v>0.12950928388945943</v>
      </c>
      <c r="W153" s="13">
        <f t="shared" si="22"/>
        <v>26.464939835884692</v>
      </c>
      <c r="Z153" s="15">
        <f t="shared" si="28"/>
        <v>5.1501333091414176</v>
      </c>
    </row>
    <row r="154" spans="1:26">
      <c r="A154" s="84">
        <f>'Q.6 Rand()'!T152</f>
        <v>2.5</v>
      </c>
      <c r="B154" s="141">
        <f>'Q.6 Rand()'!U152</f>
        <v>35.922600000000003</v>
      </c>
      <c r="D154" s="23"/>
      <c r="E154" s="24"/>
      <c r="F154" s="22">
        <f t="shared" si="20"/>
        <v>-1.1203252032520323</v>
      </c>
      <c r="G154" s="22">
        <f t="shared" si="23"/>
        <v>1.4919905149051402</v>
      </c>
      <c r="H154" s="18">
        <f t="shared" si="24"/>
        <v>-1.6715145768612056</v>
      </c>
      <c r="I154" s="18">
        <f t="shared" si="25"/>
        <v>1.2551285610417076</v>
      </c>
      <c r="J154" s="24"/>
      <c r="K154" s="24"/>
      <c r="L154" s="19">
        <f t="shared" si="26"/>
        <v>39.153457619502632</v>
      </c>
      <c r="O154" s="9">
        <f t="shared" si="21"/>
        <v>-3.2308576195026291</v>
      </c>
      <c r="P154" s="10">
        <f t="shared" si="27"/>
        <v>10.438440957498194</v>
      </c>
      <c r="V154" s="10">
        <f t="shared" si="29"/>
        <v>7.833836742043658E-2</v>
      </c>
      <c r="W154" s="13">
        <f t="shared" si="22"/>
        <v>22.305294500678947</v>
      </c>
      <c r="Z154" s="15">
        <f t="shared" si="28"/>
        <v>2.2260356965669055</v>
      </c>
    </row>
    <row r="155" spans="1:26">
      <c r="A155" s="84">
        <f>'Q.6 Rand()'!T153</f>
        <v>6.3</v>
      </c>
      <c r="B155" s="141">
        <f>'Q.6 Rand()'!U153</f>
        <v>24.8202</v>
      </c>
      <c r="D155" s="23"/>
      <c r="E155" s="24"/>
      <c r="F155" s="22">
        <f t="shared" si="20"/>
        <v>2.6796747967479675</v>
      </c>
      <c r="G155" s="22">
        <f t="shared" si="23"/>
        <v>-9.6104094850948627</v>
      </c>
      <c r="H155" s="18">
        <f t="shared" si="24"/>
        <v>-25.752772083636316</v>
      </c>
      <c r="I155" s="18">
        <f t="shared" si="25"/>
        <v>7.1806570163262613</v>
      </c>
      <c r="J155" s="24"/>
      <c r="K155" s="24"/>
      <c r="L155" s="19">
        <f t="shared" si="26"/>
        <v>23.134159956061474</v>
      </c>
      <c r="O155" s="9">
        <f t="shared" si="21"/>
        <v>1.6860400439385259</v>
      </c>
      <c r="P155" s="10">
        <f t="shared" si="27"/>
        <v>2.8427310297642263</v>
      </c>
      <c r="V155" s="10">
        <f t="shared" si="29"/>
        <v>8.9939414727849012E-2</v>
      </c>
      <c r="W155" s="13">
        <f t="shared" si="22"/>
        <v>127.60977196199866</v>
      </c>
      <c r="Z155" s="15">
        <f t="shared" si="28"/>
        <v>92.359970471201308</v>
      </c>
    </row>
    <row r="156" spans="1:26">
      <c r="A156" s="84">
        <f>'Q.6 Rand()'!T154</f>
        <v>4</v>
      </c>
      <c r="B156" s="141">
        <f>'Q.6 Rand()'!U154</f>
        <v>27.9711</v>
      </c>
      <c r="D156" s="23"/>
      <c r="E156" s="24"/>
      <c r="F156" s="22">
        <f t="shared" si="20"/>
        <v>0.37967479674796767</v>
      </c>
      <c r="G156" s="22">
        <f t="shared" si="23"/>
        <v>-6.4595094850948627</v>
      </c>
      <c r="H156" s="18">
        <f t="shared" si="24"/>
        <v>-2.4525129508449615</v>
      </c>
      <c r="I156" s="18">
        <f t="shared" si="25"/>
        <v>0.14415295128561056</v>
      </c>
      <c r="J156" s="24"/>
      <c r="K156" s="24"/>
      <c r="L156" s="19">
        <f t="shared" si="26"/>
        <v>32.830050647091646</v>
      </c>
      <c r="O156" s="9">
        <f t="shared" si="21"/>
        <v>-4.8589506470916461</v>
      </c>
      <c r="P156" s="10">
        <f t="shared" si="27"/>
        <v>23.609401390872328</v>
      </c>
      <c r="V156" s="10">
        <f t="shared" si="29"/>
        <v>6.7930155435432668E-2</v>
      </c>
      <c r="W156" s="13">
        <f t="shared" si="22"/>
        <v>2.5617885939102067</v>
      </c>
      <c r="Z156" s="15">
        <f t="shared" si="28"/>
        <v>41.725262788030498</v>
      </c>
    </row>
    <row r="157" spans="1:26">
      <c r="A157" s="84">
        <f>'Q.6 Rand()'!T155</f>
        <v>3.8</v>
      </c>
      <c r="B157" s="141">
        <f>'Q.6 Rand()'!U155</f>
        <v>34.255000000000003</v>
      </c>
      <c r="D157" s="23"/>
      <c r="E157" s="24"/>
      <c r="F157" s="22">
        <f t="shared" si="20"/>
        <v>0.17967479674796749</v>
      </c>
      <c r="G157" s="22">
        <f t="shared" si="23"/>
        <v>-0.17560948509485996</v>
      </c>
      <c r="H157" s="18">
        <f t="shared" si="24"/>
        <v>-3.155259854143419E-2</v>
      </c>
      <c r="I157" s="18">
        <f t="shared" si="25"/>
        <v>3.2283032586423427E-2</v>
      </c>
      <c r="J157" s="24"/>
      <c r="K157" s="24"/>
      <c r="L157" s="19">
        <f t="shared" si="26"/>
        <v>33.673171576746441</v>
      </c>
      <c r="O157" s="9">
        <f t="shared" si="21"/>
        <v>0.58182842325356177</v>
      </c>
      <c r="P157" s="10">
        <f t="shared" si="27"/>
        <v>0.33852431410572581</v>
      </c>
      <c r="V157" s="10">
        <f t="shared" si="29"/>
        <v>0.17371324857054768</v>
      </c>
      <c r="W157" s="13">
        <f t="shared" si="22"/>
        <v>0.57371218500323207</v>
      </c>
      <c r="Z157" s="15">
        <f t="shared" si="28"/>
        <v>3.0838691255281842E-2</v>
      </c>
    </row>
    <row r="158" spans="1:26">
      <c r="A158" s="84">
        <f>'Q.6 Rand()'!T156</f>
        <v>2.2000000000000002</v>
      </c>
      <c r="B158" s="141">
        <f>'Q.6 Rand()'!U156</f>
        <v>51.9</v>
      </c>
      <c r="D158" s="23"/>
      <c r="E158" s="24"/>
      <c r="F158" s="22">
        <f t="shared" si="20"/>
        <v>-1.4203252032520322</v>
      </c>
      <c r="G158" s="22">
        <f t="shared" si="23"/>
        <v>17.469390514905136</v>
      </c>
      <c r="H158" s="18">
        <f t="shared" si="24"/>
        <v>-24.812215633771761</v>
      </c>
      <c r="I158" s="18">
        <f t="shared" si="25"/>
        <v>2.0173236829929264</v>
      </c>
      <c r="J158" s="24"/>
      <c r="K158" s="24"/>
      <c r="L158" s="19">
        <f t="shared" si="26"/>
        <v>40.418139013984828</v>
      </c>
      <c r="O158" s="9">
        <f t="shared" si="21"/>
        <v>11.481860986015171</v>
      </c>
      <c r="P158" s="10">
        <f t="shared" si="27"/>
        <v>131.83313170217727</v>
      </c>
      <c r="V158" s="10">
        <f t="shared" si="29"/>
        <v>1.6985211596951152E-2</v>
      </c>
      <c r="W158" s="13">
        <f t="shared" si="22"/>
        <v>35.850509859329286</v>
      </c>
      <c r="Z158" s="15">
        <f t="shared" si="28"/>
        <v>305.17960496225754</v>
      </c>
    </row>
    <row r="159" spans="1:26">
      <c r="A159" s="84">
        <f>'Q.6 Rand()'!T157</f>
        <v>3.5</v>
      </c>
      <c r="B159" s="141">
        <f>'Q.6 Rand()'!U157</f>
        <v>35.5</v>
      </c>
      <c r="D159" s="23"/>
      <c r="E159" s="24"/>
      <c r="F159" s="22">
        <f t="shared" si="20"/>
        <v>-0.12032520325203233</v>
      </c>
      <c r="G159" s="22">
        <f t="shared" si="23"/>
        <v>1.0693905149051375</v>
      </c>
      <c r="H159" s="18">
        <f t="shared" si="24"/>
        <v>-0.12867463106175617</v>
      </c>
      <c r="I159" s="18">
        <f t="shared" si="25"/>
        <v>1.4478154537642892E-2</v>
      </c>
      <c r="J159" s="24"/>
      <c r="K159" s="24"/>
      <c r="L159" s="19">
        <f t="shared" si="26"/>
        <v>34.937852971228637</v>
      </c>
      <c r="O159" s="9">
        <f t="shared" si="21"/>
        <v>0.56214702877136347</v>
      </c>
      <c r="P159" s="10">
        <f t="shared" si="27"/>
        <v>0.31600928195647215</v>
      </c>
      <c r="V159" s="10">
        <f t="shared" si="29"/>
        <v>0.22123046215828845</v>
      </c>
      <c r="W159" s="13">
        <f t="shared" si="22"/>
        <v>0.25729595422514417</v>
      </c>
      <c r="Z159" s="15">
        <f t="shared" si="28"/>
        <v>1.1435960733690751</v>
      </c>
    </row>
    <row r="160" spans="1:26">
      <c r="A160" s="84">
        <f>'Q.6 Rand()'!T158</f>
        <v>5.3</v>
      </c>
      <c r="B160" s="141">
        <f>'Q.6 Rand()'!U158</f>
        <v>23.299900000000001</v>
      </c>
      <c r="D160" s="23"/>
      <c r="E160" s="24"/>
      <c r="F160" s="22">
        <f t="shared" si="20"/>
        <v>1.6796747967479675</v>
      </c>
      <c r="G160" s="22">
        <f t="shared" si="23"/>
        <v>-11.130709485094862</v>
      </c>
      <c r="H160" s="18">
        <f t="shared" si="24"/>
        <v>-18.695972192037384</v>
      </c>
      <c r="I160" s="18">
        <f t="shared" si="25"/>
        <v>2.8213074228303259</v>
      </c>
      <c r="J160" s="24"/>
      <c r="K160" s="24"/>
      <c r="L160" s="19">
        <f t="shared" si="26"/>
        <v>27.349764604335462</v>
      </c>
      <c r="O160" s="9">
        <f t="shared" si="21"/>
        <v>-4.0498646043354611</v>
      </c>
      <c r="P160" s="10">
        <f t="shared" si="27"/>
        <v>16.401403313449222</v>
      </c>
      <c r="V160" s="10">
        <f t="shared" si="29"/>
        <v>1.5835127571024323E-2</v>
      </c>
      <c r="W160" s="13">
        <f t="shared" si="22"/>
        <v>50.138364225376606</v>
      </c>
      <c r="Z160" s="15">
        <f t="shared" si="28"/>
        <v>123.89269364158072</v>
      </c>
    </row>
    <row r="161" spans="1:26">
      <c r="A161" s="84">
        <f>'Q.6 Rand()'!T159</f>
        <v>6</v>
      </c>
      <c r="B161" s="141">
        <f>'Q.6 Rand()'!U159</f>
        <v>30.5</v>
      </c>
      <c r="D161" s="23"/>
      <c r="E161" s="24"/>
      <c r="F161" s="22">
        <f t="shared" si="20"/>
        <v>2.3796747967479677</v>
      </c>
      <c r="G161" s="22">
        <f t="shared" si="23"/>
        <v>-3.9306094850948625</v>
      </c>
      <c r="H161" s="18">
        <f t="shared" si="24"/>
        <v>-9.3535723275387515</v>
      </c>
      <c r="I161" s="18">
        <f t="shared" si="25"/>
        <v>5.662852138277481</v>
      </c>
      <c r="J161" s="24"/>
      <c r="K161" s="24"/>
      <c r="L161" s="19">
        <f t="shared" si="26"/>
        <v>24.39884135054367</v>
      </c>
      <c r="O161" s="9">
        <f t="shared" si="21"/>
        <v>6.1011586494563304</v>
      </c>
      <c r="P161" s="10">
        <f t="shared" si="27"/>
        <v>37.224136865835796</v>
      </c>
      <c r="V161" s="10">
        <f t="shared" si="29"/>
        <v>0.17381467750228374</v>
      </c>
      <c r="W161" s="13">
        <f t="shared" si="22"/>
        <v>100.63637190539671</v>
      </c>
      <c r="Z161" s="15">
        <f t="shared" si="28"/>
        <v>15.4496909243177</v>
      </c>
    </row>
    <row r="162" spans="1:26">
      <c r="A162" s="84">
        <f>'Q.6 Rand()'!T160</f>
        <v>6.2</v>
      </c>
      <c r="B162" s="141">
        <f>'Q.6 Rand()'!U160</f>
        <v>28.4</v>
      </c>
      <c r="D162" s="23"/>
      <c r="E162" s="24"/>
      <c r="F162" s="22">
        <f t="shared" si="20"/>
        <v>2.5796747967479678</v>
      </c>
      <c r="G162" s="22">
        <f t="shared" si="23"/>
        <v>-6.0306094850948639</v>
      </c>
      <c r="H162" s="18">
        <f t="shared" si="24"/>
        <v>-15.55701129772846</v>
      </c>
      <c r="I162" s="18">
        <f t="shared" si="25"/>
        <v>6.6547220569766692</v>
      </c>
      <c r="J162" s="24"/>
      <c r="K162" s="24"/>
      <c r="L162" s="19">
        <f t="shared" si="26"/>
        <v>23.555720420888871</v>
      </c>
      <c r="O162" s="9">
        <f t="shared" si="21"/>
        <v>4.8442795791111273</v>
      </c>
      <c r="P162" s="10">
        <f t="shared" si="27"/>
        <v>23.46704464059308</v>
      </c>
      <c r="V162" s="10">
        <f t="shared" si="29"/>
        <v>0.20003798850676494</v>
      </c>
      <c r="W162" s="13">
        <f t="shared" si="22"/>
        <v>118.26321215878706</v>
      </c>
      <c r="Z162" s="15">
        <f t="shared" si="28"/>
        <v>36.368250761716141</v>
      </c>
    </row>
    <row r="163" spans="1:26">
      <c r="A163" s="84">
        <f>'Q.6 Rand()'!T161</f>
        <v>3</v>
      </c>
      <c r="B163" s="141">
        <f>'Q.6 Rand()'!U161</f>
        <v>35.9</v>
      </c>
      <c r="D163" s="23"/>
      <c r="E163" s="24"/>
      <c r="F163" s="22">
        <f t="shared" si="20"/>
        <v>-0.62032520325203233</v>
      </c>
      <c r="G163" s="22">
        <f t="shared" si="23"/>
        <v>1.4693905149051361</v>
      </c>
      <c r="H163" s="18">
        <f t="shared" si="24"/>
        <v>-0.91149996981513692</v>
      </c>
      <c r="I163" s="18">
        <f t="shared" si="25"/>
        <v>0.38480335778967523</v>
      </c>
      <c r="J163" s="24"/>
      <c r="K163" s="24"/>
      <c r="L163" s="19">
        <f t="shared" si="26"/>
        <v>37.045655295365634</v>
      </c>
      <c r="O163" s="9">
        <f t="shared" si="21"/>
        <v>-1.1456552953656356</v>
      </c>
      <c r="P163" s="10">
        <f t="shared" si="27"/>
        <v>1.3125260557993217</v>
      </c>
      <c r="V163" s="10">
        <f t="shared" si="29"/>
        <v>0.170573224616589</v>
      </c>
      <c r="W163" s="13">
        <f t="shared" si="22"/>
        <v>6.8384645898147163</v>
      </c>
      <c r="Z163" s="15">
        <f t="shared" si="28"/>
        <v>2.159108485293181</v>
      </c>
    </row>
    <row r="164" spans="1:26">
      <c r="A164" s="84">
        <f>'Q.6 Rand()'!T162</f>
        <v>2</v>
      </c>
      <c r="B164" s="141">
        <f>'Q.6 Rand()'!U162</f>
        <v>30.6</v>
      </c>
      <c r="D164" s="23"/>
      <c r="E164" s="24"/>
      <c r="F164" s="22">
        <f t="shared" si="20"/>
        <v>-1.6203252032520323</v>
      </c>
      <c r="G164" s="22">
        <f t="shared" si="23"/>
        <v>-3.8306094850948611</v>
      </c>
      <c r="H164" s="18">
        <f t="shared" si="24"/>
        <v>6.2068330925154935</v>
      </c>
      <c r="I164" s="18">
        <f t="shared" si="25"/>
        <v>2.6254537642937397</v>
      </c>
      <c r="J164" s="24"/>
      <c r="K164" s="24"/>
      <c r="L164" s="19">
        <f t="shared" si="26"/>
        <v>41.261259943639622</v>
      </c>
      <c r="O164" s="9">
        <f t="shared" si="21"/>
        <v>-10.661259943639621</v>
      </c>
      <c r="P164" s="10">
        <f t="shared" si="27"/>
        <v>113.6624635858547</v>
      </c>
      <c r="V164" s="10">
        <f t="shared" si="29"/>
        <v>3.1912403770630517E-2</v>
      </c>
      <c r="W164" s="13">
        <f t="shared" si="22"/>
        <v>46.657785686817739</v>
      </c>
      <c r="Z164" s="15">
        <f t="shared" si="28"/>
        <v>14.673569027298717</v>
      </c>
    </row>
    <row r="165" spans="1:26">
      <c r="A165" s="84">
        <f>'Q.6 Rand()'!T163</f>
        <v>3</v>
      </c>
      <c r="B165" s="141">
        <f>'Q.6 Rand()'!U163</f>
        <v>35.708100000000002</v>
      </c>
      <c r="D165" s="23"/>
      <c r="E165" s="24"/>
      <c r="F165" s="22">
        <f t="shared" si="20"/>
        <v>-0.62032520325203233</v>
      </c>
      <c r="G165" s="22">
        <f t="shared" si="23"/>
        <v>1.2774905149051392</v>
      </c>
      <c r="H165" s="18">
        <f t="shared" si="24"/>
        <v>-0.79245956331107392</v>
      </c>
      <c r="I165" s="18">
        <f t="shared" si="25"/>
        <v>0.38480335778967523</v>
      </c>
      <c r="J165" s="24"/>
      <c r="K165" s="24"/>
      <c r="L165" s="19">
        <f t="shared" si="26"/>
        <v>37.045655295365634</v>
      </c>
      <c r="O165" s="9">
        <f t="shared" si="21"/>
        <v>-1.3375552953656324</v>
      </c>
      <c r="P165" s="10">
        <f t="shared" si="27"/>
        <v>1.7890541681606442</v>
      </c>
      <c r="V165" s="10">
        <f t="shared" si="29"/>
        <v>0.34840718770064116</v>
      </c>
      <c r="W165" s="13">
        <f t="shared" si="22"/>
        <v>6.8384645898147163</v>
      </c>
      <c r="Z165" s="15">
        <f t="shared" si="28"/>
        <v>1.6319820156725977</v>
      </c>
    </row>
    <row r="166" spans="1:26">
      <c r="A166" s="84">
        <f>'Q.6 Rand()'!T164</f>
        <v>2.9</v>
      </c>
      <c r="B166" s="141">
        <f>'Q.6 Rand()'!U164</f>
        <v>34.299999999999997</v>
      </c>
      <c r="D166" s="23"/>
      <c r="E166" s="24"/>
      <c r="F166" s="22">
        <f t="shared" si="20"/>
        <v>-0.72032520325203242</v>
      </c>
      <c r="G166" s="22">
        <f t="shared" si="23"/>
        <v>-0.13060948509486536</v>
      </c>
      <c r="H166" s="18">
        <f t="shared" si="24"/>
        <v>9.4081303897602192E-2</v>
      </c>
      <c r="I166" s="18">
        <f t="shared" si="25"/>
        <v>0.51886839844008181</v>
      </c>
      <c r="J166" s="24"/>
      <c r="K166" s="24"/>
      <c r="L166" s="19">
        <f t="shared" si="26"/>
        <v>37.467215760193035</v>
      </c>
      <c r="O166" s="9">
        <f t="shared" si="21"/>
        <v>-3.167215760193038</v>
      </c>
      <c r="P166" s="10">
        <f t="shared" si="27"/>
        <v>10.031255671615163</v>
      </c>
      <c r="V166" s="10">
        <f t="shared" si="29"/>
        <v>3.7458036002073265E-2</v>
      </c>
      <c r="W166" s="13">
        <f t="shared" si="22"/>
        <v>9.220977669965599</v>
      </c>
      <c r="Z166" s="15">
        <f t="shared" si="28"/>
        <v>1.7058837596745858E-2</v>
      </c>
    </row>
    <row r="167" spans="1:26">
      <c r="A167" s="84">
        <f>'Q.6 Rand()'!T165</f>
        <v>4</v>
      </c>
      <c r="B167" s="141">
        <f>'Q.6 Rand()'!U165</f>
        <v>28.654900000000001</v>
      </c>
      <c r="D167" s="23"/>
      <c r="E167" s="24"/>
      <c r="F167" s="22">
        <f t="shared" si="20"/>
        <v>0.37967479674796767</v>
      </c>
      <c r="G167" s="22">
        <f t="shared" si="23"/>
        <v>-5.7757094850948612</v>
      </c>
      <c r="H167" s="18">
        <f t="shared" si="24"/>
        <v>-2.1928913248287003</v>
      </c>
      <c r="I167" s="18">
        <f t="shared" si="25"/>
        <v>0.14415295128561056</v>
      </c>
      <c r="J167" s="24"/>
      <c r="K167" s="24"/>
      <c r="L167" s="19">
        <f t="shared" si="26"/>
        <v>32.830050647091646</v>
      </c>
      <c r="O167" s="9">
        <f t="shared" si="21"/>
        <v>-4.1751506470916446</v>
      </c>
      <c r="P167" s="10">
        <f t="shared" si="27"/>
        <v>17.431882925909779</v>
      </c>
      <c r="V167" s="10">
        <f t="shared" si="29"/>
        <v>9.233865190067167E-2</v>
      </c>
      <c r="W167" s="13">
        <f t="shared" si="22"/>
        <v>2.5617885939102067</v>
      </c>
      <c r="Z167" s="15">
        <f t="shared" si="28"/>
        <v>33.358820056214746</v>
      </c>
    </row>
    <row r="168" spans="1:26">
      <c r="A168" s="84">
        <f>'Q.6 Rand()'!T166</f>
        <v>4.5999999999999996</v>
      </c>
      <c r="B168" s="141">
        <f>'Q.6 Rand()'!U166</f>
        <v>31.9</v>
      </c>
      <c r="D168" s="23"/>
      <c r="E168" s="24"/>
      <c r="F168" s="22">
        <f t="shared" si="20"/>
        <v>0.97967479674796731</v>
      </c>
      <c r="G168" s="22">
        <f t="shared" si="23"/>
        <v>-2.5306094850948639</v>
      </c>
      <c r="H168" s="18">
        <f t="shared" si="24"/>
        <v>-2.479174332958789</v>
      </c>
      <c r="I168" s="18">
        <f t="shared" si="25"/>
        <v>0.95976270738317104</v>
      </c>
      <c r="J168" s="24"/>
      <c r="K168" s="24"/>
      <c r="L168" s="19">
        <f t="shared" si="26"/>
        <v>30.300687858127255</v>
      </c>
      <c r="O168" s="9">
        <f t="shared" si="21"/>
        <v>1.5993121418727441</v>
      </c>
      <c r="P168" s="10">
        <f t="shared" si="27"/>
        <v>2.5577993271415842</v>
      </c>
      <c r="V168" s="10">
        <f t="shared" si="29"/>
        <v>0.14570459666903895</v>
      </c>
      <c r="W168" s="13">
        <f t="shared" si="22"/>
        <v>17.056252644894773</v>
      </c>
      <c r="Z168" s="15">
        <f t="shared" si="28"/>
        <v>6.4039843660520921</v>
      </c>
    </row>
    <row r="169" spans="1:26">
      <c r="A169" s="84">
        <f>'Q.6 Rand()'!T167</f>
        <v>2.4</v>
      </c>
      <c r="B169" s="141">
        <f>'Q.6 Rand()'!U167</f>
        <v>46.9</v>
      </c>
      <c r="D169" s="23"/>
      <c r="E169" s="24"/>
      <c r="F169" s="22">
        <f t="shared" si="20"/>
        <v>-1.2203252032520324</v>
      </c>
      <c r="G169" s="22">
        <f t="shared" si="23"/>
        <v>12.469390514905136</v>
      </c>
      <c r="H169" s="18">
        <f t="shared" si="24"/>
        <v>-15.216711514530575</v>
      </c>
      <c r="I169" s="18">
        <f t="shared" si="25"/>
        <v>1.4891936016921143</v>
      </c>
      <c r="J169" s="24"/>
      <c r="K169" s="24"/>
      <c r="L169" s="19">
        <f t="shared" si="26"/>
        <v>39.575018084330026</v>
      </c>
      <c r="O169" s="9">
        <f t="shared" si="21"/>
        <v>7.3249819156699729</v>
      </c>
      <c r="P169" s="10">
        <f t="shared" si="27"/>
        <v>53.655360064892143</v>
      </c>
      <c r="V169" s="10">
        <f t="shared" si="29"/>
        <v>5.0135176861214548E-2</v>
      </c>
      <c r="W169" s="13">
        <f t="shared" si="22"/>
        <v>26.464939835884692</v>
      </c>
      <c r="Z169" s="15">
        <f t="shared" si="28"/>
        <v>155.48569981320617</v>
      </c>
    </row>
    <row r="170" spans="1:26">
      <c r="A170" s="84">
        <f>'Q.6 Rand()'!T168</f>
        <v>2.5</v>
      </c>
      <c r="B170" s="141">
        <f>'Q.6 Rand()'!U168</f>
        <v>40.081600000000002</v>
      </c>
      <c r="D170" s="23"/>
      <c r="E170" s="24"/>
      <c r="F170" s="22">
        <f t="shared" si="20"/>
        <v>-1.1203252032520323</v>
      </c>
      <c r="G170" s="22">
        <f t="shared" si="23"/>
        <v>5.6509905149051392</v>
      </c>
      <c r="H170" s="18">
        <f t="shared" si="24"/>
        <v>-6.3309470971864066</v>
      </c>
      <c r="I170" s="18">
        <f t="shared" si="25"/>
        <v>1.2551285610417076</v>
      </c>
      <c r="J170" s="24"/>
      <c r="K170" s="24"/>
      <c r="L170" s="19">
        <f t="shared" si="26"/>
        <v>39.153457619502632</v>
      </c>
      <c r="O170" s="9">
        <f t="shared" si="21"/>
        <v>0.92814238049736986</v>
      </c>
      <c r="P170" s="10">
        <f t="shared" si="27"/>
        <v>0.86144827847532446</v>
      </c>
      <c r="V170" s="10">
        <f t="shared" si="29"/>
        <v>0.15618298327654526</v>
      </c>
      <c r="W170" s="13">
        <f t="shared" si="22"/>
        <v>22.305294500678947</v>
      </c>
      <c r="Z170" s="15">
        <f t="shared" si="28"/>
        <v>31.93369379954785</v>
      </c>
    </row>
    <row r="171" spans="1:26">
      <c r="A171" s="84">
        <f>'Q.6 Rand()'!T169</f>
        <v>3.7</v>
      </c>
      <c r="B171" s="141">
        <f>'Q.6 Rand()'!U169</f>
        <v>37.064999999999998</v>
      </c>
      <c r="D171" s="23"/>
      <c r="E171" s="24"/>
      <c r="F171" s="22">
        <f t="shared" si="20"/>
        <v>7.9674796747967846E-2</v>
      </c>
      <c r="G171" s="22">
        <f t="shared" si="23"/>
        <v>2.6343905149051352</v>
      </c>
      <c r="H171" s="18">
        <f t="shared" si="24"/>
        <v>0.209894528829841</v>
      </c>
      <c r="I171" s="18">
        <f t="shared" si="25"/>
        <v>6.348073236829988E-3</v>
      </c>
      <c r="J171" s="24"/>
      <c r="K171" s="24"/>
      <c r="L171" s="19">
        <f t="shared" si="26"/>
        <v>34.094732041573842</v>
      </c>
      <c r="O171" s="9">
        <f t="shared" si="21"/>
        <v>2.970267958426156</v>
      </c>
      <c r="P171" s="10">
        <f t="shared" si="27"/>
        <v>8.8224917448530853</v>
      </c>
      <c r="V171" s="10">
        <f t="shared" si="29"/>
        <v>2.3156320618372764E-2</v>
      </c>
      <c r="W171" s="13">
        <f t="shared" si="22"/>
        <v>0.1128136570662165</v>
      </c>
      <c r="Z171" s="15">
        <f t="shared" si="28"/>
        <v>6.9400133850221435</v>
      </c>
    </row>
    <row r="172" spans="1:26">
      <c r="A172" s="84">
        <f>'Q.6 Rand()'!T170</f>
        <v>5.6</v>
      </c>
      <c r="B172" s="141">
        <f>'Q.6 Rand()'!U170</f>
        <v>23.061</v>
      </c>
      <c r="D172" s="23"/>
      <c r="E172" s="24"/>
      <c r="F172" s="22">
        <f t="shared" si="20"/>
        <v>1.9796747967479673</v>
      </c>
      <c r="G172" s="22">
        <f t="shared" si="23"/>
        <v>-11.369609485094863</v>
      </c>
      <c r="H172" s="18">
        <f t="shared" si="24"/>
        <v>-22.508129346508934</v>
      </c>
      <c r="I172" s="18">
        <f t="shared" si="25"/>
        <v>3.9191123008791058</v>
      </c>
      <c r="J172" s="24"/>
      <c r="K172" s="24"/>
      <c r="L172" s="19">
        <f t="shared" si="26"/>
        <v>26.085083209853266</v>
      </c>
      <c r="O172" s="9">
        <f t="shared" si="21"/>
        <v>-3.0240832098532664</v>
      </c>
      <c r="P172" s="10">
        <f t="shared" si="27"/>
        <v>9.1450792601164341</v>
      </c>
      <c r="V172" s="10">
        <f t="shared" si="29"/>
        <v>8.0136731645114159E-2</v>
      </c>
      <c r="W172" s="13">
        <f t="shared" si="22"/>
        <v>69.647808810747875</v>
      </c>
      <c r="Z172" s="15">
        <f t="shared" si="28"/>
        <v>129.26801984355907</v>
      </c>
    </row>
    <row r="173" spans="1:26">
      <c r="A173" s="84">
        <f>'Q.6 Rand()'!T171</f>
        <v>4</v>
      </c>
      <c r="B173" s="141">
        <f>'Q.6 Rand()'!U171</f>
        <v>29.2</v>
      </c>
      <c r="D173" s="23"/>
      <c r="E173" s="24"/>
      <c r="F173" s="22">
        <f t="shared" si="20"/>
        <v>0.37967479674796767</v>
      </c>
      <c r="G173" s="22">
        <f t="shared" si="23"/>
        <v>-5.2306094850948632</v>
      </c>
      <c r="H173" s="18">
        <f t="shared" si="24"/>
        <v>-1.985930593121384</v>
      </c>
      <c r="I173" s="18">
        <f t="shared" si="25"/>
        <v>0.14415295128561056</v>
      </c>
      <c r="J173" s="24"/>
      <c r="K173" s="24"/>
      <c r="L173" s="19">
        <f t="shared" si="26"/>
        <v>32.830050647091646</v>
      </c>
      <c r="O173" s="9">
        <f t="shared" si="21"/>
        <v>-3.6300506470916467</v>
      </c>
      <c r="P173" s="10">
        <f t="shared" si="27"/>
        <v>13.177267700450482</v>
      </c>
      <c r="V173" s="10">
        <f t="shared" si="29"/>
        <v>0.13113408828122225</v>
      </c>
      <c r="W173" s="13">
        <f t="shared" si="22"/>
        <v>2.5617885939102067</v>
      </c>
      <c r="Z173" s="15">
        <f t="shared" si="28"/>
        <v>27.359275585564351</v>
      </c>
    </row>
    <row r="174" spans="1:26">
      <c r="A174" s="84">
        <f>'Q.6 Rand()'!T172</f>
        <v>3.7</v>
      </c>
      <c r="B174" s="141">
        <f>'Q.6 Rand()'!U172</f>
        <v>28.8</v>
      </c>
      <c r="D174" s="23"/>
      <c r="E174" s="24"/>
      <c r="F174" s="22">
        <f t="shared" si="20"/>
        <v>7.9674796747967846E-2</v>
      </c>
      <c r="G174" s="22">
        <f t="shared" si="23"/>
        <v>-5.6306094850948618</v>
      </c>
      <c r="H174" s="18">
        <f t="shared" si="24"/>
        <v>-0.44861766629211303</v>
      </c>
      <c r="I174" s="18">
        <f t="shared" si="25"/>
        <v>6.348073236829988E-3</v>
      </c>
      <c r="J174" s="24"/>
      <c r="K174" s="24"/>
      <c r="L174" s="19">
        <f t="shared" si="26"/>
        <v>34.094732041573842</v>
      </c>
      <c r="O174" s="9">
        <f t="shared" si="21"/>
        <v>-5.294732041573841</v>
      </c>
      <c r="P174" s="10">
        <f t="shared" si="27"/>
        <v>28.034187392068695</v>
      </c>
      <c r="V174" s="10">
        <f t="shared" si="29"/>
        <v>0.12431680298259064</v>
      </c>
      <c r="W174" s="13">
        <f t="shared" si="22"/>
        <v>0.1128136570662165</v>
      </c>
      <c r="Z174" s="15">
        <f t="shared" si="28"/>
        <v>31.703763173640226</v>
      </c>
    </row>
    <row r="175" spans="1:26">
      <c r="A175" s="84">
        <f>'Q.6 Rand()'!T173</f>
        <v>2.4</v>
      </c>
      <c r="B175" s="141">
        <f>'Q.6 Rand()'!U173</f>
        <v>39.299999999999997</v>
      </c>
      <c r="D175" s="23"/>
      <c r="E175" s="24"/>
      <c r="F175" s="22">
        <f t="shared" si="20"/>
        <v>-1.2203252032520324</v>
      </c>
      <c r="G175" s="22">
        <f t="shared" si="23"/>
        <v>4.8693905149051346</v>
      </c>
      <c r="H175" s="18">
        <f t="shared" si="24"/>
        <v>-5.9422399698151276</v>
      </c>
      <c r="I175" s="18">
        <f t="shared" si="25"/>
        <v>1.4891936016921143</v>
      </c>
      <c r="J175" s="24"/>
      <c r="K175" s="24"/>
      <c r="L175" s="19">
        <f t="shared" si="26"/>
        <v>39.575018084330026</v>
      </c>
      <c r="O175" s="9">
        <f t="shared" si="21"/>
        <v>-0.2750180843300285</v>
      </c>
      <c r="P175" s="10">
        <f t="shared" si="27"/>
        <v>7.5634946708558665E-2</v>
      </c>
      <c r="V175" s="10">
        <f t="shared" si="29"/>
        <v>0.18384486255464724</v>
      </c>
      <c r="W175" s="13">
        <f t="shared" si="22"/>
        <v>26.464939835884692</v>
      </c>
      <c r="Z175" s="15">
        <f t="shared" si="28"/>
        <v>23.710963986648093</v>
      </c>
    </row>
    <row r="176" spans="1:26">
      <c r="A176" s="84">
        <f>'Q.6 Rand()'!T174</f>
        <v>2.9</v>
      </c>
      <c r="B176" s="141">
        <f>'Q.6 Rand()'!U174</f>
        <v>34.1</v>
      </c>
      <c r="D176" s="23"/>
      <c r="E176" s="24"/>
      <c r="F176" s="22">
        <f t="shared" si="20"/>
        <v>-0.72032520325203242</v>
      </c>
      <c r="G176" s="22">
        <f t="shared" si="23"/>
        <v>-0.3306094850948611</v>
      </c>
      <c r="H176" s="18">
        <f t="shared" si="24"/>
        <v>0.2381463445480056</v>
      </c>
      <c r="I176" s="18">
        <f t="shared" si="25"/>
        <v>0.51886839844008181</v>
      </c>
      <c r="J176" s="24"/>
      <c r="K176" s="24"/>
      <c r="L176" s="19">
        <f t="shared" si="26"/>
        <v>37.467215760193035</v>
      </c>
      <c r="O176" s="9">
        <f t="shared" si="21"/>
        <v>-3.3672157601930337</v>
      </c>
      <c r="P176" s="10">
        <f t="shared" si="27"/>
        <v>11.33814197569235</v>
      </c>
      <c r="V176" s="10">
        <f t="shared" si="29"/>
        <v>6.9979156318073412E-3</v>
      </c>
      <c r="W176" s="13">
        <f t="shared" si="22"/>
        <v>9.220977669965599</v>
      </c>
      <c r="Z176" s="15">
        <f t="shared" si="28"/>
        <v>0.10930263163468919</v>
      </c>
    </row>
    <row r="177" spans="1:26">
      <c r="A177" s="84">
        <f>'Q.6 Rand()'!T175</f>
        <v>6.2</v>
      </c>
      <c r="B177" s="141">
        <f>'Q.6 Rand()'!U175</f>
        <v>27.1</v>
      </c>
      <c r="D177" s="23"/>
      <c r="E177" s="24"/>
      <c r="F177" s="22">
        <f t="shared" si="20"/>
        <v>2.5796747967479678</v>
      </c>
      <c r="G177" s="22">
        <f t="shared" si="23"/>
        <v>-7.3306094850948611</v>
      </c>
      <c r="H177" s="18">
        <f t="shared" si="24"/>
        <v>-18.91058853350081</v>
      </c>
      <c r="I177" s="18">
        <f t="shared" si="25"/>
        <v>6.6547220569766692</v>
      </c>
      <c r="J177" s="24"/>
      <c r="K177" s="24"/>
      <c r="L177" s="19">
        <f t="shared" si="26"/>
        <v>23.555720420888871</v>
      </c>
      <c r="O177" s="9">
        <f t="shared" si="21"/>
        <v>3.5442795791111301</v>
      </c>
      <c r="P177" s="10">
        <f t="shared" si="27"/>
        <v>12.561917734904169</v>
      </c>
      <c r="V177" s="10">
        <f t="shared" si="29"/>
        <v>9.8745330210939397E-2</v>
      </c>
      <c r="W177" s="13">
        <f t="shared" si="22"/>
        <v>118.26321215878706</v>
      </c>
      <c r="Z177" s="15">
        <f t="shared" si="28"/>
        <v>53.737835422962746</v>
      </c>
    </row>
    <row r="178" spans="1:26">
      <c r="A178" s="84">
        <f>'Q.6 Rand()'!T176</f>
        <v>6.8</v>
      </c>
      <c r="B178" s="141">
        <f>'Q.6 Rand()'!U176</f>
        <v>21.006</v>
      </c>
      <c r="D178" s="23"/>
      <c r="E178" s="24"/>
      <c r="F178" s="22">
        <f t="shared" si="20"/>
        <v>3.1796747967479675</v>
      </c>
      <c r="G178" s="22">
        <f t="shared" si="23"/>
        <v>-13.424609485094862</v>
      </c>
      <c r="H178" s="18">
        <f t="shared" si="24"/>
        <v>-42.685892435939842</v>
      </c>
      <c r="I178" s="18">
        <f t="shared" si="25"/>
        <v>10.110331813074229</v>
      </c>
      <c r="J178" s="24"/>
      <c r="K178" s="24"/>
      <c r="L178" s="19">
        <f t="shared" si="26"/>
        <v>21.02635763192448</v>
      </c>
      <c r="O178" s="9">
        <f t="shared" si="21"/>
        <v>-2.0357631924479591E-2</v>
      </c>
      <c r="P178" s="10">
        <f t="shared" si="27"/>
        <v>4.144331775725906E-4</v>
      </c>
      <c r="V178" s="10">
        <f t="shared" si="29"/>
        <v>0.1307852243214439</v>
      </c>
      <c r="W178" s="13">
        <f t="shared" si="22"/>
        <v>179.67396774322165</v>
      </c>
      <c r="Z178" s="15">
        <f t="shared" si="28"/>
        <v>180.22013982729894</v>
      </c>
    </row>
    <row r="179" spans="1:26">
      <c r="A179" s="84">
        <f>'Q.6 Rand()'!T177</f>
        <v>2.4</v>
      </c>
      <c r="B179" s="141">
        <f>'Q.6 Rand()'!U177</f>
        <v>39.200000000000003</v>
      </c>
      <c r="D179" s="23"/>
      <c r="E179" s="24"/>
      <c r="F179" s="22">
        <f t="shared" si="20"/>
        <v>-1.2203252032520324</v>
      </c>
      <c r="G179" s="22">
        <f t="shared" si="23"/>
        <v>4.7693905149051403</v>
      </c>
      <c r="H179" s="18">
        <f t="shared" si="24"/>
        <v>-5.8202074494899305</v>
      </c>
      <c r="I179" s="18">
        <f t="shared" si="25"/>
        <v>1.4891936016921143</v>
      </c>
      <c r="J179" s="24"/>
      <c r="K179" s="24"/>
      <c r="L179" s="19">
        <f t="shared" si="26"/>
        <v>39.575018084330026</v>
      </c>
      <c r="O179" s="9">
        <f t="shared" si="21"/>
        <v>-0.37501808433002282</v>
      </c>
      <c r="P179" s="10">
        <f t="shared" si="27"/>
        <v>0.14063856357456012</v>
      </c>
      <c r="V179" s="10">
        <f t="shared" si="29"/>
        <v>9.6913414855182283E-4</v>
      </c>
      <c r="W179" s="13">
        <f t="shared" si="22"/>
        <v>26.464939835884692</v>
      </c>
      <c r="Z179" s="15">
        <f t="shared" si="28"/>
        <v>22.747085883667118</v>
      </c>
    </row>
    <row r="180" spans="1:26">
      <c r="A180" s="84">
        <f>'Q.6 Rand()'!T178</f>
        <v>6.2</v>
      </c>
      <c r="B180" s="141">
        <f>'Q.6 Rand()'!U178</f>
        <v>26.1</v>
      </c>
      <c r="D180" s="23"/>
      <c r="E180" s="24"/>
      <c r="F180" s="22">
        <f t="shared" si="20"/>
        <v>2.5796747967479678</v>
      </c>
      <c r="G180" s="22">
        <f t="shared" si="23"/>
        <v>-8.3306094850948611</v>
      </c>
      <c r="H180" s="18">
        <f t="shared" si="24"/>
        <v>-21.49026333024878</v>
      </c>
      <c r="I180" s="18">
        <f t="shared" si="25"/>
        <v>6.6547220569766692</v>
      </c>
      <c r="J180" s="24"/>
      <c r="K180" s="24"/>
      <c r="L180" s="19">
        <f t="shared" si="26"/>
        <v>23.555720420888871</v>
      </c>
      <c r="O180" s="9">
        <f t="shared" si="21"/>
        <v>2.5442795791111301</v>
      </c>
      <c r="P180" s="10">
        <f t="shared" si="27"/>
        <v>6.4733585766819095</v>
      </c>
      <c r="V180" s="10">
        <f t="shared" si="29"/>
        <v>9.5667878655618065E-3</v>
      </c>
      <c r="W180" s="13">
        <f t="shared" si="22"/>
        <v>118.26321215878706</v>
      </c>
      <c r="Z180" s="15">
        <f t="shared" si="28"/>
        <v>69.399054393152468</v>
      </c>
    </row>
    <row r="181" spans="1:26">
      <c r="A181" s="84">
        <f>'Q.6 Rand()'!T179</f>
        <v>3.7</v>
      </c>
      <c r="B181" s="141">
        <f>'Q.6 Rand()'!U179</f>
        <v>28.5</v>
      </c>
      <c r="D181" s="23"/>
      <c r="E181" s="24"/>
      <c r="F181" s="22">
        <f t="shared" si="20"/>
        <v>7.9674796747967846E-2</v>
      </c>
      <c r="G181" s="22">
        <f t="shared" si="23"/>
        <v>-5.9306094850948625</v>
      </c>
      <c r="H181" s="18">
        <f t="shared" si="24"/>
        <v>-0.4725201053165034</v>
      </c>
      <c r="I181" s="18">
        <f t="shared" si="25"/>
        <v>6.348073236829988E-3</v>
      </c>
      <c r="J181" s="24"/>
      <c r="K181" s="24"/>
      <c r="L181" s="19">
        <f t="shared" si="26"/>
        <v>34.094732041573842</v>
      </c>
      <c r="O181" s="9">
        <f t="shared" si="21"/>
        <v>-5.5947320415738417</v>
      </c>
      <c r="P181" s="10">
        <f t="shared" si="27"/>
        <v>31.301026617013008</v>
      </c>
      <c r="V181" s="10">
        <f t="shared" si="29"/>
        <v>9.7481976211154411E-2</v>
      </c>
      <c r="W181" s="13">
        <f t="shared" si="22"/>
        <v>0.1128136570662165</v>
      </c>
      <c r="Z181" s="15">
        <f t="shared" si="28"/>
        <v>35.17212886469715</v>
      </c>
    </row>
    <row r="182" spans="1:26">
      <c r="A182" s="84">
        <f>'Q.6 Rand()'!T180</f>
        <v>3.2</v>
      </c>
      <c r="B182" s="141">
        <f>'Q.6 Rand()'!U180</f>
        <v>33.762799999999999</v>
      </c>
      <c r="D182" s="23"/>
      <c r="E182" s="24"/>
      <c r="F182" s="22">
        <f t="shared" si="20"/>
        <v>-0.42032520325203215</v>
      </c>
      <c r="G182" s="22">
        <f t="shared" si="23"/>
        <v>-0.66780948509486393</v>
      </c>
      <c r="H182" s="18">
        <f t="shared" si="24"/>
        <v>0.28069715755613361</v>
      </c>
      <c r="I182" s="18">
        <f t="shared" si="25"/>
        <v>0.17667327648886214</v>
      </c>
      <c r="J182" s="24"/>
      <c r="K182" s="24"/>
      <c r="L182" s="19">
        <f t="shared" si="26"/>
        <v>36.202534365710832</v>
      </c>
      <c r="O182" s="9">
        <f t="shared" si="21"/>
        <v>-2.4397343657108337</v>
      </c>
      <c r="P182" s="10">
        <f t="shared" si="27"/>
        <v>5.952303775230444</v>
      </c>
      <c r="V182" s="10">
        <f t="shared" si="29"/>
        <v>0.19630638742364356</v>
      </c>
      <c r="W182" s="13">
        <f t="shared" si="22"/>
        <v>3.1397177825459188</v>
      </c>
      <c r="Z182" s="15">
        <f t="shared" si="28"/>
        <v>0.4459695083826673</v>
      </c>
    </row>
    <row r="183" spans="1:26">
      <c r="A183" s="84">
        <f>'Q.6 Rand()'!T181</f>
        <v>3.6</v>
      </c>
      <c r="B183" s="141">
        <f>'Q.6 Rand()'!U181</f>
        <v>37.690800000000003</v>
      </c>
      <c r="D183" s="23"/>
      <c r="E183" s="24"/>
      <c r="F183" s="22">
        <f t="shared" si="20"/>
        <v>-2.0325203252032242E-2</v>
      </c>
      <c r="G183" s="22">
        <f t="shared" si="23"/>
        <v>3.2601905149051404</v>
      </c>
      <c r="H183" s="18">
        <f t="shared" si="24"/>
        <v>-6.6264034855794629E-2</v>
      </c>
      <c r="I183" s="18">
        <f t="shared" si="25"/>
        <v>4.1311388723642203E-4</v>
      </c>
      <c r="J183" s="24"/>
      <c r="K183" s="24"/>
      <c r="L183" s="19">
        <f t="shared" si="26"/>
        <v>34.516292506401243</v>
      </c>
      <c r="O183" s="9">
        <f t="shared" si="21"/>
        <v>3.1745074935987603</v>
      </c>
      <c r="P183" s="10">
        <f t="shared" si="27"/>
        <v>10.077497826914684</v>
      </c>
      <c r="V183" s="10">
        <f t="shared" si="29"/>
        <v>7.2261019989776729E-2</v>
      </c>
      <c r="W183" s="13">
        <f t="shared" si="22"/>
        <v>7.3415801401895981E-3</v>
      </c>
      <c r="Z183" s="15">
        <f t="shared" si="28"/>
        <v>10.628842193477444</v>
      </c>
    </row>
    <row r="184" spans="1:26">
      <c r="A184" s="84">
        <f>'Q.6 Rand()'!T182</f>
        <v>2.9</v>
      </c>
      <c r="B184" s="141">
        <f>'Q.6 Rand()'!U182</f>
        <v>35.323700000000002</v>
      </c>
      <c r="D184" s="23"/>
      <c r="E184" s="24"/>
      <c r="F184" s="22">
        <f t="shared" si="20"/>
        <v>-0.72032520325203242</v>
      </c>
      <c r="G184" s="22">
        <f t="shared" si="23"/>
        <v>0.8930905149051398</v>
      </c>
      <c r="H184" s="18">
        <f t="shared" si="24"/>
        <v>-0.64331560667150711</v>
      </c>
      <c r="I184" s="18">
        <f t="shared" si="25"/>
        <v>0.51886839844008181</v>
      </c>
      <c r="J184" s="24"/>
      <c r="K184" s="24"/>
      <c r="L184" s="19">
        <f t="shared" si="26"/>
        <v>37.467215760193035</v>
      </c>
      <c r="O184" s="9">
        <f t="shared" si="21"/>
        <v>-2.1435157601930328</v>
      </c>
      <c r="P184" s="10">
        <f t="shared" si="27"/>
        <v>4.5946598141959152</v>
      </c>
      <c r="V184" s="10">
        <f t="shared" si="29"/>
        <v>8.4224996381046829E-2</v>
      </c>
      <c r="W184" s="13">
        <f t="shared" si="22"/>
        <v>9.220977669965599</v>
      </c>
      <c r="Z184" s="15">
        <f t="shared" si="28"/>
        <v>0.79761066781352774</v>
      </c>
    </row>
    <row r="185" spans="1:26">
      <c r="A185" s="84">
        <f>'Q.6 Rand()'!T183</f>
        <v>2.5</v>
      </c>
      <c r="B185" s="141">
        <f>'Q.6 Rand()'!U183</f>
        <v>38.029899999999998</v>
      </c>
      <c r="D185" s="23"/>
      <c r="E185" s="24"/>
      <c r="F185" s="22">
        <f t="shared" si="20"/>
        <v>-1.1203252032520323</v>
      </c>
      <c r="G185" s="22">
        <f t="shared" si="23"/>
        <v>3.5992905149051353</v>
      </c>
      <c r="H185" s="18">
        <f t="shared" si="24"/>
        <v>-4.032375877674208</v>
      </c>
      <c r="I185" s="18">
        <f t="shared" si="25"/>
        <v>1.2551285610417076</v>
      </c>
      <c r="J185" s="24"/>
      <c r="K185" s="24"/>
      <c r="L185" s="19">
        <f t="shared" si="26"/>
        <v>39.153457619502632</v>
      </c>
      <c r="O185" s="9">
        <f t="shared" si="21"/>
        <v>-1.123557619502634</v>
      </c>
      <c r="P185" s="10">
        <f t="shared" si="27"/>
        <v>1.2623817243424256</v>
      </c>
      <c r="V185" s="10">
        <f t="shared" si="29"/>
        <v>6.068208483802752E-2</v>
      </c>
      <c r="W185" s="13">
        <f t="shared" si="22"/>
        <v>22.305294500678947</v>
      </c>
      <c r="Z185" s="15">
        <f t="shared" si="28"/>
        <v>12.954892210686074</v>
      </c>
    </row>
    <row r="186" spans="1:26">
      <c r="A186" s="84">
        <f>'Q.6 Rand()'!T184</f>
        <v>3.5</v>
      </c>
      <c r="B186" s="141">
        <f>'Q.6 Rand()'!U184</f>
        <v>28.668299999999999</v>
      </c>
      <c r="D186" s="23"/>
      <c r="E186" s="24"/>
      <c r="F186" s="22">
        <f t="shared" si="20"/>
        <v>-0.12032520325203233</v>
      </c>
      <c r="G186" s="22">
        <f t="shared" si="23"/>
        <v>-5.762309485094864</v>
      </c>
      <c r="H186" s="18">
        <f t="shared" si="24"/>
        <v>0.69335105999515323</v>
      </c>
      <c r="I186" s="18">
        <f t="shared" si="25"/>
        <v>1.4478154537642892E-2</v>
      </c>
      <c r="J186" s="24"/>
      <c r="K186" s="24"/>
      <c r="L186" s="19">
        <f t="shared" si="26"/>
        <v>34.937852971228637</v>
      </c>
      <c r="O186" s="9">
        <f t="shared" si="21"/>
        <v>-6.269552971228638</v>
      </c>
      <c r="P186" s="10">
        <f t="shared" si="27"/>
        <v>39.307294459041842</v>
      </c>
      <c r="V186" s="10">
        <f t="shared" si="29"/>
        <v>2.9544059266593762E-2</v>
      </c>
      <c r="W186" s="13">
        <f t="shared" si="22"/>
        <v>0.25729595422514417</v>
      </c>
      <c r="Z186" s="15">
        <f t="shared" si="28"/>
        <v>33.204210602014236</v>
      </c>
    </row>
    <row r="187" spans="1:26">
      <c r="A187" s="84">
        <f>'Q.6 Rand()'!T185</f>
        <v>8.4</v>
      </c>
      <c r="B187" s="141">
        <f>'Q.6 Rand()'!U185</f>
        <v>30</v>
      </c>
      <c r="D187" s="23"/>
      <c r="E187" s="24"/>
      <c r="F187" s="22">
        <f t="shared" si="20"/>
        <v>4.779674796747968</v>
      </c>
      <c r="G187" s="22">
        <f t="shared" si="23"/>
        <v>-4.4306094850948625</v>
      </c>
      <c r="H187" s="18">
        <f t="shared" si="24"/>
        <v>-21.176872490140408</v>
      </c>
      <c r="I187" s="18">
        <f t="shared" si="25"/>
        <v>22.845291162667728</v>
      </c>
      <c r="J187" s="24"/>
      <c r="K187" s="24"/>
      <c r="L187" s="19">
        <f t="shared" si="26"/>
        <v>14.281390194686097</v>
      </c>
      <c r="O187" s="9">
        <f t="shared" si="21"/>
        <v>15.718609805313903</v>
      </c>
      <c r="P187" s="10">
        <f t="shared" si="27"/>
        <v>247.07469421171038</v>
      </c>
      <c r="V187" s="10">
        <f t="shared" si="29"/>
        <v>0.21869287579761054</v>
      </c>
      <c r="W187" s="13">
        <f t="shared" si="22"/>
        <v>405.99103801298071</v>
      </c>
      <c r="Z187" s="15">
        <f t="shared" si="28"/>
        <v>19.630300409412563</v>
      </c>
    </row>
    <row r="188" spans="1:26">
      <c r="A188" s="84">
        <f>'Q.6 Rand()'!T186</f>
        <v>2</v>
      </c>
      <c r="B188" s="141">
        <f>'Q.6 Rand()'!U186</f>
        <v>40.5</v>
      </c>
      <c r="D188" s="23"/>
      <c r="E188" s="24"/>
      <c r="F188" s="22">
        <f t="shared" si="20"/>
        <v>-1.6203252032520323</v>
      </c>
      <c r="G188" s="22">
        <f t="shared" si="23"/>
        <v>6.0693905149051375</v>
      </c>
      <c r="H188" s="18">
        <f t="shared" si="24"/>
        <v>-9.8343864196796247</v>
      </c>
      <c r="I188" s="18">
        <f t="shared" si="25"/>
        <v>2.6254537642937397</v>
      </c>
      <c r="J188" s="24"/>
      <c r="K188" s="24"/>
      <c r="L188" s="19">
        <f t="shared" si="26"/>
        <v>41.261259943639622</v>
      </c>
      <c r="O188" s="9">
        <f t="shared" si="21"/>
        <v>-0.76125994363962235</v>
      </c>
      <c r="P188" s="10">
        <f t="shared" si="27"/>
        <v>0.57951670179020098</v>
      </c>
      <c r="V188" s="10">
        <f t="shared" si="29"/>
        <v>0.52395366017713008</v>
      </c>
      <c r="W188" s="13">
        <f t="shared" si="22"/>
        <v>46.657785686817739</v>
      </c>
      <c r="Z188" s="15">
        <f t="shared" si="28"/>
        <v>36.83750122242045</v>
      </c>
    </row>
    <row r="189" spans="1:26">
      <c r="A189" s="84">
        <f>'Q.6 Rand()'!T187</f>
        <v>2.5</v>
      </c>
      <c r="B189" s="141">
        <f>'Q.6 Rand()'!U187</f>
        <v>35.922600000000003</v>
      </c>
      <c r="D189" s="23"/>
      <c r="E189" s="24"/>
      <c r="F189" s="22">
        <f t="shared" si="20"/>
        <v>-1.1203252032520323</v>
      </c>
      <c r="G189" s="22">
        <f t="shared" si="23"/>
        <v>1.4919905149051402</v>
      </c>
      <c r="H189" s="18">
        <f t="shared" si="24"/>
        <v>-1.6715145768612056</v>
      </c>
      <c r="I189" s="18">
        <f t="shared" si="25"/>
        <v>1.2551285610417076</v>
      </c>
      <c r="J189" s="24"/>
      <c r="K189" s="24"/>
      <c r="L189" s="19">
        <f t="shared" si="26"/>
        <v>39.153457619502632</v>
      </c>
      <c r="O189" s="9">
        <f t="shared" si="21"/>
        <v>-3.2308576195026291</v>
      </c>
      <c r="P189" s="10">
        <f t="shared" si="27"/>
        <v>10.438440957498194</v>
      </c>
      <c r="V189" s="10">
        <f t="shared" si="29"/>
        <v>1.8796541818262281E-2</v>
      </c>
      <c r="W189" s="13">
        <f t="shared" si="22"/>
        <v>22.305294500678947</v>
      </c>
      <c r="Z189" s="15">
        <f t="shared" si="28"/>
        <v>2.2260356965669055</v>
      </c>
    </row>
    <row r="190" spans="1:26">
      <c r="A190" s="84">
        <f>'Q.6 Rand()'!T188</f>
        <v>3</v>
      </c>
      <c r="B190" s="141">
        <f>'Q.6 Rand()'!U188</f>
        <v>38.299999999999997</v>
      </c>
      <c r="D190" s="23"/>
      <c r="E190" s="24"/>
      <c r="F190" s="22">
        <f t="shared" si="20"/>
        <v>-0.62032520325203233</v>
      </c>
      <c r="G190" s="22">
        <f t="shared" si="23"/>
        <v>3.8693905149051346</v>
      </c>
      <c r="H190" s="18">
        <f t="shared" si="24"/>
        <v>-2.4002804576200139</v>
      </c>
      <c r="I190" s="18">
        <f t="shared" si="25"/>
        <v>0.38480335778967523</v>
      </c>
      <c r="J190" s="24"/>
      <c r="K190" s="24"/>
      <c r="L190" s="19">
        <f t="shared" si="26"/>
        <v>37.045655295365634</v>
      </c>
      <c r="O190" s="9">
        <f t="shared" si="21"/>
        <v>1.254344704634363</v>
      </c>
      <c r="P190" s="10">
        <f t="shared" si="27"/>
        <v>1.5733806380442674</v>
      </c>
      <c r="V190" s="10">
        <f t="shared" si="29"/>
        <v>8.9939414727849012E-2</v>
      </c>
      <c r="W190" s="13">
        <f t="shared" si="22"/>
        <v>6.8384645898147163</v>
      </c>
      <c r="Z190" s="15">
        <f t="shared" si="28"/>
        <v>14.972182956837823</v>
      </c>
    </row>
    <row r="191" spans="1:26">
      <c r="A191" s="84">
        <f>'Q.6 Rand()'!T189</f>
        <v>5.3</v>
      </c>
      <c r="B191" s="141">
        <f>'Q.6 Rand()'!U189</f>
        <v>22.9</v>
      </c>
      <c r="D191" s="23"/>
      <c r="E191" s="24"/>
      <c r="F191" s="22">
        <f t="shared" si="20"/>
        <v>1.6796747967479675</v>
      </c>
      <c r="G191" s="22">
        <f t="shared" si="23"/>
        <v>-11.530609485094864</v>
      </c>
      <c r="H191" s="18">
        <f t="shared" si="24"/>
        <v>-19.367674143256902</v>
      </c>
      <c r="I191" s="18">
        <f t="shared" si="25"/>
        <v>2.8213074228303259</v>
      </c>
      <c r="J191" s="24"/>
      <c r="K191" s="24"/>
      <c r="L191" s="19">
        <f t="shared" si="26"/>
        <v>27.349764604335462</v>
      </c>
      <c r="O191" s="9">
        <f t="shared" si="21"/>
        <v>-4.4497646043354635</v>
      </c>
      <c r="P191" s="10">
        <f t="shared" si="27"/>
        <v>19.800405033996743</v>
      </c>
      <c r="V191" s="10">
        <f t="shared" si="29"/>
        <v>3.2750514481314962E-2</v>
      </c>
      <c r="W191" s="13">
        <f t="shared" si="22"/>
        <v>50.138364225376606</v>
      </c>
      <c r="Z191" s="15">
        <f t="shared" si="28"/>
        <v>132.95495509775964</v>
      </c>
    </row>
    <row r="192" spans="1:26">
      <c r="A192" s="84">
        <f>'Q.6 Rand()'!T190</f>
        <v>3.7</v>
      </c>
      <c r="B192" s="141">
        <f>'Q.6 Rand()'!U190</f>
        <v>34.823500000000003</v>
      </c>
      <c r="D192" s="23"/>
      <c r="E192" s="24"/>
      <c r="F192" s="22">
        <f t="shared" si="20"/>
        <v>7.9674796747967846E-2</v>
      </c>
      <c r="G192" s="22">
        <f t="shared" si="23"/>
        <v>0.39289051490514026</v>
      </c>
      <c r="H192" s="18">
        <f t="shared" si="24"/>
        <v>3.1303471919271485E-2</v>
      </c>
      <c r="I192" s="18">
        <f t="shared" si="25"/>
        <v>6.348073236829988E-3</v>
      </c>
      <c r="J192" s="24"/>
      <c r="K192" s="24"/>
      <c r="L192" s="19">
        <f t="shared" si="26"/>
        <v>34.094732041573842</v>
      </c>
      <c r="O192" s="9">
        <f t="shared" si="21"/>
        <v>0.72876795842616104</v>
      </c>
      <c r="P192" s="10">
        <f t="shared" si="27"/>
        <v>0.53110273722863477</v>
      </c>
      <c r="V192" s="10">
        <f t="shared" si="29"/>
        <v>0.19431286481814253</v>
      </c>
      <c r="W192" s="13">
        <f t="shared" si="22"/>
        <v>0.1128136570662165</v>
      </c>
      <c r="Z192" s="15">
        <f t="shared" si="28"/>
        <v>0.15436295670242625</v>
      </c>
    </row>
    <row r="193" spans="1:26">
      <c r="A193" s="84">
        <f>'Q.6 Rand()'!T191</f>
        <v>3.8</v>
      </c>
      <c r="B193" s="141">
        <f>'Q.6 Rand()'!U191</f>
        <v>36.934699999999999</v>
      </c>
      <c r="D193" s="23"/>
      <c r="E193" s="24"/>
      <c r="F193" s="22">
        <f t="shared" si="20"/>
        <v>0.17967479674796749</v>
      </c>
      <c r="G193" s="22">
        <f t="shared" si="23"/>
        <v>2.5040905149051369</v>
      </c>
      <c r="H193" s="18">
        <f t="shared" si="24"/>
        <v>0.44992195430409371</v>
      </c>
      <c r="I193" s="18">
        <f t="shared" si="25"/>
        <v>3.2283032586423427E-2</v>
      </c>
      <c r="J193" s="24"/>
      <c r="K193" s="24"/>
      <c r="L193" s="19">
        <f t="shared" si="26"/>
        <v>33.673171576746441</v>
      </c>
      <c r="O193" s="9">
        <f t="shared" si="21"/>
        <v>3.2615284232535586</v>
      </c>
      <c r="P193" s="10">
        <f t="shared" si="27"/>
        <v>10.637567655690845</v>
      </c>
      <c r="V193" s="10">
        <f t="shared" si="29"/>
        <v>2.0927475940849167E-2</v>
      </c>
      <c r="W193" s="13">
        <f t="shared" si="22"/>
        <v>0.57371218500323207</v>
      </c>
      <c r="Z193" s="15">
        <f t="shared" si="28"/>
        <v>6.2704693068378736</v>
      </c>
    </row>
    <row r="194" spans="1:26">
      <c r="A194" s="84">
        <f>'Q.6 Rand()'!T192</f>
        <v>6.5</v>
      </c>
      <c r="B194" s="141">
        <f>'Q.6 Rand()'!U192</f>
        <v>17.5</v>
      </c>
      <c r="D194" s="23"/>
      <c r="E194" s="24"/>
      <c r="F194" s="22">
        <f t="shared" si="20"/>
        <v>2.8796747967479677</v>
      </c>
      <c r="G194" s="22">
        <f t="shared" si="23"/>
        <v>-16.930609485094863</v>
      </c>
      <c r="H194" s="18">
        <f t="shared" si="24"/>
        <v>-48.75464942780976</v>
      </c>
      <c r="I194" s="18">
        <f t="shared" si="25"/>
        <v>8.2925269350254496</v>
      </c>
      <c r="J194" s="24"/>
      <c r="K194" s="24"/>
      <c r="L194" s="19">
        <f t="shared" si="26"/>
        <v>22.291039026406676</v>
      </c>
      <c r="O194" s="9">
        <f t="shared" si="21"/>
        <v>-4.7910390264066756</v>
      </c>
      <c r="P194" s="10">
        <f t="shared" si="27"/>
        <v>22.954054952551825</v>
      </c>
      <c r="V194" s="10">
        <f t="shared" si="29"/>
        <v>8.8305263701981024E-2</v>
      </c>
      <c r="W194" s="13">
        <f t="shared" si="22"/>
        <v>147.36917092145492</v>
      </c>
      <c r="Z194" s="15">
        <f t="shared" si="28"/>
        <v>286.6455375367841</v>
      </c>
    </row>
    <row r="195" spans="1:26">
      <c r="A195" s="84">
        <f>'Q.6 Rand()'!T193</f>
        <v>6</v>
      </c>
      <c r="B195" s="141">
        <f>'Q.6 Rand()'!U193</f>
        <v>30.299900000000001</v>
      </c>
      <c r="D195" s="23"/>
      <c r="E195" s="24"/>
      <c r="F195" s="22">
        <f t="shared" si="20"/>
        <v>2.3796747967479677</v>
      </c>
      <c r="G195" s="22">
        <f t="shared" si="23"/>
        <v>-4.1307094850948616</v>
      </c>
      <c r="H195" s="18">
        <f t="shared" si="24"/>
        <v>-9.8297452543680173</v>
      </c>
      <c r="I195" s="18">
        <f t="shared" si="25"/>
        <v>5.662852138277481</v>
      </c>
      <c r="J195" s="24"/>
      <c r="K195" s="24"/>
      <c r="L195" s="19">
        <f t="shared" si="26"/>
        <v>24.39884135054367</v>
      </c>
      <c r="O195" s="9">
        <f t="shared" si="21"/>
        <v>5.9010586494563313</v>
      </c>
      <c r="P195" s="10">
        <f t="shared" si="27"/>
        <v>34.822493184323378</v>
      </c>
      <c r="V195" s="10">
        <f t="shared" si="29"/>
        <v>0.27377365865181003</v>
      </c>
      <c r="W195" s="13">
        <f t="shared" si="22"/>
        <v>100.63637190539671</v>
      </c>
      <c r="Z195" s="15">
        <f t="shared" si="28"/>
        <v>17.062760850252655</v>
      </c>
    </row>
    <row r="196" spans="1:26">
      <c r="A196" s="84">
        <f>'Q.6 Rand()'!T194</f>
        <v>5.9</v>
      </c>
      <c r="B196" s="141">
        <f>'Q.6 Rand()'!U194</f>
        <v>27.2408</v>
      </c>
      <c r="D196" s="23"/>
      <c r="E196" s="24"/>
      <c r="F196" s="22">
        <f t="shared" si="20"/>
        <v>2.279674796747968</v>
      </c>
      <c r="G196" s="22">
        <f t="shared" si="23"/>
        <v>-7.1898094850948624</v>
      </c>
      <c r="H196" s="18">
        <f t="shared" si="24"/>
        <v>-16.390427476590244</v>
      </c>
      <c r="I196" s="18">
        <f t="shared" si="25"/>
        <v>5.1969171789278894</v>
      </c>
      <c r="J196" s="24"/>
      <c r="K196" s="24"/>
      <c r="L196" s="19">
        <f t="shared" si="26"/>
        <v>24.820401815371067</v>
      </c>
      <c r="O196" s="9">
        <f t="shared" si="21"/>
        <v>2.4203981846289331</v>
      </c>
      <c r="P196" s="10">
        <f t="shared" si="27"/>
        <v>5.8583273721550349</v>
      </c>
      <c r="V196" s="10">
        <f t="shared" si="29"/>
        <v>0.19475505362909881</v>
      </c>
      <c r="W196" s="13">
        <f t="shared" si="22"/>
        <v>92.356091455218063</v>
      </c>
      <c r="Z196" s="15">
        <f t="shared" si="28"/>
        <v>51.693360431960052</v>
      </c>
    </row>
    <row r="197" spans="1:26">
      <c r="A197" s="84">
        <f>'Q.6 Rand()'!T195</f>
        <v>3</v>
      </c>
      <c r="B197" s="141">
        <f>'Q.6 Rand()'!U195</f>
        <v>32.954799999999999</v>
      </c>
      <c r="D197" s="23"/>
      <c r="E197" s="24"/>
      <c r="F197" s="22">
        <f t="shared" ref="F197:F260" si="30">A197-$D$5</f>
        <v>-0.62032520325203233</v>
      </c>
      <c r="G197" s="22">
        <f t="shared" si="23"/>
        <v>-1.4758094850948638</v>
      </c>
      <c r="H197" s="18">
        <f t="shared" si="24"/>
        <v>0.91548181880274859</v>
      </c>
      <c r="I197" s="18">
        <f t="shared" si="25"/>
        <v>0.38480335778967523</v>
      </c>
      <c r="J197" s="24"/>
      <c r="K197" s="24"/>
      <c r="L197" s="19">
        <f t="shared" si="26"/>
        <v>37.045655295365634</v>
      </c>
      <c r="O197" s="9">
        <f t="shared" ref="O197:O260" si="31">B197-L197</f>
        <v>-4.0908552953656354</v>
      </c>
      <c r="P197" s="10">
        <f t="shared" si="27"/>
        <v>16.735097047621061</v>
      </c>
      <c r="V197" s="10">
        <f t="shared" si="29"/>
        <v>8.8851949451885889E-2</v>
      </c>
      <c r="W197" s="13">
        <f t="shared" ref="W197:W260" si="32">(L197-$E$5)^2</f>
        <v>6.8384645898147163</v>
      </c>
      <c r="Z197" s="15">
        <f t="shared" si="28"/>
        <v>2.178013636295967</v>
      </c>
    </row>
    <row r="198" spans="1:26">
      <c r="A198" s="84">
        <f>'Q.6 Rand()'!T196</f>
        <v>3.5</v>
      </c>
      <c r="B198" s="141">
        <f>'Q.6 Rand()'!U196</f>
        <v>34.6</v>
      </c>
      <c r="D198" s="23"/>
      <c r="E198" s="24"/>
      <c r="F198" s="22">
        <f t="shared" si="30"/>
        <v>-0.12032520325203233</v>
      </c>
      <c r="G198" s="22">
        <f t="shared" ref="G198:G261" si="33">B198-$E$5</f>
        <v>0.1693905149051389</v>
      </c>
      <c r="H198" s="18">
        <f t="shared" ref="H198:H261" si="34">F198*G198</f>
        <v>-2.038194813492725E-2</v>
      </c>
      <c r="I198" s="18">
        <f t="shared" ref="I198:I261" si="35">F198^2</f>
        <v>1.4478154537642892E-2</v>
      </c>
      <c r="J198" s="24"/>
      <c r="K198" s="24"/>
      <c r="L198" s="19">
        <f t="shared" ref="L198:L261" si="36">$K$5+$J$5*A198</f>
        <v>34.937852971228637</v>
      </c>
      <c r="O198" s="9">
        <f t="shared" si="31"/>
        <v>-0.33785297122863511</v>
      </c>
      <c r="P198" s="10">
        <f t="shared" ref="P198:P261" si="37">O198^2</f>
        <v>0.11414463016801694</v>
      </c>
      <c r="V198" s="10">
        <f t="shared" si="29"/>
        <v>0.12413533977950512</v>
      </c>
      <c r="W198" s="13">
        <f t="shared" si="32"/>
        <v>0.25729595422514417</v>
      </c>
      <c r="Z198" s="15">
        <f t="shared" ref="Z198:Z261" si="38">(B198-$E$5)^2</f>
        <v>2.8693146539828084E-2</v>
      </c>
    </row>
    <row r="199" spans="1:26">
      <c r="A199" s="84">
        <f>'Q.6 Rand()'!T197</f>
        <v>3.8</v>
      </c>
      <c r="B199" s="141">
        <f>'Q.6 Rand()'!U197</f>
        <v>34.255000000000003</v>
      </c>
      <c r="D199" s="23"/>
      <c r="E199" s="24"/>
      <c r="F199" s="22">
        <f t="shared" si="30"/>
        <v>0.17967479674796749</v>
      </c>
      <c r="G199" s="22">
        <f t="shared" si="33"/>
        <v>-0.17560948509485996</v>
      </c>
      <c r="H199" s="18">
        <f t="shared" si="34"/>
        <v>-3.155259854143419E-2</v>
      </c>
      <c r="I199" s="18">
        <f t="shared" si="35"/>
        <v>3.2283032586423427E-2</v>
      </c>
      <c r="J199" s="24"/>
      <c r="K199" s="24"/>
      <c r="L199" s="19">
        <f t="shared" si="36"/>
        <v>33.673171576746441</v>
      </c>
      <c r="O199" s="9">
        <f t="shared" si="31"/>
        <v>0.58182842325356177</v>
      </c>
      <c r="P199" s="10">
        <f t="shared" si="37"/>
        <v>0.33852431410572581</v>
      </c>
      <c r="V199" s="10">
        <f t="shared" ref="V199:V262" si="39">ABS(O198) / B198</f>
        <v>9.7645367407119977E-3</v>
      </c>
      <c r="W199" s="13">
        <f t="shared" si="32"/>
        <v>0.57371218500323207</v>
      </c>
      <c r="Z199" s="15">
        <f t="shared" si="38"/>
        <v>3.0838691255281842E-2</v>
      </c>
    </row>
    <row r="200" spans="1:26">
      <c r="A200" s="84">
        <f>'Q.6 Rand()'!T198</f>
        <v>3.5</v>
      </c>
      <c r="B200" s="141">
        <f>'Q.6 Rand()'!U198</f>
        <v>30.6</v>
      </c>
      <c r="D200" s="23"/>
      <c r="E200" s="24"/>
      <c r="F200" s="22">
        <f t="shared" si="30"/>
        <v>-0.12032520325203233</v>
      </c>
      <c r="G200" s="22">
        <f t="shared" si="33"/>
        <v>-3.8306094850948611</v>
      </c>
      <c r="H200" s="18">
        <f t="shared" si="34"/>
        <v>0.46091886487320205</v>
      </c>
      <c r="I200" s="18">
        <f t="shared" si="35"/>
        <v>1.4478154537642892E-2</v>
      </c>
      <c r="J200" s="24"/>
      <c r="K200" s="24"/>
      <c r="L200" s="19">
        <f t="shared" si="36"/>
        <v>34.937852971228637</v>
      </c>
      <c r="O200" s="9">
        <f t="shared" si="31"/>
        <v>-4.3378529712286351</v>
      </c>
      <c r="P200" s="10">
        <f t="shared" si="37"/>
        <v>18.816968399997098</v>
      </c>
      <c r="V200" s="10">
        <f t="shared" si="39"/>
        <v>1.6985211596951152E-2</v>
      </c>
      <c r="W200" s="13">
        <f t="shared" si="32"/>
        <v>0.25729595422514417</v>
      </c>
      <c r="Z200" s="15">
        <f t="shared" si="38"/>
        <v>14.673569027298717</v>
      </c>
    </row>
    <row r="201" spans="1:26">
      <c r="A201" s="84">
        <f>'Q.6 Rand()'!T199</f>
        <v>5.3</v>
      </c>
      <c r="B201" s="141">
        <f>'Q.6 Rand()'!U199</f>
        <v>22.299900000000001</v>
      </c>
      <c r="D201" s="23"/>
      <c r="E201" s="24"/>
      <c r="F201" s="22">
        <f t="shared" si="30"/>
        <v>1.6796747967479675</v>
      </c>
      <c r="G201" s="22">
        <f t="shared" si="33"/>
        <v>-12.130709485094862</v>
      </c>
      <c r="H201" s="18">
        <f t="shared" si="34"/>
        <v>-20.375646988785352</v>
      </c>
      <c r="I201" s="18">
        <f t="shared" si="35"/>
        <v>2.8213074228303259</v>
      </c>
      <c r="J201" s="24"/>
      <c r="K201" s="24"/>
      <c r="L201" s="19">
        <f t="shared" si="36"/>
        <v>27.349764604335462</v>
      </c>
      <c r="O201" s="9">
        <f t="shared" si="31"/>
        <v>-5.0498646043354611</v>
      </c>
      <c r="P201" s="10">
        <f t="shared" si="37"/>
        <v>25.501132522120145</v>
      </c>
      <c r="V201" s="10">
        <f t="shared" si="39"/>
        <v>0.14175990102054362</v>
      </c>
      <c r="W201" s="13">
        <f t="shared" si="32"/>
        <v>50.138364225376606</v>
      </c>
      <c r="Z201" s="15">
        <f t="shared" si="38"/>
        <v>147.15411261177044</v>
      </c>
    </row>
    <row r="202" spans="1:26">
      <c r="A202" s="84">
        <f>'Q.6 Rand()'!T200</f>
        <v>2.4</v>
      </c>
      <c r="B202" s="141">
        <f>'Q.6 Rand()'!U200</f>
        <v>36.4</v>
      </c>
      <c r="D202" s="23"/>
      <c r="E202" s="24"/>
      <c r="F202" s="22">
        <f t="shared" si="30"/>
        <v>-1.2203252032520324</v>
      </c>
      <c r="G202" s="22">
        <f t="shared" si="33"/>
        <v>1.9693905149051361</v>
      </c>
      <c r="H202" s="18">
        <f t="shared" si="34"/>
        <v>-2.4032968803842349</v>
      </c>
      <c r="I202" s="18">
        <f t="shared" si="35"/>
        <v>1.4891936016921143</v>
      </c>
      <c r="J202" s="24"/>
      <c r="K202" s="24"/>
      <c r="L202" s="19">
        <f t="shared" si="36"/>
        <v>39.575018084330026</v>
      </c>
      <c r="O202" s="9">
        <f t="shared" si="31"/>
        <v>-3.1750180843300271</v>
      </c>
      <c r="P202" s="10">
        <f t="shared" si="37"/>
        <v>10.080739835822715</v>
      </c>
      <c r="V202" s="10">
        <f t="shared" si="39"/>
        <v>0.22645234303003425</v>
      </c>
      <c r="W202" s="13">
        <f t="shared" si="32"/>
        <v>26.464939835884692</v>
      </c>
      <c r="Z202" s="15">
        <f t="shared" si="38"/>
        <v>3.8784990001983171</v>
      </c>
    </row>
    <row r="203" spans="1:26">
      <c r="A203" s="84">
        <f>'Q.6 Rand()'!T201</f>
        <v>2.4</v>
      </c>
      <c r="B203" s="141">
        <f>'Q.6 Rand()'!U201</f>
        <v>37</v>
      </c>
      <c r="D203" s="23"/>
      <c r="E203" s="24"/>
      <c r="F203" s="22">
        <f t="shared" si="30"/>
        <v>-1.2203252032520324</v>
      </c>
      <c r="G203" s="22">
        <f t="shared" si="33"/>
        <v>2.5693905149051375</v>
      </c>
      <c r="H203" s="18">
        <f t="shared" si="34"/>
        <v>-3.135492002335456</v>
      </c>
      <c r="I203" s="18">
        <f t="shared" si="35"/>
        <v>1.4891936016921143</v>
      </c>
      <c r="J203" s="24"/>
      <c r="K203" s="24"/>
      <c r="L203" s="19">
        <f t="shared" si="36"/>
        <v>39.575018084330026</v>
      </c>
      <c r="O203" s="9">
        <f t="shared" si="31"/>
        <v>-2.5750180843300257</v>
      </c>
      <c r="P203" s="10">
        <f t="shared" si="37"/>
        <v>6.630718134626675</v>
      </c>
      <c r="V203" s="10">
        <f t="shared" si="39"/>
        <v>8.7225771547528225E-2</v>
      </c>
      <c r="W203" s="13">
        <f t="shared" si="32"/>
        <v>26.464939835884692</v>
      </c>
      <c r="Z203" s="15">
        <f t="shared" si="38"/>
        <v>6.6017676180844873</v>
      </c>
    </row>
    <row r="204" spans="1:26">
      <c r="A204" s="84">
        <f>'Q.6 Rand()'!T202</f>
        <v>3.5</v>
      </c>
      <c r="B204" s="141">
        <f>'Q.6 Rand()'!U202</f>
        <v>31.5</v>
      </c>
      <c r="D204" s="23"/>
      <c r="E204" s="24"/>
      <c r="F204" s="22">
        <f t="shared" si="30"/>
        <v>-0.12032520325203233</v>
      </c>
      <c r="G204" s="22">
        <f t="shared" si="33"/>
        <v>-2.9306094850948625</v>
      </c>
      <c r="H204" s="18">
        <f t="shared" si="34"/>
        <v>0.35262618194637313</v>
      </c>
      <c r="I204" s="18">
        <f t="shared" si="35"/>
        <v>1.4478154537642892E-2</v>
      </c>
      <c r="J204" s="24"/>
      <c r="K204" s="24"/>
      <c r="L204" s="19">
        <f t="shared" si="36"/>
        <v>34.937852971228637</v>
      </c>
      <c r="O204" s="9">
        <f t="shared" si="31"/>
        <v>-3.4378529712286365</v>
      </c>
      <c r="P204" s="10">
        <f t="shared" si="37"/>
        <v>11.818833051785564</v>
      </c>
      <c r="V204" s="10">
        <f t="shared" si="39"/>
        <v>6.9595083360270968E-2</v>
      </c>
      <c r="W204" s="13">
        <f t="shared" si="32"/>
        <v>0.25729595422514417</v>
      </c>
      <c r="Z204" s="15">
        <f t="shared" si="38"/>
        <v>8.588471954127975</v>
      </c>
    </row>
    <row r="205" spans="1:26">
      <c r="A205" s="84">
        <f>'Q.6 Rand()'!T203</f>
        <v>2.4</v>
      </c>
      <c r="B205" s="141">
        <f>'Q.6 Rand()'!U203</f>
        <v>44.6</v>
      </c>
      <c r="D205" s="23"/>
      <c r="E205" s="24"/>
      <c r="F205" s="22">
        <f t="shared" si="30"/>
        <v>-1.2203252032520324</v>
      </c>
      <c r="G205" s="22">
        <f t="shared" si="33"/>
        <v>10.169390514905139</v>
      </c>
      <c r="H205" s="18">
        <f t="shared" si="34"/>
        <v>-12.409963547050904</v>
      </c>
      <c r="I205" s="18">
        <f t="shared" si="35"/>
        <v>1.4891936016921143</v>
      </c>
      <c r="J205" s="24"/>
      <c r="K205" s="24"/>
      <c r="L205" s="19">
        <f t="shared" si="36"/>
        <v>39.575018084330026</v>
      </c>
      <c r="O205" s="9">
        <f t="shared" si="31"/>
        <v>5.0249819156699758</v>
      </c>
      <c r="P205" s="10">
        <f t="shared" si="37"/>
        <v>25.2504432528103</v>
      </c>
      <c r="V205" s="10">
        <f t="shared" si="39"/>
        <v>0.10913818956281386</v>
      </c>
      <c r="W205" s="13">
        <f t="shared" si="32"/>
        <v>26.464939835884692</v>
      </c>
      <c r="Z205" s="15">
        <f t="shared" si="38"/>
        <v>103.4165034446426</v>
      </c>
    </row>
    <row r="206" spans="1:26">
      <c r="A206" s="84">
        <f>'Q.6 Rand()'!T204</f>
        <v>4.8</v>
      </c>
      <c r="B206" s="141">
        <f>'Q.6 Rand()'!U204</f>
        <v>26.794599999999999</v>
      </c>
      <c r="D206" s="23"/>
      <c r="E206" s="24"/>
      <c r="F206" s="22">
        <f t="shared" si="30"/>
        <v>1.1796747967479675</v>
      </c>
      <c r="G206" s="22">
        <f t="shared" si="33"/>
        <v>-7.6360094850948634</v>
      </c>
      <c r="H206" s="18">
        <f t="shared" si="34"/>
        <v>-9.0080079372948347</v>
      </c>
      <c r="I206" s="18">
        <f t="shared" si="35"/>
        <v>1.3916326260823584</v>
      </c>
      <c r="J206" s="24"/>
      <c r="K206" s="24"/>
      <c r="L206" s="19">
        <f t="shared" si="36"/>
        <v>29.457566928472456</v>
      </c>
      <c r="O206" s="9">
        <f t="shared" si="31"/>
        <v>-2.6629669284724571</v>
      </c>
      <c r="P206" s="10">
        <f t="shared" si="37"/>
        <v>7.091392862138032</v>
      </c>
      <c r="V206" s="10">
        <f t="shared" si="39"/>
        <v>0.11266775595672592</v>
      </c>
      <c r="W206" s="13">
        <f t="shared" si="32"/>
        <v>24.731152269977521</v>
      </c>
      <c r="Z206" s="15">
        <f t="shared" si="38"/>
        <v>58.308640856458723</v>
      </c>
    </row>
    <row r="207" spans="1:26">
      <c r="A207" s="84">
        <f>'Q.6 Rand()'!T205</f>
        <v>2</v>
      </c>
      <c r="B207" s="141">
        <f>'Q.6 Rand()'!U205</f>
        <v>33.4</v>
      </c>
      <c r="D207" s="23"/>
      <c r="E207" s="24"/>
      <c r="F207" s="22">
        <f t="shared" si="30"/>
        <v>-1.6203252032520323</v>
      </c>
      <c r="G207" s="22">
        <f t="shared" si="33"/>
        <v>-1.0306094850948639</v>
      </c>
      <c r="H207" s="18">
        <f t="shared" si="34"/>
        <v>1.6699225234098078</v>
      </c>
      <c r="I207" s="18">
        <f t="shared" si="35"/>
        <v>2.6254537642937397</v>
      </c>
      <c r="J207" s="24"/>
      <c r="K207" s="24"/>
      <c r="L207" s="19">
        <f t="shared" si="36"/>
        <v>41.261259943639622</v>
      </c>
      <c r="O207" s="9">
        <f t="shared" si="31"/>
        <v>-7.8612599436396238</v>
      </c>
      <c r="P207" s="10">
        <f t="shared" si="37"/>
        <v>61.799407901472861</v>
      </c>
      <c r="V207" s="10">
        <f t="shared" si="39"/>
        <v>9.9384462857159919E-2</v>
      </c>
      <c r="W207" s="13">
        <f t="shared" si="32"/>
        <v>46.657785686817739</v>
      </c>
      <c r="Z207" s="15">
        <f t="shared" si="38"/>
        <v>1.0621559107675005</v>
      </c>
    </row>
    <row r="208" spans="1:26">
      <c r="A208" s="84">
        <f>'Q.6 Rand()'!T206</f>
        <v>5.3</v>
      </c>
      <c r="B208" s="141">
        <f>'Q.6 Rand()'!U206</f>
        <v>22.9</v>
      </c>
      <c r="D208" s="23"/>
      <c r="E208" s="24"/>
      <c r="F208" s="22">
        <f t="shared" si="30"/>
        <v>1.6796747967479675</v>
      </c>
      <c r="G208" s="22">
        <f t="shared" si="33"/>
        <v>-11.530609485094864</v>
      </c>
      <c r="H208" s="18">
        <f t="shared" si="34"/>
        <v>-19.367674143256902</v>
      </c>
      <c r="I208" s="18">
        <f t="shared" si="35"/>
        <v>2.8213074228303259</v>
      </c>
      <c r="J208" s="24"/>
      <c r="K208" s="24"/>
      <c r="L208" s="19">
        <f t="shared" si="36"/>
        <v>27.349764604335462</v>
      </c>
      <c r="O208" s="9">
        <f t="shared" si="31"/>
        <v>-4.4497646043354635</v>
      </c>
      <c r="P208" s="10">
        <f t="shared" si="37"/>
        <v>19.800405033996743</v>
      </c>
      <c r="V208" s="10">
        <f t="shared" si="39"/>
        <v>0.23536706418082706</v>
      </c>
      <c r="W208" s="13">
        <f t="shared" si="32"/>
        <v>50.138364225376606</v>
      </c>
      <c r="Z208" s="15">
        <f t="shared" si="38"/>
        <v>132.95495509775964</v>
      </c>
    </row>
    <row r="209" spans="1:26">
      <c r="A209" s="84">
        <f>'Q.6 Rand()'!T207</f>
        <v>5.7</v>
      </c>
      <c r="B209" s="141">
        <f>'Q.6 Rand()'!U207</f>
        <v>34.5</v>
      </c>
      <c r="D209" s="23"/>
      <c r="E209" s="24"/>
      <c r="F209" s="22">
        <f t="shared" si="30"/>
        <v>2.0796747967479678</v>
      </c>
      <c r="G209" s="22">
        <f t="shared" si="33"/>
        <v>6.9390514905137479E-2</v>
      </c>
      <c r="H209" s="18">
        <f t="shared" si="34"/>
        <v>0.14430970498157861</v>
      </c>
      <c r="I209" s="18">
        <f t="shared" si="35"/>
        <v>4.3250472602287013</v>
      </c>
      <c r="J209" s="24"/>
      <c r="K209" s="24"/>
      <c r="L209" s="19">
        <f t="shared" si="36"/>
        <v>25.663522745025865</v>
      </c>
      <c r="O209" s="9">
        <f t="shared" si="31"/>
        <v>8.8364772549741346</v>
      </c>
      <c r="P209" s="10">
        <f t="shared" si="37"/>
        <v>78.083330277675216</v>
      </c>
      <c r="V209" s="10">
        <f t="shared" si="39"/>
        <v>0.19431286481814253</v>
      </c>
      <c r="W209" s="13">
        <f t="shared" si="32"/>
        <v>76.86180990789363</v>
      </c>
      <c r="Z209" s="15">
        <f t="shared" si="38"/>
        <v>4.8150435588001066E-3</v>
      </c>
    </row>
    <row r="210" spans="1:26">
      <c r="A210" s="84">
        <f>'Q.6 Rand()'!T208</f>
        <v>2</v>
      </c>
      <c r="B210" s="141">
        <f>'Q.6 Rand()'!U208</f>
        <v>41.521000000000001</v>
      </c>
      <c r="D210" s="23"/>
      <c r="E210" s="24"/>
      <c r="F210" s="22">
        <f t="shared" si="30"/>
        <v>-1.6203252032520323</v>
      </c>
      <c r="G210" s="22">
        <f t="shared" si="33"/>
        <v>7.0903905149051383</v>
      </c>
      <c r="H210" s="18">
        <f t="shared" si="34"/>
        <v>-11.48873845219995</v>
      </c>
      <c r="I210" s="18">
        <f t="shared" si="35"/>
        <v>2.6254537642937397</v>
      </c>
      <c r="J210" s="24"/>
      <c r="K210" s="24"/>
      <c r="L210" s="19">
        <f t="shared" si="36"/>
        <v>41.261259943639622</v>
      </c>
      <c r="O210" s="9">
        <f t="shared" si="31"/>
        <v>0.25974005636037845</v>
      </c>
      <c r="P210" s="10">
        <f t="shared" si="37"/>
        <v>6.7464896878092567E-2</v>
      </c>
      <c r="V210" s="10">
        <f t="shared" si="39"/>
        <v>0.25612977550649668</v>
      </c>
      <c r="W210" s="13">
        <f t="shared" si="32"/>
        <v>46.657785686817739</v>
      </c>
      <c r="Z210" s="15">
        <f t="shared" si="38"/>
        <v>50.273637653856753</v>
      </c>
    </row>
    <row r="211" spans="1:26">
      <c r="A211" s="84">
        <f>'Q.6 Rand()'!T209</f>
        <v>2.7</v>
      </c>
      <c r="B211" s="141">
        <f>'Q.6 Rand()'!U209</f>
        <v>38.700000000000003</v>
      </c>
      <c r="D211" s="23"/>
      <c r="E211" s="24"/>
      <c r="F211" s="22">
        <f t="shared" si="30"/>
        <v>-0.92032520325203215</v>
      </c>
      <c r="G211" s="22">
        <f t="shared" si="33"/>
        <v>4.2693905149051403</v>
      </c>
      <c r="H211" s="18">
        <f t="shared" si="34"/>
        <v>-3.9292276933923715</v>
      </c>
      <c r="I211" s="18">
        <f t="shared" si="35"/>
        <v>0.84699847974089426</v>
      </c>
      <c r="J211" s="24"/>
      <c r="K211" s="24"/>
      <c r="L211" s="19">
        <f t="shared" si="36"/>
        <v>38.31033668984783</v>
      </c>
      <c r="O211" s="9">
        <f t="shared" si="31"/>
        <v>0.38966331015217293</v>
      </c>
      <c r="P211" s="10">
        <f t="shared" si="37"/>
        <v>0.15183749527874851</v>
      </c>
      <c r="V211" s="10">
        <f t="shared" si="39"/>
        <v>6.2556310387605896E-3</v>
      </c>
      <c r="W211" s="13">
        <f t="shared" si="32"/>
        <v>15.052283183300274</v>
      </c>
      <c r="Z211" s="15">
        <f t="shared" si="38"/>
        <v>18.227695368761978</v>
      </c>
    </row>
    <row r="212" spans="1:26">
      <c r="A212" s="84">
        <f>'Q.6 Rand()'!T210</f>
        <v>3.5</v>
      </c>
      <c r="B212" s="141">
        <f>'Q.6 Rand()'!U210</f>
        <v>35.749400000000001</v>
      </c>
      <c r="D212" s="23"/>
      <c r="E212" s="24"/>
      <c r="F212" s="22">
        <f t="shared" si="30"/>
        <v>-0.12032520325203233</v>
      </c>
      <c r="G212" s="22">
        <f t="shared" si="33"/>
        <v>1.3187905149051389</v>
      </c>
      <c r="H212" s="18">
        <f t="shared" si="34"/>
        <v>-0.15868373675281322</v>
      </c>
      <c r="I212" s="18">
        <f t="shared" si="35"/>
        <v>1.4478154537642892E-2</v>
      </c>
      <c r="J212" s="24"/>
      <c r="K212" s="24"/>
      <c r="L212" s="19">
        <f t="shared" si="36"/>
        <v>34.937852971228637</v>
      </c>
      <c r="O212" s="9">
        <f t="shared" si="31"/>
        <v>0.81154702877136486</v>
      </c>
      <c r="P212" s="10">
        <f t="shared" si="37"/>
        <v>0.65860857990763055</v>
      </c>
      <c r="V212" s="10">
        <f t="shared" si="39"/>
        <v>1.0068819383777078E-2</v>
      </c>
      <c r="W212" s="13">
        <f t="shared" si="32"/>
        <v>0.25729595422514417</v>
      </c>
      <c r="Z212" s="15">
        <f t="shared" si="38"/>
        <v>1.7392084222037614</v>
      </c>
    </row>
    <row r="213" spans="1:26">
      <c r="A213" s="84">
        <f>'Q.6 Rand()'!T211</f>
        <v>3.6</v>
      </c>
      <c r="B213" s="141">
        <f>'Q.6 Rand()'!U211</f>
        <v>37.200000000000003</v>
      </c>
      <c r="D213" s="23"/>
      <c r="E213" s="24"/>
      <c r="F213" s="22">
        <f t="shared" si="30"/>
        <v>-2.0325203252032242E-2</v>
      </c>
      <c r="G213" s="22">
        <f t="shared" si="33"/>
        <v>2.7693905149051403</v>
      </c>
      <c r="H213" s="18">
        <f t="shared" si="34"/>
        <v>-5.6288425099697205E-2</v>
      </c>
      <c r="I213" s="18">
        <f t="shared" si="35"/>
        <v>4.1311388723642203E-4</v>
      </c>
      <c r="J213" s="24"/>
      <c r="K213" s="24"/>
      <c r="L213" s="19">
        <f t="shared" si="36"/>
        <v>34.516292506401243</v>
      </c>
      <c r="O213" s="9">
        <f t="shared" si="31"/>
        <v>2.6837074935987602</v>
      </c>
      <c r="P213" s="10">
        <f t="shared" si="37"/>
        <v>7.202285911198139</v>
      </c>
      <c r="V213" s="10">
        <f t="shared" si="39"/>
        <v>2.2700997185165762E-2</v>
      </c>
      <c r="W213" s="13">
        <f t="shared" si="32"/>
        <v>7.3415801401895981E-3</v>
      </c>
      <c r="Z213" s="15">
        <f t="shared" si="38"/>
        <v>7.669523824046558</v>
      </c>
    </row>
    <row r="214" spans="1:26">
      <c r="A214" s="84">
        <f>'Q.6 Rand()'!T212</f>
        <v>3.7</v>
      </c>
      <c r="B214" s="141">
        <f>'Q.6 Rand()'!U212</f>
        <v>30.5</v>
      </c>
      <c r="D214" s="23"/>
      <c r="E214" s="24"/>
      <c r="F214" s="22">
        <f t="shared" si="30"/>
        <v>7.9674796747967846E-2</v>
      </c>
      <c r="G214" s="22">
        <f t="shared" si="33"/>
        <v>-3.9306094850948625</v>
      </c>
      <c r="H214" s="18">
        <f t="shared" si="34"/>
        <v>-0.31317051182056771</v>
      </c>
      <c r="I214" s="18">
        <f t="shared" si="35"/>
        <v>6.348073236829988E-3</v>
      </c>
      <c r="J214" s="24"/>
      <c r="K214" s="24"/>
      <c r="L214" s="19">
        <f t="shared" si="36"/>
        <v>34.094732041573842</v>
      </c>
      <c r="O214" s="9">
        <f t="shared" si="31"/>
        <v>-3.5947320415738417</v>
      </c>
      <c r="P214" s="10">
        <f t="shared" si="37"/>
        <v>12.922098450717641</v>
      </c>
      <c r="V214" s="10">
        <f t="shared" si="39"/>
        <v>7.2142674559106446E-2</v>
      </c>
      <c r="W214" s="13">
        <f t="shared" si="32"/>
        <v>0.1128136570662165</v>
      </c>
      <c r="Z214" s="15">
        <f t="shared" si="38"/>
        <v>15.4496909243177</v>
      </c>
    </row>
    <row r="215" spans="1:26">
      <c r="A215" s="84">
        <f>'Q.6 Rand()'!T213</f>
        <v>2</v>
      </c>
      <c r="B215" s="141">
        <f>'Q.6 Rand()'!U213</f>
        <v>41.521000000000001</v>
      </c>
      <c r="D215" s="23"/>
      <c r="E215" s="24"/>
      <c r="F215" s="22">
        <f t="shared" si="30"/>
        <v>-1.6203252032520323</v>
      </c>
      <c r="G215" s="22">
        <f t="shared" si="33"/>
        <v>7.0903905149051383</v>
      </c>
      <c r="H215" s="18">
        <f t="shared" si="34"/>
        <v>-11.48873845219995</v>
      </c>
      <c r="I215" s="18">
        <f t="shared" si="35"/>
        <v>2.6254537642937397</v>
      </c>
      <c r="J215" s="24"/>
      <c r="K215" s="24"/>
      <c r="L215" s="19">
        <f t="shared" si="36"/>
        <v>41.261259943639622</v>
      </c>
      <c r="O215" s="9">
        <f t="shared" si="31"/>
        <v>0.25974005636037845</v>
      </c>
      <c r="P215" s="10">
        <f t="shared" si="37"/>
        <v>6.7464896878092567E-2</v>
      </c>
      <c r="V215" s="10">
        <f t="shared" si="39"/>
        <v>0.11786006693684727</v>
      </c>
      <c r="W215" s="13">
        <f t="shared" si="32"/>
        <v>46.657785686817739</v>
      </c>
      <c r="Z215" s="15">
        <f t="shared" si="38"/>
        <v>50.273637653856753</v>
      </c>
    </row>
    <row r="216" spans="1:26">
      <c r="A216" s="84">
        <f>'Q.6 Rand()'!T214</f>
        <v>5.5</v>
      </c>
      <c r="B216" s="141">
        <f>'Q.6 Rand()'!U214</f>
        <v>32</v>
      </c>
      <c r="D216" s="23"/>
      <c r="E216" s="24"/>
      <c r="F216" s="22">
        <f t="shared" si="30"/>
        <v>1.8796747967479677</v>
      </c>
      <c r="G216" s="22">
        <f t="shared" si="33"/>
        <v>-2.4306094850948625</v>
      </c>
      <c r="H216" s="18">
        <f t="shared" si="34"/>
        <v>-4.5687553898693682</v>
      </c>
      <c r="I216" s="18">
        <f t="shared" si="35"/>
        <v>3.5331773415295133</v>
      </c>
      <c r="J216" s="24"/>
      <c r="K216" s="24"/>
      <c r="L216" s="19">
        <f t="shared" si="36"/>
        <v>26.506643674680664</v>
      </c>
      <c r="O216" s="9">
        <f t="shared" si="31"/>
        <v>5.4933563253193363</v>
      </c>
      <c r="P216" s="10">
        <f t="shared" si="37"/>
        <v>30.176963716925961</v>
      </c>
      <c r="V216" s="10">
        <f t="shared" si="39"/>
        <v>6.2556310387605896E-3</v>
      </c>
      <c r="W216" s="13">
        <f t="shared" si="32"/>
        <v>62.789234164613148</v>
      </c>
      <c r="Z216" s="15">
        <f t="shared" si="38"/>
        <v>5.9078624690331125</v>
      </c>
    </row>
    <row r="217" spans="1:26">
      <c r="A217" s="84">
        <f>'Q.6 Rand()'!T215</f>
        <v>6.1</v>
      </c>
      <c r="B217" s="141">
        <f>'Q.6 Rand()'!U215</f>
        <v>30.1</v>
      </c>
      <c r="D217" s="23"/>
      <c r="E217" s="24"/>
      <c r="F217" s="22">
        <f t="shared" si="30"/>
        <v>2.4796747967479673</v>
      </c>
      <c r="G217" s="22">
        <f t="shared" si="33"/>
        <v>-4.3306094850948611</v>
      </c>
      <c r="H217" s="18">
        <f t="shared" si="34"/>
        <v>-10.73850319474742</v>
      </c>
      <c r="I217" s="18">
        <f t="shared" si="35"/>
        <v>6.1487870976270731</v>
      </c>
      <c r="J217" s="24"/>
      <c r="K217" s="24"/>
      <c r="L217" s="19">
        <f t="shared" si="36"/>
        <v>23.977280885716272</v>
      </c>
      <c r="O217" s="9">
        <f t="shared" si="31"/>
        <v>6.1227191142837292</v>
      </c>
      <c r="P217" s="10">
        <f t="shared" si="37"/>
        <v>37.48768935241533</v>
      </c>
      <c r="V217" s="10">
        <f t="shared" si="39"/>
        <v>0.17166738516622926</v>
      </c>
      <c r="W217" s="13">
        <f t="shared" si="32"/>
        <v>109.27207880658636</v>
      </c>
      <c r="Z217" s="15">
        <f t="shared" si="38"/>
        <v>18.75417851239358</v>
      </c>
    </row>
    <row r="218" spans="1:26">
      <c r="A218" s="84">
        <f>'Q.6 Rand()'!T216</f>
        <v>2.4</v>
      </c>
      <c r="B218" s="141">
        <f>'Q.6 Rand()'!U216</f>
        <v>39.204099999999997</v>
      </c>
      <c r="D218" s="23"/>
      <c r="E218" s="24"/>
      <c r="F218" s="22">
        <f t="shared" si="30"/>
        <v>-1.2203252032520324</v>
      </c>
      <c r="G218" s="22">
        <f t="shared" si="33"/>
        <v>4.7734905149051343</v>
      </c>
      <c r="H218" s="18">
        <f t="shared" si="34"/>
        <v>-5.8252107828232571</v>
      </c>
      <c r="I218" s="18">
        <f t="shared" si="35"/>
        <v>1.4891936016921143</v>
      </c>
      <c r="J218" s="24"/>
      <c r="K218" s="24"/>
      <c r="L218" s="19">
        <f t="shared" si="36"/>
        <v>39.575018084330026</v>
      </c>
      <c r="O218" s="9">
        <f t="shared" si="31"/>
        <v>-0.37091808433002882</v>
      </c>
      <c r="P218" s="10">
        <f t="shared" si="37"/>
        <v>0.13758022528305838</v>
      </c>
      <c r="V218" s="10">
        <f t="shared" si="39"/>
        <v>0.20341259515892787</v>
      </c>
      <c r="W218" s="13">
        <f t="shared" si="32"/>
        <v>26.464939835884692</v>
      </c>
      <c r="Z218" s="15">
        <f t="shared" si="38"/>
        <v>22.786211695889286</v>
      </c>
    </row>
    <row r="219" spans="1:26">
      <c r="A219" s="84">
        <f>'Q.6 Rand()'!T217</f>
        <v>4.8</v>
      </c>
      <c r="B219" s="141">
        <f>'Q.6 Rand()'!U217</f>
        <v>25.7761</v>
      </c>
      <c r="D219" s="23"/>
      <c r="E219" s="24"/>
      <c r="F219" s="22">
        <f t="shared" si="30"/>
        <v>1.1796747967479675</v>
      </c>
      <c r="G219" s="22">
        <f t="shared" si="33"/>
        <v>-8.654509485094863</v>
      </c>
      <c r="H219" s="18">
        <f t="shared" si="34"/>
        <v>-10.20950671778264</v>
      </c>
      <c r="I219" s="18">
        <f t="shared" si="35"/>
        <v>1.3916326260823584</v>
      </c>
      <c r="J219" s="24"/>
      <c r="K219" s="24"/>
      <c r="L219" s="19">
        <f t="shared" si="36"/>
        <v>29.457566928472456</v>
      </c>
      <c r="O219" s="9">
        <f t="shared" si="31"/>
        <v>-3.6814669284724566</v>
      </c>
      <c r="P219" s="10">
        <f t="shared" si="37"/>
        <v>13.553198745436424</v>
      </c>
      <c r="V219" s="10">
        <f t="shared" si="39"/>
        <v>9.461206463865484E-3</v>
      </c>
      <c r="W219" s="13">
        <f t="shared" si="32"/>
        <v>24.731152269977521</v>
      </c>
      <c r="Z219" s="15">
        <f t="shared" si="38"/>
        <v>74.900534427596952</v>
      </c>
    </row>
    <row r="220" spans="1:26">
      <c r="A220" s="84">
        <f>'Q.6 Rand()'!T218</f>
        <v>2.2000000000000002</v>
      </c>
      <c r="B220" s="141">
        <f>'Q.6 Rand()'!U218</f>
        <v>51.9</v>
      </c>
      <c r="D220" s="23"/>
      <c r="E220" s="24"/>
      <c r="F220" s="22">
        <f t="shared" si="30"/>
        <v>-1.4203252032520322</v>
      </c>
      <c r="G220" s="22">
        <f t="shared" si="33"/>
        <v>17.469390514905136</v>
      </c>
      <c r="H220" s="18">
        <f t="shared" si="34"/>
        <v>-24.812215633771761</v>
      </c>
      <c r="I220" s="18">
        <f t="shared" si="35"/>
        <v>2.0173236829929264</v>
      </c>
      <c r="J220" s="24"/>
      <c r="K220" s="24"/>
      <c r="L220" s="19">
        <f t="shared" si="36"/>
        <v>40.418139013984828</v>
      </c>
      <c r="O220" s="9">
        <f t="shared" si="31"/>
        <v>11.481860986015171</v>
      </c>
      <c r="P220" s="10">
        <f t="shared" si="37"/>
        <v>131.83313170217727</v>
      </c>
      <c r="V220" s="10">
        <f t="shared" si="39"/>
        <v>0.14282482332363922</v>
      </c>
      <c r="W220" s="13">
        <f t="shared" si="32"/>
        <v>35.850509859329286</v>
      </c>
      <c r="Z220" s="15">
        <f t="shared" si="38"/>
        <v>305.17960496225754</v>
      </c>
    </row>
    <row r="221" spans="1:26">
      <c r="A221" s="84">
        <f>'Q.6 Rand()'!T219</f>
        <v>2.2000000000000002</v>
      </c>
      <c r="B221" s="141">
        <f>'Q.6 Rand()'!U219</f>
        <v>51.9</v>
      </c>
      <c r="D221" s="23"/>
      <c r="E221" s="24"/>
      <c r="F221" s="22">
        <f t="shared" si="30"/>
        <v>-1.4203252032520322</v>
      </c>
      <c r="G221" s="22">
        <f t="shared" si="33"/>
        <v>17.469390514905136</v>
      </c>
      <c r="H221" s="18">
        <f t="shared" si="34"/>
        <v>-24.812215633771761</v>
      </c>
      <c r="I221" s="18">
        <f t="shared" si="35"/>
        <v>2.0173236829929264</v>
      </c>
      <c r="J221" s="24"/>
      <c r="K221" s="24"/>
      <c r="L221" s="19">
        <f t="shared" si="36"/>
        <v>40.418139013984828</v>
      </c>
      <c r="O221" s="9">
        <f t="shared" si="31"/>
        <v>11.481860986015171</v>
      </c>
      <c r="P221" s="10">
        <f t="shared" si="37"/>
        <v>131.83313170217727</v>
      </c>
      <c r="V221" s="10">
        <f t="shared" si="39"/>
        <v>0.22123046215828845</v>
      </c>
      <c r="W221" s="13">
        <f t="shared" si="32"/>
        <v>35.850509859329286</v>
      </c>
      <c r="Z221" s="15">
        <f t="shared" si="38"/>
        <v>305.17960496225754</v>
      </c>
    </row>
    <row r="222" spans="1:26">
      <c r="A222" s="84">
        <f>'Q.6 Rand()'!T220</f>
        <v>4.5999999999999996</v>
      </c>
      <c r="B222" s="141">
        <f>'Q.6 Rand()'!U220</f>
        <v>25.229800000000001</v>
      </c>
      <c r="D222" s="23"/>
      <c r="E222" s="24"/>
      <c r="F222" s="22">
        <f t="shared" si="30"/>
        <v>0.97967479674796731</v>
      </c>
      <c r="G222" s="22">
        <f t="shared" si="33"/>
        <v>-9.2008094850948616</v>
      </c>
      <c r="H222" s="18">
        <f t="shared" si="34"/>
        <v>-9.0138011622270788</v>
      </c>
      <c r="I222" s="18">
        <f t="shared" si="35"/>
        <v>0.95976270738317104</v>
      </c>
      <c r="J222" s="24"/>
      <c r="K222" s="24"/>
      <c r="L222" s="19">
        <f t="shared" si="36"/>
        <v>30.300687858127255</v>
      </c>
      <c r="O222" s="9">
        <f t="shared" si="31"/>
        <v>-5.0708878581272536</v>
      </c>
      <c r="P222" s="10">
        <f t="shared" si="37"/>
        <v>25.713903669702407</v>
      </c>
      <c r="V222" s="10">
        <f t="shared" si="39"/>
        <v>0.22123046215828845</v>
      </c>
      <c r="W222" s="13">
        <f t="shared" si="32"/>
        <v>17.056252644894773</v>
      </c>
      <c r="Z222" s="15">
        <f t="shared" si="38"/>
        <v>84.654895181011568</v>
      </c>
    </row>
    <row r="223" spans="1:26">
      <c r="A223" s="84">
        <f>'Q.6 Rand()'!T221</f>
        <v>3.5</v>
      </c>
      <c r="B223" s="141">
        <f>'Q.6 Rand()'!U221</f>
        <v>29.2</v>
      </c>
      <c r="D223" s="23"/>
      <c r="E223" s="24"/>
      <c r="F223" s="22">
        <f t="shared" si="30"/>
        <v>-0.12032520325203233</v>
      </c>
      <c r="G223" s="22">
        <f t="shared" si="33"/>
        <v>-5.2306094850948632</v>
      </c>
      <c r="H223" s="18">
        <f t="shared" si="34"/>
        <v>0.62937414942604764</v>
      </c>
      <c r="I223" s="18">
        <f t="shared" si="35"/>
        <v>1.4478154537642892E-2</v>
      </c>
      <c r="J223" s="24"/>
      <c r="K223" s="24"/>
      <c r="L223" s="19">
        <f t="shared" si="36"/>
        <v>34.937852971228637</v>
      </c>
      <c r="O223" s="9">
        <f t="shared" si="31"/>
        <v>-5.7378529712286372</v>
      </c>
      <c r="P223" s="10">
        <f t="shared" si="37"/>
        <v>32.922956719437302</v>
      </c>
      <c r="V223" s="10">
        <f t="shared" si="39"/>
        <v>0.20098803233189536</v>
      </c>
      <c r="W223" s="13">
        <f t="shared" si="32"/>
        <v>0.25729595422514417</v>
      </c>
      <c r="Z223" s="15">
        <f t="shared" si="38"/>
        <v>27.359275585564351</v>
      </c>
    </row>
    <row r="224" spans="1:26">
      <c r="A224" s="84">
        <f>'Q.6 Rand()'!T222</f>
        <v>5.3</v>
      </c>
      <c r="B224" s="141">
        <f>'Q.6 Rand()'!U222</f>
        <v>30.4</v>
      </c>
      <c r="D224" s="23"/>
      <c r="E224" s="24"/>
      <c r="F224" s="22">
        <f t="shared" si="30"/>
        <v>1.6796747967479675</v>
      </c>
      <c r="G224" s="22">
        <f t="shared" si="33"/>
        <v>-4.0306094850948639</v>
      </c>
      <c r="H224" s="18">
        <f t="shared" si="34"/>
        <v>-6.7701131676471453</v>
      </c>
      <c r="I224" s="18">
        <f t="shared" si="35"/>
        <v>2.8213074228303259</v>
      </c>
      <c r="J224" s="24"/>
      <c r="K224" s="24"/>
      <c r="L224" s="19">
        <f t="shared" si="36"/>
        <v>27.349764604335462</v>
      </c>
      <c r="O224" s="9">
        <f t="shared" si="31"/>
        <v>3.0502353956645365</v>
      </c>
      <c r="P224" s="10">
        <f t="shared" si="37"/>
        <v>9.303935968964792</v>
      </c>
      <c r="V224" s="10">
        <f t="shared" si="39"/>
        <v>0.19650181408317252</v>
      </c>
      <c r="W224" s="13">
        <f t="shared" si="32"/>
        <v>50.138364225376606</v>
      </c>
      <c r="Z224" s="15">
        <f t="shared" si="38"/>
        <v>16.245812821336685</v>
      </c>
    </row>
    <row r="225" spans="1:26">
      <c r="A225" s="84">
        <f>'Q.6 Rand()'!T223</f>
        <v>2</v>
      </c>
      <c r="B225" s="141">
        <f>'Q.6 Rand()'!U223</f>
        <v>60.1</v>
      </c>
      <c r="D225" s="23"/>
      <c r="E225" s="24"/>
      <c r="F225" s="22">
        <f t="shared" si="30"/>
        <v>-1.6203252032520323</v>
      </c>
      <c r="G225" s="22">
        <f t="shared" si="33"/>
        <v>25.669390514905139</v>
      </c>
      <c r="H225" s="18">
        <f t="shared" si="34"/>
        <v>-41.592760403419462</v>
      </c>
      <c r="I225" s="18">
        <f t="shared" si="35"/>
        <v>2.6254537642937397</v>
      </c>
      <c r="J225" s="24"/>
      <c r="K225" s="24"/>
      <c r="L225" s="19">
        <f t="shared" si="36"/>
        <v>41.261259943639622</v>
      </c>
      <c r="O225" s="9">
        <f t="shared" si="31"/>
        <v>18.838740056360379</v>
      </c>
      <c r="P225" s="10">
        <f t="shared" si="37"/>
        <v>354.89812691111706</v>
      </c>
      <c r="V225" s="10">
        <f t="shared" si="39"/>
        <v>0.10033669064685975</v>
      </c>
      <c r="W225" s="13">
        <f t="shared" si="32"/>
        <v>46.657785686817739</v>
      </c>
      <c r="Z225" s="15">
        <f t="shared" si="38"/>
        <v>658.9176094067019</v>
      </c>
    </row>
    <row r="226" spans="1:26">
      <c r="A226" s="84">
        <f>'Q.6 Rand()'!T224</f>
        <v>3.6</v>
      </c>
      <c r="B226" s="141">
        <f>'Q.6 Rand()'!U224</f>
        <v>34.270800000000001</v>
      </c>
      <c r="D226" s="23"/>
      <c r="E226" s="24"/>
      <c r="F226" s="22">
        <f t="shared" si="30"/>
        <v>-2.0325203252032242E-2</v>
      </c>
      <c r="G226" s="22">
        <f t="shared" si="33"/>
        <v>-0.15980948509486126</v>
      </c>
      <c r="H226" s="18">
        <f t="shared" si="34"/>
        <v>3.2481602661556721E-3</v>
      </c>
      <c r="I226" s="18">
        <f t="shared" si="35"/>
        <v>4.1311388723642203E-4</v>
      </c>
      <c r="J226" s="24"/>
      <c r="K226" s="24"/>
      <c r="L226" s="19">
        <f t="shared" si="36"/>
        <v>34.516292506401243</v>
      </c>
      <c r="O226" s="9">
        <f t="shared" si="31"/>
        <v>-0.24549250640124143</v>
      </c>
      <c r="P226" s="10">
        <f t="shared" si="37"/>
        <v>6.0266570699163566E-2</v>
      </c>
      <c r="V226" s="10">
        <f t="shared" si="39"/>
        <v>0.31345657331714438</v>
      </c>
      <c r="W226" s="13">
        <f t="shared" si="32"/>
        <v>7.3415801401895981E-3</v>
      </c>
      <c r="Z226" s="15">
        <f t="shared" si="38"/>
        <v>2.5539071526284682E-2</v>
      </c>
    </row>
    <row r="227" spans="1:26">
      <c r="A227" s="84">
        <f>'Q.6 Rand()'!T225</f>
        <v>4</v>
      </c>
      <c r="B227" s="141">
        <f>'Q.6 Rand()'!U225</f>
        <v>30.9375</v>
      </c>
      <c r="D227" s="23"/>
      <c r="E227" s="24"/>
      <c r="F227" s="22">
        <f t="shared" si="30"/>
        <v>0.37967479674796767</v>
      </c>
      <c r="G227" s="22">
        <f t="shared" si="33"/>
        <v>-3.4931094850948625</v>
      </c>
      <c r="H227" s="18">
        <f t="shared" si="34"/>
        <v>-1.3262456337717898</v>
      </c>
      <c r="I227" s="18">
        <f t="shared" si="35"/>
        <v>0.14415295128561056</v>
      </c>
      <c r="J227" s="24"/>
      <c r="K227" s="24"/>
      <c r="L227" s="19">
        <f t="shared" si="36"/>
        <v>32.830050647091646</v>
      </c>
      <c r="O227" s="9">
        <f t="shared" si="31"/>
        <v>-1.892550647091646</v>
      </c>
      <c r="P227" s="10">
        <f t="shared" si="37"/>
        <v>3.5817479518070079</v>
      </c>
      <c r="V227" s="10">
        <f t="shared" si="39"/>
        <v>7.1633141450226263E-3</v>
      </c>
      <c r="W227" s="13">
        <f t="shared" si="32"/>
        <v>2.5617885939102067</v>
      </c>
      <c r="Z227" s="15">
        <f t="shared" si="38"/>
        <v>12.201813874859695</v>
      </c>
    </row>
    <row r="228" spans="1:26">
      <c r="A228" s="84">
        <f>'Q.6 Rand()'!T226</f>
        <v>2.7</v>
      </c>
      <c r="B228" s="141">
        <f>'Q.6 Rand()'!U226</f>
        <v>31.7</v>
      </c>
      <c r="D228" s="23"/>
      <c r="E228" s="24"/>
      <c r="F228" s="22">
        <f t="shared" si="30"/>
        <v>-0.92032520325203215</v>
      </c>
      <c r="G228" s="22">
        <f t="shared" si="33"/>
        <v>-2.7306094850948632</v>
      </c>
      <c r="H228" s="18">
        <f t="shared" si="34"/>
        <v>2.5130487293718571</v>
      </c>
      <c r="I228" s="18">
        <f t="shared" si="35"/>
        <v>0.84699847974089426</v>
      </c>
      <c r="J228" s="24"/>
      <c r="K228" s="24"/>
      <c r="L228" s="19">
        <f t="shared" si="36"/>
        <v>38.31033668984783</v>
      </c>
      <c r="O228" s="9">
        <f t="shared" si="31"/>
        <v>-6.6103366898478306</v>
      </c>
      <c r="P228" s="10">
        <f t="shared" si="37"/>
        <v>43.696551153148377</v>
      </c>
      <c r="V228" s="10">
        <f t="shared" si="39"/>
        <v>6.1173354249426944E-2</v>
      </c>
      <c r="W228" s="13">
        <f t="shared" si="32"/>
        <v>15.052283183300274</v>
      </c>
      <c r="Z228" s="15">
        <f t="shared" si="38"/>
        <v>7.456228160090034</v>
      </c>
    </row>
    <row r="229" spans="1:26">
      <c r="A229" s="84">
        <f>'Q.6 Rand()'!T227</f>
        <v>2.4</v>
      </c>
      <c r="B229" s="141">
        <f>'Q.6 Rand()'!U227</f>
        <v>34.700000000000003</v>
      </c>
      <c r="D229" s="23"/>
      <c r="E229" s="24"/>
      <c r="F229" s="22">
        <f t="shared" si="30"/>
        <v>-1.2203252032520324</v>
      </c>
      <c r="G229" s="22">
        <f t="shared" si="33"/>
        <v>0.26939051490514032</v>
      </c>
      <c r="H229" s="18">
        <f t="shared" si="34"/>
        <v>-0.32874403485578502</v>
      </c>
      <c r="I229" s="18">
        <f t="shared" si="35"/>
        <v>1.4891936016921143</v>
      </c>
      <c r="J229" s="24"/>
      <c r="K229" s="24"/>
      <c r="L229" s="19">
        <f t="shared" si="36"/>
        <v>39.575018084330026</v>
      </c>
      <c r="O229" s="9">
        <f t="shared" si="31"/>
        <v>-4.8750180843300228</v>
      </c>
      <c r="P229" s="10">
        <f t="shared" si="37"/>
        <v>23.765801322544764</v>
      </c>
      <c r="V229" s="10">
        <f t="shared" si="39"/>
        <v>0.20852797128857511</v>
      </c>
      <c r="W229" s="13">
        <f t="shared" si="32"/>
        <v>26.464939835884692</v>
      </c>
      <c r="Z229" s="15">
        <f t="shared" si="38"/>
        <v>7.2571249520856626E-2</v>
      </c>
    </row>
    <row r="230" spans="1:26">
      <c r="A230" s="84">
        <f>'Q.6 Rand()'!T228</f>
        <v>3.5</v>
      </c>
      <c r="B230" s="141">
        <f>'Q.6 Rand()'!U228</f>
        <v>34.792700000000004</v>
      </c>
      <c r="D230" s="23"/>
      <c r="E230" s="24"/>
      <c r="F230" s="22">
        <f t="shared" si="30"/>
        <v>-0.12032520325203233</v>
      </c>
      <c r="G230" s="22">
        <f t="shared" si="33"/>
        <v>0.36209051490514099</v>
      </c>
      <c r="H230" s="18">
        <f t="shared" si="34"/>
        <v>-4.356861480159413E-2</v>
      </c>
      <c r="I230" s="18">
        <f t="shared" si="35"/>
        <v>1.4478154537642892E-2</v>
      </c>
      <c r="J230" s="24"/>
      <c r="K230" s="24"/>
      <c r="L230" s="19">
        <f t="shared" si="36"/>
        <v>34.937852971228637</v>
      </c>
      <c r="O230" s="9">
        <f t="shared" si="31"/>
        <v>-0.14515297122863302</v>
      </c>
      <c r="P230" s="10">
        <f t="shared" si="37"/>
        <v>2.1069385056500366E-2</v>
      </c>
      <c r="V230" s="10">
        <f t="shared" si="39"/>
        <v>0.14049043470691708</v>
      </c>
      <c r="W230" s="13">
        <f t="shared" si="32"/>
        <v>0.25729595422514417</v>
      </c>
      <c r="Z230" s="15">
        <f t="shared" si="38"/>
        <v>0.13110954098427013</v>
      </c>
    </row>
    <row r="231" spans="1:26">
      <c r="A231" s="84">
        <f>'Q.6 Rand()'!T229</f>
        <v>2</v>
      </c>
      <c r="B231" s="141">
        <f>'Q.6 Rand()'!U229</f>
        <v>42.8</v>
      </c>
      <c r="D231" s="23"/>
      <c r="E231" s="24"/>
      <c r="F231" s="22">
        <f t="shared" si="30"/>
        <v>-1.6203252032520323</v>
      </c>
      <c r="G231" s="22">
        <f t="shared" si="33"/>
        <v>8.3693905149051346</v>
      </c>
      <c r="H231" s="18">
        <f t="shared" si="34"/>
        <v>-13.561134387159294</v>
      </c>
      <c r="I231" s="18">
        <f t="shared" si="35"/>
        <v>2.6254537642937397</v>
      </c>
      <c r="J231" s="24"/>
      <c r="K231" s="24"/>
      <c r="L231" s="19">
        <f t="shared" si="36"/>
        <v>41.261259943639622</v>
      </c>
      <c r="O231" s="9">
        <f t="shared" si="31"/>
        <v>1.5387400563603748</v>
      </c>
      <c r="P231" s="10">
        <f t="shared" si="37"/>
        <v>2.3677209610479295</v>
      </c>
      <c r="V231" s="10">
        <f t="shared" si="39"/>
        <v>4.1719375394445677E-3</v>
      </c>
      <c r="W231" s="13">
        <f t="shared" si="32"/>
        <v>46.657785686817739</v>
      </c>
      <c r="Z231" s="15">
        <f t="shared" si="38"/>
        <v>70.046697590984039</v>
      </c>
    </row>
    <row r="232" spans="1:26">
      <c r="A232" s="84">
        <f>'Q.6 Rand()'!T230</f>
        <v>2</v>
      </c>
      <c r="B232" s="141">
        <f>'Q.6 Rand()'!U230</f>
        <v>37.798900000000003</v>
      </c>
      <c r="D232" s="23"/>
      <c r="E232" s="24"/>
      <c r="F232" s="22">
        <f t="shared" si="30"/>
        <v>-1.6203252032520323</v>
      </c>
      <c r="G232" s="22">
        <f t="shared" si="33"/>
        <v>3.3682905149051408</v>
      </c>
      <c r="H232" s="18">
        <f t="shared" si="34"/>
        <v>-5.4577260131755647</v>
      </c>
      <c r="I232" s="18">
        <f t="shared" si="35"/>
        <v>2.6254537642937397</v>
      </c>
      <c r="J232" s="24"/>
      <c r="K232" s="24"/>
      <c r="L232" s="19">
        <f t="shared" si="36"/>
        <v>41.261259943639622</v>
      </c>
      <c r="O232" s="9">
        <f t="shared" si="31"/>
        <v>-3.4623599436396191</v>
      </c>
      <c r="P232" s="10">
        <f t="shared" si="37"/>
        <v>11.987936379320146</v>
      </c>
      <c r="V232" s="10">
        <f t="shared" si="39"/>
        <v>3.5951870475709691E-2</v>
      </c>
      <c r="W232" s="13">
        <f t="shared" si="32"/>
        <v>46.657785686817739</v>
      </c>
      <c r="Z232" s="15">
        <f t="shared" si="38"/>
        <v>11.345380992799939</v>
      </c>
    </row>
    <row r="233" spans="1:26">
      <c r="A233" s="84">
        <f>'Q.6 Rand()'!T231</f>
        <v>4</v>
      </c>
      <c r="B233" s="141">
        <f>'Q.6 Rand()'!U231</f>
        <v>28.4</v>
      </c>
      <c r="D233" s="23"/>
      <c r="E233" s="24"/>
      <c r="F233" s="22">
        <f t="shared" si="30"/>
        <v>0.37967479674796767</v>
      </c>
      <c r="G233" s="22">
        <f t="shared" si="33"/>
        <v>-6.0306094850948639</v>
      </c>
      <c r="H233" s="18">
        <f t="shared" si="34"/>
        <v>-2.2896704305197586</v>
      </c>
      <c r="I233" s="18">
        <f t="shared" si="35"/>
        <v>0.14415295128561056</v>
      </c>
      <c r="J233" s="24"/>
      <c r="K233" s="24"/>
      <c r="L233" s="19">
        <f t="shared" si="36"/>
        <v>32.830050647091646</v>
      </c>
      <c r="O233" s="9">
        <f t="shared" si="31"/>
        <v>-4.4300506470916474</v>
      </c>
      <c r="P233" s="10">
        <f t="shared" si="37"/>
        <v>19.625348735797125</v>
      </c>
      <c r="V233" s="10">
        <f t="shared" si="39"/>
        <v>9.1599489499419789E-2</v>
      </c>
      <c r="W233" s="13">
        <f t="shared" si="32"/>
        <v>2.5617885939102067</v>
      </c>
      <c r="Z233" s="15">
        <f t="shared" si="38"/>
        <v>36.368250761716141</v>
      </c>
    </row>
    <row r="234" spans="1:26">
      <c r="A234" s="84">
        <f>'Q.6 Rand()'!T232</f>
        <v>3.5</v>
      </c>
      <c r="B234" s="141">
        <f>'Q.6 Rand()'!U232</f>
        <v>35.5</v>
      </c>
      <c r="D234" s="23"/>
      <c r="E234" s="24"/>
      <c r="F234" s="22">
        <f t="shared" si="30"/>
        <v>-0.12032520325203233</v>
      </c>
      <c r="G234" s="22">
        <f t="shared" si="33"/>
        <v>1.0693905149051375</v>
      </c>
      <c r="H234" s="18">
        <f t="shared" si="34"/>
        <v>-0.12867463106175617</v>
      </c>
      <c r="I234" s="18">
        <f t="shared" si="35"/>
        <v>1.4478154537642892E-2</v>
      </c>
      <c r="J234" s="24"/>
      <c r="K234" s="24"/>
      <c r="L234" s="19">
        <f t="shared" si="36"/>
        <v>34.937852971228637</v>
      </c>
      <c r="O234" s="9">
        <f t="shared" si="31"/>
        <v>0.56214702877136347</v>
      </c>
      <c r="P234" s="10">
        <f t="shared" si="37"/>
        <v>0.31600928195647215</v>
      </c>
      <c r="V234" s="10">
        <f t="shared" si="39"/>
        <v>0.15598769884125521</v>
      </c>
      <c r="W234" s="13">
        <f t="shared" si="32"/>
        <v>0.25729595422514417</v>
      </c>
      <c r="Z234" s="15">
        <f t="shared" si="38"/>
        <v>1.1435960733690751</v>
      </c>
    </row>
    <row r="235" spans="1:26">
      <c r="A235" s="84">
        <f>'Q.6 Rand()'!T233</f>
        <v>3.2</v>
      </c>
      <c r="B235" s="141">
        <f>'Q.6 Rand()'!U233</f>
        <v>30.492599999999999</v>
      </c>
      <c r="D235" s="23"/>
      <c r="E235" s="24"/>
      <c r="F235" s="22">
        <f t="shared" si="30"/>
        <v>-0.42032520325203215</v>
      </c>
      <c r="G235" s="22">
        <f t="shared" si="33"/>
        <v>-3.938009485094863</v>
      </c>
      <c r="H235" s="18">
        <f t="shared" si="34"/>
        <v>1.6552446372309289</v>
      </c>
      <c r="I235" s="18">
        <f t="shared" si="35"/>
        <v>0.17667327648886214</v>
      </c>
      <c r="J235" s="24"/>
      <c r="K235" s="24"/>
      <c r="L235" s="19">
        <f t="shared" si="36"/>
        <v>36.202534365710832</v>
      </c>
      <c r="O235" s="9">
        <f t="shared" si="31"/>
        <v>-5.7099343657108328</v>
      </c>
      <c r="P235" s="10">
        <f t="shared" si="37"/>
        <v>32.603350460725572</v>
      </c>
      <c r="V235" s="10">
        <f t="shared" si="39"/>
        <v>1.5835127571024323E-2</v>
      </c>
      <c r="W235" s="13">
        <f t="shared" si="32"/>
        <v>3.1397177825459188</v>
      </c>
      <c r="Z235" s="15">
        <f t="shared" si="38"/>
        <v>15.507918704697108</v>
      </c>
    </row>
    <row r="236" spans="1:26">
      <c r="A236" s="84">
        <f>'Q.6 Rand()'!T234</f>
        <v>4</v>
      </c>
      <c r="B236" s="141">
        <f>'Q.6 Rand()'!U234</f>
        <v>27.8</v>
      </c>
      <c r="D236" s="23"/>
      <c r="E236" s="24"/>
      <c r="F236" s="22">
        <f t="shared" si="30"/>
        <v>0.37967479674796767</v>
      </c>
      <c r="G236" s="22">
        <f t="shared" si="33"/>
        <v>-6.6306094850948618</v>
      </c>
      <c r="H236" s="18">
        <f t="shared" si="34"/>
        <v>-2.5174753085685384</v>
      </c>
      <c r="I236" s="18">
        <f t="shared" si="35"/>
        <v>0.14415295128561056</v>
      </c>
      <c r="J236" s="24"/>
      <c r="K236" s="24"/>
      <c r="L236" s="19">
        <f t="shared" si="36"/>
        <v>32.830050647091646</v>
      </c>
      <c r="O236" s="9">
        <f t="shared" si="31"/>
        <v>-5.0300506470916453</v>
      </c>
      <c r="P236" s="10">
        <f t="shared" si="37"/>
        <v>25.301409512307078</v>
      </c>
      <c r="V236" s="10">
        <f t="shared" si="39"/>
        <v>0.1872563955094296</v>
      </c>
      <c r="W236" s="13">
        <f t="shared" si="32"/>
        <v>2.5617885939102067</v>
      </c>
      <c r="Z236" s="15">
        <f t="shared" si="38"/>
        <v>43.96498214382995</v>
      </c>
    </row>
    <row r="237" spans="1:26">
      <c r="A237" s="84">
        <f>'Q.6 Rand()'!T235</f>
        <v>2.9</v>
      </c>
      <c r="B237" s="141">
        <f>'Q.6 Rand()'!U235</f>
        <v>34.1</v>
      </c>
      <c r="D237" s="23"/>
      <c r="E237" s="24"/>
      <c r="F237" s="22">
        <f t="shared" si="30"/>
        <v>-0.72032520325203242</v>
      </c>
      <c r="G237" s="22">
        <f t="shared" si="33"/>
        <v>-0.3306094850948611</v>
      </c>
      <c r="H237" s="18">
        <f t="shared" si="34"/>
        <v>0.2381463445480056</v>
      </c>
      <c r="I237" s="18">
        <f t="shared" si="35"/>
        <v>0.51886839844008181</v>
      </c>
      <c r="J237" s="24"/>
      <c r="K237" s="24"/>
      <c r="L237" s="19">
        <f t="shared" si="36"/>
        <v>37.467215760193035</v>
      </c>
      <c r="O237" s="9">
        <f t="shared" si="31"/>
        <v>-3.3672157601930337</v>
      </c>
      <c r="P237" s="10">
        <f t="shared" si="37"/>
        <v>11.33814197569235</v>
      </c>
      <c r="V237" s="10">
        <f t="shared" si="39"/>
        <v>0.18093707363639011</v>
      </c>
      <c r="W237" s="13">
        <f t="shared" si="32"/>
        <v>9.220977669965599</v>
      </c>
      <c r="Z237" s="15">
        <f t="shared" si="38"/>
        <v>0.10930263163468919</v>
      </c>
    </row>
    <row r="238" spans="1:26">
      <c r="A238" s="84">
        <f>'Q.6 Rand()'!T236</f>
        <v>5.7</v>
      </c>
      <c r="B238" s="141">
        <f>'Q.6 Rand()'!U236</f>
        <v>23.999300000000002</v>
      </c>
      <c r="D238" s="23"/>
      <c r="E238" s="24"/>
      <c r="F238" s="22">
        <f t="shared" si="30"/>
        <v>2.0796747967479678</v>
      </c>
      <c r="G238" s="22">
        <f t="shared" si="33"/>
        <v>-10.431309485094861</v>
      </c>
      <c r="H238" s="18">
        <f t="shared" si="34"/>
        <v>-21.693731433229804</v>
      </c>
      <c r="I238" s="18">
        <f t="shared" si="35"/>
        <v>4.3250472602287013</v>
      </c>
      <c r="J238" s="24"/>
      <c r="K238" s="24"/>
      <c r="L238" s="19">
        <f t="shared" si="36"/>
        <v>25.663522745025865</v>
      </c>
      <c r="O238" s="9">
        <f t="shared" si="31"/>
        <v>-1.6642227450258638</v>
      </c>
      <c r="P238" s="10">
        <f t="shared" si="37"/>
        <v>2.7696373450614211</v>
      </c>
      <c r="V238" s="10">
        <f t="shared" si="39"/>
        <v>9.8745330210939397E-2</v>
      </c>
      <c r="W238" s="13">
        <f t="shared" si="32"/>
        <v>76.86180990789363</v>
      </c>
      <c r="Z238" s="15">
        <f t="shared" si="38"/>
        <v>108.81221757383001</v>
      </c>
    </row>
    <row r="239" spans="1:26">
      <c r="A239" s="84">
        <f>'Q.6 Rand()'!T237</f>
        <v>2</v>
      </c>
      <c r="B239" s="141">
        <f>'Q.6 Rand()'!U237</f>
        <v>41.2</v>
      </c>
      <c r="D239" s="23"/>
      <c r="E239" s="24"/>
      <c r="F239" s="22">
        <f t="shared" si="30"/>
        <v>-1.6203252032520323</v>
      </c>
      <c r="G239" s="22">
        <f t="shared" si="33"/>
        <v>6.7693905149051403</v>
      </c>
      <c r="H239" s="18">
        <f t="shared" si="34"/>
        <v>-10.968614061956051</v>
      </c>
      <c r="I239" s="18">
        <f t="shared" si="35"/>
        <v>2.6254537642937397</v>
      </c>
      <c r="J239" s="24"/>
      <c r="K239" s="24"/>
      <c r="L239" s="19">
        <f t="shared" si="36"/>
        <v>41.261259943639622</v>
      </c>
      <c r="O239" s="9">
        <f t="shared" si="31"/>
        <v>-6.1259943639619507E-2</v>
      </c>
      <c r="P239" s="10">
        <f t="shared" si="37"/>
        <v>3.7527806947293585E-3</v>
      </c>
      <c r="V239" s="10">
        <f t="shared" si="39"/>
        <v>6.9344636927988049E-2</v>
      </c>
      <c r="W239" s="13">
        <f t="shared" si="32"/>
        <v>46.657785686817739</v>
      </c>
      <c r="Z239" s="15">
        <f t="shared" si="38"/>
        <v>45.82464794328768</v>
      </c>
    </row>
    <row r="240" spans="1:26">
      <c r="A240" s="84">
        <f>'Q.6 Rand()'!T238</f>
        <v>5.3</v>
      </c>
      <c r="B240" s="141">
        <f>'Q.6 Rand()'!U238</f>
        <v>26.6</v>
      </c>
      <c r="D240" s="23"/>
      <c r="E240" s="24"/>
      <c r="F240" s="22">
        <f t="shared" si="30"/>
        <v>1.6796747967479675</v>
      </c>
      <c r="G240" s="22">
        <f t="shared" si="33"/>
        <v>-7.8306094850948611</v>
      </c>
      <c r="H240" s="18">
        <f t="shared" si="34"/>
        <v>-13.152877395289417</v>
      </c>
      <c r="I240" s="18">
        <f t="shared" si="35"/>
        <v>2.8213074228303259</v>
      </c>
      <c r="J240" s="24"/>
      <c r="K240" s="24"/>
      <c r="L240" s="19">
        <f t="shared" si="36"/>
        <v>27.349764604335462</v>
      </c>
      <c r="O240" s="9">
        <f t="shared" si="31"/>
        <v>-0.74976460433546066</v>
      </c>
      <c r="P240" s="10">
        <f t="shared" si="37"/>
        <v>0.56214696191430991</v>
      </c>
      <c r="V240" s="10">
        <f t="shared" si="39"/>
        <v>1.4868918359130948E-3</v>
      </c>
      <c r="W240" s="13">
        <f t="shared" si="32"/>
        <v>50.138364225376606</v>
      </c>
      <c r="Z240" s="15">
        <f t="shared" si="38"/>
        <v>61.318444908057607</v>
      </c>
    </row>
    <row r="241" spans="1:26">
      <c r="A241" s="84">
        <f>'Q.6 Rand()'!T239</f>
        <v>2.4</v>
      </c>
      <c r="B241" s="141">
        <f>'Q.6 Rand()'!U239</f>
        <v>40.299999999999997</v>
      </c>
      <c r="D241" s="23"/>
      <c r="E241" s="24"/>
      <c r="F241" s="22">
        <f t="shared" si="30"/>
        <v>-1.2203252032520324</v>
      </c>
      <c r="G241" s="22">
        <f t="shared" si="33"/>
        <v>5.8693905149051346</v>
      </c>
      <c r="H241" s="18">
        <f t="shared" si="34"/>
        <v>-7.1625651730671596</v>
      </c>
      <c r="I241" s="18">
        <f t="shared" si="35"/>
        <v>1.4891936016921143</v>
      </c>
      <c r="J241" s="24"/>
      <c r="K241" s="24"/>
      <c r="L241" s="19">
        <f t="shared" si="36"/>
        <v>39.575018084330026</v>
      </c>
      <c r="O241" s="9">
        <f t="shared" si="31"/>
        <v>0.7249819156699715</v>
      </c>
      <c r="P241" s="10">
        <f t="shared" si="37"/>
        <v>0.52559877804850164</v>
      </c>
      <c r="V241" s="10">
        <f t="shared" si="39"/>
        <v>2.8186639260731602E-2</v>
      </c>
      <c r="W241" s="13">
        <f t="shared" si="32"/>
        <v>26.464939835884692</v>
      </c>
      <c r="Z241" s="15">
        <f t="shared" si="38"/>
        <v>34.449745016458358</v>
      </c>
    </row>
    <row r="242" spans="1:26">
      <c r="A242" s="84">
        <f>'Q.6 Rand()'!T240</f>
        <v>2</v>
      </c>
      <c r="B242" s="141">
        <f>'Q.6 Rand()'!U240</f>
        <v>38</v>
      </c>
      <c r="D242" s="23"/>
      <c r="E242" s="24"/>
      <c r="F242" s="22">
        <f t="shared" si="30"/>
        <v>-1.6203252032520323</v>
      </c>
      <c r="G242" s="22">
        <f t="shared" si="33"/>
        <v>3.5693905149051375</v>
      </c>
      <c r="H242" s="18">
        <f t="shared" si="34"/>
        <v>-5.7835734115495434</v>
      </c>
      <c r="I242" s="18">
        <f t="shared" si="35"/>
        <v>2.6254537642937397</v>
      </c>
      <c r="J242" s="24"/>
      <c r="K242" s="24"/>
      <c r="L242" s="19">
        <f t="shared" si="36"/>
        <v>41.261259943639622</v>
      </c>
      <c r="O242" s="9">
        <f t="shared" si="31"/>
        <v>-3.2612599436396223</v>
      </c>
      <c r="P242" s="10">
        <f t="shared" si="37"/>
        <v>10.635816419988313</v>
      </c>
      <c r="V242" s="10">
        <f t="shared" si="39"/>
        <v>1.7989625699006737E-2</v>
      </c>
      <c r="W242" s="13">
        <f t="shared" si="32"/>
        <v>46.657785686817739</v>
      </c>
      <c r="Z242" s="15">
        <f t="shared" si="38"/>
        <v>12.740548647894762</v>
      </c>
    </row>
    <row r="243" spans="1:26">
      <c r="A243" s="84">
        <f>'Q.6 Rand()'!T241</f>
        <v>3.6</v>
      </c>
      <c r="B243" s="141">
        <f>'Q.6 Rand()'!U241</f>
        <v>33</v>
      </c>
      <c r="D243" s="23"/>
      <c r="E243" s="24"/>
      <c r="F243" s="22">
        <f t="shared" si="30"/>
        <v>-2.0325203252032242E-2</v>
      </c>
      <c r="G243" s="22">
        <f t="shared" si="33"/>
        <v>-1.4306094850948625</v>
      </c>
      <c r="H243" s="18">
        <f t="shared" si="34"/>
        <v>2.907742855883827E-2</v>
      </c>
      <c r="I243" s="18">
        <f t="shared" si="35"/>
        <v>4.1311388723642203E-4</v>
      </c>
      <c r="J243" s="24"/>
      <c r="K243" s="24"/>
      <c r="L243" s="19">
        <f t="shared" si="36"/>
        <v>34.516292506401243</v>
      </c>
      <c r="O243" s="9">
        <f t="shared" si="31"/>
        <v>-1.5162925064012427</v>
      </c>
      <c r="P243" s="10">
        <f t="shared" si="37"/>
        <v>2.2991429649685626</v>
      </c>
      <c r="V243" s="10">
        <f t="shared" si="39"/>
        <v>8.5822630095779534E-2</v>
      </c>
      <c r="W243" s="13">
        <f t="shared" si="32"/>
        <v>7.3415801401895981E-3</v>
      </c>
      <c r="Z243" s="15">
        <f t="shared" si="38"/>
        <v>2.0466434988433875</v>
      </c>
    </row>
    <row r="244" spans="1:26">
      <c r="A244" s="84">
        <f>'Q.6 Rand()'!T242</f>
        <v>2</v>
      </c>
      <c r="B244" s="141">
        <f>'Q.6 Rand()'!U242</f>
        <v>43.541400000000003</v>
      </c>
      <c r="D244" s="23"/>
      <c r="E244" s="24"/>
      <c r="F244" s="22">
        <f t="shared" si="30"/>
        <v>-1.6203252032520323</v>
      </c>
      <c r="G244" s="22">
        <f t="shared" si="33"/>
        <v>9.1107905149051405</v>
      </c>
      <c r="H244" s="18">
        <f t="shared" si="34"/>
        <v>-14.762443492850361</v>
      </c>
      <c r="I244" s="18">
        <f t="shared" si="35"/>
        <v>2.6254537642937397</v>
      </c>
      <c r="J244" s="24"/>
      <c r="K244" s="24"/>
      <c r="L244" s="19">
        <f t="shared" si="36"/>
        <v>41.261259943639622</v>
      </c>
      <c r="O244" s="9">
        <f t="shared" si="31"/>
        <v>2.2801400563603806</v>
      </c>
      <c r="P244" s="10">
        <f t="shared" si="37"/>
        <v>5.1990386766191197</v>
      </c>
      <c r="V244" s="10">
        <f t="shared" si="39"/>
        <v>4.5948257769734629E-2</v>
      </c>
      <c r="W244" s="13">
        <f t="shared" si="32"/>
        <v>46.657785686817739</v>
      </c>
      <c r="Z244" s="15">
        <f t="shared" si="38"/>
        <v>83.006503806485469</v>
      </c>
    </row>
    <row r="245" spans="1:26">
      <c r="A245" s="84">
        <f>'Q.6 Rand()'!T243</f>
        <v>3</v>
      </c>
      <c r="B245" s="141">
        <f>'Q.6 Rand()'!U243</f>
        <v>38.169600000000003</v>
      </c>
      <c r="D245" s="23"/>
      <c r="E245" s="24"/>
      <c r="F245" s="22">
        <f t="shared" si="30"/>
        <v>-0.62032520325203233</v>
      </c>
      <c r="G245" s="22">
        <f t="shared" si="33"/>
        <v>3.7389905149051401</v>
      </c>
      <c r="H245" s="18">
        <f t="shared" si="34"/>
        <v>-2.3193900511159522</v>
      </c>
      <c r="I245" s="18">
        <f t="shared" si="35"/>
        <v>0.38480335778967523</v>
      </c>
      <c r="J245" s="24"/>
      <c r="K245" s="24"/>
      <c r="L245" s="19">
        <f t="shared" si="36"/>
        <v>37.045655295365634</v>
      </c>
      <c r="O245" s="9">
        <f t="shared" si="31"/>
        <v>1.1239447046343685</v>
      </c>
      <c r="P245" s="10">
        <f t="shared" si="37"/>
        <v>1.2632516990756377</v>
      </c>
      <c r="V245" s="10">
        <f t="shared" si="39"/>
        <v>5.2367173686660981E-2</v>
      </c>
      <c r="W245" s="13">
        <f t="shared" si="32"/>
        <v>6.8384645898147163</v>
      </c>
      <c r="Z245" s="15">
        <f t="shared" si="38"/>
        <v>13.980050070550606</v>
      </c>
    </row>
    <row r="246" spans="1:26">
      <c r="A246" s="84">
        <f>'Q.6 Rand()'!T244</f>
        <v>5.9</v>
      </c>
      <c r="B246" s="141">
        <f>'Q.6 Rand()'!U244</f>
        <v>24.6983</v>
      </c>
      <c r="D246" s="23"/>
      <c r="E246" s="24"/>
      <c r="F246" s="22">
        <f t="shared" si="30"/>
        <v>2.279674796747968</v>
      </c>
      <c r="G246" s="22">
        <f t="shared" si="33"/>
        <v>-9.7323094850948628</v>
      </c>
      <c r="H246" s="18">
        <f t="shared" si="34"/>
        <v>-22.186500647321953</v>
      </c>
      <c r="I246" s="18">
        <f t="shared" si="35"/>
        <v>5.1969171789278894</v>
      </c>
      <c r="J246" s="24"/>
      <c r="K246" s="24"/>
      <c r="L246" s="19">
        <f t="shared" si="36"/>
        <v>24.820401815371067</v>
      </c>
      <c r="O246" s="9">
        <f t="shared" si="31"/>
        <v>-0.12210181537106735</v>
      </c>
      <c r="P246" s="10">
        <f t="shared" si="37"/>
        <v>1.4908853316910218E-2</v>
      </c>
      <c r="V246" s="10">
        <f t="shared" si="39"/>
        <v>2.9446069768464127E-2</v>
      </c>
      <c r="W246" s="13">
        <f t="shared" si="32"/>
        <v>92.356091455218063</v>
      </c>
      <c r="Z246" s="15">
        <f t="shared" si="38"/>
        <v>94.717847913667427</v>
      </c>
    </row>
    <row r="247" spans="1:26">
      <c r="A247" s="84">
        <f>'Q.6 Rand()'!T245</f>
        <v>2.7</v>
      </c>
      <c r="B247" s="141">
        <f>'Q.6 Rand()'!U245</f>
        <v>35.429099999999998</v>
      </c>
      <c r="D247" s="23"/>
      <c r="E247" s="24"/>
      <c r="F247" s="22">
        <f t="shared" si="30"/>
        <v>-0.92032520325203215</v>
      </c>
      <c r="G247" s="22">
        <f t="shared" si="33"/>
        <v>0.99849051490513574</v>
      </c>
      <c r="H247" s="18">
        <f t="shared" si="34"/>
        <v>-0.91893598607529525</v>
      </c>
      <c r="I247" s="18">
        <f t="shared" si="35"/>
        <v>0.84699847974089426</v>
      </c>
      <c r="J247" s="24"/>
      <c r="K247" s="24"/>
      <c r="L247" s="19">
        <f t="shared" si="36"/>
        <v>38.31033668984783</v>
      </c>
      <c r="O247" s="9">
        <f t="shared" si="31"/>
        <v>-2.8812366898478317</v>
      </c>
      <c r="P247" s="10">
        <f t="shared" si="37"/>
        <v>8.3015248629252909</v>
      </c>
      <c r="V247" s="10">
        <f t="shared" si="39"/>
        <v>4.943733591828885E-3</v>
      </c>
      <c r="W247" s="13">
        <f t="shared" si="32"/>
        <v>15.052283183300274</v>
      </c>
      <c r="Z247" s="15">
        <f t="shared" si="38"/>
        <v>0.99698330835552307</v>
      </c>
    </row>
    <row r="248" spans="1:26">
      <c r="A248" s="84">
        <f>'Q.6 Rand()'!T246</f>
        <v>1.3</v>
      </c>
      <c r="B248" s="141">
        <f>'Q.6 Rand()'!U246</f>
        <v>65</v>
      </c>
      <c r="D248" s="23"/>
      <c r="E248" s="24"/>
      <c r="F248" s="22">
        <f t="shared" si="30"/>
        <v>-2.3203252032520325</v>
      </c>
      <c r="G248" s="22">
        <f t="shared" si="33"/>
        <v>30.569390514905137</v>
      </c>
      <c r="H248" s="18">
        <f t="shared" si="34"/>
        <v>-70.930927259788021</v>
      </c>
      <c r="I248" s="18">
        <f t="shared" si="35"/>
        <v>5.3839090488465864</v>
      </c>
      <c r="J248" s="24"/>
      <c r="K248" s="24"/>
      <c r="L248" s="19">
        <f t="shared" si="36"/>
        <v>44.212183197431415</v>
      </c>
      <c r="O248" s="9">
        <f t="shared" si="31"/>
        <v>20.787816802568585</v>
      </c>
      <c r="P248" s="10">
        <f t="shared" si="37"/>
        <v>432.13332741715277</v>
      </c>
      <c r="V248" s="10">
        <f t="shared" si="39"/>
        <v>8.1324015847081405E-2</v>
      </c>
      <c r="W248" s="13">
        <f t="shared" si="32"/>
        <v>95.679184289873476</v>
      </c>
      <c r="Z248" s="15">
        <f t="shared" si="38"/>
        <v>934.48763645277222</v>
      </c>
    </row>
    <row r="249" spans="1:26">
      <c r="A249" s="84">
        <f>'Q.6 Rand()'!T247</f>
        <v>4</v>
      </c>
      <c r="B249" s="141">
        <f>'Q.6 Rand()'!U247</f>
        <v>28.4</v>
      </c>
      <c r="D249" s="23"/>
      <c r="E249" s="24"/>
      <c r="F249" s="22">
        <f t="shared" si="30"/>
        <v>0.37967479674796767</v>
      </c>
      <c r="G249" s="22">
        <f t="shared" si="33"/>
        <v>-6.0306094850948639</v>
      </c>
      <c r="H249" s="18">
        <f t="shared" si="34"/>
        <v>-2.2896704305197586</v>
      </c>
      <c r="I249" s="18">
        <f t="shared" si="35"/>
        <v>0.14415295128561056</v>
      </c>
      <c r="J249" s="24"/>
      <c r="K249" s="24"/>
      <c r="L249" s="19">
        <f t="shared" si="36"/>
        <v>32.830050647091646</v>
      </c>
      <c r="O249" s="9">
        <f t="shared" si="31"/>
        <v>-4.4300506470916474</v>
      </c>
      <c r="P249" s="10">
        <f t="shared" si="37"/>
        <v>19.625348735797125</v>
      </c>
      <c r="V249" s="10">
        <f t="shared" si="39"/>
        <v>0.31981256619336285</v>
      </c>
      <c r="W249" s="13">
        <f t="shared" si="32"/>
        <v>2.5617885939102067</v>
      </c>
      <c r="Z249" s="15">
        <f t="shared" si="38"/>
        <v>36.368250761716141</v>
      </c>
    </row>
    <row r="250" spans="1:26">
      <c r="A250" s="84">
        <f>'Q.6 Rand()'!T248</f>
        <v>2.2999999999999998</v>
      </c>
      <c r="B250" s="141">
        <f>'Q.6 Rand()'!U248</f>
        <v>37.700000000000003</v>
      </c>
      <c r="D250" s="23"/>
      <c r="E250" s="24"/>
      <c r="F250" s="22">
        <f t="shared" si="30"/>
        <v>-1.3203252032520325</v>
      </c>
      <c r="G250" s="22">
        <f t="shared" si="33"/>
        <v>3.2693905149051403</v>
      </c>
      <c r="H250" s="18">
        <f t="shared" si="34"/>
        <v>-4.3166586961023965</v>
      </c>
      <c r="I250" s="18">
        <f t="shared" si="35"/>
        <v>1.7432586423425209</v>
      </c>
      <c r="J250" s="24"/>
      <c r="K250" s="24"/>
      <c r="L250" s="19">
        <f t="shared" si="36"/>
        <v>39.996578549157427</v>
      </c>
      <c r="O250" s="9">
        <f t="shared" si="31"/>
        <v>-2.2965785491574238</v>
      </c>
      <c r="P250" s="10">
        <f t="shared" si="37"/>
        <v>5.2742730324500178</v>
      </c>
      <c r="V250" s="10">
        <f t="shared" si="39"/>
        <v>0.15598769884125521</v>
      </c>
      <c r="W250" s="13">
        <f t="shared" si="32"/>
        <v>30.980011622101497</v>
      </c>
      <c r="Z250" s="15">
        <f t="shared" si="38"/>
        <v>10.688914338951699</v>
      </c>
    </row>
    <row r="251" spans="1:26">
      <c r="A251" s="84">
        <f>'Q.6 Rand()'!T249</f>
        <v>3.5</v>
      </c>
      <c r="B251" s="141">
        <f>'Q.6 Rand()'!U249</f>
        <v>27.8</v>
      </c>
      <c r="D251" s="23"/>
      <c r="E251" s="24"/>
      <c r="F251" s="22">
        <f t="shared" si="30"/>
        <v>-0.12032520325203233</v>
      </c>
      <c r="G251" s="22">
        <f t="shared" si="33"/>
        <v>-6.6306094850948618</v>
      </c>
      <c r="H251" s="18">
        <f t="shared" si="34"/>
        <v>0.79782943397889272</v>
      </c>
      <c r="I251" s="18">
        <f t="shared" si="35"/>
        <v>1.4478154537642892E-2</v>
      </c>
      <c r="J251" s="24"/>
      <c r="K251" s="24"/>
      <c r="L251" s="19">
        <f t="shared" si="36"/>
        <v>34.937852971228637</v>
      </c>
      <c r="O251" s="9">
        <f t="shared" si="31"/>
        <v>-7.1378529712286358</v>
      </c>
      <c r="P251" s="10">
        <f t="shared" si="37"/>
        <v>50.948945038877461</v>
      </c>
      <c r="V251" s="10">
        <f t="shared" si="39"/>
        <v>6.0917202895422379E-2</v>
      </c>
      <c r="W251" s="13">
        <f t="shared" si="32"/>
        <v>0.25729595422514417</v>
      </c>
      <c r="Z251" s="15">
        <f t="shared" si="38"/>
        <v>43.96498214382995</v>
      </c>
    </row>
    <row r="252" spans="1:26">
      <c r="A252" s="84">
        <f>'Q.6 Rand()'!T250</f>
        <v>3.6</v>
      </c>
      <c r="B252" s="141">
        <f>'Q.6 Rand()'!U250</f>
        <v>34.875399999999999</v>
      </c>
      <c r="D252" s="23"/>
      <c r="E252" s="24"/>
      <c r="F252" s="22">
        <f t="shared" si="30"/>
        <v>-2.0325203252032242E-2</v>
      </c>
      <c r="G252" s="22">
        <f t="shared" si="33"/>
        <v>0.44479051490513655</v>
      </c>
      <c r="H252" s="18">
        <f t="shared" si="34"/>
        <v>-9.0404576200229774E-3</v>
      </c>
      <c r="I252" s="18">
        <f t="shared" si="35"/>
        <v>4.1311388723642203E-4</v>
      </c>
      <c r="J252" s="24"/>
      <c r="K252" s="24"/>
      <c r="L252" s="19">
        <f t="shared" si="36"/>
        <v>34.516292506401243</v>
      </c>
      <c r="O252" s="9">
        <f t="shared" si="31"/>
        <v>0.35910749359875638</v>
      </c>
      <c r="P252" s="10">
        <f t="shared" si="37"/>
        <v>0.12895819195878086</v>
      </c>
      <c r="V252" s="10">
        <f t="shared" si="39"/>
        <v>0.25675730112333223</v>
      </c>
      <c r="W252" s="13">
        <f t="shared" si="32"/>
        <v>7.3415801401895981E-3</v>
      </c>
      <c r="Z252" s="15">
        <f t="shared" si="38"/>
        <v>0.19783860214957649</v>
      </c>
    </row>
    <row r="253" spans="1:26">
      <c r="A253" s="84">
        <f>'Q.6 Rand()'!T251</f>
        <v>5.5</v>
      </c>
      <c r="B253" s="141">
        <f>'Q.6 Rand()'!U251</f>
        <v>32.299999999999997</v>
      </c>
      <c r="D253" s="23"/>
      <c r="E253" s="24"/>
      <c r="F253" s="22">
        <f t="shared" si="30"/>
        <v>1.8796747967479677</v>
      </c>
      <c r="G253" s="22">
        <f t="shared" si="33"/>
        <v>-2.1306094850948654</v>
      </c>
      <c r="H253" s="18">
        <f t="shared" si="34"/>
        <v>-4.0048529508449828</v>
      </c>
      <c r="I253" s="18">
        <f t="shared" si="35"/>
        <v>3.5331773415295133</v>
      </c>
      <c r="J253" s="24"/>
      <c r="K253" s="24"/>
      <c r="L253" s="19">
        <f t="shared" si="36"/>
        <v>26.506643674680664</v>
      </c>
      <c r="O253" s="9">
        <f t="shared" si="31"/>
        <v>5.7933563253193334</v>
      </c>
      <c r="P253" s="10">
        <f t="shared" si="37"/>
        <v>33.562977512117527</v>
      </c>
      <c r="V253" s="10">
        <f t="shared" si="39"/>
        <v>1.0296870963451499E-2</v>
      </c>
      <c r="W253" s="13">
        <f t="shared" si="32"/>
        <v>62.789234164613148</v>
      </c>
      <c r="Z253" s="15">
        <f t="shared" si="38"/>
        <v>4.5394967779762077</v>
      </c>
    </row>
    <row r="254" spans="1:26">
      <c r="A254" s="84">
        <f>'Q.6 Rand()'!T252</f>
        <v>1.6</v>
      </c>
      <c r="B254" s="141">
        <f>'Q.6 Rand()'!U252</f>
        <v>46.5047</v>
      </c>
      <c r="D254" s="23"/>
      <c r="E254" s="24"/>
      <c r="F254" s="22">
        <f t="shared" si="30"/>
        <v>-2.0203252032520322</v>
      </c>
      <c r="G254" s="22">
        <f t="shared" si="33"/>
        <v>12.074090514905137</v>
      </c>
      <c r="H254" s="18">
        <f t="shared" si="34"/>
        <v>-24.393589373609156</v>
      </c>
      <c r="I254" s="18">
        <f t="shared" si="35"/>
        <v>4.0817139268953655</v>
      </c>
      <c r="J254" s="24"/>
      <c r="K254" s="24"/>
      <c r="L254" s="19">
        <f t="shared" si="36"/>
        <v>42.947501802949219</v>
      </c>
      <c r="O254" s="9">
        <f t="shared" si="31"/>
        <v>3.5571981970507807</v>
      </c>
      <c r="P254" s="10">
        <f t="shared" si="37"/>
        <v>12.653659013101324</v>
      </c>
      <c r="V254" s="10">
        <f t="shared" si="39"/>
        <v>0.17936087694487102</v>
      </c>
      <c r="W254" s="13">
        <f t="shared" si="32"/>
        <v>72.537454753926554</v>
      </c>
      <c r="Z254" s="15">
        <f t="shared" si="38"/>
        <v>145.78366176212219</v>
      </c>
    </row>
    <row r="255" spans="1:26">
      <c r="A255" s="84">
        <f>'Q.6 Rand()'!T253</f>
        <v>4.5</v>
      </c>
      <c r="B255" s="141">
        <f>'Q.6 Rand()'!U253</f>
        <v>29.6</v>
      </c>
      <c r="D255" s="23"/>
      <c r="E255" s="24"/>
      <c r="F255" s="22">
        <f t="shared" si="30"/>
        <v>0.87967479674796767</v>
      </c>
      <c r="G255" s="22">
        <f t="shared" si="33"/>
        <v>-4.8306094850948611</v>
      </c>
      <c r="H255" s="18">
        <f t="shared" si="34"/>
        <v>-4.2493654169696269</v>
      </c>
      <c r="I255" s="18">
        <f t="shared" si="35"/>
        <v>0.77382774803357823</v>
      </c>
      <c r="J255" s="24"/>
      <c r="K255" s="24"/>
      <c r="L255" s="19">
        <f t="shared" si="36"/>
        <v>30.722248322954652</v>
      </c>
      <c r="O255" s="9">
        <f t="shared" si="31"/>
        <v>-1.1222483229546505</v>
      </c>
      <c r="P255" s="10">
        <f t="shared" si="37"/>
        <v>1.2594412983745256</v>
      </c>
      <c r="V255" s="10">
        <f t="shared" si="39"/>
        <v>7.6491154594068578E-2</v>
      </c>
      <c r="W255" s="13">
        <f t="shared" si="32"/>
        <v>13.751942508869893</v>
      </c>
      <c r="Z255" s="15">
        <f t="shared" si="38"/>
        <v>23.334787997488441</v>
      </c>
    </row>
    <row r="256" spans="1:26">
      <c r="A256" s="84">
        <f>'Q.6 Rand()'!T254</f>
        <v>3.6</v>
      </c>
      <c r="B256" s="141">
        <f>'Q.6 Rand()'!U254</f>
        <v>33.200000000000003</v>
      </c>
      <c r="D256" s="23"/>
      <c r="E256" s="24"/>
      <c r="F256" s="22">
        <f t="shared" si="30"/>
        <v>-2.0325203252032242E-2</v>
      </c>
      <c r="G256" s="22">
        <f t="shared" si="33"/>
        <v>-1.2306094850948597</v>
      </c>
      <c r="H256" s="18">
        <f t="shared" si="34"/>
        <v>2.5012387908431764E-2</v>
      </c>
      <c r="I256" s="18">
        <f t="shared" si="35"/>
        <v>4.1311388723642203E-4</v>
      </c>
      <c r="J256" s="24"/>
      <c r="K256" s="24"/>
      <c r="L256" s="19">
        <f t="shared" si="36"/>
        <v>34.516292506401243</v>
      </c>
      <c r="O256" s="9">
        <f t="shared" si="31"/>
        <v>-1.3162925064012398</v>
      </c>
      <c r="P256" s="10">
        <f t="shared" si="37"/>
        <v>1.732625962408058</v>
      </c>
      <c r="V256" s="10">
        <f t="shared" si="39"/>
        <v>3.7913794694413867E-2</v>
      </c>
      <c r="W256" s="13">
        <f t="shared" si="32"/>
        <v>7.3415801401895981E-3</v>
      </c>
      <c r="Z256" s="15">
        <f t="shared" si="38"/>
        <v>1.5143997048054356</v>
      </c>
    </row>
    <row r="257" spans="1:26">
      <c r="A257" s="84">
        <f>'Q.6 Rand()'!T255</f>
        <v>5.5</v>
      </c>
      <c r="B257" s="141">
        <f>'Q.6 Rand()'!U255</f>
        <v>23.9</v>
      </c>
      <c r="D257" s="23"/>
      <c r="E257" s="24"/>
      <c r="F257" s="22">
        <f t="shared" si="30"/>
        <v>1.8796747967479677</v>
      </c>
      <c r="G257" s="22">
        <f t="shared" si="33"/>
        <v>-10.530609485094864</v>
      </c>
      <c r="H257" s="18">
        <f t="shared" si="34"/>
        <v>-19.794121243527908</v>
      </c>
      <c r="I257" s="18">
        <f t="shared" si="35"/>
        <v>3.5331773415295133</v>
      </c>
      <c r="J257" s="24"/>
      <c r="K257" s="24"/>
      <c r="L257" s="19">
        <f t="shared" si="36"/>
        <v>26.506643674680664</v>
      </c>
      <c r="O257" s="9">
        <f t="shared" si="31"/>
        <v>-2.6066436746806652</v>
      </c>
      <c r="P257" s="10">
        <f t="shared" si="37"/>
        <v>6.794591246752721</v>
      </c>
      <c r="V257" s="10">
        <f t="shared" si="39"/>
        <v>3.9647364650639748E-2</v>
      </c>
      <c r="W257" s="13">
        <f t="shared" si="32"/>
        <v>62.789234164613148</v>
      </c>
      <c r="Z257" s="15">
        <f t="shared" si="38"/>
        <v>110.89373612756991</v>
      </c>
    </row>
    <row r="258" spans="1:26">
      <c r="A258" s="84">
        <f>'Q.6 Rand()'!T256</f>
        <v>4.5999999999999996</v>
      </c>
      <c r="B258" s="141">
        <f>'Q.6 Rand()'!U256</f>
        <v>26.662199999999999</v>
      </c>
      <c r="D258" s="23"/>
      <c r="E258" s="24"/>
      <c r="F258" s="22">
        <f t="shared" si="30"/>
        <v>0.97967479674796731</v>
      </c>
      <c r="G258" s="22">
        <f t="shared" si="33"/>
        <v>-7.768409485094864</v>
      </c>
      <c r="H258" s="18">
        <f t="shared" si="34"/>
        <v>-7.6105149833652925</v>
      </c>
      <c r="I258" s="18">
        <f t="shared" si="35"/>
        <v>0.95976270738317104</v>
      </c>
      <c r="J258" s="24"/>
      <c r="K258" s="24"/>
      <c r="L258" s="19">
        <f t="shared" si="36"/>
        <v>30.300687858127255</v>
      </c>
      <c r="O258" s="9">
        <f t="shared" si="31"/>
        <v>-3.6384878581272559</v>
      </c>
      <c r="P258" s="10">
        <f t="shared" si="37"/>
        <v>13.238593893739466</v>
      </c>
      <c r="V258" s="10">
        <f t="shared" si="39"/>
        <v>0.1090645888987726</v>
      </c>
      <c r="W258" s="13">
        <f t="shared" si="32"/>
        <v>17.056252644894773</v>
      </c>
      <c r="Z258" s="15">
        <f t="shared" si="38"/>
        <v>60.348185928111846</v>
      </c>
    </row>
    <row r="259" spans="1:26">
      <c r="A259" s="84">
        <f>'Q.6 Rand()'!T257</f>
        <v>3</v>
      </c>
      <c r="B259" s="141">
        <f>'Q.6 Rand()'!U257</f>
        <v>34.7288</v>
      </c>
      <c r="D259" s="23"/>
      <c r="E259" s="24"/>
      <c r="F259" s="22">
        <f t="shared" si="30"/>
        <v>-0.62032520325203233</v>
      </c>
      <c r="G259" s="22">
        <f t="shared" si="33"/>
        <v>0.29819051490513715</v>
      </c>
      <c r="H259" s="18">
        <f t="shared" si="34"/>
        <v>-0.18497509176635737</v>
      </c>
      <c r="I259" s="18">
        <f t="shared" si="35"/>
        <v>0.38480335778967523</v>
      </c>
      <c r="J259" s="24"/>
      <c r="K259" s="24"/>
      <c r="L259" s="19">
        <f t="shared" si="36"/>
        <v>37.045655295365634</v>
      </c>
      <c r="O259" s="9">
        <f t="shared" si="31"/>
        <v>-2.3168552953656345</v>
      </c>
      <c r="P259" s="10">
        <f t="shared" si="37"/>
        <v>5.3678184596637815</v>
      </c>
      <c r="V259" s="10">
        <f t="shared" si="39"/>
        <v>0.13646615276035948</v>
      </c>
      <c r="W259" s="13">
        <f t="shared" si="32"/>
        <v>6.8384645898147163</v>
      </c>
      <c r="Z259" s="15">
        <f t="shared" si="38"/>
        <v>8.8917583179390816E-2</v>
      </c>
    </row>
    <row r="260" spans="1:26">
      <c r="A260" s="84">
        <f>'Q.6 Rand()'!T258</f>
        <v>1.3</v>
      </c>
      <c r="B260" s="141">
        <f>'Q.6 Rand()'!U258</f>
        <v>30.2</v>
      </c>
      <c r="D260" s="23"/>
      <c r="E260" s="24"/>
      <c r="F260" s="22">
        <f t="shared" si="30"/>
        <v>-2.3203252032520325</v>
      </c>
      <c r="G260" s="22">
        <f t="shared" si="33"/>
        <v>-4.2306094850948632</v>
      </c>
      <c r="H260" s="18">
        <f t="shared" si="34"/>
        <v>9.816389813382715</v>
      </c>
      <c r="I260" s="18">
        <f t="shared" si="35"/>
        <v>5.3839090488465864</v>
      </c>
      <c r="J260" s="24"/>
      <c r="K260" s="24"/>
      <c r="L260" s="19">
        <f t="shared" si="36"/>
        <v>44.212183197431415</v>
      </c>
      <c r="O260" s="9">
        <f t="shared" si="31"/>
        <v>-14.012183197431415</v>
      </c>
      <c r="P260" s="10">
        <f t="shared" si="37"/>
        <v>196.34127795837929</v>
      </c>
      <c r="V260" s="10">
        <f t="shared" si="39"/>
        <v>6.6712794434752559E-2</v>
      </c>
      <c r="W260" s="13">
        <f t="shared" si="32"/>
        <v>95.679184289873476</v>
      </c>
      <c r="Z260" s="15">
        <f t="shared" si="38"/>
        <v>17.898056615374625</v>
      </c>
    </row>
    <row r="261" spans="1:26">
      <c r="A261" s="84">
        <f>'Q.6 Rand()'!T259</f>
        <v>3.5</v>
      </c>
      <c r="B261" s="141">
        <f>'Q.6 Rand()'!U259</f>
        <v>34.5</v>
      </c>
      <c r="D261" s="23"/>
      <c r="E261" s="24"/>
      <c r="F261" s="22">
        <f t="shared" ref="F261:F324" si="40">A261-$D$5</f>
        <v>-0.12032520325203233</v>
      </c>
      <c r="G261" s="22">
        <f t="shared" si="33"/>
        <v>6.9390514905137479E-2</v>
      </c>
      <c r="H261" s="18">
        <f t="shared" si="34"/>
        <v>-8.3494278097238465E-3</v>
      </c>
      <c r="I261" s="18">
        <f t="shared" si="35"/>
        <v>1.4478154537642892E-2</v>
      </c>
      <c r="J261" s="24"/>
      <c r="K261" s="24"/>
      <c r="L261" s="19">
        <f t="shared" si="36"/>
        <v>34.937852971228637</v>
      </c>
      <c r="O261" s="9">
        <f t="shared" ref="O261:O324" si="41">B261-L261</f>
        <v>-0.43785297122863653</v>
      </c>
      <c r="P261" s="10">
        <f t="shared" si="37"/>
        <v>0.19171522441374522</v>
      </c>
      <c r="V261" s="10">
        <f t="shared" si="39"/>
        <v>0.46397957607388796</v>
      </c>
      <c r="W261" s="13">
        <f t="shared" ref="W261:W324" si="42">(L261-$E$5)^2</f>
        <v>0.25729595422514417</v>
      </c>
      <c r="Z261" s="15">
        <f t="shared" si="38"/>
        <v>4.8150435588001066E-3</v>
      </c>
    </row>
    <row r="262" spans="1:26">
      <c r="A262" s="84">
        <f>'Q.6 Rand()'!T260</f>
        <v>2.2999999999999998</v>
      </c>
      <c r="B262" s="141">
        <f>'Q.6 Rand()'!U260</f>
        <v>34.4</v>
      </c>
      <c r="D262" s="23"/>
      <c r="E262" s="24"/>
      <c r="F262" s="22">
        <f t="shared" si="40"/>
        <v>-1.3203252032520325</v>
      </c>
      <c r="G262" s="22">
        <f t="shared" ref="G262:G325" si="43">B262-$E$5</f>
        <v>-3.0609485094863942E-2</v>
      </c>
      <c r="H262" s="18">
        <f t="shared" ref="H262:H325" si="44">F262*G262</f>
        <v>4.0414474629316292E-2</v>
      </c>
      <c r="I262" s="18">
        <f t="shared" ref="I262:I325" si="45">F262^2</f>
        <v>1.7432586423425209</v>
      </c>
      <c r="J262" s="24"/>
      <c r="K262" s="24"/>
      <c r="L262" s="19">
        <f t="shared" ref="L262:L325" si="46">$K$5+$J$5*A262</f>
        <v>39.996578549157427</v>
      </c>
      <c r="O262" s="9">
        <f t="shared" si="41"/>
        <v>-5.596578549157428</v>
      </c>
      <c r="P262" s="10">
        <f t="shared" ref="P262:P325" si="47">O262^2</f>
        <v>31.321691456889063</v>
      </c>
      <c r="V262" s="10">
        <f t="shared" si="39"/>
        <v>1.2691390470395261E-2</v>
      </c>
      <c r="W262" s="13">
        <f t="shared" si="42"/>
        <v>30.980011622101497</v>
      </c>
      <c r="Z262" s="15">
        <f t="shared" ref="Z262:Z325" si="48">(B262-$E$5)^2</f>
        <v>9.3694057777269778E-4</v>
      </c>
    </row>
    <row r="263" spans="1:26">
      <c r="A263" s="84">
        <f>'Q.6 Rand()'!T261</f>
        <v>3.7</v>
      </c>
      <c r="B263" s="141">
        <f>'Q.6 Rand()'!U261</f>
        <v>27.5</v>
      </c>
      <c r="D263" s="23"/>
      <c r="E263" s="24"/>
      <c r="F263" s="22">
        <f t="shared" si="40"/>
        <v>7.9674796747967846E-2</v>
      </c>
      <c r="G263" s="22">
        <f t="shared" si="43"/>
        <v>-6.9306094850948625</v>
      </c>
      <c r="H263" s="18">
        <f t="shared" si="44"/>
        <v>-0.5521949020644713</v>
      </c>
      <c r="I263" s="18">
        <f t="shared" si="45"/>
        <v>6.348073236829988E-3</v>
      </c>
      <c r="J263" s="24"/>
      <c r="K263" s="24"/>
      <c r="L263" s="19">
        <f t="shared" si="46"/>
        <v>34.094732041573842</v>
      </c>
      <c r="O263" s="9">
        <f t="shared" si="41"/>
        <v>-6.5947320415738417</v>
      </c>
      <c r="P263" s="10">
        <f t="shared" si="47"/>
        <v>43.490490700160692</v>
      </c>
      <c r="V263" s="10">
        <f t="shared" ref="V263:V326" si="49">ABS(O262) / B262</f>
        <v>0.16269123689411127</v>
      </c>
      <c r="W263" s="13">
        <f t="shared" si="42"/>
        <v>0.1128136570662165</v>
      </c>
      <c r="Z263" s="15">
        <f t="shared" si="48"/>
        <v>48.033347834886875</v>
      </c>
    </row>
    <row r="264" spans="1:26">
      <c r="A264" s="84">
        <f>'Q.6 Rand()'!T262</f>
        <v>5</v>
      </c>
      <c r="B264" s="141">
        <f>'Q.6 Rand()'!U262</f>
        <v>30.3</v>
      </c>
      <c r="D264" s="23"/>
      <c r="E264" s="24"/>
      <c r="F264" s="22">
        <f t="shared" si="40"/>
        <v>1.3796747967479677</v>
      </c>
      <c r="G264" s="22">
        <f t="shared" si="43"/>
        <v>-4.1306094850948618</v>
      </c>
      <c r="H264" s="18">
        <f t="shared" si="44"/>
        <v>-5.698897801793481</v>
      </c>
      <c r="I264" s="18">
        <f t="shared" si="45"/>
        <v>1.9035025447815459</v>
      </c>
      <c r="J264" s="24"/>
      <c r="K264" s="24"/>
      <c r="L264" s="19">
        <f t="shared" si="46"/>
        <v>28.614445998817658</v>
      </c>
      <c r="O264" s="9">
        <f t="shared" si="41"/>
        <v>1.6855540011823429</v>
      </c>
      <c r="P264" s="10">
        <f t="shared" si="47"/>
        <v>2.8410922909018055</v>
      </c>
      <c r="V264" s="10">
        <f t="shared" si="49"/>
        <v>0.23980843787541242</v>
      </c>
      <c r="W264" s="13">
        <f t="shared" si="42"/>
        <v>33.827757699104211</v>
      </c>
      <c r="Z264" s="15">
        <f t="shared" si="48"/>
        <v>17.061934718355641</v>
      </c>
    </row>
    <row r="265" spans="1:26">
      <c r="A265" s="84">
        <f>'Q.6 Rand()'!T263</f>
        <v>2.4</v>
      </c>
      <c r="B265" s="141">
        <f>'Q.6 Rand()'!U263</f>
        <v>39.347999999999999</v>
      </c>
      <c r="D265" s="23"/>
      <c r="E265" s="24"/>
      <c r="F265" s="22">
        <f t="shared" si="40"/>
        <v>-1.2203252032520324</v>
      </c>
      <c r="G265" s="22">
        <f t="shared" si="43"/>
        <v>4.9173905149051365</v>
      </c>
      <c r="H265" s="18">
        <f t="shared" si="44"/>
        <v>-6.0008155795712268</v>
      </c>
      <c r="I265" s="18">
        <f t="shared" si="45"/>
        <v>1.4891936016921143</v>
      </c>
      <c r="J265" s="24"/>
      <c r="K265" s="24"/>
      <c r="L265" s="19">
        <f t="shared" si="46"/>
        <v>39.575018084330026</v>
      </c>
      <c r="O265" s="9">
        <f t="shared" si="41"/>
        <v>-0.22701808433002668</v>
      </c>
      <c r="P265" s="10">
        <f t="shared" si="47"/>
        <v>5.1537210612875105E-2</v>
      </c>
      <c r="V265" s="10">
        <f t="shared" si="49"/>
        <v>5.5628844923509668E-2</v>
      </c>
      <c r="W265" s="13">
        <f t="shared" si="42"/>
        <v>26.464939835884692</v>
      </c>
      <c r="Z265" s="15">
        <f t="shared" si="48"/>
        <v>24.180729476079001</v>
      </c>
    </row>
    <row r="266" spans="1:26">
      <c r="A266" s="84">
        <f>'Q.6 Rand()'!T264</f>
        <v>2</v>
      </c>
      <c r="B266" s="141">
        <f>'Q.6 Rand()'!U264</f>
        <v>42.575000000000003</v>
      </c>
      <c r="D266" s="23"/>
      <c r="E266" s="24"/>
      <c r="F266" s="22">
        <f t="shared" si="40"/>
        <v>-1.6203252032520323</v>
      </c>
      <c r="G266" s="22">
        <f t="shared" si="43"/>
        <v>8.1443905149051403</v>
      </c>
      <c r="H266" s="18">
        <f t="shared" si="44"/>
        <v>-13.196561216427595</v>
      </c>
      <c r="I266" s="18">
        <f t="shared" si="45"/>
        <v>2.6254537642937397</v>
      </c>
      <c r="J266" s="24"/>
      <c r="K266" s="24"/>
      <c r="L266" s="19">
        <f t="shared" si="46"/>
        <v>41.261259943639622</v>
      </c>
      <c r="O266" s="9">
        <f t="shared" si="41"/>
        <v>1.3137400563603805</v>
      </c>
      <c r="P266" s="10">
        <f t="shared" si="47"/>
        <v>1.7259129356857756</v>
      </c>
      <c r="V266" s="10">
        <f t="shared" si="49"/>
        <v>5.7694948747084142E-3</v>
      </c>
      <c r="W266" s="13">
        <f t="shared" si="42"/>
        <v>46.657785686817739</v>
      </c>
      <c r="Z266" s="15">
        <f t="shared" si="48"/>
        <v>66.331096859276812</v>
      </c>
    </row>
    <row r="267" spans="1:26">
      <c r="A267" s="84">
        <f>'Q.6 Rand()'!T265</f>
        <v>2.5</v>
      </c>
      <c r="B267" s="141">
        <f>'Q.6 Rand()'!U265</f>
        <v>39.200000000000003</v>
      </c>
      <c r="D267" s="23"/>
      <c r="E267" s="24"/>
      <c r="F267" s="22">
        <f t="shared" si="40"/>
        <v>-1.1203252032520323</v>
      </c>
      <c r="G267" s="22">
        <f t="shared" si="43"/>
        <v>4.7693905149051403</v>
      </c>
      <c r="H267" s="18">
        <f t="shared" si="44"/>
        <v>-5.3432683979994167</v>
      </c>
      <c r="I267" s="18">
        <f t="shared" si="45"/>
        <v>1.2551285610417076</v>
      </c>
      <c r="J267" s="24"/>
      <c r="K267" s="24"/>
      <c r="L267" s="19">
        <f t="shared" si="46"/>
        <v>39.153457619502632</v>
      </c>
      <c r="O267" s="9">
        <f t="shared" si="41"/>
        <v>4.6542380497371028E-2</v>
      </c>
      <c r="P267" s="10">
        <f t="shared" si="47"/>
        <v>2.1661931823620628E-3</v>
      </c>
      <c r="V267" s="10">
        <f t="shared" si="49"/>
        <v>3.0857077072469298E-2</v>
      </c>
      <c r="W267" s="13">
        <f t="shared" si="42"/>
        <v>22.305294500678947</v>
      </c>
      <c r="Z267" s="15">
        <f t="shared" si="48"/>
        <v>22.747085883667118</v>
      </c>
    </row>
    <row r="268" spans="1:26">
      <c r="A268" s="84">
        <f>'Q.6 Rand()'!T266</f>
        <v>4</v>
      </c>
      <c r="B268" s="141">
        <f>'Q.6 Rand()'!U266</f>
        <v>27.1846</v>
      </c>
      <c r="D268" s="23"/>
      <c r="E268" s="24"/>
      <c r="F268" s="22">
        <f t="shared" si="40"/>
        <v>0.37967479674796767</v>
      </c>
      <c r="G268" s="22">
        <f t="shared" si="43"/>
        <v>-7.2460094850948629</v>
      </c>
      <c r="H268" s="18">
        <f t="shared" si="44"/>
        <v>-2.7511271784872378</v>
      </c>
      <c r="I268" s="18">
        <f t="shared" si="45"/>
        <v>0.14415295128561056</v>
      </c>
      <c r="J268" s="24"/>
      <c r="K268" s="24"/>
      <c r="L268" s="19">
        <f t="shared" si="46"/>
        <v>32.830050647091646</v>
      </c>
      <c r="O268" s="9">
        <f t="shared" si="41"/>
        <v>-5.6454506470916463</v>
      </c>
      <c r="P268" s="10">
        <f t="shared" si="47"/>
        <v>31.871113008747489</v>
      </c>
      <c r="V268" s="10">
        <f t="shared" si="49"/>
        <v>1.1873056249329342E-3</v>
      </c>
      <c r="W268" s="13">
        <f t="shared" si="42"/>
        <v>2.5617885939102067</v>
      </c>
      <c r="Z268" s="15">
        <f t="shared" si="48"/>
        <v>52.504653458084718</v>
      </c>
    </row>
    <row r="269" spans="1:26">
      <c r="A269" s="84">
        <f>'Q.6 Rand()'!T267</f>
        <v>3.5</v>
      </c>
      <c r="B269" s="141">
        <f>'Q.6 Rand()'!U267</f>
        <v>34.200000000000003</v>
      </c>
      <c r="D269" s="23"/>
      <c r="E269" s="24"/>
      <c r="F269" s="22">
        <f t="shared" si="40"/>
        <v>-0.12032520325203233</v>
      </c>
      <c r="G269" s="22">
        <f t="shared" si="43"/>
        <v>-0.23060948509485968</v>
      </c>
      <c r="H269" s="18">
        <f t="shared" si="44"/>
        <v>2.7748133165885511E-2</v>
      </c>
      <c r="I269" s="18">
        <f t="shared" si="45"/>
        <v>1.4478154537642892E-2</v>
      </c>
      <c r="J269" s="24"/>
      <c r="K269" s="24"/>
      <c r="L269" s="19">
        <f t="shared" si="46"/>
        <v>34.937852971228637</v>
      </c>
      <c r="O269" s="9">
        <f t="shared" si="41"/>
        <v>-0.73785297122863369</v>
      </c>
      <c r="P269" s="10">
        <f t="shared" si="47"/>
        <v>0.54442700715092296</v>
      </c>
      <c r="V269" s="10">
        <f t="shared" si="49"/>
        <v>0.20767091099709564</v>
      </c>
      <c r="W269" s="13">
        <f t="shared" si="42"/>
        <v>0.25729595422514417</v>
      </c>
      <c r="Z269" s="15">
        <f t="shared" si="48"/>
        <v>5.3180734615716312E-2</v>
      </c>
    </row>
    <row r="270" spans="1:26">
      <c r="A270" s="84">
        <f>'Q.6 Rand()'!T268</f>
        <v>3.8</v>
      </c>
      <c r="B270" s="141">
        <f>'Q.6 Rand()'!U268</f>
        <v>34.514800000000001</v>
      </c>
      <c r="D270" s="23"/>
      <c r="E270" s="24"/>
      <c r="F270" s="22">
        <f t="shared" si="40"/>
        <v>0.17967479674796749</v>
      </c>
      <c r="G270" s="22">
        <f t="shared" si="43"/>
        <v>8.4190514905138514E-2</v>
      </c>
      <c r="H270" s="18">
        <f t="shared" si="44"/>
        <v>1.512691365368749E-2</v>
      </c>
      <c r="I270" s="18">
        <f t="shared" si="45"/>
        <v>3.2283032586423427E-2</v>
      </c>
      <c r="J270" s="24"/>
      <c r="K270" s="24"/>
      <c r="L270" s="19">
        <f t="shared" si="46"/>
        <v>33.673171576746441</v>
      </c>
      <c r="O270" s="9">
        <f t="shared" si="41"/>
        <v>0.84162842325356024</v>
      </c>
      <c r="P270" s="10">
        <f t="shared" si="47"/>
        <v>0.70833840282827398</v>
      </c>
      <c r="V270" s="10">
        <f t="shared" si="49"/>
        <v>2.1574648281538995E-2</v>
      </c>
      <c r="W270" s="13">
        <f t="shared" si="42"/>
        <v>0.57371218500323207</v>
      </c>
      <c r="Z270" s="15">
        <f t="shared" si="48"/>
        <v>7.0880427999923503E-3</v>
      </c>
    </row>
    <row r="271" spans="1:26">
      <c r="A271" s="84">
        <f>'Q.6 Rand()'!T269</f>
        <v>1.6</v>
      </c>
      <c r="B271" s="141">
        <f>'Q.6 Rand()'!U269</f>
        <v>46.5047</v>
      </c>
      <c r="D271" s="23"/>
      <c r="E271" s="24"/>
      <c r="F271" s="22">
        <f t="shared" si="40"/>
        <v>-2.0203252032520322</v>
      </c>
      <c r="G271" s="22">
        <f t="shared" si="43"/>
        <v>12.074090514905137</v>
      </c>
      <c r="H271" s="18">
        <f t="shared" si="44"/>
        <v>-24.393589373609156</v>
      </c>
      <c r="I271" s="18">
        <f t="shared" si="45"/>
        <v>4.0817139268953655</v>
      </c>
      <c r="J271" s="24"/>
      <c r="K271" s="24"/>
      <c r="L271" s="19">
        <f t="shared" si="46"/>
        <v>42.947501802949219</v>
      </c>
      <c r="O271" s="9">
        <f t="shared" si="41"/>
        <v>3.5571981970507807</v>
      </c>
      <c r="P271" s="10">
        <f t="shared" si="47"/>
        <v>12.653659013101324</v>
      </c>
      <c r="V271" s="10">
        <f t="shared" si="49"/>
        <v>2.4384566135500139E-2</v>
      </c>
      <c r="W271" s="13">
        <f t="shared" si="42"/>
        <v>72.537454753926554</v>
      </c>
      <c r="Z271" s="15">
        <f t="shared" si="48"/>
        <v>145.78366176212219</v>
      </c>
    </row>
    <row r="272" spans="1:26">
      <c r="A272" s="84">
        <f>'Q.6 Rand()'!T270</f>
        <v>3.6</v>
      </c>
      <c r="B272" s="141">
        <f>'Q.6 Rand()'!U270</f>
        <v>33.5</v>
      </c>
      <c r="D272" s="23"/>
      <c r="E272" s="24"/>
      <c r="F272" s="22">
        <f t="shared" si="40"/>
        <v>-2.0325203252032242E-2</v>
      </c>
      <c r="G272" s="22">
        <f t="shared" si="43"/>
        <v>-0.93060948509486252</v>
      </c>
      <c r="H272" s="18">
        <f t="shared" si="44"/>
        <v>1.8914826932822149E-2</v>
      </c>
      <c r="I272" s="18">
        <f t="shared" si="45"/>
        <v>4.1311388723642203E-4</v>
      </c>
      <c r="J272" s="24"/>
      <c r="K272" s="24"/>
      <c r="L272" s="19">
        <f t="shared" si="46"/>
        <v>34.516292506401243</v>
      </c>
      <c r="O272" s="9">
        <f t="shared" si="41"/>
        <v>-1.0162925064012427</v>
      </c>
      <c r="P272" s="10">
        <f t="shared" si="47"/>
        <v>1.0328504585673199</v>
      </c>
      <c r="V272" s="10">
        <f t="shared" si="49"/>
        <v>7.6491154594068578E-2</v>
      </c>
      <c r="W272" s="13">
        <f t="shared" si="42"/>
        <v>7.3415801401895981E-3</v>
      </c>
      <c r="Z272" s="15">
        <f t="shared" si="48"/>
        <v>0.86603401374852518</v>
      </c>
    </row>
    <row r="273" spans="1:26">
      <c r="A273" s="84">
        <f>'Q.6 Rand()'!T271</f>
        <v>2.5</v>
      </c>
      <c r="B273" s="141">
        <f>'Q.6 Rand()'!U271</f>
        <v>40.0169</v>
      </c>
      <c r="D273" s="23"/>
      <c r="E273" s="24"/>
      <c r="F273" s="22">
        <f t="shared" si="40"/>
        <v>-1.1203252032520323</v>
      </c>
      <c r="G273" s="22">
        <f t="shared" si="43"/>
        <v>5.5862905149051372</v>
      </c>
      <c r="H273" s="18">
        <f t="shared" si="44"/>
        <v>-6.2584620565359979</v>
      </c>
      <c r="I273" s="18">
        <f t="shared" si="45"/>
        <v>1.2551285610417076</v>
      </c>
      <c r="J273" s="24"/>
      <c r="K273" s="24"/>
      <c r="L273" s="19">
        <f t="shared" si="46"/>
        <v>39.153457619502632</v>
      </c>
      <c r="O273" s="9">
        <f t="shared" si="41"/>
        <v>0.86344238049736788</v>
      </c>
      <c r="P273" s="10">
        <f t="shared" si="47"/>
        <v>0.74553274443896145</v>
      </c>
      <c r="V273" s="10">
        <f t="shared" si="49"/>
        <v>3.0337089743320677E-2</v>
      </c>
      <c r="W273" s="13">
        <f t="shared" si="42"/>
        <v>22.305294500678947</v>
      </c>
      <c r="Z273" s="15">
        <f t="shared" si="48"/>
        <v>31.206641716919101</v>
      </c>
    </row>
    <row r="274" spans="1:26">
      <c r="A274" s="84">
        <f>'Q.6 Rand()'!T272</f>
        <v>5</v>
      </c>
      <c r="B274" s="141">
        <f>'Q.6 Rand()'!U272</f>
        <v>25.508199999999999</v>
      </c>
      <c r="D274" s="23"/>
      <c r="E274" s="24"/>
      <c r="F274" s="22">
        <f t="shared" si="40"/>
        <v>1.3796747967479677</v>
      </c>
      <c r="G274" s="22">
        <f t="shared" si="43"/>
        <v>-8.9224094850948639</v>
      </c>
      <c r="H274" s="18">
        <f t="shared" si="44"/>
        <v>-12.310023492850394</v>
      </c>
      <c r="I274" s="18">
        <f t="shared" si="45"/>
        <v>1.9035025447815459</v>
      </c>
      <c r="J274" s="24"/>
      <c r="K274" s="24"/>
      <c r="L274" s="19">
        <f t="shared" si="46"/>
        <v>28.614445998817658</v>
      </c>
      <c r="O274" s="9">
        <f t="shared" si="41"/>
        <v>-3.1062459988176592</v>
      </c>
      <c r="P274" s="10">
        <f t="shared" si="47"/>
        <v>9.6487642051707176</v>
      </c>
      <c r="V274" s="10">
        <f t="shared" si="49"/>
        <v>2.1576943253909419E-2</v>
      </c>
      <c r="W274" s="13">
        <f t="shared" si="42"/>
        <v>33.827757699104211</v>
      </c>
      <c r="Z274" s="15">
        <f t="shared" si="48"/>
        <v>79.609391019710799</v>
      </c>
    </row>
    <row r="275" spans="1:26">
      <c r="A275" s="84">
        <f>'Q.6 Rand()'!T273</f>
        <v>5.6</v>
      </c>
      <c r="B275" s="141">
        <f>'Q.6 Rand()'!U273</f>
        <v>24.2</v>
      </c>
      <c r="D275" s="23"/>
      <c r="E275" s="24"/>
      <c r="F275" s="22">
        <f t="shared" si="40"/>
        <v>1.9796747967479673</v>
      </c>
      <c r="G275" s="22">
        <f t="shared" si="43"/>
        <v>-10.230609485094863</v>
      </c>
      <c r="H275" s="18">
        <f t="shared" si="44"/>
        <v>-20.253279753013</v>
      </c>
      <c r="I275" s="18">
        <f t="shared" si="45"/>
        <v>3.9191123008791058</v>
      </c>
      <c r="J275" s="24"/>
      <c r="K275" s="24"/>
      <c r="L275" s="19">
        <f t="shared" si="46"/>
        <v>26.085083209853266</v>
      </c>
      <c r="O275" s="9">
        <f t="shared" si="41"/>
        <v>-1.885083209853267</v>
      </c>
      <c r="P275" s="10">
        <f t="shared" si="47"/>
        <v>3.5535387080706964</v>
      </c>
      <c r="V275" s="10">
        <f t="shared" si="49"/>
        <v>0.1217744097512823</v>
      </c>
      <c r="W275" s="13">
        <f t="shared" si="42"/>
        <v>69.647808810747875</v>
      </c>
      <c r="Z275" s="15">
        <f t="shared" si="48"/>
        <v>104.66537043651299</v>
      </c>
    </row>
    <row r="276" spans="1:26">
      <c r="A276" s="84">
        <f>'Q.6 Rand()'!T274</f>
        <v>3.7</v>
      </c>
      <c r="B276" s="141">
        <f>'Q.6 Rand()'!U274</f>
        <v>35.161999999999999</v>
      </c>
      <c r="D276" s="23"/>
      <c r="E276" s="24"/>
      <c r="F276" s="22">
        <f t="shared" si="40"/>
        <v>7.9674796747967846E-2</v>
      </c>
      <c r="G276" s="22">
        <f t="shared" si="43"/>
        <v>0.73139051490513651</v>
      </c>
      <c r="H276" s="18">
        <f t="shared" si="44"/>
        <v>5.82733906184583E-2</v>
      </c>
      <c r="I276" s="18">
        <f t="shared" si="45"/>
        <v>6.348073236829988E-3</v>
      </c>
      <c r="J276" s="24"/>
      <c r="K276" s="24"/>
      <c r="L276" s="19">
        <f t="shared" si="46"/>
        <v>34.094732041573842</v>
      </c>
      <c r="O276" s="9">
        <f t="shared" si="41"/>
        <v>1.0672679584261573</v>
      </c>
      <c r="P276" s="10">
        <f t="shared" si="47"/>
        <v>1.1390608950831378</v>
      </c>
      <c r="V276" s="10">
        <f t="shared" si="49"/>
        <v>7.7896000407159799E-2</v>
      </c>
      <c r="W276" s="13">
        <f t="shared" si="42"/>
        <v>0.1128136570662165</v>
      </c>
      <c r="Z276" s="15">
        <f t="shared" si="48"/>
        <v>0.53493208529320069</v>
      </c>
    </row>
    <row r="277" spans="1:26">
      <c r="A277" s="84">
        <f>'Q.6 Rand()'!T275</f>
        <v>4.5999999999999996</v>
      </c>
      <c r="B277" s="141">
        <f>'Q.6 Rand()'!U275</f>
        <v>33.305199999999999</v>
      </c>
      <c r="D277" s="23"/>
      <c r="E277" s="24"/>
      <c r="F277" s="22">
        <f t="shared" si="40"/>
        <v>0.97967479674796731</v>
      </c>
      <c r="G277" s="22">
        <f t="shared" si="43"/>
        <v>-1.1254094850948633</v>
      </c>
      <c r="H277" s="18">
        <f t="shared" si="44"/>
        <v>-1.1025353085685448</v>
      </c>
      <c r="I277" s="18">
        <f t="shared" si="45"/>
        <v>0.95976270738317104</v>
      </c>
      <c r="J277" s="24"/>
      <c r="K277" s="24"/>
      <c r="L277" s="19">
        <f t="shared" si="46"/>
        <v>30.300687858127255</v>
      </c>
      <c r="O277" s="9">
        <f t="shared" si="41"/>
        <v>3.0045121418727447</v>
      </c>
      <c r="P277" s="10">
        <f t="shared" si="47"/>
        <v>9.0270932106607482</v>
      </c>
      <c r="V277" s="10">
        <f t="shared" si="49"/>
        <v>3.0352879768675199E-2</v>
      </c>
      <c r="W277" s="13">
        <f t="shared" si="42"/>
        <v>17.056252644894773</v>
      </c>
      <c r="Z277" s="15">
        <f t="shared" si="48"/>
        <v>1.2665465091414854</v>
      </c>
    </row>
    <row r="278" spans="1:26">
      <c r="A278" s="84">
        <f>'Q.6 Rand()'!T276</f>
        <v>5.6</v>
      </c>
      <c r="B278" s="141">
        <f>'Q.6 Rand()'!U276</f>
        <v>24.192399999999999</v>
      </c>
      <c r="D278" s="23"/>
      <c r="E278" s="24"/>
      <c r="F278" s="22">
        <f t="shared" si="40"/>
        <v>1.9796747967479673</v>
      </c>
      <c r="G278" s="22">
        <f t="shared" si="43"/>
        <v>-10.238209485094863</v>
      </c>
      <c r="H278" s="18">
        <f t="shared" si="44"/>
        <v>-20.268325281468286</v>
      </c>
      <c r="I278" s="18">
        <f t="shared" si="45"/>
        <v>3.9191123008791058</v>
      </c>
      <c r="J278" s="24"/>
      <c r="K278" s="24"/>
      <c r="L278" s="19">
        <f t="shared" si="46"/>
        <v>26.085083209853266</v>
      </c>
      <c r="O278" s="9">
        <f t="shared" si="41"/>
        <v>-1.8926832098532671</v>
      </c>
      <c r="P278" s="10">
        <f t="shared" si="47"/>
        <v>3.5822497328604661</v>
      </c>
      <c r="V278" s="10">
        <f t="shared" si="49"/>
        <v>9.0211502764515589E-2</v>
      </c>
      <c r="W278" s="13">
        <f t="shared" si="42"/>
        <v>69.647808810747875</v>
      </c>
      <c r="Z278" s="15">
        <f t="shared" si="48"/>
        <v>104.82093346068642</v>
      </c>
    </row>
    <row r="279" spans="1:26">
      <c r="A279" s="84">
        <f>'Q.6 Rand()'!T277</f>
        <v>3</v>
      </c>
      <c r="B279" s="141">
        <f>'Q.6 Rand()'!U277</f>
        <v>34.285299999999999</v>
      </c>
      <c r="D279" s="23"/>
      <c r="E279" s="24"/>
      <c r="F279" s="22">
        <f t="shared" si="40"/>
        <v>-0.62032520325203233</v>
      </c>
      <c r="G279" s="22">
        <f t="shared" si="43"/>
        <v>-0.14530948509486308</v>
      </c>
      <c r="H279" s="18">
        <f t="shared" si="44"/>
        <v>9.0139135875919096E-2</v>
      </c>
      <c r="I279" s="18">
        <f t="shared" si="45"/>
        <v>0.38480335778967523</v>
      </c>
      <c r="J279" s="24"/>
      <c r="K279" s="24"/>
      <c r="L279" s="19">
        <f t="shared" si="46"/>
        <v>37.045655295365634</v>
      </c>
      <c r="O279" s="9">
        <f t="shared" si="41"/>
        <v>-2.7603552953656347</v>
      </c>
      <c r="P279" s="10">
        <f t="shared" si="47"/>
        <v>7.6195613566531009</v>
      </c>
      <c r="V279" s="10">
        <f t="shared" si="49"/>
        <v>7.8234619543876061E-2</v>
      </c>
      <c r="W279" s="13">
        <f t="shared" si="42"/>
        <v>6.8384645898147163</v>
      </c>
      <c r="Z279" s="15">
        <f t="shared" si="48"/>
        <v>2.1114846458534235E-2</v>
      </c>
    </row>
    <row r="280" spans="1:26">
      <c r="A280" s="84">
        <f>'Q.6 Rand()'!T278</f>
        <v>8</v>
      </c>
      <c r="B280" s="141">
        <f>'Q.6 Rand()'!U278</f>
        <v>17.8</v>
      </c>
      <c r="D280" s="23"/>
      <c r="E280" s="24"/>
      <c r="F280" s="22">
        <f t="shared" si="40"/>
        <v>4.3796747967479677</v>
      </c>
      <c r="G280" s="22">
        <f t="shared" si="43"/>
        <v>-16.630609485094862</v>
      </c>
      <c r="H280" s="18">
        <f t="shared" si="44"/>
        <v>-72.836661216427657</v>
      </c>
      <c r="I280" s="18">
        <f t="shared" si="45"/>
        <v>19.181551325269353</v>
      </c>
      <c r="J280" s="24"/>
      <c r="K280" s="24"/>
      <c r="L280" s="19">
        <f t="shared" si="46"/>
        <v>15.967632053995693</v>
      </c>
      <c r="O280" s="9">
        <f t="shared" si="41"/>
        <v>1.8323679460043074</v>
      </c>
      <c r="P280" s="10">
        <f t="shared" si="47"/>
        <v>3.3575722895440445</v>
      </c>
      <c r="V280" s="10">
        <f t="shared" si="49"/>
        <v>8.0511335626803168E-2</v>
      </c>
      <c r="W280" s="13">
        <f t="shared" si="42"/>
        <v>340.88153562127729</v>
      </c>
      <c r="Z280" s="15">
        <f t="shared" si="48"/>
        <v>276.57717184572721</v>
      </c>
    </row>
    <row r="281" spans="1:26">
      <c r="A281" s="84">
        <f>'Q.6 Rand()'!T279</f>
        <v>4.5999999999999996</v>
      </c>
      <c r="B281" s="141">
        <f>'Q.6 Rand()'!U279</f>
        <v>33.550899999999999</v>
      </c>
      <c r="D281" s="23"/>
      <c r="E281" s="24"/>
      <c r="F281" s="22">
        <f t="shared" si="40"/>
        <v>0.97967479674796731</v>
      </c>
      <c r="G281" s="22">
        <f t="shared" si="43"/>
        <v>-0.87970948509486391</v>
      </c>
      <c r="H281" s="18">
        <f t="shared" si="44"/>
        <v>-0.86182921100756982</v>
      </c>
      <c r="I281" s="18">
        <f t="shared" si="45"/>
        <v>0.95976270738317104</v>
      </c>
      <c r="J281" s="24"/>
      <c r="K281" s="24"/>
      <c r="L281" s="19">
        <f t="shared" si="46"/>
        <v>30.300687858127255</v>
      </c>
      <c r="O281" s="9">
        <f t="shared" si="41"/>
        <v>3.2502121418727441</v>
      </c>
      <c r="P281" s="10">
        <f t="shared" si="47"/>
        <v>10.563878967177011</v>
      </c>
      <c r="V281" s="10">
        <f t="shared" si="49"/>
        <v>0.10294201943844423</v>
      </c>
      <c r="W281" s="13">
        <f t="shared" si="42"/>
        <v>17.056252644894773</v>
      </c>
      <c r="Z281" s="15">
        <f t="shared" si="48"/>
        <v>0.77388877816587054</v>
      </c>
    </row>
    <row r="282" spans="1:26">
      <c r="A282" s="84">
        <f>'Q.6 Rand()'!T280</f>
        <v>2</v>
      </c>
      <c r="B282" s="141">
        <f>'Q.6 Rand()'!U280</f>
        <v>39.7256</v>
      </c>
      <c r="D282" s="23"/>
      <c r="E282" s="24"/>
      <c r="F282" s="22">
        <f t="shared" si="40"/>
        <v>-1.6203252032520323</v>
      </c>
      <c r="G282" s="22">
        <f t="shared" si="43"/>
        <v>5.2949905149051375</v>
      </c>
      <c r="H282" s="18">
        <f t="shared" si="44"/>
        <v>-8.5796065822812508</v>
      </c>
      <c r="I282" s="18">
        <f t="shared" si="45"/>
        <v>2.6254537642937397</v>
      </c>
      <c r="J282" s="24"/>
      <c r="K282" s="24"/>
      <c r="L282" s="19">
        <f t="shared" si="46"/>
        <v>41.261259943639622</v>
      </c>
      <c r="O282" s="9">
        <f t="shared" si="41"/>
        <v>-1.5356599436396223</v>
      </c>
      <c r="P282" s="10">
        <f t="shared" si="47"/>
        <v>2.3582514624992479</v>
      </c>
      <c r="V282" s="10">
        <f t="shared" si="49"/>
        <v>9.6874067219441029E-2</v>
      </c>
      <c r="W282" s="13">
        <f t="shared" si="42"/>
        <v>46.657785686817739</v>
      </c>
      <c r="Z282" s="15">
        <f t="shared" si="48"/>
        <v>28.036924552935375</v>
      </c>
    </row>
    <row r="283" spans="1:26">
      <c r="A283" s="84">
        <f>'Q.6 Rand()'!T281</f>
        <v>4</v>
      </c>
      <c r="B283" s="141">
        <f>'Q.6 Rand()'!U281</f>
        <v>32.756799999999998</v>
      </c>
      <c r="D283" s="23"/>
      <c r="E283" s="24"/>
      <c r="F283" s="22">
        <f t="shared" si="40"/>
        <v>0.37967479674796767</v>
      </c>
      <c r="G283" s="22">
        <f t="shared" si="43"/>
        <v>-1.6738094850948642</v>
      </c>
      <c r="H283" s="18">
        <f t="shared" si="44"/>
        <v>-0.63550327604821299</v>
      </c>
      <c r="I283" s="18">
        <f t="shared" si="45"/>
        <v>0.14415295128561056</v>
      </c>
      <c r="J283" s="24"/>
      <c r="K283" s="24"/>
      <c r="L283" s="19">
        <f t="shared" si="46"/>
        <v>32.830050647091646</v>
      </c>
      <c r="O283" s="9">
        <f t="shared" si="41"/>
        <v>-7.3250647091647636E-2</v>
      </c>
      <c r="P283" s="10">
        <f t="shared" si="47"/>
        <v>5.3656572993451062E-3</v>
      </c>
      <c r="V283" s="10">
        <f t="shared" si="49"/>
        <v>3.8656683439384734E-2</v>
      </c>
      <c r="W283" s="13">
        <f t="shared" si="42"/>
        <v>2.5617885939102067</v>
      </c>
      <c r="Z283" s="15">
        <f t="shared" si="48"/>
        <v>2.8016381923935341</v>
      </c>
    </row>
    <row r="284" spans="1:26">
      <c r="A284" s="84">
        <f>'Q.6 Rand()'!T282</f>
        <v>3.3</v>
      </c>
      <c r="B284" s="141">
        <f>'Q.6 Rand()'!U282</f>
        <v>33.098799999999997</v>
      </c>
      <c r="D284" s="23"/>
      <c r="E284" s="24"/>
      <c r="F284" s="22">
        <f t="shared" si="40"/>
        <v>-0.32032520325203251</v>
      </c>
      <c r="G284" s="22">
        <f t="shared" si="43"/>
        <v>-1.3318094850948654</v>
      </c>
      <c r="H284" s="18">
        <f t="shared" si="44"/>
        <v>0.42661214400599751</v>
      </c>
      <c r="I284" s="18">
        <f t="shared" si="45"/>
        <v>0.10260823583845594</v>
      </c>
      <c r="J284" s="24"/>
      <c r="K284" s="24"/>
      <c r="L284" s="19">
        <f t="shared" si="46"/>
        <v>35.780973900883438</v>
      </c>
      <c r="O284" s="9">
        <f t="shared" si="41"/>
        <v>-2.6821739008834413</v>
      </c>
      <c r="P284" s="10">
        <f t="shared" si="47"/>
        <v>7.1940568345802962</v>
      </c>
      <c r="V284" s="10">
        <f t="shared" si="49"/>
        <v>2.2361966703599752E-3</v>
      </c>
      <c r="W284" s="13">
        <f t="shared" si="42"/>
        <v>1.8234840554280218</v>
      </c>
      <c r="Z284" s="15">
        <f t="shared" si="48"/>
        <v>1.7737165045886505</v>
      </c>
    </row>
    <row r="285" spans="1:26">
      <c r="A285" s="84">
        <f>'Q.6 Rand()'!T283</f>
        <v>2.5</v>
      </c>
      <c r="B285" s="141">
        <f>'Q.6 Rand()'!U283</f>
        <v>36.030700000000003</v>
      </c>
      <c r="D285" s="23"/>
      <c r="E285" s="24"/>
      <c r="F285" s="22">
        <f t="shared" si="40"/>
        <v>-1.1203252032520323</v>
      </c>
      <c r="G285" s="22">
        <f t="shared" si="43"/>
        <v>1.6000905149051405</v>
      </c>
      <c r="H285" s="18">
        <f t="shared" si="44"/>
        <v>-1.7926217313327506</v>
      </c>
      <c r="I285" s="18">
        <f t="shared" si="45"/>
        <v>1.2551285610417076</v>
      </c>
      <c r="J285" s="24"/>
      <c r="K285" s="24"/>
      <c r="L285" s="19">
        <f t="shared" si="46"/>
        <v>39.153457619502632</v>
      </c>
      <c r="O285" s="9">
        <f t="shared" si="41"/>
        <v>-3.1227576195026288</v>
      </c>
      <c r="P285" s="10">
        <f t="shared" si="47"/>
        <v>9.7516151501617241</v>
      </c>
      <c r="V285" s="10">
        <f t="shared" si="49"/>
        <v>8.1035381974072826E-2</v>
      </c>
      <c r="W285" s="13">
        <f t="shared" si="42"/>
        <v>22.305294500678947</v>
      </c>
      <c r="Z285" s="15">
        <f t="shared" si="48"/>
        <v>2.5602896558893979</v>
      </c>
    </row>
    <row r="286" spans="1:26">
      <c r="A286" s="84">
        <f>'Q.6 Rand()'!T284</f>
        <v>3.6</v>
      </c>
      <c r="B286" s="141">
        <f>'Q.6 Rand()'!U284</f>
        <v>34.875399999999999</v>
      </c>
      <c r="D286" s="23"/>
      <c r="E286" s="24"/>
      <c r="F286" s="22">
        <f t="shared" si="40"/>
        <v>-2.0325203252032242E-2</v>
      </c>
      <c r="G286" s="22">
        <f t="shared" si="43"/>
        <v>0.44479051490513655</v>
      </c>
      <c r="H286" s="18">
        <f t="shared" si="44"/>
        <v>-9.0404576200229774E-3</v>
      </c>
      <c r="I286" s="18">
        <f t="shared" si="45"/>
        <v>4.1311388723642203E-4</v>
      </c>
      <c r="J286" s="24"/>
      <c r="K286" s="24"/>
      <c r="L286" s="19">
        <f t="shared" si="46"/>
        <v>34.516292506401243</v>
      </c>
      <c r="O286" s="9">
        <f t="shared" si="41"/>
        <v>0.35910749359875638</v>
      </c>
      <c r="P286" s="10">
        <f t="shared" si="47"/>
        <v>0.12895819195878086</v>
      </c>
      <c r="V286" s="10">
        <f t="shared" si="49"/>
        <v>8.666935750631069E-2</v>
      </c>
      <c r="W286" s="13">
        <f t="shared" si="42"/>
        <v>7.3415801401895981E-3</v>
      </c>
      <c r="Z286" s="15">
        <f t="shared" si="48"/>
        <v>0.19783860214957649</v>
      </c>
    </row>
    <row r="287" spans="1:26">
      <c r="A287" s="84">
        <f>'Q.6 Rand()'!T285</f>
        <v>2.5</v>
      </c>
      <c r="B287" s="141">
        <f>'Q.6 Rand()'!U285</f>
        <v>38.6</v>
      </c>
      <c r="D287" s="23"/>
      <c r="E287" s="24"/>
      <c r="F287" s="22">
        <f t="shared" si="40"/>
        <v>-1.1203252032520323</v>
      </c>
      <c r="G287" s="22">
        <f t="shared" si="43"/>
        <v>4.1693905149051389</v>
      </c>
      <c r="H287" s="18">
        <f t="shared" si="44"/>
        <v>-4.6710732760481957</v>
      </c>
      <c r="I287" s="18">
        <f t="shared" si="45"/>
        <v>1.2551285610417076</v>
      </c>
      <c r="J287" s="24"/>
      <c r="K287" s="24"/>
      <c r="L287" s="19">
        <f t="shared" si="46"/>
        <v>39.153457619502632</v>
      </c>
      <c r="O287" s="9">
        <f t="shared" si="41"/>
        <v>-0.55345761950263039</v>
      </c>
      <c r="P287" s="10">
        <f t="shared" si="47"/>
        <v>0.30631533658551841</v>
      </c>
      <c r="V287" s="10">
        <f t="shared" si="49"/>
        <v>1.0296870963451499E-2</v>
      </c>
      <c r="W287" s="13">
        <f t="shared" si="42"/>
        <v>22.305294500678947</v>
      </c>
      <c r="Z287" s="15">
        <f t="shared" si="48"/>
        <v>17.383817265780941</v>
      </c>
    </row>
    <row r="288" spans="1:26">
      <c r="A288" s="84">
        <f>'Q.6 Rand()'!T286</f>
        <v>2.5</v>
      </c>
      <c r="B288" s="141">
        <f>'Q.6 Rand()'!U286</f>
        <v>40.4</v>
      </c>
      <c r="D288" s="23"/>
      <c r="E288" s="24"/>
      <c r="F288" s="22">
        <f t="shared" si="40"/>
        <v>-1.1203252032520323</v>
      </c>
      <c r="G288" s="22">
        <f t="shared" si="43"/>
        <v>5.9693905149051361</v>
      </c>
      <c r="H288" s="18">
        <f t="shared" si="44"/>
        <v>-6.6876586419018507</v>
      </c>
      <c r="I288" s="18">
        <f t="shared" si="45"/>
        <v>1.2551285610417076</v>
      </c>
      <c r="J288" s="24"/>
      <c r="K288" s="24"/>
      <c r="L288" s="19">
        <f t="shared" si="46"/>
        <v>39.153457619502632</v>
      </c>
      <c r="O288" s="9">
        <f t="shared" si="41"/>
        <v>1.2465423804973668</v>
      </c>
      <c r="P288" s="10">
        <f t="shared" si="47"/>
        <v>1.5538679063760419</v>
      </c>
      <c r="V288" s="10">
        <f t="shared" si="49"/>
        <v>1.4338280297995606E-2</v>
      </c>
      <c r="W288" s="13">
        <f t="shared" si="42"/>
        <v>22.305294500678947</v>
      </c>
      <c r="Z288" s="15">
        <f t="shared" si="48"/>
        <v>35.633623119439406</v>
      </c>
    </row>
    <row r="289" spans="1:26">
      <c r="A289" s="84">
        <f>'Q.6 Rand()'!T287</f>
        <v>6.5</v>
      </c>
      <c r="B289" s="141">
        <f>'Q.6 Rand()'!U287</f>
        <v>19.899999999999999</v>
      </c>
      <c r="D289" s="23"/>
      <c r="E289" s="24"/>
      <c r="F289" s="22">
        <f t="shared" si="40"/>
        <v>2.8796747967479677</v>
      </c>
      <c r="G289" s="22">
        <f t="shared" si="43"/>
        <v>-14.530609485094864</v>
      </c>
      <c r="H289" s="18">
        <f t="shared" si="44"/>
        <v>-41.843429915614642</v>
      </c>
      <c r="I289" s="18">
        <f t="shared" si="45"/>
        <v>8.2925269350254496</v>
      </c>
      <c r="J289" s="24"/>
      <c r="K289" s="24"/>
      <c r="L289" s="19">
        <f t="shared" si="46"/>
        <v>22.291039026406676</v>
      </c>
      <c r="O289" s="9">
        <f t="shared" si="41"/>
        <v>-2.391039026406677</v>
      </c>
      <c r="P289" s="10">
        <f t="shared" si="47"/>
        <v>5.7170676257997899</v>
      </c>
      <c r="V289" s="10">
        <f t="shared" si="49"/>
        <v>3.0855009418251655E-2</v>
      </c>
      <c r="W289" s="13">
        <f t="shared" si="42"/>
        <v>147.36917092145492</v>
      </c>
      <c r="Z289" s="15">
        <f t="shared" si="48"/>
        <v>211.13861200832883</v>
      </c>
    </row>
    <row r="290" spans="1:26">
      <c r="A290" s="84">
        <f>'Q.6 Rand()'!T288</f>
        <v>3</v>
      </c>
      <c r="B290" s="141">
        <f>'Q.6 Rand()'!U288</f>
        <v>34.4</v>
      </c>
      <c r="D290" s="23"/>
      <c r="E290" s="24"/>
      <c r="F290" s="22">
        <f t="shared" si="40"/>
        <v>-0.62032520325203233</v>
      </c>
      <c r="G290" s="22">
        <f t="shared" si="43"/>
        <v>-3.0609485094863942E-2</v>
      </c>
      <c r="H290" s="18">
        <f t="shared" si="44"/>
        <v>1.8987835062911528E-2</v>
      </c>
      <c r="I290" s="18">
        <f t="shared" si="45"/>
        <v>0.38480335778967523</v>
      </c>
      <c r="J290" s="24"/>
      <c r="K290" s="24"/>
      <c r="L290" s="19">
        <f t="shared" si="46"/>
        <v>37.045655295365634</v>
      </c>
      <c r="O290" s="9">
        <f t="shared" si="41"/>
        <v>-2.6456552953656356</v>
      </c>
      <c r="P290" s="10">
        <f t="shared" si="47"/>
        <v>6.9994919418962285</v>
      </c>
      <c r="V290" s="10">
        <f t="shared" si="49"/>
        <v>0.1201527148948079</v>
      </c>
      <c r="W290" s="13">
        <f t="shared" si="42"/>
        <v>6.8384645898147163</v>
      </c>
      <c r="Z290" s="15">
        <f t="shared" si="48"/>
        <v>9.3694057777269778E-4</v>
      </c>
    </row>
    <row r="291" spans="1:26">
      <c r="A291" s="84">
        <f>'Q.6 Rand()'!T289</f>
        <v>4</v>
      </c>
      <c r="B291" s="141">
        <f>'Q.6 Rand()'!U289</f>
        <v>25.753499999999999</v>
      </c>
      <c r="D291" s="23"/>
      <c r="E291" s="24"/>
      <c r="F291" s="22">
        <f t="shared" si="40"/>
        <v>0.37967479674796767</v>
      </c>
      <c r="G291" s="22">
        <f t="shared" si="43"/>
        <v>-8.6771094850948636</v>
      </c>
      <c r="H291" s="18">
        <f t="shared" si="44"/>
        <v>-3.2944797801132548</v>
      </c>
      <c r="I291" s="18">
        <f t="shared" si="45"/>
        <v>0.14415295128561056</v>
      </c>
      <c r="J291" s="24"/>
      <c r="K291" s="24"/>
      <c r="L291" s="19">
        <f t="shared" si="46"/>
        <v>32.830050647091646</v>
      </c>
      <c r="O291" s="9">
        <f t="shared" si="41"/>
        <v>-7.0765506470916471</v>
      </c>
      <c r="P291" s="10">
        <f t="shared" si="47"/>
        <v>50.077569060853207</v>
      </c>
      <c r="V291" s="10">
        <f t="shared" si="49"/>
        <v>7.6908584167605695E-2</v>
      </c>
      <c r="W291" s="13">
        <f t="shared" si="42"/>
        <v>2.5617885939102067</v>
      </c>
      <c r="Z291" s="15">
        <f t="shared" si="48"/>
        <v>75.292229016323247</v>
      </c>
    </row>
    <row r="292" spans="1:26">
      <c r="A292" s="84">
        <f>'Q.6 Rand()'!T290</f>
        <v>3.2</v>
      </c>
      <c r="B292" s="141">
        <f>'Q.6 Rand()'!U290</f>
        <v>29.7</v>
      </c>
      <c r="D292" s="23"/>
      <c r="E292" s="24"/>
      <c r="F292" s="22">
        <f t="shared" si="40"/>
        <v>-0.42032520325203215</v>
      </c>
      <c r="G292" s="22">
        <f t="shared" si="43"/>
        <v>-4.7306094850948632</v>
      </c>
      <c r="H292" s="18">
        <f t="shared" si="44"/>
        <v>1.9883943933284896</v>
      </c>
      <c r="I292" s="18">
        <f t="shared" si="45"/>
        <v>0.17667327648886214</v>
      </c>
      <c r="J292" s="24"/>
      <c r="K292" s="24"/>
      <c r="L292" s="19">
        <f t="shared" si="46"/>
        <v>36.202534365710832</v>
      </c>
      <c r="O292" s="9">
        <f t="shared" si="41"/>
        <v>-6.502534365710833</v>
      </c>
      <c r="P292" s="10">
        <f t="shared" si="47"/>
        <v>42.282953177250384</v>
      </c>
      <c r="V292" s="10">
        <f t="shared" si="49"/>
        <v>0.27478015209939027</v>
      </c>
      <c r="W292" s="13">
        <f t="shared" si="42"/>
        <v>3.1397177825459188</v>
      </c>
      <c r="Z292" s="15">
        <f t="shared" si="48"/>
        <v>22.378666100469488</v>
      </c>
    </row>
    <row r="293" spans="1:26">
      <c r="A293" s="84">
        <f>'Q.6 Rand()'!T291</f>
        <v>3.8</v>
      </c>
      <c r="B293" s="141">
        <f>'Q.6 Rand()'!U291</f>
        <v>31.9</v>
      </c>
      <c r="D293" s="23"/>
      <c r="E293" s="24"/>
      <c r="F293" s="22">
        <f t="shared" si="40"/>
        <v>0.17967479674796749</v>
      </c>
      <c r="G293" s="22">
        <f t="shared" si="43"/>
        <v>-2.5306094850948639</v>
      </c>
      <c r="H293" s="18">
        <f t="shared" si="44"/>
        <v>-0.45468674488289834</v>
      </c>
      <c r="I293" s="18">
        <f t="shared" si="45"/>
        <v>3.2283032586423427E-2</v>
      </c>
      <c r="J293" s="24"/>
      <c r="K293" s="24"/>
      <c r="L293" s="19">
        <f t="shared" si="46"/>
        <v>33.673171576746441</v>
      </c>
      <c r="O293" s="9">
        <f t="shared" si="41"/>
        <v>-1.7731715767464422</v>
      </c>
      <c r="P293" s="10">
        <f t="shared" si="47"/>
        <v>3.1441374405814639</v>
      </c>
      <c r="V293" s="10">
        <f t="shared" si="49"/>
        <v>0.21894055103403479</v>
      </c>
      <c r="W293" s="13">
        <f t="shared" si="42"/>
        <v>0.57371218500323207</v>
      </c>
      <c r="Z293" s="15">
        <f t="shared" si="48"/>
        <v>6.4039843660520921</v>
      </c>
    </row>
    <row r="294" spans="1:26">
      <c r="A294" s="84">
        <f>'Q.6 Rand()'!T292</f>
        <v>3.5</v>
      </c>
      <c r="B294" s="141">
        <f>'Q.6 Rand()'!U292</f>
        <v>37.9499</v>
      </c>
      <c r="D294" s="23"/>
      <c r="E294" s="24"/>
      <c r="F294" s="22">
        <f t="shared" si="40"/>
        <v>-0.12032520325203233</v>
      </c>
      <c r="G294" s="22">
        <f t="shared" si="43"/>
        <v>3.519290514905137</v>
      </c>
      <c r="H294" s="18">
        <f t="shared" si="44"/>
        <v>-0.42345934650891015</v>
      </c>
      <c r="I294" s="18">
        <f t="shared" si="45"/>
        <v>1.4478154537642892E-2</v>
      </c>
      <c r="J294" s="24"/>
      <c r="K294" s="24"/>
      <c r="L294" s="19">
        <f t="shared" si="46"/>
        <v>34.937852971228637</v>
      </c>
      <c r="O294" s="9">
        <f t="shared" si="41"/>
        <v>3.012047028771363</v>
      </c>
      <c r="P294" s="10">
        <f t="shared" si="47"/>
        <v>9.0724273035303966</v>
      </c>
      <c r="V294" s="10">
        <f t="shared" si="49"/>
        <v>5.558531588546841E-2</v>
      </c>
      <c r="W294" s="13">
        <f t="shared" si="42"/>
        <v>0.25729595422514417</v>
      </c>
      <c r="Z294" s="15">
        <f t="shared" si="48"/>
        <v>12.385405728301265</v>
      </c>
    </row>
    <row r="295" spans="1:26">
      <c r="A295" s="84">
        <f>'Q.6 Rand()'!T293</f>
        <v>4.5999999999999996</v>
      </c>
      <c r="B295" s="141">
        <f>'Q.6 Rand()'!U293</f>
        <v>32.110900000000001</v>
      </c>
      <c r="D295" s="23"/>
      <c r="E295" s="24"/>
      <c r="F295" s="22">
        <f t="shared" si="40"/>
        <v>0.97967479674796731</v>
      </c>
      <c r="G295" s="22">
        <f t="shared" si="43"/>
        <v>-2.3197094850948616</v>
      </c>
      <c r="H295" s="18">
        <f t="shared" si="44"/>
        <v>-2.2725609183246407</v>
      </c>
      <c r="I295" s="18">
        <f t="shared" si="45"/>
        <v>0.95976270738317104</v>
      </c>
      <c r="J295" s="24"/>
      <c r="K295" s="24"/>
      <c r="L295" s="19">
        <f t="shared" si="46"/>
        <v>30.300687858127255</v>
      </c>
      <c r="O295" s="9">
        <f t="shared" si="41"/>
        <v>1.8102121418727464</v>
      </c>
      <c r="P295" s="10">
        <f t="shared" si="47"/>
        <v>3.2768679985835161</v>
      </c>
      <c r="V295" s="10">
        <f t="shared" si="49"/>
        <v>7.936903730369152E-2</v>
      </c>
      <c r="W295" s="13">
        <f t="shared" si="42"/>
        <v>17.056252644894773</v>
      </c>
      <c r="Z295" s="15">
        <f t="shared" si="48"/>
        <v>5.3810520952390677</v>
      </c>
    </row>
    <row r="296" spans="1:26">
      <c r="A296" s="84">
        <f>'Q.6 Rand()'!T294</f>
        <v>2</v>
      </c>
      <c r="B296" s="141">
        <f>'Q.6 Rand()'!U294</f>
        <v>37</v>
      </c>
      <c r="D296" s="23"/>
      <c r="E296" s="24"/>
      <c r="F296" s="22">
        <f t="shared" si="40"/>
        <v>-1.6203252032520323</v>
      </c>
      <c r="G296" s="22">
        <f t="shared" si="43"/>
        <v>2.5693905149051375</v>
      </c>
      <c r="H296" s="18">
        <f t="shared" si="44"/>
        <v>-4.1632482082975111</v>
      </c>
      <c r="I296" s="18">
        <f t="shared" si="45"/>
        <v>2.6254537642937397</v>
      </c>
      <c r="J296" s="24"/>
      <c r="K296" s="24"/>
      <c r="L296" s="19">
        <f t="shared" si="46"/>
        <v>41.261259943639622</v>
      </c>
      <c r="O296" s="9">
        <f t="shared" si="41"/>
        <v>-4.2612599436396223</v>
      </c>
      <c r="P296" s="10">
        <f t="shared" si="47"/>
        <v>18.158336307267557</v>
      </c>
      <c r="V296" s="10">
        <f t="shared" si="49"/>
        <v>5.6373759124557277E-2</v>
      </c>
      <c r="W296" s="13">
        <f t="shared" si="42"/>
        <v>46.657785686817739</v>
      </c>
      <c r="Z296" s="15">
        <f t="shared" si="48"/>
        <v>6.6017676180844873</v>
      </c>
    </row>
    <row r="297" spans="1:26">
      <c r="A297" s="84">
        <f>'Q.6 Rand()'!T295</f>
        <v>3</v>
      </c>
      <c r="B297" s="141">
        <f>'Q.6 Rand()'!U295</f>
        <v>39.710299999999997</v>
      </c>
      <c r="D297" s="23"/>
      <c r="E297" s="24"/>
      <c r="F297" s="22">
        <f t="shared" si="40"/>
        <v>-0.62032520325203233</v>
      </c>
      <c r="G297" s="22">
        <f t="shared" si="43"/>
        <v>5.2796905149051341</v>
      </c>
      <c r="H297" s="18">
        <f t="shared" si="44"/>
        <v>-3.2751250917663546</v>
      </c>
      <c r="I297" s="18">
        <f t="shared" si="45"/>
        <v>0.38480335778967523</v>
      </c>
      <c r="J297" s="24"/>
      <c r="K297" s="24"/>
      <c r="L297" s="19">
        <f t="shared" si="46"/>
        <v>37.045655295365634</v>
      </c>
      <c r="O297" s="9">
        <f t="shared" si="41"/>
        <v>2.6646447046343624</v>
      </c>
      <c r="P297" s="10">
        <f t="shared" si="47"/>
        <v>7.1003314019359483</v>
      </c>
      <c r="V297" s="10">
        <f t="shared" si="49"/>
        <v>0.11516918766593574</v>
      </c>
      <c r="W297" s="13">
        <f t="shared" si="42"/>
        <v>6.8384645898147163</v>
      </c>
      <c r="Z297" s="15">
        <f t="shared" si="48"/>
        <v>27.87513193317924</v>
      </c>
    </row>
    <row r="298" spans="1:26">
      <c r="A298" s="84">
        <f>'Q.6 Rand()'!T296</f>
        <v>1.6</v>
      </c>
      <c r="B298" s="141">
        <f>'Q.6 Rand()'!U296</f>
        <v>51.655500000000004</v>
      </c>
      <c r="D298" s="23"/>
      <c r="E298" s="24"/>
      <c r="F298" s="22">
        <f t="shared" si="40"/>
        <v>-2.0203252032520322</v>
      </c>
      <c r="G298" s="22">
        <f t="shared" si="43"/>
        <v>17.224890514905141</v>
      </c>
      <c r="H298" s="18">
        <f t="shared" si="44"/>
        <v>-34.799880430519728</v>
      </c>
      <c r="I298" s="18">
        <f t="shared" si="45"/>
        <v>4.0817139268953655</v>
      </c>
      <c r="J298" s="24"/>
      <c r="K298" s="24"/>
      <c r="L298" s="19">
        <f t="shared" si="46"/>
        <v>42.947501802949219</v>
      </c>
      <c r="O298" s="9">
        <f t="shared" si="41"/>
        <v>8.7079981970507845</v>
      </c>
      <c r="P298" s="10">
        <f t="shared" si="47"/>
        <v>75.829232599839713</v>
      </c>
      <c r="V298" s="10">
        <f t="shared" si="49"/>
        <v>6.7102104608486021E-2</v>
      </c>
      <c r="W298" s="13">
        <f t="shared" si="42"/>
        <v>72.537454753926554</v>
      </c>
      <c r="Z298" s="15">
        <f t="shared" si="48"/>
        <v>296.69685325046908</v>
      </c>
    </row>
    <row r="299" spans="1:26">
      <c r="A299" s="84">
        <f>'Q.6 Rand()'!T297</f>
        <v>5.3</v>
      </c>
      <c r="B299" s="141">
        <f>'Q.6 Rand()'!U297</f>
        <v>29.370799999999999</v>
      </c>
      <c r="D299" s="23"/>
      <c r="E299" s="24"/>
      <c r="F299" s="22">
        <f t="shared" si="40"/>
        <v>1.6796747967479675</v>
      </c>
      <c r="G299" s="22">
        <f t="shared" si="43"/>
        <v>-5.0598094850948634</v>
      </c>
      <c r="H299" s="18">
        <f t="shared" si="44"/>
        <v>-8.4988344684601529</v>
      </c>
      <c r="I299" s="18">
        <f t="shared" si="45"/>
        <v>2.8213074228303259</v>
      </c>
      <c r="J299" s="24"/>
      <c r="K299" s="24"/>
      <c r="L299" s="19">
        <f t="shared" si="46"/>
        <v>27.349764604335462</v>
      </c>
      <c r="O299" s="9">
        <f t="shared" si="41"/>
        <v>2.021035395664537</v>
      </c>
      <c r="P299" s="10">
        <f t="shared" si="47"/>
        <v>4.084584070528912</v>
      </c>
      <c r="V299" s="10">
        <f t="shared" si="49"/>
        <v>0.16857833526053922</v>
      </c>
      <c r="W299" s="13">
        <f t="shared" si="42"/>
        <v>50.138364225376606</v>
      </c>
      <c r="Z299" s="15">
        <f t="shared" si="48"/>
        <v>25.601672025455947</v>
      </c>
    </row>
    <row r="300" spans="1:26">
      <c r="A300" s="84">
        <f>'Q.6 Rand()'!T298</f>
        <v>2.4</v>
      </c>
      <c r="B300" s="141">
        <f>'Q.6 Rand()'!U298</f>
        <v>38.599499999999999</v>
      </c>
      <c r="D300" s="23"/>
      <c r="E300" s="24"/>
      <c r="F300" s="22">
        <f t="shared" si="40"/>
        <v>-1.2203252032520324</v>
      </c>
      <c r="G300" s="22">
        <f t="shared" si="43"/>
        <v>4.1688905149051365</v>
      </c>
      <c r="H300" s="18">
        <f t="shared" si="44"/>
        <v>-5.0874021649370809</v>
      </c>
      <c r="I300" s="18">
        <f t="shared" si="45"/>
        <v>1.4891936016921143</v>
      </c>
      <c r="J300" s="24"/>
      <c r="K300" s="24"/>
      <c r="L300" s="19">
        <f t="shared" si="46"/>
        <v>39.575018084330026</v>
      </c>
      <c r="O300" s="9">
        <f t="shared" si="41"/>
        <v>-0.97551808433002662</v>
      </c>
      <c r="P300" s="10">
        <f t="shared" si="47"/>
        <v>0.95163553285492497</v>
      </c>
      <c r="V300" s="10">
        <f t="shared" si="49"/>
        <v>6.8811043473944775E-2</v>
      </c>
      <c r="W300" s="13">
        <f t="shared" si="42"/>
        <v>26.464939835884692</v>
      </c>
      <c r="Z300" s="15">
        <f t="shared" si="48"/>
        <v>17.379648125266016</v>
      </c>
    </row>
    <row r="301" spans="1:26">
      <c r="A301" s="84">
        <f>'Q.6 Rand()'!T299</f>
        <v>3.4</v>
      </c>
      <c r="B301" s="141">
        <f>'Q.6 Rand()'!U299</f>
        <v>40.997799999999998</v>
      </c>
      <c r="D301" s="23"/>
      <c r="E301" s="24"/>
      <c r="F301" s="22">
        <f t="shared" si="40"/>
        <v>-0.22032520325203242</v>
      </c>
      <c r="G301" s="22">
        <f t="shared" si="43"/>
        <v>6.5671905149051355</v>
      </c>
      <c r="H301" s="18">
        <f t="shared" si="44"/>
        <v>-1.4469175849912934</v>
      </c>
      <c r="I301" s="18">
        <f t="shared" si="45"/>
        <v>4.85431951880494E-2</v>
      </c>
      <c r="J301" s="24"/>
      <c r="K301" s="24"/>
      <c r="L301" s="19">
        <f t="shared" si="46"/>
        <v>35.359413436056037</v>
      </c>
      <c r="O301" s="9">
        <f t="shared" si="41"/>
        <v>5.6383865639439605</v>
      </c>
      <c r="P301" s="10">
        <f t="shared" si="47"/>
        <v>31.791403044463781</v>
      </c>
      <c r="V301" s="10">
        <f t="shared" si="49"/>
        <v>2.5272816599438506E-2</v>
      </c>
      <c r="W301" s="13">
        <f t="shared" si="42"/>
        <v>0.86267677932108866</v>
      </c>
      <c r="Z301" s="15">
        <f t="shared" si="48"/>
        <v>43.127991259059982</v>
      </c>
    </row>
    <row r="302" spans="1:26">
      <c r="A302" s="84">
        <f>'Q.6 Rand()'!T300</f>
        <v>2.2999999999999998</v>
      </c>
      <c r="B302" s="141">
        <f>'Q.6 Rand()'!U300</f>
        <v>38.1</v>
      </c>
      <c r="D302" s="23"/>
      <c r="E302" s="24"/>
      <c r="F302" s="22">
        <f t="shared" si="40"/>
        <v>-1.3203252032520325</v>
      </c>
      <c r="G302" s="22">
        <f t="shared" si="43"/>
        <v>3.6693905149051389</v>
      </c>
      <c r="H302" s="18">
        <f t="shared" si="44"/>
        <v>-4.8447887774032079</v>
      </c>
      <c r="I302" s="18">
        <f t="shared" si="45"/>
        <v>1.7432586423425209</v>
      </c>
      <c r="J302" s="24"/>
      <c r="K302" s="24"/>
      <c r="L302" s="19">
        <f t="shared" si="46"/>
        <v>39.996578549157427</v>
      </c>
      <c r="O302" s="9">
        <f t="shared" si="41"/>
        <v>-1.8965785491574252</v>
      </c>
      <c r="P302" s="10">
        <f t="shared" si="47"/>
        <v>3.5970101931240839</v>
      </c>
      <c r="V302" s="10">
        <f t="shared" si="49"/>
        <v>0.13752900311587354</v>
      </c>
      <c r="W302" s="13">
        <f t="shared" si="42"/>
        <v>30.980011622101497</v>
      </c>
      <c r="Z302" s="15">
        <f t="shared" si="48"/>
        <v>13.4644267508758</v>
      </c>
    </row>
    <row r="303" spans="1:26">
      <c r="A303" s="84">
        <f>'Q.6 Rand()'!T301</f>
        <v>2</v>
      </c>
      <c r="B303" s="141">
        <f>'Q.6 Rand()'!U301</f>
        <v>41.9</v>
      </c>
      <c r="D303" s="23"/>
      <c r="E303" s="24"/>
      <c r="F303" s="22">
        <f t="shared" si="40"/>
        <v>-1.6203252032520323</v>
      </c>
      <c r="G303" s="22">
        <f t="shared" si="43"/>
        <v>7.4693905149051361</v>
      </c>
      <c r="H303" s="18">
        <f t="shared" si="44"/>
        <v>-12.102841704232468</v>
      </c>
      <c r="I303" s="18">
        <f t="shared" si="45"/>
        <v>2.6254537642937397</v>
      </c>
      <c r="J303" s="24"/>
      <c r="K303" s="24"/>
      <c r="L303" s="19">
        <f t="shared" si="46"/>
        <v>41.261259943639622</v>
      </c>
      <c r="O303" s="9">
        <f t="shared" si="41"/>
        <v>0.63874005636037623</v>
      </c>
      <c r="P303" s="10">
        <f t="shared" si="47"/>
        <v>0.40798885959925663</v>
      </c>
      <c r="V303" s="10">
        <f t="shared" si="49"/>
        <v>4.9778964544814307E-2</v>
      </c>
      <c r="W303" s="13">
        <f t="shared" si="42"/>
        <v>46.657785686817739</v>
      </c>
      <c r="Z303" s="15">
        <f t="shared" si="48"/>
        <v>55.791794664154814</v>
      </c>
    </row>
    <row r="304" spans="1:26">
      <c r="A304" s="84">
        <f>'Q.6 Rand()'!T302</f>
        <v>6</v>
      </c>
      <c r="B304" s="141">
        <f>'Q.6 Rand()'!U302</f>
        <v>23.4</v>
      </c>
      <c r="D304" s="23"/>
      <c r="E304" s="24"/>
      <c r="F304" s="22">
        <f t="shared" si="40"/>
        <v>2.3796747967479677</v>
      </c>
      <c r="G304" s="22">
        <f t="shared" si="43"/>
        <v>-11.030609485094864</v>
      </c>
      <c r="H304" s="18">
        <f t="shared" si="44"/>
        <v>-26.249263384449325</v>
      </c>
      <c r="I304" s="18">
        <f t="shared" si="45"/>
        <v>5.662852138277481</v>
      </c>
      <c r="J304" s="24"/>
      <c r="K304" s="24"/>
      <c r="L304" s="19">
        <f t="shared" si="46"/>
        <v>24.39884135054367</v>
      </c>
      <c r="O304" s="9">
        <f t="shared" si="41"/>
        <v>-0.99884135054367107</v>
      </c>
      <c r="P304" s="10">
        <f t="shared" si="47"/>
        <v>0.99768404355590479</v>
      </c>
      <c r="V304" s="10">
        <f t="shared" si="49"/>
        <v>1.5244392753230937E-2</v>
      </c>
      <c r="W304" s="13">
        <f t="shared" si="42"/>
        <v>100.63637190539671</v>
      </c>
      <c r="Z304" s="15">
        <f t="shared" si="48"/>
        <v>121.67434561266478</v>
      </c>
    </row>
    <row r="305" spans="1:26">
      <c r="A305" s="84">
        <f>'Q.6 Rand()'!T303</f>
        <v>3</v>
      </c>
      <c r="B305" s="141">
        <f>'Q.6 Rand()'!U303</f>
        <v>35.540399999999998</v>
      </c>
      <c r="D305" s="23"/>
      <c r="E305" s="24"/>
      <c r="F305" s="22">
        <f t="shared" si="40"/>
        <v>-0.62032520325203233</v>
      </c>
      <c r="G305" s="22">
        <f t="shared" si="43"/>
        <v>1.1097905149051357</v>
      </c>
      <c r="H305" s="18">
        <f t="shared" si="44"/>
        <v>-0.68843102672570589</v>
      </c>
      <c r="I305" s="18">
        <f t="shared" si="45"/>
        <v>0.38480335778967523</v>
      </c>
      <c r="J305" s="24"/>
      <c r="K305" s="24"/>
      <c r="L305" s="19">
        <f t="shared" si="46"/>
        <v>37.045655295365634</v>
      </c>
      <c r="O305" s="9">
        <f t="shared" si="41"/>
        <v>-1.505255295365636</v>
      </c>
      <c r="P305" s="10">
        <f t="shared" si="47"/>
        <v>2.2657935042262878</v>
      </c>
      <c r="V305" s="10">
        <f t="shared" si="49"/>
        <v>4.2685527801011584E-2</v>
      </c>
      <c r="W305" s="13">
        <f t="shared" si="42"/>
        <v>6.8384645898147163</v>
      </c>
      <c r="Z305" s="15">
        <f t="shared" si="48"/>
        <v>1.2316349869734062</v>
      </c>
    </row>
    <row r="306" spans="1:26">
      <c r="A306" s="84">
        <f>'Q.6 Rand()'!T304</f>
        <v>1.8</v>
      </c>
      <c r="B306" s="141">
        <f>'Q.6 Rand()'!U304</f>
        <v>37.619999999999997</v>
      </c>
      <c r="D306" s="23"/>
      <c r="E306" s="24"/>
      <c r="F306" s="22">
        <f t="shared" si="40"/>
        <v>-1.8203252032520323</v>
      </c>
      <c r="G306" s="22">
        <f t="shared" si="43"/>
        <v>3.1893905149051349</v>
      </c>
      <c r="H306" s="18">
        <f t="shared" si="44"/>
        <v>-5.8057279372947939</v>
      </c>
      <c r="I306" s="18">
        <f t="shared" si="45"/>
        <v>3.3135838455945525</v>
      </c>
      <c r="J306" s="24"/>
      <c r="K306" s="24"/>
      <c r="L306" s="19">
        <f t="shared" si="46"/>
        <v>42.104380873294417</v>
      </c>
      <c r="O306" s="9">
        <f t="shared" si="41"/>
        <v>-4.4843808732944197</v>
      </c>
      <c r="P306" s="10">
        <f t="shared" si="47"/>
        <v>20.109671816768824</v>
      </c>
      <c r="V306" s="10">
        <f t="shared" si="49"/>
        <v>4.2353358301134375E-2</v>
      </c>
      <c r="W306" s="13">
        <f t="shared" si="42"/>
        <v>58.886767318350117</v>
      </c>
      <c r="Z306" s="15">
        <f t="shared" si="48"/>
        <v>10.172211856566841</v>
      </c>
    </row>
    <row r="307" spans="1:26">
      <c r="A307" s="84">
        <f>'Q.6 Rand()'!T305</f>
        <v>5.6</v>
      </c>
      <c r="B307" s="141">
        <f>'Q.6 Rand()'!U305</f>
        <v>25.1952</v>
      </c>
      <c r="D307" s="23"/>
      <c r="E307" s="24"/>
      <c r="F307" s="22">
        <f t="shared" si="40"/>
        <v>1.9796747967479673</v>
      </c>
      <c r="G307" s="22">
        <f t="shared" si="43"/>
        <v>-9.2354094850948627</v>
      </c>
      <c r="H307" s="18">
        <f t="shared" si="44"/>
        <v>-18.28310739528942</v>
      </c>
      <c r="I307" s="18">
        <f t="shared" si="45"/>
        <v>3.9191123008791058</v>
      </c>
      <c r="J307" s="24"/>
      <c r="K307" s="24"/>
      <c r="L307" s="19">
        <f t="shared" si="46"/>
        <v>26.085083209853266</v>
      </c>
      <c r="O307" s="9">
        <f t="shared" si="41"/>
        <v>-0.88988320985326652</v>
      </c>
      <c r="P307" s="10">
        <f t="shared" si="47"/>
        <v>0.79189212717875279</v>
      </c>
      <c r="V307" s="10">
        <f t="shared" si="49"/>
        <v>0.11920204341558799</v>
      </c>
      <c r="W307" s="13">
        <f t="shared" si="42"/>
        <v>69.647808810747875</v>
      </c>
      <c r="Z307" s="15">
        <f t="shared" si="48"/>
        <v>85.292788357380161</v>
      </c>
    </row>
    <row r="308" spans="1:26">
      <c r="A308" s="84">
        <f>'Q.6 Rand()'!T306</f>
        <v>4.8</v>
      </c>
      <c r="B308" s="141">
        <f>'Q.6 Rand()'!U306</f>
        <v>33.260300000000001</v>
      </c>
      <c r="D308" s="23"/>
      <c r="E308" s="24"/>
      <c r="F308" s="22">
        <f t="shared" si="40"/>
        <v>1.1796747967479675</v>
      </c>
      <c r="G308" s="22">
        <f t="shared" si="43"/>
        <v>-1.1703094850948617</v>
      </c>
      <c r="H308" s="18">
        <f t="shared" si="44"/>
        <v>-1.3805846039614995</v>
      </c>
      <c r="I308" s="18">
        <f t="shared" si="45"/>
        <v>1.3916326260823584</v>
      </c>
      <c r="J308" s="24"/>
      <c r="K308" s="24"/>
      <c r="L308" s="19">
        <f t="shared" si="46"/>
        <v>29.457566928472456</v>
      </c>
      <c r="O308" s="9">
        <f t="shared" si="41"/>
        <v>3.8027330715275447</v>
      </c>
      <c r="P308" s="10">
        <f t="shared" si="47"/>
        <v>14.460778813289314</v>
      </c>
      <c r="V308" s="10">
        <f t="shared" si="49"/>
        <v>3.5319553321794095E-2</v>
      </c>
      <c r="W308" s="13">
        <f t="shared" si="42"/>
        <v>24.731152269977521</v>
      </c>
      <c r="Z308" s="15">
        <f t="shared" si="48"/>
        <v>1.3696242909030003</v>
      </c>
    </row>
    <row r="309" spans="1:26">
      <c r="A309" s="84">
        <f>'Q.6 Rand()'!T307</f>
        <v>1.6</v>
      </c>
      <c r="B309" s="141">
        <f>'Q.6 Rand()'!U307</f>
        <v>47.202500000000001</v>
      </c>
      <c r="D309" s="23"/>
      <c r="E309" s="24"/>
      <c r="F309" s="22">
        <f t="shared" si="40"/>
        <v>-2.0203252032520322</v>
      </c>
      <c r="G309" s="22">
        <f t="shared" si="43"/>
        <v>12.771890514905138</v>
      </c>
      <c r="H309" s="18">
        <f t="shared" si="44"/>
        <v>-25.803372300438426</v>
      </c>
      <c r="I309" s="18">
        <f t="shared" si="45"/>
        <v>4.0817139268953655</v>
      </c>
      <c r="J309" s="24"/>
      <c r="K309" s="24"/>
      <c r="L309" s="19">
        <f t="shared" si="46"/>
        <v>42.947501802949219</v>
      </c>
      <c r="O309" s="9">
        <f t="shared" si="41"/>
        <v>4.2549981970507815</v>
      </c>
      <c r="P309" s="10">
        <f t="shared" si="47"/>
        <v>18.105009656905402</v>
      </c>
      <c r="V309" s="10">
        <f t="shared" si="49"/>
        <v>0.11433249464158605</v>
      </c>
      <c r="W309" s="13">
        <f t="shared" si="42"/>
        <v>72.537454753926554</v>
      </c>
      <c r="Z309" s="15">
        <f t="shared" si="48"/>
        <v>163.12118732472382</v>
      </c>
    </row>
    <row r="310" spans="1:26">
      <c r="A310" s="84">
        <f>'Q.6 Rand()'!T308</f>
        <v>3.9</v>
      </c>
      <c r="B310" s="141">
        <f>'Q.6 Rand()'!U308</f>
        <v>36.6</v>
      </c>
      <c r="D310" s="23"/>
      <c r="E310" s="24"/>
      <c r="F310" s="22">
        <f t="shared" si="40"/>
        <v>0.27967479674796758</v>
      </c>
      <c r="G310" s="22">
        <f t="shared" si="43"/>
        <v>2.1693905149051389</v>
      </c>
      <c r="H310" s="18">
        <f t="shared" si="44"/>
        <v>0.6067238513230635</v>
      </c>
      <c r="I310" s="18">
        <f t="shared" si="45"/>
        <v>7.8217991936016973E-2</v>
      </c>
      <c r="J310" s="24"/>
      <c r="K310" s="24"/>
      <c r="L310" s="19">
        <f t="shared" si="46"/>
        <v>33.251611111919047</v>
      </c>
      <c r="O310" s="9">
        <f t="shared" si="41"/>
        <v>3.3483888880809545</v>
      </c>
      <c r="P310" s="10">
        <f t="shared" si="47"/>
        <v>11.21170814582401</v>
      </c>
      <c r="V310" s="10">
        <f t="shared" si="49"/>
        <v>9.0143492337286829E-2</v>
      </c>
      <c r="W310" s="13">
        <f t="shared" si="42"/>
        <v>1.3900371639512197</v>
      </c>
      <c r="Z310" s="15">
        <f t="shared" si="48"/>
        <v>4.7062552061603835</v>
      </c>
    </row>
    <row r="311" spans="1:26">
      <c r="A311" s="84">
        <f>'Q.6 Rand()'!T309</f>
        <v>3</v>
      </c>
      <c r="B311" s="141">
        <f>'Q.6 Rand()'!U309</f>
        <v>36.154800000000002</v>
      </c>
      <c r="D311" s="23"/>
      <c r="E311" s="24"/>
      <c r="F311" s="22">
        <f t="shared" si="40"/>
        <v>-0.62032520325203233</v>
      </c>
      <c r="G311" s="22">
        <f t="shared" si="43"/>
        <v>1.7241905149051391</v>
      </c>
      <c r="H311" s="18">
        <f t="shared" si="44"/>
        <v>-1.0695588316037568</v>
      </c>
      <c r="I311" s="18">
        <f t="shared" si="45"/>
        <v>0.38480335778967523</v>
      </c>
      <c r="J311" s="24"/>
      <c r="K311" s="24"/>
      <c r="L311" s="19">
        <f t="shared" si="46"/>
        <v>37.045655295365634</v>
      </c>
      <c r="O311" s="9">
        <f t="shared" si="41"/>
        <v>-0.89085529536563257</v>
      </c>
      <c r="P311" s="10">
        <f t="shared" si="47"/>
        <v>0.79362315728098842</v>
      </c>
      <c r="V311" s="10">
        <f t="shared" si="49"/>
        <v>9.1486035193468693E-2</v>
      </c>
      <c r="W311" s="13">
        <f t="shared" si="42"/>
        <v>6.8384645898147163</v>
      </c>
      <c r="Z311" s="15">
        <f t="shared" si="48"/>
        <v>2.9728329316888487</v>
      </c>
    </row>
    <row r="312" spans="1:26">
      <c r="A312" s="84">
        <f>'Q.6 Rand()'!T310</f>
        <v>6.1</v>
      </c>
      <c r="B312" s="141">
        <f>'Q.6 Rand()'!U310</f>
        <v>26</v>
      </c>
      <c r="D312" s="23"/>
      <c r="E312" s="24"/>
      <c r="F312" s="22">
        <f t="shared" si="40"/>
        <v>2.4796747967479673</v>
      </c>
      <c r="G312" s="22">
        <f t="shared" si="43"/>
        <v>-8.4306094850948625</v>
      </c>
      <c r="H312" s="18">
        <f t="shared" si="44"/>
        <v>-20.905169861414088</v>
      </c>
      <c r="I312" s="18">
        <f t="shared" si="45"/>
        <v>6.1487870976270731</v>
      </c>
      <c r="J312" s="24"/>
      <c r="K312" s="24"/>
      <c r="L312" s="19">
        <f t="shared" si="46"/>
        <v>23.977280885716272</v>
      </c>
      <c r="O312" s="9">
        <f t="shared" si="41"/>
        <v>2.0227191142837277</v>
      </c>
      <c r="P312" s="10">
        <f t="shared" si="47"/>
        <v>4.0913926152887479</v>
      </c>
      <c r="V312" s="10">
        <f t="shared" si="49"/>
        <v>2.4640028305111149E-2</v>
      </c>
      <c r="W312" s="13">
        <f t="shared" si="42"/>
        <v>109.27207880658636</v>
      </c>
      <c r="Z312" s="15">
        <f t="shared" si="48"/>
        <v>71.07517629017147</v>
      </c>
    </row>
    <row r="313" spans="1:26">
      <c r="A313" s="84">
        <f>'Q.6 Rand()'!T311</f>
        <v>4.2</v>
      </c>
      <c r="B313" s="141">
        <f>'Q.6 Rand()'!U311</f>
        <v>24.183700000000002</v>
      </c>
      <c r="D313" s="23"/>
      <c r="E313" s="24"/>
      <c r="F313" s="22">
        <f t="shared" si="40"/>
        <v>0.57967479674796785</v>
      </c>
      <c r="G313" s="22">
        <f t="shared" si="43"/>
        <v>-10.246909485094861</v>
      </c>
      <c r="H313" s="18">
        <f t="shared" si="44"/>
        <v>-5.939875173067187</v>
      </c>
      <c r="I313" s="18">
        <f t="shared" si="45"/>
        <v>0.33602286998479786</v>
      </c>
      <c r="J313" s="24"/>
      <c r="K313" s="24"/>
      <c r="L313" s="19">
        <f t="shared" si="46"/>
        <v>31.986929717436848</v>
      </c>
      <c r="O313" s="9">
        <f t="shared" si="41"/>
        <v>-7.8032297174368459</v>
      </c>
      <c r="P313" s="10">
        <f t="shared" si="47"/>
        <v>60.89039402308952</v>
      </c>
      <c r="V313" s="10">
        <f t="shared" si="49"/>
        <v>7.7796889010912612E-2</v>
      </c>
      <c r="W313" s="13">
        <f t="shared" si="42"/>
        <v>5.9715708068611297</v>
      </c>
      <c r="Z313" s="15">
        <f t="shared" si="48"/>
        <v>104.99915399572703</v>
      </c>
    </row>
    <row r="314" spans="1:26">
      <c r="A314" s="84">
        <f>'Q.6 Rand()'!T312</f>
        <v>3</v>
      </c>
      <c r="B314" s="141">
        <f>'Q.6 Rand()'!U312</f>
        <v>51.1</v>
      </c>
      <c r="D314" s="23"/>
      <c r="E314" s="24"/>
      <c r="F314" s="22">
        <f t="shared" si="40"/>
        <v>-0.62032520325203233</v>
      </c>
      <c r="G314" s="22">
        <f t="shared" si="43"/>
        <v>16.669390514905139</v>
      </c>
      <c r="H314" s="18">
        <f t="shared" si="44"/>
        <v>-10.340443059246031</v>
      </c>
      <c r="I314" s="18">
        <f t="shared" si="45"/>
        <v>0.38480335778967523</v>
      </c>
      <c r="J314" s="24"/>
      <c r="K314" s="24"/>
      <c r="L314" s="19">
        <f t="shared" si="46"/>
        <v>37.045655295365634</v>
      </c>
      <c r="O314" s="9">
        <f t="shared" si="41"/>
        <v>14.054344704634367</v>
      </c>
      <c r="P314" s="10">
        <f t="shared" si="47"/>
        <v>197.52460507668408</v>
      </c>
      <c r="V314" s="10">
        <f t="shared" si="49"/>
        <v>0.32266484108870214</v>
      </c>
      <c r="W314" s="13">
        <f t="shared" si="42"/>
        <v>6.8384645898147163</v>
      </c>
      <c r="Z314" s="15">
        <f t="shared" si="48"/>
        <v>277.86858013840941</v>
      </c>
    </row>
    <row r="315" spans="1:26">
      <c r="A315" s="84">
        <f>'Q.6 Rand()'!T313</f>
        <v>3.8</v>
      </c>
      <c r="B315" s="141">
        <f>'Q.6 Rand()'!U313</f>
        <v>35.359400000000001</v>
      </c>
      <c r="D315" s="23"/>
      <c r="E315" s="24"/>
      <c r="F315" s="22">
        <f t="shared" si="40"/>
        <v>0.17967479674796749</v>
      </c>
      <c r="G315" s="22">
        <f t="shared" si="43"/>
        <v>0.92879051490513831</v>
      </c>
      <c r="H315" s="18">
        <f t="shared" si="44"/>
        <v>0.16688024698702081</v>
      </c>
      <c r="I315" s="18">
        <f t="shared" si="45"/>
        <v>3.2283032586423427E-2</v>
      </c>
      <c r="J315" s="24"/>
      <c r="K315" s="24"/>
      <c r="L315" s="19">
        <f t="shared" si="46"/>
        <v>33.673171576746441</v>
      </c>
      <c r="O315" s="9">
        <f t="shared" si="41"/>
        <v>1.68622842325356</v>
      </c>
      <c r="P315" s="10">
        <f t="shared" si="47"/>
        <v>2.8433662953881873</v>
      </c>
      <c r="V315" s="10">
        <f t="shared" si="49"/>
        <v>0.27503609989499739</v>
      </c>
      <c r="W315" s="13">
        <f t="shared" si="42"/>
        <v>0.57371218500323207</v>
      </c>
      <c r="Z315" s="15">
        <f t="shared" si="48"/>
        <v>0.86265182057775192</v>
      </c>
    </row>
    <row r="316" spans="1:26">
      <c r="A316" s="84">
        <f>'Q.6 Rand()'!T314</f>
        <v>2.9</v>
      </c>
      <c r="B316" s="141">
        <f>'Q.6 Rand()'!U314</f>
        <v>34.299999999999997</v>
      </c>
      <c r="D316" s="23"/>
      <c r="E316" s="24"/>
      <c r="F316" s="22">
        <f t="shared" si="40"/>
        <v>-0.72032520325203242</v>
      </c>
      <c r="G316" s="22">
        <f t="shared" si="43"/>
        <v>-0.13060948509486536</v>
      </c>
      <c r="H316" s="18">
        <f t="shared" si="44"/>
        <v>9.4081303897602192E-2</v>
      </c>
      <c r="I316" s="18">
        <f t="shared" si="45"/>
        <v>0.51886839844008181</v>
      </c>
      <c r="J316" s="24"/>
      <c r="K316" s="24"/>
      <c r="L316" s="19">
        <f t="shared" si="46"/>
        <v>37.467215760193035</v>
      </c>
      <c r="O316" s="9">
        <f t="shared" si="41"/>
        <v>-3.167215760193038</v>
      </c>
      <c r="P316" s="10">
        <f t="shared" si="47"/>
        <v>10.031255671615163</v>
      </c>
      <c r="V316" s="10">
        <f t="shared" si="49"/>
        <v>4.7688264598764685E-2</v>
      </c>
      <c r="W316" s="13">
        <f t="shared" si="42"/>
        <v>9.220977669965599</v>
      </c>
      <c r="Z316" s="15">
        <f t="shared" si="48"/>
        <v>1.7058837596745858E-2</v>
      </c>
    </row>
    <row r="317" spans="1:26">
      <c r="A317" s="84">
        <f>'Q.6 Rand()'!T315</f>
        <v>3</v>
      </c>
      <c r="B317" s="141">
        <f>'Q.6 Rand()'!U315</f>
        <v>33.6</v>
      </c>
      <c r="D317" s="23"/>
      <c r="E317" s="24"/>
      <c r="F317" s="22">
        <f t="shared" si="40"/>
        <v>-0.62032520325203233</v>
      </c>
      <c r="G317" s="22">
        <f t="shared" si="43"/>
        <v>-0.8306094850948611</v>
      </c>
      <c r="H317" s="18">
        <f t="shared" si="44"/>
        <v>0.51524799766453566</v>
      </c>
      <c r="I317" s="18">
        <f t="shared" si="45"/>
        <v>0.38480335778967523</v>
      </c>
      <c r="J317" s="24"/>
      <c r="K317" s="24"/>
      <c r="L317" s="19">
        <f t="shared" si="46"/>
        <v>37.045655295365634</v>
      </c>
      <c r="O317" s="9">
        <f t="shared" si="41"/>
        <v>-3.4456552953656328</v>
      </c>
      <c r="P317" s="10">
        <f t="shared" si="47"/>
        <v>11.872540414481225</v>
      </c>
      <c r="V317" s="10">
        <f t="shared" si="49"/>
        <v>9.233865190067167E-2</v>
      </c>
      <c r="W317" s="13">
        <f t="shared" si="42"/>
        <v>6.8384645898147163</v>
      </c>
      <c r="Z317" s="15">
        <f t="shared" si="48"/>
        <v>0.68991211672955033</v>
      </c>
    </row>
    <row r="318" spans="1:26">
      <c r="A318" s="84">
        <f>'Q.6 Rand()'!T316</f>
        <v>6.7</v>
      </c>
      <c r="B318" s="141">
        <f>'Q.6 Rand()'!U316</f>
        <v>24.2</v>
      </c>
      <c r="D318" s="23"/>
      <c r="E318" s="24"/>
      <c r="F318" s="22">
        <f t="shared" si="40"/>
        <v>3.0796747967479678</v>
      </c>
      <c r="G318" s="22">
        <f t="shared" si="43"/>
        <v>-10.230609485094863</v>
      </c>
      <c r="H318" s="18">
        <f t="shared" si="44"/>
        <v>-31.506950186617356</v>
      </c>
      <c r="I318" s="18">
        <f t="shared" si="45"/>
        <v>9.4843968537246379</v>
      </c>
      <c r="J318" s="24"/>
      <c r="K318" s="24"/>
      <c r="L318" s="19">
        <f t="shared" si="46"/>
        <v>21.447918096751877</v>
      </c>
      <c r="O318" s="9">
        <f t="shared" si="41"/>
        <v>2.7520819032481221</v>
      </c>
      <c r="P318" s="10">
        <f t="shared" si="47"/>
        <v>7.5739548021858063</v>
      </c>
      <c r="V318" s="10">
        <f t="shared" si="49"/>
        <v>0.10254926474302478</v>
      </c>
      <c r="W318" s="13">
        <f t="shared" si="42"/>
        <v>168.55027568495512</v>
      </c>
      <c r="Z318" s="15">
        <f t="shared" si="48"/>
        <v>104.66537043651299</v>
      </c>
    </row>
    <row r="319" spans="1:26">
      <c r="A319" s="84">
        <f>'Q.6 Rand()'!T317</f>
        <v>4.7</v>
      </c>
      <c r="B319" s="141">
        <f>'Q.6 Rand()'!U317</f>
        <v>28.0198</v>
      </c>
      <c r="D319" s="23"/>
      <c r="E319" s="24"/>
      <c r="F319" s="22">
        <f t="shared" si="40"/>
        <v>1.0796747967479678</v>
      </c>
      <c r="G319" s="22">
        <f t="shared" si="43"/>
        <v>-6.4108094850948625</v>
      </c>
      <c r="H319" s="18">
        <f t="shared" si="44"/>
        <v>-6.9215894278097396</v>
      </c>
      <c r="I319" s="18">
        <f t="shared" si="45"/>
        <v>1.1656976667327656</v>
      </c>
      <c r="J319" s="24"/>
      <c r="K319" s="24"/>
      <c r="L319" s="19">
        <f t="shared" si="46"/>
        <v>29.879127393299854</v>
      </c>
      <c r="O319" s="9">
        <f t="shared" si="41"/>
        <v>-1.8593273932998535</v>
      </c>
      <c r="P319" s="10">
        <f t="shared" si="47"/>
        <v>3.4570983554752281</v>
      </c>
      <c r="V319" s="10">
        <f t="shared" si="49"/>
        <v>0.11372239269620339</v>
      </c>
      <c r="W319" s="13">
        <f t="shared" si="42"/>
        <v>20.715989231930671</v>
      </c>
      <c r="Z319" s="15">
        <f t="shared" si="48"/>
        <v>41.098478254182254</v>
      </c>
    </row>
    <row r="320" spans="1:26">
      <c r="A320" s="84">
        <f>'Q.6 Rand()'!T318</f>
        <v>3</v>
      </c>
      <c r="B320" s="141">
        <f>'Q.6 Rand()'!U318</f>
        <v>35.540399999999998</v>
      </c>
      <c r="D320" s="23"/>
      <c r="E320" s="24"/>
      <c r="F320" s="22">
        <f t="shared" si="40"/>
        <v>-0.62032520325203233</v>
      </c>
      <c r="G320" s="22">
        <f t="shared" si="43"/>
        <v>1.1097905149051357</v>
      </c>
      <c r="H320" s="18">
        <f t="shared" si="44"/>
        <v>-0.68843102672570589</v>
      </c>
      <c r="I320" s="18">
        <f t="shared" si="45"/>
        <v>0.38480335778967523</v>
      </c>
      <c r="J320" s="24"/>
      <c r="K320" s="24"/>
      <c r="L320" s="19">
        <f t="shared" si="46"/>
        <v>37.045655295365634</v>
      </c>
      <c r="O320" s="9">
        <f t="shared" si="41"/>
        <v>-1.505255295365636</v>
      </c>
      <c r="P320" s="10">
        <f t="shared" si="47"/>
        <v>2.2657935042262878</v>
      </c>
      <c r="V320" s="10">
        <f t="shared" si="49"/>
        <v>6.6357625439862289E-2</v>
      </c>
      <c r="W320" s="13">
        <f t="shared" si="42"/>
        <v>6.8384645898147163</v>
      </c>
      <c r="Z320" s="15">
        <f t="shared" si="48"/>
        <v>1.2316349869734062</v>
      </c>
    </row>
    <row r="321" spans="1:26">
      <c r="A321" s="84">
        <f>'Q.6 Rand()'!T319</f>
        <v>4.5999999999999996</v>
      </c>
      <c r="B321" s="141">
        <f>'Q.6 Rand()'!U319</f>
        <v>28.4</v>
      </c>
      <c r="D321" s="23"/>
      <c r="E321" s="24"/>
      <c r="F321" s="22">
        <f t="shared" si="40"/>
        <v>0.97967479674796731</v>
      </c>
      <c r="G321" s="22">
        <f t="shared" si="43"/>
        <v>-6.0306094850948639</v>
      </c>
      <c r="H321" s="18">
        <f t="shared" si="44"/>
        <v>-5.908036121576675</v>
      </c>
      <c r="I321" s="18">
        <f t="shared" si="45"/>
        <v>0.95976270738317104</v>
      </c>
      <c r="J321" s="24"/>
      <c r="K321" s="24"/>
      <c r="L321" s="19">
        <f t="shared" si="46"/>
        <v>30.300687858127255</v>
      </c>
      <c r="O321" s="9">
        <f t="shared" si="41"/>
        <v>-1.9006878581272559</v>
      </c>
      <c r="P321" s="10">
        <f t="shared" si="47"/>
        <v>3.6126143340323758</v>
      </c>
      <c r="V321" s="10">
        <f t="shared" si="49"/>
        <v>4.2353358301134375E-2</v>
      </c>
      <c r="W321" s="13">
        <f t="shared" si="42"/>
        <v>17.056252644894773</v>
      </c>
      <c r="Z321" s="15">
        <f t="shared" si="48"/>
        <v>36.368250761716141</v>
      </c>
    </row>
    <row r="322" spans="1:26">
      <c r="A322" s="84">
        <f>'Q.6 Rand()'!T320</f>
        <v>3.5</v>
      </c>
      <c r="B322" s="141">
        <f>'Q.6 Rand()'!U320</f>
        <v>36.200000000000003</v>
      </c>
      <c r="D322" s="23"/>
      <c r="E322" s="24"/>
      <c r="F322" s="22">
        <f t="shared" si="40"/>
        <v>-0.12032520325203233</v>
      </c>
      <c r="G322" s="22">
        <f t="shared" si="43"/>
        <v>1.7693905149051403</v>
      </c>
      <c r="H322" s="18">
        <f t="shared" si="44"/>
        <v>-0.21290227333817915</v>
      </c>
      <c r="I322" s="18">
        <f t="shared" si="45"/>
        <v>1.4478154537642892E-2</v>
      </c>
      <c r="J322" s="24"/>
      <c r="K322" s="24"/>
      <c r="L322" s="19">
        <f t="shared" si="46"/>
        <v>34.937852971228637</v>
      </c>
      <c r="O322" s="9">
        <f t="shared" si="41"/>
        <v>1.2621470287713663</v>
      </c>
      <c r="P322" s="10">
        <f t="shared" si="47"/>
        <v>1.5930151222363882</v>
      </c>
      <c r="V322" s="10">
        <f t="shared" si="49"/>
        <v>6.6925628807297743E-2</v>
      </c>
      <c r="W322" s="13">
        <f t="shared" si="42"/>
        <v>0.25729595422514417</v>
      </c>
      <c r="Z322" s="15">
        <f t="shared" si="48"/>
        <v>3.1307427942362778</v>
      </c>
    </row>
    <row r="323" spans="1:26">
      <c r="A323" s="84">
        <f>'Q.6 Rand()'!T321</f>
        <v>6</v>
      </c>
      <c r="B323" s="141">
        <f>'Q.6 Rand()'!U321</f>
        <v>30.5</v>
      </c>
      <c r="D323" s="23"/>
      <c r="E323" s="24"/>
      <c r="F323" s="22">
        <f t="shared" si="40"/>
        <v>2.3796747967479677</v>
      </c>
      <c r="G323" s="22">
        <f t="shared" si="43"/>
        <v>-3.9306094850948625</v>
      </c>
      <c r="H323" s="18">
        <f t="shared" si="44"/>
        <v>-9.3535723275387515</v>
      </c>
      <c r="I323" s="18">
        <f t="shared" si="45"/>
        <v>5.662852138277481</v>
      </c>
      <c r="J323" s="24"/>
      <c r="K323" s="24"/>
      <c r="L323" s="19">
        <f t="shared" si="46"/>
        <v>24.39884135054367</v>
      </c>
      <c r="O323" s="9">
        <f t="shared" si="41"/>
        <v>6.1011586494563304</v>
      </c>
      <c r="P323" s="10">
        <f t="shared" si="47"/>
        <v>37.224136865835796</v>
      </c>
      <c r="V323" s="10">
        <f t="shared" si="49"/>
        <v>3.486594002130846E-2</v>
      </c>
      <c r="W323" s="13">
        <f t="shared" si="42"/>
        <v>100.63637190539671</v>
      </c>
      <c r="Z323" s="15">
        <f t="shared" si="48"/>
        <v>15.4496909243177</v>
      </c>
    </row>
    <row r="324" spans="1:26">
      <c r="A324" s="84">
        <f>'Q.6 Rand()'!T322</f>
        <v>2.5</v>
      </c>
      <c r="B324" s="141">
        <f>'Q.6 Rand()'!U322</f>
        <v>43.8</v>
      </c>
      <c r="D324" s="23"/>
      <c r="E324" s="24"/>
      <c r="F324" s="22">
        <f t="shared" si="40"/>
        <v>-1.1203252032520323</v>
      </c>
      <c r="G324" s="22">
        <f t="shared" si="43"/>
        <v>9.3693905149051346</v>
      </c>
      <c r="H324" s="18">
        <f t="shared" si="44"/>
        <v>-10.496764332958758</v>
      </c>
      <c r="I324" s="18">
        <f t="shared" si="45"/>
        <v>1.2551285610417076</v>
      </c>
      <c r="J324" s="24"/>
      <c r="K324" s="24"/>
      <c r="L324" s="19">
        <f t="shared" si="46"/>
        <v>39.153457619502632</v>
      </c>
      <c r="O324" s="9">
        <f t="shared" si="41"/>
        <v>4.6465423804973653</v>
      </c>
      <c r="P324" s="10">
        <f t="shared" si="47"/>
        <v>21.590356093758121</v>
      </c>
      <c r="V324" s="10">
        <f t="shared" si="49"/>
        <v>0.20003798850676494</v>
      </c>
      <c r="W324" s="13">
        <f t="shared" si="42"/>
        <v>22.305294500678947</v>
      </c>
      <c r="Z324" s="15">
        <f t="shared" si="48"/>
        <v>87.785478620794308</v>
      </c>
    </row>
    <row r="325" spans="1:26">
      <c r="A325" s="84">
        <f>'Q.6 Rand()'!T323</f>
        <v>3.5</v>
      </c>
      <c r="B325" s="141">
        <f>'Q.6 Rand()'!U323</f>
        <v>39.799999999999997</v>
      </c>
      <c r="D325" s="23"/>
      <c r="E325" s="24"/>
      <c r="F325" s="22">
        <f t="shared" ref="F325:F373" si="50">A325-$D$5</f>
        <v>-0.12032520325203233</v>
      </c>
      <c r="G325" s="22">
        <f t="shared" si="43"/>
        <v>5.3693905149051346</v>
      </c>
      <c r="H325" s="18">
        <f t="shared" si="44"/>
        <v>-0.64607300504549481</v>
      </c>
      <c r="I325" s="18">
        <f t="shared" si="45"/>
        <v>1.4478154537642892E-2</v>
      </c>
      <c r="J325" s="24"/>
      <c r="K325" s="24"/>
      <c r="L325" s="19">
        <f t="shared" si="46"/>
        <v>34.937852971228637</v>
      </c>
      <c r="O325" s="9">
        <f t="shared" ref="O325:O373" si="51">B325-L325</f>
        <v>4.8621470287713606</v>
      </c>
      <c r="P325" s="10">
        <f t="shared" si="47"/>
        <v>23.64047372939017</v>
      </c>
      <c r="V325" s="10">
        <f t="shared" si="49"/>
        <v>0.1060854424771088</v>
      </c>
      <c r="W325" s="13">
        <f t="shared" ref="W325:W373" si="52">(L325-$E$5)^2</f>
        <v>0.25729595422514417</v>
      </c>
      <c r="Z325" s="15">
        <f t="shared" si="48"/>
        <v>28.830354501553227</v>
      </c>
    </row>
    <row r="326" spans="1:26">
      <c r="A326" s="84">
        <f>'Q.6 Rand()'!T324</f>
        <v>6</v>
      </c>
      <c r="B326" s="141">
        <f>'Q.6 Rand()'!U324</f>
        <v>26.749500000000001</v>
      </c>
      <c r="D326" s="23"/>
      <c r="E326" s="24"/>
      <c r="F326" s="22">
        <f t="shared" si="50"/>
        <v>2.3796747967479677</v>
      </c>
      <c r="G326" s="22">
        <f t="shared" ref="G326:G373" si="53">B326-$E$5</f>
        <v>-7.6811094850948614</v>
      </c>
      <c r="H326" s="18">
        <f t="shared" ref="H326:H373" si="54">F326*G326</f>
        <v>-18.278542652742001</v>
      </c>
      <c r="I326" s="18">
        <f t="shared" ref="I326:I373" si="55">F326^2</f>
        <v>5.662852138277481</v>
      </c>
      <c r="J326" s="24"/>
      <c r="K326" s="24"/>
      <c r="L326" s="19">
        <f t="shared" ref="L326:L373" si="56">$K$5+$J$5*A326</f>
        <v>24.39884135054367</v>
      </c>
      <c r="O326" s="9">
        <f t="shared" si="51"/>
        <v>2.3506586494563315</v>
      </c>
      <c r="P326" s="10">
        <f t="shared" ref="P326:P373" si="57">O326^2</f>
        <v>5.5255960862638647</v>
      </c>
      <c r="V326" s="10">
        <f t="shared" si="49"/>
        <v>0.1221644982103357</v>
      </c>
      <c r="W326" s="13">
        <f t="shared" si="52"/>
        <v>100.63637190539671</v>
      </c>
      <c r="Z326" s="15">
        <f t="shared" ref="Z326:Z373" si="58">(B326-$E$5)^2</f>
        <v>58.999442922014246</v>
      </c>
    </row>
    <row r="327" spans="1:26">
      <c r="A327" s="84">
        <f>'Q.6 Rand()'!T325</f>
        <v>2.4</v>
      </c>
      <c r="B327" s="141">
        <f>'Q.6 Rand()'!U325</f>
        <v>38.700000000000003</v>
      </c>
      <c r="D327" s="23"/>
      <c r="E327" s="24"/>
      <c r="F327" s="22">
        <f t="shared" si="50"/>
        <v>-1.2203252032520324</v>
      </c>
      <c r="G327" s="22">
        <f t="shared" si="53"/>
        <v>4.2693905149051403</v>
      </c>
      <c r="H327" s="18">
        <f t="shared" si="54"/>
        <v>-5.210044847863915</v>
      </c>
      <c r="I327" s="18">
        <f t="shared" si="55"/>
        <v>1.4891936016921143</v>
      </c>
      <c r="J327" s="24"/>
      <c r="K327" s="24"/>
      <c r="L327" s="19">
        <f t="shared" si="56"/>
        <v>39.575018084330026</v>
      </c>
      <c r="O327" s="9">
        <f t="shared" si="51"/>
        <v>-0.87501808433002282</v>
      </c>
      <c r="P327" s="10">
        <f t="shared" si="57"/>
        <v>0.76565664790458288</v>
      </c>
      <c r="V327" s="10">
        <f t="shared" ref="V327:V373" si="59">ABS(O326) / B326</f>
        <v>8.7876732255045192E-2</v>
      </c>
      <c r="W327" s="13">
        <f t="shared" si="52"/>
        <v>26.464939835884692</v>
      </c>
      <c r="Z327" s="15">
        <f t="shared" si="58"/>
        <v>18.227695368761978</v>
      </c>
    </row>
    <row r="328" spans="1:26">
      <c r="A328" s="84">
        <f>'Q.6 Rand()'!T326</f>
        <v>2.4</v>
      </c>
      <c r="B328" s="141">
        <f>'Q.6 Rand()'!U326</f>
        <v>41.695999999999998</v>
      </c>
      <c r="D328" s="23"/>
      <c r="E328" s="24"/>
      <c r="F328" s="22">
        <f t="shared" si="50"/>
        <v>-1.2203252032520324</v>
      </c>
      <c r="G328" s="22">
        <f t="shared" si="53"/>
        <v>7.2653905149051354</v>
      </c>
      <c r="H328" s="18">
        <f t="shared" si="54"/>
        <v>-8.866139156806998</v>
      </c>
      <c r="I328" s="18">
        <f t="shared" si="55"/>
        <v>1.4891936016921143</v>
      </c>
      <c r="J328" s="24"/>
      <c r="K328" s="24"/>
      <c r="L328" s="19">
        <f t="shared" si="56"/>
        <v>39.575018084330026</v>
      </c>
      <c r="O328" s="9">
        <f t="shared" si="51"/>
        <v>2.1209819156699723</v>
      </c>
      <c r="P328" s="10">
        <f t="shared" si="57"/>
        <v>4.4985642865990654</v>
      </c>
      <c r="V328" s="10">
        <f t="shared" si="59"/>
        <v>2.2610286416796455E-2</v>
      </c>
      <c r="W328" s="13">
        <f t="shared" si="52"/>
        <v>26.464939835884692</v>
      </c>
      <c r="Z328" s="15">
        <f t="shared" si="58"/>
        <v>52.785899334073505</v>
      </c>
    </row>
    <row r="329" spans="1:26">
      <c r="A329" s="84">
        <f>'Q.6 Rand()'!T327</f>
        <v>4.4000000000000004</v>
      </c>
      <c r="B329" s="141">
        <f>'Q.6 Rand()'!U327</f>
        <v>23.152100000000001</v>
      </c>
      <c r="D329" s="23"/>
      <c r="E329" s="24"/>
      <c r="F329" s="22">
        <f t="shared" si="50"/>
        <v>0.77967479674796802</v>
      </c>
      <c r="G329" s="22">
        <f t="shared" si="53"/>
        <v>-11.278509485094862</v>
      </c>
      <c r="H329" s="18">
        <f t="shared" si="54"/>
        <v>-8.7935695904113658</v>
      </c>
      <c r="I329" s="18">
        <f t="shared" si="55"/>
        <v>0.60789278868398522</v>
      </c>
      <c r="J329" s="24"/>
      <c r="K329" s="24"/>
      <c r="L329" s="19">
        <f t="shared" si="56"/>
        <v>31.143808787782049</v>
      </c>
      <c r="O329" s="9">
        <f t="shared" si="51"/>
        <v>-7.9917087877820485</v>
      </c>
      <c r="P329" s="10">
        <f t="shared" si="57"/>
        <v>63.867409348712819</v>
      </c>
      <c r="V329" s="10">
        <f t="shared" si="59"/>
        <v>5.0867755076505476E-2</v>
      </c>
      <c r="W329" s="13">
        <f t="shared" si="52"/>
        <v>10.803058823855995</v>
      </c>
      <c r="Z329" s="15">
        <f t="shared" si="58"/>
        <v>127.20477620537476</v>
      </c>
    </row>
    <row r="330" spans="1:26">
      <c r="A330" s="84">
        <f>'Q.6 Rand()'!T328</f>
        <v>2.4</v>
      </c>
      <c r="B330" s="141">
        <f>'Q.6 Rand()'!U328</f>
        <v>43.104300000000002</v>
      </c>
      <c r="D330" s="23"/>
      <c r="E330" s="24"/>
      <c r="F330" s="22">
        <f t="shared" si="50"/>
        <v>-1.2203252032520324</v>
      </c>
      <c r="G330" s="22">
        <f t="shared" si="53"/>
        <v>8.6736905149051395</v>
      </c>
      <c r="H330" s="18">
        <f t="shared" si="54"/>
        <v>-10.58472314054684</v>
      </c>
      <c r="I330" s="18">
        <f t="shared" si="55"/>
        <v>1.4891936016921143</v>
      </c>
      <c r="J330" s="24"/>
      <c r="K330" s="24"/>
      <c r="L330" s="19">
        <f t="shared" si="56"/>
        <v>39.575018084330026</v>
      </c>
      <c r="O330" s="9">
        <f t="shared" si="51"/>
        <v>3.5292819156699764</v>
      </c>
      <c r="P330" s="10">
        <f t="shared" si="57"/>
        <v>12.455830840275139</v>
      </c>
      <c r="V330" s="10">
        <f t="shared" si="59"/>
        <v>0.3451828900092021</v>
      </c>
      <c r="W330" s="13">
        <f t="shared" si="52"/>
        <v>26.464939835884692</v>
      </c>
      <c r="Z330" s="15">
        <f t="shared" si="58"/>
        <v>75.23290714835538</v>
      </c>
    </row>
    <row r="331" spans="1:26">
      <c r="A331" s="84">
        <f>'Q.6 Rand()'!T329</f>
        <v>4</v>
      </c>
      <c r="B331" s="141">
        <f>'Q.6 Rand()'!U329</f>
        <v>35.200000000000003</v>
      </c>
      <c r="D331" s="23"/>
      <c r="E331" s="24"/>
      <c r="F331" s="22">
        <f t="shared" si="50"/>
        <v>0.37967479674796767</v>
      </c>
      <c r="G331" s="22">
        <f t="shared" si="53"/>
        <v>0.76939051490514032</v>
      </c>
      <c r="H331" s="18">
        <f t="shared" si="54"/>
        <v>0.29211818736642337</v>
      </c>
      <c r="I331" s="18">
        <f t="shared" si="55"/>
        <v>0.14415295128561056</v>
      </c>
      <c r="J331" s="24"/>
      <c r="K331" s="24"/>
      <c r="L331" s="19">
        <f t="shared" si="56"/>
        <v>32.830050647091646</v>
      </c>
      <c r="O331" s="9">
        <f t="shared" si="51"/>
        <v>2.3699493529083568</v>
      </c>
      <c r="P331" s="10">
        <f t="shared" si="57"/>
        <v>5.6166599353507394</v>
      </c>
      <c r="V331" s="10">
        <f t="shared" si="59"/>
        <v>8.1877722539746067E-2</v>
      </c>
      <c r="W331" s="13">
        <f t="shared" si="52"/>
        <v>2.5617885939102067</v>
      </c>
      <c r="Z331" s="15">
        <f t="shared" si="58"/>
        <v>0.59196176442599691</v>
      </c>
    </row>
    <row r="332" spans="1:26">
      <c r="A332" s="84">
        <f>'Q.6 Rand()'!T330</f>
        <v>3.5</v>
      </c>
      <c r="B332" s="141">
        <f>'Q.6 Rand()'!U330</f>
        <v>33.299999999999997</v>
      </c>
      <c r="D332" s="23"/>
      <c r="E332" s="24"/>
      <c r="F332" s="22">
        <f t="shared" si="50"/>
        <v>-0.12032520325203233</v>
      </c>
      <c r="G332" s="22">
        <f t="shared" si="53"/>
        <v>-1.1306094850948654</v>
      </c>
      <c r="H332" s="18">
        <f t="shared" si="54"/>
        <v>0.13604081609271529</v>
      </c>
      <c r="I332" s="18">
        <f t="shared" si="55"/>
        <v>1.4478154537642892E-2</v>
      </c>
      <c r="J332" s="24"/>
      <c r="K332" s="24"/>
      <c r="L332" s="19">
        <f t="shared" si="56"/>
        <v>34.937852971228637</v>
      </c>
      <c r="O332" s="9">
        <f t="shared" si="51"/>
        <v>-1.6378529712286394</v>
      </c>
      <c r="P332" s="10">
        <f t="shared" si="57"/>
        <v>2.682562355362482</v>
      </c>
      <c r="V332" s="10">
        <f t="shared" si="59"/>
        <v>6.7328106616714678E-2</v>
      </c>
      <c r="W332" s="13">
        <f t="shared" si="52"/>
        <v>0.25729595422514417</v>
      </c>
      <c r="Z332" s="15">
        <f t="shared" si="58"/>
        <v>1.2782778077864765</v>
      </c>
    </row>
    <row r="333" spans="1:26">
      <c r="A333" s="84">
        <f>'Q.6 Rand()'!T331</f>
        <v>2</v>
      </c>
      <c r="B333" s="141">
        <f>'Q.6 Rand()'!U331</f>
        <v>39.7256</v>
      </c>
      <c r="D333" s="23"/>
      <c r="E333" s="24"/>
      <c r="F333" s="22">
        <f t="shared" si="50"/>
        <v>-1.6203252032520323</v>
      </c>
      <c r="G333" s="22">
        <f t="shared" si="53"/>
        <v>5.2949905149051375</v>
      </c>
      <c r="H333" s="18">
        <f t="shared" si="54"/>
        <v>-8.5796065822812508</v>
      </c>
      <c r="I333" s="18">
        <f t="shared" si="55"/>
        <v>2.6254537642937397</v>
      </c>
      <c r="J333" s="24"/>
      <c r="K333" s="24"/>
      <c r="L333" s="19">
        <f t="shared" si="56"/>
        <v>41.261259943639622</v>
      </c>
      <c r="O333" s="9">
        <f t="shared" si="51"/>
        <v>-1.5356599436396223</v>
      </c>
      <c r="P333" s="10">
        <f t="shared" si="57"/>
        <v>2.3582514624992479</v>
      </c>
      <c r="V333" s="10">
        <f t="shared" si="59"/>
        <v>4.9184773910769954E-2</v>
      </c>
      <c r="W333" s="13">
        <f t="shared" si="52"/>
        <v>46.657785686817739</v>
      </c>
      <c r="Z333" s="15">
        <f t="shared" si="58"/>
        <v>28.036924552935375</v>
      </c>
    </row>
    <row r="334" spans="1:26">
      <c r="A334" s="84">
        <f>'Q.6 Rand()'!T332</f>
        <v>3.7</v>
      </c>
      <c r="B334" s="141">
        <f>'Q.6 Rand()'!U332</f>
        <v>37.064999999999998</v>
      </c>
      <c r="D334" s="23"/>
      <c r="E334" s="24"/>
      <c r="F334" s="22">
        <f t="shared" si="50"/>
        <v>7.9674796747967846E-2</v>
      </c>
      <c r="G334" s="22">
        <f t="shared" si="53"/>
        <v>2.6343905149051352</v>
      </c>
      <c r="H334" s="18">
        <f t="shared" si="54"/>
        <v>0.209894528829841</v>
      </c>
      <c r="I334" s="18">
        <f t="shared" si="55"/>
        <v>6.348073236829988E-3</v>
      </c>
      <c r="J334" s="24"/>
      <c r="K334" s="24"/>
      <c r="L334" s="19">
        <f t="shared" si="56"/>
        <v>34.094732041573842</v>
      </c>
      <c r="O334" s="9">
        <f t="shared" si="51"/>
        <v>2.970267958426156</v>
      </c>
      <c r="P334" s="10">
        <f t="shared" si="57"/>
        <v>8.8224917448530853</v>
      </c>
      <c r="V334" s="10">
        <f t="shared" si="59"/>
        <v>3.8656683439384734E-2</v>
      </c>
      <c r="W334" s="13">
        <f t="shared" si="52"/>
        <v>0.1128136570662165</v>
      </c>
      <c r="Z334" s="15">
        <f t="shared" si="58"/>
        <v>6.9400133850221435</v>
      </c>
    </row>
    <row r="335" spans="1:26">
      <c r="A335" s="84">
        <f>'Q.6 Rand()'!T333</f>
        <v>2.5</v>
      </c>
      <c r="B335" s="141">
        <f>'Q.6 Rand()'!U333</f>
        <v>44.2</v>
      </c>
      <c r="D335" s="23"/>
      <c r="E335" s="24"/>
      <c r="F335" s="22">
        <f t="shared" si="50"/>
        <v>-1.1203252032520323</v>
      </c>
      <c r="G335" s="22">
        <f t="shared" si="53"/>
        <v>9.7693905149051403</v>
      </c>
      <c r="H335" s="18">
        <f t="shared" si="54"/>
        <v>-10.944894414259577</v>
      </c>
      <c r="I335" s="18">
        <f t="shared" si="55"/>
        <v>1.2551285610417076</v>
      </c>
      <c r="J335" s="24"/>
      <c r="K335" s="24"/>
      <c r="L335" s="19">
        <f t="shared" si="56"/>
        <v>39.153457619502632</v>
      </c>
      <c r="O335" s="9">
        <f t="shared" si="51"/>
        <v>5.046542380497371</v>
      </c>
      <c r="P335" s="10">
        <f t="shared" si="57"/>
        <v>25.467589998156072</v>
      </c>
      <c r="V335" s="10">
        <f t="shared" si="59"/>
        <v>8.0136731645114159E-2</v>
      </c>
      <c r="W335" s="13">
        <f t="shared" si="52"/>
        <v>22.305294500678947</v>
      </c>
      <c r="Z335" s="15">
        <f t="shared" si="58"/>
        <v>95.440991032718529</v>
      </c>
    </row>
    <row r="336" spans="1:26">
      <c r="A336" s="84">
        <f>'Q.6 Rand()'!T334</f>
        <v>3.6</v>
      </c>
      <c r="B336" s="141">
        <f>'Q.6 Rand()'!U334</f>
        <v>35.242699999999999</v>
      </c>
      <c r="D336" s="23"/>
      <c r="E336" s="24"/>
      <c r="F336" s="22">
        <f t="shared" si="50"/>
        <v>-2.0325203252032242E-2</v>
      </c>
      <c r="G336" s="22">
        <f t="shared" si="53"/>
        <v>0.81209051490513673</v>
      </c>
      <c r="H336" s="18">
        <f t="shared" si="54"/>
        <v>-1.6505904774494422E-2</v>
      </c>
      <c r="I336" s="18">
        <f t="shared" si="55"/>
        <v>4.1311388723642203E-4</v>
      </c>
      <c r="J336" s="24"/>
      <c r="K336" s="24"/>
      <c r="L336" s="19">
        <f t="shared" si="56"/>
        <v>34.516292506401243</v>
      </c>
      <c r="O336" s="9">
        <f t="shared" si="51"/>
        <v>0.72640749359875656</v>
      </c>
      <c r="P336" s="10">
        <f t="shared" si="57"/>
        <v>0.52766784675642753</v>
      </c>
      <c r="V336" s="10">
        <f t="shared" si="59"/>
        <v>0.11417516697957852</v>
      </c>
      <c r="W336" s="13">
        <f t="shared" si="52"/>
        <v>7.3415801401895981E-3</v>
      </c>
      <c r="Z336" s="15">
        <f t="shared" si="58"/>
        <v>0.65949100439889008</v>
      </c>
    </row>
    <row r="337" spans="1:26">
      <c r="A337" s="84">
        <f>'Q.6 Rand()'!T335</f>
        <v>3.2</v>
      </c>
      <c r="B337" s="141">
        <f>'Q.6 Rand()'!U335</f>
        <v>32.274700000000003</v>
      </c>
      <c r="D337" s="23"/>
      <c r="E337" s="24"/>
      <c r="F337" s="22">
        <f t="shared" si="50"/>
        <v>-0.42032520325203215</v>
      </c>
      <c r="G337" s="22">
        <f t="shared" si="53"/>
        <v>-2.1559094850948597</v>
      </c>
      <c r="H337" s="18">
        <f t="shared" si="54"/>
        <v>0.9061830925154809</v>
      </c>
      <c r="I337" s="18">
        <f t="shared" si="55"/>
        <v>0.17667327648886214</v>
      </c>
      <c r="J337" s="24"/>
      <c r="K337" s="24"/>
      <c r="L337" s="19">
        <f t="shared" si="56"/>
        <v>36.202534365710832</v>
      </c>
      <c r="O337" s="9">
        <f t="shared" si="51"/>
        <v>-3.9278343657108294</v>
      </c>
      <c r="P337" s="10">
        <f t="shared" si="57"/>
        <v>15.427882804458994</v>
      </c>
      <c r="V337" s="10">
        <f t="shared" si="59"/>
        <v>2.0611573278970015E-2</v>
      </c>
      <c r="W337" s="13">
        <f t="shared" si="52"/>
        <v>3.1397177825459188</v>
      </c>
      <c r="Z337" s="15">
        <f t="shared" si="58"/>
        <v>4.6479457079219832</v>
      </c>
    </row>
    <row r="338" spans="1:26">
      <c r="A338" s="84">
        <f>'Q.6 Rand()'!T336</f>
        <v>1.6</v>
      </c>
      <c r="B338" s="141">
        <f>'Q.6 Rand()'!U336</f>
        <v>48.9</v>
      </c>
      <c r="D338" s="23"/>
      <c r="E338" s="24"/>
      <c r="F338" s="22">
        <f t="shared" si="50"/>
        <v>-2.0203252032520322</v>
      </c>
      <c r="G338" s="22">
        <f t="shared" si="53"/>
        <v>14.469390514905136</v>
      </c>
      <c r="H338" s="18">
        <f t="shared" si="54"/>
        <v>-29.232874332958747</v>
      </c>
      <c r="I338" s="18">
        <f t="shared" si="55"/>
        <v>4.0817139268953655</v>
      </c>
      <c r="J338" s="24"/>
      <c r="K338" s="24"/>
      <c r="L338" s="19">
        <f t="shared" si="56"/>
        <v>42.947501802949219</v>
      </c>
      <c r="O338" s="9">
        <f t="shared" si="51"/>
        <v>5.9524981970507795</v>
      </c>
      <c r="P338" s="10">
        <f t="shared" si="57"/>
        <v>35.432234785892781</v>
      </c>
      <c r="V338" s="10">
        <f t="shared" si="59"/>
        <v>0.12170010459309705</v>
      </c>
      <c r="W338" s="13">
        <f t="shared" si="52"/>
        <v>72.537454753926554</v>
      </c>
      <c r="Z338" s="15">
        <f t="shared" si="58"/>
        <v>209.36326187282671</v>
      </c>
    </row>
    <row r="339" spans="1:26">
      <c r="A339" s="84">
        <f>'Q.6 Rand()'!T337</f>
        <v>6.2</v>
      </c>
      <c r="B339" s="141">
        <f>'Q.6 Rand()'!U337</f>
        <v>25.799900000000001</v>
      </c>
      <c r="D339" s="23"/>
      <c r="E339" s="24"/>
      <c r="F339" s="22">
        <f t="shared" si="50"/>
        <v>2.5796747967479678</v>
      </c>
      <c r="G339" s="22">
        <f t="shared" si="53"/>
        <v>-8.6307094850948616</v>
      </c>
      <c r="H339" s="18">
        <f t="shared" si="54"/>
        <v>-22.264423736752846</v>
      </c>
      <c r="I339" s="18">
        <f t="shared" si="55"/>
        <v>6.6547220569766692</v>
      </c>
      <c r="J339" s="24"/>
      <c r="K339" s="24"/>
      <c r="L339" s="19">
        <f t="shared" si="56"/>
        <v>23.555720420888871</v>
      </c>
      <c r="O339" s="9">
        <f t="shared" si="51"/>
        <v>2.2441795791111296</v>
      </c>
      <c r="P339" s="10">
        <f t="shared" si="57"/>
        <v>5.0363419832994074</v>
      </c>
      <c r="V339" s="10">
        <f t="shared" si="59"/>
        <v>0.121727979489791</v>
      </c>
      <c r="W339" s="13">
        <f t="shared" si="52"/>
        <v>118.26321215878706</v>
      </c>
      <c r="Z339" s="15">
        <f t="shared" si="58"/>
        <v>74.489146216106406</v>
      </c>
    </row>
    <row r="340" spans="1:26">
      <c r="A340" s="84">
        <f>'Q.6 Rand()'!T338</f>
        <v>3</v>
      </c>
      <c r="B340" s="141">
        <f>'Q.6 Rand()'!U338</f>
        <v>39.710299999999997</v>
      </c>
      <c r="D340" s="23"/>
      <c r="E340" s="24"/>
      <c r="F340" s="22">
        <f t="shared" si="50"/>
        <v>-0.62032520325203233</v>
      </c>
      <c r="G340" s="22">
        <f t="shared" si="53"/>
        <v>5.2796905149051341</v>
      </c>
      <c r="H340" s="18">
        <f t="shared" si="54"/>
        <v>-3.2751250917663546</v>
      </c>
      <c r="I340" s="18">
        <f t="shared" si="55"/>
        <v>0.38480335778967523</v>
      </c>
      <c r="J340" s="24"/>
      <c r="K340" s="24"/>
      <c r="L340" s="19">
        <f t="shared" si="56"/>
        <v>37.045655295365634</v>
      </c>
      <c r="O340" s="9">
        <f t="shared" si="51"/>
        <v>2.6646447046343624</v>
      </c>
      <c r="P340" s="10">
        <f t="shared" si="57"/>
        <v>7.1003314019359483</v>
      </c>
      <c r="V340" s="10">
        <f t="shared" si="59"/>
        <v>8.6984041764159151E-2</v>
      </c>
      <c r="W340" s="13">
        <f t="shared" si="52"/>
        <v>6.8384645898147163</v>
      </c>
      <c r="Z340" s="15">
        <f t="shared" si="58"/>
        <v>27.87513193317924</v>
      </c>
    </row>
    <row r="341" spans="1:26">
      <c r="A341" s="84">
        <f>'Q.6 Rand()'!T339</f>
        <v>3.7</v>
      </c>
      <c r="B341" s="141">
        <f>'Q.6 Rand()'!U339</f>
        <v>29.799900000000001</v>
      </c>
      <c r="D341" s="23"/>
      <c r="E341" s="24"/>
      <c r="F341" s="22">
        <f t="shared" si="50"/>
        <v>7.9674796747967846E-2</v>
      </c>
      <c r="G341" s="22">
        <f t="shared" si="53"/>
        <v>-4.6307094850948616</v>
      </c>
      <c r="H341" s="18">
        <f t="shared" si="54"/>
        <v>-0.36895083702381992</v>
      </c>
      <c r="I341" s="18">
        <f t="shared" si="55"/>
        <v>6.348073236829988E-3</v>
      </c>
      <c r="J341" s="24"/>
      <c r="K341" s="24"/>
      <c r="L341" s="19">
        <f t="shared" si="56"/>
        <v>34.094732041573842</v>
      </c>
      <c r="O341" s="9">
        <f t="shared" si="51"/>
        <v>-4.2948320415738408</v>
      </c>
      <c r="P341" s="10">
        <f t="shared" si="57"/>
        <v>18.445582265329325</v>
      </c>
      <c r="V341" s="10">
        <f t="shared" si="59"/>
        <v>6.7102104608486021E-2</v>
      </c>
      <c r="W341" s="13">
        <f t="shared" si="52"/>
        <v>0.1128136570662165</v>
      </c>
      <c r="Z341" s="15">
        <f t="shared" si="58"/>
        <v>21.443470335347516</v>
      </c>
    </row>
    <row r="342" spans="1:26">
      <c r="A342" s="84">
        <f>'Q.6 Rand()'!T340</f>
        <v>3.6</v>
      </c>
      <c r="B342" s="141">
        <f>'Q.6 Rand()'!U340</f>
        <v>34.9</v>
      </c>
      <c r="D342" s="23"/>
      <c r="E342" s="24"/>
      <c r="F342" s="22">
        <f t="shared" si="50"/>
        <v>-2.0325203252032242E-2</v>
      </c>
      <c r="G342" s="22">
        <f t="shared" si="53"/>
        <v>0.46939051490513606</v>
      </c>
      <c r="H342" s="18">
        <f t="shared" si="54"/>
        <v>-9.5404576200229605E-3</v>
      </c>
      <c r="I342" s="18">
        <f t="shared" si="55"/>
        <v>4.1311388723642203E-4</v>
      </c>
      <c r="J342" s="24"/>
      <c r="K342" s="24"/>
      <c r="L342" s="19">
        <f t="shared" si="56"/>
        <v>34.516292506401243</v>
      </c>
      <c r="O342" s="9">
        <f t="shared" si="51"/>
        <v>0.38370749359875589</v>
      </c>
      <c r="P342" s="10">
        <f t="shared" si="57"/>
        <v>0.14723144064383928</v>
      </c>
      <c r="V342" s="10">
        <f t="shared" si="59"/>
        <v>0.1441223642218209</v>
      </c>
      <c r="W342" s="13">
        <f t="shared" si="52"/>
        <v>7.3415801401895981E-3</v>
      </c>
      <c r="Z342" s="15">
        <f t="shared" si="58"/>
        <v>0.22032745548290875</v>
      </c>
    </row>
    <row r="343" spans="1:26">
      <c r="A343" s="84">
        <f>'Q.6 Rand()'!T341</f>
        <v>4.5999999999999996</v>
      </c>
      <c r="B343" s="141">
        <f>'Q.6 Rand()'!U341</f>
        <v>31.9</v>
      </c>
      <c r="D343" s="23"/>
      <c r="E343" s="24"/>
      <c r="F343" s="22">
        <f t="shared" si="50"/>
        <v>0.97967479674796731</v>
      </c>
      <c r="G343" s="22">
        <f t="shared" si="53"/>
        <v>-2.5306094850948639</v>
      </c>
      <c r="H343" s="18">
        <f t="shared" si="54"/>
        <v>-2.479174332958789</v>
      </c>
      <c r="I343" s="18">
        <f t="shared" si="55"/>
        <v>0.95976270738317104</v>
      </c>
      <c r="J343" s="24"/>
      <c r="K343" s="24"/>
      <c r="L343" s="19">
        <f t="shared" si="56"/>
        <v>30.300687858127255</v>
      </c>
      <c r="O343" s="9">
        <f t="shared" si="51"/>
        <v>1.5993121418727441</v>
      </c>
      <c r="P343" s="10">
        <f t="shared" si="57"/>
        <v>2.5577993271415842</v>
      </c>
      <c r="V343" s="10">
        <f t="shared" si="59"/>
        <v>1.0994484057270942E-2</v>
      </c>
      <c r="W343" s="13">
        <f t="shared" si="52"/>
        <v>17.056252644894773</v>
      </c>
      <c r="Z343" s="15">
        <f t="shared" si="58"/>
        <v>6.4039843660520921</v>
      </c>
    </row>
    <row r="344" spans="1:26">
      <c r="A344" s="84">
        <f>'Q.6 Rand()'!T342</f>
        <v>3.8</v>
      </c>
      <c r="B344" s="141">
        <f>'Q.6 Rand()'!U342</f>
        <v>29.2986</v>
      </c>
      <c r="D344" s="23"/>
      <c r="E344" s="24"/>
      <c r="F344" s="22">
        <f t="shared" si="50"/>
        <v>0.17967479674796749</v>
      </c>
      <c r="G344" s="22">
        <f t="shared" si="53"/>
        <v>-5.1320094850948621</v>
      </c>
      <c r="H344" s="18">
        <f t="shared" si="54"/>
        <v>-0.9220927611430606</v>
      </c>
      <c r="I344" s="18">
        <f t="shared" si="55"/>
        <v>3.2283032586423427E-2</v>
      </c>
      <c r="J344" s="24"/>
      <c r="K344" s="24"/>
      <c r="L344" s="19">
        <f t="shared" si="56"/>
        <v>33.673171576746441</v>
      </c>
      <c r="O344" s="9">
        <f t="shared" si="51"/>
        <v>-4.3745715767464404</v>
      </c>
      <c r="P344" s="10">
        <f t="shared" si="57"/>
        <v>19.136876480077838</v>
      </c>
      <c r="V344" s="10">
        <f t="shared" si="59"/>
        <v>5.0135176861214548E-2</v>
      </c>
      <c r="W344" s="13">
        <f t="shared" si="52"/>
        <v>0.57371218500323207</v>
      </c>
      <c r="Z344" s="15">
        <f t="shared" si="58"/>
        <v>26.337521355103632</v>
      </c>
    </row>
    <row r="345" spans="1:26">
      <c r="A345" s="84">
        <f>'Q.6 Rand()'!T343</f>
        <v>2.4</v>
      </c>
      <c r="B345" s="141">
        <f>'Q.6 Rand()'!U343</f>
        <v>34.251300000000001</v>
      </c>
      <c r="D345" s="23"/>
      <c r="E345" s="24"/>
      <c r="F345" s="22">
        <f t="shared" si="50"/>
        <v>-1.2203252032520324</v>
      </c>
      <c r="G345" s="22">
        <f t="shared" si="53"/>
        <v>-0.179309485094862</v>
      </c>
      <c r="H345" s="18">
        <f t="shared" si="54"/>
        <v>0.21881588384340475</v>
      </c>
      <c r="I345" s="18">
        <f t="shared" si="55"/>
        <v>1.4891936016921143</v>
      </c>
      <c r="J345" s="24"/>
      <c r="K345" s="24"/>
      <c r="L345" s="19">
        <f t="shared" si="56"/>
        <v>39.575018084330026</v>
      </c>
      <c r="O345" s="9">
        <f t="shared" si="51"/>
        <v>-5.3237180843300251</v>
      </c>
      <c r="P345" s="10">
        <f t="shared" si="57"/>
        <v>28.341974241422552</v>
      </c>
      <c r="V345" s="10">
        <f t="shared" si="59"/>
        <v>0.1493099184516134</v>
      </c>
      <c r="W345" s="13">
        <f t="shared" si="52"/>
        <v>26.464939835884692</v>
      </c>
      <c r="Z345" s="15">
        <f t="shared" si="58"/>
        <v>3.2151891444984537E-2</v>
      </c>
    </row>
    <row r="346" spans="1:26">
      <c r="A346" s="84">
        <f>'Q.6 Rand()'!T344</f>
        <v>5.7</v>
      </c>
      <c r="B346" s="141">
        <f>'Q.6 Rand()'!U344</f>
        <v>21.3</v>
      </c>
      <c r="D346" s="23"/>
      <c r="E346" s="24"/>
      <c r="F346" s="22">
        <f t="shared" si="50"/>
        <v>2.0796747967479678</v>
      </c>
      <c r="G346" s="22">
        <f t="shared" si="53"/>
        <v>-13.130609485094862</v>
      </c>
      <c r="H346" s="18">
        <f t="shared" si="54"/>
        <v>-27.307397612091595</v>
      </c>
      <c r="I346" s="18">
        <f t="shared" si="55"/>
        <v>4.3250472602287013</v>
      </c>
      <c r="J346" s="24"/>
      <c r="K346" s="24"/>
      <c r="L346" s="19">
        <f t="shared" si="56"/>
        <v>25.663522745025865</v>
      </c>
      <c r="O346" s="9">
        <f t="shared" si="51"/>
        <v>-4.3635227450258647</v>
      </c>
      <c r="P346" s="10">
        <f t="shared" si="57"/>
        <v>19.040330746358059</v>
      </c>
      <c r="V346" s="10">
        <f t="shared" si="59"/>
        <v>0.15543112478446147</v>
      </c>
      <c r="W346" s="13">
        <f t="shared" si="52"/>
        <v>76.86180990789363</v>
      </c>
      <c r="Z346" s="15">
        <f t="shared" si="58"/>
        <v>172.41290545006316</v>
      </c>
    </row>
    <row r="347" spans="1:26">
      <c r="A347" s="84">
        <f>'Q.6 Rand()'!T345</f>
        <v>2</v>
      </c>
      <c r="B347" s="141">
        <f>'Q.6 Rand()'!U345</f>
        <v>38.870199999999997</v>
      </c>
      <c r="D347" s="23"/>
      <c r="E347" s="24"/>
      <c r="F347" s="22">
        <f t="shared" si="50"/>
        <v>-1.6203252032520323</v>
      </c>
      <c r="G347" s="22">
        <f t="shared" si="53"/>
        <v>4.4395905149051345</v>
      </c>
      <c r="H347" s="18">
        <f t="shared" si="54"/>
        <v>-7.1935804034194568</v>
      </c>
      <c r="I347" s="18">
        <f t="shared" si="55"/>
        <v>2.6254537642937397</v>
      </c>
      <c r="J347" s="24"/>
      <c r="K347" s="24"/>
      <c r="L347" s="19">
        <f t="shared" si="56"/>
        <v>41.261259943639622</v>
      </c>
      <c r="O347" s="9">
        <f t="shared" si="51"/>
        <v>-2.3910599436396254</v>
      </c>
      <c r="P347" s="10">
        <f t="shared" si="57"/>
        <v>5.7171676540779286</v>
      </c>
      <c r="V347" s="10">
        <f t="shared" si="59"/>
        <v>0.20486022277116736</v>
      </c>
      <c r="W347" s="13">
        <f t="shared" si="52"/>
        <v>46.657785686817739</v>
      </c>
      <c r="Z347" s="15">
        <f t="shared" si="58"/>
        <v>19.709963940035635</v>
      </c>
    </row>
    <row r="348" spans="1:26">
      <c r="A348" s="84">
        <f>'Q.6 Rand()'!T346</f>
        <v>3.5</v>
      </c>
      <c r="B348" s="141">
        <f>'Q.6 Rand()'!U346</f>
        <v>35.5</v>
      </c>
      <c r="D348" s="23"/>
      <c r="E348" s="24"/>
      <c r="F348" s="22">
        <f t="shared" si="50"/>
        <v>-0.12032520325203233</v>
      </c>
      <c r="G348" s="22">
        <f t="shared" si="53"/>
        <v>1.0693905149051375</v>
      </c>
      <c r="H348" s="18">
        <f t="shared" si="54"/>
        <v>-0.12867463106175617</v>
      </c>
      <c r="I348" s="18">
        <f t="shared" si="55"/>
        <v>1.4478154537642892E-2</v>
      </c>
      <c r="J348" s="24"/>
      <c r="K348" s="24"/>
      <c r="L348" s="19">
        <f t="shared" si="56"/>
        <v>34.937852971228637</v>
      </c>
      <c r="O348" s="9">
        <f t="shared" si="51"/>
        <v>0.56214702877136347</v>
      </c>
      <c r="P348" s="10">
        <f t="shared" si="57"/>
        <v>0.31600928195647215</v>
      </c>
      <c r="V348" s="10">
        <f t="shared" si="59"/>
        <v>6.1513960402560977E-2</v>
      </c>
      <c r="W348" s="13">
        <f t="shared" si="52"/>
        <v>0.25729595422514417</v>
      </c>
      <c r="Z348" s="15">
        <f t="shared" si="58"/>
        <v>1.1435960733690751</v>
      </c>
    </row>
    <row r="349" spans="1:26">
      <c r="A349" s="84">
        <f>'Q.6 Rand()'!T347</f>
        <v>5.7</v>
      </c>
      <c r="B349" s="141">
        <f>'Q.6 Rand()'!U347</f>
        <v>23.431799999999999</v>
      </c>
      <c r="D349" s="23"/>
      <c r="E349" s="24"/>
      <c r="F349" s="22">
        <f t="shared" si="50"/>
        <v>2.0796747967479678</v>
      </c>
      <c r="G349" s="22">
        <f t="shared" si="53"/>
        <v>-10.998809485094863</v>
      </c>
      <c r="H349" s="18">
        <f t="shared" si="54"/>
        <v>-22.873946880384281</v>
      </c>
      <c r="I349" s="18">
        <f t="shared" si="55"/>
        <v>4.3250472602287013</v>
      </c>
      <c r="J349" s="24"/>
      <c r="K349" s="24"/>
      <c r="L349" s="19">
        <f t="shared" si="56"/>
        <v>25.663522745025865</v>
      </c>
      <c r="O349" s="9">
        <f t="shared" si="51"/>
        <v>-2.2317227450258663</v>
      </c>
      <c r="P349" s="10">
        <f t="shared" si="57"/>
        <v>4.9805864106657882</v>
      </c>
      <c r="V349" s="10">
        <f t="shared" si="59"/>
        <v>1.5835127571024323E-2</v>
      </c>
      <c r="W349" s="13">
        <f t="shared" si="52"/>
        <v>76.86180990789363</v>
      </c>
      <c r="Z349" s="15">
        <f t="shared" si="58"/>
        <v>120.97381008941274</v>
      </c>
    </row>
    <row r="350" spans="1:26">
      <c r="A350" s="84">
        <f>'Q.6 Rand()'!T348</f>
        <v>2.4</v>
      </c>
      <c r="B350" s="141">
        <f>'Q.6 Rand()'!U348</f>
        <v>38.6</v>
      </c>
      <c r="D350" s="23"/>
      <c r="E350" s="24"/>
      <c r="F350" s="22">
        <f t="shared" si="50"/>
        <v>-1.2203252032520324</v>
      </c>
      <c r="G350" s="22">
        <f t="shared" si="53"/>
        <v>4.1693905149051389</v>
      </c>
      <c r="H350" s="18">
        <f t="shared" si="54"/>
        <v>-5.0880123275387099</v>
      </c>
      <c r="I350" s="18">
        <f t="shared" si="55"/>
        <v>1.4891936016921143</v>
      </c>
      <c r="J350" s="24"/>
      <c r="K350" s="24"/>
      <c r="L350" s="19">
        <f t="shared" si="56"/>
        <v>39.575018084330026</v>
      </c>
      <c r="O350" s="9">
        <f t="shared" si="51"/>
        <v>-0.97501808433002424</v>
      </c>
      <c r="P350" s="10">
        <f t="shared" si="57"/>
        <v>0.95066026477059029</v>
      </c>
      <c r="V350" s="10">
        <f t="shared" si="59"/>
        <v>9.5243333633176552E-2</v>
      </c>
      <c r="W350" s="13">
        <f t="shared" si="52"/>
        <v>26.464939835884692</v>
      </c>
      <c r="Z350" s="15">
        <f t="shared" si="58"/>
        <v>17.383817265780941</v>
      </c>
    </row>
    <row r="351" spans="1:26">
      <c r="A351" s="84">
        <f>'Q.6 Rand()'!T349</f>
        <v>4.4000000000000004</v>
      </c>
      <c r="B351" s="141">
        <f>'Q.6 Rand()'!U349</f>
        <v>23.152100000000001</v>
      </c>
      <c r="D351" s="23"/>
      <c r="E351" s="24"/>
      <c r="F351" s="22">
        <f t="shared" si="50"/>
        <v>0.77967479674796802</v>
      </c>
      <c r="G351" s="22">
        <f t="shared" si="53"/>
        <v>-11.278509485094862</v>
      </c>
      <c r="H351" s="18">
        <f t="shared" si="54"/>
        <v>-8.7935695904113658</v>
      </c>
      <c r="I351" s="18">
        <f t="shared" si="55"/>
        <v>0.60789278868398522</v>
      </c>
      <c r="J351" s="24"/>
      <c r="K351" s="24"/>
      <c r="L351" s="19">
        <f t="shared" si="56"/>
        <v>31.143808787782049</v>
      </c>
      <c r="O351" s="9">
        <f t="shared" si="51"/>
        <v>-7.9917087877820485</v>
      </c>
      <c r="P351" s="10">
        <f t="shared" si="57"/>
        <v>63.867409348712819</v>
      </c>
      <c r="V351" s="10">
        <f t="shared" si="59"/>
        <v>2.525953586347213E-2</v>
      </c>
      <c r="W351" s="13">
        <f t="shared" si="52"/>
        <v>10.803058823855995</v>
      </c>
      <c r="Z351" s="15">
        <f t="shared" si="58"/>
        <v>127.20477620537476</v>
      </c>
    </row>
    <row r="352" spans="1:26">
      <c r="A352" s="84">
        <f>'Q.6 Rand()'!T350</f>
        <v>3</v>
      </c>
      <c r="B352" s="141">
        <f>'Q.6 Rand()'!U350</f>
        <v>31.3917</v>
      </c>
      <c r="D352" s="23"/>
      <c r="E352" s="24"/>
      <c r="F352" s="22">
        <f t="shared" si="50"/>
        <v>-0.62032520325203233</v>
      </c>
      <c r="G352" s="22">
        <f t="shared" si="53"/>
        <v>-3.0389094850948624</v>
      </c>
      <c r="H352" s="18">
        <f t="shared" si="54"/>
        <v>1.8851121440059995</v>
      </c>
      <c r="I352" s="18">
        <f t="shared" si="55"/>
        <v>0.38480335778967523</v>
      </c>
      <c r="J352" s="24"/>
      <c r="K352" s="24"/>
      <c r="L352" s="19">
        <f t="shared" si="56"/>
        <v>37.045655295365634</v>
      </c>
      <c r="O352" s="9">
        <f t="shared" si="51"/>
        <v>-5.653955295365634</v>
      </c>
      <c r="P352" s="10">
        <f t="shared" si="57"/>
        <v>31.967210481993092</v>
      </c>
      <c r="V352" s="10">
        <f t="shared" si="59"/>
        <v>0.3451828900092021</v>
      </c>
      <c r="W352" s="13">
        <f t="shared" si="52"/>
        <v>6.8384645898147163</v>
      </c>
      <c r="Z352" s="15">
        <f t="shared" si="58"/>
        <v>9.2349708585995209</v>
      </c>
    </row>
    <row r="353" spans="1:26">
      <c r="A353" s="84">
        <f>'Q.6 Rand()'!T351</f>
        <v>1.8</v>
      </c>
      <c r="B353" s="141">
        <f>'Q.6 Rand()'!U351</f>
        <v>44.9</v>
      </c>
      <c r="D353" s="23"/>
      <c r="E353" s="24"/>
      <c r="F353" s="22">
        <f t="shared" si="50"/>
        <v>-1.8203252032520323</v>
      </c>
      <c r="G353" s="22">
        <f t="shared" si="53"/>
        <v>10.469390514905136</v>
      </c>
      <c r="H353" s="18">
        <f t="shared" si="54"/>
        <v>-19.05769541696959</v>
      </c>
      <c r="I353" s="18">
        <f t="shared" si="55"/>
        <v>3.3135838455945525</v>
      </c>
      <c r="J353" s="24"/>
      <c r="K353" s="24"/>
      <c r="L353" s="19">
        <f t="shared" si="56"/>
        <v>42.104380873294417</v>
      </c>
      <c r="O353" s="9">
        <f t="shared" si="51"/>
        <v>2.7956191267055814</v>
      </c>
      <c r="P353" s="10">
        <f t="shared" si="57"/>
        <v>7.8154863016020775</v>
      </c>
      <c r="V353" s="10">
        <f t="shared" si="59"/>
        <v>0.18010987921538604</v>
      </c>
      <c r="W353" s="13">
        <f t="shared" si="52"/>
        <v>58.886767318350117</v>
      </c>
      <c r="Z353" s="15">
        <f t="shared" si="58"/>
        <v>109.60813775358562</v>
      </c>
    </row>
    <row r="354" spans="1:26">
      <c r="A354" s="84">
        <f>'Q.6 Rand()'!T352</f>
        <v>5</v>
      </c>
      <c r="B354" s="141">
        <f>'Q.6 Rand()'!U352</f>
        <v>32.880800000000001</v>
      </c>
      <c r="D354" s="23"/>
      <c r="E354" s="24"/>
      <c r="F354" s="22">
        <f t="shared" si="50"/>
        <v>1.3796747967479677</v>
      </c>
      <c r="G354" s="22">
        <f t="shared" si="53"/>
        <v>-1.5498094850948618</v>
      </c>
      <c r="H354" s="18">
        <f t="shared" si="54"/>
        <v>-2.1382330863463261</v>
      </c>
      <c r="I354" s="18">
        <f t="shared" si="55"/>
        <v>1.9035025447815459</v>
      </c>
      <c r="J354" s="24"/>
      <c r="K354" s="24"/>
      <c r="L354" s="19">
        <f t="shared" si="56"/>
        <v>28.614445998817658</v>
      </c>
      <c r="O354" s="9">
        <f t="shared" si="51"/>
        <v>4.2663540011823429</v>
      </c>
      <c r="P354" s="10">
        <f t="shared" si="57"/>
        <v>18.201776463404588</v>
      </c>
      <c r="V354" s="10">
        <f t="shared" si="59"/>
        <v>6.2263232220614285E-2</v>
      </c>
      <c r="W354" s="13">
        <f t="shared" si="52"/>
        <v>33.827757699104211</v>
      </c>
      <c r="Z354" s="15">
        <f t="shared" si="58"/>
        <v>2.4019094400900007</v>
      </c>
    </row>
    <row r="355" spans="1:26">
      <c r="A355" s="84">
        <f>'Q.6 Rand()'!T353</f>
        <v>3.5</v>
      </c>
      <c r="B355" s="141">
        <f>'Q.6 Rand()'!U353</f>
        <v>37.962800000000001</v>
      </c>
      <c r="D355" s="23"/>
      <c r="E355" s="24"/>
      <c r="F355" s="22">
        <f t="shared" si="50"/>
        <v>-0.12032520325203233</v>
      </c>
      <c r="G355" s="22">
        <f t="shared" si="53"/>
        <v>3.5321905149051389</v>
      </c>
      <c r="H355" s="18">
        <f t="shared" si="54"/>
        <v>-0.42501154163086158</v>
      </c>
      <c r="I355" s="18">
        <f t="shared" si="55"/>
        <v>1.4478154537642892E-2</v>
      </c>
      <c r="J355" s="24"/>
      <c r="K355" s="24"/>
      <c r="L355" s="19">
        <f t="shared" si="56"/>
        <v>34.937852971228637</v>
      </c>
      <c r="O355" s="9">
        <f t="shared" si="51"/>
        <v>3.0249470287713649</v>
      </c>
      <c r="P355" s="10">
        <f t="shared" si="57"/>
        <v>9.1503045268727092</v>
      </c>
      <c r="V355" s="10">
        <f t="shared" si="59"/>
        <v>0.1297521350205087</v>
      </c>
      <c r="W355" s="13">
        <f t="shared" si="52"/>
        <v>0.25729595422514417</v>
      </c>
      <c r="Z355" s="15">
        <f t="shared" si="58"/>
        <v>12.47636983358583</v>
      </c>
    </row>
    <row r="356" spans="1:26">
      <c r="A356" s="84">
        <f>'Q.6 Rand()'!T354</f>
        <v>2</v>
      </c>
      <c r="B356" s="141">
        <f>'Q.6 Rand()'!U354</f>
        <v>45.190100000000001</v>
      </c>
      <c r="D356" s="23"/>
      <c r="E356" s="24"/>
      <c r="F356" s="22">
        <f t="shared" si="50"/>
        <v>-1.6203252032520323</v>
      </c>
      <c r="G356" s="22">
        <f t="shared" si="53"/>
        <v>10.759490514905139</v>
      </c>
      <c r="H356" s="18">
        <f t="shared" si="54"/>
        <v>-17.433873655451983</v>
      </c>
      <c r="I356" s="18">
        <f t="shared" si="55"/>
        <v>2.6254537642937397</v>
      </c>
      <c r="J356" s="24"/>
      <c r="K356" s="24"/>
      <c r="L356" s="19">
        <f t="shared" si="56"/>
        <v>41.261259943639622</v>
      </c>
      <c r="O356" s="9">
        <f t="shared" si="51"/>
        <v>3.9288400563603787</v>
      </c>
      <c r="P356" s="10">
        <f t="shared" si="57"/>
        <v>15.435784188461824</v>
      </c>
      <c r="V356" s="10">
        <f t="shared" si="59"/>
        <v>7.9681873538605286E-2</v>
      </c>
      <c r="W356" s="13">
        <f t="shared" si="52"/>
        <v>46.657785686817739</v>
      </c>
      <c r="Z356" s="15">
        <f t="shared" si="58"/>
        <v>115.76663614033365</v>
      </c>
    </row>
    <row r="357" spans="1:26">
      <c r="A357" s="84">
        <f>'Q.6 Rand()'!T355</f>
        <v>3.6</v>
      </c>
      <c r="B357" s="141">
        <f>'Q.6 Rand()'!U355</f>
        <v>35.6</v>
      </c>
      <c r="D357" s="23"/>
      <c r="E357" s="24"/>
      <c r="F357" s="22">
        <f t="shared" si="50"/>
        <v>-2.0325203252032242E-2</v>
      </c>
      <c r="G357" s="22">
        <f t="shared" si="53"/>
        <v>1.1693905149051389</v>
      </c>
      <c r="H357" s="18">
        <f t="shared" si="54"/>
        <v>-2.3768099896445589E-2</v>
      </c>
      <c r="I357" s="18">
        <f t="shared" si="55"/>
        <v>4.1311388723642203E-4</v>
      </c>
      <c r="J357" s="24"/>
      <c r="K357" s="24"/>
      <c r="L357" s="19">
        <f t="shared" si="56"/>
        <v>34.516292506401243</v>
      </c>
      <c r="O357" s="9">
        <f t="shared" si="51"/>
        <v>1.0837074935987587</v>
      </c>
      <c r="P357" s="10">
        <f t="shared" si="57"/>
        <v>1.1744219316821036</v>
      </c>
      <c r="V357" s="10">
        <f t="shared" si="59"/>
        <v>8.69402824149621E-2</v>
      </c>
      <c r="W357" s="13">
        <f t="shared" si="52"/>
        <v>7.3415801401895981E-3</v>
      </c>
      <c r="Z357" s="15">
        <f t="shared" si="58"/>
        <v>1.3674741763501059</v>
      </c>
    </row>
    <row r="358" spans="1:26">
      <c r="A358" s="84">
        <f>'Q.6 Rand()'!T356</f>
        <v>4.5999999999999996</v>
      </c>
      <c r="B358" s="141">
        <f>'Q.6 Rand()'!U356</f>
        <v>29</v>
      </c>
      <c r="D358" s="23"/>
      <c r="E358" s="24"/>
      <c r="F358" s="22">
        <f t="shared" si="50"/>
        <v>0.97967479674796731</v>
      </c>
      <c r="G358" s="22">
        <f t="shared" si="53"/>
        <v>-5.4306094850948625</v>
      </c>
      <c r="H358" s="18">
        <f t="shared" si="54"/>
        <v>-5.3202312435278927</v>
      </c>
      <c r="I358" s="18">
        <f t="shared" si="55"/>
        <v>0.95976270738317104</v>
      </c>
      <c r="J358" s="24"/>
      <c r="K358" s="24"/>
      <c r="L358" s="19">
        <f t="shared" si="56"/>
        <v>30.300687858127255</v>
      </c>
      <c r="O358" s="9">
        <f t="shared" si="51"/>
        <v>-1.3006878581272545</v>
      </c>
      <c r="P358" s="10">
        <f t="shared" si="57"/>
        <v>1.691788904279665</v>
      </c>
      <c r="V358" s="10">
        <f t="shared" si="59"/>
        <v>3.0441221730302212E-2</v>
      </c>
      <c r="W358" s="13">
        <f t="shared" si="52"/>
        <v>17.056252644894773</v>
      </c>
      <c r="Z358" s="15">
        <f t="shared" si="58"/>
        <v>29.491519379602288</v>
      </c>
    </row>
    <row r="359" spans="1:26">
      <c r="A359" s="84">
        <f>'Q.6 Rand()'!T357</f>
        <v>2.8</v>
      </c>
      <c r="B359" s="141">
        <f>'Q.6 Rand()'!U357</f>
        <v>30.299299999999999</v>
      </c>
      <c r="D359" s="23"/>
      <c r="E359" s="24"/>
      <c r="F359" s="22">
        <f t="shared" si="50"/>
        <v>-0.82032520325203251</v>
      </c>
      <c r="G359" s="22">
        <f t="shared" si="53"/>
        <v>-4.1313094850948637</v>
      </c>
      <c r="H359" s="18">
        <f t="shared" si="54"/>
        <v>3.3890172930574938</v>
      </c>
      <c r="I359" s="18">
        <f t="shared" si="55"/>
        <v>0.67293343909048842</v>
      </c>
      <c r="J359" s="24"/>
      <c r="K359" s="24"/>
      <c r="L359" s="19">
        <f t="shared" si="56"/>
        <v>37.888776225020436</v>
      </c>
      <c r="O359" s="9">
        <f t="shared" si="51"/>
        <v>-7.5894762250204373</v>
      </c>
      <c r="P359" s="10">
        <f t="shared" si="57"/>
        <v>57.600149370150469</v>
      </c>
      <c r="V359" s="10">
        <f t="shared" si="59"/>
        <v>4.4851305452663949E-2</v>
      </c>
      <c r="W359" s="13">
        <f t="shared" si="52"/>
        <v>11.95891720112747</v>
      </c>
      <c r="Z359" s="15">
        <f t="shared" si="58"/>
        <v>17.067718061634789</v>
      </c>
    </row>
    <row r="360" spans="1:26">
      <c r="A360" s="84">
        <f>'Q.6 Rand()'!T358</f>
        <v>2.4</v>
      </c>
      <c r="B360" s="141">
        <f>'Q.6 Rand()'!U358</f>
        <v>40.1</v>
      </c>
      <c r="D360" s="23"/>
      <c r="E360" s="24"/>
      <c r="F360" s="22">
        <f t="shared" si="50"/>
        <v>-1.2203252032520324</v>
      </c>
      <c r="G360" s="22">
        <f t="shared" si="53"/>
        <v>5.6693905149051389</v>
      </c>
      <c r="H360" s="18">
        <f t="shared" si="54"/>
        <v>-6.9185001324167583</v>
      </c>
      <c r="I360" s="18">
        <f t="shared" si="55"/>
        <v>1.4891936016921143</v>
      </c>
      <c r="J360" s="24"/>
      <c r="K360" s="24"/>
      <c r="L360" s="19">
        <f t="shared" si="56"/>
        <v>39.575018084330026</v>
      </c>
      <c r="O360" s="9">
        <f t="shared" si="51"/>
        <v>0.52498191566997576</v>
      </c>
      <c r="P360" s="10">
        <f t="shared" si="57"/>
        <v>0.27560601178051752</v>
      </c>
      <c r="V360" s="10">
        <f t="shared" si="59"/>
        <v>0.25048354995067335</v>
      </c>
      <c r="W360" s="13">
        <f t="shared" si="52"/>
        <v>26.464939835884692</v>
      </c>
      <c r="Z360" s="15">
        <f t="shared" si="58"/>
        <v>32.141988810496358</v>
      </c>
    </row>
    <row r="361" spans="1:26">
      <c r="A361" s="84">
        <f>'Q.6 Rand()'!T359</f>
        <v>3.5</v>
      </c>
      <c r="B361" s="141">
        <f>'Q.6 Rand()'!U359</f>
        <v>33.200000000000003</v>
      </c>
      <c r="D361" s="23"/>
      <c r="E361" s="24"/>
      <c r="F361" s="22">
        <f t="shared" si="50"/>
        <v>-0.12032520325203233</v>
      </c>
      <c r="G361" s="22">
        <f t="shared" si="53"/>
        <v>-1.2306094850948597</v>
      </c>
      <c r="H361" s="18">
        <f t="shared" si="54"/>
        <v>0.14807333641791784</v>
      </c>
      <c r="I361" s="18">
        <f t="shared" si="55"/>
        <v>1.4478154537642892E-2</v>
      </c>
      <c r="J361" s="24"/>
      <c r="K361" s="24"/>
      <c r="L361" s="19">
        <f t="shared" si="56"/>
        <v>34.937852971228637</v>
      </c>
      <c r="O361" s="9">
        <f t="shared" si="51"/>
        <v>-1.7378529712286337</v>
      </c>
      <c r="P361" s="10">
        <f t="shared" si="57"/>
        <v>3.0201329496081901</v>
      </c>
      <c r="V361" s="10">
        <f t="shared" si="59"/>
        <v>1.3091818345884682E-2</v>
      </c>
      <c r="W361" s="13">
        <f t="shared" si="52"/>
        <v>0.25729595422514417</v>
      </c>
      <c r="Z361" s="15">
        <f t="shared" si="58"/>
        <v>1.5143997048054356</v>
      </c>
    </row>
    <row r="362" spans="1:26">
      <c r="A362" s="84">
        <f>'Q.6 Rand()'!T360</f>
        <v>3.5</v>
      </c>
      <c r="B362" s="141">
        <f>'Q.6 Rand()'!U360</f>
        <v>37.4</v>
      </c>
      <c r="D362" s="23"/>
      <c r="E362" s="24"/>
      <c r="F362" s="22">
        <f t="shared" si="50"/>
        <v>-0.12032520325203233</v>
      </c>
      <c r="G362" s="22">
        <f t="shared" si="53"/>
        <v>2.9693905149051361</v>
      </c>
      <c r="H362" s="18">
        <f t="shared" si="54"/>
        <v>-0.35729251724061745</v>
      </c>
      <c r="I362" s="18">
        <f t="shared" si="55"/>
        <v>1.4478154537642892E-2</v>
      </c>
      <c r="J362" s="24"/>
      <c r="K362" s="24"/>
      <c r="L362" s="19">
        <f t="shared" si="56"/>
        <v>34.937852971228637</v>
      </c>
      <c r="O362" s="9">
        <f t="shared" si="51"/>
        <v>2.462147028771362</v>
      </c>
      <c r="P362" s="10">
        <f t="shared" si="57"/>
        <v>6.0621679912876463</v>
      </c>
      <c r="V362" s="10">
        <f t="shared" si="59"/>
        <v>5.234496901291065E-2</v>
      </c>
      <c r="W362" s="13">
        <f t="shared" si="52"/>
        <v>0.25729595422514417</v>
      </c>
      <c r="Z362" s="15">
        <f t="shared" si="58"/>
        <v>8.8172800300085896</v>
      </c>
    </row>
    <row r="363" spans="1:26">
      <c r="A363" s="84">
        <f>'Q.6 Rand()'!T361</f>
        <v>3.6</v>
      </c>
      <c r="B363" s="141">
        <f>'Q.6 Rand()'!U361</f>
        <v>26.1066</v>
      </c>
      <c r="D363" s="23"/>
      <c r="E363" s="24"/>
      <c r="F363" s="22">
        <f t="shared" si="50"/>
        <v>-2.0325203252032242E-2</v>
      </c>
      <c r="G363" s="22">
        <f t="shared" si="53"/>
        <v>-8.3240094850948623</v>
      </c>
      <c r="H363" s="18">
        <f t="shared" si="54"/>
        <v>0.16918718465639732</v>
      </c>
      <c r="I363" s="18">
        <f t="shared" si="55"/>
        <v>4.1311388723642203E-4</v>
      </c>
      <c r="J363" s="24"/>
      <c r="K363" s="24"/>
      <c r="L363" s="19">
        <f t="shared" si="56"/>
        <v>34.516292506401243</v>
      </c>
      <c r="O363" s="9">
        <f t="shared" si="51"/>
        <v>-8.4096925064012424</v>
      </c>
      <c r="P363" s="10">
        <f t="shared" si="57"/>
        <v>70.722928052221206</v>
      </c>
      <c r="V363" s="10">
        <f t="shared" si="59"/>
        <v>6.5832808255918779E-2</v>
      </c>
      <c r="W363" s="13">
        <f t="shared" si="52"/>
        <v>7.3415801401895981E-3</v>
      </c>
      <c r="Z363" s="15">
        <f t="shared" si="58"/>
        <v>69.289133907949235</v>
      </c>
    </row>
    <row r="364" spans="1:26">
      <c r="A364" s="84">
        <f>'Q.6 Rand()'!T362</f>
        <v>3</v>
      </c>
      <c r="B364" s="141">
        <f>'Q.6 Rand()'!U362</f>
        <v>31.5</v>
      </c>
      <c r="D364" s="23"/>
      <c r="E364" s="24"/>
      <c r="F364" s="22">
        <f t="shared" si="50"/>
        <v>-0.62032520325203233</v>
      </c>
      <c r="G364" s="22">
        <f t="shared" si="53"/>
        <v>-2.9306094850948625</v>
      </c>
      <c r="H364" s="18">
        <f t="shared" si="54"/>
        <v>1.8179309244938044</v>
      </c>
      <c r="I364" s="18">
        <f t="shared" si="55"/>
        <v>0.38480335778967523</v>
      </c>
      <c r="J364" s="24"/>
      <c r="K364" s="24"/>
      <c r="L364" s="19">
        <f t="shared" si="56"/>
        <v>37.045655295365634</v>
      </c>
      <c r="O364" s="9">
        <f t="shared" si="51"/>
        <v>-5.5456552953656342</v>
      </c>
      <c r="P364" s="10">
        <f t="shared" si="57"/>
        <v>30.754292655016901</v>
      </c>
      <c r="V364" s="10">
        <f t="shared" si="59"/>
        <v>0.3221289829545495</v>
      </c>
      <c r="W364" s="13">
        <f t="shared" si="52"/>
        <v>6.8384645898147163</v>
      </c>
      <c r="Z364" s="15">
        <f t="shared" si="58"/>
        <v>8.588471954127975</v>
      </c>
    </row>
    <row r="365" spans="1:26">
      <c r="A365" s="84">
        <f>'Q.6 Rand()'!T363</f>
        <v>2</v>
      </c>
      <c r="B365" s="141">
        <f>'Q.6 Rand()'!U363</f>
        <v>49.216999999999999</v>
      </c>
      <c r="D365" s="23"/>
      <c r="E365" s="24"/>
      <c r="F365" s="22">
        <f t="shared" si="50"/>
        <v>-1.6203252032520323</v>
      </c>
      <c r="G365" s="22">
        <f t="shared" si="53"/>
        <v>14.786390514905136</v>
      </c>
      <c r="H365" s="18">
        <f t="shared" si="54"/>
        <v>-23.95876121642759</v>
      </c>
      <c r="I365" s="18">
        <f t="shared" si="55"/>
        <v>2.6254537642937397</v>
      </c>
      <c r="J365" s="24"/>
      <c r="K365" s="24"/>
      <c r="L365" s="19">
        <f t="shared" si="56"/>
        <v>41.261259943639622</v>
      </c>
      <c r="O365" s="9">
        <f t="shared" si="51"/>
        <v>7.9557400563603764</v>
      </c>
      <c r="P365" s="10">
        <f t="shared" si="57"/>
        <v>63.293799844377006</v>
      </c>
      <c r="V365" s="10">
        <f t="shared" si="59"/>
        <v>0.17605254905922649</v>
      </c>
      <c r="W365" s="13">
        <f t="shared" si="52"/>
        <v>46.657785686817739</v>
      </c>
      <c r="Z365" s="15">
        <f t="shared" si="58"/>
        <v>218.63734445927659</v>
      </c>
    </row>
    <row r="366" spans="1:26">
      <c r="A366" s="84">
        <f>'Q.6 Rand()'!T364</f>
        <v>2.4</v>
      </c>
      <c r="B366" s="141">
        <f>'Q.6 Rand()'!U364</f>
        <v>42.6</v>
      </c>
      <c r="D366" s="23"/>
      <c r="E366" s="24"/>
      <c r="F366" s="22">
        <f t="shared" si="50"/>
        <v>-1.2203252032520324</v>
      </c>
      <c r="G366" s="22">
        <f t="shared" si="53"/>
        <v>8.1693905149051389</v>
      </c>
      <c r="H366" s="18">
        <f t="shared" si="54"/>
        <v>-9.9693131405468396</v>
      </c>
      <c r="I366" s="18">
        <f t="shared" si="55"/>
        <v>1.4891936016921143</v>
      </c>
      <c r="J366" s="24"/>
      <c r="K366" s="24"/>
      <c r="L366" s="19">
        <f t="shared" si="56"/>
        <v>39.575018084330026</v>
      </c>
      <c r="O366" s="9">
        <f t="shared" si="51"/>
        <v>3.0249819156699758</v>
      </c>
      <c r="P366" s="10">
        <f t="shared" si="57"/>
        <v>9.1505155901303965</v>
      </c>
      <c r="V366" s="10">
        <f t="shared" si="59"/>
        <v>0.16164618031087585</v>
      </c>
      <c r="W366" s="13">
        <f t="shared" si="52"/>
        <v>26.464939835884692</v>
      </c>
      <c r="Z366" s="15">
        <f t="shared" si="58"/>
        <v>66.738941385022045</v>
      </c>
    </row>
    <row r="367" spans="1:26">
      <c r="A367" s="84">
        <f>'Q.6 Rand()'!T365</f>
        <v>3</v>
      </c>
      <c r="B367" s="141">
        <f>'Q.6 Rand()'!U365</f>
        <v>34.799999999999997</v>
      </c>
      <c r="D367" s="23"/>
      <c r="E367" s="24"/>
      <c r="F367" s="22">
        <f t="shared" si="50"/>
        <v>-0.62032520325203233</v>
      </c>
      <c r="G367" s="22">
        <f t="shared" si="53"/>
        <v>0.36939051490513464</v>
      </c>
      <c r="H367" s="18">
        <f t="shared" si="54"/>
        <v>-0.22914224623790053</v>
      </c>
      <c r="I367" s="18">
        <f t="shared" si="55"/>
        <v>0.38480335778967523</v>
      </c>
      <c r="J367" s="24"/>
      <c r="K367" s="24"/>
      <c r="L367" s="19">
        <f t="shared" si="56"/>
        <v>37.045655295365634</v>
      </c>
      <c r="O367" s="9">
        <f t="shared" si="51"/>
        <v>-2.245655295365637</v>
      </c>
      <c r="P367" s="10">
        <f t="shared" si="57"/>
        <v>5.0429677056037265</v>
      </c>
      <c r="V367" s="10">
        <f t="shared" si="59"/>
        <v>7.1008965156572193E-2</v>
      </c>
      <c r="W367" s="13">
        <f t="shared" si="52"/>
        <v>6.8384645898147163</v>
      </c>
      <c r="Z367" s="15">
        <f t="shared" si="58"/>
        <v>0.13644935250188051</v>
      </c>
    </row>
    <row r="368" spans="1:26">
      <c r="A368" s="84">
        <f>'Q.6 Rand()'!T366</f>
        <v>5.7</v>
      </c>
      <c r="B368" s="141">
        <f>'Q.6 Rand()'!U366</f>
        <v>26</v>
      </c>
      <c r="D368" s="23"/>
      <c r="E368" s="24"/>
      <c r="F368" s="22">
        <f t="shared" si="50"/>
        <v>2.0796747967479678</v>
      </c>
      <c r="G368" s="22">
        <f t="shared" si="53"/>
        <v>-8.4306094850948625</v>
      </c>
      <c r="H368" s="18">
        <f t="shared" si="54"/>
        <v>-17.532926067376149</v>
      </c>
      <c r="I368" s="18">
        <f t="shared" si="55"/>
        <v>4.3250472602287013</v>
      </c>
      <c r="J368" s="24"/>
      <c r="K368" s="24"/>
      <c r="L368" s="19">
        <f t="shared" si="56"/>
        <v>25.663522745025865</v>
      </c>
      <c r="O368" s="9">
        <f t="shared" si="51"/>
        <v>0.33647725497413461</v>
      </c>
      <c r="P368" s="10">
        <f t="shared" si="57"/>
        <v>0.11321694311492879</v>
      </c>
      <c r="V368" s="10">
        <f t="shared" si="59"/>
        <v>6.4530324579472331E-2</v>
      </c>
      <c r="W368" s="13">
        <f t="shared" si="52"/>
        <v>76.86180990789363</v>
      </c>
      <c r="Z368" s="15">
        <f t="shared" si="58"/>
        <v>71.07517629017147</v>
      </c>
    </row>
    <row r="369" spans="1:26">
      <c r="A369" s="84">
        <f>'Q.6 Rand()'!T367</f>
        <v>2.4</v>
      </c>
      <c r="B369" s="141">
        <f>'Q.6 Rand()'!U367</f>
        <v>44.081800000000001</v>
      </c>
      <c r="D369" s="23"/>
      <c r="E369" s="24"/>
      <c r="F369" s="22">
        <f t="shared" si="50"/>
        <v>-1.2203252032520324</v>
      </c>
      <c r="G369" s="22">
        <f t="shared" si="53"/>
        <v>9.6511905149051387</v>
      </c>
      <c r="H369" s="18">
        <f t="shared" si="54"/>
        <v>-11.7775910267257</v>
      </c>
      <c r="I369" s="18">
        <f t="shared" si="55"/>
        <v>1.4891936016921143</v>
      </c>
      <c r="J369" s="24"/>
      <c r="K369" s="24"/>
      <c r="L369" s="19">
        <f t="shared" si="56"/>
        <v>39.575018084330026</v>
      </c>
      <c r="O369" s="9">
        <f t="shared" si="51"/>
        <v>4.5067819156699755</v>
      </c>
      <c r="P369" s="10">
        <f t="shared" si="57"/>
        <v>20.311083235409935</v>
      </c>
      <c r="V369" s="10">
        <f t="shared" si="59"/>
        <v>1.2941432883620561E-2</v>
      </c>
      <c r="W369" s="13">
        <f t="shared" si="52"/>
        <v>26.464939835884692</v>
      </c>
      <c r="Z369" s="15">
        <f t="shared" si="58"/>
        <v>93.145478354994921</v>
      </c>
    </row>
    <row r="370" spans="1:26">
      <c r="A370" s="84">
        <f>'Q.6 Rand()'!T368</f>
        <v>3.6</v>
      </c>
      <c r="B370" s="141">
        <f>'Q.6 Rand()'!U368</f>
        <v>27.581099999999999</v>
      </c>
      <c r="D370" s="23"/>
      <c r="E370" s="24"/>
      <c r="F370" s="22">
        <f t="shared" si="50"/>
        <v>-2.0325203252032242E-2</v>
      </c>
      <c r="G370" s="22">
        <f t="shared" si="53"/>
        <v>-6.8495094850948632</v>
      </c>
      <c r="H370" s="18">
        <f t="shared" si="54"/>
        <v>0.13921767246127581</v>
      </c>
      <c r="I370" s="18">
        <f t="shared" si="55"/>
        <v>4.1311388723642203E-4</v>
      </c>
      <c r="J370" s="24"/>
      <c r="K370" s="24"/>
      <c r="L370" s="19">
        <f t="shared" si="56"/>
        <v>34.516292506401243</v>
      </c>
      <c r="O370" s="9">
        <f t="shared" si="51"/>
        <v>-6.9351925064012434</v>
      </c>
      <c r="P370" s="10">
        <f t="shared" si="57"/>
        <v>48.096895100843959</v>
      </c>
      <c r="V370" s="10">
        <f t="shared" si="59"/>
        <v>0.10223679422505377</v>
      </c>
      <c r="W370" s="13">
        <f t="shared" si="52"/>
        <v>7.3415801401895981E-3</v>
      </c>
      <c r="Z370" s="15">
        <f t="shared" si="58"/>
        <v>46.915780186404497</v>
      </c>
    </row>
    <row r="371" spans="1:26">
      <c r="A371" s="84">
        <f>'Q.6 Rand()'!T369</f>
        <v>2.5</v>
      </c>
      <c r="B371" s="141">
        <f>'Q.6 Rand()'!U369</f>
        <v>45.056600000000003</v>
      </c>
      <c r="D371" s="23"/>
      <c r="E371" s="24"/>
      <c r="F371" s="22">
        <f t="shared" si="50"/>
        <v>-1.1203252032520323</v>
      </c>
      <c r="G371" s="22">
        <f t="shared" si="53"/>
        <v>10.625990514905141</v>
      </c>
      <c r="H371" s="18">
        <f t="shared" si="54"/>
        <v>-11.904564983365269</v>
      </c>
      <c r="I371" s="18">
        <f t="shared" si="55"/>
        <v>1.2551285610417076</v>
      </c>
      <c r="J371" s="24"/>
      <c r="K371" s="24"/>
      <c r="L371" s="19">
        <f t="shared" si="56"/>
        <v>39.153457619502632</v>
      </c>
      <c r="O371" s="9">
        <f t="shared" si="51"/>
        <v>5.9031423804973713</v>
      </c>
      <c r="P371" s="10">
        <f t="shared" si="57"/>
        <v>34.847089964424171</v>
      </c>
      <c r="V371" s="10">
        <f t="shared" si="59"/>
        <v>0.25144727753429863</v>
      </c>
      <c r="W371" s="13">
        <f t="shared" si="52"/>
        <v>22.305294500678947</v>
      </c>
      <c r="Z371" s="15">
        <f t="shared" si="58"/>
        <v>112.91167442285402</v>
      </c>
    </row>
    <row r="372" spans="1:26">
      <c r="A372" s="84">
        <f>'Q.6 Rand()'!T370</f>
        <v>3</v>
      </c>
      <c r="B372" s="141">
        <f>'Q.6 Rand()'!U370</f>
        <v>34.4</v>
      </c>
      <c r="D372" s="23"/>
      <c r="E372" s="24"/>
      <c r="F372" s="22">
        <f t="shared" si="50"/>
        <v>-0.62032520325203233</v>
      </c>
      <c r="G372" s="22">
        <f t="shared" si="53"/>
        <v>-3.0609485094863942E-2</v>
      </c>
      <c r="H372" s="18">
        <f t="shared" si="54"/>
        <v>1.8987835062911528E-2</v>
      </c>
      <c r="I372" s="18">
        <f t="shared" si="55"/>
        <v>0.38480335778967523</v>
      </c>
      <c r="J372" s="24"/>
      <c r="K372" s="24"/>
      <c r="L372" s="19">
        <f t="shared" si="56"/>
        <v>37.045655295365634</v>
      </c>
      <c r="O372" s="9">
        <f t="shared" si="51"/>
        <v>-2.6456552953656356</v>
      </c>
      <c r="P372" s="10">
        <f t="shared" si="57"/>
        <v>6.9994919418962285</v>
      </c>
      <c r="V372" s="10">
        <f t="shared" si="59"/>
        <v>0.1310161525835809</v>
      </c>
      <c r="W372" s="13">
        <f t="shared" si="52"/>
        <v>6.8384645898147163</v>
      </c>
      <c r="Z372" s="15">
        <f t="shared" si="58"/>
        <v>9.3694057777269778E-4</v>
      </c>
    </row>
    <row r="373" spans="1:26">
      <c r="A373" s="84">
        <f>'Q.6 Rand()'!T371</f>
        <v>3.8</v>
      </c>
      <c r="B373" s="141">
        <f>'Q.6 Rand()'!U371</f>
        <v>35.6</v>
      </c>
      <c r="D373" s="23"/>
      <c r="E373" s="24"/>
      <c r="F373" s="22">
        <f t="shared" si="50"/>
        <v>0.17967479674796749</v>
      </c>
      <c r="G373" s="22">
        <f t="shared" si="53"/>
        <v>1.1693905149051389</v>
      </c>
      <c r="H373" s="18">
        <f t="shared" si="54"/>
        <v>0.21011000308458189</v>
      </c>
      <c r="I373" s="18">
        <f t="shared" si="55"/>
        <v>3.2283032586423427E-2</v>
      </c>
      <c r="J373" s="24"/>
      <c r="K373" s="24"/>
      <c r="L373" s="19">
        <f t="shared" si="56"/>
        <v>33.673171576746441</v>
      </c>
      <c r="O373" s="9">
        <f t="shared" si="51"/>
        <v>1.9268284232535606</v>
      </c>
      <c r="P373" s="10">
        <f t="shared" si="57"/>
        <v>3.7126677726578028</v>
      </c>
      <c r="V373" s="10">
        <f t="shared" si="59"/>
        <v>7.6908584167605695E-2</v>
      </c>
      <c r="W373" s="13">
        <f t="shared" si="52"/>
        <v>0.57371218500323207</v>
      </c>
      <c r="Z373" s="15">
        <f t="shared" si="58"/>
        <v>1.3674741763501059</v>
      </c>
    </row>
    <row r="374" spans="1:26" ht="15.75" thickBot="1">
      <c r="A374" s="85">
        <f>SUM(A5:A373)</f>
        <v>1335.8999999999999</v>
      </c>
      <c r="B374" s="85">
        <f>SUM(B5:B373)</f>
        <v>12704.894900000003</v>
      </c>
      <c r="C374" s="155">
        <f t="shared" ref="C374:P374" si="60">SUM(C5:C373)</f>
        <v>369</v>
      </c>
      <c r="D374" s="25"/>
      <c r="E374" s="26"/>
      <c r="F374" s="27">
        <f t="shared" si="60"/>
        <v>4.3964831775156199E-14</v>
      </c>
      <c r="G374" s="27">
        <f t="shared" si="60"/>
        <v>-4.2312819914513966E-12</v>
      </c>
      <c r="H374" s="27">
        <f t="shared" si="60"/>
        <v>-2941.2170811382089</v>
      </c>
      <c r="I374" s="27">
        <f t="shared" si="60"/>
        <v>697.69756097561071</v>
      </c>
      <c r="J374" s="26"/>
      <c r="K374" s="26"/>
      <c r="L374" s="157">
        <f t="shared" si="60"/>
        <v>12704.894899999996</v>
      </c>
      <c r="O374" s="85">
        <f t="shared" si="60"/>
        <v>-3.0269120543380268E-12</v>
      </c>
      <c r="P374" s="85">
        <f t="shared" si="60"/>
        <v>8532.1677119676806</v>
      </c>
      <c r="V374" s="85">
        <f t="shared" ref="V374:W374" si="61">SUM(V5:V373)</f>
        <v>50.437798392869894</v>
      </c>
      <c r="W374" s="85">
        <f t="shared" si="61"/>
        <v>12399.008398829055</v>
      </c>
      <c r="Z374" s="85">
        <f t="shared" ref="Z374" si="62">SUM(Z5:Z373)</f>
        <v>20931.176110796794</v>
      </c>
    </row>
    <row r="375" spans="1:26">
      <c r="A375" s="152"/>
      <c r="B375" s="152"/>
    </row>
  </sheetData>
  <mergeCells count="19">
    <mergeCell ref="S14:T14"/>
    <mergeCell ref="S15:T15"/>
    <mergeCell ref="S16:T16"/>
    <mergeCell ref="S17:T17"/>
    <mergeCell ref="S18:T18"/>
    <mergeCell ref="AE6:AH6"/>
    <mergeCell ref="S9:T9"/>
    <mergeCell ref="S10:T10"/>
    <mergeCell ref="S11:T11"/>
    <mergeCell ref="S12:T12"/>
    <mergeCell ref="S13:T13"/>
    <mergeCell ref="A1:R1"/>
    <mergeCell ref="D2:E2"/>
    <mergeCell ref="W2:Y2"/>
    <mergeCell ref="Z2:AA2"/>
    <mergeCell ref="D3:E3"/>
    <mergeCell ref="M3:N3"/>
    <mergeCell ref="W3:X3"/>
    <mergeCell ref="Z3:AA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J375"/>
  <sheetViews>
    <sheetView zoomScaleNormal="100" workbookViewId="0">
      <selection activeCell="A5" sqref="A4:A5"/>
    </sheetView>
  </sheetViews>
  <sheetFormatPr defaultColWidth="10.28515625" defaultRowHeight="15"/>
  <cols>
    <col min="1" max="1" width="10.140625" style="62" customWidth="1"/>
    <col min="2" max="2" width="8.5703125" style="62" customWidth="1"/>
    <col min="3" max="3" width="6.5703125" style="62" customWidth="1"/>
    <col min="4" max="4" width="6" style="62" customWidth="1"/>
    <col min="5" max="5" width="7.28515625" style="62" customWidth="1"/>
    <col min="6" max="6" width="7.5703125" style="62" customWidth="1"/>
    <col min="7" max="7" width="7.28515625" style="62" customWidth="1"/>
    <col min="8" max="8" width="17.140625" style="62" customWidth="1"/>
    <col min="9" max="9" width="10.140625" style="62" customWidth="1"/>
    <col min="10" max="10" width="14.42578125" style="62" customWidth="1"/>
    <col min="11" max="11" width="10.85546875" style="62" customWidth="1"/>
    <col min="12" max="12" width="16.140625" style="62" customWidth="1"/>
    <col min="13" max="14" width="7.140625" style="62" customWidth="1"/>
    <col min="15" max="15" width="12" style="62" customWidth="1"/>
    <col min="16" max="16" width="11" style="62" customWidth="1"/>
    <col min="17" max="17" width="15.85546875" style="62" customWidth="1"/>
    <col min="18" max="18" width="20.85546875" style="62" customWidth="1"/>
    <col min="19" max="19" width="26.85546875" style="62" customWidth="1"/>
    <col min="20" max="20" width="37.85546875" style="62" customWidth="1"/>
    <col min="21" max="21" width="68.140625" style="62" customWidth="1"/>
    <col min="22" max="22" width="28.28515625" style="62" customWidth="1"/>
    <col min="23" max="23" width="10.42578125" style="62" customWidth="1"/>
    <col min="24" max="24" width="11.85546875" style="62" customWidth="1"/>
    <col min="25" max="25" width="25.5703125" style="62" customWidth="1"/>
    <col min="26" max="26" width="10.42578125" style="62" customWidth="1"/>
    <col min="27" max="27" width="11.85546875" style="62" customWidth="1"/>
    <col min="28" max="28" width="39.5703125" style="62" customWidth="1"/>
    <col min="29" max="29" width="16.5703125" style="62" customWidth="1"/>
    <col min="30" max="30" width="39.5703125" style="62" customWidth="1"/>
    <col min="31" max="31" width="13.28515625" style="62" customWidth="1"/>
    <col min="32" max="33" width="8.5703125" style="62" customWidth="1"/>
    <col min="34" max="34" width="14" style="62" customWidth="1"/>
    <col min="35" max="35" width="20.85546875" style="62" customWidth="1"/>
    <col min="36" max="16384" width="10.28515625" style="62"/>
  </cols>
  <sheetData>
    <row r="1" spans="1:36">
      <c r="A1" s="369" t="s">
        <v>103</v>
      </c>
      <c r="B1" s="369"/>
      <c r="C1" s="369"/>
      <c r="D1" s="369"/>
      <c r="E1" s="369"/>
      <c r="F1" s="369"/>
      <c r="G1" s="369"/>
      <c r="H1" s="369"/>
      <c r="I1" s="369"/>
      <c r="J1" s="369"/>
      <c r="K1" s="369"/>
      <c r="L1" s="369"/>
      <c r="M1" s="369"/>
      <c r="N1" s="369"/>
      <c r="O1" s="369"/>
      <c r="P1" s="369"/>
      <c r="Q1" s="369"/>
      <c r="R1" s="369"/>
      <c r="S1" s="142"/>
      <c r="T1" s="117"/>
      <c r="U1" s="117"/>
      <c r="V1" s="117"/>
      <c r="W1" s="152"/>
      <c r="X1" s="152"/>
      <c r="Y1" s="152"/>
      <c r="Z1" s="152"/>
      <c r="AA1" s="152"/>
      <c r="AB1" s="152"/>
    </row>
    <row r="2" spans="1:36" ht="15" customHeight="1" thickBot="1">
      <c r="A2" s="82" t="s">
        <v>22</v>
      </c>
      <c r="B2" s="75" t="s">
        <v>23</v>
      </c>
      <c r="C2" s="75" t="s">
        <v>40</v>
      </c>
      <c r="D2" s="355" t="s">
        <v>41</v>
      </c>
      <c r="E2" s="356"/>
      <c r="F2" s="95"/>
      <c r="G2" s="95"/>
      <c r="H2" s="95"/>
      <c r="I2" s="95"/>
      <c r="J2" s="79" t="s">
        <v>64</v>
      </c>
      <c r="K2" s="78" t="s">
        <v>70</v>
      </c>
      <c r="L2" s="96"/>
      <c r="M2" s="128"/>
      <c r="N2" s="128"/>
      <c r="O2" s="99" t="s">
        <v>78</v>
      </c>
      <c r="P2" s="98" t="s">
        <v>77</v>
      </c>
      <c r="Q2" s="98" t="s">
        <v>76</v>
      </c>
      <c r="R2" s="99" t="s">
        <v>75</v>
      </c>
      <c r="S2" s="99" t="s">
        <v>88</v>
      </c>
      <c r="T2" s="86"/>
      <c r="U2" s="86"/>
      <c r="V2" s="86"/>
      <c r="W2" s="363" t="s">
        <v>35</v>
      </c>
      <c r="X2" s="363"/>
      <c r="Y2" s="364"/>
      <c r="Z2" s="378" t="s">
        <v>74</v>
      </c>
      <c r="AA2" s="378"/>
      <c r="AB2" s="92" t="s">
        <v>45</v>
      </c>
      <c r="AC2" s="57" t="s">
        <v>39</v>
      </c>
      <c r="AD2" s="93" t="s">
        <v>46</v>
      </c>
    </row>
    <row r="3" spans="1:36">
      <c r="A3" s="82"/>
      <c r="B3" s="75"/>
      <c r="C3" s="7"/>
      <c r="D3" s="379"/>
      <c r="E3" s="380"/>
      <c r="F3" s="21"/>
      <c r="G3" s="21"/>
      <c r="H3" s="21"/>
      <c r="I3" s="21"/>
      <c r="J3" s="28" t="s">
        <v>68</v>
      </c>
      <c r="K3" s="29" t="s">
        <v>69</v>
      </c>
      <c r="L3" s="17" t="s">
        <v>20</v>
      </c>
      <c r="M3" s="362" t="s">
        <v>89</v>
      </c>
      <c r="N3" s="381"/>
      <c r="O3" s="8" t="s">
        <v>66</v>
      </c>
      <c r="P3" s="8" t="s">
        <v>65</v>
      </c>
      <c r="Q3" s="81" t="s">
        <v>24</v>
      </c>
      <c r="R3" s="8" t="s">
        <v>67</v>
      </c>
      <c r="S3" s="8" t="s">
        <v>34</v>
      </c>
      <c r="T3" s="8" t="s">
        <v>50</v>
      </c>
      <c r="U3" s="8" t="s">
        <v>73</v>
      </c>
      <c r="V3" s="8" t="s">
        <v>54</v>
      </c>
      <c r="W3" s="382" t="s">
        <v>28</v>
      </c>
      <c r="X3" s="383"/>
      <c r="Y3" s="12" t="s">
        <v>80</v>
      </c>
      <c r="Z3" s="384" t="s">
        <v>30</v>
      </c>
      <c r="AA3" s="383"/>
      <c r="AB3" s="57" t="s">
        <v>38</v>
      </c>
      <c r="AC3" s="57"/>
      <c r="AD3" s="94" t="s">
        <v>44</v>
      </c>
      <c r="AE3" s="3"/>
      <c r="AF3" s="3"/>
      <c r="AG3" s="3"/>
      <c r="AH3" s="3"/>
      <c r="AI3" s="3"/>
    </row>
    <row r="4" spans="1:36" ht="30.75" customHeight="1" thickBot="1">
      <c r="A4" s="83" t="s">
        <v>0</v>
      </c>
      <c r="B4" s="32" t="s">
        <v>2</v>
      </c>
      <c r="C4" s="77" t="s">
        <v>40</v>
      </c>
      <c r="D4" s="33" t="s">
        <v>13</v>
      </c>
      <c r="E4" s="34" t="s">
        <v>14</v>
      </c>
      <c r="F4" s="34" t="s">
        <v>15</v>
      </c>
      <c r="G4" s="34" t="s">
        <v>16</v>
      </c>
      <c r="H4" s="34" t="s">
        <v>17</v>
      </c>
      <c r="I4" s="34" t="s">
        <v>18</v>
      </c>
      <c r="J4" s="43"/>
      <c r="K4" s="43" t="s">
        <v>19</v>
      </c>
      <c r="L4" s="35" t="s">
        <v>21</v>
      </c>
      <c r="M4" s="61" t="s">
        <v>90</v>
      </c>
      <c r="N4" s="60" t="s">
        <v>91</v>
      </c>
      <c r="O4" s="36" t="s">
        <v>26</v>
      </c>
      <c r="P4" s="36" t="s">
        <v>25</v>
      </c>
      <c r="Q4" s="37" t="s">
        <v>27</v>
      </c>
      <c r="R4" s="87" t="s">
        <v>42</v>
      </c>
      <c r="S4" s="36" t="s">
        <v>43</v>
      </c>
      <c r="T4" s="90" t="s">
        <v>71</v>
      </c>
      <c r="U4" s="91" t="s">
        <v>72</v>
      </c>
      <c r="V4" s="120" t="s">
        <v>87</v>
      </c>
      <c r="W4" s="38" t="s">
        <v>32</v>
      </c>
      <c r="X4" s="39" t="s">
        <v>29</v>
      </c>
      <c r="Y4" s="38" t="s">
        <v>48</v>
      </c>
      <c r="Z4" s="40" t="s">
        <v>33</v>
      </c>
      <c r="AA4" s="41" t="s">
        <v>31</v>
      </c>
      <c r="AB4" s="60" t="s">
        <v>47</v>
      </c>
      <c r="AC4" s="61" t="s">
        <v>39</v>
      </c>
      <c r="AD4" s="121" t="s">
        <v>44</v>
      </c>
      <c r="AE4" s="42"/>
      <c r="AF4" s="42"/>
      <c r="AG4" s="42"/>
      <c r="AH4" s="42"/>
      <c r="AI4" s="42"/>
    </row>
    <row r="5" spans="1:36" ht="15.75" thickBot="1">
      <c r="A5" s="84">
        <f>'Q.6 Rand()'!V3</f>
        <v>2.5</v>
      </c>
      <c r="B5" s="141">
        <f>'Q.6 Rand()'!W3</f>
        <v>39.726700000000001</v>
      </c>
      <c r="C5" s="44">
        <f>COUNT($B$5:$B$373)</f>
        <v>369</v>
      </c>
      <c r="D5" s="45">
        <f>AVERAGE(A5:A373)</f>
        <v>3.4390243902439033</v>
      </c>
      <c r="E5" s="46">
        <f>AVERAGE(B5:B373)</f>
        <v>34.98061327913279</v>
      </c>
      <c r="F5" s="47">
        <f t="shared" ref="F5:F68" si="0">A5-$D$5</f>
        <v>-0.93902439024390327</v>
      </c>
      <c r="G5" s="47">
        <f>B5-$E$5</f>
        <v>4.7460867208672113</v>
      </c>
      <c r="H5" s="48">
        <f>F5*G5</f>
        <v>-4.4566911891070191</v>
      </c>
      <c r="I5" s="48">
        <f>F5^2</f>
        <v>0.88176680547293429</v>
      </c>
      <c r="J5" s="76">
        <f>H374 / I374</f>
        <v>-4.9417187089717549</v>
      </c>
      <c r="K5" s="76">
        <f>E5-(J5*D5)</f>
        <v>51.975304449011269</v>
      </c>
      <c r="L5" s="49">
        <f>$K$5+$J$5*A5</f>
        <v>39.621007676581883</v>
      </c>
      <c r="M5" s="129">
        <f>CORREL(A5:A373, O5:O373)</f>
        <v>2.1104667645496085E-15</v>
      </c>
      <c r="N5" s="129">
        <f>CORREL(B5:B373, O5:O373)</f>
        <v>0.60408203365456836</v>
      </c>
      <c r="O5" s="50">
        <f t="shared" ref="O5:O68" si="1">B5-L5</f>
        <v>0.10569232341811841</v>
      </c>
      <c r="P5" s="51">
        <f>O5^2</f>
        <v>1.117086722952014E-2</v>
      </c>
      <c r="Q5" s="124">
        <f>P374</f>
        <v>7747.2583813807405</v>
      </c>
      <c r="R5" s="124">
        <f>Q5/(C5 - 2)</f>
        <v>21.109695862072861</v>
      </c>
      <c r="S5" s="125">
        <f>SQRT(Q5/(C5-2))</f>
        <v>4.594528905347409</v>
      </c>
      <c r="T5" s="125">
        <f>S5 / SQRT(I374)</f>
        <v>0.19553522970096779</v>
      </c>
      <c r="U5" s="123">
        <f>S5 * SQRT((1/$C$5)+($D$5^2)/$I$374)</f>
        <v>0.71372082828534666</v>
      </c>
      <c r="V5" s="123">
        <f>AVERAGE(V6:V373) * 100</f>
        <v>10.350441461409888</v>
      </c>
      <c r="W5" s="52">
        <f t="shared" ref="W5:W68" si="2">(L5-$E$5)^2</f>
        <v>21.533260163876928</v>
      </c>
      <c r="X5" s="53">
        <f>W374</f>
        <v>13483.045076964234</v>
      </c>
      <c r="Y5" s="88">
        <f>X5/AA5</f>
        <v>0.63508489661576162</v>
      </c>
      <c r="Z5" s="54">
        <f>(B5-$E$5)^2</f>
        <v>22.525339161992079</v>
      </c>
      <c r="AA5" s="55">
        <f>Z374</f>
        <v>21230.303458344926</v>
      </c>
      <c r="AB5" s="58">
        <f>X5 / R5</f>
        <v>638.71337441619914</v>
      </c>
      <c r="AC5" s="59">
        <f>FDIST(INDEX(LINEST($B$5:$B$373,$A$5:$A$373,1,1),4,1),1,INDEX(LINEST($B$5:$B$373,$A$5:$A$373,1,1),4,2))</f>
        <v>2.3956535791006971E-82</v>
      </c>
      <c r="AD5" s="122">
        <f>_xlfn.F.DIST.RT(AB5,1,C5-2)</f>
        <v>2.3956535790999477E-82</v>
      </c>
      <c r="AE5" s="3"/>
      <c r="AF5" s="3"/>
      <c r="AG5" s="3"/>
      <c r="AH5" s="3"/>
      <c r="AI5" s="3"/>
    </row>
    <row r="6" spans="1:36">
      <c r="A6" s="84">
        <f>'Q.6 Rand()'!V4</f>
        <v>2</v>
      </c>
      <c r="B6" s="141">
        <f>'Q.6 Rand()'!W4</f>
        <v>37.1</v>
      </c>
      <c r="C6" s="5"/>
      <c r="D6" s="23"/>
      <c r="E6" s="24"/>
      <c r="F6" s="22">
        <f t="shared" si="0"/>
        <v>-1.4390243902439033</v>
      </c>
      <c r="G6" s="22">
        <f t="shared" ref="G6:G69" si="3">B6-$E$5</f>
        <v>2.1193867208672117</v>
      </c>
      <c r="H6" s="18">
        <f t="shared" ref="H6:H69" si="4">F6*G6</f>
        <v>-3.0498491836869648</v>
      </c>
      <c r="I6" s="18">
        <f t="shared" ref="I6:I69" si="5">F6^2</f>
        <v>2.0707911957168377</v>
      </c>
      <c r="J6" s="22">
        <f>SLOPE(B5:B373,A5:A373)</f>
        <v>-4.9417187089717549</v>
      </c>
      <c r="K6" s="22">
        <f>INTERCEPT(B5:B373,A5:A373)</f>
        <v>51.975304449011269</v>
      </c>
      <c r="L6" s="19">
        <f t="shared" ref="L6:L69" si="6">$K$5+$J$5*A6</f>
        <v>42.091867031067757</v>
      </c>
      <c r="N6" s="126"/>
      <c r="O6" s="9">
        <f t="shared" si="1"/>
        <v>-4.9918670310677555</v>
      </c>
      <c r="P6" s="10">
        <f t="shared" ref="P6:P69" si="7">O6^2</f>
        <v>24.918736455861207</v>
      </c>
      <c r="Q6" s="152"/>
      <c r="S6" s="100">
        <f>SQRT(R5)</f>
        <v>4.594528905347409</v>
      </c>
      <c r="T6" s="152"/>
      <c r="U6" s="152"/>
      <c r="V6" s="10">
        <f>ABS(O5) / B5</f>
        <v>2.6604858550576412E-3</v>
      </c>
      <c r="W6" s="13">
        <f t="shared" si="2"/>
        <v>50.569929924409145</v>
      </c>
      <c r="X6" s="152"/>
      <c r="Y6" s="152"/>
      <c r="Z6" s="15">
        <f t="shared" ref="Z6:Z69" si="8">(B6-$E$5)^2</f>
        <v>4.4918000725882719</v>
      </c>
      <c r="AA6" s="68"/>
      <c r="AB6" s="152"/>
      <c r="AC6" s="152"/>
      <c r="AD6" s="152"/>
      <c r="AE6" s="366" t="s">
        <v>81</v>
      </c>
      <c r="AF6" s="367"/>
      <c r="AG6" s="367"/>
      <c r="AH6" s="368"/>
    </row>
    <row r="7" spans="1:36">
      <c r="A7" s="84">
        <f>'Q.6 Rand()'!V5</f>
        <v>3.6</v>
      </c>
      <c r="B7" s="141">
        <f>'Q.6 Rand()'!W5</f>
        <v>30.9</v>
      </c>
      <c r="C7" s="5"/>
      <c r="D7" s="23"/>
      <c r="E7" s="24"/>
      <c r="F7" s="22">
        <f t="shared" si="0"/>
        <v>0.16097560975609682</v>
      </c>
      <c r="G7" s="22">
        <f t="shared" si="3"/>
        <v>-4.0806132791327911</v>
      </c>
      <c r="H7" s="18">
        <f t="shared" si="4"/>
        <v>-0.65687921078722677</v>
      </c>
      <c r="I7" s="18">
        <f t="shared" si="5"/>
        <v>2.5913146936347171E-2</v>
      </c>
      <c r="J7" s="24"/>
      <c r="K7" s="24"/>
      <c r="L7" s="19">
        <f t="shared" si="6"/>
        <v>34.185117096712951</v>
      </c>
      <c r="M7" s="126"/>
      <c r="N7" s="126"/>
      <c r="O7" s="9">
        <f t="shared" si="1"/>
        <v>-3.2851170967129519</v>
      </c>
      <c r="P7" s="10">
        <f t="shared" si="7"/>
        <v>10.791994339115734</v>
      </c>
      <c r="Q7" s="152"/>
      <c r="R7" s="152"/>
      <c r="S7" s="152"/>
      <c r="T7" s="152"/>
      <c r="U7" s="152"/>
      <c r="V7" s="10">
        <f t="shared" ref="V7:V70" si="9">ABS(O6) / B6</f>
        <v>0.13455167199643545</v>
      </c>
      <c r="W7" s="13">
        <f t="shared" si="2"/>
        <v>0.63281417624453806</v>
      </c>
      <c r="X7" s="68"/>
      <c r="Y7" s="68"/>
      <c r="Z7" s="15">
        <f t="shared" si="8"/>
        <v>16.65140473383487</v>
      </c>
      <c r="AA7" s="152"/>
      <c r="AC7" s="64"/>
      <c r="AE7" s="112" t="s">
        <v>55</v>
      </c>
      <c r="AF7" s="110">
        <f t="array" ref="AF7:AG11">LINEST(B5:B373,A5:A373,,TRUE)</f>
        <v>-4.9417187089717514</v>
      </c>
      <c r="AG7" s="106">
        <v>51.975304449011254</v>
      </c>
      <c r="AH7" s="114" t="s">
        <v>55</v>
      </c>
      <c r="AI7" s="56">
        <f>AF7-J5</f>
        <v>0</v>
      </c>
      <c r="AJ7" s="56">
        <f>AG7-K5</f>
        <v>0</v>
      </c>
    </row>
    <row r="8" spans="1:36">
      <c r="A8" s="84">
        <f>'Q.6 Rand()'!V6</f>
        <v>2.4</v>
      </c>
      <c r="B8" s="141">
        <f>'Q.6 Rand()'!W6</f>
        <v>48.1</v>
      </c>
      <c r="C8" s="5"/>
      <c r="D8" s="23"/>
      <c r="E8" s="24"/>
      <c r="F8" s="22">
        <f t="shared" si="0"/>
        <v>-1.0390243902439034</v>
      </c>
      <c r="G8" s="22">
        <f t="shared" si="3"/>
        <v>13.119386720867212</v>
      </c>
      <c r="H8" s="18">
        <f t="shared" si="4"/>
        <v>-13.631362788023017</v>
      </c>
      <c r="I8" s="18">
        <f t="shared" si="5"/>
        <v>1.0795716835217153</v>
      </c>
      <c r="J8" s="24"/>
      <c r="K8" s="24"/>
      <c r="L8" s="19">
        <f t="shared" si="6"/>
        <v>40.115179547479059</v>
      </c>
      <c r="M8" s="126"/>
      <c r="N8" s="126"/>
      <c r="O8" s="9">
        <f t="shared" si="1"/>
        <v>7.9848204525209425</v>
      </c>
      <c r="P8" s="10">
        <f t="shared" si="7"/>
        <v>63.757357658996746</v>
      </c>
      <c r="Q8" s="152"/>
      <c r="R8" s="152"/>
      <c r="S8" s="152"/>
      <c r="T8" s="152"/>
      <c r="U8" s="152"/>
      <c r="V8" s="10">
        <f t="shared" si="9"/>
        <v>0.10631446914928648</v>
      </c>
      <c r="W8" s="13">
        <f t="shared" si="2"/>
        <v>26.36377076403933</v>
      </c>
      <c r="X8" s="68"/>
      <c r="Y8" s="68"/>
      <c r="Z8" s="15">
        <f t="shared" si="8"/>
        <v>172.11830793166692</v>
      </c>
      <c r="AC8" s="152"/>
      <c r="AE8" s="112" t="s">
        <v>56</v>
      </c>
      <c r="AF8" s="109">
        <v>0.19553522970096762</v>
      </c>
      <c r="AG8" s="105">
        <v>0.713720828285346</v>
      </c>
      <c r="AH8" s="114" t="s">
        <v>57</v>
      </c>
      <c r="AI8" s="56">
        <f>AF8-T5</f>
        <v>0</v>
      </c>
      <c r="AJ8" s="56">
        <f>AG8-U5</f>
        <v>0</v>
      </c>
    </row>
    <row r="9" spans="1:36" ht="18">
      <c r="A9" s="84">
        <f>'Q.6 Rand()'!V7</f>
        <v>4.8</v>
      </c>
      <c r="B9" s="141">
        <f>'Q.6 Rand()'!W7</f>
        <v>30.537500000000001</v>
      </c>
      <c r="C9" s="5"/>
      <c r="D9" s="23"/>
      <c r="E9" s="24"/>
      <c r="F9" s="22">
        <f t="shared" si="0"/>
        <v>1.3609756097560965</v>
      </c>
      <c r="G9" s="22">
        <f t="shared" si="3"/>
        <v>-4.4431132791327883</v>
      </c>
      <c r="H9" s="18">
        <f t="shared" si="4"/>
        <v>-6.0469688042831562</v>
      </c>
      <c r="I9" s="18">
        <f t="shared" si="5"/>
        <v>1.8522546103509787</v>
      </c>
      <c r="J9" s="24"/>
      <c r="K9" s="24"/>
      <c r="L9" s="19">
        <f t="shared" si="6"/>
        <v>28.255054645946846</v>
      </c>
      <c r="M9" s="126"/>
      <c r="N9" s="126"/>
      <c r="O9" s="9">
        <f t="shared" si="1"/>
        <v>2.2824453540531557</v>
      </c>
      <c r="P9" s="10">
        <f t="shared" si="7"/>
        <v>5.2095567942388357</v>
      </c>
      <c r="Q9" s="151"/>
      <c r="R9" s="151"/>
      <c r="S9" s="364" t="s">
        <v>85</v>
      </c>
      <c r="T9" s="364"/>
      <c r="U9" s="152" t="s">
        <v>85</v>
      </c>
      <c r="V9" s="10">
        <f t="shared" si="9"/>
        <v>0.16600458321249359</v>
      </c>
      <c r="W9" s="13">
        <f t="shared" si="2"/>
        <v>45.233138928421987</v>
      </c>
      <c r="X9" s="68"/>
      <c r="Y9" s="68"/>
      <c r="Z9" s="15">
        <f t="shared" si="8"/>
        <v>19.741255611206117</v>
      </c>
      <c r="AE9" s="112" t="s">
        <v>58</v>
      </c>
      <c r="AF9" s="110">
        <v>0.63508489661575962</v>
      </c>
      <c r="AG9" s="106">
        <v>4.5945289053474081</v>
      </c>
      <c r="AH9" s="114" t="s">
        <v>59</v>
      </c>
      <c r="AI9" s="56">
        <f>AF9-Y5</f>
        <v>-1.9984014443252818E-15</v>
      </c>
      <c r="AJ9" s="56">
        <f>AG9-S5</f>
        <v>0</v>
      </c>
    </row>
    <row r="10" spans="1:36">
      <c r="A10" s="84">
        <f>'Q.6 Rand()'!V8</f>
        <v>5</v>
      </c>
      <c r="B10" s="141">
        <f>'Q.6 Rand()'!W8</f>
        <v>23.7</v>
      </c>
      <c r="C10" s="5"/>
      <c r="D10" s="23"/>
      <c r="E10" s="24"/>
      <c r="F10" s="22">
        <f t="shared" si="0"/>
        <v>1.5609756097560967</v>
      </c>
      <c r="G10" s="22">
        <f t="shared" si="3"/>
        <v>-11.28061327913279</v>
      </c>
      <c r="H10" s="18">
        <f t="shared" si="4"/>
        <v>-17.608762191817029</v>
      </c>
      <c r="I10" s="18">
        <f t="shared" si="5"/>
        <v>2.436644854253418</v>
      </c>
      <c r="J10" s="24"/>
      <c r="K10" s="24"/>
      <c r="L10" s="19">
        <f t="shared" si="6"/>
        <v>27.266710904152493</v>
      </c>
      <c r="M10" s="126"/>
      <c r="N10" s="126"/>
      <c r="O10" s="9">
        <f t="shared" si="1"/>
        <v>-3.5667109041524938</v>
      </c>
      <c r="P10" s="10">
        <f t="shared" si="7"/>
        <v>12.7214266738003</v>
      </c>
      <c r="Q10" s="151"/>
      <c r="R10" s="151"/>
      <c r="S10" s="376"/>
      <c r="T10" s="376"/>
      <c r="U10" s="151"/>
      <c r="V10" s="10">
        <f t="shared" si="9"/>
        <v>7.4742377537557289E-2</v>
      </c>
      <c r="W10" s="13">
        <f t="shared" si="2"/>
        <v>59.504289850726664</v>
      </c>
      <c r="X10" s="68"/>
      <c r="Y10" s="68"/>
      <c r="Z10" s="15">
        <f t="shared" si="8"/>
        <v>127.25223595334705</v>
      </c>
      <c r="AE10" s="112" t="s">
        <v>60</v>
      </c>
      <c r="AF10" s="110">
        <v>638.71337441619744</v>
      </c>
      <c r="AG10" s="108">
        <v>367</v>
      </c>
      <c r="AH10" s="115" t="s">
        <v>37</v>
      </c>
      <c r="AI10" s="56">
        <f>AF10-AB5</f>
        <v>-1.7053025658242404E-12</v>
      </c>
      <c r="AJ10" s="56">
        <f>AG10-(C5-2)</f>
        <v>0</v>
      </c>
    </row>
    <row r="11" spans="1:36" ht="18.75" thickBot="1">
      <c r="A11" s="84">
        <f>'Q.6 Rand()'!V9</f>
        <v>4.7</v>
      </c>
      <c r="B11" s="141">
        <f>'Q.6 Rand()'!W9</f>
        <v>25.510200000000001</v>
      </c>
      <c r="C11" s="5"/>
      <c r="D11" s="23"/>
      <c r="E11" s="24"/>
      <c r="F11" s="22">
        <f t="shared" si="0"/>
        <v>1.2609756097560969</v>
      </c>
      <c r="G11" s="22">
        <f t="shared" si="3"/>
        <v>-9.4704132791327886</v>
      </c>
      <c r="H11" s="18">
        <f t="shared" si="4"/>
        <v>-11.941960159296706</v>
      </c>
      <c r="I11" s="18">
        <f t="shared" si="5"/>
        <v>1.5900594883997603</v>
      </c>
      <c r="J11" s="119"/>
      <c r="K11" s="24"/>
      <c r="L11" s="19">
        <f t="shared" si="6"/>
        <v>28.749226516844018</v>
      </c>
      <c r="M11" s="126"/>
      <c r="N11" s="126"/>
      <c r="O11" s="9">
        <f t="shared" si="1"/>
        <v>-3.2390265168440173</v>
      </c>
      <c r="P11" s="10">
        <f t="shared" si="7"/>
        <v>10.491292776818687</v>
      </c>
      <c r="Q11" s="151"/>
      <c r="R11" s="151"/>
      <c r="S11" s="364" t="s">
        <v>65</v>
      </c>
      <c r="T11" s="364"/>
      <c r="U11" s="152" t="s">
        <v>86</v>
      </c>
      <c r="V11" s="10">
        <f t="shared" si="9"/>
        <v>0.15049413097689848</v>
      </c>
      <c r="W11" s="13">
        <f t="shared" si="2"/>
        <v>38.830180981227734</v>
      </c>
      <c r="X11" s="68"/>
      <c r="Y11" s="68"/>
      <c r="Z11" s="15">
        <f t="shared" si="8"/>
        <v>89.688727677574661</v>
      </c>
      <c r="AE11" s="113" t="s">
        <v>61</v>
      </c>
      <c r="AF11" s="111">
        <v>13483.04507696419</v>
      </c>
      <c r="AG11" s="107">
        <v>7747.2583813807369</v>
      </c>
      <c r="AH11" s="116" t="s">
        <v>62</v>
      </c>
      <c r="AI11" s="56">
        <f>AF11-X5</f>
        <v>-4.3655745685100555E-11</v>
      </c>
      <c r="AJ11" s="56">
        <f>AG11-Q5</f>
        <v>0</v>
      </c>
    </row>
    <row r="12" spans="1:36">
      <c r="A12" s="84">
        <f>'Q.6 Rand()'!V10</f>
        <v>2.5</v>
      </c>
      <c r="B12" s="141">
        <f>'Q.6 Rand()'!W10</f>
        <v>51.6</v>
      </c>
      <c r="C12" s="5"/>
      <c r="D12" s="23"/>
      <c r="E12" s="24"/>
      <c r="F12" s="22">
        <f t="shared" si="0"/>
        <v>-0.93902439024390327</v>
      </c>
      <c r="G12" s="22">
        <f t="shared" si="3"/>
        <v>16.619386720867212</v>
      </c>
      <c r="H12" s="18">
        <f t="shared" si="4"/>
        <v>-15.606009481789956</v>
      </c>
      <c r="I12" s="18">
        <f t="shared" si="5"/>
        <v>0.88176680547293429</v>
      </c>
      <c r="J12" s="24"/>
      <c r="K12" s="24"/>
      <c r="L12" s="19">
        <f t="shared" si="6"/>
        <v>39.621007676581883</v>
      </c>
      <c r="M12" s="126"/>
      <c r="N12" s="126"/>
      <c r="O12" s="9">
        <f t="shared" si="1"/>
        <v>11.978992323418119</v>
      </c>
      <c r="P12" s="10">
        <f t="shared" si="7"/>
        <v>143.49625708451023</v>
      </c>
      <c r="Q12" s="151"/>
      <c r="R12" s="151"/>
      <c r="S12" s="376"/>
      <c r="T12" s="376"/>
      <c r="U12" s="152"/>
      <c r="V12" s="10">
        <f t="shared" si="9"/>
        <v>0.12696985977546305</v>
      </c>
      <c r="W12" s="13">
        <f t="shared" si="2"/>
        <v>21.533260163876928</v>
      </c>
      <c r="X12" s="68"/>
      <c r="Y12" s="68"/>
      <c r="Z12" s="15">
        <f t="shared" si="8"/>
        <v>276.20401497773742</v>
      </c>
    </row>
    <row r="13" spans="1:36">
      <c r="A13" s="84">
        <f>'Q.6 Rand()'!V11</f>
        <v>1.8</v>
      </c>
      <c r="B13" s="141">
        <f>'Q.6 Rand()'!W11</f>
        <v>50</v>
      </c>
      <c r="C13" s="5"/>
      <c r="D13" s="23"/>
      <c r="E13" s="24"/>
      <c r="F13" s="22">
        <f t="shared" si="0"/>
        <v>-1.6390243902439032</v>
      </c>
      <c r="G13" s="22">
        <f t="shared" si="3"/>
        <v>15.01938672086721</v>
      </c>
      <c r="H13" s="18">
        <f t="shared" si="4"/>
        <v>-24.617141162006757</v>
      </c>
      <c r="I13" s="18">
        <f t="shared" si="5"/>
        <v>2.6864009518143988</v>
      </c>
      <c r="J13" s="24"/>
      <c r="K13" s="24"/>
      <c r="L13" s="19">
        <f t="shared" si="6"/>
        <v>43.08021077286211</v>
      </c>
      <c r="M13" s="126"/>
      <c r="N13" s="126"/>
      <c r="O13" s="9">
        <f t="shared" si="1"/>
        <v>6.9197892271378905</v>
      </c>
      <c r="P13" s="10">
        <f t="shared" si="7"/>
        <v>47.883482948013601</v>
      </c>
      <c r="Q13" s="151"/>
      <c r="R13" s="151"/>
      <c r="S13" s="377" t="s">
        <v>24</v>
      </c>
      <c r="T13" s="364"/>
      <c r="U13" s="152" t="s">
        <v>84</v>
      </c>
      <c r="V13" s="10">
        <f t="shared" si="9"/>
        <v>0.23215101401973098</v>
      </c>
      <c r="W13" s="13">
        <f t="shared" si="2"/>
        <v>65.60347956042628</v>
      </c>
      <c r="X13" s="68"/>
      <c r="Y13" s="68"/>
      <c r="Z13" s="15">
        <f t="shared" si="8"/>
        <v>225.5819774709623</v>
      </c>
    </row>
    <row r="14" spans="1:36">
      <c r="A14" s="84">
        <f>'Q.6 Rand()'!V12</f>
        <v>2.5</v>
      </c>
      <c r="B14" s="141">
        <f>'Q.6 Rand()'!W12</f>
        <v>38.6</v>
      </c>
      <c r="C14" s="5"/>
      <c r="D14" s="23"/>
      <c r="E14" s="24"/>
      <c r="F14" s="22">
        <f t="shared" si="0"/>
        <v>-0.93902439024390327</v>
      </c>
      <c r="G14" s="22">
        <f t="shared" si="3"/>
        <v>3.6193867208672117</v>
      </c>
      <c r="H14" s="18">
        <f t="shared" si="4"/>
        <v>-3.3986924086192141</v>
      </c>
      <c r="I14" s="18">
        <f t="shared" si="5"/>
        <v>0.88176680547293429</v>
      </c>
      <c r="J14" s="24"/>
      <c r="K14" s="24"/>
      <c r="L14" s="19">
        <f t="shared" si="6"/>
        <v>39.621007676581883</v>
      </c>
      <c r="M14" s="126"/>
      <c r="N14" s="126"/>
      <c r="O14" s="9">
        <f t="shared" si="1"/>
        <v>-1.0210076765818812</v>
      </c>
      <c r="P14" s="10">
        <f t="shared" si="7"/>
        <v>1.0424566756391314</v>
      </c>
      <c r="Q14" s="151"/>
      <c r="R14" s="151"/>
      <c r="S14" s="376"/>
      <c r="T14" s="376"/>
      <c r="U14" s="152"/>
      <c r="V14" s="10">
        <f t="shared" si="9"/>
        <v>0.1383957845427578</v>
      </c>
      <c r="W14" s="13">
        <f t="shared" si="2"/>
        <v>21.533260163876928</v>
      </c>
      <c r="X14" s="68"/>
      <c r="Y14" s="68"/>
      <c r="Z14" s="15">
        <f t="shared" si="8"/>
        <v>13.099960235189908</v>
      </c>
      <c r="AB14" s="67"/>
    </row>
    <row r="15" spans="1:36">
      <c r="A15" s="84">
        <f>'Q.6 Rand()'!V13</f>
        <v>3.6</v>
      </c>
      <c r="B15" s="141">
        <f>'Q.6 Rand()'!W13</f>
        <v>33</v>
      </c>
      <c r="C15" s="5"/>
      <c r="D15" s="23"/>
      <c r="E15" s="24"/>
      <c r="F15" s="22">
        <f t="shared" si="0"/>
        <v>0.16097560975609682</v>
      </c>
      <c r="G15" s="22">
        <f t="shared" si="3"/>
        <v>-1.9806132791327897</v>
      </c>
      <c r="H15" s="18">
        <f t="shared" si="4"/>
        <v>-0.31883043029942321</v>
      </c>
      <c r="I15" s="18">
        <f t="shared" si="5"/>
        <v>2.5913146936347171E-2</v>
      </c>
      <c r="J15" s="24"/>
      <c r="K15" s="24"/>
      <c r="L15" s="19">
        <f t="shared" si="6"/>
        <v>34.185117096712951</v>
      </c>
      <c r="M15" s="126"/>
      <c r="N15" s="126"/>
      <c r="O15" s="9">
        <f t="shared" si="1"/>
        <v>-1.1851170967129505</v>
      </c>
      <c r="P15" s="10">
        <f t="shared" si="7"/>
        <v>1.404502532921333</v>
      </c>
      <c r="Q15" s="151"/>
      <c r="R15" s="102"/>
      <c r="S15" s="377" t="s">
        <v>67</v>
      </c>
      <c r="T15" s="364"/>
      <c r="U15" s="152" t="s">
        <v>54</v>
      </c>
      <c r="V15" s="10">
        <f t="shared" si="9"/>
        <v>2.6450976077250807E-2</v>
      </c>
      <c r="W15" s="13">
        <f t="shared" si="2"/>
        <v>0.63281417624453806</v>
      </c>
      <c r="X15" s="68"/>
      <c r="Y15" s="68"/>
      <c r="Z15" s="15">
        <f t="shared" si="8"/>
        <v>3.9228289614771419</v>
      </c>
      <c r="AB15" s="67"/>
    </row>
    <row r="16" spans="1:36">
      <c r="A16" s="84">
        <f>'Q.6 Rand()'!V14</f>
        <v>4</v>
      </c>
      <c r="B16" s="141">
        <f>'Q.6 Rand()'!W14</f>
        <v>25.7499</v>
      </c>
      <c r="C16" s="5"/>
      <c r="D16" s="23"/>
      <c r="E16" s="24"/>
      <c r="F16" s="22">
        <f t="shared" si="0"/>
        <v>0.56097560975609673</v>
      </c>
      <c r="G16" s="22">
        <f t="shared" si="3"/>
        <v>-9.2307132791327895</v>
      </c>
      <c r="H16" s="18">
        <f t="shared" si="4"/>
        <v>-5.1782050102452155</v>
      </c>
      <c r="I16" s="18">
        <f t="shared" si="5"/>
        <v>0.31469363474122453</v>
      </c>
      <c r="J16" s="24"/>
      <c r="K16" s="24"/>
      <c r="L16" s="19">
        <f t="shared" si="6"/>
        <v>32.208429613124252</v>
      </c>
      <c r="M16" s="126"/>
      <c r="N16" s="126"/>
      <c r="O16" s="9">
        <f t="shared" si="1"/>
        <v>-6.4585296131242522</v>
      </c>
      <c r="P16" s="10">
        <f t="shared" si="7"/>
        <v>41.712604763602904</v>
      </c>
      <c r="Q16" s="151"/>
      <c r="R16" s="151"/>
      <c r="S16" s="376"/>
      <c r="T16" s="376"/>
      <c r="U16" s="151"/>
      <c r="V16" s="10">
        <f t="shared" si="9"/>
        <v>3.5912639294331833E-2</v>
      </c>
      <c r="W16" s="13">
        <f t="shared" si="2"/>
        <v>7.6850022780845331</v>
      </c>
      <c r="X16" s="68"/>
      <c r="Y16" s="68"/>
      <c r="Z16" s="15">
        <f t="shared" si="8"/>
        <v>85.20606764155842</v>
      </c>
    </row>
    <row r="17" spans="1:28">
      <c r="A17" s="84">
        <f>'Q.6 Rand()'!V15</f>
        <v>2</v>
      </c>
      <c r="B17" s="141">
        <f>'Q.6 Rand()'!W15</f>
        <v>60.1</v>
      </c>
      <c r="C17" s="5"/>
      <c r="D17" s="23"/>
      <c r="E17" s="24"/>
      <c r="F17" s="22">
        <f t="shared" si="0"/>
        <v>-1.4390243902439033</v>
      </c>
      <c r="G17" s="22">
        <f t="shared" si="3"/>
        <v>25.119386720867212</v>
      </c>
      <c r="H17" s="18">
        <f t="shared" si="4"/>
        <v>-36.14741015929674</v>
      </c>
      <c r="I17" s="18">
        <f t="shared" si="5"/>
        <v>2.0707911957168377</v>
      </c>
      <c r="J17" s="24"/>
      <c r="K17" s="24"/>
      <c r="L17" s="19">
        <f t="shared" si="6"/>
        <v>42.091867031067757</v>
      </c>
      <c r="M17" s="126"/>
      <c r="N17" s="126"/>
      <c r="O17" s="9">
        <f t="shared" si="1"/>
        <v>18.008132968932244</v>
      </c>
      <c r="P17" s="10">
        <f t="shared" si="7"/>
        <v>324.29285302674447</v>
      </c>
      <c r="Q17" s="151"/>
      <c r="R17" s="151"/>
      <c r="S17" s="364" t="s">
        <v>79</v>
      </c>
      <c r="T17" s="364"/>
      <c r="U17" s="151"/>
      <c r="V17" s="10">
        <f t="shared" si="9"/>
        <v>0.25081765805398282</v>
      </c>
      <c r="W17" s="13">
        <f t="shared" si="2"/>
        <v>50.569929924409145</v>
      </c>
      <c r="X17" s="68"/>
      <c r="Y17" s="68"/>
      <c r="Z17" s="15">
        <f t="shared" si="8"/>
        <v>630.98358923247997</v>
      </c>
      <c r="AB17" s="97"/>
    </row>
    <row r="18" spans="1:28">
      <c r="A18" s="84">
        <f>'Q.6 Rand()'!V16</f>
        <v>2.4</v>
      </c>
      <c r="B18" s="141">
        <f>'Q.6 Rand()'!W16</f>
        <v>41.5</v>
      </c>
      <c r="C18" s="5"/>
      <c r="D18" s="23"/>
      <c r="E18" s="24"/>
      <c r="F18" s="22">
        <f t="shared" si="0"/>
        <v>-1.0390243902439034</v>
      </c>
      <c r="G18" s="22">
        <f t="shared" si="3"/>
        <v>6.5193867208672103</v>
      </c>
      <c r="H18" s="18">
        <f t="shared" si="4"/>
        <v>-6.7738018124132537</v>
      </c>
      <c r="I18" s="18">
        <f t="shared" si="5"/>
        <v>1.0795716835217153</v>
      </c>
      <c r="J18" s="24"/>
      <c r="K18" s="24"/>
      <c r="L18" s="19">
        <f t="shared" si="6"/>
        <v>40.115179547479059</v>
      </c>
      <c r="M18" s="126"/>
      <c r="N18" s="126"/>
      <c r="O18" s="9">
        <f t="shared" si="1"/>
        <v>1.3848204525209411</v>
      </c>
      <c r="P18" s="10">
        <f t="shared" si="7"/>
        <v>1.9177276857203041</v>
      </c>
      <c r="Q18" s="151"/>
      <c r="R18" s="151"/>
      <c r="S18" s="376"/>
      <c r="T18" s="376"/>
      <c r="U18" s="151"/>
      <c r="V18" s="10">
        <f t="shared" si="9"/>
        <v>0.29963615588905562</v>
      </c>
      <c r="W18" s="13">
        <f t="shared" si="2"/>
        <v>26.36377076403933</v>
      </c>
      <c r="X18" s="68"/>
      <c r="Y18" s="68"/>
      <c r="Z18" s="15">
        <f t="shared" si="8"/>
        <v>42.502403216219719</v>
      </c>
    </row>
    <row r="19" spans="1:28">
      <c r="A19" s="84">
        <f>'Q.6 Rand()'!V17</f>
        <v>5.5</v>
      </c>
      <c r="B19" s="141">
        <f>'Q.6 Rand()'!W17</f>
        <v>29.8</v>
      </c>
      <c r="C19" s="5"/>
      <c r="D19" s="23"/>
      <c r="E19" s="24"/>
      <c r="F19" s="22">
        <f t="shared" si="0"/>
        <v>2.0609756097560967</v>
      </c>
      <c r="G19" s="22">
        <f t="shared" si="3"/>
        <v>-5.180613279132789</v>
      </c>
      <c r="H19" s="18">
        <f t="shared" si="4"/>
        <v>-10.677117611871232</v>
      </c>
      <c r="I19" s="18">
        <f t="shared" si="5"/>
        <v>4.2476204640095148</v>
      </c>
      <c r="J19" s="24"/>
      <c r="K19" s="24"/>
      <c r="L19" s="19">
        <f t="shared" si="6"/>
        <v>24.795851549666615</v>
      </c>
      <c r="M19" s="126"/>
      <c r="N19" s="126"/>
      <c r="O19" s="9">
        <f t="shared" si="1"/>
        <v>5.0041484503333855</v>
      </c>
      <c r="P19" s="10">
        <f t="shared" si="7"/>
        <v>25.041501712974025</v>
      </c>
      <c r="Q19" s="151"/>
      <c r="R19" s="103"/>
      <c r="S19" s="104" t="s">
        <v>50</v>
      </c>
      <c r="T19" s="151" t="s">
        <v>73</v>
      </c>
      <c r="U19" s="151"/>
      <c r="V19" s="10">
        <f t="shared" si="9"/>
        <v>3.3369167530625084E-2</v>
      </c>
      <c r="W19" s="13">
        <f t="shared" si="2"/>
        <v>103.72937148599883</v>
      </c>
      <c r="X19" s="68"/>
      <c r="Y19" s="68"/>
      <c r="Z19" s="15">
        <f t="shared" si="8"/>
        <v>26.838753947926989</v>
      </c>
    </row>
    <row r="20" spans="1:28">
      <c r="A20" s="84">
        <f>'Q.6 Rand()'!V18</f>
        <v>3.7</v>
      </c>
      <c r="B20" s="141">
        <f>'Q.6 Rand()'!W18</f>
        <v>34.730499999999999</v>
      </c>
      <c r="C20" s="5"/>
      <c r="D20" s="23"/>
      <c r="E20" s="24"/>
      <c r="F20" s="22">
        <f t="shared" si="0"/>
        <v>0.2609756097560969</v>
      </c>
      <c r="G20" s="22">
        <f t="shared" si="3"/>
        <v>-0.25011327913279047</v>
      </c>
      <c r="H20" s="18">
        <f t="shared" si="4"/>
        <v>-6.5273465529776864E-2</v>
      </c>
      <c r="I20" s="18">
        <f t="shared" si="5"/>
        <v>6.8108268887566575E-2</v>
      </c>
      <c r="J20" s="24"/>
      <c r="K20" s="24"/>
      <c r="L20" s="19">
        <f t="shared" si="6"/>
        <v>33.690945225815774</v>
      </c>
      <c r="M20" s="126"/>
      <c r="N20" s="126"/>
      <c r="O20" s="9">
        <f t="shared" si="1"/>
        <v>1.039554774184225</v>
      </c>
      <c r="P20" s="10">
        <f t="shared" si="7"/>
        <v>1.0806741285292152</v>
      </c>
      <c r="Q20" s="151"/>
      <c r="R20" s="151"/>
      <c r="S20" s="151"/>
      <c r="T20" s="151"/>
      <c r="U20" s="151"/>
      <c r="V20" s="10">
        <f t="shared" si="9"/>
        <v>0.16792444464205991</v>
      </c>
      <c r="W20" s="13">
        <f t="shared" si="2"/>
        <v>1.6632436877465004</v>
      </c>
      <c r="X20" s="68"/>
      <c r="Y20" s="68"/>
      <c r="Z20" s="15">
        <f t="shared" si="8"/>
        <v>6.2556652398557164E-2</v>
      </c>
    </row>
    <row r="21" spans="1:28">
      <c r="A21" s="84">
        <f>'Q.6 Rand()'!V19</f>
        <v>4.4000000000000004</v>
      </c>
      <c r="B21" s="141">
        <f>'Q.6 Rand()'!W19</f>
        <v>27.7</v>
      </c>
      <c r="C21" s="5"/>
      <c r="D21" s="23"/>
      <c r="E21" s="24"/>
      <c r="F21" s="22">
        <f t="shared" si="0"/>
        <v>0.96097560975609708</v>
      </c>
      <c r="G21" s="22">
        <f t="shared" si="3"/>
        <v>-7.2806132791327904</v>
      </c>
      <c r="H21" s="18">
        <f t="shared" si="4"/>
        <v>-6.9964917853129709</v>
      </c>
      <c r="I21" s="18">
        <f t="shared" si="5"/>
        <v>0.92347412254610262</v>
      </c>
      <c r="J21" s="24"/>
      <c r="K21" s="24"/>
      <c r="L21" s="19">
        <f t="shared" si="6"/>
        <v>30.231742129535544</v>
      </c>
      <c r="M21" s="126"/>
      <c r="N21" s="126"/>
      <c r="O21" s="9">
        <f t="shared" si="1"/>
        <v>-2.5317421295355444</v>
      </c>
      <c r="P21" s="10">
        <f t="shared" si="7"/>
        <v>6.4097182104651731</v>
      </c>
      <c r="Q21" s="151"/>
      <c r="R21" s="151"/>
      <c r="S21" s="151"/>
      <c r="T21" s="151"/>
      <c r="U21" s="151"/>
      <c r="V21" s="10">
        <f t="shared" si="9"/>
        <v>2.9932041697764936E-2</v>
      </c>
      <c r="W21" s="13">
        <f t="shared" si="2"/>
        <v>22.551777195477069</v>
      </c>
      <c r="X21" s="68"/>
      <c r="Y21" s="68"/>
      <c r="Z21" s="15">
        <f t="shared" si="8"/>
        <v>53.007329720284723</v>
      </c>
    </row>
    <row r="22" spans="1:28">
      <c r="A22" s="84">
        <f>'Q.6 Rand()'!V20</f>
        <v>2.5</v>
      </c>
      <c r="B22" s="141">
        <f>'Q.6 Rand()'!W20</f>
        <v>39.375300000000003</v>
      </c>
      <c r="C22" s="5"/>
      <c r="D22" s="23"/>
      <c r="E22" s="24"/>
      <c r="F22" s="22">
        <f t="shared" si="0"/>
        <v>-0.93902439024390327</v>
      </c>
      <c r="G22" s="22">
        <f t="shared" si="3"/>
        <v>4.3946867208672131</v>
      </c>
      <c r="H22" s="18">
        <f t="shared" si="4"/>
        <v>-4.1267180183753132</v>
      </c>
      <c r="I22" s="18">
        <f t="shared" si="5"/>
        <v>0.88176680547293429</v>
      </c>
      <c r="J22" s="24"/>
      <c r="K22" s="24"/>
      <c r="L22" s="19">
        <f t="shared" si="6"/>
        <v>39.621007676581883</v>
      </c>
      <c r="M22" s="126"/>
      <c r="N22" s="126"/>
      <c r="O22" s="9">
        <f t="shared" si="1"/>
        <v>-0.24570767658187975</v>
      </c>
      <c r="P22" s="10">
        <f t="shared" si="7"/>
        <v>6.0372262331265622E-2</v>
      </c>
      <c r="Q22" s="151"/>
      <c r="R22" s="151"/>
      <c r="S22" s="151"/>
      <c r="T22" s="151"/>
      <c r="U22" s="151"/>
      <c r="V22" s="10">
        <f t="shared" si="9"/>
        <v>9.1398632835218208E-2</v>
      </c>
      <c r="W22" s="13">
        <f t="shared" si="2"/>
        <v>21.533260163876928</v>
      </c>
      <c r="X22" s="68"/>
      <c r="Y22" s="68"/>
      <c r="Z22" s="15">
        <f t="shared" si="8"/>
        <v>19.313271374566618</v>
      </c>
      <c r="AA22" s="152"/>
    </row>
    <row r="23" spans="1:28">
      <c r="A23" s="84">
        <f>'Q.6 Rand()'!V21</f>
        <v>2.5</v>
      </c>
      <c r="B23" s="141">
        <f>'Q.6 Rand()'!W21</f>
        <v>36.030700000000003</v>
      </c>
      <c r="C23" s="5"/>
      <c r="D23" s="23"/>
      <c r="E23" s="24"/>
      <c r="F23" s="22">
        <f t="shared" si="0"/>
        <v>-0.93902439024390327</v>
      </c>
      <c r="G23" s="22">
        <f t="shared" si="3"/>
        <v>1.0500867208672133</v>
      </c>
      <c r="H23" s="18">
        <f t="shared" si="4"/>
        <v>-0.98605704276555484</v>
      </c>
      <c r="I23" s="18">
        <f t="shared" si="5"/>
        <v>0.88176680547293429</v>
      </c>
      <c r="J23" s="24"/>
      <c r="K23" s="24"/>
      <c r="L23" s="19">
        <f t="shared" si="6"/>
        <v>39.621007676581883</v>
      </c>
      <c r="M23" s="126"/>
      <c r="N23" s="126"/>
      <c r="O23" s="9">
        <f t="shared" si="1"/>
        <v>-3.5903076765818795</v>
      </c>
      <c r="P23" s="10">
        <f t="shared" si="7"/>
        <v>12.890309212522775</v>
      </c>
      <c r="Q23" s="151"/>
      <c r="R23" s="151"/>
      <c r="S23" s="151"/>
      <c r="T23" s="151"/>
      <c r="U23" s="151"/>
      <c r="V23" s="10">
        <f t="shared" si="9"/>
        <v>6.2401474168293251E-3</v>
      </c>
      <c r="W23" s="13">
        <f t="shared" si="2"/>
        <v>21.533260163876928</v>
      </c>
      <c r="X23" s="68"/>
      <c r="Y23" s="68"/>
      <c r="Z23" s="15">
        <f t="shared" si="8"/>
        <v>1.1026821213416569</v>
      </c>
      <c r="AA23" s="152"/>
    </row>
    <row r="24" spans="1:28">
      <c r="A24" s="84">
        <f>'Q.6 Rand()'!V22</f>
        <v>2</v>
      </c>
      <c r="B24" s="141">
        <f>'Q.6 Rand()'!W22</f>
        <v>38.200000000000003</v>
      </c>
      <c r="C24" s="5"/>
      <c r="D24" s="23"/>
      <c r="E24" s="24"/>
      <c r="F24" s="22">
        <f t="shared" si="0"/>
        <v>-1.4390243902439033</v>
      </c>
      <c r="G24" s="22">
        <f t="shared" si="3"/>
        <v>3.2193867208672131</v>
      </c>
      <c r="H24" s="18">
        <f t="shared" si="4"/>
        <v>-4.6327760129552606</v>
      </c>
      <c r="I24" s="18">
        <f t="shared" si="5"/>
        <v>2.0707911957168377</v>
      </c>
      <c r="J24" s="24"/>
      <c r="K24" s="24"/>
      <c r="L24" s="19">
        <f t="shared" si="6"/>
        <v>42.091867031067757</v>
      </c>
      <c r="M24" s="126"/>
      <c r="N24" s="126"/>
      <c r="O24" s="9">
        <f t="shared" si="1"/>
        <v>-3.8918670310677541</v>
      </c>
      <c r="P24" s="10">
        <f t="shared" si="7"/>
        <v>15.146628987512136</v>
      </c>
      <c r="Q24" s="152"/>
      <c r="R24" s="152"/>
      <c r="S24" s="152"/>
      <c r="T24" s="152"/>
      <c r="U24" s="152"/>
      <c r="V24" s="10">
        <f t="shared" si="9"/>
        <v>9.9645793075956876E-2</v>
      </c>
      <c r="W24" s="13">
        <f t="shared" si="2"/>
        <v>50.569929924409145</v>
      </c>
      <c r="X24" s="68"/>
      <c r="Y24" s="68"/>
      <c r="Z24" s="15">
        <f t="shared" si="8"/>
        <v>10.364450858496147</v>
      </c>
      <c r="AA24" s="152"/>
      <c r="AB24" s="152"/>
    </row>
    <row r="25" spans="1:28">
      <c r="A25" s="84">
        <f>'Q.6 Rand()'!V23</f>
        <v>2.5</v>
      </c>
      <c r="B25" s="141">
        <f>'Q.6 Rand()'!W23</f>
        <v>39.571399999999997</v>
      </c>
      <c r="C25" s="5"/>
      <c r="D25" s="23"/>
      <c r="E25" s="24"/>
      <c r="F25" s="22">
        <f t="shared" si="0"/>
        <v>-0.93902439024390327</v>
      </c>
      <c r="G25" s="22">
        <f t="shared" si="3"/>
        <v>4.5907867208672073</v>
      </c>
      <c r="H25" s="18">
        <f t="shared" si="4"/>
        <v>-4.3108607013021372</v>
      </c>
      <c r="I25" s="18">
        <f t="shared" si="5"/>
        <v>0.88176680547293429</v>
      </c>
      <c r="J25" s="24"/>
      <c r="K25" s="24"/>
      <c r="L25" s="19">
        <f t="shared" si="6"/>
        <v>39.621007676581883</v>
      </c>
      <c r="M25" s="126"/>
      <c r="N25" s="126"/>
      <c r="O25" s="9">
        <f t="shared" si="1"/>
        <v>-4.9607676581885585E-2</v>
      </c>
      <c r="P25" s="10">
        <f t="shared" si="7"/>
        <v>2.4609215758529595E-3</v>
      </c>
      <c r="Q25" s="152"/>
      <c r="R25" s="152"/>
      <c r="S25" s="152"/>
      <c r="T25" s="152"/>
      <c r="U25" s="152"/>
      <c r="V25" s="10">
        <f t="shared" si="9"/>
        <v>0.10188133589182602</v>
      </c>
      <c r="W25" s="13">
        <f t="shared" si="2"/>
        <v>21.533260163876928</v>
      </c>
      <c r="X25" s="68"/>
      <c r="Y25" s="68"/>
      <c r="Z25" s="15">
        <f t="shared" si="8"/>
        <v>21.075322716490685</v>
      </c>
      <c r="AA25" s="152"/>
      <c r="AB25" s="152"/>
    </row>
    <row r="26" spans="1:28">
      <c r="A26" s="84">
        <f>'Q.6 Rand()'!V24</f>
        <v>3.9</v>
      </c>
      <c r="B26" s="141">
        <f>'Q.6 Rand()'!W24</f>
        <v>37.299999999999997</v>
      </c>
      <c r="C26" s="5"/>
      <c r="D26" s="23"/>
      <c r="E26" s="24"/>
      <c r="F26" s="22">
        <f t="shared" si="0"/>
        <v>0.46097560975609664</v>
      </c>
      <c r="G26" s="22">
        <f t="shared" si="3"/>
        <v>2.3193867208672074</v>
      </c>
      <c r="H26" s="18">
        <f t="shared" si="4"/>
        <v>1.0691807079119544</v>
      </c>
      <c r="I26" s="18">
        <f t="shared" si="5"/>
        <v>0.21249851279000509</v>
      </c>
      <c r="J26" s="24"/>
      <c r="K26" s="24"/>
      <c r="L26" s="19">
        <f t="shared" si="6"/>
        <v>32.702601484021429</v>
      </c>
      <c r="M26" s="126"/>
      <c r="N26" s="126"/>
      <c r="O26" s="9">
        <f t="shared" si="1"/>
        <v>4.5973985159785684</v>
      </c>
      <c r="P26" s="10">
        <f t="shared" si="7"/>
        <v>21.136073114721942</v>
      </c>
      <c r="Q26" s="152"/>
      <c r="R26" s="152"/>
      <c r="S26" s="152"/>
      <c r="T26" s="152"/>
      <c r="U26" s="152"/>
      <c r="V26" s="10">
        <f t="shared" si="9"/>
        <v>1.2536245010761708E-3</v>
      </c>
      <c r="W26" s="13">
        <f t="shared" si="2"/>
        <v>5.1893377386664854</v>
      </c>
      <c r="X26" s="68"/>
      <c r="Y26" s="68"/>
      <c r="Z26" s="15">
        <f t="shared" si="8"/>
        <v>5.3795547609351368</v>
      </c>
      <c r="AA26" s="152"/>
      <c r="AB26" s="152"/>
    </row>
    <row r="27" spans="1:28">
      <c r="A27" s="84">
        <f>'Q.6 Rand()'!V25</f>
        <v>3.5</v>
      </c>
      <c r="B27" s="141">
        <f>'Q.6 Rand()'!W25</f>
        <v>32.200000000000003</v>
      </c>
      <c r="C27" s="5"/>
      <c r="D27" s="23"/>
      <c r="E27" s="24"/>
      <c r="F27" s="22">
        <f t="shared" si="0"/>
        <v>6.0975609756096727E-2</v>
      </c>
      <c r="G27" s="22">
        <f t="shared" si="3"/>
        <v>-2.7806132791327869</v>
      </c>
      <c r="H27" s="18">
        <f t="shared" si="4"/>
        <v>-0.16954959019102128</v>
      </c>
      <c r="I27" s="18">
        <f t="shared" si="5"/>
        <v>3.7180249851277982E-3</v>
      </c>
      <c r="J27" s="24"/>
      <c r="K27" s="24"/>
      <c r="L27" s="19">
        <f t="shared" si="6"/>
        <v>34.679288967610127</v>
      </c>
      <c r="M27" s="126"/>
      <c r="N27" s="126"/>
      <c r="O27" s="9">
        <f t="shared" si="1"/>
        <v>-2.479288967610124</v>
      </c>
      <c r="P27" s="10">
        <f t="shared" si="7"/>
        <v>6.1468737849132742</v>
      </c>
      <c r="Q27" s="152"/>
      <c r="R27" s="152"/>
      <c r="S27" s="152"/>
      <c r="T27" s="152"/>
      <c r="U27" s="152"/>
      <c r="V27" s="10">
        <f t="shared" si="9"/>
        <v>0.1232546519029107</v>
      </c>
      <c r="W27" s="13">
        <f t="shared" si="2"/>
        <v>9.0796340714606807E-2</v>
      </c>
      <c r="X27" s="68"/>
      <c r="Y27" s="68"/>
      <c r="Z27" s="15">
        <f t="shared" si="8"/>
        <v>7.7318102080895894</v>
      </c>
      <c r="AA27" s="152"/>
      <c r="AB27" s="152"/>
    </row>
    <row r="28" spans="1:28">
      <c r="A28" s="84">
        <f>'Q.6 Rand()'!V26</f>
        <v>2.5</v>
      </c>
      <c r="B28" s="141">
        <f>'Q.6 Rand()'!W26</f>
        <v>37</v>
      </c>
      <c r="C28" s="5"/>
      <c r="D28" s="23"/>
      <c r="E28" s="24"/>
      <c r="F28" s="22">
        <f t="shared" si="0"/>
        <v>-0.93902439024390327</v>
      </c>
      <c r="G28" s="22">
        <f t="shared" si="3"/>
        <v>2.0193867208672103</v>
      </c>
      <c r="H28" s="18">
        <f t="shared" si="4"/>
        <v>-1.8962533842289675</v>
      </c>
      <c r="I28" s="18">
        <f t="shared" si="5"/>
        <v>0.88176680547293429</v>
      </c>
      <c r="J28" s="24"/>
      <c r="K28" s="24"/>
      <c r="L28" s="19">
        <f t="shared" si="6"/>
        <v>39.621007676581883</v>
      </c>
      <c r="M28" s="126"/>
      <c r="N28" s="126"/>
      <c r="O28" s="9">
        <f t="shared" si="1"/>
        <v>-2.6210076765818826</v>
      </c>
      <c r="P28" s="10">
        <f t="shared" si="7"/>
        <v>6.8696812407011585</v>
      </c>
      <c r="Q28" s="152"/>
      <c r="R28" s="152"/>
      <c r="S28" s="152"/>
      <c r="T28" s="152"/>
      <c r="U28" s="152"/>
      <c r="V28" s="10">
        <f t="shared" si="9"/>
        <v>7.6996551789134282E-2</v>
      </c>
      <c r="W28" s="13">
        <f t="shared" si="2"/>
        <v>21.533260163876928</v>
      </c>
      <c r="X28" s="68"/>
      <c r="Y28" s="68"/>
      <c r="Z28" s="15">
        <f t="shared" si="8"/>
        <v>4.0779227284148245</v>
      </c>
      <c r="AA28" s="152"/>
      <c r="AB28" s="152"/>
    </row>
    <row r="29" spans="1:28">
      <c r="A29" s="84">
        <f>'Q.6 Rand()'!V27</f>
        <v>3</v>
      </c>
      <c r="B29" s="141">
        <f>'Q.6 Rand()'!W27</f>
        <v>29.5</v>
      </c>
      <c r="C29" s="5"/>
      <c r="D29" s="23"/>
      <c r="E29" s="24"/>
      <c r="F29" s="22">
        <f t="shared" si="0"/>
        <v>-0.43902439024390327</v>
      </c>
      <c r="G29" s="22">
        <f t="shared" si="3"/>
        <v>-5.4806132791327897</v>
      </c>
      <c r="H29" s="18">
        <f t="shared" si="4"/>
        <v>2.4061229030339124</v>
      </c>
      <c r="I29" s="18">
        <f t="shared" si="5"/>
        <v>0.19274241522903107</v>
      </c>
      <c r="J29" s="24"/>
      <c r="K29" s="24"/>
      <c r="L29" s="19">
        <f t="shared" si="6"/>
        <v>37.150148322096001</v>
      </c>
      <c r="M29" s="126"/>
      <c r="N29" s="126"/>
      <c r="O29" s="9">
        <f t="shared" si="1"/>
        <v>-7.6501483220960012</v>
      </c>
      <c r="P29" s="10">
        <f t="shared" si="7"/>
        <v>58.524769350068262</v>
      </c>
      <c r="Q29" s="152"/>
      <c r="R29" s="152"/>
      <c r="S29" s="152"/>
      <c r="T29" s="152"/>
      <c r="U29" s="152"/>
      <c r="V29" s="10">
        <f t="shared" si="9"/>
        <v>7.0838045313023859E-2</v>
      </c>
      <c r="W29" s="13">
        <f t="shared" si="2"/>
        <v>4.7068823026453837</v>
      </c>
      <c r="X29" s="68"/>
      <c r="Y29" s="68"/>
      <c r="Z29" s="15">
        <f t="shared" si="8"/>
        <v>30.037121915406669</v>
      </c>
      <c r="AA29" s="152"/>
      <c r="AB29" s="152"/>
    </row>
    <row r="30" spans="1:28">
      <c r="A30" s="84">
        <f>'Q.6 Rand()'!V28</f>
        <v>3.7</v>
      </c>
      <c r="B30" s="141">
        <f>'Q.6 Rand()'!W28</f>
        <v>28.1</v>
      </c>
      <c r="C30" s="5"/>
      <c r="D30" s="23"/>
      <c r="E30" s="24"/>
      <c r="F30" s="22">
        <f t="shared" si="0"/>
        <v>0.2609756097560969</v>
      </c>
      <c r="G30" s="22">
        <f t="shared" si="3"/>
        <v>-6.8806132791327883</v>
      </c>
      <c r="H30" s="18">
        <f t="shared" si="4"/>
        <v>-1.7956722460175769</v>
      </c>
      <c r="I30" s="18">
        <f t="shared" si="5"/>
        <v>6.8108268887566575E-2</v>
      </c>
      <c r="J30" s="24"/>
      <c r="K30" s="24"/>
      <c r="L30" s="19">
        <f t="shared" si="6"/>
        <v>33.690945225815774</v>
      </c>
      <c r="M30" s="126"/>
      <c r="N30" s="126"/>
      <c r="O30" s="9">
        <f t="shared" si="1"/>
        <v>-5.5909452258157728</v>
      </c>
      <c r="P30" s="10">
        <f t="shared" si="7"/>
        <v>31.258668518072184</v>
      </c>
      <c r="Q30" s="152"/>
      <c r="R30" s="152"/>
      <c r="S30" s="152"/>
      <c r="T30" s="152"/>
      <c r="U30" s="152"/>
      <c r="V30" s="10">
        <f t="shared" si="9"/>
        <v>0.25932706176596615</v>
      </c>
      <c r="W30" s="13">
        <f t="shared" si="2"/>
        <v>1.6632436877465004</v>
      </c>
      <c r="X30" s="68"/>
      <c r="Y30" s="68"/>
      <c r="Z30" s="15">
        <f t="shared" si="8"/>
        <v>47.342839096978459</v>
      </c>
      <c r="AA30" s="152"/>
      <c r="AB30" s="152"/>
    </row>
    <row r="31" spans="1:28">
      <c r="A31" s="84">
        <f>'Q.6 Rand()'!V29</f>
        <v>3.5</v>
      </c>
      <c r="B31" s="141">
        <f>'Q.6 Rand()'!W29</f>
        <v>30.380500000000001</v>
      </c>
      <c r="C31" s="5"/>
      <c r="D31" s="23"/>
      <c r="E31" s="24"/>
      <c r="F31" s="22">
        <f t="shared" si="0"/>
        <v>6.0975609756096727E-2</v>
      </c>
      <c r="G31" s="22">
        <f t="shared" si="3"/>
        <v>-4.6001132791327883</v>
      </c>
      <c r="H31" s="18">
        <f t="shared" si="4"/>
        <v>-0.28049471214223937</v>
      </c>
      <c r="I31" s="18">
        <f t="shared" si="5"/>
        <v>3.7180249851277982E-3</v>
      </c>
      <c r="J31" s="24"/>
      <c r="K31" s="24"/>
      <c r="L31" s="19">
        <f t="shared" si="6"/>
        <v>34.679288967610127</v>
      </c>
      <c r="M31" s="126"/>
      <c r="N31" s="126"/>
      <c r="O31" s="9">
        <f t="shared" si="1"/>
        <v>-4.2987889676101254</v>
      </c>
      <c r="P31" s="10">
        <f t="shared" si="7"/>
        <v>18.479586588046526</v>
      </c>
      <c r="Q31" s="152"/>
      <c r="R31" s="152"/>
      <c r="S31" s="152"/>
      <c r="T31" s="152"/>
      <c r="U31" s="152"/>
      <c r="V31" s="10">
        <f t="shared" si="9"/>
        <v>0.19896602227102395</v>
      </c>
      <c r="W31" s="13">
        <f t="shared" si="2"/>
        <v>9.0796340714606807E-2</v>
      </c>
      <c r="X31" s="68"/>
      <c r="Y31" s="68"/>
      <c r="Z31" s="15">
        <f t="shared" si="8"/>
        <v>21.161042180853816</v>
      </c>
      <c r="AA31" s="152"/>
      <c r="AB31" s="152"/>
    </row>
    <row r="32" spans="1:28">
      <c r="A32" s="84">
        <f>'Q.6 Rand()'!V30</f>
        <v>3.5</v>
      </c>
      <c r="B32" s="141">
        <f>'Q.6 Rand()'!W30</f>
        <v>41.2</v>
      </c>
      <c r="C32" s="5"/>
      <c r="D32" s="23"/>
      <c r="E32" s="24"/>
      <c r="F32" s="22">
        <f t="shared" si="0"/>
        <v>6.0975609756096727E-2</v>
      </c>
      <c r="G32" s="22">
        <f t="shared" si="3"/>
        <v>6.2193867208672131</v>
      </c>
      <c r="H32" s="18">
        <f t="shared" si="4"/>
        <v>0.37923089761384926</v>
      </c>
      <c r="I32" s="18">
        <f t="shared" si="5"/>
        <v>3.7180249851277982E-3</v>
      </c>
      <c r="J32" s="24"/>
      <c r="K32" s="24"/>
      <c r="L32" s="19">
        <f t="shared" si="6"/>
        <v>34.679288967610127</v>
      </c>
      <c r="M32" s="126"/>
      <c r="N32" s="126"/>
      <c r="O32" s="9">
        <f t="shared" si="1"/>
        <v>6.520711032389876</v>
      </c>
      <c r="P32" s="10">
        <f t="shared" si="7"/>
        <v>42.519672367931044</v>
      </c>
      <c r="Q32" s="152"/>
      <c r="R32" s="152"/>
      <c r="S32" s="152"/>
      <c r="T32" s="152"/>
      <c r="U32" s="152"/>
      <c r="V32" s="10">
        <f t="shared" si="9"/>
        <v>0.14149829553858972</v>
      </c>
      <c r="W32" s="13">
        <f t="shared" si="2"/>
        <v>9.0796340714606807E-2</v>
      </c>
      <c r="X32" s="68"/>
      <c r="Y32" s="68"/>
      <c r="Z32" s="15">
        <f t="shared" si="8"/>
        <v>38.680771183699427</v>
      </c>
      <c r="AA32" s="152"/>
      <c r="AB32" s="152"/>
    </row>
    <row r="33" spans="1:28">
      <c r="A33" s="84">
        <f>'Q.6 Rand()'!V31</f>
        <v>5</v>
      </c>
      <c r="B33" s="141">
        <f>'Q.6 Rand()'!W31</f>
        <v>32.670099999999998</v>
      </c>
      <c r="C33" s="5"/>
      <c r="D33" s="23"/>
      <c r="E33" s="24"/>
      <c r="F33" s="22">
        <f t="shared" si="0"/>
        <v>1.5609756097560967</v>
      </c>
      <c r="G33" s="22">
        <f t="shared" si="3"/>
        <v>-2.3105132791327918</v>
      </c>
      <c r="H33" s="18">
        <f t="shared" si="4"/>
        <v>-3.6066548747438683</v>
      </c>
      <c r="I33" s="18">
        <f t="shared" si="5"/>
        <v>2.436644854253418</v>
      </c>
      <c r="J33" s="24"/>
      <c r="K33" s="24"/>
      <c r="L33" s="19">
        <f t="shared" si="6"/>
        <v>27.266710904152493</v>
      </c>
      <c r="M33" s="126"/>
      <c r="N33" s="126"/>
      <c r="O33" s="9">
        <f t="shared" si="1"/>
        <v>5.4033890958475048</v>
      </c>
      <c r="P33" s="10">
        <f t="shared" si="7"/>
        <v>29.196613721123715</v>
      </c>
      <c r="Q33" s="152"/>
      <c r="R33" s="152"/>
      <c r="S33" s="152"/>
      <c r="T33" s="152"/>
      <c r="U33" s="152"/>
      <c r="V33" s="10">
        <f t="shared" si="9"/>
        <v>0.15826968525218144</v>
      </c>
      <c r="W33" s="13">
        <f t="shared" si="2"/>
        <v>59.504289850726664</v>
      </c>
      <c r="X33" s="68"/>
      <c r="Y33" s="68"/>
      <c r="Z33" s="15">
        <f t="shared" si="8"/>
        <v>5.3384716130489664</v>
      </c>
      <c r="AA33" s="152"/>
      <c r="AB33" s="152"/>
    </row>
    <row r="34" spans="1:28">
      <c r="A34" s="84">
        <f>'Q.6 Rand()'!V32</f>
        <v>4.5999999999999996</v>
      </c>
      <c r="B34" s="141">
        <f>'Q.6 Rand()'!W32</f>
        <v>29</v>
      </c>
      <c r="C34" s="5"/>
      <c r="D34" s="23"/>
      <c r="E34" s="24"/>
      <c r="F34" s="22">
        <f t="shared" si="0"/>
        <v>1.1609756097560964</v>
      </c>
      <c r="G34" s="22">
        <f t="shared" si="3"/>
        <v>-5.9806132791327897</v>
      </c>
      <c r="H34" s="18">
        <f t="shared" si="4"/>
        <v>-6.9433461484565973</v>
      </c>
      <c r="I34" s="18">
        <f t="shared" si="5"/>
        <v>1.3478643664485397</v>
      </c>
      <c r="J34" s="24"/>
      <c r="K34" s="24"/>
      <c r="L34" s="19">
        <f t="shared" si="6"/>
        <v>29.243398387741198</v>
      </c>
      <c r="M34" s="126"/>
      <c r="N34" s="126"/>
      <c r="O34" s="9">
        <f t="shared" si="1"/>
        <v>-0.24339838774119826</v>
      </c>
      <c r="P34" s="10">
        <f t="shared" si="7"/>
        <v>5.9242775155014693E-2</v>
      </c>
      <c r="Q34" s="152"/>
      <c r="R34" s="152"/>
      <c r="S34" s="152"/>
      <c r="T34" s="152"/>
      <c r="U34" s="152"/>
      <c r="V34" s="10">
        <f t="shared" si="9"/>
        <v>0.1653924871931064</v>
      </c>
      <c r="W34" s="13">
        <f t="shared" si="2"/>
        <v>32.915634710005428</v>
      </c>
      <c r="X34" s="68"/>
      <c r="Y34" s="68"/>
      <c r="Z34" s="15">
        <f t="shared" si="8"/>
        <v>35.767735194539462</v>
      </c>
      <c r="AA34" s="152"/>
      <c r="AB34" s="152"/>
    </row>
    <row r="35" spans="1:28">
      <c r="A35" s="84">
        <f>'Q.6 Rand()'!V33</f>
        <v>3.7</v>
      </c>
      <c r="B35" s="141">
        <f>'Q.6 Rand()'!W33</f>
        <v>27</v>
      </c>
      <c r="C35" s="5"/>
      <c r="D35" s="23"/>
      <c r="E35" s="24"/>
      <c r="F35" s="22">
        <f t="shared" si="0"/>
        <v>0.2609756097560969</v>
      </c>
      <c r="G35" s="22">
        <f t="shared" si="3"/>
        <v>-7.9806132791327897</v>
      </c>
      <c r="H35" s="18">
        <f t="shared" si="4"/>
        <v>-2.0827454167492836</v>
      </c>
      <c r="I35" s="18">
        <f t="shared" si="5"/>
        <v>6.8108268887566575E-2</v>
      </c>
      <c r="J35" s="24"/>
      <c r="K35" s="24"/>
      <c r="L35" s="19">
        <f t="shared" si="6"/>
        <v>33.690945225815774</v>
      </c>
      <c r="M35" s="126"/>
      <c r="N35" s="126"/>
      <c r="O35" s="9">
        <f t="shared" si="1"/>
        <v>-6.6909452258157742</v>
      </c>
      <c r="P35" s="10">
        <f t="shared" si="7"/>
        <v>44.768748014866901</v>
      </c>
      <c r="Q35" s="152"/>
      <c r="R35" s="152"/>
      <c r="S35" s="152"/>
      <c r="T35" s="152"/>
      <c r="U35" s="152"/>
      <c r="V35" s="10">
        <f t="shared" si="9"/>
        <v>8.3930478531447673E-3</v>
      </c>
      <c r="W35" s="13">
        <f t="shared" si="2"/>
        <v>1.6632436877465004</v>
      </c>
      <c r="X35" s="68"/>
      <c r="Y35" s="68"/>
      <c r="Z35" s="15">
        <f t="shared" si="8"/>
        <v>63.690188311070621</v>
      </c>
      <c r="AA35" s="152"/>
      <c r="AB35" s="152"/>
    </row>
    <row r="36" spans="1:28">
      <c r="A36" s="84">
        <f>'Q.6 Rand()'!V34</f>
        <v>5.3</v>
      </c>
      <c r="B36" s="141">
        <f>'Q.6 Rand()'!W34</f>
        <v>30.4</v>
      </c>
      <c r="C36" s="5"/>
      <c r="D36" s="23"/>
      <c r="E36" s="24"/>
      <c r="F36" s="22">
        <f t="shared" si="0"/>
        <v>1.8609756097560965</v>
      </c>
      <c r="G36" s="22">
        <f t="shared" si="3"/>
        <v>-4.5806132791327911</v>
      </c>
      <c r="H36" s="18">
        <f t="shared" si="4"/>
        <v>-8.5244095901910182</v>
      </c>
      <c r="I36" s="18">
        <f t="shared" si="5"/>
        <v>3.4632302201070755</v>
      </c>
      <c r="J36" s="24"/>
      <c r="K36" s="24"/>
      <c r="L36" s="19">
        <f t="shared" si="6"/>
        <v>25.784195291460968</v>
      </c>
      <c r="M36" s="126"/>
      <c r="N36" s="126"/>
      <c r="O36" s="9">
        <f t="shared" si="1"/>
        <v>4.6158047085390308</v>
      </c>
      <c r="P36" s="10">
        <f t="shared" si="7"/>
        <v>21.305653107371086</v>
      </c>
      <c r="Q36" s="152"/>
      <c r="R36" s="152"/>
      <c r="S36" s="152"/>
      <c r="T36" s="152"/>
      <c r="U36" s="152"/>
      <c r="V36" s="10">
        <f t="shared" si="9"/>
        <v>0.24781278614132496</v>
      </c>
      <c r="W36" s="13">
        <f t="shared" si="2"/>
        <v>84.574103803973841</v>
      </c>
      <c r="X36" s="68"/>
      <c r="Y36" s="68"/>
      <c r="Z36" s="15">
        <f t="shared" si="8"/>
        <v>20.982018012967661</v>
      </c>
      <c r="AA36" s="152"/>
      <c r="AB36" s="152"/>
    </row>
    <row r="37" spans="1:28">
      <c r="A37" s="84">
        <f>'Q.6 Rand()'!V35</f>
        <v>5.9</v>
      </c>
      <c r="B37" s="141">
        <f>'Q.6 Rand()'!W35</f>
        <v>22.925799999999999</v>
      </c>
      <c r="C37" s="5"/>
      <c r="D37" s="23"/>
      <c r="E37" s="24"/>
      <c r="F37" s="22">
        <f t="shared" si="0"/>
        <v>2.4609756097560971</v>
      </c>
      <c r="G37" s="22">
        <f t="shared" si="3"/>
        <v>-12.054813279132791</v>
      </c>
      <c r="H37" s="18">
        <f t="shared" si="4"/>
        <v>-29.666601460109717</v>
      </c>
      <c r="I37" s="18">
        <f t="shared" si="5"/>
        <v>6.0564009518143935</v>
      </c>
      <c r="J37" s="24"/>
      <c r="K37" s="24"/>
      <c r="L37" s="19">
        <f t="shared" si="6"/>
        <v>22.819164066077914</v>
      </c>
      <c r="M37" s="126"/>
      <c r="N37" s="126"/>
      <c r="O37" s="9">
        <f t="shared" si="1"/>
        <v>0.10663593392208526</v>
      </c>
      <c r="P37" s="10">
        <f t="shared" si="7"/>
        <v>1.1371222403435334E-2</v>
      </c>
      <c r="Q37" s="152"/>
      <c r="R37" s="152"/>
      <c r="S37" s="152"/>
      <c r="T37" s="152"/>
      <c r="U37" s="152"/>
      <c r="V37" s="10">
        <f t="shared" si="9"/>
        <v>0.1518356812019418</v>
      </c>
      <c r="W37" s="13">
        <f t="shared" si="2"/>
        <v>147.90084696171306</v>
      </c>
      <c r="X37" s="68"/>
      <c r="Y37" s="68"/>
      <c r="Z37" s="15">
        <f t="shared" si="8"/>
        <v>145.31852319475627</v>
      </c>
      <c r="AA37" s="152"/>
      <c r="AB37" s="152"/>
    </row>
    <row r="38" spans="1:28">
      <c r="A38" s="84">
        <f>'Q.6 Rand()'!V36</f>
        <v>2.4</v>
      </c>
      <c r="B38" s="141">
        <f>'Q.6 Rand()'!W36</f>
        <v>39.200000000000003</v>
      </c>
      <c r="C38" s="5"/>
      <c r="D38" s="23"/>
      <c r="E38" s="24"/>
      <c r="F38" s="22">
        <f t="shared" si="0"/>
        <v>-1.0390243902439034</v>
      </c>
      <c r="G38" s="22">
        <f t="shared" si="3"/>
        <v>4.2193867208672131</v>
      </c>
      <c r="H38" s="18">
        <f t="shared" si="4"/>
        <v>-4.3840457148522791</v>
      </c>
      <c r="I38" s="18">
        <f t="shared" si="5"/>
        <v>1.0795716835217153</v>
      </c>
      <c r="J38" s="24"/>
      <c r="K38" s="24"/>
      <c r="L38" s="19">
        <f t="shared" si="6"/>
        <v>40.115179547479059</v>
      </c>
      <c r="M38" s="126"/>
      <c r="N38" s="126"/>
      <c r="O38" s="9">
        <f t="shared" si="1"/>
        <v>-0.91517954747905605</v>
      </c>
      <c r="P38" s="10">
        <f t="shared" si="7"/>
        <v>0.83755360412396984</v>
      </c>
      <c r="Q38" s="152"/>
      <c r="R38" s="152"/>
      <c r="S38" s="152"/>
      <c r="T38" s="152"/>
      <c r="U38" s="152"/>
      <c r="V38" s="10">
        <f t="shared" si="9"/>
        <v>4.6513506146823782E-3</v>
      </c>
      <c r="W38" s="13">
        <f t="shared" si="2"/>
        <v>26.36377076403933</v>
      </c>
      <c r="X38" s="68"/>
      <c r="Y38" s="68"/>
      <c r="Z38" s="15">
        <f t="shared" si="8"/>
        <v>17.803224300230575</v>
      </c>
      <c r="AA38" s="152"/>
      <c r="AB38" s="152"/>
    </row>
    <row r="39" spans="1:28">
      <c r="A39" s="84">
        <f>'Q.6 Rand()'!V37</f>
        <v>3.7</v>
      </c>
      <c r="B39" s="141">
        <f>'Q.6 Rand()'!W37</f>
        <v>30.5</v>
      </c>
      <c r="C39" s="5"/>
      <c r="D39" s="23"/>
      <c r="E39" s="24"/>
      <c r="F39" s="22">
        <f t="shared" si="0"/>
        <v>0.2609756097560969</v>
      </c>
      <c r="G39" s="22">
        <f t="shared" si="3"/>
        <v>-4.4806132791327897</v>
      </c>
      <c r="H39" s="18">
        <f t="shared" si="4"/>
        <v>-1.1693307826029447</v>
      </c>
      <c r="I39" s="18">
        <f t="shared" si="5"/>
        <v>6.8108268887566575E-2</v>
      </c>
      <c r="J39" s="24"/>
      <c r="K39" s="24"/>
      <c r="L39" s="19">
        <f t="shared" si="6"/>
        <v>33.690945225815774</v>
      </c>
      <c r="M39" s="126"/>
      <c r="N39" s="126"/>
      <c r="O39" s="9">
        <f t="shared" si="1"/>
        <v>-3.1909452258157742</v>
      </c>
      <c r="P39" s="10">
        <f t="shared" si="7"/>
        <v>10.182131434156481</v>
      </c>
      <c r="Q39" s="152"/>
      <c r="R39" s="152"/>
      <c r="S39" s="152"/>
      <c r="T39" s="152"/>
      <c r="U39" s="152"/>
      <c r="V39" s="10">
        <f t="shared" si="9"/>
        <v>2.3346417027526937E-2</v>
      </c>
      <c r="W39" s="13">
        <f t="shared" si="2"/>
        <v>1.6632436877465004</v>
      </c>
      <c r="X39" s="68"/>
      <c r="Y39" s="68"/>
      <c r="Z39" s="15">
        <f t="shared" si="8"/>
        <v>20.075895357141089</v>
      </c>
      <c r="AA39" s="152"/>
      <c r="AB39" s="152"/>
    </row>
    <row r="40" spans="1:28">
      <c r="A40" s="84">
        <f>'Q.6 Rand()'!V38</f>
        <v>2.4</v>
      </c>
      <c r="B40" s="141">
        <f>'Q.6 Rand()'!W38</f>
        <v>38.6</v>
      </c>
      <c r="C40" s="5"/>
      <c r="D40" s="23"/>
      <c r="E40" s="24"/>
      <c r="F40" s="22">
        <f t="shared" si="0"/>
        <v>-1.0390243902439034</v>
      </c>
      <c r="G40" s="22">
        <f t="shared" si="3"/>
        <v>3.6193867208672117</v>
      </c>
      <c r="H40" s="18">
        <f t="shared" si="4"/>
        <v>-3.7606310807059353</v>
      </c>
      <c r="I40" s="18">
        <f t="shared" si="5"/>
        <v>1.0795716835217153</v>
      </c>
      <c r="J40" s="24"/>
      <c r="K40" s="24"/>
      <c r="L40" s="19">
        <f t="shared" si="6"/>
        <v>40.115179547479059</v>
      </c>
      <c r="M40" s="126"/>
      <c r="N40" s="126"/>
      <c r="O40" s="9">
        <f t="shared" si="1"/>
        <v>-1.5151795474790575</v>
      </c>
      <c r="P40" s="10">
        <f t="shared" si="7"/>
        <v>2.2957690610988415</v>
      </c>
      <c r="Q40" s="152"/>
      <c r="R40" s="152"/>
      <c r="S40" s="152"/>
      <c r="T40" s="152"/>
      <c r="U40" s="152"/>
      <c r="V40" s="10">
        <f t="shared" si="9"/>
        <v>0.10462115494477948</v>
      </c>
      <c r="W40" s="13">
        <f t="shared" si="2"/>
        <v>26.36377076403933</v>
      </c>
      <c r="X40" s="68"/>
      <c r="Y40" s="68"/>
      <c r="Z40" s="15">
        <f t="shared" si="8"/>
        <v>13.099960235189908</v>
      </c>
      <c r="AA40" s="152"/>
      <c r="AB40" s="152"/>
    </row>
    <row r="41" spans="1:28">
      <c r="A41" s="84">
        <f>'Q.6 Rand()'!V39</f>
        <v>2</v>
      </c>
      <c r="B41" s="141">
        <f>'Q.6 Rand()'!W39</f>
        <v>37.798900000000003</v>
      </c>
      <c r="C41" s="5"/>
      <c r="D41" s="23"/>
      <c r="E41" s="24"/>
      <c r="F41" s="22">
        <f t="shared" si="0"/>
        <v>-1.4390243902439033</v>
      </c>
      <c r="G41" s="22">
        <f t="shared" si="3"/>
        <v>2.8182867208672135</v>
      </c>
      <c r="H41" s="18">
        <f t="shared" si="4"/>
        <v>-4.0555833300284316</v>
      </c>
      <c r="I41" s="18">
        <f t="shared" si="5"/>
        <v>2.0707911957168377</v>
      </c>
      <c r="J41" s="24"/>
      <c r="K41" s="24"/>
      <c r="L41" s="19">
        <f t="shared" si="6"/>
        <v>42.091867031067757</v>
      </c>
      <c r="M41" s="126"/>
      <c r="N41" s="126"/>
      <c r="O41" s="9">
        <f t="shared" si="1"/>
        <v>-4.2929670310677537</v>
      </c>
      <c r="P41" s="10">
        <f t="shared" si="7"/>
        <v>18.429565929834684</v>
      </c>
      <c r="Q41" s="152"/>
      <c r="R41" s="152"/>
      <c r="S41" s="152"/>
      <c r="T41" s="152"/>
      <c r="U41" s="152"/>
      <c r="V41" s="10">
        <f t="shared" si="9"/>
        <v>3.9253356152307184E-2</v>
      </c>
      <c r="W41" s="13">
        <f t="shared" si="2"/>
        <v>50.569929924409145</v>
      </c>
      <c r="X41" s="68"/>
      <c r="Y41" s="68"/>
      <c r="Z41" s="15">
        <f t="shared" si="8"/>
        <v>7.9427400410164708</v>
      </c>
      <c r="AA41" s="152"/>
      <c r="AB41" s="152"/>
    </row>
    <row r="42" spans="1:28">
      <c r="A42" s="84">
        <f>'Q.6 Rand()'!V40</f>
        <v>3</v>
      </c>
      <c r="B42" s="141">
        <f>'Q.6 Rand()'!W40</f>
        <v>36.1</v>
      </c>
      <c r="C42" s="5"/>
      <c r="D42" s="23"/>
      <c r="E42" s="24"/>
      <c r="F42" s="22">
        <f t="shared" si="0"/>
        <v>-0.43902439024390327</v>
      </c>
      <c r="G42" s="22">
        <f t="shared" si="3"/>
        <v>1.1193867208672117</v>
      </c>
      <c r="H42" s="18">
        <f t="shared" si="4"/>
        <v>-0.49143807257584998</v>
      </c>
      <c r="I42" s="18">
        <f t="shared" si="5"/>
        <v>0.19274241522903107</v>
      </c>
      <c r="J42" s="24"/>
      <c r="K42" s="24"/>
      <c r="L42" s="19">
        <f t="shared" si="6"/>
        <v>37.150148322096001</v>
      </c>
      <c r="M42" s="126"/>
      <c r="N42" s="126"/>
      <c r="O42" s="9">
        <f t="shared" si="1"/>
        <v>-1.0501483220959997</v>
      </c>
      <c r="P42" s="10">
        <f t="shared" si="7"/>
        <v>1.1028114984010435</v>
      </c>
      <c r="Q42" s="152"/>
      <c r="R42" s="152"/>
      <c r="S42" s="152"/>
      <c r="T42" s="152"/>
      <c r="U42" s="152"/>
      <c r="V42" s="10">
        <f t="shared" si="9"/>
        <v>0.1135738614369136</v>
      </c>
      <c r="W42" s="13">
        <f t="shared" si="2"/>
        <v>4.7068823026453837</v>
      </c>
      <c r="X42" s="68"/>
      <c r="Y42" s="68"/>
      <c r="Z42" s="15">
        <f t="shared" si="8"/>
        <v>1.2530266308538489</v>
      </c>
      <c r="AA42" s="152"/>
      <c r="AB42" s="152"/>
    </row>
    <row r="43" spans="1:28">
      <c r="A43" s="84">
        <f>'Q.6 Rand()'!V41</f>
        <v>4.5999999999999996</v>
      </c>
      <c r="B43" s="141">
        <f>'Q.6 Rand()'!W41</f>
        <v>34.1</v>
      </c>
      <c r="C43" s="5"/>
      <c r="D43" s="23"/>
      <c r="E43" s="24"/>
      <c r="F43" s="22">
        <f t="shared" si="0"/>
        <v>1.1609756097560964</v>
      </c>
      <c r="G43" s="22">
        <f t="shared" si="3"/>
        <v>-0.88061327913278831</v>
      </c>
      <c r="H43" s="18">
        <f t="shared" si="4"/>
        <v>-1.0223705387005044</v>
      </c>
      <c r="I43" s="18">
        <f t="shared" si="5"/>
        <v>1.3478643664485397</v>
      </c>
      <c r="J43" s="24"/>
      <c r="K43" s="24"/>
      <c r="L43" s="19">
        <f t="shared" si="6"/>
        <v>29.243398387741198</v>
      </c>
      <c r="M43" s="126"/>
      <c r="N43" s="126"/>
      <c r="O43" s="9">
        <f t="shared" si="1"/>
        <v>4.8566016122588032</v>
      </c>
      <c r="P43" s="10">
        <f t="shared" si="7"/>
        <v>23.586579220194807</v>
      </c>
      <c r="Q43" s="152"/>
      <c r="R43" s="152"/>
      <c r="S43" s="152"/>
      <c r="T43" s="152"/>
      <c r="U43" s="152"/>
      <c r="V43" s="10">
        <f t="shared" si="9"/>
        <v>2.9089981221495836E-2</v>
      </c>
      <c r="W43" s="13">
        <f t="shared" si="2"/>
        <v>32.915634710005428</v>
      </c>
      <c r="X43" s="68"/>
      <c r="Y43" s="68"/>
      <c r="Z43" s="15">
        <f t="shared" si="8"/>
        <v>0.77547974738500214</v>
      </c>
      <c r="AA43" s="152"/>
      <c r="AB43" s="152"/>
    </row>
    <row r="44" spans="1:28">
      <c r="A44" s="84">
        <f>'Q.6 Rand()'!V42</f>
        <v>2</v>
      </c>
      <c r="B44" s="141">
        <f>'Q.6 Rand()'!W42</f>
        <v>35.299999999999997</v>
      </c>
      <c r="C44" s="5"/>
      <c r="D44" s="23"/>
      <c r="E44" s="24"/>
      <c r="F44" s="22">
        <f t="shared" si="0"/>
        <v>-1.4390243902439033</v>
      </c>
      <c r="G44" s="22">
        <f t="shared" si="3"/>
        <v>0.31938672086720743</v>
      </c>
      <c r="H44" s="18">
        <f t="shared" si="4"/>
        <v>-0.45960528124793293</v>
      </c>
      <c r="I44" s="18">
        <f t="shared" si="5"/>
        <v>2.0707911957168377</v>
      </c>
      <c r="J44" s="24"/>
      <c r="K44" s="24"/>
      <c r="L44" s="19">
        <f t="shared" si="6"/>
        <v>42.091867031067757</v>
      </c>
      <c r="M44" s="126"/>
      <c r="N44" s="126"/>
      <c r="O44" s="9">
        <f t="shared" si="1"/>
        <v>-6.7918670310677598</v>
      </c>
      <c r="P44" s="10">
        <f t="shared" si="7"/>
        <v>46.129457767705183</v>
      </c>
      <c r="Q44" s="152"/>
      <c r="R44" s="152"/>
      <c r="S44" s="152"/>
      <c r="T44" s="152"/>
      <c r="U44" s="152"/>
      <c r="V44" s="10">
        <f t="shared" si="9"/>
        <v>0.14242233467034612</v>
      </c>
      <c r="W44" s="13">
        <f t="shared" si="2"/>
        <v>50.569929924409145</v>
      </c>
      <c r="X44" s="68"/>
      <c r="Y44" s="68"/>
      <c r="Z44" s="15">
        <f t="shared" si="8"/>
        <v>0.10200787746630748</v>
      </c>
      <c r="AA44" s="152"/>
      <c r="AB44" s="152"/>
    </row>
    <row r="45" spans="1:28">
      <c r="A45" s="84">
        <f>'Q.6 Rand()'!V43</f>
        <v>4.8</v>
      </c>
      <c r="B45" s="141">
        <f>'Q.6 Rand()'!W43</f>
        <v>25.56</v>
      </c>
      <c r="C45" s="5"/>
      <c r="D45" s="23"/>
      <c r="E45" s="24"/>
      <c r="F45" s="22">
        <f t="shared" si="0"/>
        <v>1.3609756097560965</v>
      </c>
      <c r="G45" s="22">
        <f t="shared" si="3"/>
        <v>-9.420613279132791</v>
      </c>
      <c r="H45" s="18">
        <f t="shared" si="4"/>
        <v>-12.821224901844131</v>
      </c>
      <c r="I45" s="18">
        <f t="shared" si="5"/>
        <v>1.8522546103509787</v>
      </c>
      <c r="J45" s="24"/>
      <c r="K45" s="24"/>
      <c r="L45" s="19">
        <f t="shared" si="6"/>
        <v>28.255054645946846</v>
      </c>
      <c r="M45" s="126"/>
      <c r="N45" s="126"/>
      <c r="O45" s="9">
        <f t="shared" si="1"/>
        <v>-2.695054645946847</v>
      </c>
      <c r="P45" s="10">
        <f t="shared" si="7"/>
        <v>7.2633195446396845</v>
      </c>
      <c r="Q45" s="152"/>
      <c r="R45" s="152"/>
      <c r="S45" s="152"/>
      <c r="T45" s="152"/>
      <c r="U45" s="152"/>
      <c r="V45" s="10">
        <f t="shared" si="9"/>
        <v>0.19240416518605552</v>
      </c>
      <c r="W45" s="13">
        <f t="shared" si="2"/>
        <v>45.233138928421987</v>
      </c>
      <c r="X45" s="68"/>
      <c r="Y45" s="68"/>
      <c r="Z45" s="15">
        <f t="shared" si="8"/>
        <v>88.747954554973077</v>
      </c>
      <c r="AA45" s="152"/>
      <c r="AB45" s="152"/>
    </row>
    <row r="46" spans="1:28">
      <c r="A46" s="84">
        <f>'Q.6 Rand()'!V44</f>
        <v>2.4</v>
      </c>
      <c r="B46" s="141">
        <f>'Q.6 Rand()'!W44</f>
        <v>43.2286</v>
      </c>
      <c r="C46" s="5"/>
      <c r="D46" s="23"/>
      <c r="E46" s="24"/>
      <c r="F46" s="22">
        <f t="shared" si="0"/>
        <v>-1.0390243902439034</v>
      </c>
      <c r="G46" s="22">
        <f t="shared" si="3"/>
        <v>8.2479867208672104</v>
      </c>
      <c r="H46" s="18">
        <f t="shared" si="4"/>
        <v>-8.5698593733888657</v>
      </c>
      <c r="I46" s="18">
        <f t="shared" si="5"/>
        <v>1.0795716835217153</v>
      </c>
      <c r="J46" s="24"/>
      <c r="K46" s="24"/>
      <c r="L46" s="19">
        <f t="shared" si="6"/>
        <v>40.115179547479059</v>
      </c>
      <c r="M46" s="126"/>
      <c r="N46" s="126"/>
      <c r="O46" s="9">
        <f t="shared" si="1"/>
        <v>3.1134204525209412</v>
      </c>
      <c r="P46" s="10">
        <f t="shared" si="7"/>
        <v>9.6933869141757025</v>
      </c>
      <c r="Q46" s="152"/>
      <c r="R46" s="152"/>
      <c r="S46" s="152"/>
      <c r="T46" s="152"/>
      <c r="U46" s="152"/>
      <c r="V46" s="10">
        <f t="shared" si="9"/>
        <v>0.10544032261137899</v>
      </c>
      <c r="W46" s="13">
        <f t="shared" si="2"/>
        <v>26.36377076403933</v>
      </c>
      <c r="X46" s="68"/>
      <c r="Y46" s="68"/>
      <c r="Z46" s="15">
        <f t="shared" si="8"/>
        <v>68.029284947601838</v>
      </c>
      <c r="AA46" s="152"/>
      <c r="AB46" s="152"/>
    </row>
    <row r="47" spans="1:28">
      <c r="A47" s="84">
        <f>'Q.6 Rand()'!V45</f>
        <v>4</v>
      </c>
      <c r="B47" s="141">
        <f>'Q.6 Rand()'!W45</f>
        <v>27.736599999999999</v>
      </c>
      <c r="C47" s="5"/>
      <c r="D47" s="23"/>
      <c r="E47" s="24"/>
      <c r="F47" s="22">
        <f t="shared" si="0"/>
        <v>0.56097560975609673</v>
      </c>
      <c r="G47" s="22">
        <f t="shared" si="3"/>
        <v>-7.2440132791327905</v>
      </c>
      <c r="H47" s="18">
        <f t="shared" si="4"/>
        <v>-4.0637147663427786</v>
      </c>
      <c r="I47" s="18">
        <f t="shared" si="5"/>
        <v>0.31469363474122453</v>
      </c>
      <c r="J47" s="24"/>
      <c r="K47" s="24"/>
      <c r="L47" s="19">
        <f t="shared" si="6"/>
        <v>32.208429613124252</v>
      </c>
      <c r="M47" s="126"/>
      <c r="N47" s="126"/>
      <c r="O47" s="9">
        <f t="shared" si="1"/>
        <v>-4.4718296131242532</v>
      </c>
      <c r="P47" s="10">
        <f t="shared" si="7"/>
        <v>19.997260088815008</v>
      </c>
      <c r="Q47" s="152"/>
      <c r="R47" s="152"/>
      <c r="S47" s="152"/>
      <c r="T47" s="152"/>
      <c r="U47" s="152"/>
      <c r="V47" s="10">
        <f t="shared" si="9"/>
        <v>7.2022236494379679E-2</v>
      </c>
      <c r="W47" s="13">
        <f t="shared" si="2"/>
        <v>7.6850022780845331</v>
      </c>
      <c r="X47" s="68"/>
      <c r="Y47" s="68"/>
      <c r="Z47" s="15">
        <f t="shared" si="8"/>
        <v>52.4757283882522</v>
      </c>
      <c r="AA47" s="152"/>
      <c r="AB47" s="152"/>
    </row>
    <row r="48" spans="1:28">
      <c r="A48" s="84">
        <f>'Q.6 Rand()'!V46</f>
        <v>5</v>
      </c>
      <c r="B48" s="141">
        <f>'Q.6 Rand()'!W46</f>
        <v>30.802700000000002</v>
      </c>
      <c r="C48" s="5"/>
      <c r="D48" s="23"/>
      <c r="E48" s="24"/>
      <c r="F48" s="22">
        <f t="shared" si="0"/>
        <v>1.5609756097560967</v>
      </c>
      <c r="G48" s="22">
        <f t="shared" si="3"/>
        <v>-4.1779132791327882</v>
      </c>
      <c r="H48" s="18">
        <f t="shared" si="4"/>
        <v>-6.5216207284023975</v>
      </c>
      <c r="I48" s="18">
        <f t="shared" si="5"/>
        <v>2.436644854253418</v>
      </c>
      <c r="J48" s="24"/>
      <c r="K48" s="24"/>
      <c r="L48" s="19">
        <f t="shared" si="6"/>
        <v>27.266710904152493</v>
      </c>
      <c r="M48" s="126"/>
      <c r="N48" s="126"/>
      <c r="O48" s="9">
        <f t="shared" si="1"/>
        <v>3.5359890958475084</v>
      </c>
      <c r="P48" s="10">
        <f t="shared" si="7"/>
        <v>12.50321888595248</v>
      </c>
      <c r="Q48" s="152"/>
      <c r="R48" s="152"/>
      <c r="S48" s="152"/>
      <c r="T48" s="152"/>
      <c r="U48" s="152"/>
      <c r="V48" s="10">
        <f t="shared" si="9"/>
        <v>0.16122486581355513</v>
      </c>
      <c r="W48" s="13">
        <f t="shared" si="2"/>
        <v>59.504289850726664</v>
      </c>
      <c r="X48" s="68"/>
      <c r="Y48" s="68"/>
      <c r="Z48" s="15">
        <f t="shared" si="8"/>
        <v>17.454959367954086</v>
      </c>
      <c r="AA48" s="152"/>
      <c r="AB48" s="152"/>
    </row>
    <row r="49" spans="1:28">
      <c r="A49" s="84">
        <f>'Q.6 Rand()'!V47</f>
        <v>6.8</v>
      </c>
      <c r="B49" s="141">
        <f>'Q.6 Rand()'!W47</f>
        <v>21.006</v>
      </c>
      <c r="C49" s="5"/>
      <c r="D49" s="23"/>
      <c r="E49" s="24"/>
      <c r="F49" s="22">
        <f t="shared" si="0"/>
        <v>3.3609756097560965</v>
      </c>
      <c r="G49" s="22">
        <f t="shared" si="3"/>
        <v>-13.97461327913279</v>
      </c>
      <c r="H49" s="18">
        <f t="shared" si="4"/>
        <v>-46.96833438693897</v>
      </c>
      <c r="I49" s="18">
        <f t="shared" si="5"/>
        <v>11.296157049375365</v>
      </c>
      <c r="J49" s="24"/>
      <c r="K49" s="24"/>
      <c r="L49" s="19">
        <f t="shared" si="6"/>
        <v>18.371617228003338</v>
      </c>
      <c r="M49" s="126"/>
      <c r="N49" s="126"/>
      <c r="O49" s="9">
        <f t="shared" si="1"/>
        <v>2.6343827719966626</v>
      </c>
      <c r="P49" s="10">
        <f t="shared" si="7"/>
        <v>6.9399725893928199</v>
      </c>
      <c r="Q49" s="152"/>
      <c r="R49" s="152"/>
      <c r="S49" s="152"/>
      <c r="T49" s="152"/>
      <c r="U49" s="152"/>
      <c r="V49" s="10">
        <f t="shared" si="9"/>
        <v>0.11479477759571428</v>
      </c>
      <c r="W49" s="13">
        <f t="shared" si="2"/>
        <v>275.85874982643372</v>
      </c>
      <c r="X49" s="68"/>
      <c r="Y49" s="68"/>
      <c r="Z49" s="15">
        <f t="shared" si="8"/>
        <v>195.28981630131449</v>
      </c>
      <c r="AA49" s="152"/>
      <c r="AB49" s="152"/>
    </row>
    <row r="50" spans="1:28">
      <c r="A50" s="84">
        <f>'Q.6 Rand()'!V48</f>
        <v>2.4</v>
      </c>
      <c r="B50" s="141">
        <f>'Q.6 Rand()'!W48</f>
        <v>39.347999999999999</v>
      </c>
      <c r="C50" s="5"/>
      <c r="D50" s="23"/>
      <c r="E50" s="24"/>
      <c r="F50" s="22">
        <f t="shared" si="0"/>
        <v>-1.0390243902439034</v>
      </c>
      <c r="G50" s="22">
        <f t="shared" si="3"/>
        <v>4.3673867208672092</v>
      </c>
      <c r="H50" s="18">
        <f t="shared" si="4"/>
        <v>-4.5378213246083723</v>
      </c>
      <c r="I50" s="18">
        <f t="shared" si="5"/>
        <v>1.0795716835217153</v>
      </c>
      <c r="J50" s="24"/>
      <c r="K50" s="24"/>
      <c r="L50" s="19">
        <f t="shared" si="6"/>
        <v>40.115179547479059</v>
      </c>
      <c r="M50" s="126"/>
      <c r="N50" s="126"/>
      <c r="O50" s="9">
        <f t="shared" si="1"/>
        <v>-0.76717954747905992</v>
      </c>
      <c r="P50" s="10">
        <f t="shared" si="7"/>
        <v>0.5885644580701751</v>
      </c>
      <c r="Q50" s="152"/>
      <c r="R50" s="152"/>
      <c r="S50" s="152"/>
      <c r="T50" s="152"/>
      <c r="U50" s="152"/>
      <c r="V50" s="10">
        <f t="shared" si="9"/>
        <v>0.12541096696166154</v>
      </c>
      <c r="W50" s="13">
        <f t="shared" si="2"/>
        <v>26.36377076403933</v>
      </c>
      <c r="X50" s="68"/>
      <c r="Y50" s="68"/>
      <c r="Z50" s="15">
        <f t="shared" si="8"/>
        <v>19.074066769607235</v>
      </c>
      <c r="AA50" s="152"/>
      <c r="AB50" s="152"/>
    </row>
    <row r="51" spans="1:28">
      <c r="A51" s="84">
        <f>'Q.6 Rand()'!V49</f>
        <v>3</v>
      </c>
      <c r="B51" s="141">
        <f>'Q.6 Rand()'!W49</f>
        <v>29.6</v>
      </c>
      <c r="C51" s="5"/>
      <c r="D51" s="23"/>
      <c r="E51" s="24"/>
      <c r="F51" s="22">
        <f t="shared" si="0"/>
        <v>-0.43902439024390327</v>
      </c>
      <c r="G51" s="22">
        <f t="shared" si="3"/>
        <v>-5.3806132791327883</v>
      </c>
      <c r="H51" s="18">
        <f t="shared" si="4"/>
        <v>2.3622204640095212</v>
      </c>
      <c r="I51" s="18">
        <f t="shared" si="5"/>
        <v>0.19274241522903107</v>
      </c>
      <c r="J51" s="24"/>
      <c r="K51" s="24"/>
      <c r="L51" s="19">
        <f t="shared" si="6"/>
        <v>37.150148322096001</v>
      </c>
      <c r="M51" s="126"/>
      <c r="N51" s="126"/>
      <c r="O51" s="9">
        <f t="shared" si="1"/>
        <v>-7.5501483220959997</v>
      </c>
      <c r="P51" s="10">
        <f t="shared" si="7"/>
        <v>57.004739685649042</v>
      </c>
      <c r="Q51" s="152"/>
      <c r="R51" s="152"/>
      <c r="S51" s="152"/>
      <c r="T51" s="152"/>
      <c r="U51" s="152"/>
      <c r="V51" s="10">
        <f t="shared" si="9"/>
        <v>1.9497294588773507E-2</v>
      </c>
      <c r="W51" s="13">
        <f t="shared" si="2"/>
        <v>4.7068823026453837</v>
      </c>
      <c r="X51" s="68"/>
      <c r="Y51" s="68"/>
      <c r="Z51" s="15">
        <f t="shared" si="8"/>
        <v>28.950999259580097</v>
      </c>
      <c r="AA51" s="152"/>
      <c r="AB51" s="152"/>
    </row>
    <row r="52" spans="1:28">
      <c r="A52" s="84">
        <f>'Q.6 Rand()'!V50</f>
        <v>2.4</v>
      </c>
      <c r="B52" s="141">
        <f>'Q.6 Rand()'!W50</f>
        <v>37.071100000000001</v>
      </c>
      <c r="C52" s="5"/>
      <c r="D52" s="23"/>
      <c r="E52" s="24"/>
      <c r="F52" s="22">
        <f t="shared" si="0"/>
        <v>-1.0390243902439034</v>
      </c>
      <c r="G52" s="22">
        <f t="shared" si="3"/>
        <v>2.0904867208672115</v>
      </c>
      <c r="H52" s="18">
        <f t="shared" si="4"/>
        <v>-2.1720666904620316</v>
      </c>
      <c r="I52" s="18">
        <f t="shared" si="5"/>
        <v>1.0795716835217153</v>
      </c>
      <c r="J52" s="24"/>
      <c r="K52" s="24"/>
      <c r="L52" s="19">
        <f t="shared" si="6"/>
        <v>40.115179547479059</v>
      </c>
      <c r="M52" s="126"/>
      <c r="N52" s="126"/>
      <c r="O52" s="9">
        <f t="shared" si="1"/>
        <v>-3.0440795474790576</v>
      </c>
      <c r="P52" s="10">
        <f t="shared" si="7"/>
        <v>9.2664202913803049</v>
      </c>
      <c r="Q52" s="152"/>
      <c r="R52" s="152"/>
      <c r="S52" s="152"/>
      <c r="T52" s="152"/>
      <c r="U52" s="152"/>
      <c r="V52" s="10">
        <f t="shared" si="9"/>
        <v>0.25507257844918918</v>
      </c>
      <c r="W52" s="13">
        <f t="shared" si="2"/>
        <v>26.36377076403933</v>
      </c>
      <c r="X52" s="68"/>
      <c r="Y52" s="68"/>
      <c r="Z52" s="15">
        <f t="shared" si="8"/>
        <v>4.3701347301221469</v>
      </c>
      <c r="AA52" s="152"/>
      <c r="AB52" s="152"/>
    </row>
    <row r="53" spans="1:28">
      <c r="A53" s="84">
        <f>'Q.6 Rand()'!V51</f>
        <v>2.7</v>
      </c>
      <c r="B53" s="141">
        <f>'Q.6 Rand()'!W51</f>
        <v>35.700000000000003</v>
      </c>
      <c r="C53" s="5"/>
      <c r="D53" s="23"/>
      <c r="E53" s="24"/>
      <c r="F53" s="22">
        <f t="shared" si="0"/>
        <v>-0.7390243902439031</v>
      </c>
      <c r="G53" s="22">
        <f t="shared" si="3"/>
        <v>0.71938672086721311</v>
      </c>
      <c r="H53" s="18">
        <f t="shared" si="4"/>
        <v>-0.53164433273845313</v>
      </c>
      <c r="I53" s="18">
        <f t="shared" si="5"/>
        <v>0.54615704937537279</v>
      </c>
      <c r="J53" s="24"/>
      <c r="K53" s="24"/>
      <c r="L53" s="19">
        <f t="shared" si="6"/>
        <v>38.63266393478753</v>
      </c>
      <c r="M53" s="126"/>
      <c r="N53" s="126"/>
      <c r="O53" s="9">
        <f t="shared" si="1"/>
        <v>-2.9326639347875272</v>
      </c>
      <c r="P53" s="10">
        <f t="shared" si="7"/>
        <v>8.6005177544034623</v>
      </c>
      <c r="Q53" s="152"/>
      <c r="R53" s="152"/>
      <c r="S53" s="152"/>
      <c r="T53" s="152"/>
      <c r="U53" s="152"/>
      <c r="V53" s="10">
        <f t="shared" si="9"/>
        <v>8.2114626959519876E-2</v>
      </c>
      <c r="W53" s="13">
        <f t="shared" si="2"/>
        <v>13.337473991468219</v>
      </c>
      <c r="X53" s="68"/>
      <c r="Y53" s="68"/>
      <c r="Z53" s="15">
        <f t="shared" si="8"/>
        <v>0.51751725416008154</v>
      </c>
      <c r="AA53" s="152"/>
      <c r="AB53" s="152"/>
    </row>
    <row r="54" spans="1:28">
      <c r="A54" s="84">
        <f>'Q.6 Rand()'!V52</f>
        <v>2.4</v>
      </c>
      <c r="B54" s="141">
        <f>'Q.6 Rand()'!W52</f>
        <v>46.8</v>
      </c>
      <c r="C54" s="5"/>
      <c r="D54" s="23"/>
      <c r="E54" s="24"/>
      <c r="F54" s="22">
        <f t="shared" si="0"/>
        <v>-1.0390243902439034</v>
      </c>
      <c r="G54" s="22">
        <f t="shared" si="3"/>
        <v>11.819386720867207</v>
      </c>
      <c r="H54" s="18">
        <f t="shared" si="4"/>
        <v>-12.280631080705939</v>
      </c>
      <c r="I54" s="18">
        <f t="shared" si="5"/>
        <v>1.0795716835217153</v>
      </c>
      <c r="J54" s="24"/>
      <c r="K54" s="24"/>
      <c r="L54" s="19">
        <f t="shared" si="6"/>
        <v>40.115179547479059</v>
      </c>
      <c r="M54" s="126"/>
      <c r="N54" s="126"/>
      <c r="O54" s="9">
        <f t="shared" si="1"/>
        <v>6.6848204525209383</v>
      </c>
      <c r="P54" s="10">
        <f t="shared" si="7"/>
        <v>44.68682448244224</v>
      </c>
      <c r="Q54" s="152"/>
      <c r="R54" s="152"/>
      <c r="S54" s="152"/>
      <c r="T54" s="152"/>
      <c r="U54" s="152"/>
      <c r="V54" s="10">
        <f t="shared" si="9"/>
        <v>8.2147449153712235E-2</v>
      </c>
      <c r="W54" s="13">
        <f t="shared" si="2"/>
        <v>26.36377076403933</v>
      </c>
      <c r="X54" s="68"/>
      <c r="Y54" s="68"/>
      <c r="Z54" s="15">
        <f t="shared" si="8"/>
        <v>139.69790245741208</v>
      </c>
      <c r="AA54" s="152"/>
      <c r="AB54" s="152"/>
    </row>
    <row r="55" spans="1:28">
      <c r="A55" s="84">
        <f>'Q.6 Rand()'!V53</f>
        <v>3.5</v>
      </c>
      <c r="B55" s="141">
        <f>'Q.6 Rand()'!W53</f>
        <v>33.5</v>
      </c>
      <c r="C55" s="5"/>
      <c r="D55" s="23"/>
      <c r="E55" s="24"/>
      <c r="F55" s="22">
        <f t="shared" si="0"/>
        <v>6.0975609756096727E-2</v>
      </c>
      <c r="G55" s="22">
        <f t="shared" si="3"/>
        <v>-1.4806132791327897</v>
      </c>
      <c r="H55" s="18">
        <f t="shared" si="4"/>
        <v>-9.0281297508095701E-2</v>
      </c>
      <c r="I55" s="18">
        <f t="shared" si="5"/>
        <v>3.7180249851277982E-3</v>
      </c>
      <c r="J55" s="24"/>
      <c r="K55" s="24"/>
      <c r="L55" s="19">
        <f t="shared" si="6"/>
        <v>34.679288967610127</v>
      </c>
      <c r="M55" s="126"/>
      <c r="N55" s="126"/>
      <c r="O55" s="9">
        <f t="shared" si="1"/>
        <v>-1.1792889676101268</v>
      </c>
      <c r="P55" s="10">
        <f t="shared" si="7"/>
        <v>1.3907224691269586</v>
      </c>
      <c r="Q55" s="152"/>
      <c r="R55" s="152"/>
      <c r="S55" s="152"/>
      <c r="T55" s="152"/>
      <c r="U55" s="152"/>
      <c r="V55" s="10">
        <f t="shared" si="9"/>
        <v>0.14283804385728502</v>
      </c>
      <c r="W55" s="13">
        <f t="shared" si="2"/>
        <v>9.0796340714606807E-2</v>
      </c>
      <c r="X55" s="68"/>
      <c r="Y55" s="68"/>
      <c r="Z55" s="15">
        <f t="shared" si="8"/>
        <v>2.1922156823443522</v>
      </c>
      <c r="AA55" s="152"/>
      <c r="AB55" s="152"/>
    </row>
    <row r="56" spans="1:28">
      <c r="A56" s="84">
        <f>'Q.6 Rand()'!V54</f>
        <v>3</v>
      </c>
      <c r="B56" s="141">
        <f>'Q.6 Rand()'!W54</f>
        <v>34.285299999999999</v>
      </c>
      <c r="C56" s="5"/>
      <c r="D56" s="23"/>
      <c r="E56" s="24"/>
      <c r="F56" s="22">
        <f t="shared" si="0"/>
        <v>-0.43902439024390327</v>
      </c>
      <c r="G56" s="22">
        <f t="shared" si="3"/>
        <v>-0.69531327913279029</v>
      </c>
      <c r="H56" s="18">
        <f t="shared" si="4"/>
        <v>0.30525948839976219</v>
      </c>
      <c r="I56" s="18">
        <f t="shared" si="5"/>
        <v>0.19274241522903107</v>
      </c>
      <c r="J56" s="24"/>
      <c r="K56" s="24"/>
      <c r="L56" s="19">
        <f t="shared" si="6"/>
        <v>37.150148322096001</v>
      </c>
      <c r="M56" s="126"/>
      <c r="N56" s="126"/>
      <c r="O56" s="9">
        <f t="shared" si="1"/>
        <v>-2.8648483220960017</v>
      </c>
      <c r="P56" s="10">
        <f t="shared" si="7"/>
        <v>8.2073559086162771</v>
      </c>
      <c r="Q56" s="152"/>
      <c r="R56" s="152"/>
      <c r="S56" s="152"/>
      <c r="T56" s="152"/>
      <c r="U56" s="152"/>
      <c r="V56" s="10">
        <f t="shared" si="9"/>
        <v>3.5202655749556021E-2</v>
      </c>
      <c r="W56" s="13">
        <f t="shared" si="2"/>
        <v>4.7068823026453837</v>
      </c>
      <c r="X56" s="68"/>
      <c r="Y56" s="68"/>
      <c r="Z56" s="15">
        <f t="shared" si="8"/>
        <v>0.48346055613839356</v>
      </c>
      <c r="AA56" s="152"/>
      <c r="AB56" s="152"/>
    </row>
    <row r="57" spans="1:28">
      <c r="A57" s="84">
        <f>'Q.6 Rand()'!V55</f>
        <v>2.5</v>
      </c>
      <c r="B57" s="141">
        <f>'Q.6 Rand()'!W55</f>
        <v>38.4</v>
      </c>
      <c r="C57" s="5"/>
      <c r="D57" s="23"/>
      <c r="E57" s="24"/>
      <c r="F57" s="22">
        <f t="shared" si="0"/>
        <v>-0.93902439024390327</v>
      </c>
      <c r="G57" s="22">
        <f t="shared" si="3"/>
        <v>3.4193867208672089</v>
      </c>
      <c r="H57" s="18">
        <f t="shared" si="4"/>
        <v>-3.2108875305704307</v>
      </c>
      <c r="I57" s="18">
        <f t="shared" si="5"/>
        <v>0.88176680547293429</v>
      </c>
      <c r="J57" s="24"/>
      <c r="K57" s="24"/>
      <c r="L57" s="19">
        <f t="shared" si="6"/>
        <v>39.621007676581883</v>
      </c>
      <c r="M57" s="126"/>
      <c r="N57" s="126"/>
      <c r="O57" s="9">
        <f t="shared" si="1"/>
        <v>-1.221007676581884</v>
      </c>
      <c r="P57" s="10">
        <f t="shared" si="7"/>
        <v>1.4908597462718907</v>
      </c>
      <c r="Q57" s="152"/>
      <c r="R57" s="152"/>
      <c r="S57" s="152"/>
      <c r="T57" s="152"/>
      <c r="U57" s="152"/>
      <c r="V57" s="10">
        <f t="shared" si="9"/>
        <v>8.355908573341933E-2</v>
      </c>
      <c r="W57" s="13">
        <f t="shared" si="2"/>
        <v>21.533260163876928</v>
      </c>
      <c r="X57" s="68"/>
      <c r="Y57" s="68"/>
      <c r="Z57" s="15">
        <f t="shared" si="8"/>
        <v>11.692205546843002</v>
      </c>
      <c r="AA57" s="152"/>
      <c r="AB57" s="152"/>
    </row>
    <row r="58" spans="1:28">
      <c r="A58" s="84">
        <f>'Q.6 Rand()'!V56</f>
        <v>3.5</v>
      </c>
      <c r="B58" s="141">
        <f>'Q.6 Rand()'!W56</f>
        <v>28.7</v>
      </c>
      <c r="C58" s="5"/>
      <c r="D58" s="23"/>
      <c r="E58" s="24"/>
      <c r="F58" s="22">
        <f t="shared" si="0"/>
        <v>6.0975609756096727E-2</v>
      </c>
      <c r="G58" s="22">
        <f t="shared" si="3"/>
        <v>-6.2806132791327904</v>
      </c>
      <c r="H58" s="18">
        <f t="shared" si="4"/>
        <v>-0.38296422433736005</v>
      </c>
      <c r="I58" s="18">
        <f t="shared" si="5"/>
        <v>3.7180249851277982E-3</v>
      </c>
      <c r="J58" s="24"/>
      <c r="K58" s="24"/>
      <c r="L58" s="19">
        <f t="shared" si="6"/>
        <v>34.679288967610127</v>
      </c>
      <c r="M58" s="126"/>
      <c r="N58" s="126"/>
      <c r="O58" s="9">
        <f t="shared" si="1"/>
        <v>-5.9792889676101275</v>
      </c>
      <c r="P58" s="10">
        <f t="shared" si="7"/>
        <v>35.751896558184185</v>
      </c>
      <c r="Q58" s="152"/>
      <c r="R58" s="152"/>
      <c r="S58" s="152"/>
      <c r="T58" s="152"/>
      <c r="U58" s="152"/>
      <c r="V58" s="10">
        <f t="shared" si="9"/>
        <v>3.1797074910986566E-2</v>
      </c>
      <c r="W58" s="13">
        <f t="shared" si="2"/>
        <v>9.0796340714606807E-2</v>
      </c>
      <c r="X58" s="68"/>
      <c r="Y58" s="68"/>
      <c r="Z58" s="15">
        <f t="shared" si="8"/>
        <v>39.446103162019142</v>
      </c>
      <c r="AA58" s="152"/>
      <c r="AB58" s="152"/>
    </row>
    <row r="59" spans="1:28">
      <c r="A59" s="84">
        <f>'Q.6 Rand()'!V57</f>
        <v>3</v>
      </c>
      <c r="B59" s="141">
        <f>'Q.6 Rand()'!W57</f>
        <v>35.267800000000001</v>
      </c>
      <c r="C59" s="5"/>
      <c r="D59" s="23"/>
      <c r="E59" s="24"/>
      <c r="F59" s="22">
        <f t="shared" si="0"/>
        <v>-0.43902439024390327</v>
      </c>
      <c r="G59" s="22">
        <f t="shared" si="3"/>
        <v>0.28718672086721142</v>
      </c>
      <c r="H59" s="18">
        <f t="shared" si="4"/>
        <v>-0.12608197501487356</v>
      </c>
      <c r="I59" s="18">
        <f t="shared" si="5"/>
        <v>0.19274241522903107</v>
      </c>
      <c r="J59" s="24"/>
      <c r="K59" s="24"/>
      <c r="L59" s="19">
        <f t="shared" si="6"/>
        <v>37.150148322096001</v>
      </c>
      <c r="M59" s="126"/>
      <c r="N59" s="126"/>
      <c r="O59" s="9">
        <f t="shared" si="1"/>
        <v>-1.882348322096</v>
      </c>
      <c r="P59" s="10">
        <f t="shared" si="7"/>
        <v>3.5432352056976266</v>
      </c>
      <c r="Q59" s="152"/>
      <c r="R59" s="152"/>
      <c r="S59" s="152"/>
      <c r="T59" s="152"/>
      <c r="U59" s="152"/>
      <c r="V59" s="10">
        <f t="shared" si="9"/>
        <v>0.20833759469024835</v>
      </c>
      <c r="W59" s="13">
        <f t="shared" si="2"/>
        <v>4.7068823026453837</v>
      </c>
      <c r="X59" s="68"/>
      <c r="Y59" s="68"/>
      <c r="Z59" s="15">
        <f t="shared" si="8"/>
        <v>8.2476212642461605E-2</v>
      </c>
      <c r="AA59" s="152"/>
      <c r="AB59" s="152"/>
    </row>
    <row r="60" spans="1:28">
      <c r="A60" s="84">
        <f>'Q.6 Rand()'!V58</f>
        <v>2.5</v>
      </c>
      <c r="B60" s="141">
        <f>'Q.6 Rand()'!W58</f>
        <v>40.4</v>
      </c>
      <c r="C60" s="5"/>
      <c r="D60" s="23"/>
      <c r="E60" s="24"/>
      <c r="F60" s="22">
        <f t="shared" si="0"/>
        <v>-0.93902439024390327</v>
      </c>
      <c r="G60" s="22">
        <f t="shared" si="3"/>
        <v>5.4193867208672089</v>
      </c>
      <c r="H60" s="18">
        <f t="shared" si="4"/>
        <v>-5.0889363110582373</v>
      </c>
      <c r="I60" s="18">
        <f t="shared" si="5"/>
        <v>0.88176680547293429</v>
      </c>
      <c r="J60" s="24"/>
      <c r="K60" s="24"/>
      <c r="L60" s="19">
        <f t="shared" si="6"/>
        <v>39.621007676581883</v>
      </c>
      <c r="M60" s="126"/>
      <c r="N60" s="126"/>
      <c r="O60" s="9">
        <f t="shared" si="1"/>
        <v>0.77899232341811597</v>
      </c>
      <c r="P60" s="10">
        <f t="shared" si="7"/>
        <v>0.60682903994435455</v>
      </c>
      <c r="Q60" s="152"/>
      <c r="R60" s="152"/>
      <c r="S60" s="152"/>
      <c r="T60" s="152"/>
      <c r="U60" s="152"/>
      <c r="V60" s="10">
        <f t="shared" si="9"/>
        <v>5.3373000927077953E-2</v>
      </c>
      <c r="W60" s="13">
        <f t="shared" si="2"/>
        <v>21.533260163876928</v>
      </c>
      <c r="X60" s="68"/>
      <c r="Y60" s="68"/>
      <c r="Z60" s="15">
        <f t="shared" si="8"/>
        <v>29.369752430311838</v>
      </c>
      <c r="AA60" s="152"/>
      <c r="AB60" s="152"/>
    </row>
    <row r="61" spans="1:28">
      <c r="A61" s="84">
        <f>'Q.6 Rand()'!V59</f>
        <v>5.7</v>
      </c>
      <c r="B61" s="141">
        <f>'Q.6 Rand()'!W59</f>
        <v>25.617899999999999</v>
      </c>
      <c r="C61" s="5"/>
      <c r="D61" s="23"/>
      <c r="E61" s="24"/>
      <c r="F61" s="22">
        <f t="shared" si="0"/>
        <v>2.2609756097560969</v>
      </c>
      <c r="G61" s="22">
        <f t="shared" si="3"/>
        <v>-9.3627132791327909</v>
      </c>
      <c r="H61" s="18">
        <f t="shared" si="4"/>
        <v>-21.168866365258769</v>
      </c>
      <c r="I61" s="18">
        <f t="shared" si="5"/>
        <v>5.1120107079119546</v>
      </c>
      <c r="J61" s="24"/>
      <c r="K61" s="24"/>
      <c r="L61" s="19">
        <f t="shared" si="6"/>
        <v>23.807507807872266</v>
      </c>
      <c r="M61" s="126"/>
      <c r="N61" s="126"/>
      <c r="O61" s="9">
        <f t="shared" si="1"/>
        <v>1.8103921921277326</v>
      </c>
      <c r="P61" s="10">
        <f t="shared" si="7"/>
        <v>3.2775198893170572</v>
      </c>
      <c r="Q61" s="152"/>
      <c r="R61" s="152"/>
      <c r="S61" s="152"/>
      <c r="T61" s="152"/>
      <c r="U61" s="152"/>
      <c r="V61" s="10">
        <f t="shared" si="9"/>
        <v>1.9281988203418712E-2</v>
      </c>
      <c r="W61" s="13">
        <f t="shared" si="2"/>
        <v>124.83828587191185</v>
      </c>
      <c r="X61" s="68"/>
      <c r="Y61" s="68"/>
      <c r="Z61" s="15">
        <f t="shared" si="8"/>
        <v>87.660399947249502</v>
      </c>
      <c r="AA61" s="152"/>
      <c r="AB61" s="152"/>
    </row>
    <row r="62" spans="1:28">
      <c r="A62" s="84">
        <f>'Q.6 Rand()'!V60</f>
        <v>3.6</v>
      </c>
      <c r="B62" s="141">
        <f>'Q.6 Rand()'!W60</f>
        <v>40.4</v>
      </c>
      <c r="C62" s="5"/>
      <c r="D62" s="23"/>
      <c r="E62" s="24"/>
      <c r="F62" s="22">
        <f t="shared" si="0"/>
        <v>0.16097560975609682</v>
      </c>
      <c r="G62" s="22">
        <f t="shared" si="3"/>
        <v>5.4193867208672089</v>
      </c>
      <c r="H62" s="18">
        <f t="shared" si="4"/>
        <v>0.87238908189569297</v>
      </c>
      <c r="I62" s="18">
        <f t="shared" si="5"/>
        <v>2.5913146936347171E-2</v>
      </c>
      <c r="J62" s="24"/>
      <c r="K62" s="24"/>
      <c r="L62" s="19">
        <f t="shared" si="6"/>
        <v>34.185117096712951</v>
      </c>
      <c r="M62" s="126"/>
      <c r="N62" s="126"/>
      <c r="O62" s="9">
        <f t="shared" si="1"/>
        <v>6.2148829032870481</v>
      </c>
      <c r="P62" s="10">
        <f t="shared" si="7"/>
        <v>38.624769501569645</v>
      </c>
      <c r="Q62" s="152"/>
      <c r="R62" s="152"/>
      <c r="S62" s="152"/>
      <c r="T62" s="152"/>
      <c r="U62" s="152"/>
      <c r="V62" s="10">
        <f t="shared" si="9"/>
        <v>7.0669031892845735E-2</v>
      </c>
      <c r="W62" s="13">
        <f t="shared" si="2"/>
        <v>0.63281417624453806</v>
      </c>
      <c r="X62" s="68"/>
      <c r="Y62" s="68"/>
      <c r="Z62" s="15">
        <f t="shared" si="8"/>
        <v>29.369752430311838</v>
      </c>
      <c r="AA62" s="152"/>
      <c r="AB62" s="152"/>
    </row>
    <row r="63" spans="1:28">
      <c r="A63" s="84">
        <f>'Q.6 Rand()'!V61</f>
        <v>3.5</v>
      </c>
      <c r="B63" s="141">
        <f>'Q.6 Rand()'!W61</f>
        <v>37.349899999999998</v>
      </c>
      <c r="C63" s="5"/>
      <c r="D63" s="23"/>
      <c r="E63" s="24"/>
      <c r="F63" s="22">
        <f t="shared" si="0"/>
        <v>6.0975609756096727E-2</v>
      </c>
      <c r="G63" s="22">
        <f t="shared" si="3"/>
        <v>2.3692867208672084</v>
      </c>
      <c r="H63" s="18">
        <f t="shared" si="4"/>
        <v>0.14446870249190097</v>
      </c>
      <c r="I63" s="18">
        <f t="shared" si="5"/>
        <v>3.7180249851277982E-3</v>
      </c>
      <c r="J63" s="24"/>
      <c r="K63" s="24"/>
      <c r="L63" s="19">
        <f t="shared" si="6"/>
        <v>34.679288967610127</v>
      </c>
      <c r="M63" s="126"/>
      <c r="N63" s="126"/>
      <c r="O63" s="9">
        <f t="shared" si="1"/>
        <v>2.6706110323898713</v>
      </c>
      <c r="P63" s="10">
        <f t="shared" si="7"/>
        <v>7.132163286322494</v>
      </c>
      <c r="Q63" s="152"/>
      <c r="R63" s="152"/>
      <c r="S63" s="152"/>
      <c r="T63" s="152"/>
      <c r="U63" s="152"/>
      <c r="V63" s="10">
        <f t="shared" si="9"/>
        <v>0.15383373522987742</v>
      </c>
      <c r="W63" s="13">
        <f t="shared" si="2"/>
        <v>9.0796340714606807E-2</v>
      </c>
      <c r="X63" s="68"/>
      <c r="Y63" s="68"/>
      <c r="Z63" s="15">
        <f t="shared" si="8"/>
        <v>5.6135195656776888</v>
      </c>
      <c r="AA63" s="152"/>
      <c r="AB63" s="152"/>
    </row>
    <row r="64" spans="1:28">
      <c r="A64" s="84">
        <f>'Q.6 Rand()'!V62</f>
        <v>2.5</v>
      </c>
      <c r="B64" s="141">
        <f>'Q.6 Rand()'!W62</f>
        <v>40.6</v>
      </c>
      <c r="C64" s="5"/>
      <c r="D64" s="23"/>
      <c r="E64" s="24"/>
      <c r="F64" s="22">
        <f t="shared" si="0"/>
        <v>-0.93902439024390327</v>
      </c>
      <c r="G64" s="22">
        <f t="shared" si="3"/>
        <v>5.6193867208672117</v>
      </c>
      <c r="H64" s="18">
        <f t="shared" si="4"/>
        <v>-5.2767411891070202</v>
      </c>
      <c r="I64" s="18">
        <f t="shared" si="5"/>
        <v>0.88176680547293429</v>
      </c>
      <c r="J64" s="24"/>
      <c r="K64" s="24"/>
      <c r="L64" s="19">
        <f t="shared" si="6"/>
        <v>39.621007676581883</v>
      </c>
      <c r="M64" s="126"/>
      <c r="N64" s="126"/>
      <c r="O64" s="9">
        <f t="shared" si="1"/>
        <v>0.97899232341811881</v>
      </c>
      <c r="P64" s="10">
        <f t="shared" si="7"/>
        <v>0.95842596931160651</v>
      </c>
      <c r="Q64" s="152"/>
      <c r="R64" s="152"/>
      <c r="S64" s="152"/>
      <c r="T64" s="152"/>
      <c r="U64" s="152"/>
      <c r="V64" s="10">
        <f t="shared" si="9"/>
        <v>7.1502494849781967E-2</v>
      </c>
      <c r="W64" s="13">
        <f t="shared" si="2"/>
        <v>21.533260163876928</v>
      </c>
      <c r="X64" s="68"/>
      <c r="Y64" s="68"/>
      <c r="Z64" s="15">
        <f t="shared" si="8"/>
        <v>31.577507118658755</v>
      </c>
      <c r="AA64" s="152"/>
      <c r="AB64" s="152"/>
    </row>
    <row r="65" spans="1:28">
      <c r="A65" s="84">
        <f>'Q.6 Rand()'!V63</f>
        <v>4.2</v>
      </c>
      <c r="B65" s="141">
        <f>'Q.6 Rand()'!W63</f>
        <v>24.6</v>
      </c>
      <c r="C65" s="5"/>
      <c r="D65" s="23"/>
      <c r="E65" s="24"/>
      <c r="F65" s="22">
        <f t="shared" si="0"/>
        <v>0.7609756097560969</v>
      </c>
      <c r="G65" s="22">
        <f t="shared" si="3"/>
        <v>-10.380613279132788</v>
      </c>
      <c r="H65" s="18">
        <f t="shared" si="4"/>
        <v>-7.8993935197303102</v>
      </c>
      <c r="I65" s="18">
        <f t="shared" si="5"/>
        <v>0.57908387864366351</v>
      </c>
      <c r="J65" s="24"/>
      <c r="K65" s="24"/>
      <c r="L65" s="19">
        <f t="shared" si="6"/>
        <v>31.220085871329896</v>
      </c>
      <c r="M65" s="126"/>
      <c r="N65" s="126"/>
      <c r="O65" s="9">
        <f t="shared" si="1"/>
        <v>-6.6200858713298949</v>
      </c>
      <c r="P65" s="10">
        <f t="shared" si="7"/>
        <v>43.825536943781692</v>
      </c>
      <c r="Q65" s="152"/>
      <c r="R65" s="152"/>
      <c r="S65" s="152"/>
      <c r="T65" s="152"/>
      <c r="U65" s="152"/>
      <c r="V65" s="10">
        <f t="shared" si="9"/>
        <v>2.4113111414239378E-2</v>
      </c>
      <c r="W65" s="13">
        <f t="shared" si="2"/>
        <v>14.141566384836748</v>
      </c>
      <c r="X65" s="68"/>
      <c r="Y65" s="68"/>
      <c r="Z65" s="15">
        <f t="shared" si="8"/>
        <v>107.75713205090798</v>
      </c>
      <c r="AA65" s="152"/>
      <c r="AB65" s="152"/>
    </row>
    <row r="66" spans="1:28">
      <c r="A66" s="84">
        <f>'Q.6 Rand()'!V64</f>
        <v>5.6</v>
      </c>
      <c r="B66" s="141">
        <f>'Q.6 Rand()'!W64</f>
        <v>24.149100000000001</v>
      </c>
      <c r="C66" s="5"/>
      <c r="D66" s="23"/>
      <c r="E66" s="24"/>
      <c r="F66" s="22">
        <f t="shared" si="0"/>
        <v>2.1609756097560964</v>
      </c>
      <c r="G66" s="22">
        <f t="shared" si="3"/>
        <v>-10.831513279132789</v>
      </c>
      <c r="H66" s="18">
        <f t="shared" si="4"/>
        <v>-23.406636012955232</v>
      </c>
      <c r="I66" s="18">
        <f t="shared" si="5"/>
        <v>4.6698155859607322</v>
      </c>
      <c r="J66" s="24"/>
      <c r="K66" s="24"/>
      <c r="L66" s="19">
        <f t="shared" si="6"/>
        <v>24.301679678769442</v>
      </c>
      <c r="M66" s="126"/>
      <c r="N66" s="126"/>
      <c r="O66" s="9">
        <f t="shared" si="1"/>
        <v>-0.15257967876944178</v>
      </c>
      <c r="P66" s="10">
        <f t="shared" si="7"/>
        <v>2.3280558373386044E-2</v>
      </c>
      <c r="Q66" s="152"/>
      <c r="R66" s="152"/>
      <c r="S66" s="152"/>
      <c r="T66" s="152"/>
      <c r="U66" s="152"/>
      <c r="V66" s="10">
        <f t="shared" si="9"/>
        <v>0.26910918176137782</v>
      </c>
      <c r="W66" s="13">
        <f t="shared" si="2"/>
        <v>114.03962284096929</v>
      </c>
      <c r="X66" s="68"/>
      <c r="Y66" s="68"/>
      <c r="Z66" s="15">
        <f t="shared" si="8"/>
        <v>117.32167991602995</v>
      </c>
      <c r="AA66" s="152"/>
      <c r="AB66" s="152"/>
    </row>
    <row r="67" spans="1:28">
      <c r="A67" s="84">
        <f>'Q.6 Rand()'!V65</f>
        <v>3.5</v>
      </c>
      <c r="B67" s="141">
        <f>'Q.6 Rand()'!W65</f>
        <v>30.5</v>
      </c>
      <c r="C67" s="5"/>
      <c r="D67" s="23"/>
      <c r="E67" s="24"/>
      <c r="F67" s="22">
        <f t="shared" si="0"/>
        <v>6.0975609756096727E-2</v>
      </c>
      <c r="G67" s="22">
        <f t="shared" si="3"/>
        <v>-4.4806132791327897</v>
      </c>
      <c r="H67" s="18">
        <f t="shared" si="4"/>
        <v>-0.2732081267763859</v>
      </c>
      <c r="I67" s="18">
        <f t="shared" si="5"/>
        <v>3.7180249851277982E-3</v>
      </c>
      <c r="J67" s="24"/>
      <c r="K67" s="24"/>
      <c r="L67" s="19">
        <f t="shared" si="6"/>
        <v>34.679288967610127</v>
      </c>
      <c r="M67" s="126"/>
      <c r="N67" s="126"/>
      <c r="O67" s="9">
        <f t="shared" si="1"/>
        <v>-4.1792889676101268</v>
      </c>
      <c r="P67" s="10">
        <f t="shared" si="7"/>
        <v>17.466456274787721</v>
      </c>
      <c r="Q67" s="152"/>
      <c r="R67" s="152"/>
      <c r="S67" s="152"/>
      <c r="T67" s="152"/>
      <c r="U67" s="152"/>
      <c r="V67" s="10">
        <f t="shared" si="9"/>
        <v>6.3182345830462327E-3</v>
      </c>
      <c r="W67" s="13">
        <f t="shared" si="2"/>
        <v>9.0796340714606807E-2</v>
      </c>
      <c r="X67" s="68"/>
      <c r="Y67" s="68"/>
      <c r="Z67" s="15">
        <f t="shared" si="8"/>
        <v>20.075895357141089</v>
      </c>
      <c r="AA67" s="152"/>
      <c r="AB67" s="152"/>
    </row>
    <row r="68" spans="1:28">
      <c r="A68" s="84">
        <f>'Q.6 Rand()'!V66</f>
        <v>2</v>
      </c>
      <c r="B68" s="141">
        <f>'Q.6 Rand()'!W66</f>
        <v>38.512</v>
      </c>
      <c r="C68" s="5"/>
      <c r="D68" s="23"/>
      <c r="E68" s="24"/>
      <c r="F68" s="22">
        <f t="shared" si="0"/>
        <v>-1.4390243902439033</v>
      </c>
      <c r="G68" s="22">
        <f t="shared" si="3"/>
        <v>3.5313867208672107</v>
      </c>
      <c r="H68" s="18">
        <f t="shared" si="4"/>
        <v>-5.0817516227113551</v>
      </c>
      <c r="I68" s="18">
        <f t="shared" si="5"/>
        <v>2.0707911957168377</v>
      </c>
      <c r="J68" s="24"/>
      <c r="K68" s="24"/>
      <c r="L68" s="19">
        <f t="shared" si="6"/>
        <v>42.091867031067757</v>
      </c>
      <c r="M68" s="126"/>
      <c r="N68" s="126"/>
      <c r="O68" s="9">
        <f t="shared" si="1"/>
        <v>-3.5798670310677565</v>
      </c>
      <c r="P68" s="10">
        <f t="shared" si="7"/>
        <v>12.815447960125873</v>
      </c>
      <c r="Q68" s="152"/>
      <c r="R68" s="152"/>
      <c r="S68" s="152"/>
      <c r="T68" s="152"/>
      <c r="U68" s="152"/>
      <c r="V68" s="10">
        <f t="shared" si="9"/>
        <v>0.13702586779049597</v>
      </c>
      <c r="W68" s="13">
        <f t="shared" si="2"/>
        <v>50.569929924409145</v>
      </c>
      <c r="X68" s="68"/>
      <c r="Y68" s="68"/>
      <c r="Z68" s="15">
        <f t="shared" si="8"/>
        <v>12.470692172317271</v>
      </c>
      <c r="AA68" s="152"/>
      <c r="AB68" s="152"/>
    </row>
    <row r="69" spans="1:28">
      <c r="A69" s="84">
        <f>'Q.6 Rand()'!V67</f>
        <v>4.5999999999999996</v>
      </c>
      <c r="B69" s="141">
        <f>'Q.6 Rand()'!W67</f>
        <v>28.4633</v>
      </c>
      <c r="C69" s="5"/>
      <c r="D69" s="23"/>
      <c r="E69" s="24"/>
      <c r="F69" s="22">
        <f t="shared" ref="F69:F132" si="10">A69-$D$5</f>
        <v>1.1609756097560964</v>
      </c>
      <c r="G69" s="22">
        <f t="shared" si="3"/>
        <v>-6.5173132791327895</v>
      </c>
      <c r="H69" s="18">
        <f t="shared" si="4"/>
        <v>-7.5664417582126946</v>
      </c>
      <c r="I69" s="18">
        <f t="shared" si="5"/>
        <v>1.3478643664485397</v>
      </c>
      <c r="J69" s="24"/>
      <c r="K69" s="24"/>
      <c r="L69" s="19">
        <f t="shared" si="6"/>
        <v>29.243398387741198</v>
      </c>
      <c r="M69" s="126"/>
      <c r="N69" s="126"/>
      <c r="O69" s="9">
        <f t="shared" ref="O69:O132" si="11">B69-L69</f>
        <v>-0.780098387741198</v>
      </c>
      <c r="P69" s="10">
        <f t="shared" si="7"/>
        <v>0.6085534945564165</v>
      </c>
      <c r="Q69" s="152"/>
      <c r="R69" s="152"/>
      <c r="S69" s="152"/>
      <c r="T69" s="152"/>
      <c r="U69" s="152"/>
      <c r="V69" s="10">
        <f t="shared" si="9"/>
        <v>9.295458639041744E-2</v>
      </c>
      <c r="W69" s="13">
        <f t="shared" ref="W69:W132" si="12">(L69-$E$5)^2</f>
        <v>32.915634710005428</v>
      </c>
      <c r="X69" s="68"/>
      <c r="Y69" s="68"/>
      <c r="Z69" s="15">
        <f t="shared" si="8"/>
        <v>42.475372378360596</v>
      </c>
      <c r="AA69" s="152"/>
      <c r="AB69" s="152"/>
    </row>
    <row r="70" spans="1:28">
      <c r="A70" s="84">
        <f>'Q.6 Rand()'!V68</f>
        <v>2</v>
      </c>
      <c r="B70" s="141">
        <f>'Q.6 Rand()'!W68</f>
        <v>40.400300000000001</v>
      </c>
      <c r="C70" s="5"/>
      <c r="D70" s="23"/>
      <c r="E70" s="24"/>
      <c r="F70" s="22">
        <f t="shared" si="10"/>
        <v>-1.4390243902439033</v>
      </c>
      <c r="G70" s="22">
        <f t="shared" ref="G70:G133" si="13">B70-$E$5</f>
        <v>5.4196867208672117</v>
      </c>
      <c r="H70" s="18">
        <f t="shared" ref="H70:H133" si="14">F70*G70</f>
        <v>-7.7990613788089194</v>
      </c>
      <c r="I70" s="18">
        <f t="shared" ref="I70:I133" si="15">F70^2</f>
        <v>2.0707911957168377</v>
      </c>
      <c r="J70" s="24"/>
      <c r="K70" s="24"/>
      <c r="L70" s="19">
        <f t="shared" ref="L70:L133" si="16">$K$5+$J$5*A70</f>
        <v>42.091867031067757</v>
      </c>
      <c r="M70" s="126"/>
      <c r="N70" s="126"/>
      <c r="O70" s="9">
        <f t="shared" si="11"/>
        <v>-1.6915670310677555</v>
      </c>
      <c r="P70" s="10">
        <f t="shared" ref="P70:P133" si="17">O70^2</f>
        <v>2.861399020595381</v>
      </c>
      <c r="Q70" s="152"/>
      <c r="R70" s="152"/>
      <c r="S70" s="152"/>
      <c r="T70" s="152"/>
      <c r="U70" s="152"/>
      <c r="V70" s="10">
        <f t="shared" si="9"/>
        <v>2.7407165990633482E-2</v>
      </c>
      <c r="W70" s="13">
        <f t="shared" si="12"/>
        <v>50.569929924409145</v>
      </c>
      <c r="X70" s="68"/>
      <c r="Y70" s="68"/>
      <c r="Z70" s="15">
        <f t="shared" ref="Z70:Z133" si="18">(B70-$E$5)^2</f>
        <v>29.373004152344389</v>
      </c>
      <c r="AA70" s="152"/>
      <c r="AB70" s="152"/>
    </row>
    <row r="71" spans="1:28">
      <c r="A71" s="84">
        <f>'Q.6 Rand()'!V69</f>
        <v>4.7</v>
      </c>
      <c r="B71" s="141">
        <f>'Q.6 Rand()'!W69</f>
        <v>24.5</v>
      </c>
      <c r="C71" s="5"/>
      <c r="D71" s="23"/>
      <c r="E71" s="24"/>
      <c r="F71" s="22">
        <f t="shared" si="10"/>
        <v>1.2609756097560969</v>
      </c>
      <c r="G71" s="22">
        <f t="shared" si="13"/>
        <v>-10.48061327913279</v>
      </c>
      <c r="H71" s="18">
        <f t="shared" si="14"/>
        <v>-13.215797720272315</v>
      </c>
      <c r="I71" s="18">
        <f t="shared" si="15"/>
        <v>1.5900594883997603</v>
      </c>
      <c r="J71" s="24"/>
      <c r="K71" s="24"/>
      <c r="L71" s="19">
        <f t="shared" si="16"/>
        <v>28.749226516844018</v>
      </c>
      <c r="M71" s="126"/>
      <c r="N71" s="126"/>
      <c r="O71" s="9">
        <f t="shared" si="11"/>
        <v>-4.2492265168440184</v>
      </c>
      <c r="P71" s="10">
        <f t="shared" si="17"/>
        <v>18.055925991450348</v>
      </c>
      <c r="Q71" s="152"/>
      <c r="R71" s="152"/>
      <c r="S71" s="152"/>
      <c r="T71" s="152"/>
      <c r="U71" s="152"/>
      <c r="V71" s="10">
        <f t="shared" ref="V71:V134" si="19">ABS(O70) / B70</f>
        <v>4.1870160149002744E-2</v>
      </c>
      <c r="W71" s="13">
        <f t="shared" si="12"/>
        <v>38.830180981227734</v>
      </c>
      <c r="X71" s="68"/>
      <c r="Y71" s="68"/>
      <c r="Z71" s="15">
        <f t="shared" si="18"/>
        <v>109.84325470673457</v>
      </c>
      <c r="AA71" s="152"/>
      <c r="AB71" s="152"/>
    </row>
    <row r="72" spans="1:28">
      <c r="A72" s="84">
        <f>'Q.6 Rand()'!V70</f>
        <v>2.5</v>
      </c>
      <c r="B72" s="141">
        <f>'Q.6 Rand()'!W70</f>
        <v>51.6</v>
      </c>
      <c r="C72" s="5"/>
      <c r="D72" s="23"/>
      <c r="E72" s="24"/>
      <c r="F72" s="22">
        <f t="shared" si="10"/>
        <v>-0.93902439024390327</v>
      </c>
      <c r="G72" s="22">
        <f t="shared" si="13"/>
        <v>16.619386720867212</v>
      </c>
      <c r="H72" s="18">
        <f t="shared" si="14"/>
        <v>-15.606009481789956</v>
      </c>
      <c r="I72" s="18">
        <f t="shared" si="15"/>
        <v>0.88176680547293429</v>
      </c>
      <c r="J72" s="24"/>
      <c r="K72" s="24"/>
      <c r="L72" s="19">
        <f t="shared" si="16"/>
        <v>39.621007676581883</v>
      </c>
      <c r="M72" s="126"/>
      <c r="N72" s="126"/>
      <c r="O72" s="9">
        <f t="shared" si="11"/>
        <v>11.978992323418119</v>
      </c>
      <c r="P72" s="10">
        <f t="shared" si="17"/>
        <v>143.49625708451023</v>
      </c>
      <c r="Q72" s="152"/>
      <c r="R72" s="152"/>
      <c r="S72" s="152"/>
      <c r="T72" s="152"/>
      <c r="U72" s="152"/>
      <c r="V72" s="10">
        <f t="shared" si="19"/>
        <v>0.17343781701404157</v>
      </c>
      <c r="W72" s="13">
        <f t="shared" si="12"/>
        <v>21.533260163876928</v>
      </c>
      <c r="X72" s="68"/>
      <c r="Y72" s="68"/>
      <c r="Z72" s="15">
        <f t="shared" si="18"/>
        <v>276.20401497773742</v>
      </c>
      <c r="AA72" s="152"/>
      <c r="AB72" s="152"/>
    </row>
    <row r="73" spans="1:28">
      <c r="A73" s="84">
        <f>'Q.6 Rand()'!V71</f>
        <v>5.3</v>
      </c>
      <c r="B73" s="141">
        <f>'Q.6 Rand()'!W71</f>
        <v>28.993500000000001</v>
      </c>
      <c r="C73" s="5"/>
      <c r="D73" s="23"/>
      <c r="E73" s="24"/>
      <c r="F73" s="22">
        <f t="shared" si="10"/>
        <v>1.8609756097560965</v>
      </c>
      <c r="G73" s="22">
        <f t="shared" si="13"/>
        <v>-5.9871132791327888</v>
      </c>
      <c r="H73" s="18">
        <f t="shared" si="14"/>
        <v>-11.141871785312965</v>
      </c>
      <c r="I73" s="18">
        <f t="shared" si="15"/>
        <v>3.4632302201070755</v>
      </c>
      <c r="J73" s="24"/>
      <c r="K73" s="24"/>
      <c r="L73" s="19">
        <f t="shared" si="16"/>
        <v>25.784195291460968</v>
      </c>
      <c r="M73" s="126"/>
      <c r="N73" s="126"/>
      <c r="O73" s="9">
        <f t="shared" si="11"/>
        <v>3.2093047085390332</v>
      </c>
      <c r="P73" s="10">
        <f t="shared" si="17"/>
        <v>10.299636712250809</v>
      </c>
      <c r="Q73" s="152"/>
      <c r="R73" s="152"/>
      <c r="S73" s="152"/>
      <c r="T73" s="152"/>
      <c r="U73" s="152"/>
      <c r="V73" s="10">
        <f t="shared" si="19"/>
        <v>0.23215101401973098</v>
      </c>
      <c r="W73" s="13">
        <f t="shared" si="12"/>
        <v>84.574103803973841</v>
      </c>
      <c r="X73" s="68"/>
      <c r="Y73" s="68"/>
      <c r="Z73" s="15">
        <f t="shared" si="18"/>
        <v>35.845525417168176</v>
      </c>
      <c r="AA73" s="152"/>
      <c r="AB73" s="152"/>
    </row>
    <row r="74" spans="1:28">
      <c r="A74" s="84">
        <f>'Q.6 Rand()'!V72</f>
        <v>5.3</v>
      </c>
      <c r="B74" s="141">
        <f>'Q.6 Rand()'!W72</f>
        <v>28.993500000000001</v>
      </c>
      <c r="C74" s="5"/>
      <c r="D74" s="23"/>
      <c r="E74" s="24"/>
      <c r="F74" s="22">
        <f t="shared" si="10"/>
        <v>1.8609756097560965</v>
      </c>
      <c r="G74" s="22">
        <f t="shared" si="13"/>
        <v>-5.9871132791327888</v>
      </c>
      <c r="H74" s="18">
        <f t="shared" si="14"/>
        <v>-11.141871785312965</v>
      </c>
      <c r="I74" s="18">
        <f t="shared" si="15"/>
        <v>3.4632302201070755</v>
      </c>
      <c r="J74" s="24"/>
      <c r="K74" s="24"/>
      <c r="L74" s="19">
        <f t="shared" si="16"/>
        <v>25.784195291460968</v>
      </c>
      <c r="M74" s="126"/>
      <c r="N74" s="126"/>
      <c r="O74" s="9">
        <f t="shared" si="11"/>
        <v>3.2093047085390332</v>
      </c>
      <c r="P74" s="10">
        <f t="shared" si="17"/>
        <v>10.299636712250809</v>
      </c>
      <c r="Q74" s="152"/>
      <c r="R74" s="152"/>
      <c r="S74" s="152"/>
      <c r="T74" s="152"/>
      <c r="U74" s="152"/>
      <c r="V74" s="10">
        <f t="shared" si="19"/>
        <v>0.11069048954210541</v>
      </c>
      <c r="W74" s="13">
        <f t="shared" si="12"/>
        <v>84.574103803973841</v>
      </c>
      <c r="X74" s="68"/>
      <c r="Y74" s="68"/>
      <c r="Z74" s="15">
        <f t="shared" si="18"/>
        <v>35.845525417168176</v>
      </c>
      <c r="AA74" s="152"/>
      <c r="AB74" s="152"/>
    </row>
    <row r="75" spans="1:28">
      <c r="A75" s="84">
        <f>'Q.6 Rand()'!V73</f>
        <v>2.2000000000000002</v>
      </c>
      <c r="B75" s="141">
        <f>'Q.6 Rand()'!W73</f>
        <v>42.399099999999997</v>
      </c>
      <c r="C75" s="5"/>
      <c r="D75" s="23"/>
      <c r="E75" s="24"/>
      <c r="F75" s="22">
        <f t="shared" si="10"/>
        <v>-1.2390243902439031</v>
      </c>
      <c r="G75" s="22">
        <f t="shared" si="13"/>
        <v>7.4184867208672074</v>
      </c>
      <c r="H75" s="18">
        <f t="shared" si="14"/>
        <v>-9.1916859858549831</v>
      </c>
      <c r="I75" s="18">
        <f t="shared" si="15"/>
        <v>1.5351814396192758</v>
      </c>
      <c r="J75" s="24"/>
      <c r="K75" s="24"/>
      <c r="L75" s="19">
        <f t="shared" si="16"/>
        <v>41.103523289273404</v>
      </c>
      <c r="M75" s="126"/>
      <c r="N75" s="126"/>
      <c r="O75" s="9">
        <f t="shared" si="11"/>
        <v>1.2955767107265928</v>
      </c>
      <c r="P75" s="10">
        <f t="shared" si="17"/>
        <v>1.6785190133771375</v>
      </c>
      <c r="Q75" s="152"/>
      <c r="R75" s="152"/>
      <c r="S75" s="152"/>
      <c r="T75" s="152"/>
      <c r="U75" s="152"/>
      <c r="V75" s="10">
        <f t="shared" si="19"/>
        <v>0.11069048954210541</v>
      </c>
      <c r="W75" s="13">
        <f t="shared" si="12"/>
        <v>37.490026992280143</v>
      </c>
      <c r="X75" s="68"/>
      <c r="Y75" s="68"/>
      <c r="Z75" s="15">
        <f t="shared" si="18"/>
        <v>55.033945227683091</v>
      </c>
      <c r="AA75" s="152"/>
      <c r="AB75" s="152"/>
    </row>
    <row r="76" spans="1:28">
      <c r="A76" s="84">
        <f>'Q.6 Rand()'!V74</f>
        <v>2.5</v>
      </c>
      <c r="B76" s="141">
        <f>'Q.6 Rand()'!W74</f>
        <v>42.9</v>
      </c>
      <c r="C76" s="5"/>
      <c r="D76" s="23"/>
      <c r="E76" s="24"/>
      <c r="F76" s="22">
        <f t="shared" si="10"/>
        <v>-0.93902439024390327</v>
      </c>
      <c r="G76" s="22">
        <f t="shared" si="13"/>
        <v>7.9193867208672089</v>
      </c>
      <c r="H76" s="18">
        <f t="shared" si="14"/>
        <v>-7.4364972866679953</v>
      </c>
      <c r="I76" s="18">
        <f t="shared" si="15"/>
        <v>0.88176680547293429</v>
      </c>
      <c r="J76" s="24"/>
      <c r="K76" s="24"/>
      <c r="L76" s="19">
        <f t="shared" si="16"/>
        <v>39.621007676581883</v>
      </c>
      <c r="M76" s="126"/>
      <c r="N76" s="126"/>
      <c r="O76" s="9">
        <f t="shared" si="11"/>
        <v>3.278992323418116</v>
      </c>
      <c r="P76" s="10">
        <f t="shared" si="17"/>
        <v>10.751790657034935</v>
      </c>
      <c r="Q76" s="152"/>
      <c r="R76" s="152"/>
      <c r="S76" s="152"/>
      <c r="T76" s="152"/>
      <c r="U76" s="152"/>
      <c r="V76" s="10">
        <f t="shared" si="19"/>
        <v>3.0556703107532775E-2</v>
      </c>
      <c r="W76" s="13">
        <f t="shared" si="12"/>
        <v>21.533260163876928</v>
      </c>
      <c r="X76" s="68"/>
      <c r="Y76" s="68"/>
      <c r="Z76" s="15">
        <f t="shared" si="18"/>
        <v>62.716686034647886</v>
      </c>
      <c r="AA76" s="152"/>
      <c r="AB76" s="152"/>
    </row>
    <row r="77" spans="1:28">
      <c r="A77" s="84">
        <f>'Q.6 Rand()'!V75</f>
        <v>2.5</v>
      </c>
      <c r="B77" s="141">
        <f>'Q.6 Rand()'!W75</f>
        <v>37.9</v>
      </c>
      <c r="C77" s="5"/>
      <c r="D77" s="23"/>
      <c r="E77" s="24"/>
      <c r="F77" s="22">
        <f t="shared" si="10"/>
        <v>-0.93902439024390327</v>
      </c>
      <c r="G77" s="22">
        <f t="shared" si="13"/>
        <v>2.9193867208672089</v>
      </c>
      <c r="H77" s="18">
        <f t="shared" si="14"/>
        <v>-2.7413753354484789</v>
      </c>
      <c r="I77" s="18">
        <f t="shared" si="15"/>
        <v>0.88176680547293429</v>
      </c>
      <c r="J77" s="24"/>
      <c r="K77" s="24"/>
      <c r="L77" s="19">
        <f t="shared" si="16"/>
        <v>39.621007676581883</v>
      </c>
      <c r="M77" s="126"/>
      <c r="N77" s="126"/>
      <c r="O77" s="9">
        <f t="shared" si="11"/>
        <v>-1.721007676581884</v>
      </c>
      <c r="P77" s="10">
        <f t="shared" si="17"/>
        <v>2.9618674228537749</v>
      </c>
      <c r="Q77" s="152"/>
      <c r="R77" s="152"/>
      <c r="S77" s="152"/>
      <c r="T77" s="152"/>
      <c r="U77" s="152"/>
      <c r="V77" s="10">
        <f t="shared" si="19"/>
        <v>7.6433387492263777E-2</v>
      </c>
      <c r="W77" s="13">
        <f t="shared" si="12"/>
        <v>21.533260163876928</v>
      </c>
      <c r="X77" s="68"/>
      <c r="Y77" s="68"/>
      <c r="Z77" s="15">
        <f t="shared" si="18"/>
        <v>8.5228188259757935</v>
      </c>
      <c r="AA77" s="152"/>
      <c r="AB77" s="152"/>
    </row>
    <row r="78" spans="1:28">
      <c r="A78" s="84">
        <f>'Q.6 Rand()'!V76</f>
        <v>3.5</v>
      </c>
      <c r="B78" s="141">
        <f>'Q.6 Rand()'!W76</f>
        <v>36.556399999999996</v>
      </c>
      <c r="C78" s="5"/>
      <c r="D78" s="23"/>
      <c r="E78" s="24"/>
      <c r="F78" s="22">
        <f t="shared" si="10"/>
        <v>6.0975609756096727E-2</v>
      </c>
      <c r="G78" s="22">
        <f t="shared" si="13"/>
        <v>1.5757867208672067</v>
      </c>
      <c r="H78" s="18">
        <f t="shared" si="14"/>
        <v>9.6084556150438122E-2</v>
      </c>
      <c r="I78" s="18">
        <f t="shared" si="15"/>
        <v>3.7180249851277982E-3</v>
      </c>
      <c r="J78" s="24"/>
      <c r="K78" s="24"/>
      <c r="L78" s="19">
        <f t="shared" si="16"/>
        <v>34.679288967610127</v>
      </c>
      <c r="M78" s="126"/>
      <c r="N78" s="126"/>
      <c r="O78" s="9">
        <f t="shared" si="11"/>
        <v>1.8771110323898696</v>
      </c>
      <c r="P78" s="10">
        <f t="shared" si="17"/>
        <v>3.5235458279197625</v>
      </c>
      <c r="Q78" s="152"/>
      <c r="R78" s="152"/>
      <c r="S78" s="152"/>
      <c r="T78" s="152"/>
      <c r="U78" s="152"/>
      <c r="V78" s="10">
        <f t="shared" si="19"/>
        <v>4.5409173524587967E-2</v>
      </c>
      <c r="W78" s="13">
        <f t="shared" si="12"/>
        <v>9.0796340714606807E-2</v>
      </c>
      <c r="X78" s="68"/>
      <c r="Y78" s="68"/>
      <c r="Z78" s="15">
        <f t="shared" si="18"/>
        <v>2.4831037896614241</v>
      </c>
      <c r="AA78" s="152"/>
      <c r="AB78" s="152"/>
    </row>
    <row r="79" spans="1:28">
      <c r="A79" s="84">
        <f>'Q.6 Rand()'!V77</f>
        <v>2.2000000000000002</v>
      </c>
      <c r="B79" s="141">
        <f>'Q.6 Rand()'!W77</f>
        <v>51.9</v>
      </c>
      <c r="C79" s="5"/>
      <c r="D79" s="23"/>
      <c r="E79" s="24"/>
      <c r="F79" s="22">
        <f t="shared" si="10"/>
        <v>-1.2390243902439031</v>
      </c>
      <c r="G79" s="22">
        <f t="shared" si="13"/>
        <v>16.919386720867209</v>
      </c>
      <c r="H79" s="18">
        <f t="shared" si="14"/>
        <v>-20.963532815123283</v>
      </c>
      <c r="I79" s="18">
        <f t="shared" si="15"/>
        <v>1.5351814396192758</v>
      </c>
      <c r="J79" s="24"/>
      <c r="K79" s="24"/>
      <c r="L79" s="19">
        <f t="shared" si="16"/>
        <v>41.103523289273404</v>
      </c>
      <c r="M79" s="126"/>
      <c r="N79" s="126"/>
      <c r="O79" s="9">
        <f t="shared" si="11"/>
        <v>10.796476710726594</v>
      </c>
      <c r="P79" s="10">
        <f t="shared" si="17"/>
        <v>116.56390936526174</v>
      </c>
      <c r="Q79" s="152"/>
      <c r="R79" s="152"/>
      <c r="S79" s="152"/>
      <c r="T79" s="152"/>
      <c r="U79" s="152"/>
      <c r="V79" s="10">
        <f t="shared" si="19"/>
        <v>5.1348355756854334E-2</v>
      </c>
      <c r="W79" s="13">
        <f t="shared" si="12"/>
        <v>37.490026992280143</v>
      </c>
      <c r="X79" s="68"/>
      <c r="Y79" s="68"/>
      <c r="Z79" s="15">
        <f t="shared" si="18"/>
        <v>286.26564701025762</v>
      </c>
      <c r="AA79" s="152"/>
      <c r="AB79" s="152"/>
    </row>
    <row r="80" spans="1:28">
      <c r="A80" s="84">
        <f>'Q.6 Rand()'!V78</f>
        <v>2.4</v>
      </c>
      <c r="B80" s="141">
        <f>'Q.6 Rand()'!W78</f>
        <v>44.344000000000001</v>
      </c>
      <c r="C80" s="5"/>
      <c r="D80" s="23"/>
      <c r="E80" s="24"/>
      <c r="F80" s="22">
        <f t="shared" si="10"/>
        <v>-1.0390243902439034</v>
      </c>
      <c r="G80" s="22">
        <f t="shared" si="13"/>
        <v>9.3633867208672115</v>
      </c>
      <c r="H80" s="18">
        <f t="shared" si="14"/>
        <v>-9.7287871782669164</v>
      </c>
      <c r="I80" s="18">
        <f t="shared" si="15"/>
        <v>1.0795716835217153</v>
      </c>
      <c r="J80" s="24"/>
      <c r="K80" s="24"/>
      <c r="L80" s="19">
        <f t="shared" si="16"/>
        <v>40.115179547479059</v>
      </c>
      <c r="M80" s="126"/>
      <c r="N80" s="126"/>
      <c r="O80" s="9">
        <f t="shared" si="11"/>
        <v>4.2288204525209423</v>
      </c>
      <c r="P80" s="10">
        <f t="shared" si="17"/>
        <v>17.882922419659426</v>
      </c>
      <c r="Q80" s="152"/>
      <c r="R80" s="152"/>
      <c r="S80" s="152"/>
      <c r="T80" s="152"/>
      <c r="U80" s="152"/>
      <c r="V80" s="10">
        <f t="shared" si="19"/>
        <v>0.20802459943596521</v>
      </c>
      <c r="W80" s="13">
        <f t="shared" si="12"/>
        <v>26.36377076403933</v>
      </c>
      <c r="X80" s="68"/>
      <c r="Y80" s="68"/>
      <c r="Z80" s="15">
        <f t="shared" si="18"/>
        <v>87.673010884512436</v>
      </c>
      <c r="AA80" s="152"/>
      <c r="AB80" s="152"/>
    </row>
    <row r="81" spans="1:28">
      <c r="A81" s="84">
        <f>'Q.6 Rand()'!V79</f>
        <v>5.3</v>
      </c>
      <c r="B81" s="141">
        <f>'Q.6 Rand()'!W79</f>
        <v>29.3645</v>
      </c>
      <c r="C81" s="5"/>
      <c r="D81" s="23"/>
      <c r="E81" s="24"/>
      <c r="F81" s="22">
        <f t="shared" si="10"/>
        <v>1.8609756097560965</v>
      </c>
      <c r="G81" s="22">
        <f t="shared" si="13"/>
        <v>-5.6161132791327901</v>
      </c>
      <c r="H81" s="18">
        <f t="shared" si="14"/>
        <v>-10.451449834093456</v>
      </c>
      <c r="I81" s="18">
        <f t="shared" si="15"/>
        <v>3.4632302201070755</v>
      </c>
      <c r="J81" s="24"/>
      <c r="K81" s="24"/>
      <c r="L81" s="19">
        <f t="shared" si="16"/>
        <v>25.784195291460968</v>
      </c>
      <c r="M81" s="126"/>
      <c r="N81" s="126"/>
      <c r="O81" s="9">
        <f t="shared" si="11"/>
        <v>3.5803047085390318</v>
      </c>
      <c r="P81" s="10">
        <f t="shared" si="17"/>
        <v>12.818581805986762</v>
      </c>
      <c r="Q81" s="152"/>
      <c r="R81" s="152"/>
      <c r="S81" s="152"/>
      <c r="T81" s="152"/>
      <c r="U81" s="152"/>
      <c r="V81" s="10">
        <f t="shared" si="19"/>
        <v>9.5363982782810344E-2</v>
      </c>
      <c r="W81" s="13">
        <f t="shared" si="12"/>
        <v>84.574103803973841</v>
      </c>
      <c r="X81" s="68"/>
      <c r="Y81" s="68"/>
      <c r="Z81" s="15">
        <f t="shared" si="18"/>
        <v>31.54072836405166</v>
      </c>
      <c r="AA81" s="152"/>
      <c r="AB81" s="152"/>
    </row>
    <row r="82" spans="1:28">
      <c r="A82" s="84">
        <f>'Q.6 Rand()'!V80</f>
        <v>2</v>
      </c>
      <c r="B82" s="141">
        <f>'Q.6 Rand()'!W80</f>
        <v>42.3461</v>
      </c>
      <c r="C82" s="5"/>
      <c r="D82" s="23"/>
      <c r="E82" s="24"/>
      <c r="F82" s="22">
        <f t="shared" si="10"/>
        <v>-1.4390243902439033</v>
      </c>
      <c r="G82" s="22">
        <f t="shared" si="13"/>
        <v>7.3654867208672101</v>
      </c>
      <c r="H82" s="18">
        <f t="shared" si="14"/>
        <v>-10.599115037345504</v>
      </c>
      <c r="I82" s="18">
        <f t="shared" si="15"/>
        <v>2.0707911957168377</v>
      </c>
      <c r="J82" s="24"/>
      <c r="K82" s="24"/>
      <c r="L82" s="19">
        <f t="shared" si="16"/>
        <v>42.091867031067757</v>
      </c>
      <c r="M82" s="126"/>
      <c r="N82" s="126"/>
      <c r="O82" s="9">
        <f t="shared" si="11"/>
        <v>0.2542329689322429</v>
      </c>
      <c r="P82" s="10">
        <f t="shared" si="17"/>
        <v>6.4634402492102783E-2</v>
      </c>
      <c r="Q82" s="152"/>
      <c r="R82" s="152"/>
      <c r="S82" s="152"/>
      <c r="T82" s="152"/>
      <c r="U82" s="152"/>
      <c r="V82" s="10">
        <f t="shared" si="19"/>
        <v>0.12192629564743251</v>
      </c>
      <c r="W82" s="13">
        <f t="shared" si="12"/>
        <v>50.569929924409145</v>
      </c>
      <c r="X82" s="68"/>
      <c r="Y82" s="68"/>
      <c r="Z82" s="15">
        <f t="shared" si="18"/>
        <v>54.250394635271206</v>
      </c>
      <c r="AA82" s="152"/>
      <c r="AB82" s="152"/>
    </row>
    <row r="83" spans="1:28">
      <c r="A83" s="84">
        <f>'Q.6 Rand()'!V81</f>
        <v>2</v>
      </c>
      <c r="B83" s="141">
        <f>'Q.6 Rand()'!W81</f>
        <v>43</v>
      </c>
      <c r="C83" s="5"/>
      <c r="D83" s="23"/>
      <c r="E83" s="24"/>
      <c r="F83" s="22">
        <f t="shared" si="10"/>
        <v>-1.4390243902439033</v>
      </c>
      <c r="G83" s="22">
        <f t="shared" si="13"/>
        <v>8.0193867208672103</v>
      </c>
      <c r="H83" s="18">
        <f t="shared" si="14"/>
        <v>-11.540093086125992</v>
      </c>
      <c r="I83" s="18">
        <f t="shared" si="15"/>
        <v>2.0707911957168377</v>
      </c>
      <c r="J83" s="24"/>
      <c r="K83" s="24"/>
      <c r="L83" s="19">
        <f t="shared" si="16"/>
        <v>42.091867031067757</v>
      </c>
      <c r="M83" s="126"/>
      <c r="N83" s="126"/>
      <c r="O83" s="9">
        <f t="shared" si="11"/>
        <v>0.90813296893224305</v>
      </c>
      <c r="P83" s="10">
        <f t="shared" si="17"/>
        <v>0.82470548926169029</v>
      </c>
      <c r="Q83" s="152"/>
      <c r="R83" s="152"/>
      <c r="S83" s="152"/>
      <c r="T83" s="152"/>
      <c r="U83" s="152"/>
      <c r="V83" s="10">
        <f t="shared" si="19"/>
        <v>6.003692640697559E-3</v>
      </c>
      <c r="W83" s="13">
        <f t="shared" si="12"/>
        <v>50.569929924409145</v>
      </c>
      <c r="X83" s="68"/>
      <c r="Y83" s="68"/>
      <c r="Z83" s="15">
        <f t="shared" si="18"/>
        <v>64.310563378821342</v>
      </c>
      <c r="AA83" s="152"/>
      <c r="AB83" s="152"/>
    </row>
    <row r="84" spans="1:28">
      <c r="A84" s="84">
        <f>'Q.6 Rand()'!V82</f>
        <v>2.5</v>
      </c>
      <c r="B84" s="141">
        <f>'Q.6 Rand()'!W82</f>
        <v>47.649299999999997</v>
      </c>
      <c r="C84" s="5"/>
      <c r="D84" s="23"/>
      <c r="E84" s="24"/>
      <c r="F84" s="22">
        <f t="shared" si="10"/>
        <v>-0.93902439024390327</v>
      </c>
      <c r="G84" s="22">
        <f t="shared" si="13"/>
        <v>12.668686720867207</v>
      </c>
      <c r="H84" s="18">
        <f t="shared" si="14"/>
        <v>-11.896205823253364</v>
      </c>
      <c r="I84" s="18">
        <f t="shared" si="15"/>
        <v>0.88176680547293429</v>
      </c>
      <c r="J84" s="24"/>
      <c r="K84" s="24"/>
      <c r="L84" s="19">
        <f t="shared" si="16"/>
        <v>39.621007676581883</v>
      </c>
      <c r="M84" s="126"/>
      <c r="N84" s="126"/>
      <c r="O84" s="9">
        <f t="shared" si="11"/>
        <v>8.0282923234181141</v>
      </c>
      <c r="P84" s="10">
        <f t="shared" si="17"/>
        <v>64.453477630254227</v>
      </c>
      <c r="Q84" s="152"/>
      <c r="R84" s="152"/>
      <c r="S84" s="152"/>
      <c r="T84" s="152"/>
      <c r="U84" s="152"/>
      <c r="V84" s="10">
        <f t="shared" si="19"/>
        <v>2.1119371370517281E-2</v>
      </c>
      <c r="W84" s="13">
        <f t="shared" si="12"/>
        <v>21.533260163876928</v>
      </c>
      <c r="X84" s="68"/>
      <c r="Y84" s="68"/>
      <c r="Z84" s="15">
        <f t="shared" si="18"/>
        <v>160.49562323147711</v>
      </c>
      <c r="AA84" s="152"/>
      <c r="AB84" s="152"/>
    </row>
    <row r="85" spans="1:28">
      <c r="A85" s="84">
        <f>'Q.6 Rand()'!V83</f>
        <v>1.3</v>
      </c>
      <c r="B85" s="141">
        <f>'Q.6 Rand()'!W83</f>
        <v>61.2</v>
      </c>
      <c r="C85" s="5"/>
      <c r="D85" s="23"/>
      <c r="E85" s="24"/>
      <c r="F85" s="22">
        <f t="shared" si="10"/>
        <v>-2.139024390243903</v>
      </c>
      <c r="G85" s="22">
        <f t="shared" si="13"/>
        <v>26.219386720867213</v>
      </c>
      <c r="H85" s="18">
        <f t="shared" si="14"/>
        <v>-56.08390769317208</v>
      </c>
      <c r="I85" s="18">
        <f t="shared" si="15"/>
        <v>4.5754253420583009</v>
      </c>
      <c r="J85" s="24"/>
      <c r="K85" s="24"/>
      <c r="L85" s="19">
        <f t="shared" si="16"/>
        <v>45.551070127347984</v>
      </c>
      <c r="M85" s="126"/>
      <c r="N85" s="126"/>
      <c r="O85" s="9">
        <f t="shared" si="11"/>
        <v>15.648929872652019</v>
      </c>
      <c r="P85" s="10">
        <f t="shared" si="17"/>
        <v>244.88900615918072</v>
      </c>
      <c r="Q85" s="152"/>
      <c r="R85" s="152"/>
      <c r="S85" s="152"/>
      <c r="T85" s="152"/>
      <c r="U85" s="152"/>
      <c r="V85" s="10">
        <f t="shared" si="19"/>
        <v>0.16848709893782521</v>
      </c>
      <c r="W85" s="13">
        <f t="shared" si="12"/>
        <v>111.7345579799795</v>
      </c>
      <c r="X85" s="68"/>
      <c r="Y85" s="68"/>
      <c r="Z85" s="15">
        <f t="shared" si="18"/>
        <v>687.45624001838792</v>
      </c>
      <c r="AA85" s="152"/>
      <c r="AB85" s="152"/>
    </row>
    <row r="86" spans="1:28">
      <c r="A86" s="84">
        <f>'Q.6 Rand()'!V84</f>
        <v>2</v>
      </c>
      <c r="B86" s="141">
        <f>'Q.6 Rand()'!W84</f>
        <v>41.521000000000001</v>
      </c>
      <c r="C86" s="5"/>
      <c r="D86" s="23"/>
      <c r="E86" s="24"/>
      <c r="F86" s="22">
        <f t="shared" si="10"/>
        <v>-1.4390243902439033</v>
      </c>
      <c r="G86" s="22">
        <f t="shared" si="13"/>
        <v>6.5403867208672111</v>
      </c>
      <c r="H86" s="18">
        <f t="shared" si="14"/>
        <v>-9.4117760129552597</v>
      </c>
      <c r="I86" s="18">
        <f t="shared" si="15"/>
        <v>2.0707911957168377</v>
      </c>
      <c r="J86" s="24"/>
      <c r="K86" s="24"/>
      <c r="L86" s="19">
        <f t="shared" si="16"/>
        <v>42.091867031067757</v>
      </c>
      <c r="M86" s="126"/>
      <c r="N86" s="126"/>
      <c r="O86" s="9">
        <f t="shared" si="11"/>
        <v>-0.57086703106775616</v>
      </c>
      <c r="P86" s="10">
        <f t="shared" si="17"/>
        <v>0.32588916716011446</v>
      </c>
      <c r="Q86" s="152"/>
      <c r="R86" s="152"/>
      <c r="S86" s="152"/>
      <c r="T86" s="152"/>
      <c r="U86" s="152"/>
      <c r="V86" s="10">
        <f t="shared" si="19"/>
        <v>0.2557014685073859</v>
      </c>
      <c r="W86" s="13">
        <f t="shared" si="12"/>
        <v>50.569929924409145</v>
      </c>
      <c r="X86" s="68"/>
      <c r="Y86" s="68"/>
      <c r="Z86" s="15">
        <f t="shared" si="18"/>
        <v>42.776658458496151</v>
      </c>
      <c r="AA86" s="152"/>
      <c r="AB86" s="152"/>
    </row>
    <row r="87" spans="1:28">
      <c r="A87" s="84">
        <f>'Q.6 Rand()'!V85</f>
        <v>3.7</v>
      </c>
      <c r="B87" s="141">
        <f>'Q.6 Rand()'!W85</f>
        <v>31.411200000000001</v>
      </c>
      <c r="C87" s="30"/>
      <c r="D87" s="23"/>
      <c r="E87" s="24"/>
      <c r="F87" s="22">
        <f t="shared" si="10"/>
        <v>0.2609756097560969</v>
      </c>
      <c r="G87" s="22">
        <f t="shared" si="13"/>
        <v>-3.5694132791327888</v>
      </c>
      <c r="H87" s="18">
        <f t="shared" si="14"/>
        <v>-0.93152980699318888</v>
      </c>
      <c r="I87" s="18">
        <f t="shared" si="15"/>
        <v>6.8108268887566575E-2</v>
      </c>
      <c r="J87" s="24"/>
      <c r="K87" s="24"/>
      <c r="L87" s="19">
        <f t="shared" si="16"/>
        <v>33.690945225815774</v>
      </c>
      <c r="M87" s="156"/>
      <c r="N87" s="127"/>
      <c r="O87" s="9">
        <f t="shared" si="11"/>
        <v>-2.2797452258157733</v>
      </c>
      <c r="P87" s="10">
        <f t="shared" si="17"/>
        <v>5.1972382946298117</v>
      </c>
      <c r="Q87" s="152"/>
      <c r="R87" s="152"/>
      <c r="S87" s="152"/>
      <c r="T87" s="152"/>
      <c r="U87" s="152"/>
      <c r="V87" s="10">
        <f t="shared" si="19"/>
        <v>1.374887481196879E-2</v>
      </c>
      <c r="W87" s="13">
        <f t="shared" si="12"/>
        <v>1.6632436877465004</v>
      </c>
      <c r="X87" s="72"/>
      <c r="Y87" s="72"/>
      <c r="Z87" s="15">
        <f t="shared" si="18"/>
        <v>12.740711157249489</v>
      </c>
      <c r="AA87" s="152"/>
      <c r="AB87" s="152"/>
    </row>
    <row r="88" spans="1:28">
      <c r="A88" s="84">
        <f>'Q.6 Rand()'!V86</f>
        <v>5.3</v>
      </c>
      <c r="B88" s="141">
        <f>'Q.6 Rand()'!W86</f>
        <v>27.9</v>
      </c>
      <c r="D88" s="23"/>
      <c r="E88" s="24"/>
      <c r="F88" s="22">
        <f t="shared" si="10"/>
        <v>1.8609756097560965</v>
      </c>
      <c r="G88" s="22">
        <f t="shared" si="13"/>
        <v>-7.0806132791327911</v>
      </c>
      <c r="H88" s="18">
        <f t="shared" si="14"/>
        <v>-13.17684861458126</v>
      </c>
      <c r="I88" s="18">
        <f t="shared" si="15"/>
        <v>3.4632302201070755</v>
      </c>
      <c r="J88" s="24"/>
      <c r="K88" s="24"/>
      <c r="L88" s="19">
        <f t="shared" si="16"/>
        <v>25.784195291460968</v>
      </c>
      <c r="O88" s="9">
        <f t="shared" si="11"/>
        <v>2.1158047085390308</v>
      </c>
      <c r="P88" s="10">
        <f t="shared" si="17"/>
        <v>4.4766295646759326</v>
      </c>
      <c r="V88" s="10">
        <f t="shared" si="19"/>
        <v>7.2577463637676157E-2</v>
      </c>
      <c r="W88" s="13">
        <f t="shared" si="12"/>
        <v>84.574103803973841</v>
      </c>
      <c r="Z88" s="15">
        <f t="shared" si="18"/>
        <v>50.13508440863162</v>
      </c>
    </row>
    <row r="89" spans="1:28">
      <c r="A89" s="84">
        <f>'Q.6 Rand()'!V87</f>
        <v>3</v>
      </c>
      <c r="B89" s="141">
        <f>'Q.6 Rand()'!W87</f>
        <v>35.267800000000001</v>
      </c>
      <c r="D89" s="23"/>
      <c r="E89" s="24"/>
      <c r="F89" s="22">
        <f t="shared" si="10"/>
        <v>-0.43902439024390327</v>
      </c>
      <c r="G89" s="22">
        <f t="shared" si="13"/>
        <v>0.28718672086721142</v>
      </c>
      <c r="H89" s="18">
        <f t="shared" si="14"/>
        <v>-0.12608197501487356</v>
      </c>
      <c r="I89" s="18">
        <f t="shared" si="15"/>
        <v>0.19274241522903107</v>
      </c>
      <c r="J89" s="24"/>
      <c r="K89" s="24"/>
      <c r="L89" s="19">
        <f t="shared" si="16"/>
        <v>37.150148322096001</v>
      </c>
      <c r="O89" s="9">
        <f t="shared" si="11"/>
        <v>-1.882348322096</v>
      </c>
      <c r="P89" s="10">
        <f t="shared" si="17"/>
        <v>3.5432352056976266</v>
      </c>
      <c r="V89" s="10">
        <f t="shared" si="19"/>
        <v>7.5835294212868498E-2</v>
      </c>
      <c r="W89" s="13">
        <f t="shared" si="12"/>
        <v>4.7068823026453837</v>
      </c>
      <c r="Z89" s="15">
        <f t="shared" si="18"/>
        <v>8.2476212642461605E-2</v>
      </c>
    </row>
    <row r="90" spans="1:28">
      <c r="A90" s="84">
        <f>'Q.6 Rand()'!V88</f>
        <v>2</v>
      </c>
      <c r="B90" s="141">
        <f>'Q.6 Rand()'!W88</f>
        <v>41.566099999999999</v>
      </c>
      <c r="D90" s="23"/>
      <c r="E90" s="24"/>
      <c r="F90" s="22">
        <f t="shared" si="10"/>
        <v>-1.4390243902439033</v>
      </c>
      <c r="G90" s="22">
        <f t="shared" si="13"/>
        <v>6.585486720867209</v>
      </c>
      <c r="H90" s="18">
        <f t="shared" si="14"/>
        <v>-9.4766760129552576</v>
      </c>
      <c r="I90" s="18">
        <f t="shared" si="15"/>
        <v>2.0707911957168377</v>
      </c>
      <c r="J90" s="24"/>
      <c r="K90" s="24"/>
      <c r="L90" s="19">
        <f t="shared" si="16"/>
        <v>42.091867031067757</v>
      </c>
      <c r="O90" s="9">
        <f t="shared" si="11"/>
        <v>-0.52576703106775824</v>
      </c>
      <c r="P90" s="10">
        <f t="shared" si="17"/>
        <v>0.27643097095780506</v>
      </c>
      <c r="V90" s="10">
        <f t="shared" si="19"/>
        <v>5.3373000927077953E-2</v>
      </c>
      <c r="W90" s="13">
        <f t="shared" si="12"/>
        <v>50.569929924409145</v>
      </c>
      <c r="Z90" s="15">
        <f t="shared" si="18"/>
        <v>43.368635350718343</v>
      </c>
    </row>
    <row r="91" spans="1:28">
      <c r="A91" s="84">
        <f>'Q.6 Rand()'!V89</f>
        <v>4.5999999999999996</v>
      </c>
      <c r="B91" s="141">
        <f>'Q.6 Rand()'!W89</f>
        <v>26.548400000000001</v>
      </c>
      <c r="D91" s="23"/>
      <c r="E91" s="24"/>
      <c r="F91" s="22">
        <f t="shared" si="10"/>
        <v>1.1609756097560964</v>
      </c>
      <c r="G91" s="22">
        <f t="shared" si="13"/>
        <v>-8.4322132791327888</v>
      </c>
      <c r="H91" s="18">
        <f t="shared" si="14"/>
        <v>-9.7895939533346432</v>
      </c>
      <c r="I91" s="18">
        <f t="shared" si="15"/>
        <v>1.3478643664485397</v>
      </c>
      <c r="J91" s="24"/>
      <c r="K91" s="24"/>
      <c r="L91" s="19">
        <f t="shared" si="16"/>
        <v>29.243398387741198</v>
      </c>
      <c r="O91" s="9">
        <f t="shared" si="11"/>
        <v>-2.6949983877411974</v>
      </c>
      <c r="P91" s="10">
        <f t="shared" si="17"/>
        <v>7.2630163099276537</v>
      </c>
      <c r="V91" s="10">
        <f t="shared" si="19"/>
        <v>1.2648938222921041E-2</v>
      </c>
      <c r="W91" s="13">
        <f t="shared" si="12"/>
        <v>32.915634710005428</v>
      </c>
      <c r="Z91" s="15">
        <f t="shared" si="18"/>
        <v>71.102220784783341</v>
      </c>
    </row>
    <row r="92" spans="1:28">
      <c r="A92" s="84">
        <f>'Q.6 Rand()'!V90</f>
        <v>5.3</v>
      </c>
      <c r="B92" s="141">
        <f>'Q.6 Rand()'!W90</f>
        <v>26.6</v>
      </c>
      <c r="D92" s="23"/>
      <c r="E92" s="24"/>
      <c r="F92" s="22">
        <f t="shared" si="10"/>
        <v>1.8609756097560965</v>
      </c>
      <c r="G92" s="22">
        <f t="shared" si="13"/>
        <v>-8.3806132791327883</v>
      </c>
      <c r="H92" s="18">
        <f t="shared" si="14"/>
        <v>-15.596116907264181</v>
      </c>
      <c r="I92" s="18">
        <f t="shared" si="15"/>
        <v>3.4632302201070755</v>
      </c>
      <c r="J92" s="24"/>
      <c r="K92" s="24"/>
      <c r="L92" s="19">
        <f t="shared" si="16"/>
        <v>25.784195291460968</v>
      </c>
      <c r="O92" s="9">
        <f t="shared" si="11"/>
        <v>0.81580470853903364</v>
      </c>
      <c r="P92" s="10">
        <f t="shared" si="17"/>
        <v>0.66553732247445763</v>
      </c>
      <c r="V92" s="10">
        <f t="shared" si="19"/>
        <v>0.10151264813477262</v>
      </c>
      <c r="W92" s="13">
        <f t="shared" si="12"/>
        <v>84.574103803973841</v>
      </c>
      <c r="Z92" s="15">
        <f t="shared" si="18"/>
        <v>70.234678934376831</v>
      </c>
    </row>
    <row r="93" spans="1:28">
      <c r="A93" s="84">
        <f>'Q.6 Rand()'!V91</f>
        <v>3</v>
      </c>
      <c r="B93" s="141">
        <f>'Q.6 Rand()'!W91</f>
        <v>38.7896</v>
      </c>
      <c r="D93" s="23"/>
      <c r="E93" s="24"/>
      <c r="F93" s="22">
        <f t="shared" si="10"/>
        <v>-0.43902439024390327</v>
      </c>
      <c r="G93" s="22">
        <f t="shared" si="13"/>
        <v>3.8089867208672104</v>
      </c>
      <c r="H93" s="18">
        <f t="shared" si="14"/>
        <v>-1.6722380725758517</v>
      </c>
      <c r="I93" s="18">
        <f t="shared" si="15"/>
        <v>0.19274241522903107</v>
      </c>
      <c r="J93" s="24"/>
      <c r="K93" s="24"/>
      <c r="L93" s="19">
        <f t="shared" si="16"/>
        <v>37.150148322096001</v>
      </c>
      <c r="O93" s="9">
        <f t="shared" si="11"/>
        <v>1.6394516779039989</v>
      </c>
      <c r="P93" s="10">
        <f t="shared" si="17"/>
        <v>2.6878018041822376</v>
      </c>
      <c r="V93" s="10">
        <f t="shared" si="19"/>
        <v>3.066934994507645E-2</v>
      </c>
      <c r="W93" s="13">
        <f t="shared" si="12"/>
        <v>4.7068823026453837</v>
      </c>
      <c r="Z93" s="15">
        <f t="shared" si="18"/>
        <v>14.508379839742744</v>
      </c>
    </row>
    <row r="94" spans="1:28">
      <c r="A94" s="84">
        <f>'Q.6 Rand()'!V92</f>
        <v>2</v>
      </c>
      <c r="B94" s="141">
        <f>'Q.6 Rand()'!W92</f>
        <v>58.534999999999997</v>
      </c>
      <c r="D94" s="23"/>
      <c r="E94" s="24"/>
      <c r="F94" s="22">
        <f t="shared" si="10"/>
        <v>-1.4390243902439033</v>
      </c>
      <c r="G94" s="22">
        <f t="shared" si="13"/>
        <v>23.554386720867207</v>
      </c>
      <c r="H94" s="18">
        <f t="shared" si="14"/>
        <v>-33.895336988565028</v>
      </c>
      <c r="I94" s="18">
        <f t="shared" si="15"/>
        <v>2.0707911957168377</v>
      </c>
      <c r="J94" s="24"/>
      <c r="K94" s="24"/>
      <c r="L94" s="19">
        <f t="shared" si="16"/>
        <v>42.091867031067757</v>
      </c>
      <c r="O94" s="9">
        <f t="shared" si="11"/>
        <v>16.44313296893224</v>
      </c>
      <c r="P94" s="10">
        <f t="shared" si="17"/>
        <v>270.37662183398635</v>
      </c>
      <c r="V94" s="10">
        <f t="shared" si="19"/>
        <v>4.2265238051023959E-2</v>
      </c>
      <c r="W94" s="13">
        <f t="shared" si="12"/>
        <v>50.569929924409145</v>
      </c>
      <c r="Z94" s="15">
        <f t="shared" si="18"/>
        <v>554.80913379616538</v>
      </c>
    </row>
    <row r="95" spans="1:28">
      <c r="A95" s="84">
        <f>'Q.6 Rand()'!V93</f>
        <v>2.4</v>
      </c>
      <c r="B95" s="141">
        <f>'Q.6 Rand()'!W93</f>
        <v>48.2</v>
      </c>
      <c r="D95" s="23"/>
      <c r="E95" s="24"/>
      <c r="F95" s="22">
        <f t="shared" si="10"/>
        <v>-1.0390243902439034</v>
      </c>
      <c r="G95" s="22">
        <f t="shared" si="13"/>
        <v>13.219386720867213</v>
      </c>
      <c r="H95" s="18">
        <f t="shared" si="14"/>
        <v>-13.735265227047408</v>
      </c>
      <c r="I95" s="18">
        <f t="shared" si="15"/>
        <v>1.0795716835217153</v>
      </c>
      <c r="J95" s="24"/>
      <c r="K95" s="24"/>
      <c r="L95" s="19">
        <f t="shared" si="16"/>
        <v>40.115179547479059</v>
      </c>
      <c r="O95" s="9">
        <f t="shared" si="11"/>
        <v>8.0848204525209439</v>
      </c>
      <c r="P95" s="10">
        <f t="shared" si="17"/>
        <v>65.364321749500959</v>
      </c>
      <c r="V95" s="10">
        <f t="shared" si="19"/>
        <v>0.28091112956235142</v>
      </c>
      <c r="W95" s="13">
        <f t="shared" si="12"/>
        <v>26.36377076403933</v>
      </c>
      <c r="Z95" s="15">
        <f t="shared" si="18"/>
        <v>174.75218527584042</v>
      </c>
    </row>
    <row r="96" spans="1:28">
      <c r="A96" s="84">
        <f>'Q.6 Rand()'!V94</f>
        <v>3.5</v>
      </c>
      <c r="B96" s="141">
        <f>'Q.6 Rand()'!W94</f>
        <v>37.6</v>
      </c>
      <c r="D96" s="23"/>
      <c r="E96" s="24"/>
      <c r="F96" s="22">
        <f t="shared" si="10"/>
        <v>6.0975609756096727E-2</v>
      </c>
      <c r="G96" s="22">
        <f t="shared" si="13"/>
        <v>2.6193867208672117</v>
      </c>
      <c r="H96" s="18">
        <f t="shared" si="14"/>
        <v>0.15971870249190095</v>
      </c>
      <c r="I96" s="18">
        <f t="shared" si="15"/>
        <v>3.7180249851277982E-3</v>
      </c>
      <c r="J96" s="24"/>
      <c r="K96" s="24"/>
      <c r="L96" s="19">
        <f t="shared" si="16"/>
        <v>34.679288967610127</v>
      </c>
      <c r="O96" s="9">
        <f t="shared" si="11"/>
        <v>2.9207110323898746</v>
      </c>
      <c r="P96" s="10">
        <f t="shared" si="17"/>
        <v>8.5305529347239268</v>
      </c>
      <c r="V96" s="10">
        <f t="shared" si="19"/>
        <v>0.16773486416018554</v>
      </c>
      <c r="W96" s="13">
        <f t="shared" si="12"/>
        <v>9.0796340714606807E-2</v>
      </c>
      <c r="Z96" s="15">
        <f t="shared" si="18"/>
        <v>6.8611867934554835</v>
      </c>
    </row>
    <row r="97" spans="1:26">
      <c r="A97" s="84">
        <f>'Q.6 Rand()'!V95</f>
        <v>1.6</v>
      </c>
      <c r="B97" s="141">
        <f>'Q.6 Rand()'!W95</f>
        <v>42.1</v>
      </c>
      <c r="D97" s="23"/>
      <c r="E97" s="24"/>
      <c r="F97" s="22">
        <f t="shared" si="10"/>
        <v>-1.8390243902439032</v>
      </c>
      <c r="G97" s="22">
        <f t="shared" si="13"/>
        <v>7.1193867208672117</v>
      </c>
      <c r="H97" s="18">
        <f t="shared" si="14"/>
        <v>-13.092725823253366</v>
      </c>
      <c r="I97" s="18">
        <f t="shared" si="15"/>
        <v>3.3820107079119599</v>
      </c>
      <c r="J97" s="24"/>
      <c r="K97" s="24"/>
      <c r="L97" s="19">
        <f t="shared" si="16"/>
        <v>44.068554514656462</v>
      </c>
      <c r="O97" s="9">
        <f t="shared" si="11"/>
        <v>-1.9685545146564607</v>
      </c>
      <c r="P97" s="10">
        <f t="shared" si="17"/>
        <v>3.8752068771743335</v>
      </c>
      <c r="V97" s="10">
        <f t="shared" si="19"/>
        <v>7.7678484903986031E-2</v>
      </c>
      <c r="W97" s="13">
        <f t="shared" si="12"/>
        <v>82.590675900331533</v>
      </c>
      <c r="Z97" s="15">
        <f t="shared" si="18"/>
        <v>50.685667281260386</v>
      </c>
    </row>
    <row r="98" spans="1:26">
      <c r="A98" s="84">
        <f>'Q.6 Rand()'!V96</f>
        <v>3.5</v>
      </c>
      <c r="B98" s="141">
        <f>'Q.6 Rand()'!W96</f>
        <v>34.200000000000003</v>
      </c>
      <c r="D98" s="23"/>
      <c r="E98" s="24"/>
      <c r="F98" s="22">
        <f t="shared" si="10"/>
        <v>6.0975609756096727E-2</v>
      </c>
      <c r="G98" s="22">
        <f t="shared" si="13"/>
        <v>-0.78061327913278689</v>
      </c>
      <c r="H98" s="18">
        <f t="shared" si="14"/>
        <v>-4.7598370678827814E-2</v>
      </c>
      <c r="I98" s="18">
        <f t="shared" si="15"/>
        <v>3.7180249851277982E-3</v>
      </c>
      <c r="J98" s="24"/>
      <c r="K98" s="24"/>
      <c r="L98" s="19">
        <f t="shared" si="16"/>
        <v>34.679288967610127</v>
      </c>
      <c r="O98" s="9">
        <f t="shared" si="11"/>
        <v>-0.47928896761012396</v>
      </c>
      <c r="P98" s="10">
        <f t="shared" si="17"/>
        <v>0.22971791447277845</v>
      </c>
      <c r="V98" s="10">
        <f t="shared" si="19"/>
        <v>4.6759014599915931E-2</v>
      </c>
      <c r="W98" s="13">
        <f t="shared" si="12"/>
        <v>9.0796340714606807E-2</v>
      </c>
      <c r="Z98" s="15">
        <f t="shared" si="18"/>
        <v>0.6093570915584422</v>
      </c>
    </row>
    <row r="99" spans="1:26">
      <c r="A99" s="84">
        <f>'Q.6 Rand()'!V97</f>
        <v>2</v>
      </c>
      <c r="B99" s="141">
        <f>'Q.6 Rand()'!W97</f>
        <v>38.995899999999999</v>
      </c>
      <c r="D99" s="23"/>
      <c r="E99" s="24"/>
      <c r="F99" s="22">
        <f t="shared" si="10"/>
        <v>-1.4390243902439033</v>
      </c>
      <c r="G99" s="22">
        <f t="shared" si="13"/>
        <v>4.0152867208672092</v>
      </c>
      <c r="H99" s="18">
        <f t="shared" si="14"/>
        <v>-5.7780955251503778</v>
      </c>
      <c r="I99" s="18">
        <f t="shared" si="15"/>
        <v>2.0707911957168377</v>
      </c>
      <c r="J99" s="24"/>
      <c r="K99" s="24"/>
      <c r="L99" s="19">
        <f t="shared" si="16"/>
        <v>42.091867031067757</v>
      </c>
      <c r="O99" s="9">
        <f t="shared" si="11"/>
        <v>-3.0959670310677581</v>
      </c>
      <c r="P99" s="10">
        <f t="shared" si="17"/>
        <v>9.5850118574585093</v>
      </c>
      <c r="V99" s="10">
        <f t="shared" si="19"/>
        <v>1.4014297298541634E-2</v>
      </c>
      <c r="W99" s="13">
        <f t="shared" si="12"/>
        <v>50.569929924409145</v>
      </c>
      <c r="Z99" s="15">
        <f t="shared" si="18"/>
        <v>16.122527450772544</v>
      </c>
    </row>
    <row r="100" spans="1:26">
      <c r="A100" s="84">
        <f>'Q.6 Rand()'!V98</f>
        <v>4</v>
      </c>
      <c r="B100" s="141">
        <f>'Q.6 Rand()'!W98</f>
        <v>27.3</v>
      </c>
      <c r="D100" s="23"/>
      <c r="E100" s="24"/>
      <c r="F100" s="22">
        <f t="shared" si="10"/>
        <v>0.56097560975609673</v>
      </c>
      <c r="G100" s="22">
        <f t="shared" si="13"/>
        <v>-7.680613279132789</v>
      </c>
      <c r="H100" s="18">
        <f t="shared" si="14"/>
        <v>-4.3086367175622895</v>
      </c>
      <c r="I100" s="18">
        <f t="shared" si="15"/>
        <v>0.31469363474122453</v>
      </c>
      <c r="J100" s="24"/>
      <c r="K100" s="24"/>
      <c r="L100" s="19">
        <f t="shared" si="16"/>
        <v>32.208429613124252</v>
      </c>
      <c r="O100" s="9">
        <f t="shared" si="11"/>
        <v>-4.9084296131242517</v>
      </c>
      <c r="P100" s="10">
        <f t="shared" si="17"/>
        <v>24.092681266995093</v>
      </c>
      <c r="V100" s="10">
        <f t="shared" si="19"/>
        <v>7.939211637807457E-2</v>
      </c>
      <c r="W100" s="13">
        <f t="shared" si="12"/>
        <v>7.6850022780845331</v>
      </c>
      <c r="Z100" s="15">
        <f t="shared" si="18"/>
        <v>58.991820343590931</v>
      </c>
    </row>
    <row r="101" spans="1:26">
      <c r="A101" s="84">
        <f>'Q.6 Rand()'!V99</f>
        <v>1.8</v>
      </c>
      <c r="B101" s="141">
        <f>'Q.6 Rand()'!W99</f>
        <v>44.8</v>
      </c>
      <c r="D101" s="23"/>
      <c r="E101" s="24"/>
      <c r="F101" s="22">
        <f t="shared" si="10"/>
        <v>-1.6390243902439032</v>
      </c>
      <c r="G101" s="22">
        <f t="shared" si="13"/>
        <v>9.8193867208672074</v>
      </c>
      <c r="H101" s="18">
        <f t="shared" si="14"/>
        <v>-16.094214332738456</v>
      </c>
      <c r="I101" s="18">
        <f t="shared" si="15"/>
        <v>2.6864009518143988</v>
      </c>
      <c r="J101" s="24"/>
      <c r="K101" s="24"/>
      <c r="L101" s="19">
        <f t="shared" si="16"/>
        <v>43.08021077286211</v>
      </c>
      <c r="O101" s="9">
        <f t="shared" si="11"/>
        <v>1.7197892271378876</v>
      </c>
      <c r="P101" s="10">
        <f t="shared" si="17"/>
        <v>2.957674985779533</v>
      </c>
      <c r="V101" s="10">
        <f t="shared" si="19"/>
        <v>0.17979595652469788</v>
      </c>
      <c r="W101" s="13">
        <f t="shared" si="12"/>
        <v>65.60347956042628</v>
      </c>
      <c r="Z101" s="15">
        <f t="shared" si="18"/>
        <v>96.420355573943255</v>
      </c>
    </row>
    <row r="102" spans="1:26">
      <c r="A102" s="84">
        <f>'Q.6 Rand()'!V100</f>
        <v>3.5</v>
      </c>
      <c r="B102" s="141">
        <f>'Q.6 Rand()'!W100</f>
        <v>32.200000000000003</v>
      </c>
      <c r="D102" s="23"/>
      <c r="E102" s="24"/>
      <c r="F102" s="22">
        <f t="shared" si="10"/>
        <v>6.0975609756096727E-2</v>
      </c>
      <c r="G102" s="22">
        <f t="shared" si="13"/>
        <v>-2.7806132791327869</v>
      </c>
      <c r="H102" s="18">
        <f t="shared" si="14"/>
        <v>-0.16954959019102128</v>
      </c>
      <c r="I102" s="18">
        <f t="shared" si="15"/>
        <v>3.7180249851277982E-3</v>
      </c>
      <c r="J102" s="24"/>
      <c r="K102" s="24"/>
      <c r="L102" s="19">
        <f t="shared" si="16"/>
        <v>34.679288967610127</v>
      </c>
      <c r="O102" s="9">
        <f t="shared" si="11"/>
        <v>-2.479288967610124</v>
      </c>
      <c r="P102" s="10">
        <f t="shared" si="17"/>
        <v>6.1468737849132742</v>
      </c>
      <c r="V102" s="10">
        <f t="shared" si="19"/>
        <v>3.8388152391470705E-2</v>
      </c>
      <c r="W102" s="13">
        <f t="shared" si="12"/>
        <v>9.0796340714606807E-2</v>
      </c>
      <c r="Z102" s="15">
        <f t="shared" si="18"/>
        <v>7.7318102080895894</v>
      </c>
    </row>
    <row r="103" spans="1:26">
      <c r="A103" s="84">
        <f>'Q.6 Rand()'!V101</f>
        <v>3.6</v>
      </c>
      <c r="B103" s="141">
        <f>'Q.6 Rand()'!W101</f>
        <v>35.1</v>
      </c>
      <c r="D103" s="23"/>
      <c r="E103" s="24"/>
      <c r="F103" s="22">
        <f t="shared" si="10"/>
        <v>0.16097560975609682</v>
      </c>
      <c r="G103" s="22">
        <f t="shared" si="13"/>
        <v>0.11938672086721169</v>
      </c>
      <c r="H103" s="18">
        <f t="shared" si="14"/>
        <v>1.9218350188380331E-2</v>
      </c>
      <c r="I103" s="18">
        <f t="shared" si="15"/>
        <v>2.5913146936347171E-2</v>
      </c>
      <c r="J103" s="24"/>
      <c r="K103" s="24"/>
      <c r="L103" s="19">
        <f t="shared" si="16"/>
        <v>34.185117096712951</v>
      </c>
      <c r="O103" s="9">
        <f t="shared" si="11"/>
        <v>0.91488290328705091</v>
      </c>
      <c r="P103" s="10">
        <f t="shared" si="17"/>
        <v>0.83701072672694332</v>
      </c>
      <c r="V103" s="10">
        <f t="shared" si="19"/>
        <v>7.6996551789134282E-2</v>
      </c>
      <c r="W103" s="13">
        <f t="shared" si="12"/>
        <v>0.63281417624453806</v>
      </c>
      <c r="Z103" s="15">
        <f t="shared" si="18"/>
        <v>1.4253189119425519E-2</v>
      </c>
    </row>
    <row r="104" spans="1:26">
      <c r="A104" s="84">
        <f>'Q.6 Rand()'!V102</f>
        <v>2</v>
      </c>
      <c r="B104" s="141">
        <f>'Q.6 Rand()'!W102</f>
        <v>43.5</v>
      </c>
      <c r="D104" s="23"/>
      <c r="E104" s="24"/>
      <c r="F104" s="22">
        <f t="shared" si="10"/>
        <v>-1.4390243902439033</v>
      </c>
      <c r="G104" s="22">
        <f t="shared" si="13"/>
        <v>8.5193867208672103</v>
      </c>
      <c r="H104" s="18">
        <f t="shared" si="14"/>
        <v>-12.259605281247945</v>
      </c>
      <c r="I104" s="18">
        <f t="shared" si="15"/>
        <v>2.0707911957168377</v>
      </c>
      <c r="J104" s="24"/>
      <c r="K104" s="24"/>
      <c r="L104" s="19">
        <f t="shared" si="16"/>
        <v>42.091867031067757</v>
      </c>
      <c r="O104" s="9">
        <f t="shared" si="11"/>
        <v>1.408132968932243</v>
      </c>
      <c r="P104" s="10">
        <f t="shared" si="17"/>
        <v>1.9828384581939333</v>
      </c>
      <c r="V104" s="10">
        <f t="shared" si="19"/>
        <v>2.6065039979688058E-2</v>
      </c>
      <c r="W104" s="13">
        <f t="shared" si="12"/>
        <v>50.569929924409145</v>
      </c>
      <c r="Z104" s="15">
        <f t="shared" si="18"/>
        <v>72.57995009968856</v>
      </c>
    </row>
    <row r="105" spans="1:26">
      <c r="A105" s="84">
        <f>'Q.6 Rand()'!V103</f>
        <v>3</v>
      </c>
      <c r="B105" s="141">
        <f>'Q.6 Rand()'!W103</f>
        <v>34.799999999999997</v>
      </c>
      <c r="D105" s="23"/>
      <c r="E105" s="24"/>
      <c r="F105" s="22">
        <f t="shared" si="10"/>
        <v>-0.43902439024390327</v>
      </c>
      <c r="G105" s="22">
        <f t="shared" si="13"/>
        <v>-0.18061327913279257</v>
      </c>
      <c r="H105" s="18">
        <f t="shared" si="14"/>
        <v>7.9293634741226152E-2</v>
      </c>
      <c r="I105" s="18">
        <f t="shared" si="15"/>
        <v>0.19274241522903107</v>
      </c>
      <c r="J105" s="24"/>
      <c r="K105" s="24"/>
      <c r="L105" s="19">
        <f t="shared" si="16"/>
        <v>37.150148322096001</v>
      </c>
      <c r="O105" s="9">
        <f t="shared" si="11"/>
        <v>-2.350148322096004</v>
      </c>
      <c r="P105" s="10">
        <f t="shared" si="17"/>
        <v>5.5231971358506629</v>
      </c>
      <c r="V105" s="10">
        <f t="shared" si="19"/>
        <v>3.2370872849017081E-2</v>
      </c>
      <c r="W105" s="13">
        <f t="shared" si="12"/>
        <v>4.7068823026453837</v>
      </c>
      <c r="Z105" s="15">
        <f t="shared" si="18"/>
        <v>3.2621156599100046E-2</v>
      </c>
    </row>
    <row r="106" spans="1:26">
      <c r="A106" s="84">
        <f>'Q.6 Rand()'!V104</f>
        <v>2.5</v>
      </c>
      <c r="B106" s="141">
        <f>'Q.6 Rand()'!W104</f>
        <v>36.704700000000003</v>
      </c>
      <c r="D106" s="23"/>
      <c r="E106" s="24"/>
      <c r="F106" s="22">
        <f t="shared" si="10"/>
        <v>-0.93902439024390327</v>
      </c>
      <c r="G106" s="22">
        <f t="shared" si="13"/>
        <v>1.7240867208672128</v>
      </c>
      <c r="H106" s="18">
        <f t="shared" si="14"/>
        <v>-1.6189594817899451</v>
      </c>
      <c r="I106" s="18">
        <f t="shared" si="15"/>
        <v>0.88176680547293429</v>
      </c>
      <c r="J106" s="24"/>
      <c r="K106" s="24"/>
      <c r="L106" s="19">
        <f t="shared" si="16"/>
        <v>39.621007676581883</v>
      </c>
      <c r="O106" s="9">
        <f t="shared" si="11"/>
        <v>-2.9163076765818801</v>
      </c>
      <c r="P106" s="10">
        <f t="shared" si="17"/>
        <v>8.5048504644904028</v>
      </c>
      <c r="V106" s="10">
        <f t="shared" si="19"/>
        <v>6.7532997761379429E-2</v>
      </c>
      <c r="W106" s="13">
        <f t="shared" si="12"/>
        <v>21.533260163876928</v>
      </c>
      <c r="Z106" s="15">
        <f t="shared" si="18"/>
        <v>2.9724750210706588</v>
      </c>
    </row>
    <row r="107" spans="1:26">
      <c r="A107" s="84">
        <f>'Q.6 Rand()'!V105</f>
        <v>2</v>
      </c>
      <c r="B107" s="141">
        <f>'Q.6 Rand()'!W105</f>
        <v>44.707999999999998</v>
      </c>
      <c r="D107" s="23"/>
      <c r="E107" s="24"/>
      <c r="F107" s="22">
        <f t="shared" si="10"/>
        <v>-1.4390243902439033</v>
      </c>
      <c r="G107" s="22">
        <f t="shared" si="13"/>
        <v>9.7273867208672087</v>
      </c>
      <c r="H107" s="18">
        <f t="shared" si="14"/>
        <v>-13.997946744662576</v>
      </c>
      <c r="I107" s="18">
        <f t="shared" si="15"/>
        <v>2.0707911957168377</v>
      </c>
      <c r="J107" s="24"/>
      <c r="K107" s="24"/>
      <c r="L107" s="19">
        <f t="shared" si="16"/>
        <v>42.091867031067757</v>
      </c>
      <c r="O107" s="9">
        <f t="shared" si="11"/>
        <v>2.6161329689322415</v>
      </c>
      <c r="P107" s="10">
        <f t="shared" si="17"/>
        <v>6.8441517111342245</v>
      </c>
      <c r="V107" s="10">
        <f t="shared" si="19"/>
        <v>7.9453249218271224E-2</v>
      </c>
      <c r="W107" s="13">
        <f t="shared" si="12"/>
        <v>50.569929924409145</v>
      </c>
      <c r="Z107" s="15">
        <f t="shared" si="18"/>
        <v>94.622052417303706</v>
      </c>
    </row>
    <row r="108" spans="1:26">
      <c r="A108" s="84">
        <f>'Q.6 Rand()'!V106</f>
        <v>5.3</v>
      </c>
      <c r="B108" s="141">
        <f>'Q.6 Rand()'!W106</f>
        <v>26.6</v>
      </c>
      <c r="D108" s="23"/>
      <c r="E108" s="24"/>
      <c r="F108" s="22">
        <f t="shared" si="10"/>
        <v>1.8609756097560965</v>
      </c>
      <c r="G108" s="22">
        <f t="shared" si="13"/>
        <v>-8.3806132791327883</v>
      </c>
      <c r="H108" s="18">
        <f t="shared" si="14"/>
        <v>-15.596116907264181</v>
      </c>
      <c r="I108" s="18">
        <f t="shared" si="15"/>
        <v>3.4632302201070755</v>
      </c>
      <c r="J108" s="24"/>
      <c r="K108" s="24"/>
      <c r="L108" s="19">
        <f t="shared" si="16"/>
        <v>25.784195291460968</v>
      </c>
      <c r="O108" s="9">
        <f t="shared" si="11"/>
        <v>0.81580470853903364</v>
      </c>
      <c r="P108" s="10">
        <f t="shared" si="17"/>
        <v>0.66553732247445763</v>
      </c>
      <c r="V108" s="10">
        <f t="shared" si="19"/>
        <v>5.8515991968601626E-2</v>
      </c>
      <c r="W108" s="13">
        <f t="shared" si="12"/>
        <v>84.574103803973841</v>
      </c>
      <c r="Z108" s="15">
        <f t="shared" si="18"/>
        <v>70.234678934376831</v>
      </c>
    </row>
    <row r="109" spans="1:26">
      <c r="A109" s="84">
        <f>'Q.6 Rand()'!V107</f>
        <v>2</v>
      </c>
      <c r="B109" s="141">
        <f>'Q.6 Rand()'!W107</f>
        <v>40</v>
      </c>
      <c r="D109" s="23"/>
      <c r="E109" s="24"/>
      <c r="F109" s="22">
        <f t="shared" si="10"/>
        <v>-1.4390243902439033</v>
      </c>
      <c r="G109" s="22">
        <f t="shared" si="13"/>
        <v>5.0193867208672103</v>
      </c>
      <c r="H109" s="18">
        <f t="shared" si="14"/>
        <v>-7.223019915394282</v>
      </c>
      <c r="I109" s="18">
        <f t="shared" si="15"/>
        <v>2.0707911957168377</v>
      </c>
      <c r="J109" s="24"/>
      <c r="K109" s="24"/>
      <c r="L109" s="19">
        <f t="shared" si="16"/>
        <v>42.091867031067757</v>
      </c>
      <c r="O109" s="9">
        <f t="shared" si="11"/>
        <v>-2.091867031067757</v>
      </c>
      <c r="P109" s="10">
        <f t="shared" si="17"/>
        <v>4.3759076756682322</v>
      </c>
      <c r="V109" s="10">
        <f t="shared" si="19"/>
        <v>3.066934994507645E-2</v>
      </c>
      <c r="W109" s="13">
        <f t="shared" si="12"/>
        <v>50.569929924409145</v>
      </c>
      <c r="Z109" s="15">
        <f t="shared" si="18"/>
        <v>25.194243053618084</v>
      </c>
    </row>
    <row r="110" spans="1:26">
      <c r="A110" s="84">
        <f>'Q.6 Rand()'!V108</f>
        <v>3.8</v>
      </c>
      <c r="B110" s="141">
        <f>'Q.6 Rand()'!W108</f>
        <v>38.048400000000001</v>
      </c>
      <c r="D110" s="23"/>
      <c r="E110" s="24"/>
      <c r="F110" s="22">
        <f t="shared" si="10"/>
        <v>0.36097560975609655</v>
      </c>
      <c r="G110" s="22">
        <f t="shared" si="13"/>
        <v>3.0677867208672112</v>
      </c>
      <c r="H110" s="18">
        <f t="shared" si="14"/>
        <v>1.1073961821666976</v>
      </c>
      <c r="I110" s="18">
        <f t="shared" si="15"/>
        <v>0.1303033908387857</v>
      </c>
      <c r="J110" s="24"/>
      <c r="K110" s="24"/>
      <c r="L110" s="19">
        <f t="shared" si="16"/>
        <v>33.196773354918605</v>
      </c>
      <c r="O110" s="9">
        <f t="shared" si="11"/>
        <v>4.8516266450813958</v>
      </c>
      <c r="P110" s="10">
        <f t="shared" si="17"/>
        <v>23.53828110326376</v>
      </c>
      <c r="V110" s="10">
        <f t="shared" si="19"/>
        <v>5.2296675776693925E-2</v>
      </c>
      <c r="W110" s="13">
        <f t="shared" si="12"/>
        <v>3.1820848752204682</v>
      </c>
      <c r="Z110" s="15">
        <f t="shared" si="18"/>
        <v>9.4113153647291963</v>
      </c>
    </row>
    <row r="111" spans="1:26">
      <c r="A111" s="84">
        <f>'Q.6 Rand()'!V109</f>
        <v>5.3</v>
      </c>
      <c r="B111" s="141">
        <f>'Q.6 Rand()'!W109</f>
        <v>22.9</v>
      </c>
      <c r="D111" s="23"/>
      <c r="E111" s="24"/>
      <c r="F111" s="22">
        <f t="shared" si="10"/>
        <v>1.8609756097560965</v>
      </c>
      <c r="G111" s="22">
        <f t="shared" si="13"/>
        <v>-12.080613279132791</v>
      </c>
      <c r="H111" s="18">
        <f t="shared" si="14"/>
        <v>-22.481726663361744</v>
      </c>
      <c r="I111" s="18">
        <f t="shared" si="15"/>
        <v>3.4632302201070755</v>
      </c>
      <c r="J111" s="24"/>
      <c r="K111" s="24"/>
      <c r="L111" s="19">
        <f t="shared" si="16"/>
        <v>25.784195291460968</v>
      </c>
      <c r="O111" s="9">
        <f t="shared" si="11"/>
        <v>-2.8841952914609692</v>
      </c>
      <c r="P111" s="10">
        <f t="shared" si="17"/>
        <v>8.3185824792856256</v>
      </c>
      <c r="V111" s="10">
        <f t="shared" si="19"/>
        <v>0.12751197540714973</v>
      </c>
      <c r="W111" s="13">
        <f t="shared" si="12"/>
        <v>84.574103803973841</v>
      </c>
      <c r="Z111" s="15">
        <f t="shared" si="18"/>
        <v>145.94121719995954</v>
      </c>
    </row>
    <row r="112" spans="1:26">
      <c r="A112" s="84">
        <f>'Q.6 Rand()'!V110</f>
        <v>3.5</v>
      </c>
      <c r="B112" s="141">
        <f>'Q.6 Rand()'!W110</f>
        <v>34.6</v>
      </c>
      <c r="D112" s="23"/>
      <c r="E112" s="24"/>
      <c r="F112" s="22">
        <f t="shared" si="10"/>
        <v>6.0975609756096727E-2</v>
      </c>
      <c r="G112" s="22">
        <f t="shared" si="13"/>
        <v>-0.38061327913278831</v>
      </c>
      <c r="H112" s="18">
        <f t="shared" si="14"/>
        <v>-2.3208126776389212E-2</v>
      </c>
      <c r="I112" s="18">
        <f t="shared" si="15"/>
        <v>3.7180249851277982E-3</v>
      </c>
      <c r="J112" s="24"/>
      <c r="K112" s="24"/>
      <c r="L112" s="19">
        <f t="shared" si="16"/>
        <v>34.679288967610127</v>
      </c>
      <c r="O112" s="9">
        <f t="shared" si="11"/>
        <v>-7.9288967610125383E-2</v>
      </c>
      <c r="P112" s="10">
        <f t="shared" si="17"/>
        <v>6.2867403846795121E-3</v>
      </c>
      <c r="V112" s="10">
        <f t="shared" si="19"/>
        <v>0.12594739264021701</v>
      </c>
      <c r="W112" s="13">
        <f t="shared" si="12"/>
        <v>9.0796340714606807E-2</v>
      </c>
      <c r="Z112" s="15">
        <f t="shared" si="18"/>
        <v>0.14486646825221383</v>
      </c>
    </row>
    <row r="113" spans="1:26">
      <c r="A113" s="84">
        <f>'Q.6 Rand()'!V111</f>
        <v>2.2999999999999998</v>
      </c>
      <c r="B113" s="141">
        <f>'Q.6 Rand()'!W111</f>
        <v>32.8232</v>
      </c>
      <c r="D113" s="23"/>
      <c r="E113" s="24"/>
      <c r="F113" s="22">
        <f t="shared" si="10"/>
        <v>-1.1390243902439035</v>
      </c>
      <c r="G113" s="22">
        <f t="shared" si="13"/>
        <v>-2.1574132791327898</v>
      </c>
      <c r="H113" s="18">
        <f t="shared" si="14"/>
        <v>2.4573463447683261</v>
      </c>
      <c r="I113" s="18">
        <f t="shared" si="15"/>
        <v>1.297376561570496</v>
      </c>
      <c r="J113" s="24"/>
      <c r="K113" s="24"/>
      <c r="L113" s="19">
        <f t="shared" si="16"/>
        <v>40.609351418376235</v>
      </c>
      <c r="O113" s="9">
        <f t="shared" si="11"/>
        <v>-7.7861514183762353</v>
      </c>
      <c r="P113" s="10">
        <f t="shared" si="17"/>
        <v>60.62415390988226</v>
      </c>
      <c r="V113" s="10">
        <f t="shared" si="19"/>
        <v>2.2915886592521787E-3</v>
      </c>
      <c r="W113" s="13">
        <f t="shared" si="12"/>
        <v>31.682693040173763</v>
      </c>
      <c r="Z113" s="15">
        <f t="shared" si="18"/>
        <v>4.6544320569784965</v>
      </c>
    </row>
    <row r="114" spans="1:26">
      <c r="A114" s="84">
        <f>'Q.6 Rand()'!V112</f>
        <v>3.8</v>
      </c>
      <c r="B114" s="141">
        <f>'Q.6 Rand()'!W112</f>
        <v>36.012999999999998</v>
      </c>
      <c r="D114" s="23"/>
      <c r="E114" s="24"/>
      <c r="F114" s="22">
        <f t="shared" si="10"/>
        <v>0.36097560975609655</v>
      </c>
      <c r="G114" s="22">
        <f t="shared" si="13"/>
        <v>1.0323867208672084</v>
      </c>
      <c r="H114" s="18">
        <f t="shared" si="14"/>
        <v>0.37266642606913758</v>
      </c>
      <c r="I114" s="18">
        <f t="shared" si="15"/>
        <v>0.1303033908387857</v>
      </c>
      <c r="J114" s="24"/>
      <c r="K114" s="24"/>
      <c r="L114" s="19">
        <f t="shared" si="16"/>
        <v>33.196773354918605</v>
      </c>
      <c r="O114" s="9">
        <f t="shared" si="11"/>
        <v>2.8162266450813931</v>
      </c>
      <c r="P114" s="10">
        <f t="shared" si="17"/>
        <v>7.9311325164663984</v>
      </c>
      <c r="V114" s="10">
        <f t="shared" si="19"/>
        <v>0.23721487906042785</v>
      </c>
      <c r="W114" s="13">
        <f t="shared" si="12"/>
        <v>3.1820848752204682</v>
      </c>
      <c r="Z114" s="15">
        <f t="shared" si="18"/>
        <v>1.0658223414229473</v>
      </c>
    </row>
    <row r="115" spans="1:26">
      <c r="A115" s="84">
        <f>'Q.6 Rand()'!V113</f>
        <v>2.2000000000000002</v>
      </c>
      <c r="B115" s="141">
        <f>'Q.6 Rand()'!W113</f>
        <v>44.999099999999999</v>
      </c>
      <c r="D115" s="23"/>
      <c r="E115" s="24"/>
      <c r="F115" s="22">
        <f t="shared" si="10"/>
        <v>-1.2390243902439031</v>
      </c>
      <c r="G115" s="22">
        <f t="shared" si="13"/>
        <v>10.018486720867209</v>
      </c>
      <c r="H115" s="18">
        <f t="shared" si="14"/>
        <v>-12.413149400489134</v>
      </c>
      <c r="I115" s="18">
        <f t="shared" si="15"/>
        <v>1.5351814396192758</v>
      </c>
      <c r="J115" s="24"/>
      <c r="K115" s="24"/>
      <c r="L115" s="19">
        <f t="shared" si="16"/>
        <v>41.103523289273404</v>
      </c>
      <c r="O115" s="9">
        <f t="shared" si="11"/>
        <v>3.8955767107265942</v>
      </c>
      <c r="P115" s="10">
        <f t="shared" si="17"/>
        <v>15.175517909155431</v>
      </c>
      <c r="V115" s="10">
        <f t="shared" si="19"/>
        <v>7.8200278929314221E-2</v>
      </c>
      <c r="W115" s="13">
        <f t="shared" si="12"/>
        <v>37.490026992280143</v>
      </c>
      <c r="Z115" s="15">
        <f t="shared" si="18"/>
        <v>100.3700761761926</v>
      </c>
    </row>
    <row r="116" spans="1:26">
      <c r="A116" s="84">
        <f>'Q.6 Rand()'!V114</f>
        <v>2.5</v>
      </c>
      <c r="B116" s="141">
        <f>'Q.6 Rand()'!W114</f>
        <v>42.908000000000001</v>
      </c>
      <c r="D116" s="23"/>
      <c r="E116" s="24"/>
      <c r="F116" s="22">
        <f t="shared" si="10"/>
        <v>-0.93902439024390327</v>
      </c>
      <c r="G116" s="22">
        <f t="shared" si="13"/>
        <v>7.9273867208672115</v>
      </c>
      <c r="H116" s="18">
        <f t="shared" si="14"/>
        <v>-7.4440094817899487</v>
      </c>
      <c r="I116" s="18">
        <f t="shared" si="15"/>
        <v>0.88176680547293429</v>
      </c>
      <c r="J116" s="24"/>
      <c r="K116" s="24"/>
      <c r="L116" s="19">
        <f t="shared" si="16"/>
        <v>39.621007676581883</v>
      </c>
      <c r="O116" s="9">
        <f t="shared" si="11"/>
        <v>3.2869923234181186</v>
      </c>
      <c r="P116" s="10">
        <f t="shared" si="17"/>
        <v>10.804318534209642</v>
      </c>
      <c r="V116" s="10">
        <f t="shared" si="19"/>
        <v>8.65701027515349E-2</v>
      </c>
      <c r="W116" s="13">
        <f t="shared" si="12"/>
        <v>21.533260163876928</v>
      </c>
      <c r="Z116" s="15">
        <f t="shared" si="18"/>
        <v>62.843460222181804</v>
      </c>
    </row>
    <row r="117" spans="1:26">
      <c r="A117" s="84">
        <f>'Q.6 Rand()'!V115</f>
        <v>2.5</v>
      </c>
      <c r="B117" s="141">
        <f>'Q.6 Rand()'!W115</f>
        <v>37.9</v>
      </c>
      <c r="D117" s="23"/>
      <c r="E117" s="24"/>
      <c r="F117" s="22">
        <f t="shared" si="10"/>
        <v>-0.93902439024390327</v>
      </c>
      <c r="G117" s="22">
        <f t="shared" si="13"/>
        <v>2.9193867208672089</v>
      </c>
      <c r="H117" s="18">
        <f t="shared" si="14"/>
        <v>-2.7413753354484789</v>
      </c>
      <c r="I117" s="18">
        <f t="shared" si="15"/>
        <v>0.88176680547293429</v>
      </c>
      <c r="J117" s="24"/>
      <c r="K117" s="24"/>
      <c r="L117" s="19">
        <f t="shared" si="16"/>
        <v>39.621007676581883</v>
      </c>
      <c r="O117" s="9">
        <f t="shared" si="11"/>
        <v>-1.721007676581884</v>
      </c>
      <c r="P117" s="10">
        <f t="shared" si="17"/>
        <v>2.9618674228537749</v>
      </c>
      <c r="V117" s="10">
        <f t="shared" si="19"/>
        <v>7.6605582255479601E-2</v>
      </c>
      <c r="W117" s="13">
        <f t="shared" si="12"/>
        <v>21.533260163876928</v>
      </c>
      <c r="Z117" s="15">
        <f t="shared" si="18"/>
        <v>8.5228188259757935</v>
      </c>
    </row>
    <row r="118" spans="1:26">
      <c r="A118" s="84">
        <f>'Q.6 Rand()'!V116</f>
        <v>4.5</v>
      </c>
      <c r="B118" s="141">
        <f>'Q.6 Rand()'!W116</f>
        <v>24.349900000000002</v>
      </c>
      <c r="D118" s="23"/>
      <c r="E118" s="24"/>
      <c r="F118" s="22">
        <f t="shared" si="10"/>
        <v>1.0609756097560967</v>
      </c>
      <c r="G118" s="22">
        <f t="shared" si="13"/>
        <v>-10.630713279132788</v>
      </c>
      <c r="H118" s="18">
        <f t="shared" si="14"/>
        <v>-11.278927503470145</v>
      </c>
      <c r="I118" s="18">
        <f t="shared" si="15"/>
        <v>1.1256692444973213</v>
      </c>
      <c r="J118" s="24"/>
      <c r="K118" s="24"/>
      <c r="L118" s="19">
        <f t="shared" si="16"/>
        <v>29.737570258638371</v>
      </c>
      <c r="O118" s="9">
        <f t="shared" si="11"/>
        <v>-5.3876702586383693</v>
      </c>
      <c r="P118" s="10">
        <f t="shared" si="17"/>
        <v>29.026990815816433</v>
      </c>
      <c r="V118" s="10">
        <f t="shared" si="19"/>
        <v>4.5409173524587967E-2</v>
      </c>
      <c r="W118" s="13">
        <f t="shared" si="12"/>
        <v>27.489500114755238</v>
      </c>
      <c r="Z118" s="15">
        <f t="shared" si="18"/>
        <v>113.0120648231302</v>
      </c>
    </row>
    <row r="119" spans="1:26">
      <c r="A119" s="84">
        <f>'Q.6 Rand()'!V117</f>
        <v>6</v>
      </c>
      <c r="B119" s="141">
        <f>'Q.6 Rand()'!W117</f>
        <v>30.5</v>
      </c>
      <c r="D119" s="23"/>
      <c r="E119" s="24"/>
      <c r="F119" s="22">
        <f t="shared" si="10"/>
        <v>2.5609756097560967</v>
      </c>
      <c r="G119" s="22">
        <f t="shared" si="13"/>
        <v>-4.4806132791327897</v>
      </c>
      <c r="H119" s="18">
        <f t="shared" si="14"/>
        <v>-11.47474132460836</v>
      </c>
      <c r="I119" s="18">
        <f t="shared" si="15"/>
        <v>6.558596073765611</v>
      </c>
      <c r="J119" s="24"/>
      <c r="K119" s="24"/>
      <c r="L119" s="19">
        <f t="shared" si="16"/>
        <v>22.324992195180741</v>
      </c>
      <c r="O119" s="9">
        <f t="shared" si="11"/>
        <v>8.1750078048192591</v>
      </c>
      <c r="P119" s="10">
        <f t="shared" si="17"/>
        <v>66.830752608855803</v>
      </c>
      <c r="V119" s="10">
        <f t="shared" si="19"/>
        <v>0.2212604675435369</v>
      </c>
      <c r="W119" s="13">
        <f t="shared" si="12"/>
        <v>160.16474502057164</v>
      </c>
      <c r="Z119" s="15">
        <f t="shared" si="18"/>
        <v>20.075895357141089</v>
      </c>
    </row>
    <row r="120" spans="1:26">
      <c r="A120" s="84">
        <f>'Q.6 Rand()'!V118</f>
        <v>3</v>
      </c>
      <c r="B120" s="141">
        <f>'Q.6 Rand()'!W118</f>
        <v>38.7896</v>
      </c>
      <c r="D120" s="23"/>
      <c r="E120" s="24"/>
      <c r="F120" s="22">
        <f t="shared" si="10"/>
        <v>-0.43902439024390327</v>
      </c>
      <c r="G120" s="22">
        <f t="shared" si="13"/>
        <v>3.8089867208672104</v>
      </c>
      <c r="H120" s="18">
        <f t="shared" si="14"/>
        <v>-1.6722380725758517</v>
      </c>
      <c r="I120" s="18">
        <f t="shared" si="15"/>
        <v>0.19274241522903107</v>
      </c>
      <c r="J120" s="24"/>
      <c r="K120" s="24"/>
      <c r="L120" s="19">
        <f t="shared" si="16"/>
        <v>37.150148322096001</v>
      </c>
      <c r="O120" s="9">
        <f t="shared" si="11"/>
        <v>1.6394516779039989</v>
      </c>
      <c r="P120" s="10">
        <f t="shared" si="17"/>
        <v>2.6878018041822376</v>
      </c>
      <c r="V120" s="10">
        <f t="shared" si="19"/>
        <v>0.2680330427809593</v>
      </c>
      <c r="W120" s="13">
        <f t="shared" si="12"/>
        <v>4.7068823026453837</v>
      </c>
      <c r="Z120" s="15">
        <f t="shared" si="18"/>
        <v>14.508379839742744</v>
      </c>
    </row>
    <row r="121" spans="1:26">
      <c r="A121" s="84">
        <f>'Q.6 Rand()'!V119</f>
        <v>3</v>
      </c>
      <c r="B121" s="141">
        <f>'Q.6 Rand()'!W119</f>
        <v>33.1</v>
      </c>
      <c r="D121" s="23"/>
      <c r="E121" s="24"/>
      <c r="F121" s="22">
        <f t="shared" si="10"/>
        <v>-0.43902439024390327</v>
      </c>
      <c r="G121" s="22">
        <f t="shared" si="13"/>
        <v>-1.8806132791327883</v>
      </c>
      <c r="H121" s="18">
        <f t="shared" si="14"/>
        <v>0.82563509815585989</v>
      </c>
      <c r="I121" s="18">
        <f t="shared" si="15"/>
        <v>0.19274241522903107</v>
      </c>
      <c r="J121" s="24"/>
      <c r="K121" s="24"/>
      <c r="L121" s="19">
        <f t="shared" si="16"/>
        <v>37.150148322096001</v>
      </c>
      <c r="O121" s="9">
        <f t="shared" si="11"/>
        <v>-4.0501483220959997</v>
      </c>
      <c r="P121" s="10">
        <f t="shared" si="17"/>
        <v>16.403701430977041</v>
      </c>
      <c r="V121" s="10">
        <f t="shared" si="19"/>
        <v>4.2265238051023959E-2</v>
      </c>
      <c r="W121" s="13">
        <f t="shared" si="12"/>
        <v>4.7068823026453837</v>
      </c>
      <c r="Z121" s="15">
        <f t="shared" si="18"/>
        <v>3.5367063056505788</v>
      </c>
    </row>
    <row r="122" spans="1:26">
      <c r="A122" s="84">
        <f>'Q.6 Rand()'!V120</f>
        <v>5</v>
      </c>
      <c r="B122" s="141">
        <f>'Q.6 Rand()'!W120</f>
        <v>29.7559</v>
      </c>
      <c r="D122" s="23"/>
      <c r="E122" s="24"/>
      <c r="F122" s="22">
        <f t="shared" si="10"/>
        <v>1.5609756097560967</v>
      </c>
      <c r="G122" s="22">
        <f t="shared" si="13"/>
        <v>-5.2247132791327893</v>
      </c>
      <c r="H122" s="18">
        <f t="shared" si="14"/>
        <v>-8.1556499966950806</v>
      </c>
      <c r="I122" s="18">
        <f t="shared" si="15"/>
        <v>2.436644854253418</v>
      </c>
      <c r="J122" s="24"/>
      <c r="K122" s="24"/>
      <c r="L122" s="19">
        <f t="shared" si="16"/>
        <v>27.266710904152493</v>
      </c>
      <c r="O122" s="9">
        <f t="shared" si="11"/>
        <v>2.4891890958475074</v>
      </c>
      <c r="P122" s="10">
        <f t="shared" si="17"/>
        <v>6.1960623548861316</v>
      </c>
      <c r="V122" s="10">
        <f t="shared" si="19"/>
        <v>0.12236097649836856</v>
      </c>
      <c r="W122" s="13">
        <f t="shared" si="12"/>
        <v>59.504289850726664</v>
      </c>
      <c r="Z122" s="15">
        <f t="shared" si="18"/>
        <v>27.297628849146502</v>
      </c>
    </row>
    <row r="123" spans="1:26">
      <c r="A123" s="84">
        <f>'Q.6 Rand()'!V121</f>
        <v>2.5</v>
      </c>
      <c r="B123" s="141">
        <f>'Q.6 Rand()'!W121</f>
        <v>37.070999999999998</v>
      </c>
      <c r="D123" s="23"/>
      <c r="E123" s="24"/>
      <c r="F123" s="22">
        <f t="shared" si="10"/>
        <v>-0.93902439024390327</v>
      </c>
      <c r="G123" s="22">
        <f t="shared" si="13"/>
        <v>2.0903867208672082</v>
      </c>
      <c r="H123" s="18">
        <f t="shared" si="14"/>
        <v>-1.9629241159362827</v>
      </c>
      <c r="I123" s="18">
        <f t="shared" si="15"/>
        <v>0.88176680547293429</v>
      </c>
      <c r="J123" s="24"/>
      <c r="K123" s="24"/>
      <c r="L123" s="19">
        <f t="shared" si="16"/>
        <v>39.621007676581883</v>
      </c>
      <c r="O123" s="9">
        <f t="shared" si="11"/>
        <v>-2.5500076765818847</v>
      </c>
      <c r="P123" s="10">
        <f t="shared" si="17"/>
        <v>6.502539150626542</v>
      </c>
      <c r="V123" s="10">
        <f t="shared" si="19"/>
        <v>8.3653631577183252E-2</v>
      </c>
      <c r="W123" s="13">
        <f t="shared" si="12"/>
        <v>21.533260163876928</v>
      </c>
      <c r="Z123" s="15">
        <f t="shared" si="18"/>
        <v>4.3697166427779592</v>
      </c>
    </row>
    <row r="124" spans="1:26">
      <c r="A124" s="84">
        <f>'Q.6 Rand()'!V122</f>
        <v>4.5999999999999996</v>
      </c>
      <c r="B124" s="141">
        <f>'Q.6 Rand()'!W122</f>
        <v>24.8718</v>
      </c>
      <c r="D124" s="23"/>
      <c r="E124" s="24"/>
      <c r="F124" s="22">
        <f t="shared" si="10"/>
        <v>1.1609756097560964</v>
      </c>
      <c r="G124" s="22">
        <f t="shared" si="13"/>
        <v>-10.108813279132789</v>
      </c>
      <c r="H124" s="18">
        <f t="shared" si="14"/>
        <v>-11.736085660651714</v>
      </c>
      <c r="I124" s="18">
        <f t="shared" si="15"/>
        <v>1.3478643664485397</v>
      </c>
      <c r="J124" s="24"/>
      <c r="K124" s="24"/>
      <c r="L124" s="19">
        <f t="shared" si="16"/>
        <v>29.243398387741198</v>
      </c>
      <c r="O124" s="9">
        <f t="shared" si="11"/>
        <v>-4.3715983877411979</v>
      </c>
      <c r="P124" s="10">
        <f t="shared" si="17"/>
        <v>19.11087246370144</v>
      </c>
      <c r="V124" s="10">
        <f t="shared" si="19"/>
        <v>6.8787129469986913E-2</v>
      </c>
      <c r="W124" s="13">
        <f t="shared" si="12"/>
        <v>32.915634710005428</v>
      </c>
      <c r="Z124" s="15">
        <f t="shared" si="18"/>
        <v>102.18810591237141</v>
      </c>
    </row>
    <row r="125" spans="1:26">
      <c r="A125" s="84">
        <f>'Q.6 Rand()'!V123</f>
        <v>3.5</v>
      </c>
      <c r="B125" s="141">
        <f>'Q.6 Rand()'!W123</f>
        <v>34.200000000000003</v>
      </c>
      <c r="D125" s="23"/>
      <c r="E125" s="24"/>
      <c r="F125" s="22">
        <f t="shared" si="10"/>
        <v>6.0975609756096727E-2</v>
      </c>
      <c r="G125" s="22">
        <f t="shared" si="13"/>
        <v>-0.78061327913278689</v>
      </c>
      <c r="H125" s="18">
        <f t="shared" si="14"/>
        <v>-4.7598370678827814E-2</v>
      </c>
      <c r="I125" s="18">
        <f t="shared" si="15"/>
        <v>3.7180249851277982E-3</v>
      </c>
      <c r="J125" s="24"/>
      <c r="K125" s="24"/>
      <c r="L125" s="19">
        <f t="shared" si="16"/>
        <v>34.679288967610127</v>
      </c>
      <c r="O125" s="9">
        <f t="shared" si="11"/>
        <v>-0.47928896761012396</v>
      </c>
      <c r="P125" s="10">
        <f t="shared" si="17"/>
        <v>0.22971791447277845</v>
      </c>
      <c r="V125" s="10">
        <f t="shared" si="19"/>
        <v>0.17576525976170596</v>
      </c>
      <c r="W125" s="13">
        <f t="shared" si="12"/>
        <v>9.0796340714606807E-2</v>
      </c>
      <c r="Z125" s="15">
        <f t="shared" si="18"/>
        <v>0.6093570915584422</v>
      </c>
    </row>
    <row r="126" spans="1:26">
      <c r="A126" s="84">
        <f>'Q.6 Rand()'!V124</f>
        <v>6.2</v>
      </c>
      <c r="B126" s="141">
        <f>'Q.6 Rand()'!W124</f>
        <v>24.9754</v>
      </c>
      <c r="D126" s="23"/>
      <c r="E126" s="24"/>
      <c r="F126" s="22">
        <f t="shared" si="10"/>
        <v>2.7609756097560969</v>
      </c>
      <c r="G126" s="22">
        <f t="shared" si="13"/>
        <v>-10.005213279132789</v>
      </c>
      <c r="H126" s="18">
        <f t="shared" si="14"/>
        <v>-27.624149834093451</v>
      </c>
      <c r="I126" s="18">
        <f t="shared" si="15"/>
        <v>7.622986317668051</v>
      </c>
      <c r="J126" s="24"/>
      <c r="K126" s="24"/>
      <c r="L126" s="19">
        <f t="shared" si="16"/>
        <v>21.336648453386388</v>
      </c>
      <c r="O126" s="9">
        <f t="shared" si="11"/>
        <v>3.6387515466136122</v>
      </c>
      <c r="P126" s="10">
        <f t="shared" si="17"/>
        <v>13.240512817982955</v>
      </c>
      <c r="V126" s="10">
        <f t="shared" si="19"/>
        <v>1.4014297298541634E-2</v>
      </c>
      <c r="W126" s="13">
        <f t="shared" si="12"/>
        <v>186.15777616620502</v>
      </c>
      <c r="Z126" s="15">
        <f t="shared" si="18"/>
        <v>100.1042927609351</v>
      </c>
    </row>
    <row r="127" spans="1:26">
      <c r="A127" s="84">
        <f>'Q.6 Rand()'!V125</f>
        <v>3</v>
      </c>
      <c r="B127" s="141">
        <f>'Q.6 Rand()'!W125</f>
        <v>34.7286</v>
      </c>
      <c r="D127" s="23"/>
      <c r="E127" s="24"/>
      <c r="F127" s="22">
        <f t="shared" si="10"/>
        <v>-0.43902439024390327</v>
      </c>
      <c r="G127" s="22">
        <f t="shared" si="13"/>
        <v>-0.25201327913278959</v>
      </c>
      <c r="H127" s="18">
        <f t="shared" si="14"/>
        <v>0.11063997620463954</v>
      </c>
      <c r="I127" s="18">
        <f t="shared" si="15"/>
        <v>0.19274241522903107</v>
      </c>
      <c r="J127" s="24"/>
      <c r="K127" s="24"/>
      <c r="L127" s="19">
        <f t="shared" si="16"/>
        <v>37.150148322096001</v>
      </c>
      <c r="O127" s="9">
        <f t="shared" si="11"/>
        <v>-2.421548322096001</v>
      </c>
      <c r="P127" s="10">
        <f t="shared" si="17"/>
        <v>5.8638962762459581</v>
      </c>
      <c r="V127" s="10">
        <f t="shared" si="19"/>
        <v>0.14569342419395134</v>
      </c>
      <c r="W127" s="13">
        <f t="shared" si="12"/>
        <v>4.7068823026453837</v>
      </c>
      <c r="Z127" s="15">
        <f t="shared" si="18"/>
        <v>6.3510692859261322E-2</v>
      </c>
    </row>
    <row r="128" spans="1:26">
      <c r="A128" s="84">
        <f>'Q.6 Rand()'!V126</f>
        <v>3.3</v>
      </c>
      <c r="B128" s="141">
        <f>'Q.6 Rand()'!W126</f>
        <v>33.098799999999997</v>
      </c>
      <c r="D128" s="23"/>
      <c r="E128" s="24"/>
      <c r="F128" s="22">
        <f t="shared" si="10"/>
        <v>-0.13902439024390345</v>
      </c>
      <c r="G128" s="22">
        <f t="shared" si="13"/>
        <v>-1.8818132791327926</v>
      </c>
      <c r="H128" s="18">
        <f t="shared" si="14"/>
        <v>0.26161794368431696</v>
      </c>
      <c r="I128" s="18">
        <f t="shared" si="15"/>
        <v>1.9327781082689156E-2</v>
      </c>
      <c r="J128" s="24"/>
      <c r="K128" s="24"/>
      <c r="L128" s="19">
        <f t="shared" si="16"/>
        <v>35.667632709404479</v>
      </c>
      <c r="O128" s="9">
        <f t="shared" si="11"/>
        <v>-2.5688327094044823</v>
      </c>
      <c r="P128" s="10">
        <f t="shared" si="17"/>
        <v>6.5989014889063728</v>
      </c>
      <c r="V128" s="10">
        <f t="shared" si="19"/>
        <v>6.9727784076985572E-2</v>
      </c>
      <c r="W128" s="13">
        <f t="shared" si="12"/>
        <v>0.47199569757083704</v>
      </c>
      <c r="Z128" s="15">
        <f t="shared" si="18"/>
        <v>3.5412212175205138</v>
      </c>
    </row>
    <row r="129" spans="1:26">
      <c r="A129" s="84">
        <f>'Q.6 Rand()'!V127</f>
        <v>5.9</v>
      </c>
      <c r="B129" s="141">
        <f>'Q.6 Rand()'!W127</f>
        <v>26.620799999999999</v>
      </c>
      <c r="D129" s="23"/>
      <c r="E129" s="24"/>
      <c r="F129" s="22">
        <f t="shared" si="10"/>
        <v>2.4609756097560971</v>
      </c>
      <c r="G129" s="22">
        <f t="shared" si="13"/>
        <v>-8.3598132791327906</v>
      </c>
      <c r="H129" s="18">
        <f t="shared" si="14"/>
        <v>-20.573296582060937</v>
      </c>
      <c r="I129" s="18">
        <f t="shared" si="15"/>
        <v>6.0564009518143935</v>
      </c>
      <c r="J129" s="24"/>
      <c r="K129" s="24"/>
      <c r="L129" s="19">
        <f t="shared" si="16"/>
        <v>22.819164066077914</v>
      </c>
      <c r="O129" s="9">
        <f t="shared" si="11"/>
        <v>3.8016359339220855</v>
      </c>
      <c r="P129" s="10">
        <f t="shared" si="17"/>
        <v>14.452435774087647</v>
      </c>
      <c r="V129" s="10">
        <f t="shared" si="19"/>
        <v>7.7611052648569809E-2</v>
      </c>
      <c r="W129" s="13">
        <f t="shared" si="12"/>
        <v>147.90084696171306</v>
      </c>
      <c r="Z129" s="15">
        <f t="shared" si="18"/>
        <v>69.886478061964937</v>
      </c>
    </row>
    <row r="130" spans="1:26">
      <c r="A130" s="84">
        <f>'Q.6 Rand()'!V128</f>
        <v>2.7</v>
      </c>
      <c r="B130" s="141">
        <f>'Q.6 Rand()'!W128</f>
        <v>38.299999999999997</v>
      </c>
      <c r="D130" s="23"/>
      <c r="E130" s="24"/>
      <c r="F130" s="22">
        <f t="shared" si="10"/>
        <v>-0.7390243902439031</v>
      </c>
      <c r="G130" s="22">
        <f t="shared" si="13"/>
        <v>3.3193867208672074</v>
      </c>
      <c r="H130" s="18">
        <f t="shared" si="14"/>
        <v>-2.4531077473725968</v>
      </c>
      <c r="I130" s="18">
        <f t="shared" si="15"/>
        <v>0.54615704937537279</v>
      </c>
      <c r="J130" s="24"/>
      <c r="K130" s="24"/>
      <c r="L130" s="19">
        <f t="shared" si="16"/>
        <v>38.63266393478753</v>
      </c>
      <c r="O130" s="9">
        <f t="shared" si="11"/>
        <v>-0.33266393478753287</v>
      </c>
      <c r="P130" s="10">
        <f t="shared" si="17"/>
        <v>0.11066529350832392</v>
      </c>
      <c r="V130" s="10">
        <f t="shared" si="19"/>
        <v>0.14280697551997257</v>
      </c>
      <c r="W130" s="13">
        <f t="shared" si="12"/>
        <v>13.337473991468219</v>
      </c>
      <c r="Z130" s="15">
        <f t="shared" si="18"/>
        <v>11.018328202669553</v>
      </c>
    </row>
    <row r="131" spans="1:26">
      <c r="A131" s="84">
        <f>'Q.6 Rand()'!V129</f>
        <v>2.2999999999999998</v>
      </c>
      <c r="B131" s="141">
        <f>'Q.6 Rand()'!W129</f>
        <v>34.700000000000003</v>
      </c>
      <c r="D131" s="23"/>
      <c r="E131" s="24"/>
      <c r="F131" s="22">
        <f t="shared" si="10"/>
        <v>-1.1390243902439035</v>
      </c>
      <c r="G131" s="22">
        <f t="shared" si="13"/>
        <v>-0.28061327913278689</v>
      </c>
      <c r="H131" s="18">
        <f t="shared" si="14"/>
        <v>0.31962536915856488</v>
      </c>
      <c r="I131" s="18">
        <f t="shared" si="15"/>
        <v>1.297376561570496</v>
      </c>
      <c r="J131" s="24"/>
      <c r="K131" s="24"/>
      <c r="L131" s="19">
        <f t="shared" si="16"/>
        <v>40.609351418376235</v>
      </c>
      <c r="O131" s="9">
        <f t="shared" si="11"/>
        <v>-5.9093514183762323</v>
      </c>
      <c r="P131" s="10">
        <f t="shared" si="17"/>
        <v>34.92043418586519</v>
      </c>
      <c r="V131" s="10">
        <f t="shared" si="19"/>
        <v>8.6857424226509886E-3</v>
      </c>
      <c r="W131" s="13">
        <f t="shared" si="12"/>
        <v>31.682693040173763</v>
      </c>
      <c r="Z131" s="15">
        <f t="shared" si="18"/>
        <v>7.8743812425655368E-2</v>
      </c>
    </row>
    <row r="132" spans="1:26">
      <c r="A132" s="84">
        <f>'Q.6 Rand()'!V130</f>
        <v>3</v>
      </c>
      <c r="B132" s="141">
        <f>'Q.6 Rand()'!W130</f>
        <v>35.708100000000002</v>
      </c>
      <c r="D132" s="23"/>
      <c r="E132" s="24"/>
      <c r="F132" s="22">
        <f t="shared" si="10"/>
        <v>-0.43902439024390327</v>
      </c>
      <c r="G132" s="22">
        <f t="shared" si="13"/>
        <v>0.727486720867212</v>
      </c>
      <c r="H132" s="18">
        <f t="shared" si="14"/>
        <v>-0.31938441403926443</v>
      </c>
      <c r="I132" s="18">
        <f t="shared" si="15"/>
        <v>0.19274241522903107</v>
      </c>
      <c r="J132" s="24"/>
      <c r="K132" s="24"/>
      <c r="L132" s="19">
        <f t="shared" si="16"/>
        <v>37.150148322096001</v>
      </c>
      <c r="O132" s="9">
        <f t="shared" si="11"/>
        <v>-1.4420483220959994</v>
      </c>
      <c r="P132" s="10">
        <f t="shared" si="17"/>
        <v>2.0795033632598874</v>
      </c>
      <c r="V132" s="10">
        <f t="shared" si="19"/>
        <v>0.1702983117687675</v>
      </c>
      <c r="W132" s="13">
        <f t="shared" si="12"/>
        <v>4.7068823026453837</v>
      </c>
      <c r="Z132" s="15">
        <f t="shared" si="18"/>
        <v>0.5292369290381288</v>
      </c>
    </row>
    <row r="133" spans="1:26">
      <c r="A133" s="84">
        <f>'Q.6 Rand()'!V131</f>
        <v>2.4</v>
      </c>
      <c r="B133" s="141">
        <f>'Q.6 Rand()'!W131</f>
        <v>41.395899999999997</v>
      </c>
      <c r="D133" s="23"/>
      <c r="E133" s="24"/>
      <c r="F133" s="22">
        <f t="shared" ref="F133:F196" si="20">A133-$D$5</f>
        <v>-1.0390243902439034</v>
      </c>
      <c r="G133" s="22">
        <f t="shared" si="13"/>
        <v>6.4152867208672077</v>
      </c>
      <c r="H133" s="18">
        <f t="shared" si="14"/>
        <v>-6.6656393733888608</v>
      </c>
      <c r="I133" s="18">
        <f t="shared" si="15"/>
        <v>1.0795716835217153</v>
      </c>
      <c r="J133" s="24"/>
      <c r="K133" s="24"/>
      <c r="L133" s="19">
        <f t="shared" si="16"/>
        <v>40.115179547479059</v>
      </c>
      <c r="O133" s="9">
        <f t="shared" ref="O133:O196" si="21">B133-L133</f>
        <v>1.2807204525209386</v>
      </c>
      <c r="P133" s="10">
        <f t="shared" si="17"/>
        <v>1.6402448775054377</v>
      </c>
      <c r="V133" s="10">
        <f t="shared" si="19"/>
        <v>4.0384347587690168E-2</v>
      </c>
      <c r="W133" s="13">
        <f t="shared" ref="W133:W196" si="22">(L133-$E$5)^2</f>
        <v>26.36377076403933</v>
      </c>
      <c r="Z133" s="15">
        <f t="shared" si="18"/>
        <v>41.155903710935128</v>
      </c>
    </row>
    <row r="134" spans="1:26">
      <c r="A134" s="84">
        <f>'Q.6 Rand()'!V132</f>
        <v>5.2</v>
      </c>
      <c r="B134" s="141">
        <f>'Q.6 Rand()'!W132</f>
        <v>25.4</v>
      </c>
      <c r="D134" s="23"/>
      <c r="E134" s="24"/>
      <c r="F134" s="22">
        <f t="shared" si="20"/>
        <v>1.7609756097560969</v>
      </c>
      <c r="G134" s="22">
        <f t="shared" ref="G134:G197" si="23">B134-$E$5</f>
        <v>-9.5806132791327911</v>
      </c>
      <c r="H134" s="18">
        <f t="shared" ref="H134:H197" si="24">F134*G134</f>
        <v>-16.871226311058226</v>
      </c>
      <c r="I134" s="18">
        <f t="shared" ref="I134:I197" si="25">F134^2</f>
        <v>3.1010350981558572</v>
      </c>
      <c r="J134" s="24"/>
      <c r="K134" s="24"/>
      <c r="L134" s="19">
        <f t="shared" ref="L134:L197" si="26">$K$5+$J$5*A134</f>
        <v>26.278367162358141</v>
      </c>
      <c r="O134" s="9">
        <f t="shared" si="21"/>
        <v>-0.87836716235814194</v>
      </c>
      <c r="P134" s="10">
        <f t="shared" ref="P134:P197" si="27">O134^2</f>
        <v>0.77152887190909447</v>
      </c>
      <c r="V134" s="10">
        <f t="shared" si="19"/>
        <v>3.0938340572881341E-2</v>
      </c>
      <c r="W134" s="13">
        <f t="shared" si="22"/>
        <v>75.72908747691946</v>
      </c>
      <c r="Z134" s="15">
        <f t="shared" ref="Z134:Z197" si="28">(B134-$E$5)^2</f>
        <v>91.788150804295569</v>
      </c>
    </row>
    <row r="135" spans="1:26">
      <c r="A135" s="84">
        <f>'Q.6 Rand()'!V133</f>
        <v>4.5999999999999996</v>
      </c>
      <c r="B135" s="141">
        <f>'Q.6 Rand()'!W133</f>
        <v>33.550899999999999</v>
      </c>
      <c r="D135" s="23"/>
      <c r="E135" s="24"/>
      <c r="F135" s="22">
        <f t="shared" si="20"/>
        <v>1.1609756097560964</v>
      </c>
      <c r="G135" s="22">
        <f t="shared" si="23"/>
        <v>-1.4297132791327911</v>
      </c>
      <c r="H135" s="18">
        <f t="shared" si="24"/>
        <v>-1.6598622460175803</v>
      </c>
      <c r="I135" s="18">
        <f t="shared" si="25"/>
        <v>1.3478643664485397</v>
      </c>
      <c r="J135" s="24"/>
      <c r="K135" s="24"/>
      <c r="L135" s="19">
        <f t="shared" si="26"/>
        <v>29.243398387741198</v>
      </c>
      <c r="O135" s="9">
        <f t="shared" si="21"/>
        <v>4.3075016122588003</v>
      </c>
      <c r="P135" s="10">
        <f t="shared" si="27"/>
        <v>18.554570139612164</v>
      </c>
      <c r="V135" s="10">
        <f t="shared" ref="V135:V198" si="29">ABS(O134) / B134</f>
        <v>3.4581384344808737E-2</v>
      </c>
      <c r="W135" s="13">
        <f t="shared" si="22"/>
        <v>32.915634710005428</v>
      </c>
      <c r="Z135" s="15">
        <f t="shared" si="28"/>
        <v>2.0440800605286382</v>
      </c>
    </row>
    <row r="136" spans="1:26">
      <c r="A136" s="84">
        <f>'Q.6 Rand()'!V134</f>
        <v>3.5</v>
      </c>
      <c r="B136" s="141">
        <f>'Q.6 Rand()'!W134</f>
        <v>31.9</v>
      </c>
      <c r="D136" s="23"/>
      <c r="E136" s="24"/>
      <c r="F136" s="22">
        <f t="shared" si="20"/>
        <v>6.0975609756096727E-2</v>
      </c>
      <c r="G136" s="22">
        <f t="shared" si="23"/>
        <v>-3.0806132791327911</v>
      </c>
      <c r="H136" s="18">
        <f t="shared" si="24"/>
        <v>-0.18784227311785054</v>
      </c>
      <c r="I136" s="18">
        <f t="shared" si="25"/>
        <v>3.7180249851277982E-3</v>
      </c>
      <c r="J136" s="24"/>
      <c r="K136" s="24"/>
      <c r="L136" s="19">
        <f t="shared" si="26"/>
        <v>34.679288967610127</v>
      </c>
      <c r="O136" s="9">
        <f t="shared" si="21"/>
        <v>-2.7792889676101282</v>
      </c>
      <c r="P136" s="10">
        <f t="shared" si="27"/>
        <v>7.724447165479372</v>
      </c>
      <c r="V136" s="10">
        <f t="shared" si="29"/>
        <v>0.12838706598805996</v>
      </c>
      <c r="W136" s="13">
        <f t="shared" si="22"/>
        <v>9.0796340714606807E-2</v>
      </c>
      <c r="Z136" s="15">
        <f t="shared" si="28"/>
        <v>9.4901781755692873</v>
      </c>
    </row>
    <row r="137" spans="1:26">
      <c r="A137" s="84">
        <f>'Q.6 Rand()'!V135</f>
        <v>3.5</v>
      </c>
      <c r="B137" s="141">
        <f>'Q.6 Rand()'!W135</f>
        <v>29.9849</v>
      </c>
      <c r="D137" s="23"/>
      <c r="E137" s="24"/>
      <c r="F137" s="22">
        <f t="shared" si="20"/>
        <v>6.0975609756096727E-2</v>
      </c>
      <c r="G137" s="22">
        <f t="shared" si="23"/>
        <v>-4.9957132791327901</v>
      </c>
      <c r="H137" s="18">
        <f t="shared" si="24"/>
        <v>-0.30461666336175131</v>
      </c>
      <c r="I137" s="18">
        <f t="shared" si="25"/>
        <v>3.7180249851277982E-3</v>
      </c>
      <c r="J137" s="24"/>
      <c r="K137" s="24"/>
      <c r="L137" s="19">
        <f t="shared" si="26"/>
        <v>34.679288967610127</v>
      </c>
      <c r="O137" s="9">
        <f t="shared" si="21"/>
        <v>-4.6943889676101271</v>
      </c>
      <c r="P137" s="10">
        <f t="shared" si="27"/>
        <v>22.037287779219675</v>
      </c>
      <c r="V137" s="10">
        <f t="shared" si="29"/>
        <v>8.712504600658709E-2</v>
      </c>
      <c r="W137" s="13">
        <f t="shared" si="22"/>
        <v>9.0796340714606807E-2</v>
      </c>
      <c r="Z137" s="15">
        <f t="shared" si="28"/>
        <v>24.957151167303692</v>
      </c>
    </row>
    <row r="138" spans="1:26">
      <c r="A138" s="84">
        <f>'Q.6 Rand()'!V136</f>
        <v>3.6</v>
      </c>
      <c r="B138" s="141">
        <f>'Q.6 Rand()'!W136</f>
        <v>31.6</v>
      </c>
      <c r="D138" s="23"/>
      <c r="E138" s="24"/>
      <c r="F138" s="22">
        <f t="shared" si="20"/>
        <v>0.16097560975609682</v>
      </c>
      <c r="G138" s="22">
        <f t="shared" si="23"/>
        <v>-3.3806132791327883</v>
      </c>
      <c r="H138" s="18">
        <f t="shared" si="24"/>
        <v>-0.54419628395795849</v>
      </c>
      <c r="I138" s="18">
        <f t="shared" si="25"/>
        <v>2.5913146936347171E-2</v>
      </c>
      <c r="J138" s="24"/>
      <c r="K138" s="24"/>
      <c r="L138" s="19">
        <f t="shared" si="26"/>
        <v>34.185117096712951</v>
      </c>
      <c r="O138" s="9">
        <f t="shared" si="21"/>
        <v>-2.5851170967129491</v>
      </c>
      <c r="P138" s="10">
        <f t="shared" si="27"/>
        <v>6.6828304037175874</v>
      </c>
      <c r="V138" s="10">
        <f t="shared" si="29"/>
        <v>0.15655843333178124</v>
      </c>
      <c r="W138" s="13">
        <f t="shared" si="22"/>
        <v>0.63281417624453806</v>
      </c>
      <c r="Z138" s="15">
        <f t="shared" si="28"/>
        <v>11.428546143048944</v>
      </c>
    </row>
    <row r="139" spans="1:26">
      <c r="A139" s="84">
        <f>'Q.6 Rand()'!V137</f>
        <v>2.7</v>
      </c>
      <c r="B139" s="141">
        <f>'Q.6 Rand()'!W137</f>
        <v>36.5</v>
      </c>
      <c r="D139" s="23"/>
      <c r="E139" s="24"/>
      <c r="F139" s="22">
        <f t="shared" si="20"/>
        <v>-0.7390243902439031</v>
      </c>
      <c r="G139" s="22">
        <f t="shared" si="23"/>
        <v>1.5193867208672103</v>
      </c>
      <c r="H139" s="18">
        <f t="shared" si="24"/>
        <v>-1.1228638449335735</v>
      </c>
      <c r="I139" s="18">
        <f t="shared" si="25"/>
        <v>0.54615704937537279</v>
      </c>
      <c r="J139" s="24"/>
      <c r="K139" s="24"/>
      <c r="L139" s="19">
        <f t="shared" si="26"/>
        <v>38.63266393478753</v>
      </c>
      <c r="O139" s="9">
        <f t="shared" si="21"/>
        <v>-2.13266393478753</v>
      </c>
      <c r="P139" s="10">
        <f t="shared" si="27"/>
        <v>4.5482554587434301</v>
      </c>
      <c r="V139" s="10">
        <f t="shared" si="29"/>
        <v>8.1807503060536357E-2</v>
      </c>
      <c r="W139" s="13">
        <f t="shared" si="22"/>
        <v>13.337473991468219</v>
      </c>
      <c r="Z139" s="15">
        <f t="shared" si="28"/>
        <v>2.3085360075476138</v>
      </c>
    </row>
    <row r="140" spans="1:26">
      <c r="A140" s="84">
        <f>'Q.6 Rand()'!V138</f>
        <v>3.5</v>
      </c>
      <c r="B140" s="141">
        <f>'Q.6 Rand()'!W138</f>
        <v>34.200000000000003</v>
      </c>
      <c r="D140" s="23"/>
      <c r="E140" s="24"/>
      <c r="F140" s="22">
        <f t="shared" si="20"/>
        <v>6.0975609756096727E-2</v>
      </c>
      <c r="G140" s="22">
        <f t="shared" si="23"/>
        <v>-0.78061327913278689</v>
      </c>
      <c r="H140" s="18">
        <f t="shared" si="24"/>
        <v>-4.7598370678827814E-2</v>
      </c>
      <c r="I140" s="18">
        <f t="shared" si="25"/>
        <v>3.7180249851277982E-3</v>
      </c>
      <c r="J140" s="24"/>
      <c r="K140" s="24"/>
      <c r="L140" s="19">
        <f t="shared" si="26"/>
        <v>34.679288967610127</v>
      </c>
      <c r="O140" s="9">
        <f t="shared" si="21"/>
        <v>-0.47928896761012396</v>
      </c>
      <c r="P140" s="10">
        <f t="shared" si="27"/>
        <v>0.22971791447277845</v>
      </c>
      <c r="V140" s="10">
        <f t="shared" si="29"/>
        <v>5.8429148898288492E-2</v>
      </c>
      <c r="W140" s="13">
        <f t="shared" si="22"/>
        <v>9.0796340714606807E-2</v>
      </c>
      <c r="Z140" s="15">
        <f t="shared" si="28"/>
        <v>0.6093570915584422</v>
      </c>
    </row>
    <row r="141" spans="1:26">
      <c r="A141" s="84">
        <f>'Q.6 Rand()'!V139</f>
        <v>3.6</v>
      </c>
      <c r="B141" s="141">
        <f>'Q.6 Rand()'!W139</f>
        <v>40</v>
      </c>
      <c r="D141" s="23"/>
      <c r="E141" s="24"/>
      <c r="F141" s="22">
        <f t="shared" si="20"/>
        <v>0.16097560975609682</v>
      </c>
      <c r="G141" s="22">
        <f t="shared" si="23"/>
        <v>5.0193867208672103</v>
      </c>
      <c r="H141" s="18">
        <f t="shared" si="24"/>
        <v>0.80799883799325445</v>
      </c>
      <c r="I141" s="18">
        <f t="shared" si="25"/>
        <v>2.5913146936347171E-2</v>
      </c>
      <c r="J141" s="24"/>
      <c r="K141" s="24"/>
      <c r="L141" s="19">
        <f t="shared" si="26"/>
        <v>34.185117096712951</v>
      </c>
      <c r="O141" s="9">
        <f t="shared" si="21"/>
        <v>5.8148829032870495</v>
      </c>
      <c r="P141" s="10">
        <f t="shared" si="27"/>
        <v>33.812863178940027</v>
      </c>
      <c r="V141" s="10">
        <f t="shared" si="29"/>
        <v>1.4014297298541634E-2</v>
      </c>
      <c r="W141" s="13">
        <f t="shared" si="22"/>
        <v>0.63281417624453806</v>
      </c>
      <c r="Z141" s="15">
        <f t="shared" si="28"/>
        <v>25.194243053618084</v>
      </c>
    </row>
    <row r="142" spans="1:26">
      <c r="A142" s="84">
        <f>'Q.6 Rand()'!V140</f>
        <v>3.8</v>
      </c>
      <c r="B142" s="141">
        <f>'Q.6 Rand()'!W140</f>
        <v>31.9</v>
      </c>
      <c r="D142" s="23"/>
      <c r="E142" s="24"/>
      <c r="F142" s="22">
        <f t="shared" si="20"/>
        <v>0.36097560975609655</v>
      </c>
      <c r="G142" s="22">
        <f t="shared" si="23"/>
        <v>-3.0806132791327911</v>
      </c>
      <c r="H142" s="18">
        <f t="shared" si="24"/>
        <v>-1.1120262568576873</v>
      </c>
      <c r="I142" s="18">
        <f t="shared" si="25"/>
        <v>0.1303033908387857</v>
      </c>
      <c r="J142" s="24"/>
      <c r="K142" s="24"/>
      <c r="L142" s="19">
        <f t="shared" si="26"/>
        <v>33.196773354918605</v>
      </c>
      <c r="O142" s="9">
        <f t="shared" si="21"/>
        <v>-1.2967733549186065</v>
      </c>
      <c r="P142" s="10">
        <f t="shared" si="27"/>
        <v>1.6816211340268581</v>
      </c>
      <c r="V142" s="10">
        <f t="shared" si="29"/>
        <v>0.14537207258217624</v>
      </c>
      <c r="W142" s="13">
        <f t="shared" si="22"/>
        <v>3.1820848752204682</v>
      </c>
      <c r="Z142" s="15">
        <f t="shared" si="28"/>
        <v>9.4901781755692873</v>
      </c>
    </row>
    <row r="143" spans="1:26">
      <c r="A143" s="84">
        <f>'Q.6 Rand()'!V141</f>
        <v>3.5</v>
      </c>
      <c r="B143" s="141">
        <f>'Q.6 Rand()'!W141</f>
        <v>36.556399999999996</v>
      </c>
      <c r="D143" s="23"/>
      <c r="E143" s="24"/>
      <c r="F143" s="22">
        <f t="shared" si="20"/>
        <v>6.0975609756096727E-2</v>
      </c>
      <c r="G143" s="22">
        <f t="shared" si="23"/>
        <v>1.5757867208672067</v>
      </c>
      <c r="H143" s="18">
        <f t="shared" si="24"/>
        <v>9.6084556150438122E-2</v>
      </c>
      <c r="I143" s="18">
        <f t="shared" si="25"/>
        <v>3.7180249851277982E-3</v>
      </c>
      <c r="J143" s="24"/>
      <c r="K143" s="24"/>
      <c r="L143" s="19">
        <f t="shared" si="26"/>
        <v>34.679288967610127</v>
      </c>
      <c r="O143" s="9">
        <f t="shared" si="21"/>
        <v>1.8771110323898696</v>
      </c>
      <c r="P143" s="10">
        <f t="shared" si="27"/>
        <v>3.5235458279197625</v>
      </c>
      <c r="V143" s="10">
        <f t="shared" si="29"/>
        <v>4.0651202348545662E-2</v>
      </c>
      <c r="W143" s="13">
        <f t="shared" si="22"/>
        <v>9.0796340714606807E-2</v>
      </c>
      <c r="Z143" s="15">
        <f t="shared" si="28"/>
        <v>2.4831037896614241</v>
      </c>
    </row>
    <row r="144" spans="1:26">
      <c r="A144" s="84">
        <f>'Q.6 Rand()'!V142</f>
        <v>5.5</v>
      </c>
      <c r="B144" s="141">
        <f>'Q.6 Rand()'!W142</f>
        <v>29</v>
      </c>
      <c r="D144" s="23"/>
      <c r="E144" s="24"/>
      <c r="F144" s="22">
        <f t="shared" si="20"/>
        <v>2.0609756097560967</v>
      </c>
      <c r="G144" s="22">
        <f t="shared" si="23"/>
        <v>-5.9806132791327897</v>
      </c>
      <c r="H144" s="18">
        <f t="shared" si="24"/>
        <v>-12.32589809967611</v>
      </c>
      <c r="I144" s="18">
        <f t="shared" si="25"/>
        <v>4.2476204640095148</v>
      </c>
      <c r="J144" s="24"/>
      <c r="K144" s="24"/>
      <c r="L144" s="19">
        <f t="shared" si="26"/>
        <v>24.795851549666615</v>
      </c>
      <c r="O144" s="9">
        <f t="shared" si="21"/>
        <v>4.2041484503333848</v>
      </c>
      <c r="P144" s="10">
        <f t="shared" si="27"/>
        <v>17.674864192440602</v>
      </c>
      <c r="V144" s="10">
        <f t="shared" si="29"/>
        <v>5.1348355756854334E-2</v>
      </c>
      <c r="W144" s="13">
        <f t="shared" si="22"/>
        <v>103.72937148599883</v>
      </c>
      <c r="Z144" s="15">
        <f t="shared" si="28"/>
        <v>35.767735194539462</v>
      </c>
    </row>
    <row r="145" spans="1:26">
      <c r="A145" s="84">
        <f>'Q.6 Rand()'!V143</f>
        <v>3.5</v>
      </c>
      <c r="B145" s="141">
        <f>'Q.6 Rand()'!W143</f>
        <v>29.773399999999999</v>
      </c>
      <c r="D145" s="23"/>
      <c r="E145" s="24"/>
      <c r="F145" s="22">
        <f t="shared" si="20"/>
        <v>6.0975609756096727E-2</v>
      </c>
      <c r="G145" s="22">
        <f t="shared" si="23"/>
        <v>-5.207213279132791</v>
      </c>
      <c r="H145" s="18">
        <f t="shared" si="24"/>
        <v>-0.31751300482516581</v>
      </c>
      <c r="I145" s="18">
        <f t="shared" si="25"/>
        <v>3.7180249851277982E-3</v>
      </c>
      <c r="J145" s="24"/>
      <c r="K145" s="24"/>
      <c r="L145" s="19">
        <f t="shared" si="26"/>
        <v>34.679288967610127</v>
      </c>
      <c r="O145" s="9">
        <f t="shared" si="21"/>
        <v>-4.905888967610128</v>
      </c>
      <c r="P145" s="10">
        <f t="shared" si="27"/>
        <v>24.067746562518767</v>
      </c>
      <c r="V145" s="10">
        <f t="shared" si="29"/>
        <v>0.14497063621839257</v>
      </c>
      <c r="W145" s="13">
        <f t="shared" si="22"/>
        <v>9.0796340714606807E-2</v>
      </c>
      <c r="Z145" s="15">
        <f t="shared" si="28"/>
        <v>27.115070134376875</v>
      </c>
    </row>
    <row r="146" spans="1:26">
      <c r="A146" s="84">
        <f>'Q.6 Rand()'!V144</f>
        <v>6.2</v>
      </c>
      <c r="B146" s="141">
        <f>'Q.6 Rand()'!W144</f>
        <v>26</v>
      </c>
      <c r="D146" s="23"/>
      <c r="E146" s="24"/>
      <c r="F146" s="22">
        <f t="shared" si="20"/>
        <v>2.7609756097560969</v>
      </c>
      <c r="G146" s="22">
        <f t="shared" si="23"/>
        <v>-8.9806132791327897</v>
      </c>
      <c r="H146" s="18">
        <f t="shared" si="24"/>
        <v>-24.795254224337356</v>
      </c>
      <c r="I146" s="18">
        <f t="shared" si="25"/>
        <v>7.622986317668051</v>
      </c>
      <c r="J146" s="24"/>
      <c r="K146" s="24"/>
      <c r="L146" s="19">
        <f t="shared" si="26"/>
        <v>21.336648453386388</v>
      </c>
      <c r="O146" s="9">
        <f t="shared" si="21"/>
        <v>4.6633515466136117</v>
      </c>
      <c r="P146" s="10">
        <f t="shared" si="27"/>
        <v>21.746847647303564</v>
      </c>
      <c r="V146" s="10">
        <f t="shared" si="29"/>
        <v>0.16477422691429694</v>
      </c>
      <c r="W146" s="13">
        <f t="shared" si="22"/>
        <v>186.15777616620502</v>
      </c>
      <c r="Z146" s="15">
        <f t="shared" si="28"/>
        <v>80.651414869336193</v>
      </c>
    </row>
    <row r="147" spans="1:26">
      <c r="A147" s="84">
        <f>'Q.6 Rand()'!V145</f>
        <v>3</v>
      </c>
      <c r="B147" s="141">
        <f>'Q.6 Rand()'!W145</f>
        <v>37.9</v>
      </c>
      <c r="D147" s="23"/>
      <c r="E147" s="24"/>
      <c r="F147" s="22">
        <f t="shared" si="20"/>
        <v>-0.43902439024390327</v>
      </c>
      <c r="G147" s="22">
        <f t="shared" si="23"/>
        <v>2.9193867208672089</v>
      </c>
      <c r="H147" s="18">
        <f t="shared" si="24"/>
        <v>-1.2816819750148747</v>
      </c>
      <c r="I147" s="18">
        <f t="shared" si="25"/>
        <v>0.19274241522903107</v>
      </c>
      <c r="J147" s="24"/>
      <c r="K147" s="24"/>
      <c r="L147" s="19">
        <f t="shared" si="26"/>
        <v>37.150148322096001</v>
      </c>
      <c r="O147" s="9">
        <f t="shared" si="21"/>
        <v>0.74985167790399743</v>
      </c>
      <c r="P147" s="10">
        <f t="shared" si="27"/>
        <v>0.5622775388554403</v>
      </c>
      <c r="V147" s="10">
        <f t="shared" si="29"/>
        <v>0.17935967486975429</v>
      </c>
      <c r="W147" s="13">
        <f t="shared" si="22"/>
        <v>4.7068823026453837</v>
      </c>
      <c r="Z147" s="15">
        <f t="shared" si="28"/>
        <v>8.5228188259757935</v>
      </c>
    </row>
    <row r="148" spans="1:26">
      <c r="A148" s="84">
        <f>'Q.6 Rand()'!V146</f>
        <v>2</v>
      </c>
      <c r="B148" s="141">
        <f>'Q.6 Rand()'!W146</f>
        <v>40</v>
      </c>
      <c r="D148" s="23"/>
      <c r="E148" s="24"/>
      <c r="F148" s="22">
        <f t="shared" si="20"/>
        <v>-1.4390243902439033</v>
      </c>
      <c r="G148" s="22">
        <f t="shared" si="23"/>
        <v>5.0193867208672103</v>
      </c>
      <c r="H148" s="18">
        <f t="shared" si="24"/>
        <v>-7.223019915394282</v>
      </c>
      <c r="I148" s="18">
        <f t="shared" si="25"/>
        <v>2.0707911957168377</v>
      </c>
      <c r="J148" s="24"/>
      <c r="K148" s="24"/>
      <c r="L148" s="19">
        <f t="shared" si="26"/>
        <v>42.091867031067757</v>
      </c>
      <c r="O148" s="9">
        <f t="shared" si="21"/>
        <v>-2.091867031067757</v>
      </c>
      <c r="P148" s="10">
        <f t="shared" si="27"/>
        <v>4.3759076756682322</v>
      </c>
      <c r="V148" s="10">
        <f t="shared" si="29"/>
        <v>1.9785004694036872E-2</v>
      </c>
      <c r="W148" s="13">
        <f t="shared" si="22"/>
        <v>50.569929924409145</v>
      </c>
      <c r="Z148" s="15">
        <f t="shared" si="28"/>
        <v>25.194243053618084</v>
      </c>
    </row>
    <row r="149" spans="1:26">
      <c r="A149" s="84">
        <f>'Q.6 Rand()'!V147</f>
        <v>2</v>
      </c>
      <c r="B149" s="141">
        <f>'Q.6 Rand()'!W147</f>
        <v>42.457900000000002</v>
      </c>
      <c r="D149" s="23"/>
      <c r="E149" s="24"/>
      <c r="F149" s="22">
        <f t="shared" si="20"/>
        <v>-1.4390243902439033</v>
      </c>
      <c r="G149" s="22">
        <f t="shared" si="23"/>
        <v>7.4772867208672125</v>
      </c>
      <c r="H149" s="18">
        <f t="shared" si="24"/>
        <v>-10.759997964174776</v>
      </c>
      <c r="I149" s="18">
        <f t="shared" si="25"/>
        <v>2.0707911957168377</v>
      </c>
      <c r="J149" s="24"/>
      <c r="K149" s="24"/>
      <c r="L149" s="19">
        <f t="shared" si="26"/>
        <v>42.091867031067757</v>
      </c>
      <c r="O149" s="9">
        <f t="shared" si="21"/>
        <v>0.36603296893224524</v>
      </c>
      <c r="P149" s="10">
        <f t="shared" si="27"/>
        <v>0.133980134345354</v>
      </c>
      <c r="V149" s="10">
        <f t="shared" si="29"/>
        <v>5.2296675776693925E-2</v>
      </c>
      <c r="W149" s="13">
        <f t="shared" si="22"/>
        <v>50.569929924409145</v>
      </c>
      <c r="Z149" s="15">
        <f t="shared" si="28"/>
        <v>55.90981670605715</v>
      </c>
    </row>
    <row r="150" spans="1:26">
      <c r="A150" s="84">
        <f>'Q.6 Rand()'!V148</f>
        <v>2.4</v>
      </c>
      <c r="B150" s="141">
        <f>'Q.6 Rand()'!W148</f>
        <v>45.3</v>
      </c>
      <c r="D150" s="23"/>
      <c r="E150" s="24"/>
      <c r="F150" s="22">
        <f t="shared" si="20"/>
        <v>-1.0390243902439034</v>
      </c>
      <c r="G150" s="22">
        <f t="shared" si="23"/>
        <v>10.319386720867207</v>
      </c>
      <c r="H150" s="18">
        <f t="shared" si="24"/>
        <v>-10.722094495340084</v>
      </c>
      <c r="I150" s="18">
        <f t="shared" si="25"/>
        <v>1.0795716835217153</v>
      </c>
      <c r="J150" s="24"/>
      <c r="K150" s="24"/>
      <c r="L150" s="19">
        <f t="shared" si="26"/>
        <v>40.115179547479059</v>
      </c>
      <c r="O150" s="9">
        <f t="shared" si="21"/>
        <v>5.1848204525209383</v>
      </c>
      <c r="P150" s="10">
        <f t="shared" si="27"/>
        <v>26.882363124879426</v>
      </c>
      <c r="V150" s="10">
        <f t="shared" si="29"/>
        <v>8.6210803862707582E-3</v>
      </c>
      <c r="W150" s="13">
        <f t="shared" si="22"/>
        <v>26.36377076403933</v>
      </c>
      <c r="Z150" s="15">
        <f t="shared" si="28"/>
        <v>106.48974229481045</v>
      </c>
    </row>
    <row r="151" spans="1:26">
      <c r="A151" s="84">
        <f>'Q.6 Rand()'!V149</f>
        <v>2</v>
      </c>
      <c r="B151" s="141">
        <f>'Q.6 Rand()'!W149</f>
        <v>40.299999999999997</v>
      </c>
      <c r="D151" s="23"/>
      <c r="E151" s="24"/>
      <c r="F151" s="22">
        <f t="shared" si="20"/>
        <v>-1.4390243902439033</v>
      </c>
      <c r="G151" s="22">
        <f t="shared" si="23"/>
        <v>5.3193867208672074</v>
      </c>
      <c r="H151" s="18">
        <f t="shared" si="24"/>
        <v>-7.6547272324674491</v>
      </c>
      <c r="I151" s="18">
        <f t="shared" si="25"/>
        <v>2.0707911957168377</v>
      </c>
      <c r="J151" s="24"/>
      <c r="K151" s="24"/>
      <c r="L151" s="19">
        <f t="shared" si="26"/>
        <v>42.091867031067757</v>
      </c>
      <c r="O151" s="9">
        <f t="shared" si="21"/>
        <v>-1.7918670310677598</v>
      </c>
      <c r="P151" s="10">
        <f t="shared" si="27"/>
        <v>3.2107874570275881</v>
      </c>
      <c r="V151" s="10">
        <f t="shared" si="29"/>
        <v>0.11445519762739378</v>
      </c>
      <c r="W151" s="13">
        <f t="shared" si="22"/>
        <v>50.569929924409145</v>
      </c>
      <c r="Z151" s="15">
        <f t="shared" si="28"/>
        <v>28.295875086138381</v>
      </c>
    </row>
    <row r="152" spans="1:26">
      <c r="A152" s="84">
        <f>'Q.6 Rand()'!V150</f>
        <v>3.5</v>
      </c>
      <c r="B152" s="141">
        <f>'Q.6 Rand()'!W150</f>
        <v>35.9</v>
      </c>
      <c r="D152" s="23"/>
      <c r="E152" s="24"/>
      <c r="F152" s="22">
        <f t="shared" si="20"/>
        <v>6.0975609756096727E-2</v>
      </c>
      <c r="G152" s="22">
        <f t="shared" si="23"/>
        <v>0.91938672086720885</v>
      </c>
      <c r="H152" s="18">
        <f t="shared" si="24"/>
        <v>5.6060165906536355E-2</v>
      </c>
      <c r="I152" s="18">
        <f t="shared" si="25"/>
        <v>3.7180249851277982E-3</v>
      </c>
      <c r="J152" s="24"/>
      <c r="K152" s="24"/>
      <c r="L152" s="19">
        <f t="shared" si="26"/>
        <v>34.679288967610127</v>
      </c>
      <c r="O152" s="9">
        <f t="shared" si="21"/>
        <v>1.2207110323898718</v>
      </c>
      <c r="P152" s="10">
        <f t="shared" si="27"/>
        <v>1.4901354245983465</v>
      </c>
      <c r="V152" s="10">
        <f t="shared" si="29"/>
        <v>4.4463201763467991E-2</v>
      </c>
      <c r="W152" s="13">
        <f t="shared" si="22"/>
        <v>9.0796340714606807E-2</v>
      </c>
      <c r="Z152" s="15">
        <f t="shared" si="28"/>
        <v>0.84527194250695903</v>
      </c>
    </row>
    <row r="153" spans="1:26">
      <c r="A153" s="84">
        <f>'Q.6 Rand()'!V151</f>
        <v>2.5</v>
      </c>
      <c r="B153" s="141">
        <f>'Q.6 Rand()'!W151</f>
        <v>38.6</v>
      </c>
      <c r="D153" s="23"/>
      <c r="E153" s="24"/>
      <c r="F153" s="22">
        <f t="shared" si="20"/>
        <v>-0.93902439024390327</v>
      </c>
      <c r="G153" s="22">
        <f t="shared" si="23"/>
        <v>3.6193867208672117</v>
      </c>
      <c r="H153" s="18">
        <f t="shared" si="24"/>
        <v>-3.3986924086192141</v>
      </c>
      <c r="I153" s="18">
        <f t="shared" si="25"/>
        <v>0.88176680547293429</v>
      </c>
      <c r="J153" s="24"/>
      <c r="K153" s="24"/>
      <c r="L153" s="19">
        <f t="shared" si="26"/>
        <v>39.621007676581883</v>
      </c>
      <c r="O153" s="9">
        <f t="shared" si="21"/>
        <v>-1.0210076765818812</v>
      </c>
      <c r="P153" s="10">
        <f t="shared" si="27"/>
        <v>1.0424566756391314</v>
      </c>
      <c r="V153" s="10">
        <f t="shared" si="29"/>
        <v>3.4003092824230412E-2</v>
      </c>
      <c r="W153" s="13">
        <f t="shared" si="22"/>
        <v>21.533260163876928</v>
      </c>
      <c r="Z153" s="15">
        <f t="shared" si="28"/>
        <v>13.099960235189908</v>
      </c>
    </row>
    <row r="154" spans="1:26">
      <c r="A154" s="84">
        <f>'Q.6 Rand()'!V152</f>
        <v>3.5</v>
      </c>
      <c r="B154" s="141">
        <f>'Q.6 Rand()'!W152</f>
        <v>36.410200000000003</v>
      </c>
      <c r="D154" s="23"/>
      <c r="E154" s="24"/>
      <c r="F154" s="22">
        <f t="shared" si="20"/>
        <v>6.0975609756096727E-2</v>
      </c>
      <c r="G154" s="22">
        <f t="shared" si="23"/>
        <v>1.4295867208672135</v>
      </c>
      <c r="H154" s="18">
        <f t="shared" si="24"/>
        <v>8.7169922004097192E-2</v>
      </c>
      <c r="I154" s="18">
        <f t="shared" si="25"/>
        <v>3.7180249851277982E-3</v>
      </c>
      <c r="J154" s="24"/>
      <c r="K154" s="24"/>
      <c r="L154" s="19">
        <f t="shared" si="26"/>
        <v>34.679288967610127</v>
      </c>
      <c r="O154" s="9">
        <f t="shared" si="21"/>
        <v>1.7309110323898764</v>
      </c>
      <c r="P154" s="10">
        <f t="shared" si="27"/>
        <v>2.9960530020489879</v>
      </c>
      <c r="V154" s="10">
        <f t="shared" si="29"/>
        <v>2.6450976077250807E-2</v>
      </c>
      <c r="W154" s="13">
        <f t="shared" si="22"/>
        <v>9.0796340714606807E-2</v>
      </c>
      <c r="Z154" s="15">
        <f t="shared" si="28"/>
        <v>2.0437181924798722</v>
      </c>
    </row>
    <row r="155" spans="1:26">
      <c r="A155" s="84">
        <f>'Q.6 Rand()'!V153</f>
        <v>2.5</v>
      </c>
      <c r="B155" s="141">
        <f>'Q.6 Rand()'!W153</f>
        <v>39.700000000000003</v>
      </c>
      <c r="D155" s="23"/>
      <c r="E155" s="24"/>
      <c r="F155" s="22">
        <f t="shared" si="20"/>
        <v>-0.93902439024390327</v>
      </c>
      <c r="G155" s="22">
        <f t="shared" si="23"/>
        <v>4.7193867208672131</v>
      </c>
      <c r="H155" s="18">
        <f t="shared" si="24"/>
        <v>-4.4316192378875092</v>
      </c>
      <c r="I155" s="18">
        <f t="shared" si="25"/>
        <v>0.88176680547293429</v>
      </c>
      <c r="J155" s="24"/>
      <c r="K155" s="24"/>
      <c r="L155" s="19">
        <f t="shared" si="26"/>
        <v>39.621007676581883</v>
      </c>
      <c r="O155" s="9">
        <f t="shared" si="21"/>
        <v>7.8992323418120236E-2</v>
      </c>
      <c r="P155" s="10">
        <f t="shared" si="27"/>
        <v>6.2397871589929066E-3</v>
      </c>
      <c r="V155" s="10">
        <f t="shared" si="29"/>
        <v>4.7539179471408462E-2</v>
      </c>
      <c r="W155" s="13">
        <f t="shared" si="22"/>
        <v>21.533260163876928</v>
      </c>
      <c r="Z155" s="15">
        <f t="shared" si="28"/>
        <v>22.272611021097788</v>
      </c>
    </row>
    <row r="156" spans="1:26">
      <c r="A156" s="84">
        <f>'Q.6 Rand()'!V154</f>
        <v>3</v>
      </c>
      <c r="B156" s="141">
        <f>'Q.6 Rand()'!W154</f>
        <v>36.154800000000002</v>
      </c>
      <c r="D156" s="23"/>
      <c r="E156" s="24"/>
      <c r="F156" s="22">
        <f t="shared" si="20"/>
        <v>-0.43902439024390327</v>
      </c>
      <c r="G156" s="22">
        <f t="shared" si="23"/>
        <v>1.1741867208672119</v>
      </c>
      <c r="H156" s="18">
        <f t="shared" si="24"/>
        <v>-0.51549660916121598</v>
      </c>
      <c r="I156" s="18">
        <f t="shared" si="25"/>
        <v>0.19274241522903107</v>
      </c>
      <c r="J156" s="24"/>
      <c r="K156" s="24"/>
      <c r="L156" s="19">
        <f t="shared" si="26"/>
        <v>37.150148322096001</v>
      </c>
      <c r="O156" s="9">
        <f t="shared" si="21"/>
        <v>-0.99534832209599955</v>
      </c>
      <c r="P156" s="10">
        <f t="shared" si="27"/>
        <v>0.99071828229932168</v>
      </c>
      <c r="V156" s="10">
        <f t="shared" si="29"/>
        <v>1.9897310684665044E-3</v>
      </c>
      <c r="W156" s="13">
        <f t="shared" si="22"/>
        <v>4.7068823026453837</v>
      </c>
      <c r="Z156" s="15">
        <f t="shared" si="28"/>
        <v>1.3787144554608957</v>
      </c>
    </row>
    <row r="157" spans="1:26">
      <c r="A157" s="84">
        <f>'Q.6 Rand()'!V155</f>
        <v>2.5</v>
      </c>
      <c r="B157" s="141">
        <f>'Q.6 Rand()'!W155</f>
        <v>42.9</v>
      </c>
      <c r="D157" s="23"/>
      <c r="E157" s="24"/>
      <c r="F157" s="22">
        <f t="shared" si="20"/>
        <v>-0.93902439024390327</v>
      </c>
      <c r="G157" s="22">
        <f t="shared" si="23"/>
        <v>7.9193867208672089</v>
      </c>
      <c r="H157" s="18">
        <f t="shared" si="24"/>
        <v>-7.4364972866679953</v>
      </c>
      <c r="I157" s="18">
        <f t="shared" si="25"/>
        <v>0.88176680547293429</v>
      </c>
      <c r="J157" s="24"/>
      <c r="K157" s="24"/>
      <c r="L157" s="19">
        <f t="shared" si="26"/>
        <v>39.621007676581883</v>
      </c>
      <c r="O157" s="9">
        <f t="shared" si="21"/>
        <v>3.278992323418116</v>
      </c>
      <c r="P157" s="10">
        <f t="shared" si="27"/>
        <v>10.751790657034935</v>
      </c>
      <c r="V157" s="10">
        <f t="shared" si="29"/>
        <v>2.7530184708420447E-2</v>
      </c>
      <c r="W157" s="13">
        <f t="shared" si="22"/>
        <v>21.533260163876928</v>
      </c>
      <c r="Z157" s="15">
        <f t="shared" si="28"/>
        <v>62.716686034647886</v>
      </c>
    </row>
    <row r="158" spans="1:26">
      <c r="A158" s="84">
        <f>'Q.6 Rand()'!V156</f>
        <v>3.5</v>
      </c>
      <c r="B158" s="141">
        <f>'Q.6 Rand()'!W156</f>
        <v>39.799999999999997</v>
      </c>
      <c r="D158" s="23"/>
      <c r="E158" s="24"/>
      <c r="F158" s="22">
        <f t="shared" si="20"/>
        <v>6.0975609756096727E-2</v>
      </c>
      <c r="G158" s="22">
        <f t="shared" si="23"/>
        <v>4.8193867208672074</v>
      </c>
      <c r="H158" s="18">
        <f t="shared" si="24"/>
        <v>0.29386504395531349</v>
      </c>
      <c r="I158" s="18">
        <f t="shared" si="25"/>
        <v>3.7180249851277982E-3</v>
      </c>
      <c r="J158" s="24"/>
      <c r="K158" s="24"/>
      <c r="L158" s="19">
        <f t="shared" si="26"/>
        <v>34.679288967610127</v>
      </c>
      <c r="O158" s="9">
        <f t="shared" si="21"/>
        <v>5.1207110323898704</v>
      </c>
      <c r="P158" s="10">
        <f t="shared" si="27"/>
        <v>26.221681477239333</v>
      </c>
      <c r="V158" s="10">
        <f t="shared" si="29"/>
        <v>7.6433387492263777E-2</v>
      </c>
      <c r="W158" s="13">
        <f t="shared" si="22"/>
        <v>9.0796340714606807E-2</v>
      </c>
      <c r="Z158" s="15">
        <f t="shared" si="28"/>
        <v>23.226488365271173</v>
      </c>
    </row>
    <row r="159" spans="1:26">
      <c r="A159" s="84">
        <f>'Q.6 Rand()'!V157</f>
        <v>2.4</v>
      </c>
      <c r="B159" s="141">
        <f>'Q.6 Rand()'!W157</f>
        <v>41.6</v>
      </c>
      <c r="D159" s="23"/>
      <c r="E159" s="24"/>
      <c r="F159" s="22">
        <f t="shared" si="20"/>
        <v>-1.0390243902439034</v>
      </c>
      <c r="G159" s="22">
        <f t="shared" si="23"/>
        <v>6.6193867208672117</v>
      </c>
      <c r="H159" s="18">
        <f t="shared" si="24"/>
        <v>-6.8777042514376454</v>
      </c>
      <c r="I159" s="18">
        <f t="shared" si="25"/>
        <v>1.0795716835217153</v>
      </c>
      <c r="J159" s="24"/>
      <c r="K159" s="24"/>
      <c r="L159" s="19">
        <f t="shared" si="26"/>
        <v>40.115179547479059</v>
      </c>
      <c r="O159" s="9">
        <f t="shared" si="21"/>
        <v>1.4848204525209425</v>
      </c>
      <c r="P159" s="10">
        <f t="shared" si="27"/>
        <v>2.2046917762244966</v>
      </c>
      <c r="V159" s="10">
        <f t="shared" si="29"/>
        <v>0.1286610812158259</v>
      </c>
      <c r="W159" s="13">
        <f t="shared" si="22"/>
        <v>26.36377076403933</v>
      </c>
      <c r="Z159" s="15">
        <f t="shared" si="28"/>
        <v>43.816280560393174</v>
      </c>
    </row>
    <row r="160" spans="1:26">
      <c r="A160" s="84">
        <f>'Q.6 Rand()'!V158</f>
        <v>2.5</v>
      </c>
      <c r="B160" s="141">
        <f>'Q.6 Rand()'!W158</f>
        <v>40.200000000000003</v>
      </c>
      <c r="D160" s="23"/>
      <c r="E160" s="24"/>
      <c r="F160" s="22">
        <f t="shared" si="20"/>
        <v>-0.93902439024390327</v>
      </c>
      <c r="G160" s="22">
        <f t="shared" si="23"/>
        <v>5.2193867208672131</v>
      </c>
      <c r="H160" s="18">
        <f t="shared" si="24"/>
        <v>-4.9011314330094606</v>
      </c>
      <c r="I160" s="18">
        <f t="shared" si="25"/>
        <v>0.88176680547293429</v>
      </c>
      <c r="J160" s="24"/>
      <c r="K160" s="24"/>
      <c r="L160" s="19">
        <f t="shared" si="26"/>
        <v>39.621007676581883</v>
      </c>
      <c r="O160" s="9">
        <f t="shared" si="21"/>
        <v>0.57899232341812024</v>
      </c>
      <c r="P160" s="10">
        <f t="shared" si="27"/>
        <v>0.33523211057711316</v>
      </c>
      <c r="V160" s="10">
        <f t="shared" si="29"/>
        <v>3.5692799339445733E-2</v>
      </c>
      <c r="W160" s="13">
        <f t="shared" si="22"/>
        <v>21.533260163876928</v>
      </c>
      <c r="Z160" s="15">
        <f t="shared" si="28"/>
        <v>27.241997741965001</v>
      </c>
    </row>
    <row r="161" spans="1:26">
      <c r="A161" s="84">
        <f>'Q.6 Rand()'!V159</f>
        <v>2</v>
      </c>
      <c r="B161" s="141">
        <f>'Q.6 Rand()'!W159</f>
        <v>42</v>
      </c>
      <c r="D161" s="23"/>
      <c r="E161" s="24"/>
      <c r="F161" s="22">
        <f t="shared" si="20"/>
        <v>-1.4390243902439033</v>
      </c>
      <c r="G161" s="22">
        <f t="shared" si="23"/>
        <v>7.0193867208672103</v>
      </c>
      <c r="H161" s="18">
        <f t="shared" si="24"/>
        <v>-10.101068695882089</v>
      </c>
      <c r="I161" s="18">
        <f t="shared" si="25"/>
        <v>2.0707911957168377</v>
      </c>
      <c r="J161" s="24"/>
      <c r="K161" s="24"/>
      <c r="L161" s="19">
        <f t="shared" si="26"/>
        <v>42.091867031067757</v>
      </c>
      <c r="O161" s="9">
        <f t="shared" si="21"/>
        <v>-9.1867031067756955E-2</v>
      </c>
      <c r="P161" s="10">
        <f t="shared" si="27"/>
        <v>8.4395513972042209E-3</v>
      </c>
      <c r="V161" s="10">
        <f t="shared" si="29"/>
        <v>1.4402794114878612E-2</v>
      </c>
      <c r="W161" s="13">
        <f t="shared" si="22"/>
        <v>50.569929924409145</v>
      </c>
      <c r="Z161" s="15">
        <f t="shared" si="28"/>
        <v>49.271789937086929</v>
      </c>
    </row>
    <row r="162" spans="1:26">
      <c r="A162" s="84">
        <f>'Q.6 Rand()'!V160</f>
        <v>2.5</v>
      </c>
      <c r="B162" s="141">
        <f>'Q.6 Rand()'!W160</f>
        <v>39.200000000000003</v>
      </c>
      <c r="D162" s="23"/>
      <c r="E162" s="24"/>
      <c r="F162" s="22">
        <f t="shared" si="20"/>
        <v>-0.93902439024390327</v>
      </c>
      <c r="G162" s="22">
        <f t="shared" si="23"/>
        <v>4.2193867208672131</v>
      </c>
      <c r="H162" s="18">
        <f t="shared" si="24"/>
        <v>-3.9621070427655574</v>
      </c>
      <c r="I162" s="18">
        <f t="shared" si="25"/>
        <v>0.88176680547293429</v>
      </c>
      <c r="J162" s="24"/>
      <c r="K162" s="24"/>
      <c r="L162" s="19">
        <f t="shared" si="26"/>
        <v>39.621007676581883</v>
      </c>
      <c r="O162" s="9">
        <f t="shared" si="21"/>
        <v>-0.42100767658187976</v>
      </c>
      <c r="P162" s="10">
        <f t="shared" si="27"/>
        <v>0.17724746374087266</v>
      </c>
      <c r="V162" s="10">
        <f t="shared" si="29"/>
        <v>2.1873102635180225E-3</v>
      </c>
      <c r="W162" s="13">
        <f t="shared" si="22"/>
        <v>21.533260163876928</v>
      </c>
      <c r="Z162" s="15">
        <f t="shared" si="28"/>
        <v>17.803224300230575</v>
      </c>
    </row>
    <row r="163" spans="1:26">
      <c r="A163" s="84">
        <f>'Q.6 Rand()'!V161</f>
        <v>3.7</v>
      </c>
      <c r="B163" s="141">
        <f>'Q.6 Rand()'!W161</f>
        <v>30.5</v>
      </c>
      <c r="D163" s="23"/>
      <c r="E163" s="24"/>
      <c r="F163" s="22">
        <f t="shared" si="20"/>
        <v>0.2609756097560969</v>
      </c>
      <c r="G163" s="22">
        <f t="shared" si="23"/>
        <v>-4.4806132791327897</v>
      </c>
      <c r="H163" s="18">
        <f t="shared" si="24"/>
        <v>-1.1693307826029447</v>
      </c>
      <c r="I163" s="18">
        <f t="shared" si="25"/>
        <v>6.8108268887566575E-2</v>
      </c>
      <c r="J163" s="24"/>
      <c r="K163" s="24"/>
      <c r="L163" s="19">
        <f t="shared" si="26"/>
        <v>33.690945225815774</v>
      </c>
      <c r="O163" s="9">
        <f t="shared" si="21"/>
        <v>-3.1909452258157742</v>
      </c>
      <c r="P163" s="10">
        <f t="shared" si="27"/>
        <v>10.182131434156481</v>
      </c>
      <c r="V163" s="10">
        <f t="shared" si="29"/>
        <v>1.0739991749537749E-2</v>
      </c>
      <c r="W163" s="13">
        <f t="shared" si="22"/>
        <v>1.6632436877465004</v>
      </c>
      <c r="Z163" s="15">
        <f t="shared" si="28"/>
        <v>20.075895357141089</v>
      </c>
    </row>
    <row r="164" spans="1:26">
      <c r="A164" s="84">
        <f>'Q.6 Rand()'!V162</f>
        <v>3</v>
      </c>
      <c r="B164" s="141">
        <f>'Q.6 Rand()'!W162</f>
        <v>35.708100000000002</v>
      </c>
      <c r="D164" s="23"/>
      <c r="E164" s="24"/>
      <c r="F164" s="22">
        <f t="shared" si="20"/>
        <v>-0.43902439024390327</v>
      </c>
      <c r="G164" s="22">
        <f t="shared" si="23"/>
        <v>0.727486720867212</v>
      </c>
      <c r="H164" s="18">
        <f t="shared" si="24"/>
        <v>-0.31938441403926443</v>
      </c>
      <c r="I164" s="18">
        <f t="shared" si="25"/>
        <v>0.19274241522903107</v>
      </c>
      <c r="J164" s="24"/>
      <c r="K164" s="24"/>
      <c r="L164" s="19">
        <f t="shared" si="26"/>
        <v>37.150148322096001</v>
      </c>
      <c r="O164" s="9">
        <f t="shared" si="21"/>
        <v>-1.4420483220959994</v>
      </c>
      <c r="P164" s="10">
        <f t="shared" si="27"/>
        <v>2.0795033632598874</v>
      </c>
      <c r="V164" s="10">
        <f t="shared" si="29"/>
        <v>0.10462115494477948</v>
      </c>
      <c r="W164" s="13">
        <f t="shared" si="22"/>
        <v>4.7068823026453837</v>
      </c>
      <c r="Z164" s="15">
        <f t="shared" si="28"/>
        <v>0.5292369290381288</v>
      </c>
    </row>
    <row r="165" spans="1:26">
      <c r="A165" s="84">
        <f>'Q.6 Rand()'!V163</f>
        <v>3.7</v>
      </c>
      <c r="B165" s="141">
        <f>'Q.6 Rand()'!W163</f>
        <v>34.730499999999999</v>
      </c>
      <c r="D165" s="23"/>
      <c r="E165" s="24"/>
      <c r="F165" s="22">
        <f t="shared" si="20"/>
        <v>0.2609756097560969</v>
      </c>
      <c r="G165" s="22">
        <f t="shared" si="23"/>
        <v>-0.25011327913279047</v>
      </c>
      <c r="H165" s="18">
        <f t="shared" si="24"/>
        <v>-6.5273465529776864E-2</v>
      </c>
      <c r="I165" s="18">
        <f t="shared" si="25"/>
        <v>6.8108268887566575E-2</v>
      </c>
      <c r="J165" s="24"/>
      <c r="K165" s="24"/>
      <c r="L165" s="19">
        <f t="shared" si="26"/>
        <v>33.690945225815774</v>
      </c>
      <c r="O165" s="9">
        <f t="shared" si="21"/>
        <v>1.039554774184225</v>
      </c>
      <c r="P165" s="10">
        <f t="shared" si="27"/>
        <v>1.0806741285292152</v>
      </c>
      <c r="V165" s="10">
        <f t="shared" si="29"/>
        <v>4.0384347587690168E-2</v>
      </c>
      <c r="W165" s="13">
        <f t="shared" si="22"/>
        <v>1.6632436877465004</v>
      </c>
      <c r="Z165" s="15">
        <f t="shared" si="28"/>
        <v>6.2556652398557164E-2</v>
      </c>
    </row>
    <row r="166" spans="1:26">
      <c r="A166" s="84">
        <f>'Q.6 Rand()'!V164</f>
        <v>2.5</v>
      </c>
      <c r="B166" s="141">
        <f>'Q.6 Rand()'!W164</f>
        <v>31.8</v>
      </c>
      <c r="D166" s="23"/>
      <c r="E166" s="24"/>
      <c r="F166" s="22">
        <f t="shared" si="20"/>
        <v>-0.93902439024390327</v>
      </c>
      <c r="G166" s="22">
        <f t="shared" si="23"/>
        <v>-3.180613279132789</v>
      </c>
      <c r="H166" s="18">
        <f t="shared" si="24"/>
        <v>2.9866734450393291</v>
      </c>
      <c r="I166" s="18">
        <f t="shared" si="25"/>
        <v>0.88176680547293429</v>
      </c>
      <c r="J166" s="24"/>
      <c r="K166" s="24"/>
      <c r="L166" s="19">
        <f t="shared" si="26"/>
        <v>39.621007676581883</v>
      </c>
      <c r="O166" s="9">
        <f t="shared" si="21"/>
        <v>-7.8210076765818819</v>
      </c>
      <c r="P166" s="10">
        <f t="shared" si="27"/>
        <v>61.168161077152725</v>
      </c>
      <c r="V166" s="10">
        <f t="shared" si="29"/>
        <v>2.9932041697764936E-2</v>
      </c>
      <c r="W166" s="13">
        <f t="shared" si="22"/>
        <v>21.533260163876928</v>
      </c>
      <c r="Z166" s="15">
        <f t="shared" si="28"/>
        <v>10.116300831395833</v>
      </c>
    </row>
    <row r="167" spans="1:26">
      <c r="A167" s="84">
        <f>'Q.6 Rand()'!V165</f>
        <v>5.3</v>
      </c>
      <c r="B167" s="141">
        <f>'Q.6 Rand()'!W165</f>
        <v>22.9</v>
      </c>
      <c r="D167" s="23"/>
      <c r="E167" s="24"/>
      <c r="F167" s="22">
        <f t="shared" si="20"/>
        <v>1.8609756097560965</v>
      </c>
      <c r="G167" s="22">
        <f t="shared" si="23"/>
        <v>-12.080613279132791</v>
      </c>
      <c r="H167" s="18">
        <f t="shared" si="24"/>
        <v>-22.481726663361744</v>
      </c>
      <c r="I167" s="18">
        <f t="shared" si="25"/>
        <v>3.4632302201070755</v>
      </c>
      <c r="J167" s="24"/>
      <c r="K167" s="24"/>
      <c r="L167" s="19">
        <f t="shared" si="26"/>
        <v>25.784195291460968</v>
      </c>
      <c r="O167" s="9">
        <f t="shared" si="21"/>
        <v>-2.8841952914609692</v>
      </c>
      <c r="P167" s="10">
        <f t="shared" si="27"/>
        <v>8.3185824792856256</v>
      </c>
      <c r="V167" s="10">
        <f t="shared" si="29"/>
        <v>0.24594363762836105</v>
      </c>
      <c r="W167" s="13">
        <f t="shared" si="22"/>
        <v>84.574103803973841</v>
      </c>
      <c r="Z167" s="15">
        <f t="shared" si="28"/>
        <v>145.94121719995954</v>
      </c>
    </row>
    <row r="168" spans="1:26">
      <c r="A168" s="84">
        <f>'Q.6 Rand()'!V166</f>
        <v>5.5</v>
      </c>
      <c r="B168" s="141">
        <f>'Q.6 Rand()'!W166</f>
        <v>29.3</v>
      </c>
      <c r="D168" s="23"/>
      <c r="E168" s="24"/>
      <c r="F168" s="22">
        <f t="shared" si="20"/>
        <v>2.0609756097560967</v>
      </c>
      <c r="G168" s="22">
        <f t="shared" si="23"/>
        <v>-5.680613279132789</v>
      </c>
      <c r="H168" s="18">
        <f t="shared" si="24"/>
        <v>-11.70760541674928</v>
      </c>
      <c r="I168" s="18">
        <f t="shared" si="25"/>
        <v>4.2476204640095148</v>
      </c>
      <c r="J168" s="24"/>
      <c r="K168" s="24"/>
      <c r="L168" s="19">
        <f t="shared" si="26"/>
        <v>24.795851549666615</v>
      </c>
      <c r="O168" s="9">
        <f t="shared" si="21"/>
        <v>4.5041484503333855</v>
      </c>
      <c r="P168" s="10">
        <f t="shared" si="27"/>
        <v>20.287353262640639</v>
      </c>
      <c r="V168" s="10">
        <f t="shared" si="29"/>
        <v>0.12594739264021701</v>
      </c>
      <c r="W168" s="13">
        <f t="shared" si="22"/>
        <v>103.72937148599883</v>
      </c>
      <c r="Z168" s="15">
        <f t="shared" si="28"/>
        <v>32.269367227059774</v>
      </c>
    </row>
    <row r="169" spans="1:26">
      <c r="A169" s="84">
        <f>'Q.6 Rand()'!V167</f>
        <v>3</v>
      </c>
      <c r="B169" s="141">
        <f>'Q.6 Rand()'!W167</f>
        <v>37.9</v>
      </c>
      <c r="D169" s="23"/>
      <c r="E169" s="24"/>
      <c r="F169" s="22">
        <f t="shared" si="20"/>
        <v>-0.43902439024390327</v>
      </c>
      <c r="G169" s="22">
        <f t="shared" si="23"/>
        <v>2.9193867208672089</v>
      </c>
      <c r="H169" s="18">
        <f t="shared" si="24"/>
        <v>-1.2816819750148747</v>
      </c>
      <c r="I169" s="18">
        <f t="shared" si="25"/>
        <v>0.19274241522903107</v>
      </c>
      <c r="J169" s="24"/>
      <c r="K169" s="24"/>
      <c r="L169" s="19">
        <f t="shared" si="26"/>
        <v>37.150148322096001</v>
      </c>
      <c r="O169" s="9">
        <f t="shared" si="21"/>
        <v>0.74985167790399743</v>
      </c>
      <c r="P169" s="10">
        <f t="shared" si="27"/>
        <v>0.5622775388554403</v>
      </c>
      <c r="V169" s="10">
        <f t="shared" si="29"/>
        <v>0.15372520308305071</v>
      </c>
      <c r="W169" s="13">
        <f t="shared" si="22"/>
        <v>4.7068823026453837</v>
      </c>
      <c r="Z169" s="15">
        <f t="shared" si="28"/>
        <v>8.5228188259757935</v>
      </c>
    </row>
    <row r="170" spans="1:26">
      <c r="A170" s="84">
        <f>'Q.6 Rand()'!V168</f>
        <v>3.6</v>
      </c>
      <c r="B170" s="141">
        <f>'Q.6 Rand()'!W168</f>
        <v>26.1066</v>
      </c>
      <c r="D170" s="23"/>
      <c r="E170" s="24"/>
      <c r="F170" s="22">
        <f t="shared" si="20"/>
        <v>0.16097560975609682</v>
      </c>
      <c r="G170" s="22">
        <f t="shared" si="23"/>
        <v>-8.8740132791327895</v>
      </c>
      <c r="H170" s="18">
        <f t="shared" si="24"/>
        <v>-1.428499698592101</v>
      </c>
      <c r="I170" s="18">
        <f t="shared" si="25"/>
        <v>2.5913146936347171E-2</v>
      </c>
      <c r="J170" s="24"/>
      <c r="K170" s="24"/>
      <c r="L170" s="19">
        <f t="shared" si="26"/>
        <v>34.185117096712951</v>
      </c>
      <c r="O170" s="9">
        <f t="shared" si="21"/>
        <v>-8.0785170967129503</v>
      </c>
      <c r="P170" s="10">
        <f t="shared" si="27"/>
        <v>65.262438481883436</v>
      </c>
      <c r="V170" s="10">
        <f t="shared" si="29"/>
        <v>1.9785004694036872E-2</v>
      </c>
      <c r="W170" s="13">
        <f t="shared" si="22"/>
        <v>0.63281417624453806</v>
      </c>
      <c r="Z170" s="15">
        <f t="shared" si="28"/>
        <v>78.748111678225087</v>
      </c>
    </row>
    <row r="171" spans="1:26">
      <c r="A171" s="84">
        <f>'Q.6 Rand()'!V169</f>
        <v>2</v>
      </c>
      <c r="B171" s="141">
        <f>'Q.6 Rand()'!W169</f>
        <v>37.5</v>
      </c>
      <c r="D171" s="23"/>
      <c r="E171" s="24"/>
      <c r="F171" s="22">
        <f t="shared" si="20"/>
        <v>-1.4390243902439033</v>
      </c>
      <c r="G171" s="22">
        <f t="shared" si="23"/>
        <v>2.5193867208672103</v>
      </c>
      <c r="H171" s="18">
        <f t="shared" si="24"/>
        <v>-3.625458939784524</v>
      </c>
      <c r="I171" s="18">
        <f t="shared" si="25"/>
        <v>2.0707911957168377</v>
      </c>
      <c r="J171" s="24"/>
      <c r="K171" s="24"/>
      <c r="L171" s="19">
        <f t="shared" si="26"/>
        <v>42.091867031067757</v>
      </c>
      <c r="O171" s="9">
        <f t="shared" si="21"/>
        <v>-4.591867031067757</v>
      </c>
      <c r="P171" s="10">
        <f t="shared" si="27"/>
        <v>21.085242831007015</v>
      </c>
      <c r="V171" s="10">
        <f t="shared" si="29"/>
        <v>0.30944347776857001</v>
      </c>
      <c r="W171" s="13">
        <f t="shared" si="22"/>
        <v>50.569929924409145</v>
      </c>
      <c r="Z171" s="15">
        <f t="shared" si="28"/>
        <v>6.3473094492820348</v>
      </c>
    </row>
    <row r="172" spans="1:26">
      <c r="A172" s="84">
        <f>'Q.6 Rand()'!V170</f>
        <v>6.7</v>
      </c>
      <c r="B172" s="141">
        <f>'Q.6 Rand()'!W170</f>
        <v>24.2</v>
      </c>
      <c r="D172" s="23"/>
      <c r="E172" s="24"/>
      <c r="F172" s="22">
        <f t="shared" si="20"/>
        <v>3.2609756097560969</v>
      </c>
      <c r="G172" s="22">
        <f t="shared" si="23"/>
        <v>-10.78061327913279</v>
      </c>
      <c r="H172" s="18">
        <f t="shared" si="24"/>
        <v>-35.155316961464727</v>
      </c>
      <c r="I172" s="18">
        <f t="shared" si="25"/>
        <v>10.633961927424147</v>
      </c>
      <c r="J172" s="24"/>
      <c r="K172" s="24"/>
      <c r="L172" s="19">
        <f t="shared" si="26"/>
        <v>18.865789098900507</v>
      </c>
      <c r="O172" s="9">
        <f t="shared" si="21"/>
        <v>5.3342109010994925</v>
      </c>
      <c r="P172" s="10">
        <f t="shared" si="27"/>
        <v>28.45380593740866</v>
      </c>
      <c r="V172" s="10">
        <f t="shared" si="29"/>
        <v>0.12244978749514018</v>
      </c>
      <c r="W172" s="13">
        <f t="shared" si="22"/>
        <v>259.68755835979908</v>
      </c>
      <c r="Z172" s="15">
        <f t="shared" si="28"/>
        <v>116.22162267421426</v>
      </c>
    </row>
    <row r="173" spans="1:26">
      <c r="A173" s="84">
        <f>'Q.6 Rand()'!V171</f>
        <v>3.5</v>
      </c>
      <c r="B173" s="141">
        <f>'Q.6 Rand()'!W171</f>
        <v>33</v>
      </c>
      <c r="D173" s="23"/>
      <c r="E173" s="24"/>
      <c r="F173" s="22">
        <f t="shared" si="20"/>
        <v>6.0975609756096727E-2</v>
      </c>
      <c r="G173" s="22">
        <f t="shared" si="23"/>
        <v>-1.9806132791327897</v>
      </c>
      <c r="H173" s="18">
        <f t="shared" si="24"/>
        <v>-0.12076910238614406</v>
      </c>
      <c r="I173" s="18">
        <f t="shared" si="25"/>
        <v>3.7180249851277982E-3</v>
      </c>
      <c r="J173" s="24"/>
      <c r="K173" s="24"/>
      <c r="L173" s="19">
        <f t="shared" si="26"/>
        <v>34.679288967610127</v>
      </c>
      <c r="O173" s="9">
        <f t="shared" si="21"/>
        <v>-1.6792889676101268</v>
      </c>
      <c r="P173" s="10">
        <f t="shared" si="27"/>
        <v>2.8200114367370857</v>
      </c>
      <c r="V173" s="10">
        <f t="shared" si="29"/>
        <v>0.2204219380619625</v>
      </c>
      <c r="W173" s="13">
        <f t="shared" si="22"/>
        <v>9.0796340714606807E-2</v>
      </c>
      <c r="Z173" s="15">
        <f t="shared" si="28"/>
        <v>3.9228289614771419</v>
      </c>
    </row>
    <row r="174" spans="1:26">
      <c r="A174" s="84">
        <f>'Q.6 Rand()'!V172</f>
        <v>3.6</v>
      </c>
      <c r="B174" s="141">
        <f>'Q.6 Rand()'!W172</f>
        <v>37.200000000000003</v>
      </c>
      <c r="D174" s="23"/>
      <c r="E174" s="24"/>
      <c r="F174" s="22">
        <f t="shared" si="20"/>
        <v>0.16097560975609682</v>
      </c>
      <c r="G174" s="22">
        <f t="shared" si="23"/>
        <v>2.2193867208672131</v>
      </c>
      <c r="H174" s="18">
        <f t="shared" si="24"/>
        <v>0.35726713067618387</v>
      </c>
      <c r="I174" s="18">
        <f t="shared" si="25"/>
        <v>2.5913146936347171E-2</v>
      </c>
      <c r="J174" s="24"/>
      <c r="K174" s="24"/>
      <c r="L174" s="19">
        <f t="shared" si="26"/>
        <v>34.185117096712951</v>
      </c>
      <c r="O174" s="9">
        <f t="shared" si="21"/>
        <v>3.0148829032870523</v>
      </c>
      <c r="P174" s="10">
        <f t="shared" si="27"/>
        <v>9.0895189205325657</v>
      </c>
      <c r="V174" s="10">
        <f t="shared" si="29"/>
        <v>5.0887544473034146E-2</v>
      </c>
      <c r="W174" s="13">
        <f t="shared" si="22"/>
        <v>0.63281417624453806</v>
      </c>
      <c r="Z174" s="15">
        <f t="shared" si="28"/>
        <v>4.9256774167617206</v>
      </c>
    </row>
    <row r="175" spans="1:26">
      <c r="A175" s="84">
        <f>'Q.6 Rand()'!V173</f>
        <v>2</v>
      </c>
      <c r="B175" s="141">
        <f>'Q.6 Rand()'!W173</f>
        <v>38.462699999999998</v>
      </c>
      <c r="D175" s="23"/>
      <c r="E175" s="24"/>
      <c r="F175" s="22">
        <f t="shared" si="20"/>
        <v>-1.4390243902439033</v>
      </c>
      <c r="G175" s="22">
        <f t="shared" si="23"/>
        <v>3.4820867208672084</v>
      </c>
      <c r="H175" s="18">
        <f t="shared" si="24"/>
        <v>-5.0108077202723269</v>
      </c>
      <c r="I175" s="18">
        <f t="shared" si="25"/>
        <v>2.0707911957168377</v>
      </c>
      <c r="J175" s="24"/>
      <c r="K175" s="24"/>
      <c r="L175" s="19">
        <f t="shared" si="26"/>
        <v>42.091867031067757</v>
      </c>
      <c r="O175" s="9">
        <f t="shared" si="21"/>
        <v>-3.6291670310677588</v>
      </c>
      <c r="P175" s="10">
        <f t="shared" si="27"/>
        <v>13.170853339389172</v>
      </c>
      <c r="V175" s="10">
        <f t="shared" si="29"/>
        <v>8.1045239335673439E-2</v>
      </c>
      <c r="W175" s="13">
        <f t="shared" si="22"/>
        <v>50.569929924409145</v>
      </c>
      <c r="Z175" s="15">
        <f t="shared" si="28"/>
        <v>12.124927931639748</v>
      </c>
    </row>
    <row r="176" spans="1:26">
      <c r="A176" s="84">
        <f>'Q.6 Rand()'!V174</f>
        <v>3</v>
      </c>
      <c r="B176" s="141">
        <f>'Q.6 Rand()'!W174</f>
        <v>34.9</v>
      </c>
      <c r="D176" s="23"/>
      <c r="E176" s="24"/>
      <c r="F176" s="22">
        <f t="shared" si="20"/>
        <v>-0.43902439024390327</v>
      </c>
      <c r="G176" s="22">
        <f t="shared" si="23"/>
        <v>-8.0613279132791149E-2</v>
      </c>
      <c r="H176" s="18">
        <f t="shared" si="24"/>
        <v>3.5391195716835203E-2</v>
      </c>
      <c r="I176" s="18">
        <f t="shared" si="25"/>
        <v>0.19274241522903107</v>
      </c>
      <c r="J176" s="24"/>
      <c r="K176" s="24"/>
      <c r="L176" s="19">
        <f t="shared" si="26"/>
        <v>37.150148322096001</v>
      </c>
      <c r="O176" s="9">
        <f t="shared" si="21"/>
        <v>-2.2501483220960026</v>
      </c>
      <c r="P176" s="10">
        <f t="shared" si="27"/>
        <v>5.0631674714314556</v>
      </c>
      <c r="V176" s="10">
        <f t="shared" si="29"/>
        <v>9.4355493271864918E-2</v>
      </c>
      <c r="W176" s="13">
        <f t="shared" si="22"/>
        <v>4.7068823026453837</v>
      </c>
      <c r="Z176" s="15">
        <f t="shared" si="28"/>
        <v>6.4985007725413008E-3</v>
      </c>
    </row>
    <row r="177" spans="1:26">
      <c r="A177" s="84">
        <f>'Q.6 Rand()'!V175</f>
        <v>2.2000000000000002</v>
      </c>
      <c r="B177" s="141">
        <f>'Q.6 Rand()'!W175</f>
        <v>51.9</v>
      </c>
      <c r="D177" s="23"/>
      <c r="E177" s="24"/>
      <c r="F177" s="22">
        <f t="shared" si="20"/>
        <v>-1.2390243902439031</v>
      </c>
      <c r="G177" s="22">
        <f t="shared" si="23"/>
        <v>16.919386720867209</v>
      </c>
      <c r="H177" s="18">
        <f t="shared" si="24"/>
        <v>-20.963532815123283</v>
      </c>
      <c r="I177" s="18">
        <f t="shared" si="25"/>
        <v>1.5351814396192758</v>
      </c>
      <c r="J177" s="24"/>
      <c r="K177" s="24"/>
      <c r="L177" s="19">
        <f t="shared" si="26"/>
        <v>41.103523289273404</v>
      </c>
      <c r="O177" s="9">
        <f t="shared" si="21"/>
        <v>10.796476710726594</v>
      </c>
      <c r="P177" s="10">
        <f t="shared" si="27"/>
        <v>116.56390936526174</v>
      </c>
      <c r="V177" s="10">
        <f t="shared" si="29"/>
        <v>6.4474163956905514E-2</v>
      </c>
      <c r="W177" s="13">
        <f t="shared" si="22"/>
        <v>37.490026992280143</v>
      </c>
      <c r="Z177" s="15">
        <f t="shared" si="28"/>
        <v>286.26564701025762</v>
      </c>
    </row>
    <row r="178" spans="1:26">
      <c r="A178" s="84">
        <f>'Q.6 Rand()'!V176</f>
        <v>3.5</v>
      </c>
      <c r="B178" s="141">
        <f>'Q.6 Rand()'!W176</f>
        <v>38.299999999999997</v>
      </c>
      <c r="D178" s="23"/>
      <c r="E178" s="24"/>
      <c r="F178" s="22">
        <f t="shared" si="20"/>
        <v>6.0975609756096727E-2</v>
      </c>
      <c r="G178" s="22">
        <f t="shared" si="23"/>
        <v>3.3193867208672074</v>
      </c>
      <c r="H178" s="18">
        <f t="shared" si="24"/>
        <v>0.20240162932116842</v>
      </c>
      <c r="I178" s="18">
        <f t="shared" si="25"/>
        <v>3.7180249851277982E-3</v>
      </c>
      <c r="J178" s="24"/>
      <c r="K178" s="24"/>
      <c r="L178" s="19">
        <f t="shared" si="26"/>
        <v>34.679288967610127</v>
      </c>
      <c r="O178" s="9">
        <f t="shared" si="21"/>
        <v>3.6207110323898704</v>
      </c>
      <c r="P178" s="10">
        <f t="shared" si="27"/>
        <v>13.109548380069722</v>
      </c>
      <c r="V178" s="10">
        <f t="shared" si="29"/>
        <v>0.20802459943596521</v>
      </c>
      <c r="W178" s="13">
        <f t="shared" si="22"/>
        <v>9.0796340714606807E-2</v>
      </c>
      <c r="Z178" s="15">
        <f t="shared" si="28"/>
        <v>11.018328202669553</v>
      </c>
    </row>
    <row r="179" spans="1:26">
      <c r="A179" s="84">
        <f>'Q.6 Rand()'!V177</f>
        <v>2.7</v>
      </c>
      <c r="B179" s="141">
        <f>'Q.6 Rand()'!W177</f>
        <v>38.299999999999997</v>
      </c>
      <c r="D179" s="23"/>
      <c r="E179" s="24"/>
      <c r="F179" s="22">
        <f t="shared" si="20"/>
        <v>-0.7390243902439031</v>
      </c>
      <c r="G179" s="22">
        <f t="shared" si="23"/>
        <v>3.3193867208672074</v>
      </c>
      <c r="H179" s="18">
        <f t="shared" si="24"/>
        <v>-2.4531077473725968</v>
      </c>
      <c r="I179" s="18">
        <f t="shared" si="25"/>
        <v>0.54615704937537279</v>
      </c>
      <c r="J179" s="24"/>
      <c r="K179" s="24"/>
      <c r="L179" s="19">
        <f t="shared" si="26"/>
        <v>38.63266393478753</v>
      </c>
      <c r="O179" s="9">
        <f t="shared" si="21"/>
        <v>-0.33266393478753287</v>
      </c>
      <c r="P179" s="10">
        <f t="shared" si="27"/>
        <v>0.11066529350832392</v>
      </c>
      <c r="V179" s="10">
        <f t="shared" si="29"/>
        <v>9.4535536093730305E-2</v>
      </c>
      <c r="W179" s="13">
        <f t="shared" si="22"/>
        <v>13.337473991468219</v>
      </c>
      <c r="Z179" s="15">
        <f t="shared" si="28"/>
        <v>11.018328202669553</v>
      </c>
    </row>
    <row r="180" spans="1:26">
      <c r="A180" s="84">
        <f>'Q.6 Rand()'!V178</f>
        <v>1.5</v>
      </c>
      <c r="B180" s="141">
        <f>'Q.6 Rand()'!W178</f>
        <v>46.2622</v>
      </c>
      <c r="D180" s="23"/>
      <c r="E180" s="24"/>
      <c r="F180" s="22">
        <f t="shared" si="20"/>
        <v>-1.9390243902439033</v>
      </c>
      <c r="G180" s="22">
        <f t="shared" si="23"/>
        <v>11.28158672086721</v>
      </c>
      <c r="H180" s="18">
        <f t="shared" si="24"/>
        <v>-21.87527181241326</v>
      </c>
      <c r="I180" s="18">
        <f t="shared" si="25"/>
        <v>3.7598155859607409</v>
      </c>
      <c r="J180" s="24"/>
      <c r="K180" s="24"/>
      <c r="L180" s="19">
        <f t="shared" si="26"/>
        <v>44.562726385553638</v>
      </c>
      <c r="O180" s="9">
        <f t="shared" si="21"/>
        <v>1.6994736144463616</v>
      </c>
      <c r="P180" s="10">
        <f t="shared" si="27"/>
        <v>2.8882105661993807</v>
      </c>
      <c r="V180" s="10">
        <f t="shared" si="29"/>
        <v>8.6857424226509886E-3</v>
      </c>
      <c r="W180" s="13">
        <f t="shared" si="22"/>
        <v>91.8168915842422</v>
      </c>
      <c r="Z180" s="15">
        <f t="shared" si="28"/>
        <v>127.27419894044738</v>
      </c>
    </row>
    <row r="181" spans="1:26">
      <c r="A181" s="84">
        <f>'Q.6 Rand()'!V179</f>
        <v>5.7</v>
      </c>
      <c r="B181" s="141">
        <f>'Q.6 Rand()'!W179</f>
        <v>24.220600000000001</v>
      </c>
      <c r="D181" s="23"/>
      <c r="E181" s="24"/>
      <c r="F181" s="22">
        <f t="shared" si="20"/>
        <v>2.2609756097560969</v>
      </c>
      <c r="G181" s="22">
        <f t="shared" si="23"/>
        <v>-10.760013279132789</v>
      </c>
      <c r="H181" s="18">
        <f t="shared" si="24"/>
        <v>-24.328127584770957</v>
      </c>
      <c r="I181" s="18">
        <f t="shared" si="25"/>
        <v>5.1120107079119546</v>
      </c>
      <c r="J181" s="24"/>
      <c r="K181" s="24"/>
      <c r="L181" s="19">
        <f t="shared" si="26"/>
        <v>23.807507807872266</v>
      </c>
      <c r="O181" s="9">
        <f t="shared" si="21"/>
        <v>0.41309219212773485</v>
      </c>
      <c r="P181" s="10">
        <f t="shared" si="27"/>
        <v>0.17064515919689741</v>
      </c>
      <c r="V181" s="10">
        <f t="shared" si="29"/>
        <v>3.673568516945501E-2</v>
      </c>
      <c r="W181" s="13">
        <f t="shared" si="22"/>
        <v>124.83828587191185</v>
      </c>
      <c r="Z181" s="15">
        <f t="shared" si="28"/>
        <v>115.77788576711394</v>
      </c>
    </row>
    <row r="182" spans="1:26">
      <c r="A182" s="84">
        <f>'Q.6 Rand()'!V180</f>
        <v>4.5999999999999996</v>
      </c>
      <c r="B182" s="141">
        <f>'Q.6 Rand()'!W180</f>
        <v>28.3</v>
      </c>
      <c r="D182" s="23"/>
      <c r="E182" s="24"/>
      <c r="F182" s="22">
        <f t="shared" si="20"/>
        <v>1.1609756097560964</v>
      </c>
      <c r="G182" s="22">
        <f t="shared" si="23"/>
        <v>-6.680613279132789</v>
      </c>
      <c r="H182" s="18">
        <f t="shared" si="24"/>
        <v>-7.7560290752858645</v>
      </c>
      <c r="I182" s="18">
        <f t="shared" si="25"/>
        <v>1.3478643664485397</v>
      </c>
      <c r="J182" s="24"/>
      <c r="K182" s="24"/>
      <c r="L182" s="19">
        <f t="shared" si="26"/>
        <v>29.243398387741198</v>
      </c>
      <c r="O182" s="9">
        <f t="shared" si="21"/>
        <v>-0.94339838774119755</v>
      </c>
      <c r="P182" s="10">
        <f t="shared" si="27"/>
        <v>0.89000051799269098</v>
      </c>
      <c r="V182" s="10">
        <f t="shared" si="29"/>
        <v>1.7055407055470748E-2</v>
      </c>
      <c r="W182" s="13">
        <f t="shared" si="22"/>
        <v>32.915634710005428</v>
      </c>
      <c r="Z182" s="15">
        <f t="shared" si="28"/>
        <v>44.630593785325352</v>
      </c>
    </row>
    <row r="183" spans="1:26">
      <c r="A183" s="84">
        <f>'Q.6 Rand()'!V181</f>
        <v>3.5</v>
      </c>
      <c r="B183" s="141">
        <f>'Q.6 Rand()'!W181</f>
        <v>31.708200000000001</v>
      </c>
      <c r="D183" s="23"/>
      <c r="E183" s="24"/>
      <c r="F183" s="22">
        <f t="shared" si="20"/>
        <v>6.0975609756096727E-2</v>
      </c>
      <c r="G183" s="22">
        <f t="shared" si="23"/>
        <v>-3.2724132791327882</v>
      </c>
      <c r="H183" s="18">
        <f t="shared" si="24"/>
        <v>-0.19953739506906973</v>
      </c>
      <c r="I183" s="18">
        <f t="shared" si="25"/>
        <v>3.7180249851277982E-3</v>
      </c>
      <c r="J183" s="24"/>
      <c r="K183" s="24"/>
      <c r="L183" s="19">
        <f t="shared" si="26"/>
        <v>34.679288967610127</v>
      </c>
      <c r="O183" s="9">
        <f t="shared" si="21"/>
        <v>-2.9710889676101253</v>
      </c>
      <c r="P183" s="10">
        <f t="shared" si="27"/>
        <v>8.8273696534545998</v>
      </c>
      <c r="V183" s="10">
        <f t="shared" si="29"/>
        <v>3.333563207566069E-2</v>
      </c>
      <c r="W183" s="13">
        <f t="shared" si="22"/>
        <v>9.0796340714606807E-2</v>
      </c>
      <c r="Z183" s="15">
        <f t="shared" si="28"/>
        <v>10.708688669444609</v>
      </c>
    </row>
    <row r="184" spans="1:26">
      <c r="A184" s="84">
        <f>'Q.6 Rand()'!V182</f>
        <v>3.8</v>
      </c>
      <c r="B184" s="141">
        <f>'Q.6 Rand()'!W182</f>
        <v>33.235700000000001</v>
      </c>
      <c r="D184" s="23"/>
      <c r="E184" s="24"/>
      <c r="F184" s="22">
        <f t="shared" si="20"/>
        <v>0.36097560975609655</v>
      </c>
      <c r="G184" s="22">
        <f t="shared" si="23"/>
        <v>-1.7449132791327884</v>
      </c>
      <c r="H184" s="18">
        <f t="shared" si="24"/>
        <v>-0.62987113490646818</v>
      </c>
      <c r="I184" s="18">
        <f t="shared" si="25"/>
        <v>0.1303033908387857</v>
      </c>
      <c r="J184" s="24"/>
      <c r="K184" s="24"/>
      <c r="L184" s="19">
        <f t="shared" si="26"/>
        <v>33.196773354918605</v>
      </c>
      <c r="O184" s="9">
        <f t="shared" si="21"/>
        <v>3.8926645081396316E-2</v>
      </c>
      <c r="P184" s="10">
        <f t="shared" si="27"/>
        <v>1.515283697292996E-3</v>
      </c>
      <c r="V184" s="10">
        <f t="shared" si="29"/>
        <v>9.3700965920806761E-2</v>
      </c>
      <c r="W184" s="13">
        <f t="shared" si="22"/>
        <v>3.1820848752204682</v>
      </c>
      <c r="Z184" s="15">
        <f t="shared" si="28"/>
        <v>3.0447223516939403</v>
      </c>
    </row>
    <row r="185" spans="1:26">
      <c r="A185" s="84">
        <f>'Q.6 Rand()'!V183</f>
        <v>3.7</v>
      </c>
      <c r="B185" s="141">
        <f>'Q.6 Rand()'!W183</f>
        <v>31.6</v>
      </c>
      <c r="D185" s="23"/>
      <c r="E185" s="24"/>
      <c r="F185" s="22">
        <f t="shared" si="20"/>
        <v>0.2609756097560969</v>
      </c>
      <c r="G185" s="22">
        <f t="shared" si="23"/>
        <v>-3.3806132791327883</v>
      </c>
      <c r="H185" s="18">
        <f t="shared" si="24"/>
        <v>-0.88225761187123763</v>
      </c>
      <c r="I185" s="18">
        <f t="shared" si="25"/>
        <v>6.8108268887566575E-2</v>
      </c>
      <c r="J185" s="24"/>
      <c r="K185" s="24"/>
      <c r="L185" s="19">
        <f t="shared" si="26"/>
        <v>33.690945225815774</v>
      </c>
      <c r="O185" s="9">
        <f t="shared" si="21"/>
        <v>-2.0909452258157728</v>
      </c>
      <c r="P185" s="10">
        <f t="shared" si="27"/>
        <v>4.372051937361773</v>
      </c>
      <c r="V185" s="10">
        <f t="shared" si="29"/>
        <v>1.1712298847743937E-3</v>
      </c>
      <c r="W185" s="13">
        <f t="shared" si="22"/>
        <v>1.6632436877465004</v>
      </c>
      <c r="Z185" s="15">
        <f t="shared" si="28"/>
        <v>11.428546143048944</v>
      </c>
    </row>
    <row r="186" spans="1:26">
      <c r="A186" s="84">
        <f>'Q.6 Rand()'!V184</f>
        <v>4</v>
      </c>
      <c r="B186" s="141">
        <f>'Q.6 Rand()'!W184</f>
        <v>25.753499999999999</v>
      </c>
      <c r="D186" s="23"/>
      <c r="E186" s="24"/>
      <c r="F186" s="22">
        <f t="shared" si="20"/>
        <v>0.56097560975609673</v>
      </c>
      <c r="G186" s="22">
        <f t="shared" si="23"/>
        <v>-9.2271132791327908</v>
      </c>
      <c r="H186" s="18">
        <f t="shared" si="24"/>
        <v>-5.1761854980500948</v>
      </c>
      <c r="I186" s="18">
        <f t="shared" si="25"/>
        <v>0.31469363474122453</v>
      </c>
      <c r="J186" s="24"/>
      <c r="K186" s="24"/>
      <c r="L186" s="19">
        <f t="shared" si="26"/>
        <v>32.208429613124252</v>
      </c>
      <c r="O186" s="9">
        <f t="shared" si="21"/>
        <v>-6.4549296131242535</v>
      </c>
      <c r="P186" s="10">
        <f t="shared" si="27"/>
        <v>41.666116310388425</v>
      </c>
      <c r="V186" s="10">
        <f t="shared" si="29"/>
        <v>6.6169152715689003E-2</v>
      </c>
      <c r="W186" s="13">
        <f t="shared" si="22"/>
        <v>7.6850022780845331</v>
      </c>
      <c r="Z186" s="15">
        <f t="shared" si="28"/>
        <v>85.139619465948684</v>
      </c>
    </row>
    <row r="187" spans="1:26">
      <c r="A187" s="84">
        <f>'Q.6 Rand()'!V185</f>
        <v>5.7</v>
      </c>
      <c r="B187" s="141">
        <f>'Q.6 Rand()'!W185</f>
        <v>31.9</v>
      </c>
      <c r="D187" s="23"/>
      <c r="E187" s="24"/>
      <c r="F187" s="22">
        <f t="shared" si="20"/>
        <v>2.2609756097560969</v>
      </c>
      <c r="G187" s="22">
        <f t="shared" si="23"/>
        <v>-3.0806132791327911</v>
      </c>
      <c r="H187" s="18">
        <f t="shared" si="24"/>
        <v>-6.9651914872099914</v>
      </c>
      <c r="I187" s="18">
        <f t="shared" si="25"/>
        <v>5.1120107079119546</v>
      </c>
      <c r="J187" s="24"/>
      <c r="K187" s="24"/>
      <c r="L187" s="19">
        <f t="shared" si="26"/>
        <v>23.807507807872266</v>
      </c>
      <c r="O187" s="9">
        <f t="shared" si="21"/>
        <v>8.0924921921277324</v>
      </c>
      <c r="P187" s="10">
        <f t="shared" si="27"/>
        <v>65.488429879648308</v>
      </c>
      <c r="V187" s="10">
        <f t="shared" si="29"/>
        <v>0.25064281022479484</v>
      </c>
      <c r="W187" s="13">
        <f t="shared" si="22"/>
        <v>124.83828587191185</v>
      </c>
      <c r="Z187" s="15">
        <f t="shared" si="28"/>
        <v>9.4901781755692873</v>
      </c>
    </row>
    <row r="188" spans="1:26">
      <c r="A188" s="84">
        <f>'Q.6 Rand()'!V186</f>
        <v>3.6</v>
      </c>
      <c r="B188" s="141">
        <f>'Q.6 Rand()'!W186</f>
        <v>31.6</v>
      </c>
      <c r="D188" s="23"/>
      <c r="E188" s="24"/>
      <c r="F188" s="22">
        <f t="shared" si="20"/>
        <v>0.16097560975609682</v>
      </c>
      <c r="G188" s="22">
        <f t="shared" si="23"/>
        <v>-3.3806132791327883</v>
      </c>
      <c r="H188" s="18">
        <f t="shared" si="24"/>
        <v>-0.54419628395795849</v>
      </c>
      <c r="I188" s="18">
        <f t="shared" si="25"/>
        <v>2.5913146936347171E-2</v>
      </c>
      <c r="J188" s="24"/>
      <c r="K188" s="24"/>
      <c r="L188" s="19">
        <f t="shared" si="26"/>
        <v>34.185117096712951</v>
      </c>
      <c r="O188" s="9">
        <f t="shared" si="21"/>
        <v>-2.5851170967129491</v>
      </c>
      <c r="P188" s="10">
        <f t="shared" si="27"/>
        <v>6.6828304037175874</v>
      </c>
      <c r="V188" s="10">
        <f t="shared" si="29"/>
        <v>0.25368314081905119</v>
      </c>
      <c r="W188" s="13">
        <f t="shared" si="22"/>
        <v>0.63281417624453806</v>
      </c>
      <c r="Z188" s="15">
        <f t="shared" si="28"/>
        <v>11.428546143048944</v>
      </c>
    </row>
    <row r="189" spans="1:26">
      <c r="A189" s="84">
        <f>'Q.6 Rand()'!V187</f>
        <v>2</v>
      </c>
      <c r="B189" s="141">
        <f>'Q.6 Rand()'!W187</f>
        <v>42.6</v>
      </c>
      <c r="D189" s="23"/>
      <c r="E189" s="24"/>
      <c r="F189" s="22">
        <f t="shared" si="20"/>
        <v>-1.4390243902439033</v>
      </c>
      <c r="G189" s="22">
        <f t="shared" si="23"/>
        <v>7.6193867208672117</v>
      </c>
      <c r="H189" s="18">
        <f t="shared" si="24"/>
        <v>-10.964483330028433</v>
      </c>
      <c r="I189" s="18">
        <f t="shared" si="25"/>
        <v>2.0707911957168377</v>
      </c>
      <c r="J189" s="24"/>
      <c r="K189" s="24"/>
      <c r="L189" s="19">
        <f t="shared" si="26"/>
        <v>42.091867031067757</v>
      </c>
      <c r="O189" s="9">
        <f t="shared" si="21"/>
        <v>0.50813296893224447</v>
      </c>
      <c r="P189" s="10">
        <f t="shared" si="27"/>
        <v>0.2581991141158973</v>
      </c>
      <c r="V189" s="10">
        <f t="shared" si="29"/>
        <v>8.1807503060536357E-2</v>
      </c>
      <c r="W189" s="13">
        <f t="shared" si="22"/>
        <v>50.569929924409145</v>
      </c>
      <c r="Z189" s="15">
        <f t="shared" si="28"/>
        <v>58.055054002127598</v>
      </c>
    </row>
    <row r="190" spans="1:26">
      <c r="A190" s="84">
        <f>'Q.6 Rand()'!V188</f>
        <v>4.8</v>
      </c>
      <c r="B190" s="141">
        <f>'Q.6 Rand()'!W188</f>
        <v>31.374700000000001</v>
      </c>
      <c r="D190" s="23"/>
      <c r="E190" s="24"/>
      <c r="F190" s="22">
        <f t="shared" si="20"/>
        <v>1.3609756097560965</v>
      </c>
      <c r="G190" s="22">
        <f t="shared" si="23"/>
        <v>-3.605913279132789</v>
      </c>
      <c r="H190" s="18">
        <f t="shared" si="24"/>
        <v>-4.9075600237953534</v>
      </c>
      <c r="I190" s="18">
        <f t="shared" si="25"/>
        <v>1.8522546103509787</v>
      </c>
      <c r="J190" s="24"/>
      <c r="K190" s="24"/>
      <c r="L190" s="19">
        <f t="shared" si="26"/>
        <v>28.255054645946846</v>
      </c>
      <c r="O190" s="9">
        <f t="shared" si="21"/>
        <v>3.119645354053155</v>
      </c>
      <c r="P190" s="10">
        <f t="shared" si="27"/>
        <v>9.7321871350654341</v>
      </c>
      <c r="V190" s="10">
        <f t="shared" si="29"/>
        <v>1.1928003965545645E-2</v>
      </c>
      <c r="W190" s="13">
        <f t="shared" si="22"/>
        <v>45.233138928421987</v>
      </c>
      <c r="Z190" s="15">
        <f t="shared" si="28"/>
        <v>13.002610576626184</v>
      </c>
    </row>
    <row r="191" spans="1:26">
      <c r="A191" s="84">
        <f>'Q.6 Rand()'!V189</f>
        <v>5.2</v>
      </c>
      <c r="B191" s="141">
        <f>'Q.6 Rand()'!W189</f>
        <v>24.8</v>
      </c>
      <c r="D191" s="23"/>
      <c r="E191" s="24"/>
      <c r="F191" s="22">
        <f t="shared" si="20"/>
        <v>1.7609756097560969</v>
      </c>
      <c r="G191" s="22">
        <f t="shared" si="23"/>
        <v>-10.180613279132789</v>
      </c>
      <c r="H191" s="18">
        <f t="shared" si="24"/>
        <v>-17.92781167691188</v>
      </c>
      <c r="I191" s="18">
        <f t="shared" si="25"/>
        <v>3.1010350981558572</v>
      </c>
      <c r="J191" s="24"/>
      <c r="K191" s="24"/>
      <c r="L191" s="19">
        <f t="shared" si="26"/>
        <v>26.278367162358141</v>
      </c>
      <c r="O191" s="9">
        <f t="shared" si="21"/>
        <v>-1.4783671623581398</v>
      </c>
      <c r="P191" s="10">
        <f t="shared" si="27"/>
        <v>2.1855694667388583</v>
      </c>
      <c r="V191" s="10">
        <f t="shared" si="29"/>
        <v>9.9431878362284093E-2</v>
      </c>
      <c r="W191" s="13">
        <f t="shared" si="22"/>
        <v>75.72908747691946</v>
      </c>
      <c r="Z191" s="15">
        <f t="shared" si="28"/>
        <v>103.64488673925487</v>
      </c>
    </row>
    <row r="192" spans="1:26">
      <c r="A192" s="84">
        <f>'Q.6 Rand()'!V190</f>
        <v>2.9</v>
      </c>
      <c r="B192" s="141">
        <f>'Q.6 Rand()'!W190</f>
        <v>34.179600000000001</v>
      </c>
      <c r="D192" s="23"/>
      <c r="E192" s="24"/>
      <c r="F192" s="22">
        <f t="shared" si="20"/>
        <v>-0.53902439024390336</v>
      </c>
      <c r="G192" s="22">
        <f t="shared" si="23"/>
        <v>-0.80101327913278908</v>
      </c>
      <c r="H192" s="18">
        <f t="shared" si="24"/>
        <v>0.43176569436182122</v>
      </c>
      <c r="I192" s="18">
        <f t="shared" si="25"/>
        <v>0.29054729327781181</v>
      </c>
      <c r="J192" s="24"/>
      <c r="K192" s="24"/>
      <c r="L192" s="19">
        <f t="shared" si="26"/>
        <v>37.644320192993177</v>
      </c>
      <c r="O192" s="9">
        <f t="shared" si="21"/>
        <v>-3.4647201929931768</v>
      </c>
      <c r="P192" s="10">
        <f t="shared" si="27"/>
        <v>12.004286015734676</v>
      </c>
      <c r="V192" s="10">
        <f t="shared" si="29"/>
        <v>5.9611579127344348E-2</v>
      </c>
      <c r="W192" s="13">
        <f t="shared" si="22"/>
        <v>7.0953345229476312</v>
      </c>
      <c r="Z192" s="15">
        <f t="shared" si="28"/>
        <v>0.64162227334706345</v>
      </c>
    </row>
    <row r="193" spans="1:26">
      <c r="A193" s="84">
        <f>'Q.6 Rand()'!V191</f>
        <v>2.4</v>
      </c>
      <c r="B193" s="141">
        <f>'Q.6 Rand()'!W191</f>
        <v>33.5</v>
      </c>
      <c r="D193" s="23"/>
      <c r="E193" s="24"/>
      <c r="F193" s="22">
        <f t="shared" si="20"/>
        <v>-1.0390243902439034</v>
      </c>
      <c r="G193" s="22">
        <f t="shared" si="23"/>
        <v>-1.4806132791327897</v>
      </c>
      <c r="H193" s="18">
        <f t="shared" si="24"/>
        <v>1.5383933095379732</v>
      </c>
      <c r="I193" s="18">
        <f t="shared" si="25"/>
        <v>1.0795716835217153</v>
      </c>
      <c r="J193" s="24"/>
      <c r="K193" s="24"/>
      <c r="L193" s="19">
        <f t="shared" si="26"/>
        <v>40.115179547479059</v>
      </c>
      <c r="O193" s="9">
        <f t="shared" si="21"/>
        <v>-6.6151795474790589</v>
      </c>
      <c r="P193" s="10">
        <f t="shared" si="27"/>
        <v>43.760600445385244</v>
      </c>
      <c r="V193" s="10">
        <f t="shared" si="29"/>
        <v>0.1013680731486962</v>
      </c>
      <c r="W193" s="13">
        <f t="shared" si="22"/>
        <v>26.36377076403933</v>
      </c>
      <c r="Z193" s="15">
        <f t="shared" si="28"/>
        <v>2.1922156823443522</v>
      </c>
    </row>
    <row r="194" spans="1:26">
      <c r="A194" s="84">
        <f>'Q.6 Rand()'!V192</f>
        <v>2.9</v>
      </c>
      <c r="B194" s="141">
        <f>'Q.6 Rand()'!W192</f>
        <v>34.151400000000002</v>
      </c>
      <c r="D194" s="23"/>
      <c r="E194" s="24"/>
      <c r="F194" s="22">
        <f t="shared" si="20"/>
        <v>-0.53902439024390336</v>
      </c>
      <c r="G194" s="22">
        <f t="shared" si="23"/>
        <v>-0.82921327913278731</v>
      </c>
      <c r="H194" s="18">
        <f t="shared" si="24"/>
        <v>0.44696618216669831</v>
      </c>
      <c r="I194" s="18">
        <f t="shared" si="25"/>
        <v>0.29054729327781181</v>
      </c>
      <c r="J194" s="24"/>
      <c r="K194" s="24"/>
      <c r="L194" s="19">
        <f t="shared" si="26"/>
        <v>37.644320192993177</v>
      </c>
      <c r="O194" s="9">
        <f t="shared" si="21"/>
        <v>-3.492920192993175</v>
      </c>
      <c r="P194" s="10">
        <f t="shared" si="27"/>
        <v>12.200491474619479</v>
      </c>
      <c r="V194" s="10">
        <f t="shared" si="29"/>
        <v>0.19746804619340474</v>
      </c>
      <c r="W194" s="13">
        <f t="shared" si="22"/>
        <v>7.0953345229476312</v>
      </c>
      <c r="Z194" s="15">
        <f t="shared" si="28"/>
        <v>0.68759466229014987</v>
      </c>
    </row>
    <row r="195" spans="1:26">
      <c r="A195" s="84">
        <f>'Q.6 Rand()'!V193</f>
        <v>4.5999999999999996</v>
      </c>
      <c r="B195" s="141">
        <f>'Q.6 Rand()'!W193</f>
        <v>26.229500000000002</v>
      </c>
      <c r="D195" s="23"/>
      <c r="E195" s="24"/>
      <c r="F195" s="22">
        <f t="shared" si="20"/>
        <v>1.1609756097560964</v>
      </c>
      <c r="G195" s="22">
        <f t="shared" si="23"/>
        <v>-8.7511132791327881</v>
      </c>
      <c r="H195" s="18">
        <f t="shared" si="24"/>
        <v>-10.159829075285861</v>
      </c>
      <c r="I195" s="18">
        <f t="shared" si="25"/>
        <v>1.3478643664485397</v>
      </c>
      <c r="J195" s="24"/>
      <c r="K195" s="24"/>
      <c r="L195" s="19">
        <f t="shared" si="26"/>
        <v>29.243398387741198</v>
      </c>
      <c r="O195" s="9">
        <f t="shared" si="21"/>
        <v>-3.0138983877411967</v>
      </c>
      <c r="P195" s="10">
        <f t="shared" si="27"/>
        <v>9.0835834916289855</v>
      </c>
      <c r="V195" s="10">
        <f t="shared" si="29"/>
        <v>0.10227751111208251</v>
      </c>
      <c r="W195" s="13">
        <f t="shared" si="22"/>
        <v>32.915634710005428</v>
      </c>
      <c r="Z195" s="15">
        <f t="shared" si="28"/>
        <v>76.581983624214217</v>
      </c>
    </row>
    <row r="196" spans="1:26">
      <c r="A196" s="84">
        <f>'Q.6 Rand()'!V194</f>
        <v>2</v>
      </c>
      <c r="B196" s="141">
        <f>'Q.6 Rand()'!W194</f>
        <v>43.1</v>
      </c>
      <c r="D196" s="23"/>
      <c r="E196" s="24"/>
      <c r="F196" s="22">
        <f t="shared" si="20"/>
        <v>-1.4390243902439033</v>
      </c>
      <c r="G196" s="22">
        <f t="shared" si="23"/>
        <v>8.1193867208672117</v>
      </c>
      <c r="H196" s="18">
        <f t="shared" si="24"/>
        <v>-11.683995525150385</v>
      </c>
      <c r="I196" s="18">
        <f t="shared" si="25"/>
        <v>2.0707911957168377</v>
      </c>
      <c r="J196" s="24"/>
      <c r="K196" s="24"/>
      <c r="L196" s="19">
        <f t="shared" si="26"/>
        <v>42.091867031067757</v>
      </c>
      <c r="O196" s="9">
        <f t="shared" si="21"/>
        <v>1.0081329689322445</v>
      </c>
      <c r="P196" s="10">
        <f t="shared" si="27"/>
        <v>1.0163320830481417</v>
      </c>
      <c r="V196" s="10">
        <f t="shared" si="29"/>
        <v>0.1149049119404181</v>
      </c>
      <c r="W196" s="13">
        <f t="shared" si="22"/>
        <v>50.569929924409145</v>
      </c>
      <c r="Z196" s="15">
        <f t="shared" si="28"/>
        <v>65.924440722994817</v>
      </c>
    </row>
    <row r="197" spans="1:26">
      <c r="A197" s="84">
        <f>'Q.6 Rand()'!V195</f>
        <v>4.8</v>
      </c>
      <c r="B197" s="141">
        <f>'Q.6 Rand()'!W195</f>
        <v>26.212499999999999</v>
      </c>
      <c r="D197" s="23"/>
      <c r="E197" s="24"/>
      <c r="F197" s="22">
        <f t="shared" ref="F197:F260" si="30">A197-$D$5</f>
        <v>1.3609756097560965</v>
      </c>
      <c r="G197" s="22">
        <f t="shared" si="23"/>
        <v>-8.7681132791327911</v>
      </c>
      <c r="H197" s="18">
        <f t="shared" si="24"/>
        <v>-11.933188316478278</v>
      </c>
      <c r="I197" s="18">
        <f t="shared" si="25"/>
        <v>1.8522546103509787</v>
      </c>
      <c r="J197" s="24"/>
      <c r="K197" s="24"/>
      <c r="L197" s="19">
        <f t="shared" si="26"/>
        <v>28.255054645946846</v>
      </c>
      <c r="O197" s="9">
        <f t="shared" ref="O197:O260" si="31">B197-L197</f>
        <v>-2.0425546459468471</v>
      </c>
      <c r="P197" s="10">
        <f t="shared" si="27"/>
        <v>4.1720294816790497</v>
      </c>
      <c r="V197" s="10">
        <f t="shared" si="29"/>
        <v>2.339055612371797E-2</v>
      </c>
      <c r="W197" s="13">
        <f t="shared" ref="W197:W260" si="32">(L197-$E$5)^2</f>
        <v>45.233138928421987</v>
      </c>
      <c r="Z197" s="15">
        <f t="shared" si="28"/>
        <v>76.879810475704787</v>
      </c>
    </row>
    <row r="198" spans="1:26">
      <c r="A198" s="84">
        <f>'Q.6 Rand()'!V196</f>
        <v>3.8</v>
      </c>
      <c r="B198" s="141">
        <f>'Q.6 Rand()'!W196</f>
        <v>29.0307</v>
      </c>
      <c r="D198" s="23"/>
      <c r="E198" s="24"/>
      <c r="F198" s="22">
        <f t="shared" si="30"/>
        <v>0.36097560975609655</v>
      </c>
      <c r="G198" s="22">
        <f t="shared" ref="G198:G261" si="33">B198-$E$5</f>
        <v>-5.9499132791327902</v>
      </c>
      <c r="H198" s="18">
        <f t="shared" ref="H198:H261" si="34">F198*G198</f>
        <v>-2.1477735739308548</v>
      </c>
      <c r="I198" s="18">
        <f t="shared" ref="I198:I261" si="35">F198^2</f>
        <v>0.1303033908387857</v>
      </c>
      <c r="J198" s="24"/>
      <c r="K198" s="24"/>
      <c r="L198" s="19">
        <f t="shared" ref="L198:L261" si="36">$K$5+$J$5*A198</f>
        <v>33.196773354918605</v>
      </c>
      <c r="O198" s="9">
        <f t="shared" si="31"/>
        <v>-4.1660733549186055</v>
      </c>
      <c r="P198" s="10">
        <f t="shared" ref="P198:P261" si="37">O198^2</f>
        <v>17.356167198562765</v>
      </c>
      <c r="V198" s="10">
        <f t="shared" si="29"/>
        <v>7.7922924022769569E-2</v>
      </c>
      <c r="W198" s="13">
        <f t="shared" si="32"/>
        <v>3.1820848752204682</v>
      </c>
      <c r="Z198" s="15">
        <f t="shared" ref="Z198:Z261" si="38">(B198-$E$5)^2</f>
        <v>35.401468029200714</v>
      </c>
    </row>
    <row r="199" spans="1:26">
      <c r="A199" s="84">
        <f>'Q.6 Rand()'!V197</f>
        <v>2.4</v>
      </c>
      <c r="B199" s="141">
        <f>'Q.6 Rand()'!W197</f>
        <v>47.408099999999997</v>
      </c>
      <c r="D199" s="23"/>
      <c r="E199" s="24"/>
      <c r="F199" s="22">
        <f t="shared" si="30"/>
        <v>-1.0390243902439034</v>
      </c>
      <c r="G199" s="22">
        <f t="shared" si="33"/>
        <v>12.427486720867208</v>
      </c>
      <c r="H199" s="18">
        <f t="shared" si="34"/>
        <v>-12.912461812413257</v>
      </c>
      <c r="I199" s="18">
        <f t="shared" si="35"/>
        <v>1.0795716835217153</v>
      </c>
      <c r="J199" s="24"/>
      <c r="K199" s="24"/>
      <c r="L199" s="19">
        <f t="shared" si="36"/>
        <v>40.115179547479059</v>
      </c>
      <c r="O199" s="9">
        <f t="shared" si="31"/>
        <v>7.2929204525209386</v>
      </c>
      <c r="P199" s="10">
        <f t="shared" si="37"/>
        <v>53.186688726798209</v>
      </c>
      <c r="V199" s="10">
        <f t="shared" ref="V199:V262" si="39">ABS(O198) / B198</f>
        <v>0.14350578370203287</v>
      </c>
      <c r="W199" s="13">
        <f t="shared" si="32"/>
        <v>26.36377076403933</v>
      </c>
      <c r="Z199" s="15">
        <f t="shared" si="38"/>
        <v>154.44242619733078</v>
      </c>
    </row>
    <row r="200" spans="1:26">
      <c r="A200" s="84">
        <f>'Q.6 Rand()'!V198</f>
        <v>3</v>
      </c>
      <c r="B200" s="141">
        <f>'Q.6 Rand()'!W198</f>
        <v>36.1</v>
      </c>
      <c r="D200" s="23"/>
      <c r="E200" s="24"/>
      <c r="F200" s="22">
        <f t="shared" si="30"/>
        <v>-0.43902439024390327</v>
      </c>
      <c r="G200" s="22">
        <f t="shared" si="33"/>
        <v>1.1193867208672117</v>
      </c>
      <c r="H200" s="18">
        <f t="shared" si="34"/>
        <v>-0.49143807257584998</v>
      </c>
      <c r="I200" s="18">
        <f t="shared" si="35"/>
        <v>0.19274241522903107</v>
      </c>
      <c r="J200" s="24"/>
      <c r="K200" s="24"/>
      <c r="L200" s="19">
        <f t="shared" si="36"/>
        <v>37.150148322096001</v>
      </c>
      <c r="O200" s="9">
        <f t="shared" si="31"/>
        <v>-1.0501483220959997</v>
      </c>
      <c r="P200" s="10">
        <f t="shared" si="37"/>
        <v>1.1028114984010435</v>
      </c>
      <c r="V200" s="10">
        <f t="shared" si="39"/>
        <v>0.15383279339439757</v>
      </c>
      <c r="W200" s="13">
        <f t="shared" si="32"/>
        <v>4.7068823026453837</v>
      </c>
      <c r="Z200" s="15">
        <f t="shared" si="38"/>
        <v>1.2530266308538489</v>
      </c>
    </row>
    <row r="201" spans="1:26">
      <c r="A201" s="84">
        <f>'Q.6 Rand()'!V199</f>
        <v>5</v>
      </c>
      <c r="B201" s="141">
        <f>'Q.6 Rand()'!W199</f>
        <v>23.820399999999999</v>
      </c>
      <c r="D201" s="23"/>
      <c r="E201" s="24"/>
      <c r="F201" s="22">
        <f t="shared" si="30"/>
        <v>1.5609756097560967</v>
      </c>
      <c r="G201" s="22">
        <f t="shared" si="33"/>
        <v>-11.16021327913279</v>
      </c>
      <c r="H201" s="18">
        <f t="shared" si="34"/>
        <v>-17.420820728402393</v>
      </c>
      <c r="I201" s="18">
        <f t="shared" si="35"/>
        <v>2.436644854253418</v>
      </c>
      <c r="J201" s="24"/>
      <c r="K201" s="24"/>
      <c r="L201" s="19">
        <f t="shared" si="36"/>
        <v>27.266710904152493</v>
      </c>
      <c r="O201" s="9">
        <f t="shared" si="31"/>
        <v>-3.4463109041524937</v>
      </c>
      <c r="P201" s="10">
        <f t="shared" si="37"/>
        <v>11.877058848080379</v>
      </c>
      <c r="V201" s="10">
        <f t="shared" si="39"/>
        <v>2.9089981221495836E-2</v>
      </c>
      <c r="W201" s="13">
        <f t="shared" si="32"/>
        <v>59.504289850726664</v>
      </c>
      <c r="Z201" s="15">
        <f t="shared" si="38"/>
        <v>124.55036043573187</v>
      </c>
    </row>
    <row r="202" spans="1:26">
      <c r="A202" s="84">
        <f>'Q.6 Rand()'!V200</f>
        <v>3.3</v>
      </c>
      <c r="B202" s="141">
        <f>'Q.6 Rand()'!W200</f>
        <v>36.200000000000003</v>
      </c>
      <c r="D202" s="23"/>
      <c r="E202" s="24"/>
      <c r="F202" s="22">
        <f t="shared" si="30"/>
        <v>-0.13902439024390345</v>
      </c>
      <c r="G202" s="22">
        <f t="shared" si="33"/>
        <v>1.2193867208672131</v>
      </c>
      <c r="H202" s="18">
        <f t="shared" si="34"/>
        <v>-0.16952449534007721</v>
      </c>
      <c r="I202" s="18">
        <f t="shared" si="35"/>
        <v>1.9327781082689156E-2</v>
      </c>
      <c r="J202" s="24"/>
      <c r="K202" s="24"/>
      <c r="L202" s="19">
        <f t="shared" si="36"/>
        <v>35.667632709404479</v>
      </c>
      <c r="O202" s="9">
        <f t="shared" si="31"/>
        <v>0.53236729059552346</v>
      </c>
      <c r="P202" s="10">
        <f t="shared" si="37"/>
        <v>0.28341493209601853</v>
      </c>
      <c r="V202" s="10">
        <f t="shared" si="39"/>
        <v>0.14467896862153842</v>
      </c>
      <c r="W202" s="13">
        <f t="shared" si="32"/>
        <v>0.47199569757083704</v>
      </c>
      <c r="Z202" s="15">
        <f t="shared" si="38"/>
        <v>1.4869039750272948</v>
      </c>
    </row>
    <row r="203" spans="1:26">
      <c r="A203" s="84">
        <f>'Q.6 Rand()'!V201</f>
        <v>2</v>
      </c>
      <c r="B203" s="141">
        <f>'Q.6 Rand()'!W201</f>
        <v>37.1</v>
      </c>
      <c r="D203" s="23"/>
      <c r="E203" s="24"/>
      <c r="F203" s="22">
        <f t="shared" si="30"/>
        <v>-1.4390243902439033</v>
      </c>
      <c r="G203" s="22">
        <f t="shared" si="33"/>
        <v>2.1193867208672117</v>
      </c>
      <c r="H203" s="18">
        <f t="shared" si="34"/>
        <v>-3.0498491836869648</v>
      </c>
      <c r="I203" s="18">
        <f t="shared" si="35"/>
        <v>2.0707911957168377</v>
      </c>
      <c r="J203" s="24"/>
      <c r="K203" s="24"/>
      <c r="L203" s="19">
        <f t="shared" si="36"/>
        <v>42.091867031067757</v>
      </c>
      <c r="O203" s="9">
        <f t="shared" si="31"/>
        <v>-4.9918670310677555</v>
      </c>
      <c r="P203" s="10">
        <f t="shared" si="37"/>
        <v>24.918736455861207</v>
      </c>
      <c r="V203" s="10">
        <f t="shared" si="39"/>
        <v>1.4706278745732691E-2</v>
      </c>
      <c r="W203" s="13">
        <f t="shared" si="32"/>
        <v>50.569929924409145</v>
      </c>
      <c r="Z203" s="15">
        <f t="shared" si="38"/>
        <v>4.4918000725882719</v>
      </c>
    </row>
    <row r="204" spans="1:26">
      <c r="A204" s="84">
        <f>'Q.6 Rand()'!V202</f>
        <v>3.8</v>
      </c>
      <c r="B204" s="141">
        <f>'Q.6 Rand()'!W202</f>
        <v>26.9</v>
      </c>
      <c r="D204" s="23"/>
      <c r="E204" s="24"/>
      <c r="F204" s="22">
        <f t="shared" si="30"/>
        <v>0.36097560975609655</v>
      </c>
      <c r="G204" s="22">
        <f t="shared" si="33"/>
        <v>-8.0806132791327911</v>
      </c>
      <c r="H204" s="18">
        <f t="shared" si="34"/>
        <v>-2.91690430563817</v>
      </c>
      <c r="I204" s="18">
        <f t="shared" si="35"/>
        <v>0.1303033908387857</v>
      </c>
      <c r="J204" s="24"/>
      <c r="K204" s="24"/>
      <c r="L204" s="19">
        <f t="shared" si="36"/>
        <v>33.196773354918605</v>
      </c>
      <c r="O204" s="9">
        <f t="shared" si="31"/>
        <v>-6.2967733549186065</v>
      </c>
      <c r="P204" s="10">
        <f t="shared" si="37"/>
        <v>39.64935468321292</v>
      </c>
      <c r="V204" s="10">
        <f t="shared" si="39"/>
        <v>0.13455167199643545</v>
      </c>
      <c r="W204" s="13">
        <f t="shared" si="32"/>
        <v>3.1820848752204682</v>
      </c>
      <c r="Z204" s="15">
        <f t="shared" si="38"/>
        <v>65.296310966897195</v>
      </c>
    </row>
    <row r="205" spans="1:26">
      <c r="A205" s="84">
        <f>'Q.6 Rand()'!V203</f>
        <v>1.6</v>
      </c>
      <c r="B205" s="141">
        <f>'Q.6 Rand()'!W203</f>
        <v>47.9</v>
      </c>
      <c r="D205" s="23"/>
      <c r="E205" s="24"/>
      <c r="F205" s="22">
        <f t="shared" si="30"/>
        <v>-1.8390243902439032</v>
      </c>
      <c r="G205" s="22">
        <f t="shared" si="33"/>
        <v>12.919386720867209</v>
      </c>
      <c r="H205" s="18">
        <f t="shared" si="34"/>
        <v>-23.759067286667999</v>
      </c>
      <c r="I205" s="18">
        <f t="shared" si="35"/>
        <v>3.3820107079119599</v>
      </c>
      <c r="J205" s="24"/>
      <c r="K205" s="24"/>
      <c r="L205" s="19">
        <f t="shared" si="36"/>
        <v>44.068554514656462</v>
      </c>
      <c r="O205" s="9">
        <f t="shared" si="31"/>
        <v>3.8314454853435365</v>
      </c>
      <c r="P205" s="10">
        <f t="shared" si="37"/>
        <v>14.679974507159368</v>
      </c>
      <c r="V205" s="10">
        <f t="shared" si="39"/>
        <v>0.23408079386314523</v>
      </c>
      <c r="W205" s="13">
        <f t="shared" si="32"/>
        <v>82.590675900331533</v>
      </c>
      <c r="Z205" s="15">
        <f t="shared" si="38"/>
        <v>166.91055324331998</v>
      </c>
    </row>
    <row r="206" spans="1:26">
      <c r="A206" s="84">
        <f>'Q.6 Rand()'!V204</f>
        <v>3</v>
      </c>
      <c r="B206" s="141">
        <f>'Q.6 Rand()'!W204</f>
        <v>35.465499999999999</v>
      </c>
      <c r="D206" s="23"/>
      <c r="E206" s="24"/>
      <c r="F206" s="22">
        <f t="shared" si="30"/>
        <v>-0.43902439024390327</v>
      </c>
      <c r="G206" s="22">
        <f t="shared" si="33"/>
        <v>0.48488672086720896</v>
      </c>
      <c r="H206" s="18">
        <f t="shared" si="34"/>
        <v>-0.21287709696609214</v>
      </c>
      <c r="I206" s="18">
        <f t="shared" si="35"/>
        <v>0.19274241522903107</v>
      </c>
      <c r="J206" s="24"/>
      <c r="K206" s="24"/>
      <c r="L206" s="19">
        <f t="shared" si="36"/>
        <v>37.150148322096001</v>
      </c>
      <c r="O206" s="9">
        <f t="shared" si="31"/>
        <v>-1.6846483220960025</v>
      </c>
      <c r="P206" s="10">
        <f t="shared" si="37"/>
        <v>2.8380399691408766</v>
      </c>
      <c r="V206" s="10">
        <f t="shared" si="39"/>
        <v>7.9988423493602009E-2</v>
      </c>
      <c r="W206" s="13">
        <f t="shared" si="32"/>
        <v>4.7068823026453837</v>
      </c>
      <c r="Z206" s="15">
        <f t="shared" si="38"/>
        <v>0.23511513207335463</v>
      </c>
    </row>
    <row r="207" spans="1:26">
      <c r="A207" s="84">
        <f>'Q.6 Rand()'!V205</f>
        <v>3</v>
      </c>
      <c r="B207" s="141">
        <f>'Q.6 Rand()'!W205</f>
        <v>34.4</v>
      </c>
      <c r="D207" s="23"/>
      <c r="E207" s="24"/>
      <c r="F207" s="22">
        <f t="shared" si="30"/>
        <v>-0.43902439024390327</v>
      </c>
      <c r="G207" s="22">
        <f t="shared" si="33"/>
        <v>-0.58061327913279115</v>
      </c>
      <c r="H207" s="18">
        <f t="shared" si="34"/>
        <v>0.25490339083878683</v>
      </c>
      <c r="I207" s="18">
        <f t="shared" si="35"/>
        <v>0.19274241522903107</v>
      </c>
      <c r="J207" s="24"/>
      <c r="K207" s="24"/>
      <c r="L207" s="19">
        <f t="shared" si="36"/>
        <v>37.150148322096001</v>
      </c>
      <c r="O207" s="9">
        <f t="shared" si="31"/>
        <v>-2.7501483220960026</v>
      </c>
      <c r="P207" s="10">
        <f t="shared" si="37"/>
        <v>7.5633157935274582</v>
      </c>
      <c r="V207" s="10">
        <f t="shared" si="39"/>
        <v>4.7501045300249609E-2</v>
      </c>
      <c r="W207" s="13">
        <f t="shared" si="32"/>
        <v>4.7068823026453837</v>
      </c>
      <c r="Z207" s="15">
        <f t="shared" si="38"/>
        <v>0.33711177990533248</v>
      </c>
    </row>
    <row r="208" spans="1:26">
      <c r="A208" s="84">
        <f>'Q.6 Rand()'!V206</f>
        <v>2.5</v>
      </c>
      <c r="B208" s="141">
        <f>'Q.6 Rand()'!W206</f>
        <v>30.2</v>
      </c>
      <c r="D208" s="23"/>
      <c r="E208" s="24"/>
      <c r="F208" s="22">
        <f t="shared" si="30"/>
        <v>-0.93902439024390327</v>
      </c>
      <c r="G208" s="22">
        <f t="shared" si="33"/>
        <v>-4.7806132791327904</v>
      </c>
      <c r="H208" s="18">
        <f t="shared" si="34"/>
        <v>4.4891124694295756</v>
      </c>
      <c r="I208" s="18">
        <f t="shared" si="35"/>
        <v>0.88176680547293429</v>
      </c>
      <c r="J208" s="24"/>
      <c r="K208" s="24"/>
      <c r="L208" s="19">
        <f t="shared" si="36"/>
        <v>39.621007676581883</v>
      </c>
      <c r="O208" s="9">
        <f t="shared" si="31"/>
        <v>-9.4210076765818833</v>
      </c>
      <c r="P208" s="10">
        <f t="shared" si="37"/>
        <v>88.755385642214776</v>
      </c>
      <c r="V208" s="10">
        <f t="shared" si="39"/>
        <v>7.9946172153953568E-2</v>
      </c>
      <c r="W208" s="13">
        <f t="shared" si="32"/>
        <v>21.533260163876928</v>
      </c>
      <c r="Z208" s="15">
        <f t="shared" si="38"/>
        <v>22.854263324620771</v>
      </c>
    </row>
    <row r="209" spans="1:26">
      <c r="A209" s="84">
        <f>'Q.6 Rand()'!V207</f>
        <v>3.5</v>
      </c>
      <c r="B209" s="141">
        <f>'Q.6 Rand()'!W207</f>
        <v>30.549900000000001</v>
      </c>
      <c r="D209" s="23"/>
      <c r="E209" s="24"/>
      <c r="F209" s="22">
        <f t="shared" si="30"/>
        <v>6.0975609756096727E-2</v>
      </c>
      <c r="G209" s="22">
        <f t="shared" si="33"/>
        <v>-4.4307132791327888</v>
      </c>
      <c r="H209" s="18">
        <f t="shared" si="34"/>
        <v>-0.2701654438495566</v>
      </c>
      <c r="I209" s="18">
        <f t="shared" si="35"/>
        <v>3.7180249851277982E-3</v>
      </c>
      <c r="J209" s="24"/>
      <c r="K209" s="24"/>
      <c r="L209" s="19">
        <f t="shared" si="36"/>
        <v>34.679288967610127</v>
      </c>
      <c r="O209" s="9">
        <f t="shared" si="31"/>
        <v>-4.1293889676101259</v>
      </c>
      <c r="P209" s="10">
        <f t="shared" si="37"/>
        <v>17.051853245820222</v>
      </c>
      <c r="V209" s="10">
        <f t="shared" si="39"/>
        <v>0.31195389657555905</v>
      </c>
      <c r="W209" s="13">
        <f t="shared" si="32"/>
        <v>9.0796340714606807E-2</v>
      </c>
      <c r="Z209" s="15">
        <f t="shared" si="38"/>
        <v>19.631220161883629</v>
      </c>
    </row>
    <row r="210" spans="1:26">
      <c r="A210" s="84">
        <f>'Q.6 Rand()'!V208</f>
        <v>5</v>
      </c>
      <c r="B210" s="141">
        <f>'Q.6 Rand()'!W208</f>
        <v>23.574300000000001</v>
      </c>
      <c r="D210" s="23"/>
      <c r="E210" s="24"/>
      <c r="F210" s="22">
        <f t="shared" si="30"/>
        <v>1.5609756097560967</v>
      </c>
      <c r="G210" s="22">
        <f t="shared" si="33"/>
        <v>-11.406313279132789</v>
      </c>
      <c r="H210" s="18">
        <f t="shared" si="34"/>
        <v>-17.804976825963369</v>
      </c>
      <c r="I210" s="18">
        <f t="shared" si="35"/>
        <v>2.436644854253418</v>
      </c>
      <c r="J210" s="24"/>
      <c r="K210" s="24"/>
      <c r="L210" s="19">
        <f t="shared" si="36"/>
        <v>27.266710904152493</v>
      </c>
      <c r="O210" s="9">
        <f t="shared" si="31"/>
        <v>-3.6924109041524922</v>
      </c>
      <c r="P210" s="10">
        <f t="shared" si="37"/>
        <v>13.633898285104225</v>
      </c>
      <c r="V210" s="10">
        <f t="shared" si="39"/>
        <v>0.13516865742965201</v>
      </c>
      <c r="W210" s="13">
        <f t="shared" si="32"/>
        <v>59.504289850726664</v>
      </c>
      <c r="Z210" s="15">
        <f t="shared" si="38"/>
        <v>130.103982621721</v>
      </c>
    </row>
    <row r="211" spans="1:26">
      <c r="A211" s="84">
        <f>'Q.6 Rand()'!V209</f>
        <v>4</v>
      </c>
      <c r="B211" s="141">
        <f>'Q.6 Rand()'!W209</f>
        <v>30</v>
      </c>
      <c r="D211" s="23"/>
      <c r="E211" s="24"/>
      <c r="F211" s="22">
        <f t="shared" si="30"/>
        <v>0.56097560975609673</v>
      </c>
      <c r="G211" s="22">
        <f t="shared" si="33"/>
        <v>-4.9806132791327897</v>
      </c>
      <c r="H211" s="18">
        <f t="shared" si="34"/>
        <v>-2.7940025712208292</v>
      </c>
      <c r="I211" s="18">
        <f t="shared" si="35"/>
        <v>0.31469363474122453</v>
      </c>
      <c r="J211" s="24"/>
      <c r="K211" s="24"/>
      <c r="L211" s="19">
        <f t="shared" si="36"/>
        <v>32.208429613124252</v>
      </c>
      <c r="O211" s="9">
        <f t="shared" si="31"/>
        <v>-2.2084296131242525</v>
      </c>
      <c r="P211" s="10">
        <f t="shared" si="37"/>
        <v>4.8771613561241356</v>
      </c>
      <c r="V211" s="10">
        <f t="shared" si="39"/>
        <v>0.1566286551096954</v>
      </c>
      <c r="W211" s="13">
        <f t="shared" si="32"/>
        <v>7.6850022780845331</v>
      </c>
      <c r="Z211" s="15">
        <f t="shared" si="38"/>
        <v>24.806508636273879</v>
      </c>
    </row>
    <row r="212" spans="1:26">
      <c r="A212" s="84">
        <f>'Q.6 Rand()'!V210</f>
        <v>3</v>
      </c>
      <c r="B212" s="141">
        <f>'Q.6 Rand()'!W210</f>
        <v>33.629600000000003</v>
      </c>
      <c r="D212" s="23"/>
      <c r="E212" s="24"/>
      <c r="F212" s="22">
        <f t="shared" si="30"/>
        <v>-0.43902439024390327</v>
      </c>
      <c r="G212" s="22">
        <f t="shared" si="33"/>
        <v>-1.3510132791327862</v>
      </c>
      <c r="H212" s="18">
        <f t="shared" si="34"/>
        <v>0.59312778108268782</v>
      </c>
      <c r="I212" s="18">
        <f t="shared" si="35"/>
        <v>0.19274241522903107</v>
      </c>
      <c r="J212" s="24"/>
      <c r="K212" s="24"/>
      <c r="L212" s="19">
        <f t="shared" si="36"/>
        <v>37.150148322096001</v>
      </c>
      <c r="O212" s="9">
        <f t="shared" si="31"/>
        <v>-3.5205483220959977</v>
      </c>
      <c r="P212" s="10">
        <f t="shared" si="37"/>
        <v>12.394260488212945</v>
      </c>
      <c r="V212" s="10">
        <f t="shared" si="39"/>
        <v>7.3614320437475081E-2</v>
      </c>
      <c r="W212" s="13">
        <f t="shared" si="32"/>
        <v>4.7068823026453837</v>
      </c>
      <c r="Z212" s="15">
        <f t="shared" si="38"/>
        <v>1.8252368803931238</v>
      </c>
    </row>
    <row r="213" spans="1:26">
      <c r="A213" s="84">
        <f>'Q.6 Rand()'!V211</f>
        <v>6.5</v>
      </c>
      <c r="B213" s="141">
        <f>'Q.6 Rand()'!W211</f>
        <v>17.5</v>
      </c>
      <c r="D213" s="23"/>
      <c r="E213" s="24"/>
      <c r="F213" s="22">
        <f t="shared" si="30"/>
        <v>3.0609756097560967</v>
      </c>
      <c r="G213" s="22">
        <f t="shared" si="33"/>
        <v>-17.48061327913279</v>
      </c>
      <c r="H213" s="18">
        <f t="shared" si="34"/>
        <v>-53.507730891004016</v>
      </c>
      <c r="I213" s="18">
        <f t="shared" si="35"/>
        <v>9.3695716835217073</v>
      </c>
      <c r="J213" s="24"/>
      <c r="K213" s="24"/>
      <c r="L213" s="19">
        <f t="shared" si="36"/>
        <v>19.854132840694859</v>
      </c>
      <c r="O213" s="9">
        <f t="shared" si="31"/>
        <v>-2.3541328406948594</v>
      </c>
      <c r="P213" s="10">
        <f t="shared" si="37"/>
        <v>5.5419414316380484</v>
      </c>
      <c r="V213" s="10">
        <f t="shared" si="39"/>
        <v>0.10468600049052018</v>
      </c>
      <c r="W213" s="13">
        <f t="shared" si="32"/>
        <v>228.81041045444536</v>
      </c>
      <c r="Z213" s="15">
        <f t="shared" si="38"/>
        <v>305.57184061459361</v>
      </c>
    </row>
    <row r="214" spans="1:26">
      <c r="A214" s="84">
        <f>'Q.6 Rand()'!V212</f>
        <v>5.5</v>
      </c>
      <c r="B214" s="141">
        <f>'Q.6 Rand()'!W212</f>
        <v>23.2</v>
      </c>
      <c r="D214" s="23"/>
      <c r="E214" s="24"/>
      <c r="F214" s="22">
        <f t="shared" si="30"/>
        <v>2.0609756097560967</v>
      </c>
      <c r="G214" s="22">
        <f t="shared" si="33"/>
        <v>-11.78061327913279</v>
      </c>
      <c r="H214" s="18">
        <f t="shared" si="34"/>
        <v>-24.279556636261471</v>
      </c>
      <c r="I214" s="18">
        <f t="shared" si="35"/>
        <v>4.2476204640095148</v>
      </c>
      <c r="J214" s="24"/>
      <c r="K214" s="24"/>
      <c r="L214" s="19">
        <f t="shared" si="36"/>
        <v>24.795851549666615</v>
      </c>
      <c r="O214" s="9">
        <f t="shared" si="31"/>
        <v>-1.5958515496666159</v>
      </c>
      <c r="P214" s="10">
        <f t="shared" si="37"/>
        <v>2.5467421685733393</v>
      </c>
      <c r="V214" s="10">
        <f t="shared" si="39"/>
        <v>0.13452187661113482</v>
      </c>
      <c r="W214" s="13">
        <f t="shared" si="32"/>
        <v>103.72937148599883</v>
      </c>
      <c r="Z214" s="15">
        <f t="shared" si="38"/>
        <v>138.78284923247983</v>
      </c>
    </row>
    <row r="215" spans="1:26">
      <c r="A215" s="84">
        <f>'Q.6 Rand()'!V213</f>
        <v>2.4</v>
      </c>
      <c r="B215" s="141">
        <f>'Q.6 Rand()'!W213</f>
        <v>41.5</v>
      </c>
      <c r="D215" s="23"/>
      <c r="E215" s="24"/>
      <c r="F215" s="22">
        <f t="shared" si="30"/>
        <v>-1.0390243902439034</v>
      </c>
      <c r="G215" s="22">
        <f t="shared" si="33"/>
        <v>6.5193867208672103</v>
      </c>
      <c r="H215" s="18">
        <f t="shared" si="34"/>
        <v>-6.7738018124132537</v>
      </c>
      <c r="I215" s="18">
        <f t="shared" si="35"/>
        <v>1.0795716835217153</v>
      </c>
      <c r="J215" s="24"/>
      <c r="K215" s="24"/>
      <c r="L215" s="19">
        <f t="shared" si="36"/>
        <v>40.115179547479059</v>
      </c>
      <c r="O215" s="9">
        <f t="shared" si="31"/>
        <v>1.3848204525209411</v>
      </c>
      <c r="P215" s="10">
        <f t="shared" si="37"/>
        <v>1.9177276857203041</v>
      </c>
      <c r="V215" s="10">
        <f t="shared" si="39"/>
        <v>6.8786704727009304E-2</v>
      </c>
      <c r="W215" s="13">
        <f t="shared" si="32"/>
        <v>26.36377076403933</v>
      </c>
      <c r="Z215" s="15">
        <f t="shared" si="38"/>
        <v>42.502403216219719</v>
      </c>
    </row>
    <row r="216" spans="1:26">
      <c r="A216" s="84">
        <f>'Q.6 Rand()'!V214</f>
        <v>3.7</v>
      </c>
      <c r="B216" s="141">
        <f>'Q.6 Rand()'!W214</f>
        <v>28.7</v>
      </c>
      <c r="D216" s="23"/>
      <c r="E216" s="24"/>
      <c r="F216" s="22">
        <f t="shared" si="30"/>
        <v>0.2609756097560969</v>
      </c>
      <c r="G216" s="22">
        <f t="shared" si="33"/>
        <v>-6.2806132791327904</v>
      </c>
      <c r="H216" s="18">
        <f t="shared" si="34"/>
        <v>-1.6390868801639193</v>
      </c>
      <c r="I216" s="18">
        <f t="shared" si="35"/>
        <v>6.8108268887566575E-2</v>
      </c>
      <c r="J216" s="24"/>
      <c r="K216" s="24"/>
      <c r="L216" s="19">
        <f t="shared" si="36"/>
        <v>33.690945225815774</v>
      </c>
      <c r="O216" s="9">
        <f t="shared" si="31"/>
        <v>-4.9909452258157749</v>
      </c>
      <c r="P216" s="10">
        <f t="shared" si="37"/>
        <v>24.909534247093276</v>
      </c>
      <c r="V216" s="10">
        <f t="shared" si="39"/>
        <v>3.3369167530625084E-2</v>
      </c>
      <c r="W216" s="13">
        <f t="shared" si="32"/>
        <v>1.6632436877465004</v>
      </c>
      <c r="Z216" s="15">
        <f t="shared" si="38"/>
        <v>39.446103162019142</v>
      </c>
    </row>
    <row r="217" spans="1:26">
      <c r="A217" s="84">
        <f>'Q.6 Rand()'!V215</f>
        <v>3</v>
      </c>
      <c r="B217" s="141">
        <f>'Q.6 Rand()'!W215</f>
        <v>33.1</v>
      </c>
      <c r="D217" s="23"/>
      <c r="E217" s="24"/>
      <c r="F217" s="22">
        <f t="shared" si="30"/>
        <v>-0.43902439024390327</v>
      </c>
      <c r="G217" s="22">
        <f t="shared" si="33"/>
        <v>-1.8806132791327883</v>
      </c>
      <c r="H217" s="18">
        <f t="shared" si="34"/>
        <v>0.82563509815585989</v>
      </c>
      <c r="I217" s="18">
        <f t="shared" si="35"/>
        <v>0.19274241522903107</v>
      </c>
      <c r="J217" s="24"/>
      <c r="K217" s="24"/>
      <c r="L217" s="19">
        <f t="shared" si="36"/>
        <v>37.150148322096001</v>
      </c>
      <c r="O217" s="9">
        <f t="shared" si="31"/>
        <v>-4.0501483220959997</v>
      </c>
      <c r="P217" s="10">
        <f t="shared" si="37"/>
        <v>16.403701430977041</v>
      </c>
      <c r="V217" s="10">
        <f t="shared" si="39"/>
        <v>0.17390053051622908</v>
      </c>
      <c r="W217" s="13">
        <f t="shared" si="32"/>
        <v>4.7068823026453837</v>
      </c>
      <c r="Z217" s="15">
        <f t="shared" si="38"/>
        <v>3.5367063056505788</v>
      </c>
    </row>
    <row r="218" spans="1:26">
      <c r="A218" s="84">
        <f>'Q.6 Rand()'!V216</f>
        <v>2.5</v>
      </c>
      <c r="B218" s="141">
        <f>'Q.6 Rand()'!W216</f>
        <v>37.799999999999997</v>
      </c>
      <c r="D218" s="23"/>
      <c r="E218" s="24"/>
      <c r="F218" s="22">
        <f t="shared" si="30"/>
        <v>-0.93902439024390327</v>
      </c>
      <c r="G218" s="22">
        <f t="shared" si="33"/>
        <v>2.8193867208672074</v>
      </c>
      <c r="H218" s="18">
        <f t="shared" si="34"/>
        <v>-2.6474728964240875</v>
      </c>
      <c r="I218" s="18">
        <f t="shared" si="35"/>
        <v>0.88176680547293429</v>
      </c>
      <c r="J218" s="24"/>
      <c r="K218" s="24"/>
      <c r="L218" s="19">
        <f t="shared" si="36"/>
        <v>39.621007676581883</v>
      </c>
      <c r="O218" s="9">
        <f t="shared" si="31"/>
        <v>-1.8210076765818854</v>
      </c>
      <c r="P218" s="10">
        <f t="shared" si="37"/>
        <v>3.3160689581701566</v>
      </c>
      <c r="V218" s="10">
        <f t="shared" si="39"/>
        <v>0.12236097649836856</v>
      </c>
      <c r="W218" s="13">
        <f t="shared" si="32"/>
        <v>21.533260163876928</v>
      </c>
      <c r="Z218" s="15">
        <f t="shared" si="38"/>
        <v>7.9489414818023443</v>
      </c>
    </row>
    <row r="219" spans="1:26">
      <c r="A219" s="84">
        <f>'Q.6 Rand()'!V217</f>
        <v>3.5</v>
      </c>
      <c r="B219" s="141">
        <f>'Q.6 Rand()'!W217</f>
        <v>40.299999999999997</v>
      </c>
      <c r="D219" s="23"/>
      <c r="E219" s="24"/>
      <c r="F219" s="22">
        <f t="shared" si="30"/>
        <v>6.0975609756096727E-2</v>
      </c>
      <c r="G219" s="22">
        <f t="shared" si="33"/>
        <v>5.3193867208672074</v>
      </c>
      <c r="H219" s="18">
        <f t="shared" si="34"/>
        <v>0.32435284883336185</v>
      </c>
      <c r="I219" s="18">
        <f t="shared" si="35"/>
        <v>3.7180249851277982E-3</v>
      </c>
      <c r="J219" s="24"/>
      <c r="K219" s="24"/>
      <c r="L219" s="19">
        <f t="shared" si="36"/>
        <v>34.679288967610127</v>
      </c>
      <c r="O219" s="9">
        <f t="shared" si="31"/>
        <v>5.6207110323898704</v>
      </c>
      <c r="P219" s="10">
        <f t="shared" si="37"/>
        <v>31.592392509629203</v>
      </c>
      <c r="V219" s="10">
        <f t="shared" si="39"/>
        <v>4.817480625878004E-2</v>
      </c>
      <c r="W219" s="13">
        <f t="shared" si="32"/>
        <v>9.0796340714606807E-2</v>
      </c>
      <c r="Z219" s="15">
        <f t="shared" si="38"/>
        <v>28.295875086138381</v>
      </c>
    </row>
    <row r="220" spans="1:26">
      <c r="A220" s="84">
        <f>'Q.6 Rand()'!V218</f>
        <v>3.6</v>
      </c>
      <c r="B220" s="141">
        <f>'Q.6 Rand()'!W218</f>
        <v>31.6</v>
      </c>
      <c r="D220" s="23"/>
      <c r="E220" s="24"/>
      <c r="F220" s="22">
        <f t="shared" si="30"/>
        <v>0.16097560975609682</v>
      </c>
      <c r="G220" s="22">
        <f t="shared" si="33"/>
        <v>-3.3806132791327883</v>
      </c>
      <c r="H220" s="18">
        <f t="shared" si="34"/>
        <v>-0.54419628395795849</v>
      </c>
      <c r="I220" s="18">
        <f t="shared" si="35"/>
        <v>2.5913146936347171E-2</v>
      </c>
      <c r="J220" s="24"/>
      <c r="K220" s="24"/>
      <c r="L220" s="19">
        <f t="shared" si="36"/>
        <v>34.185117096712951</v>
      </c>
      <c r="O220" s="9">
        <f t="shared" si="31"/>
        <v>-2.5851170967129491</v>
      </c>
      <c r="P220" s="10">
        <f t="shared" si="37"/>
        <v>6.6828304037175874</v>
      </c>
      <c r="V220" s="10">
        <f t="shared" si="39"/>
        <v>0.1394717377764236</v>
      </c>
      <c r="W220" s="13">
        <f t="shared" si="32"/>
        <v>0.63281417624453806</v>
      </c>
      <c r="Z220" s="15">
        <f t="shared" si="38"/>
        <v>11.428546143048944</v>
      </c>
    </row>
    <row r="221" spans="1:26">
      <c r="A221" s="84">
        <f>'Q.6 Rand()'!V219</f>
        <v>2.4</v>
      </c>
      <c r="B221" s="141">
        <f>'Q.6 Rand()'!W219</f>
        <v>41.9</v>
      </c>
      <c r="D221" s="23"/>
      <c r="E221" s="24"/>
      <c r="F221" s="22">
        <f t="shared" si="30"/>
        <v>-1.0390243902439034</v>
      </c>
      <c r="G221" s="22">
        <f t="shared" si="33"/>
        <v>6.9193867208672089</v>
      </c>
      <c r="H221" s="18">
        <f t="shared" si="34"/>
        <v>-7.1894115685108133</v>
      </c>
      <c r="I221" s="18">
        <f t="shared" si="35"/>
        <v>1.0795716835217153</v>
      </c>
      <c r="J221" s="24"/>
      <c r="K221" s="24"/>
      <c r="L221" s="19">
        <f t="shared" si="36"/>
        <v>40.115179547479059</v>
      </c>
      <c r="O221" s="9">
        <f t="shared" si="31"/>
        <v>1.7848204525209397</v>
      </c>
      <c r="P221" s="10">
        <f t="shared" si="37"/>
        <v>3.1855840477370521</v>
      </c>
      <c r="V221" s="10">
        <f t="shared" si="39"/>
        <v>8.1807503060536357E-2</v>
      </c>
      <c r="W221" s="13">
        <f t="shared" si="32"/>
        <v>26.36377076403933</v>
      </c>
      <c r="Z221" s="15">
        <f t="shared" si="38"/>
        <v>47.877912592913468</v>
      </c>
    </row>
    <row r="222" spans="1:26">
      <c r="A222" s="84">
        <f>'Q.6 Rand()'!V220</f>
        <v>2.5</v>
      </c>
      <c r="B222" s="141">
        <f>'Q.6 Rand()'!W220</f>
        <v>31.7</v>
      </c>
      <c r="D222" s="23"/>
      <c r="E222" s="24"/>
      <c r="F222" s="22">
        <f t="shared" si="30"/>
        <v>-0.93902439024390327</v>
      </c>
      <c r="G222" s="22">
        <f t="shared" si="33"/>
        <v>-3.2806132791327904</v>
      </c>
      <c r="H222" s="18">
        <f t="shared" si="34"/>
        <v>3.0805758840637205</v>
      </c>
      <c r="I222" s="18">
        <f t="shared" si="35"/>
        <v>0.88176680547293429</v>
      </c>
      <c r="J222" s="24"/>
      <c r="K222" s="24"/>
      <c r="L222" s="19">
        <f t="shared" si="36"/>
        <v>39.621007676581883</v>
      </c>
      <c r="O222" s="9">
        <f t="shared" si="31"/>
        <v>-7.9210076765818833</v>
      </c>
      <c r="P222" s="10">
        <f t="shared" si="37"/>
        <v>62.742362612469122</v>
      </c>
      <c r="V222" s="10">
        <f t="shared" si="39"/>
        <v>4.2597146838208588E-2</v>
      </c>
      <c r="W222" s="13">
        <f t="shared" si="32"/>
        <v>21.533260163876928</v>
      </c>
      <c r="Z222" s="15">
        <f t="shared" si="38"/>
        <v>10.762423487222399</v>
      </c>
    </row>
    <row r="223" spans="1:26">
      <c r="A223" s="84">
        <f>'Q.6 Rand()'!V221</f>
        <v>3.5</v>
      </c>
      <c r="B223" s="141">
        <f>'Q.6 Rand()'!W221</f>
        <v>38.719299999999997</v>
      </c>
      <c r="D223" s="23"/>
      <c r="E223" s="24"/>
      <c r="F223" s="22">
        <f t="shared" si="30"/>
        <v>6.0975609756096727E-2</v>
      </c>
      <c r="G223" s="22">
        <f t="shared" si="33"/>
        <v>3.7386867208672072</v>
      </c>
      <c r="H223" s="18">
        <f t="shared" si="34"/>
        <v>0.22796870249189977</v>
      </c>
      <c r="I223" s="18">
        <f t="shared" si="35"/>
        <v>3.7180249851277982E-3</v>
      </c>
      <c r="J223" s="24"/>
      <c r="K223" s="24"/>
      <c r="L223" s="19">
        <f t="shared" si="36"/>
        <v>34.679288967610127</v>
      </c>
      <c r="O223" s="9">
        <f t="shared" si="31"/>
        <v>4.0400110323898701</v>
      </c>
      <c r="P223" s="10">
        <f t="shared" si="37"/>
        <v>16.321689141831865</v>
      </c>
      <c r="V223" s="10">
        <f t="shared" si="39"/>
        <v>0.24987405919816666</v>
      </c>
      <c r="W223" s="13">
        <f t="shared" si="32"/>
        <v>9.0796340714606807E-2</v>
      </c>
      <c r="Z223" s="15">
        <f t="shared" si="38"/>
        <v>13.977778396788791</v>
      </c>
    </row>
    <row r="224" spans="1:26">
      <c r="A224" s="84">
        <f>'Q.6 Rand()'!V222</f>
        <v>2.5</v>
      </c>
      <c r="B224" s="141">
        <f>'Q.6 Rand()'!W222</f>
        <v>40.193100000000001</v>
      </c>
      <c r="D224" s="23"/>
      <c r="E224" s="24"/>
      <c r="F224" s="22">
        <f t="shared" si="30"/>
        <v>-0.93902439024390327</v>
      </c>
      <c r="G224" s="22">
        <f t="shared" si="33"/>
        <v>5.2124867208672114</v>
      </c>
      <c r="H224" s="18">
        <f t="shared" si="34"/>
        <v>-4.894652164716776</v>
      </c>
      <c r="I224" s="18">
        <f t="shared" si="35"/>
        <v>0.88176680547293429</v>
      </c>
      <c r="J224" s="24"/>
      <c r="K224" s="24"/>
      <c r="L224" s="19">
        <f t="shared" si="36"/>
        <v>39.621007676581883</v>
      </c>
      <c r="O224" s="9">
        <f t="shared" si="31"/>
        <v>0.57209232341811855</v>
      </c>
      <c r="P224" s="10">
        <f t="shared" si="37"/>
        <v>0.32728962651394117</v>
      </c>
      <c r="V224" s="10">
        <f t="shared" si="39"/>
        <v>0.10434101423295025</v>
      </c>
      <c r="W224" s="13">
        <f t="shared" si="32"/>
        <v>21.533260163876928</v>
      </c>
      <c r="Z224" s="15">
        <f t="shared" si="38"/>
        <v>27.170017815217015</v>
      </c>
    </row>
    <row r="225" spans="1:26">
      <c r="A225" s="84">
        <f>'Q.6 Rand()'!V223</f>
        <v>3.5</v>
      </c>
      <c r="B225" s="141">
        <f>'Q.6 Rand()'!W223</f>
        <v>34.700000000000003</v>
      </c>
      <c r="D225" s="23"/>
      <c r="E225" s="24"/>
      <c r="F225" s="22">
        <f t="shared" si="30"/>
        <v>6.0975609756096727E-2</v>
      </c>
      <c r="G225" s="22">
        <f t="shared" si="33"/>
        <v>-0.28061327913278689</v>
      </c>
      <c r="H225" s="18">
        <f t="shared" si="34"/>
        <v>-1.7110565800779454E-2</v>
      </c>
      <c r="I225" s="18">
        <f t="shared" si="35"/>
        <v>3.7180249851277982E-3</v>
      </c>
      <c r="J225" s="24"/>
      <c r="K225" s="24"/>
      <c r="L225" s="19">
        <f t="shared" si="36"/>
        <v>34.679288967610127</v>
      </c>
      <c r="O225" s="9">
        <f t="shared" si="31"/>
        <v>2.0711032389876038E-2</v>
      </c>
      <c r="P225" s="10">
        <f t="shared" si="37"/>
        <v>4.2894686265449437E-4</v>
      </c>
      <c r="V225" s="10">
        <f t="shared" si="39"/>
        <v>1.4233595403641882E-2</v>
      </c>
      <c r="W225" s="13">
        <f t="shared" si="32"/>
        <v>9.0796340714606807E-2</v>
      </c>
      <c r="Z225" s="15">
        <f t="shared" si="38"/>
        <v>7.8743812425655368E-2</v>
      </c>
    </row>
    <row r="226" spans="1:26">
      <c r="A226" s="84">
        <f>'Q.6 Rand()'!V224</f>
        <v>4.4000000000000004</v>
      </c>
      <c r="B226" s="141">
        <f>'Q.6 Rand()'!W224</f>
        <v>30.172599999999999</v>
      </c>
      <c r="D226" s="23"/>
      <c r="E226" s="24"/>
      <c r="F226" s="22">
        <f t="shared" si="30"/>
        <v>0.96097560975609708</v>
      </c>
      <c r="G226" s="22">
        <f t="shared" si="33"/>
        <v>-4.8080132791327905</v>
      </c>
      <c r="H226" s="18">
        <f t="shared" si="34"/>
        <v>-4.6203834926300456</v>
      </c>
      <c r="I226" s="18">
        <f t="shared" si="35"/>
        <v>0.92347412254610262</v>
      </c>
      <c r="J226" s="24"/>
      <c r="K226" s="24"/>
      <c r="L226" s="19">
        <f t="shared" si="36"/>
        <v>30.231742129535544</v>
      </c>
      <c r="O226" s="9">
        <f t="shared" si="31"/>
        <v>-5.9142129535544541E-2</v>
      </c>
      <c r="P226" s="10">
        <f t="shared" si="37"/>
        <v>3.4977914859991299E-3</v>
      </c>
      <c r="V226" s="10">
        <f t="shared" si="39"/>
        <v>5.9685972305118266E-4</v>
      </c>
      <c r="W226" s="13">
        <f t="shared" si="32"/>
        <v>22.551777195477069</v>
      </c>
      <c r="Z226" s="15">
        <f t="shared" si="38"/>
        <v>23.116991692317249</v>
      </c>
    </row>
    <row r="227" spans="1:26">
      <c r="A227" s="84">
        <f>'Q.6 Rand()'!V225</f>
        <v>4</v>
      </c>
      <c r="B227" s="141">
        <f>'Q.6 Rand()'!W225</f>
        <v>28.5</v>
      </c>
      <c r="D227" s="23"/>
      <c r="E227" s="24"/>
      <c r="F227" s="22">
        <f t="shared" si="30"/>
        <v>0.56097560975609673</v>
      </c>
      <c r="G227" s="22">
        <f t="shared" si="33"/>
        <v>-6.4806132791327897</v>
      </c>
      <c r="H227" s="18">
        <f t="shared" si="34"/>
        <v>-3.635465985854974</v>
      </c>
      <c r="I227" s="18">
        <f t="shared" si="35"/>
        <v>0.31469363474122453</v>
      </c>
      <c r="J227" s="24"/>
      <c r="K227" s="24"/>
      <c r="L227" s="19">
        <f t="shared" si="36"/>
        <v>32.208429613124252</v>
      </c>
      <c r="O227" s="9">
        <f t="shared" si="31"/>
        <v>-3.7084296131242525</v>
      </c>
      <c r="P227" s="10">
        <f t="shared" si="37"/>
        <v>13.752450195496893</v>
      </c>
      <c r="V227" s="10">
        <f t="shared" si="39"/>
        <v>1.9601270535368029E-3</v>
      </c>
      <c r="W227" s="13">
        <f t="shared" si="32"/>
        <v>7.6850022780845331</v>
      </c>
      <c r="Z227" s="15">
        <f t="shared" si="38"/>
        <v>41.998348473672252</v>
      </c>
    </row>
    <row r="228" spans="1:26">
      <c r="A228" s="84">
        <f>'Q.6 Rand()'!V226</f>
        <v>2</v>
      </c>
      <c r="B228" s="141">
        <f>'Q.6 Rand()'!W226</f>
        <v>60.1</v>
      </c>
      <c r="D228" s="23"/>
      <c r="E228" s="24"/>
      <c r="F228" s="22">
        <f t="shared" si="30"/>
        <v>-1.4390243902439033</v>
      </c>
      <c r="G228" s="22">
        <f t="shared" si="33"/>
        <v>25.119386720867212</v>
      </c>
      <c r="H228" s="18">
        <f t="shared" si="34"/>
        <v>-36.14741015929674</v>
      </c>
      <c r="I228" s="18">
        <f t="shared" si="35"/>
        <v>2.0707911957168377</v>
      </c>
      <c r="J228" s="24"/>
      <c r="K228" s="24"/>
      <c r="L228" s="19">
        <f t="shared" si="36"/>
        <v>42.091867031067757</v>
      </c>
      <c r="O228" s="9">
        <f t="shared" si="31"/>
        <v>18.008132968932244</v>
      </c>
      <c r="P228" s="10">
        <f t="shared" si="37"/>
        <v>324.29285302674447</v>
      </c>
      <c r="V228" s="10">
        <f t="shared" si="39"/>
        <v>0.13012033730260536</v>
      </c>
      <c r="W228" s="13">
        <f t="shared" si="32"/>
        <v>50.569929924409145</v>
      </c>
      <c r="Z228" s="15">
        <f t="shared" si="38"/>
        <v>630.98358923247997</v>
      </c>
    </row>
    <row r="229" spans="1:26">
      <c r="A229" s="84">
        <f>'Q.6 Rand()'!V227</f>
        <v>5</v>
      </c>
      <c r="B229" s="141">
        <f>'Q.6 Rand()'!W227</f>
        <v>32.088799999999999</v>
      </c>
      <c r="D229" s="23"/>
      <c r="E229" s="24"/>
      <c r="F229" s="22">
        <f t="shared" si="30"/>
        <v>1.5609756097560967</v>
      </c>
      <c r="G229" s="22">
        <f t="shared" si="33"/>
        <v>-2.8918132791327906</v>
      </c>
      <c r="H229" s="18">
        <f t="shared" si="34"/>
        <v>-4.5140499966950856</v>
      </c>
      <c r="I229" s="18">
        <f t="shared" si="35"/>
        <v>2.436644854253418</v>
      </c>
      <c r="J229" s="24"/>
      <c r="K229" s="24"/>
      <c r="L229" s="19">
        <f t="shared" si="36"/>
        <v>27.266710904152493</v>
      </c>
      <c r="O229" s="9">
        <f t="shared" si="31"/>
        <v>4.822089095847506</v>
      </c>
      <c r="P229" s="10">
        <f t="shared" si="37"/>
        <v>23.252543248291417</v>
      </c>
      <c r="V229" s="10">
        <f t="shared" si="39"/>
        <v>0.29963615588905562</v>
      </c>
      <c r="W229" s="13">
        <f t="shared" si="32"/>
        <v>59.504289850726664</v>
      </c>
      <c r="Z229" s="15">
        <f t="shared" si="38"/>
        <v>8.3625840413687431</v>
      </c>
    </row>
    <row r="230" spans="1:26">
      <c r="A230" s="84">
        <f>'Q.6 Rand()'!V228</f>
        <v>1.6</v>
      </c>
      <c r="B230" s="141">
        <f>'Q.6 Rand()'!W228</f>
        <v>50.820500000000003</v>
      </c>
      <c r="D230" s="23"/>
      <c r="E230" s="24"/>
      <c r="F230" s="22">
        <f t="shared" si="30"/>
        <v>-1.8390243902439032</v>
      </c>
      <c r="G230" s="22">
        <f t="shared" si="33"/>
        <v>15.839886720867213</v>
      </c>
      <c r="H230" s="18">
        <f t="shared" si="34"/>
        <v>-29.129938018375324</v>
      </c>
      <c r="I230" s="18">
        <f t="shared" si="35"/>
        <v>3.3820107079119599</v>
      </c>
      <c r="J230" s="24"/>
      <c r="K230" s="24"/>
      <c r="L230" s="19">
        <f t="shared" si="36"/>
        <v>44.068554514656462</v>
      </c>
      <c r="O230" s="9">
        <f t="shared" si="31"/>
        <v>6.7519454853435406</v>
      </c>
      <c r="P230" s="10">
        <f t="shared" si="37"/>
        <v>45.588767837051016</v>
      </c>
      <c r="V230" s="10">
        <f t="shared" si="39"/>
        <v>0.1502732759045993</v>
      </c>
      <c r="W230" s="13">
        <f t="shared" si="32"/>
        <v>82.590675900331533</v>
      </c>
      <c r="Z230" s="15">
        <f t="shared" si="38"/>
        <v>250.90201132990546</v>
      </c>
    </row>
    <row r="231" spans="1:26">
      <c r="A231" s="84">
        <f>'Q.6 Rand()'!V229</f>
        <v>3</v>
      </c>
      <c r="B231" s="141">
        <f>'Q.6 Rand()'!W229</f>
        <v>39.493699999999997</v>
      </c>
      <c r="D231" s="23"/>
      <c r="E231" s="24"/>
      <c r="F231" s="22">
        <f t="shared" si="30"/>
        <v>-0.43902439024390327</v>
      </c>
      <c r="G231" s="22">
        <f t="shared" si="33"/>
        <v>4.5130867208672072</v>
      </c>
      <c r="H231" s="18">
        <f t="shared" si="34"/>
        <v>-1.9813551457465826</v>
      </c>
      <c r="I231" s="18">
        <f t="shared" si="35"/>
        <v>0.19274241522903107</v>
      </c>
      <c r="J231" s="24"/>
      <c r="K231" s="24"/>
      <c r="L231" s="19">
        <f t="shared" si="36"/>
        <v>37.150148322096001</v>
      </c>
      <c r="O231" s="9">
        <f t="shared" si="31"/>
        <v>2.3435516779039958</v>
      </c>
      <c r="P231" s="10">
        <f t="shared" si="37"/>
        <v>5.4922344670066341</v>
      </c>
      <c r="V231" s="10">
        <f t="shared" si="39"/>
        <v>0.13285869846505918</v>
      </c>
      <c r="W231" s="13">
        <f t="shared" si="32"/>
        <v>4.7068823026453837</v>
      </c>
      <c r="Z231" s="15">
        <f t="shared" si="38"/>
        <v>20.36795175006792</v>
      </c>
    </row>
    <row r="232" spans="1:26">
      <c r="A232" s="84">
        <f>'Q.6 Rand()'!V230</f>
        <v>3.5</v>
      </c>
      <c r="B232" s="141">
        <f>'Q.6 Rand()'!W230</f>
        <v>34.9</v>
      </c>
      <c r="D232" s="23"/>
      <c r="E232" s="24"/>
      <c r="F232" s="22">
        <f t="shared" si="30"/>
        <v>6.0975609756096727E-2</v>
      </c>
      <c r="G232" s="22">
        <f t="shared" si="33"/>
        <v>-8.0613279132791149E-2</v>
      </c>
      <c r="H232" s="18">
        <f t="shared" si="34"/>
        <v>-4.9154438495603685E-3</v>
      </c>
      <c r="I232" s="18">
        <f t="shared" si="35"/>
        <v>3.7180249851277982E-3</v>
      </c>
      <c r="J232" s="24"/>
      <c r="K232" s="24"/>
      <c r="L232" s="19">
        <f t="shared" si="36"/>
        <v>34.679288967610127</v>
      </c>
      <c r="O232" s="9">
        <f t="shared" si="31"/>
        <v>0.22071103238987178</v>
      </c>
      <c r="P232" s="10">
        <f t="shared" si="37"/>
        <v>4.871335981860303E-2</v>
      </c>
      <c r="V232" s="10">
        <f t="shared" si="39"/>
        <v>5.9339886561755317E-2</v>
      </c>
      <c r="W232" s="13">
        <f t="shared" si="32"/>
        <v>9.0796340714606807E-2</v>
      </c>
      <c r="Z232" s="15">
        <f t="shared" si="38"/>
        <v>6.4985007725413008E-3</v>
      </c>
    </row>
    <row r="233" spans="1:26">
      <c r="A233" s="84">
        <f>'Q.6 Rand()'!V231</f>
        <v>6</v>
      </c>
      <c r="B233" s="141">
        <f>'Q.6 Rand()'!W231</f>
        <v>23.2715</v>
      </c>
      <c r="D233" s="23"/>
      <c r="E233" s="24"/>
      <c r="F233" s="22">
        <f t="shared" si="30"/>
        <v>2.5609756097560967</v>
      </c>
      <c r="G233" s="22">
        <f t="shared" si="33"/>
        <v>-11.70911327913279</v>
      </c>
      <c r="H233" s="18">
        <f t="shared" si="34"/>
        <v>-29.986753519730307</v>
      </c>
      <c r="I233" s="18">
        <f t="shared" si="35"/>
        <v>6.558596073765611</v>
      </c>
      <c r="J233" s="24"/>
      <c r="K233" s="24"/>
      <c r="L233" s="19">
        <f t="shared" si="36"/>
        <v>22.324992195180741</v>
      </c>
      <c r="O233" s="9">
        <f t="shared" si="31"/>
        <v>0.94650780481925878</v>
      </c>
      <c r="P233" s="10">
        <f t="shared" si="37"/>
        <v>0.89587702458377205</v>
      </c>
      <c r="V233" s="10">
        <f t="shared" si="39"/>
        <v>6.324098349279994E-3</v>
      </c>
      <c r="W233" s="13">
        <f t="shared" si="32"/>
        <v>160.16474502057164</v>
      </c>
      <c r="Z233" s="15">
        <f t="shared" si="38"/>
        <v>137.10333378356384</v>
      </c>
    </row>
    <row r="234" spans="1:26">
      <c r="A234" s="84">
        <f>'Q.6 Rand()'!V232</f>
        <v>2.7</v>
      </c>
      <c r="B234" s="141">
        <f>'Q.6 Rand()'!W232</f>
        <v>36.146299999999997</v>
      </c>
      <c r="D234" s="23"/>
      <c r="E234" s="24"/>
      <c r="F234" s="22">
        <f t="shared" si="30"/>
        <v>-0.7390243902439031</v>
      </c>
      <c r="G234" s="22">
        <f t="shared" si="33"/>
        <v>1.1656867208672068</v>
      </c>
      <c r="H234" s="18">
        <f t="shared" si="34"/>
        <v>-0.86147091810430243</v>
      </c>
      <c r="I234" s="18">
        <f t="shared" si="35"/>
        <v>0.54615704937537279</v>
      </c>
      <c r="J234" s="24"/>
      <c r="K234" s="24"/>
      <c r="L234" s="19">
        <f t="shared" si="36"/>
        <v>38.63266393478753</v>
      </c>
      <c r="O234" s="9">
        <f t="shared" si="31"/>
        <v>-2.4863639347875335</v>
      </c>
      <c r="P234" s="10">
        <f t="shared" si="37"/>
        <v>6.1820056162121464</v>
      </c>
      <c r="V234" s="10">
        <f t="shared" si="39"/>
        <v>4.0672402072030545E-2</v>
      </c>
      <c r="W234" s="13">
        <f t="shared" si="32"/>
        <v>13.337473991468219</v>
      </c>
      <c r="Z234" s="15">
        <f t="shared" si="38"/>
        <v>1.3588255312061412</v>
      </c>
    </row>
    <row r="235" spans="1:26">
      <c r="A235" s="84">
        <f>'Q.6 Rand()'!V233</f>
        <v>5.4</v>
      </c>
      <c r="B235" s="141">
        <f>'Q.6 Rand()'!W233</f>
        <v>27</v>
      </c>
      <c r="D235" s="23"/>
      <c r="E235" s="24"/>
      <c r="F235" s="22">
        <f t="shared" si="30"/>
        <v>1.9609756097560971</v>
      </c>
      <c r="G235" s="22">
        <f t="shared" si="33"/>
        <v>-7.9806132791327897</v>
      </c>
      <c r="H235" s="18">
        <f t="shared" si="34"/>
        <v>-15.649787991275028</v>
      </c>
      <c r="I235" s="18">
        <f t="shared" si="35"/>
        <v>3.8454253420582969</v>
      </c>
      <c r="J235" s="24"/>
      <c r="K235" s="24"/>
      <c r="L235" s="19">
        <f t="shared" si="36"/>
        <v>25.290023420563791</v>
      </c>
      <c r="O235" s="9">
        <f t="shared" si="31"/>
        <v>1.7099765794362085</v>
      </c>
      <c r="P235" s="10">
        <f t="shared" si="37"/>
        <v>2.9240199022203561</v>
      </c>
      <c r="V235" s="10">
        <f t="shared" si="39"/>
        <v>6.8786125683335045E-2</v>
      </c>
      <c r="W235" s="13">
        <f t="shared" si="32"/>
        <v>93.907531807000311</v>
      </c>
      <c r="Z235" s="15">
        <f t="shared" si="38"/>
        <v>63.690188311070621</v>
      </c>
    </row>
    <row r="236" spans="1:26">
      <c r="A236" s="84">
        <f>'Q.6 Rand()'!V234</f>
        <v>3.8</v>
      </c>
      <c r="B236" s="141">
        <f>'Q.6 Rand()'!W234</f>
        <v>26.563199999999998</v>
      </c>
      <c r="D236" s="23"/>
      <c r="E236" s="24"/>
      <c r="F236" s="22">
        <f t="shared" si="30"/>
        <v>0.36097560975609655</v>
      </c>
      <c r="G236" s="22">
        <f t="shared" si="33"/>
        <v>-8.4174132791327914</v>
      </c>
      <c r="H236" s="18">
        <f t="shared" si="34"/>
        <v>-3.0384808910040233</v>
      </c>
      <c r="I236" s="18">
        <f t="shared" si="35"/>
        <v>0.1303033908387857</v>
      </c>
      <c r="J236" s="24"/>
      <c r="K236" s="24"/>
      <c r="L236" s="19">
        <f t="shared" si="36"/>
        <v>33.196773354918605</v>
      </c>
      <c r="O236" s="9">
        <f t="shared" si="31"/>
        <v>-6.6335733549186067</v>
      </c>
      <c r="P236" s="10">
        <f t="shared" si="37"/>
        <v>44.004295455086101</v>
      </c>
      <c r="V236" s="10">
        <f t="shared" si="39"/>
        <v>6.3332465905044766E-2</v>
      </c>
      <c r="W236" s="13">
        <f t="shared" si="32"/>
        <v>3.1820848752204682</v>
      </c>
      <c r="Z236" s="15">
        <f t="shared" si="38"/>
        <v>70.852846311721052</v>
      </c>
    </row>
    <row r="237" spans="1:26">
      <c r="A237" s="84">
        <f>'Q.6 Rand()'!V235</f>
        <v>5.3</v>
      </c>
      <c r="B237" s="141">
        <f>'Q.6 Rand()'!W235</f>
        <v>27.9</v>
      </c>
      <c r="D237" s="23"/>
      <c r="E237" s="24"/>
      <c r="F237" s="22">
        <f t="shared" si="30"/>
        <v>1.8609756097560965</v>
      </c>
      <c r="G237" s="22">
        <f t="shared" si="33"/>
        <v>-7.0806132791327911</v>
      </c>
      <c r="H237" s="18">
        <f t="shared" si="34"/>
        <v>-13.17684861458126</v>
      </c>
      <c r="I237" s="18">
        <f t="shared" si="35"/>
        <v>3.4632302201070755</v>
      </c>
      <c r="J237" s="24"/>
      <c r="K237" s="24"/>
      <c r="L237" s="19">
        <f t="shared" si="36"/>
        <v>25.784195291460968</v>
      </c>
      <c r="O237" s="9">
        <f t="shared" si="31"/>
        <v>2.1158047085390308</v>
      </c>
      <c r="P237" s="10">
        <f t="shared" si="37"/>
        <v>4.4766295646759326</v>
      </c>
      <c r="V237" s="10">
        <f t="shared" si="39"/>
        <v>0.2497279452369672</v>
      </c>
      <c r="W237" s="13">
        <f t="shared" si="32"/>
        <v>84.574103803973841</v>
      </c>
      <c r="Z237" s="15">
        <f t="shared" si="38"/>
        <v>50.13508440863162</v>
      </c>
    </row>
    <row r="238" spans="1:26">
      <c r="A238" s="84">
        <f>'Q.6 Rand()'!V236</f>
        <v>2.5</v>
      </c>
      <c r="B238" s="141">
        <f>'Q.6 Rand()'!W236</f>
        <v>40.200000000000003</v>
      </c>
      <c r="D238" s="23"/>
      <c r="E238" s="24"/>
      <c r="F238" s="22">
        <f t="shared" si="30"/>
        <v>-0.93902439024390327</v>
      </c>
      <c r="G238" s="22">
        <f t="shared" si="33"/>
        <v>5.2193867208672131</v>
      </c>
      <c r="H238" s="18">
        <f t="shared" si="34"/>
        <v>-4.9011314330094606</v>
      </c>
      <c r="I238" s="18">
        <f t="shared" si="35"/>
        <v>0.88176680547293429</v>
      </c>
      <c r="J238" s="24"/>
      <c r="K238" s="24"/>
      <c r="L238" s="19">
        <f t="shared" si="36"/>
        <v>39.621007676581883</v>
      </c>
      <c r="O238" s="9">
        <f t="shared" si="31"/>
        <v>0.57899232341812024</v>
      </c>
      <c r="P238" s="10">
        <f t="shared" si="37"/>
        <v>0.33523211057711316</v>
      </c>
      <c r="V238" s="10">
        <f t="shared" si="39"/>
        <v>7.5835294212868498E-2</v>
      </c>
      <c r="W238" s="13">
        <f t="shared" si="32"/>
        <v>21.533260163876928</v>
      </c>
      <c r="Z238" s="15">
        <f t="shared" si="38"/>
        <v>27.241997741965001</v>
      </c>
    </row>
    <row r="239" spans="1:26">
      <c r="A239" s="84">
        <f>'Q.6 Rand()'!V237</f>
        <v>4</v>
      </c>
      <c r="B239" s="141">
        <f>'Q.6 Rand()'!W237</f>
        <v>26.2</v>
      </c>
      <c r="D239" s="23"/>
      <c r="E239" s="24"/>
      <c r="F239" s="22">
        <f t="shared" si="30"/>
        <v>0.56097560975609673</v>
      </c>
      <c r="G239" s="22">
        <f t="shared" si="33"/>
        <v>-8.7806132791327904</v>
      </c>
      <c r="H239" s="18">
        <f t="shared" si="34"/>
        <v>-4.9257098882939969</v>
      </c>
      <c r="I239" s="18">
        <f t="shared" si="35"/>
        <v>0.31469363474122453</v>
      </c>
      <c r="J239" s="24"/>
      <c r="K239" s="24"/>
      <c r="L239" s="19">
        <f t="shared" si="36"/>
        <v>32.208429613124252</v>
      </c>
      <c r="O239" s="9">
        <f t="shared" si="31"/>
        <v>-6.0084296131242532</v>
      </c>
      <c r="P239" s="10">
        <f t="shared" si="37"/>
        <v>36.10122641586846</v>
      </c>
      <c r="V239" s="10">
        <f t="shared" si="39"/>
        <v>1.4402794114878612E-2</v>
      </c>
      <c r="W239" s="13">
        <f t="shared" si="32"/>
        <v>7.6850022780845331</v>
      </c>
      <c r="Z239" s="15">
        <f t="shared" si="38"/>
        <v>77.099169557683098</v>
      </c>
    </row>
    <row r="240" spans="1:26">
      <c r="A240" s="84">
        <f>'Q.6 Rand()'!V238</f>
        <v>2</v>
      </c>
      <c r="B240" s="141">
        <f>'Q.6 Rand()'!W238</f>
        <v>60.1</v>
      </c>
      <c r="D240" s="23"/>
      <c r="E240" s="24"/>
      <c r="F240" s="22">
        <f t="shared" si="30"/>
        <v>-1.4390243902439033</v>
      </c>
      <c r="G240" s="22">
        <f t="shared" si="33"/>
        <v>25.119386720867212</v>
      </c>
      <c r="H240" s="18">
        <f t="shared" si="34"/>
        <v>-36.14741015929674</v>
      </c>
      <c r="I240" s="18">
        <f t="shared" si="35"/>
        <v>2.0707911957168377</v>
      </c>
      <c r="J240" s="24"/>
      <c r="K240" s="24"/>
      <c r="L240" s="19">
        <f t="shared" si="36"/>
        <v>42.091867031067757</v>
      </c>
      <c r="O240" s="9">
        <f t="shared" si="31"/>
        <v>18.008132968932244</v>
      </c>
      <c r="P240" s="10">
        <f t="shared" si="37"/>
        <v>324.29285302674447</v>
      </c>
      <c r="V240" s="10">
        <f t="shared" si="39"/>
        <v>0.22932937454672722</v>
      </c>
      <c r="W240" s="13">
        <f t="shared" si="32"/>
        <v>50.569929924409145</v>
      </c>
      <c r="Z240" s="15">
        <f t="shared" si="38"/>
        <v>630.98358923247997</v>
      </c>
    </row>
    <row r="241" spans="1:26">
      <c r="A241" s="84">
        <f>'Q.6 Rand()'!V239</f>
        <v>1.5</v>
      </c>
      <c r="B241" s="141">
        <f>'Q.6 Rand()'!W239</f>
        <v>48.862200000000001</v>
      </c>
      <c r="D241" s="23"/>
      <c r="E241" s="24"/>
      <c r="F241" s="22">
        <f t="shared" si="30"/>
        <v>-1.9390243902439033</v>
      </c>
      <c r="G241" s="22">
        <f t="shared" si="33"/>
        <v>13.881586720867212</v>
      </c>
      <c r="H241" s="18">
        <f t="shared" si="34"/>
        <v>-26.916735227047411</v>
      </c>
      <c r="I241" s="18">
        <f t="shared" si="35"/>
        <v>3.7598155859607409</v>
      </c>
      <c r="J241" s="24"/>
      <c r="K241" s="24"/>
      <c r="L241" s="19">
        <f t="shared" si="36"/>
        <v>44.562726385553638</v>
      </c>
      <c r="O241" s="9">
        <f t="shared" si="31"/>
        <v>4.299473614446363</v>
      </c>
      <c r="P241" s="10">
        <f t="shared" si="37"/>
        <v>18.485473361320473</v>
      </c>
      <c r="V241" s="10">
        <f t="shared" si="39"/>
        <v>0.29963615588905562</v>
      </c>
      <c r="W241" s="13">
        <f t="shared" si="32"/>
        <v>91.8168915842422</v>
      </c>
      <c r="Z241" s="15">
        <f t="shared" si="38"/>
        <v>192.6984498889569</v>
      </c>
    </row>
    <row r="242" spans="1:26">
      <c r="A242" s="84">
        <f>'Q.6 Rand()'!V240</f>
        <v>4</v>
      </c>
      <c r="B242" s="141">
        <f>'Q.6 Rand()'!W240</f>
        <v>26.384599999999999</v>
      </c>
      <c r="D242" s="23"/>
      <c r="E242" s="24"/>
      <c r="F242" s="22">
        <f t="shared" si="30"/>
        <v>0.56097560975609673</v>
      </c>
      <c r="G242" s="22">
        <f t="shared" si="33"/>
        <v>-8.5960132791327908</v>
      </c>
      <c r="H242" s="18">
        <f t="shared" si="34"/>
        <v>-4.8221537907330214</v>
      </c>
      <c r="I242" s="18">
        <f t="shared" si="35"/>
        <v>0.31469363474122453</v>
      </c>
      <c r="J242" s="24"/>
      <c r="K242" s="24"/>
      <c r="L242" s="19">
        <f t="shared" si="36"/>
        <v>32.208429613124252</v>
      </c>
      <c r="O242" s="9">
        <f t="shared" si="31"/>
        <v>-5.8238296131242535</v>
      </c>
      <c r="P242" s="10">
        <f t="shared" si="37"/>
        <v>33.916991362702994</v>
      </c>
      <c r="V242" s="10">
        <f t="shared" si="39"/>
        <v>8.7991814008504796E-2</v>
      </c>
      <c r="W242" s="13">
        <f t="shared" si="32"/>
        <v>7.6850022780845331</v>
      </c>
      <c r="Z242" s="15">
        <f t="shared" si="38"/>
        <v>73.89144429502727</v>
      </c>
    </row>
    <row r="243" spans="1:26">
      <c r="A243" s="84">
        <f>'Q.6 Rand()'!V241</f>
        <v>3</v>
      </c>
      <c r="B243" s="141">
        <f>'Q.6 Rand()'!W241</f>
        <v>35.5</v>
      </c>
      <c r="D243" s="23"/>
      <c r="E243" s="24"/>
      <c r="F243" s="22">
        <f t="shared" si="30"/>
        <v>-0.43902439024390327</v>
      </c>
      <c r="G243" s="22">
        <f t="shared" si="33"/>
        <v>0.51938672086721027</v>
      </c>
      <c r="H243" s="18">
        <f t="shared" si="34"/>
        <v>-0.22802343842950737</v>
      </c>
      <c r="I243" s="18">
        <f t="shared" si="35"/>
        <v>0.19274241522903107</v>
      </c>
      <c r="J243" s="24"/>
      <c r="K243" s="24"/>
      <c r="L243" s="19">
        <f t="shared" si="36"/>
        <v>37.150148322096001</v>
      </c>
      <c r="O243" s="9">
        <f t="shared" si="31"/>
        <v>-1.6501483220960012</v>
      </c>
      <c r="P243" s="10">
        <f t="shared" si="37"/>
        <v>2.7229894849162481</v>
      </c>
      <c r="V243" s="10">
        <f t="shared" si="39"/>
        <v>0.22072836477051969</v>
      </c>
      <c r="W243" s="13">
        <f t="shared" si="32"/>
        <v>4.7068823026453837</v>
      </c>
      <c r="Z243" s="15">
        <f t="shared" si="38"/>
        <v>0.26976256581319341</v>
      </c>
    </row>
    <row r="244" spans="1:26">
      <c r="A244" s="84">
        <f>'Q.6 Rand()'!V242</f>
        <v>2.4</v>
      </c>
      <c r="B244" s="141">
        <f>'Q.6 Rand()'!W242</f>
        <v>37.6</v>
      </c>
      <c r="D244" s="23"/>
      <c r="E244" s="24"/>
      <c r="F244" s="22">
        <f t="shared" si="30"/>
        <v>-1.0390243902439034</v>
      </c>
      <c r="G244" s="22">
        <f t="shared" si="33"/>
        <v>2.6193867208672117</v>
      </c>
      <c r="H244" s="18">
        <f t="shared" si="34"/>
        <v>-2.721606690462032</v>
      </c>
      <c r="I244" s="18">
        <f t="shared" si="35"/>
        <v>1.0795716835217153</v>
      </c>
      <c r="J244" s="24"/>
      <c r="K244" s="24"/>
      <c r="L244" s="19">
        <f t="shared" si="36"/>
        <v>40.115179547479059</v>
      </c>
      <c r="O244" s="9">
        <f t="shared" si="31"/>
        <v>-2.5151795474790575</v>
      </c>
      <c r="P244" s="10">
        <f t="shared" si="37"/>
        <v>6.3261281560569564</v>
      </c>
      <c r="V244" s="10">
        <f t="shared" si="39"/>
        <v>4.6483051326647921E-2</v>
      </c>
      <c r="W244" s="13">
        <f t="shared" si="32"/>
        <v>26.36377076403933</v>
      </c>
      <c r="Z244" s="15">
        <f t="shared" si="38"/>
        <v>6.8611867934554835</v>
      </c>
    </row>
    <row r="245" spans="1:26">
      <c r="A245" s="84">
        <f>'Q.6 Rand()'!V243</f>
        <v>3.7</v>
      </c>
      <c r="B245" s="141">
        <f>'Q.6 Rand()'!W243</f>
        <v>34.4</v>
      </c>
      <c r="D245" s="23"/>
      <c r="E245" s="24"/>
      <c r="F245" s="22">
        <f t="shared" si="30"/>
        <v>0.2609756097560969</v>
      </c>
      <c r="G245" s="22">
        <f t="shared" si="33"/>
        <v>-0.58061327913279115</v>
      </c>
      <c r="H245" s="18">
        <f t="shared" si="34"/>
        <v>-0.15152590455416706</v>
      </c>
      <c r="I245" s="18">
        <f t="shared" si="35"/>
        <v>6.8108268887566575E-2</v>
      </c>
      <c r="J245" s="24"/>
      <c r="K245" s="24"/>
      <c r="L245" s="19">
        <f t="shared" si="36"/>
        <v>33.690945225815774</v>
      </c>
      <c r="O245" s="9">
        <f t="shared" si="31"/>
        <v>0.70905477418422436</v>
      </c>
      <c r="P245" s="10">
        <f t="shared" si="37"/>
        <v>0.50275867279344144</v>
      </c>
      <c r="V245" s="10">
        <f t="shared" si="39"/>
        <v>6.689307307125153E-2</v>
      </c>
      <c r="W245" s="13">
        <f t="shared" si="32"/>
        <v>1.6632436877465004</v>
      </c>
      <c r="Z245" s="15">
        <f t="shared" si="38"/>
        <v>0.33711177990533248</v>
      </c>
    </row>
    <row r="246" spans="1:26">
      <c r="A246" s="84">
        <f>'Q.6 Rand()'!V244</f>
        <v>2.5</v>
      </c>
      <c r="B246" s="141">
        <f>'Q.6 Rand()'!W244</f>
        <v>30.168800000000001</v>
      </c>
      <c r="D246" s="23"/>
      <c r="E246" s="24"/>
      <c r="F246" s="22">
        <f t="shared" si="30"/>
        <v>-0.93902439024390327</v>
      </c>
      <c r="G246" s="22">
        <f t="shared" si="33"/>
        <v>-4.8118132791327888</v>
      </c>
      <c r="H246" s="18">
        <f t="shared" si="34"/>
        <v>4.5184100304051835</v>
      </c>
      <c r="I246" s="18">
        <f t="shared" si="35"/>
        <v>0.88176680547293429</v>
      </c>
      <c r="J246" s="24"/>
      <c r="K246" s="24"/>
      <c r="L246" s="19">
        <f t="shared" si="36"/>
        <v>39.621007676581883</v>
      </c>
      <c r="O246" s="9">
        <f t="shared" si="31"/>
        <v>-9.4522076765818817</v>
      </c>
      <c r="P246" s="10">
        <f t="shared" si="37"/>
        <v>89.344229961233452</v>
      </c>
      <c r="V246" s="10">
        <f t="shared" si="39"/>
        <v>2.0612057389076292E-2</v>
      </c>
      <c r="W246" s="13">
        <f t="shared" si="32"/>
        <v>21.533260163876928</v>
      </c>
      <c r="Z246" s="15">
        <f t="shared" si="38"/>
        <v>23.153547033238642</v>
      </c>
    </row>
    <row r="247" spans="1:26">
      <c r="A247" s="84">
        <f>'Q.6 Rand()'!V245</f>
        <v>4</v>
      </c>
      <c r="B247" s="141">
        <f>'Q.6 Rand()'!W245</f>
        <v>30.2</v>
      </c>
      <c r="D247" s="23"/>
      <c r="E247" s="24"/>
      <c r="F247" s="22">
        <f t="shared" si="30"/>
        <v>0.56097560975609673</v>
      </c>
      <c r="G247" s="22">
        <f t="shared" si="33"/>
        <v>-4.7806132791327904</v>
      </c>
      <c r="H247" s="18">
        <f t="shared" si="34"/>
        <v>-2.68180744926961</v>
      </c>
      <c r="I247" s="18">
        <f t="shared" si="35"/>
        <v>0.31469363474122453</v>
      </c>
      <c r="J247" s="24"/>
      <c r="K247" s="24"/>
      <c r="L247" s="19">
        <f t="shared" si="36"/>
        <v>32.208429613124252</v>
      </c>
      <c r="O247" s="9">
        <f t="shared" si="31"/>
        <v>-2.0084296131242532</v>
      </c>
      <c r="P247" s="10">
        <f t="shared" si="37"/>
        <v>4.0337895108744375</v>
      </c>
      <c r="V247" s="10">
        <f t="shared" si="39"/>
        <v>0.31331069437902342</v>
      </c>
      <c r="W247" s="13">
        <f t="shared" si="32"/>
        <v>7.6850022780845331</v>
      </c>
      <c r="Z247" s="15">
        <f t="shared" si="38"/>
        <v>22.854263324620771</v>
      </c>
    </row>
    <row r="248" spans="1:26">
      <c r="A248" s="84">
        <f>'Q.6 Rand()'!V246</f>
        <v>3.7</v>
      </c>
      <c r="B248" s="141">
        <f>'Q.6 Rand()'!W246</f>
        <v>35.161999999999999</v>
      </c>
      <c r="D248" s="23"/>
      <c r="E248" s="24"/>
      <c r="F248" s="22">
        <f t="shared" si="30"/>
        <v>0.2609756097560969</v>
      </c>
      <c r="G248" s="22">
        <f t="shared" si="33"/>
        <v>0.18138672086720931</v>
      </c>
      <c r="H248" s="18">
        <f t="shared" si="34"/>
        <v>4.7337510079978898E-2</v>
      </c>
      <c r="I248" s="18">
        <f t="shared" si="35"/>
        <v>6.8108268887566575E-2</v>
      </c>
      <c r="J248" s="24"/>
      <c r="K248" s="24"/>
      <c r="L248" s="19">
        <f t="shared" si="36"/>
        <v>33.690945225815774</v>
      </c>
      <c r="O248" s="9">
        <f t="shared" si="31"/>
        <v>1.4710547741842248</v>
      </c>
      <c r="P248" s="10">
        <f t="shared" si="37"/>
        <v>2.1640021486502006</v>
      </c>
      <c r="V248" s="10">
        <f t="shared" si="39"/>
        <v>6.65042918253064E-2</v>
      </c>
      <c r="W248" s="13">
        <f t="shared" si="32"/>
        <v>1.6632436877465004</v>
      </c>
      <c r="Z248" s="15">
        <f t="shared" si="38"/>
        <v>3.2901142506958907E-2</v>
      </c>
    </row>
    <row r="249" spans="1:26">
      <c r="A249" s="84">
        <f>'Q.6 Rand()'!V247</f>
        <v>1.6</v>
      </c>
      <c r="B249" s="141">
        <f>'Q.6 Rand()'!W247</f>
        <v>48.2</v>
      </c>
      <c r="D249" s="23"/>
      <c r="E249" s="24"/>
      <c r="F249" s="22">
        <f t="shared" si="30"/>
        <v>-1.8390243902439032</v>
      </c>
      <c r="G249" s="22">
        <f t="shared" si="33"/>
        <v>13.219386720867213</v>
      </c>
      <c r="H249" s="18">
        <f t="shared" si="34"/>
        <v>-24.310774603741176</v>
      </c>
      <c r="I249" s="18">
        <f t="shared" si="35"/>
        <v>3.3820107079119599</v>
      </c>
      <c r="J249" s="24"/>
      <c r="K249" s="24"/>
      <c r="L249" s="19">
        <f t="shared" si="36"/>
        <v>44.068554514656462</v>
      </c>
      <c r="O249" s="9">
        <f t="shared" si="31"/>
        <v>4.1314454853435407</v>
      </c>
      <c r="P249" s="10">
        <f t="shared" si="37"/>
        <v>17.068841798365526</v>
      </c>
      <c r="V249" s="10">
        <f t="shared" si="39"/>
        <v>4.1836493208128801E-2</v>
      </c>
      <c r="W249" s="13">
        <f t="shared" si="32"/>
        <v>82.590675900331533</v>
      </c>
      <c r="Z249" s="15">
        <f t="shared" si="38"/>
        <v>174.75218527584042</v>
      </c>
    </row>
    <row r="250" spans="1:26">
      <c r="A250" s="84">
        <f>'Q.6 Rand()'!V248</f>
        <v>4</v>
      </c>
      <c r="B250" s="141">
        <f>'Q.6 Rand()'!W248</f>
        <v>27.589400000000001</v>
      </c>
      <c r="D250" s="23"/>
      <c r="E250" s="24"/>
      <c r="F250" s="22">
        <f t="shared" si="30"/>
        <v>0.56097560975609673</v>
      </c>
      <c r="G250" s="22">
        <f t="shared" si="33"/>
        <v>-7.3912132791327885</v>
      </c>
      <c r="H250" s="18">
        <f t="shared" si="34"/>
        <v>-4.1462903760988752</v>
      </c>
      <c r="I250" s="18">
        <f t="shared" si="35"/>
        <v>0.31469363474122453</v>
      </c>
      <c r="J250" s="24"/>
      <c r="K250" s="24"/>
      <c r="L250" s="19">
        <f t="shared" si="36"/>
        <v>32.208429613124252</v>
      </c>
      <c r="O250" s="9">
        <f t="shared" si="31"/>
        <v>-4.6190296131242512</v>
      </c>
      <c r="P250" s="10">
        <f t="shared" si="37"/>
        <v>21.335434566918771</v>
      </c>
      <c r="V250" s="10">
        <f t="shared" si="39"/>
        <v>8.5714636625384658E-2</v>
      </c>
      <c r="W250" s="13">
        <f t="shared" si="32"/>
        <v>7.6850022780845331</v>
      </c>
      <c r="Z250" s="15">
        <f t="shared" si="38"/>
        <v>54.630033737628871</v>
      </c>
    </row>
    <row r="251" spans="1:26">
      <c r="A251" s="84">
        <f>'Q.6 Rand()'!V249</f>
        <v>1.6</v>
      </c>
      <c r="B251" s="141">
        <f>'Q.6 Rand()'!W249</f>
        <v>48.318800000000003</v>
      </c>
      <c r="D251" s="23"/>
      <c r="E251" s="24"/>
      <c r="F251" s="22">
        <f t="shared" si="30"/>
        <v>-1.8390243902439032</v>
      </c>
      <c r="G251" s="22">
        <f t="shared" si="33"/>
        <v>13.338186720867213</v>
      </c>
      <c r="H251" s="18">
        <f t="shared" si="34"/>
        <v>-24.529250701302153</v>
      </c>
      <c r="I251" s="18">
        <f t="shared" si="35"/>
        <v>3.3820107079119599</v>
      </c>
      <c r="J251" s="24"/>
      <c r="K251" s="24"/>
      <c r="L251" s="19">
        <f t="shared" si="36"/>
        <v>44.068554514656462</v>
      </c>
      <c r="O251" s="9">
        <f t="shared" si="31"/>
        <v>4.250245485343541</v>
      </c>
      <c r="P251" s="10">
        <f t="shared" si="37"/>
        <v>18.064586685683153</v>
      </c>
      <c r="V251" s="10">
        <f t="shared" si="39"/>
        <v>0.16742044455929636</v>
      </c>
      <c r="W251" s="13">
        <f t="shared" si="32"/>
        <v>82.590675900331533</v>
      </c>
      <c r="Z251" s="15">
        <f t="shared" si="38"/>
        <v>177.90722500071846</v>
      </c>
    </row>
    <row r="252" spans="1:26">
      <c r="A252" s="84">
        <f>'Q.6 Rand()'!V250</f>
        <v>2.4</v>
      </c>
      <c r="B252" s="141">
        <f>'Q.6 Rand()'!W250</f>
        <v>40.370600000000003</v>
      </c>
      <c r="D252" s="23"/>
      <c r="E252" s="24"/>
      <c r="F252" s="22">
        <f t="shared" si="30"/>
        <v>-1.0390243902439034</v>
      </c>
      <c r="G252" s="22">
        <f t="shared" si="33"/>
        <v>5.3899867208672134</v>
      </c>
      <c r="H252" s="18">
        <f t="shared" si="34"/>
        <v>-5.6003276660717924</v>
      </c>
      <c r="I252" s="18">
        <f t="shared" si="35"/>
        <v>1.0795716835217153</v>
      </c>
      <c r="J252" s="24"/>
      <c r="K252" s="24"/>
      <c r="L252" s="19">
        <f t="shared" si="36"/>
        <v>40.115179547479059</v>
      </c>
      <c r="O252" s="9">
        <f t="shared" si="31"/>
        <v>0.25542045252094425</v>
      </c>
      <c r="P252" s="10">
        <f t="shared" si="37"/>
        <v>6.5239607566003943E-2</v>
      </c>
      <c r="V252" s="10">
        <f t="shared" si="39"/>
        <v>8.7962562922579632E-2</v>
      </c>
      <c r="W252" s="13">
        <f t="shared" si="32"/>
        <v>26.36377076403933</v>
      </c>
      <c r="Z252" s="15">
        <f t="shared" si="38"/>
        <v>29.051956851124896</v>
      </c>
    </row>
    <row r="253" spans="1:26">
      <c r="A253" s="84">
        <f>'Q.6 Rand()'!V251</f>
        <v>4.5999999999999996</v>
      </c>
      <c r="B253" s="141">
        <f>'Q.6 Rand()'!W251</f>
        <v>29.9</v>
      </c>
      <c r="D253" s="23"/>
      <c r="E253" s="24"/>
      <c r="F253" s="22">
        <f t="shared" si="30"/>
        <v>1.1609756097560964</v>
      </c>
      <c r="G253" s="22">
        <f t="shared" si="33"/>
        <v>-5.0806132791327911</v>
      </c>
      <c r="H253" s="18">
        <f t="shared" si="34"/>
        <v>-5.8984680996761121</v>
      </c>
      <c r="I253" s="18">
        <f t="shared" si="35"/>
        <v>1.3478643664485397</v>
      </c>
      <c r="J253" s="24"/>
      <c r="K253" s="24"/>
      <c r="L253" s="19">
        <f t="shared" si="36"/>
        <v>29.243398387741198</v>
      </c>
      <c r="O253" s="9">
        <f t="shared" si="31"/>
        <v>0.65660161225880032</v>
      </c>
      <c r="P253" s="10">
        <f t="shared" si="37"/>
        <v>0.43112567722085593</v>
      </c>
      <c r="V253" s="10">
        <f t="shared" si="39"/>
        <v>6.3268926525972919E-3</v>
      </c>
      <c r="W253" s="13">
        <f t="shared" si="32"/>
        <v>32.915634710005428</v>
      </c>
      <c r="Z253" s="15">
        <f t="shared" si="38"/>
        <v>25.812631292100452</v>
      </c>
    </row>
    <row r="254" spans="1:26">
      <c r="A254" s="84">
        <f>'Q.6 Rand()'!V252</f>
        <v>2</v>
      </c>
      <c r="B254" s="141">
        <f>'Q.6 Rand()'!W252</f>
        <v>48.2</v>
      </c>
      <c r="D254" s="23"/>
      <c r="E254" s="24"/>
      <c r="F254" s="22">
        <f t="shared" si="30"/>
        <v>-1.4390243902439033</v>
      </c>
      <c r="G254" s="22">
        <f t="shared" si="33"/>
        <v>13.219386720867213</v>
      </c>
      <c r="H254" s="18">
        <f t="shared" si="34"/>
        <v>-19.023019915394293</v>
      </c>
      <c r="I254" s="18">
        <f t="shared" si="35"/>
        <v>2.0707911957168377</v>
      </c>
      <c r="J254" s="24"/>
      <c r="K254" s="24"/>
      <c r="L254" s="19">
        <f t="shared" si="36"/>
        <v>42.091867031067757</v>
      </c>
      <c r="O254" s="9">
        <f t="shared" si="31"/>
        <v>6.1081329689322459</v>
      </c>
      <c r="P254" s="10">
        <f t="shared" si="37"/>
        <v>37.309288366157055</v>
      </c>
      <c r="V254" s="10">
        <f t="shared" si="39"/>
        <v>2.1959920142434794E-2</v>
      </c>
      <c r="W254" s="13">
        <f t="shared" si="32"/>
        <v>50.569929924409145</v>
      </c>
      <c r="Z254" s="15">
        <f t="shared" si="38"/>
        <v>174.75218527584042</v>
      </c>
    </row>
    <row r="255" spans="1:26">
      <c r="A255" s="84">
        <f>'Q.6 Rand()'!V253</f>
        <v>1.8</v>
      </c>
      <c r="B255" s="141">
        <f>'Q.6 Rand()'!W253</f>
        <v>46.9</v>
      </c>
      <c r="D255" s="23"/>
      <c r="E255" s="24"/>
      <c r="F255" s="22">
        <f t="shared" si="30"/>
        <v>-1.6390243902439032</v>
      </c>
      <c r="G255" s="22">
        <f t="shared" si="33"/>
        <v>11.919386720867209</v>
      </c>
      <c r="H255" s="18">
        <f t="shared" si="34"/>
        <v>-19.536165552250655</v>
      </c>
      <c r="I255" s="18">
        <f t="shared" si="35"/>
        <v>2.6864009518143988</v>
      </c>
      <c r="J255" s="24"/>
      <c r="K255" s="24"/>
      <c r="L255" s="19">
        <f t="shared" si="36"/>
        <v>43.08021077286211</v>
      </c>
      <c r="O255" s="9">
        <f t="shared" si="31"/>
        <v>3.819789227137889</v>
      </c>
      <c r="P255" s="10">
        <f t="shared" si="37"/>
        <v>14.590789739758671</v>
      </c>
      <c r="V255" s="10">
        <f t="shared" si="39"/>
        <v>0.12672475039278519</v>
      </c>
      <c r="W255" s="13">
        <f t="shared" si="32"/>
        <v>65.60347956042628</v>
      </c>
      <c r="Z255" s="15">
        <f t="shared" si="38"/>
        <v>142.07177980158556</v>
      </c>
    </row>
    <row r="256" spans="1:26">
      <c r="A256" s="84">
        <f>'Q.6 Rand()'!V254</f>
        <v>4.4000000000000004</v>
      </c>
      <c r="B256" s="141">
        <f>'Q.6 Rand()'!W254</f>
        <v>30.953700000000001</v>
      </c>
      <c r="D256" s="23"/>
      <c r="E256" s="24"/>
      <c r="F256" s="22">
        <f t="shared" si="30"/>
        <v>0.96097560975609708</v>
      </c>
      <c r="G256" s="22">
        <f t="shared" si="33"/>
        <v>-4.0269132791327884</v>
      </c>
      <c r="H256" s="18">
        <f t="shared" si="34"/>
        <v>-3.8697654438495559</v>
      </c>
      <c r="I256" s="18">
        <f t="shared" si="35"/>
        <v>0.92347412254610262</v>
      </c>
      <c r="J256" s="24"/>
      <c r="K256" s="24"/>
      <c r="L256" s="19">
        <f t="shared" si="36"/>
        <v>30.231742129535544</v>
      </c>
      <c r="O256" s="9">
        <f t="shared" si="31"/>
        <v>0.72195787046445759</v>
      </c>
      <c r="P256" s="10">
        <f t="shared" si="37"/>
        <v>0.52122316672557456</v>
      </c>
      <c r="V256" s="10">
        <f t="shared" si="39"/>
        <v>8.1445399299315338E-2</v>
      </c>
      <c r="W256" s="13">
        <f t="shared" si="32"/>
        <v>22.551777195477069</v>
      </c>
      <c r="Z256" s="15">
        <f t="shared" si="38"/>
        <v>16.216030557655987</v>
      </c>
    </row>
    <row r="257" spans="1:26">
      <c r="A257" s="84">
        <f>'Q.6 Rand()'!V255</f>
        <v>2.9</v>
      </c>
      <c r="B257" s="141">
        <f>'Q.6 Rand()'!W255</f>
        <v>32.4</v>
      </c>
      <c r="D257" s="23"/>
      <c r="E257" s="24"/>
      <c r="F257" s="22">
        <f t="shared" si="30"/>
        <v>-0.53902439024390336</v>
      </c>
      <c r="G257" s="22">
        <f t="shared" si="33"/>
        <v>-2.5806132791327911</v>
      </c>
      <c r="H257" s="18">
        <f t="shared" si="34"/>
        <v>1.3910134992398728</v>
      </c>
      <c r="I257" s="18">
        <f t="shared" si="35"/>
        <v>0.29054729327781181</v>
      </c>
      <c r="J257" s="24"/>
      <c r="K257" s="24"/>
      <c r="L257" s="19">
        <f t="shared" si="36"/>
        <v>37.644320192993177</v>
      </c>
      <c r="O257" s="9">
        <f t="shared" si="31"/>
        <v>-5.2443201929931789</v>
      </c>
      <c r="P257" s="10">
        <f t="shared" si="37"/>
        <v>27.502894286636014</v>
      </c>
      <c r="V257" s="10">
        <f t="shared" si="39"/>
        <v>2.3323798785426543E-2</v>
      </c>
      <c r="W257" s="13">
        <f t="shared" si="32"/>
        <v>7.0953345229476312</v>
      </c>
      <c r="Z257" s="15">
        <f t="shared" si="38"/>
        <v>6.6595648964364971</v>
      </c>
    </row>
    <row r="258" spans="1:26">
      <c r="A258" s="84">
        <f>'Q.6 Rand()'!V256</f>
        <v>5</v>
      </c>
      <c r="B258" s="141">
        <f>'Q.6 Rand()'!W256</f>
        <v>30.337800000000001</v>
      </c>
      <c r="D258" s="23"/>
      <c r="E258" s="24"/>
      <c r="F258" s="22">
        <f t="shared" si="30"/>
        <v>1.5609756097560967</v>
      </c>
      <c r="G258" s="22">
        <f t="shared" si="33"/>
        <v>-4.6428132791327883</v>
      </c>
      <c r="H258" s="18">
        <f t="shared" si="34"/>
        <v>-7.2473182893780068</v>
      </c>
      <c r="I258" s="18">
        <f t="shared" si="35"/>
        <v>2.436644854253418</v>
      </c>
      <c r="J258" s="24"/>
      <c r="K258" s="24"/>
      <c r="L258" s="19">
        <f t="shared" si="36"/>
        <v>27.266710904152493</v>
      </c>
      <c r="O258" s="9">
        <f t="shared" si="31"/>
        <v>3.0710890958475083</v>
      </c>
      <c r="P258" s="10">
        <f t="shared" si="37"/>
        <v>9.4315882346334661</v>
      </c>
      <c r="V258" s="10">
        <f t="shared" si="39"/>
        <v>0.16186173435164133</v>
      </c>
      <c r="W258" s="13">
        <f t="shared" si="32"/>
        <v>59.504289850726664</v>
      </c>
      <c r="Z258" s="15">
        <f t="shared" si="38"/>
        <v>21.555715144891753</v>
      </c>
    </row>
    <row r="259" spans="1:26">
      <c r="A259" s="84">
        <f>'Q.6 Rand()'!V257</f>
        <v>4.8</v>
      </c>
      <c r="B259" s="141">
        <f>'Q.6 Rand()'!W257</f>
        <v>24.153400000000001</v>
      </c>
      <c r="D259" s="23"/>
      <c r="E259" s="24"/>
      <c r="F259" s="22">
        <f t="shared" si="30"/>
        <v>1.3609756097560965</v>
      </c>
      <c r="G259" s="22">
        <f t="shared" si="33"/>
        <v>-10.827213279132788</v>
      </c>
      <c r="H259" s="18">
        <f t="shared" si="34"/>
        <v>-14.735573194527053</v>
      </c>
      <c r="I259" s="18">
        <f t="shared" si="35"/>
        <v>1.8522546103509787</v>
      </c>
      <c r="J259" s="24"/>
      <c r="K259" s="24"/>
      <c r="L259" s="19">
        <f t="shared" si="36"/>
        <v>28.255054645946846</v>
      </c>
      <c r="O259" s="9">
        <f t="shared" si="31"/>
        <v>-4.1016546459468444</v>
      </c>
      <c r="P259" s="10">
        <f t="shared" si="37"/>
        <v>16.823570834617332</v>
      </c>
      <c r="V259" s="10">
        <f t="shared" si="39"/>
        <v>0.10122978910295105</v>
      </c>
      <c r="W259" s="13">
        <f t="shared" si="32"/>
        <v>45.233138928421987</v>
      </c>
      <c r="Z259" s="15">
        <f t="shared" si="38"/>
        <v>117.22854739182939</v>
      </c>
    </row>
    <row r="260" spans="1:26">
      <c r="A260" s="84">
        <f>'Q.6 Rand()'!V258</f>
        <v>1.6</v>
      </c>
      <c r="B260" s="141">
        <f>'Q.6 Rand()'!W258</f>
        <v>44.571399999999997</v>
      </c>
      <c r="D260" s="23"/>
      <c r="E260" s="24"/>
      <c r="F260" s="22">
        <f t="shared" si="30"/>
        <v>-1.8390243902439032</v>
      </c>
      <c r="G260" s="22">
        <f t="shared" si="33"/>
        <v>9.5907867208672073</v>
      </c>
      <c r="H260" s="18">
        <f t="shared" si="34"/>
        <v>-17.637690701302141</v>
      </c>
      <c r="I260" s="18">
        <f t="shared" si="35"/>
        <v>3.3820107079119599</v>
      </c>
      <c r="J260" s="24"/>
      <c r="K260" s="24"/>
      <c r="L260" s="19">
        <f t="shared" si="36"/>
        <v>44.068554514656462</v>
      </c>
      <c r="O260" s="9">
        <f t="shared" si="31"/>
        <v>0.5028454853435349</v>
      </c>
      <c r="P260" s="10">
        <f t="shared" si="37"/>
        <v>0.25285358213037518</v>
      </c>
      <c r="V260" s="10">
        <f t="shared" si="39"/>
        <v>0.16981686412458885</v>
      </c>
      <c r="W260" s="13">
        <f t="shared" si="32"/>
        <v>82.590675900331533</v>
      </c>
      <c r="Z260" s="15">
        <f t="shared" si="38"/>
        <v>91.983189925162762</v>
      </c>
    </row>
    <row r="261" spans="1:26">
      <c r="A261" s="84">
        <f>'Q.6 Rand()'!V259</f>
        <v>1.6</v>
      </c>
      <c r="B261" s="141">
        <f>'Q.6 Rand()'!W259</f>
        <v>50.2669</v>
      </c>
      <c r="D261" s="23"/>
      <c r="E261" s="24"/>
      <c r="F261" s="22">
        <f t="shared" ref="F261:F324" si="40">A261-$D$5</f>
        <v>-1.8390243902439032</v>
      </c>
      <c r="G261" s="22">
        <f t="shared" si="33"/>
        <v>15.28628672086721</v>
      </c>
      <c r="H261" s="18">
        <f t="shared" si="34"/>
        <v>-28.111854115936296</v>
      </c>
      <c r="I261" s="18">
        <f t="shared" si="35"/>
        <v>3.3820107079119599</v>
      </c>
      <c r="J261" s="24"/>
      <c r="K261" s="24"/>
      <c r="L261" s="19">
        <f t="shared" si="36"/>
        <v>44.068554514656462</v>
      </c>
      <c r="O261" s="9">
        <f t="shared" ref="O261:O324" si="41">B261-L261</f>
        <v>6.1983454853435376</v>
      </c>
      <c r="P261" s="10">
        <f t="shared" si="37"/>
        <v>38.419486755678612</v>
      </c>
      <c r="V261" s="10">
        <f t="shared" si="39"/>
        <v>1.128179696719275E-2</v>
      </c>
      <c r="W261" s="13">
        <f t="shared" ref="W261:W324" si="42">(L261-$E$5)^2</f>
        <v>82.590675900331533</v>
      </c>
      <c r="Z261" s="15">
        <f t="shared" si="38"/>
        <v>233.67056171256121</v>
      </c>
    </row>
    <row r="262" spans="1:26">
      <c r="A262" s="84">
        <f>'Q.6 Rand()'!V260</f>
        <v>3</v>
      </c>
      <c r="B262" s="141">
        <f>'Q.6 Rand()'!W260</f>
        <v>35.460599999999999</v>
      </c>
      <c r="D262" s="23"/>
      <c r="E262" s="24"/>
      <c r="F262" s="22">
        <f t="shared" si="40"/>
        <v>-0.43902439024390327</v>
      </c>
      <c r="G262" s="22">
        <f t="shared" ref="G262:G325" si="43">B262-$E$5</f>
        <v>0.47998672086720973</v>
      </c>
      <c r="H262" s="18">
        <f t="shared" ref="H262:H325" si="44">F262*G262</f>
        <v>-0.21072587745389734</v>
      </c>
      <c r="I262" s="18">
        <f t="shared" ref="I262:I325" si="45">F262^2</f>
        <v>0.19274241522903107</v>
      </c>
      <c r="J262" s="24"/>
      <c r="K262" s="24"/>
      <c r="L262" s="19">
        <f t="shared" ref="L262:L325" si="46">$K$5+$J$5*A262</f>
        <v>37.150148322096001</v>
      </c>
      <c r="O262" s="9">
        <f t="shared" si="41"/>
        <v>-1.6895483220960017</v>
      </c>
      <c r="P262" s="10">
        <f t="shared" ref="P262:P325" si="47">O262^2</f>
        <v>2.8545735326974149</v>
      </c>
      <c r="V262" s="10">
        <f t="shared" si="39"/>
        <v>0.12330868793069669</v>
      </c>
      <c r="W262" s="13">
        <f t="shared" si="42"/>
        <v>4.7068823026453837</v>
      </c>
      <c r="Z262" s="15">
        <f t="shared" ref="Z262:Z325" si="48">(B262-$E$5)^2</f>
        <v>0.2303872522088567</v>
      </c>
    </row>
    <row r="263" spans="1:26">
      <c r="A263" s="84">
        <f>'Q.6 Rand()'!V261</f>
        <v>3.5</v>
      </c>
      <c r="B263" s="141">
        <f>'Q.6 Rand()'!W261</f>
        <v>25.8</v>
      </c>
      <c r="D263" s="23"/>
      <c r="E263" s="24"/>
      <c r="F263" s="22">
        <f t="shared" si="40"/>
        <v>6.0975609756096727E-2</v>
      </c>
      <c r="G263" s="22">
        <f t="shared" si="43"/>
        <v>-9.180613279132789</v>
      </c>
      <c r="H263" s="18">
        <f t="shared" si="44"/>
        <v>-0.55979349263004041</v>
      </c>
      <c r="I263" s="18">
        <f t="shared" si="45"/>
        <v>3.7180249851277982E-3</v>
      </c>
      <c r="J263" s="24"/>
      <c r="K263" s="24"/>
      <c r="L263" s="19">
        <f t="shared" si="46"/>
        <v>34.679288967610127</v>
      </c>
      <c r="O263" s="9">
        <f t="shared" si="41"/>
        <v>-8.8792889676101261</v>
      </c>
      <c r="P263" s="10">
        <f t="shared" si="47"/>
        <v>78.841772570322902</v>
      </c>
      <c r="V263" s="10">
        <f t="shared" ref="V263:V326" si="49">ABS(O262) / B262</f>
        <v>4.7645790598467082E-2</v>
      </c>
      <c r="W263" s="13">
        <f t="shared" si="42"/>
        <v>9.0796340714606807E-2</v>
      </c>
      <c r="Z263" s="15">
        <f t="shared" si="48"/>
        <v>84.283660180989301</v>
      </c>
    </row>
    <row r="264" spans="1:26">
      <c r="A264" s="84">
        <f>'Q.6 Rand()'!V262</f>
        <v>3.8</v>
      </c>
      <c r="B264" s="141">
        <f>'Q.6 Rand()'!W262</f>
        <v>37.076900000000002</v>
      </c>
      <c r="D264" s="23"/>
      <c r="E264" s="24"/>
      <c r="F264" s="22">
        <f t="shared" si="40"/>
        <v>0.36097560975609655</v>
      </c>
      <c r="G264" s="22">
        <f t="shared" si="43"/>
        <v>2.0962867208672122</v>
      </c>
      <c r="H264" s="18">
        <f t="shared" si="44"/>
        <v>0.75670837728865015</v>
      </c>
      <c r="I264" s="18">
        <f t="shared" si="45"/>
        <v>0.1303033908387857</v>
      </c>
      <c r="J264" s="24"/>
      <c r="K264" s="24"/>
      <c r="L264" s="19">
        <f t="shared" si="46"/>
        <v>33.196773354918605</v>
      </c>
      <c r="O264" s="9">
        <f t="shared" si="41"/>
        <v>3.8801266450813969</v>
      </c>
      <c r="P264" s="10">
        <f t="shared" si="47"/>
        <v>15.055382781870616</v>
      </c>
      <c r="V264" s="10">
        <f t="shared" si="49"/>
        <v>0.34415848711667152</v>
      </c>
      <c r="W264" s="13">
        <f t="shared" si="42"/>
        <v>3.1820848752204682</v>
      </c>
      <c r="Z264" s="15">
        <f t="shared" si="48"/>
        <v>4.3944180160842095</v>
      </c>
    </row>
    <row r="265" spans="1:26">
      <c r="A265" s="84">
        <f>'Q.6 Rand()'!V263</f>
        <v>2.4</v>
      </c>
      <c r="B265" s="141">
        <f>'Q.6 Rand()'!W263</f>
        <v>42.6</v>
      </c>
      <c r="D265" s="23"/>
      <c r="E265" s="24"/>
      <c r="F265" s="22">
        <f t="shared" si="40"/>
        <v>-1.0390243902439034</v>
      </c>
      <c r="G265" s="22">
        <f t="shared" si="43"/>
        <v>7.6193867208672117</v>
      </c>
      <c r="H265" s="18">
        <f t="shared" si="44"/>
        <v>-7.9167286416815488</v>
      </c>
      <c r="I265" s="18">
        <f t="shared" si="45"/>
        <v>1.0795716835217153</v>
      </c>
      <c r="J265" s="24"/>
      <c r="K265" s="24"/>
      <c r="L265" s="19">
        <f t="shared" si="46"/>
        <v>40.115179547479059</v>
      </c>
      <c r="O265" s="9">
        <f t="shared" si="41"/>
        <v>2.4848204525209425</v>
      </c>
      <c r="P265" s="10">
        <f t="shared" si="47"/>
        <v>6.1743326812663817</v>
      </c>
      <c r="V265" s="10">
        <f t="shared" si="49"/>
        <v>0.10465078377861678</v>
      </c>
      <c r="W265" s="13">
        <f t="shared" si="42"/>
        <v>26.36377076403933</v>
      </c>
      <c r="Z265" s="15">
        <f t="shared" si="48"/>
        <v>58.055054002127598</v>
      </c>
    </row>
    <row r="266" spans="1:26">
      <c r="A266" s="84">
        <f>'Q.6 Rand()'!V264</f>
        <v>3.6</v>
      </c>
      <c r="B266" s="141">
        <f>'Q.6 Rand()'!W264</f>
        <v>33</v>
      </c>
      <c r="D266" s="23"/>
      <c r="E266" s="24"/>
      <c r="F266" s="22">
        <f t="shared" si="40"/>
        <v>0.16097560975609682</v>
      </c>
      <c r="G266" s="22">
        <f t="shared" si="43"/>
        <v>-1.9806132791327897</v>
      </c>
      <c r="H266" s="18">
        <f t="shared" si="44"/>
        <v>-0.31883043029942321</v>
      </c>
      <c r="I266" s="18">
        <f t="shared" si="45"/>
        <v>2.5913146936347171E-2</v>
      </c>
      <c r="J266" s="24"/>
      <c r="K266" s="24"/>
      <c r="L266" s="19">
        <f t="shared" si="46"/>
        <v>34.185117096712951</v>
      </c>
      <c r="O266" s="9">
        <f t="shared" si="41"/>
        <v>-1.1851170967129505</v>
      </c>
      <c r="P266" s="10">
        <f t="shared" si="47"/>
        <v>1.404502532921333</v>
      </c>
      <c r="V266" s="10">
        <f t="shared" si="49"/>
        <v>5.8329118603777992E-2</v>
      </c>
      <c r="W266" s="13">
        <f t="shared" si="42"/>
        <v>0.63281417624453806</v>
      </c>
      <c r="Z266" s="15">
        <f t="shared" si="48"/>
        <v>3.9228289614771419</v>
      </c>
    </row>
    <row r="267" spans="1:26">
      <c r="A267" s="84">
        <f>'Q.6 Rand()'!V265</f>
        <v>3.5</v>
      </c>
      <c r="B267" s="141">
        <f>'Q.6 Rand()'!W265</f>
        <v>31.947500000000002</v>
      </c>
      <c r="D267" s="23"/>
      <c r="E267" s="24"/>
      <c r="F267" s="22">
        <f t="shared" si="40"/>
        <v>6.0975609756096727E-2</v>
      </c>
      <c r="G267" s="22">
        <f t="shared" si="43"/>
        <v>-3.0331132791327882</v>
      </c>
      <c r="H267" s="18">
        <f t="shared" si="44"/>
        <v>-0.18494593165443576</v>
      </c>
      <c r="I267" s="18">
        <f t="shared" si="45"/>
        <v>3.7180249851277982E-3</v>
      </c>
      <c r="J267" s="24"/>
      <c r="K267" s="24"/>
      <c r="L267" s="19">
        <f t="shared" si="46"/>
        <v>34.679288967610127</v>
      </c>
      <c r="O267" s="9">
        <f t="shared" si="41"/>
        <v>-2.7317889676101252</v>
      </c>
      <c r="P267" s="10">
        <f t="shared" si="47"/>
        <v>7.4626709635563939</v>
      </c>
      <c r="V267" s="10">
        <f t="shared" si="49"/>
        <v>3.5912639294331833E-2</v>
      </c>
      <c r="W267" s="13">
        <f t="shared" si="42"/>
        <v>9.0796340714606807E-2</v>
      </c>
      <c r="Z267" s="15">
        <f t="shared" si="48"/>
        <v>9.1997761640516558</v>
      </c>
    </row>
    <row r="268" spans="1:26">
      <c r="A268" s="84">
        <f>'Q.6 Rand()'!V266</f>
        <v>2.2999999999999998</v>
      </c>
      <c r="B268" s="141">
        <f>'Q.6 Rand()'!W266</f>
        <v>39.200000000000003</v>
      </c>
      <c r="D268" s="23"/>
      <c r="E268" s="24"/>
      <c r="F268" s="22">
        <f t="shared" si="40"/>
        <v>-1.1390243902439035</v>
      </c>
      <c r="G268" s="22">
        <f t="shared" si="43"/>
        <v>4.2193867208672131</v>
      </c>
      <c r="H268" s="18">
        <f t="shared" si="44"/>
        <v>-4.8059843869390004</v>
      </c>
      <c r="I268" s="18">
        <f t="shared" si="45"/>
        <v>1.297376561570496</v>
      </c>
      <c r="J268" s="24"/>
      <c r="K268" s="24"/>
      <c r="L268" s="19">
        <f t="shared" si="46"/>
        <v>40.609351418376235</v>
      </c>
      <c r="O268" s="9">
        <f t="shared" si="41"/>
        <v>-1.4093514183762323</v>
      </c>
      <c r="P268" s="10">
        <f t="shared" si="47"/>
        <v>1.9862714204790979</v>
      </c>
      <c r="V268" s="10">
        <f t="shared" si="49"/>
        <v>8.5508692937166453E-2</v>
      </c>
      <c r="W268" s="13">
        <f t="shared" si="42"/>
        <v>31.682693040173763</v>
      </c>
      <c r="Z268" s="15">
        <f t="shared" si="48"/>
        <v>17.803224300230575</v>
      </c>
    </row>
    <row r="269" spans="1:26">
      <c r="A269" s="84">
        <f>'Q.6 Rand()'!V267</f>
        <v>2.9</v>
      </c>
      <c r="B269" s="141">
        <f>'Q.6 Rand()'!W267</f>
        <v>41.360799999999998</v>
      </c>
      <c r="D269" s="23"/>
      <c r="E269" s="24"/>
      <c r="F269" s="22">
        <f t="shared" si="40"/>
        <v>-0.53902439024390336</v>
      </c>
      <c r="G269" s="22">
        <f t="shared" si="43"/>
        <v>6.3801867208672078</v>
      </c>
      <c r="H269" s="18">
        <f t="shared" si="44"/>
        <v>-3.439076256857696</v>
      </c>
      <c r="I269" s="18">
        <f t="shared" si="45"/>
        <v>0.29054729327781181</v>
      </c>
      <c r="J269" s="24"/>
      <c r="K269" s="24"/>
      <c r="L269" s="19">
        <f t="shared" si="46"/>
        <v>37.644320192993177</v>
      </c>
      <c r="O269" s="9">
        <f t="shared" si="41"/>
        <v>3.7164798070068201</v>
      </c>
      <c r="P269" s="10">
        <f t="shared" si="47"/>
        <v>13.812222155889451</v>
      </c>
      <c r="V269" s="10">
        <f t="shared" si="49"/>
        <v>3.5952842305516132E-2</v>
      </c>
      <c r="W269" s="13">
        <f t="shared" si="42"/>
        <v>7.0953345229476312</v>
      </c>
      <c r="Z269" s="15">
        <f t="shared" si="48"/>
        <v>40.706782593130256</v>
      </c>
    </row>
    <row r="270" spans="1:26">
      <c r="A270" s="84">
        <f>'Q.6 Rand()'!V268</f>
        <v>2</v>
      </c>
      <c r="B270" s="141">
        <f>'Q.6 Rand()'!W268</f>
        <v>35</v>
      </c>
      <c r="D270" s="23"/>
      <c r="E270" s="24"/>
      <c r="F270" s="22">
        <f t="shared" si="40"/>
        <v>-1.4390243902439033</v>
      </c>
      <c r="G270" s="22">
        <f t="shared" si="43"/>
        <v>1.9386720867210272E-2</v>
      </c>
      <c r="H270" s="18">
        <f t="shared" si="44"/>
        <v>-2.7897964174766018E-2</v>
      </c>
      <c r="I270" s="18">
        <f t="shared" si="45"/>
        <v>2.0707911957168377</v>
      </c>
      <c r="J270" s="24"/>
      <c r="K270" s="24"/>
      <c r="L270" s="19">
        <f t="shared" si="46"/>
        <v>42.091867031067757</v>
      </c>
      <c r="O270" s="9">
        <f t="shared" si="41"/>
        <v>-7.091867031067757</v>
      </c>
      <c r="P270" s="10">
        <f t="shared" si="47"/>
        <v>50.2945779863458</v>
      </c>
      <c r="V270" s="10">
        <f t="shared" si="49"/>
        <v>8.9855123861405498E-2</v>
      </c>
      <c r="W270" s="13">
        <f t="shared" si="42"/>
        <v>50.569929924409145</v>
      </c>
      <c r="Z270" s="15">
        <f t="shared" si="48"/>
        <v>3.7584494598312621E-4</v>
      </c>
    </row>
    <row r="271" spans="1:26">
      <c r="A271" s="84">
        <f>'Q.6 Rand()'!V269</f>
        <v>3.5</v>
      </c>
      <c r="B271" s="141">
        <f>'Q.6 Rand()'!W269</f>
        <v>28.2</v>
      </c>
      <c r="D271" s="23"/>
      <c r="E271" s="24"/>
      <c r="F271" s="22">
        <f t="shared" si="40"/>
        <v>6.0975609756096727E-2</v>
      </c>
      <c r="G271" s="22">
        <f t="shared" si="43"/>
        <v>-6.7806132791327904</v>
      </c>
      <c r="H271" s="18">
        <f t="shared" si="44"/>
        <v>-0.41345202921540841</v>
      </c>
      <c r="I271" s="18">
        <f t="shared" si="45"/>
        <v>3.7180249851277982E-3</v>
      </c>
      <c r="J271" s="24"/>
      <c r="K271" s="24"/>
      <c r="L271" s="19">
        <f t="shared" si="46"/>
        <v>34.679288967610127</v>
      </c>
      <c r="O271" s="9">
        <f t="shared" si="41"/>
        <v>-6.4792889676101275</v>
      </c>
      <c r="P271" s="10">
        <f t="shared" si="47"/>
        <v>41.981185525794309</v>
      </c>
      <c r="V271" s="10">
        <f t="shared" si="49"/>
        <v>0.20262477231622164</v>
      </c>
      <c r="W271" s="13">
        <f t="shared" si="42"/>
        <v>9.0796340714606807E-2</v>
      </c>
      <c r="Z271" s="15">
        <f t="shared" si="48"/>
        <v>45.976716441151936</v>
      </c>
    </row>
    <row r="272" spans="1:26">
      <c r="A272" s="84">
        <f>'Q.6 Rand()'!V270</f>
        <v>3.7</v>
      </c>
      <c r="B272" s="141">
        <f>'Q.6 Rand()'!W270</f>
        <v>29.799900000000001</v>
      </c>
      <c r="D272" s="23"/>
      <c r="E272" s="24"/>
      <c r="F272" s="22">
        <f t="shared" si="40"/>
        <v>0.2609756097560969</v>
      </c>
      <c r="G272" s="22">
        <f t="shared" si="43"/>
        <v>-5.1807132791327888</v>
      </c>
      <c r="H272" s="18">
        <f t="shared" si="44"/>
        <v>-1.3520398069931878</v>
      </c>
      <c r="I272" s="18">
        <f t="shared" si="45"/>
        <v>6.8108268887566575E-2</v>
      </c>
      <c r="J272" s="24"/>
      <c r="K272" s="24"/>
      <c r="L272" s="19">
        <f t="shared" si="46"/>
        <v>33.690945225815774</v>
      </c>
      <c r="O272" s="9">
        <f t="shared" si="41"/>
        <v>-3.8910452258157733</v>
      </c>
      <c r="P272" s="10">
        <f t="shared" si="47"/>
        <v>15.140232949343723</v>
      </c>
      <c r="V272" s="10">
        <f t="shared" si="49"/>
        <v>0.22976202012801872</v>
      </c>
      <c r="W272" s="13">
        <f t="shared" si="42"/>
        <v>1.6632436877465004</v>
      </c>
      <c r="Z272" s="15">
        <f t="shared" si="48"/>
        <v>26.839790080582812</v>
      </c>
    </row>
    <row r="273" spans="1:26">
      <c r="A273" s="84">
        <f>'Q.6 Rand()'!V271</f>
        <v>3.5</v>
      </c>
      <c r="B273" s="141">
        <f>'Q.6 Rand()'!W271</f>
        <v>35</v>
      </c>
      <c r="D273" s="23"/>
      <c r="E273" s="24"/>
      <c r="F273" s="22">
        <f t="shared" si="40"/>
        <v>6.0975609756096727E-2</v>
      </c>
      <c r="G273" s="22">
        <f t="shared" si="43"/>
        <v>1.9386720867210272E-2</v>
      </c>
      <c r="H273" s="18">
        <f t="shared" si="44"/>
        <v>1.1821171260493907E-3</v>
      </c>
      <c r="I273" s="18">
        <f t="shared" si="45"/>
        <v>3.7180249851277982E-3</v>
      </c>
      <c r="J273" s="24"/>
      <c r="K273" s="24"/>
      <c r="L273" s="19">
        <f t="shared" si="46"/>
        <v>34.679288967610127</v>
      </c>
      <c r="O273" s="9">
        <f t="shared" si="41"/>
        <v>0.3207110323898732</v>
      </c>
      <c r="P273" s="10">
        <f t="shared" si="47"/>
        <v>0.1028555662965783</v>
      </c>
      <c r="V273" s="10">
        <f t="shared" si="49"/>
        <v>0.13057242560598437</v>
      </c>
      <c r="W273" s="13">
        <f t="shared" si="42"/>
        <v>9.0796340714606807E-2</v>
      </c>
      <c r="Z273" s="15">
        <f t="shared" si="48"/>
        <v>3.7584494598312621E-4</v>
      </c>
    </row>
    <row r="274" spans="1:26">
      <c r="A274" s="84">
        <f>'Q.6 Rand()'!V272</f>
        <v>3</v>
      </c>
      <c r="B274" s="141">
        <f>'Q.6 Rand()'!W272</f>
        <v>34.5</v>
      </c>
      <c r="D274" s="23"/>
      <c r="E274" s="24"/>
      <c r="F274" s="22">
        <f t="shared" si="40"/>
        <v>-0.43902439024390327</v>
      </c>
      <c r="G274" s="22">
        <f t="shared" si="43"/>
        <v>-0.48061327913278973</v>
      </c>
      <c r="H274" s="18">
        <f t="shared" si="44"/>
        <v>0.2110009518143959</v>
      </c>
      <c r="I274" s="18">
        <f t="shared" si="45"/>
        <v>0.19274241522903107</v>
      </c>
      <c r="J274" s="24"/>
      <c r="K274" s="24"/>
      <c r="L274" s="19">
        <f t="shared" si="46"/>
        <v>37.150148322096001</v>
      </c>
      <c r="O274" s="9">
        <f t="shared" si="41"/>
        <v>-2.6501483220960012</v>
      </c>
      <c r="P274" s="10">
        <f t="shared" si="47"/>
        <v>7.02328612910825</v>
      </c>
      <c r="V274" s="10">
        <f t="shared" si="49"/>
        <v>9.1631723539963763E-3</v>
      </c>
      <c r="W274" s="13">
        <f t="shared" si="42"/>
        <v>4.7068823026453837</v>
      </c>
      <c r="Z274" s="15">
        <f t="shared" si="48"/>
        <v>0.23098912407877287</v>
      </c>
    </row>
    <row r="275" spans="1:26">
      <c r="A275" s="84">
        <f>'Q.6 Rand()'!V273</f>
        <v>2</v>
      </c>
      <c r="B275" s="141">
        <f>'Q.6 Rand()'!W273</f>
        <v>34.700000000000003</v>
      </c>
      <c r="D275" s="23"/>
      <c r="E275" s="24"/>
      <c r="F275" s="22">
        <f t="shared" si="40"/>
        <v>-1.4390243902439033</v>
      </c>
      <c r="G275" s="22">
        <f t="shared" si="43"/>
        <v>-0.28061327913278689</v>
      </c>
      <c r="H275" s="18">
        <f t="shared" si="44"/>
        <v>0.40380935289840086</v>
      </c>
      <c r="I275" s="18">
        <f t="shared" si="45"/>
        <v>2.0707911957168377</v>
      </c>
      <c r="J275" s="24"/>
      <c r="K275" s="24"/>
      <c r="L275" s="19">
        <f t="shared" si="46"/>
        <v>42.091867031067757</v>
      </c>
      <c r="O275" s="9">
        <f t="shared" si="41"/>
        <v>-7.3918670310677541</v>
      </c>
      <c r="P275" s="10">
        <f t="shared" si="47"/>
        <v>54.639698204986416</v>
      </c>
      <c r="V275" s="10">
        <f t="shared" si="49"/>
        <v>7.6815893394086995E-2</v>
      </c>
      <c r="W275" s="13">
        <f t="shared" si="42"/>
        <v>50.569929924409145</v>
      </c>
      <c r="Z275" s="15">
        <f t="shared" si="48"/>
        <v>7.8743812425655368E-2</v>
      </c>
    </row>
    <row r="276" spans="1:26">
      <c r="A276" s="84">
        <f>'Q.6 Rand()'!V274</f>
        <v>2</v>
      </c>
      <c r="B276" s="141">
        <f>'Q.6 Rand()'!W274</f>
        <v>41.8</v>
      </c>
      <c r="D276" s="23"/>
      <c r="E276" s="24"/>
      <c r="F276" s="22">
        <f t="shared" si="40"/>
        <v>-1.4390243902439033</v>
      </c>
      <c r="G276" s="22">
        <f t="shared" si="43"/>
        <v>6.8193867208672074</v>
      </c>
      <c r="H276" s="18">
        <f t="shared" si="44"/>
        <v>-9.8132638178333043</v>
      </c>
      <c r="I276" s="18">
        <f t="shared" si="45"/>
        <v>2.0707911957168377</v>
      </c>
      <c r="J276" s="24"/>
      <c r="K276" s="24"/>
      <c r="L276" s="19">
        <f t="shared" si="46"/>
        <v>42.091867031067757</v>
      </c>
      <c r="O276" s="9">
        <f t="shared" si="41"/>
        <v>-0.2918670310677598</v>
      </c>
      <c r="P276" s="10">
        <f t="shared" si="47"/>
        <v>8.5186363824308664E-2</v>
      </c>
      <c r="V276" s="10">
        <f t="shared" si="49"/>
        <v>0.213022104641722</v>
      </c>
      <c r="W276" s="13">
        <f t="shared" si="42"/>
        <v>50.569929924409145</v>
      </c>
      <c r="Z276" s="15">
        <f t="shared" si="48"/>
        <v>46.504035248740003</v>
      </c>
    </row>
    <row r="277" spans="1:26">
      <c r="A277" s="84">
        <f>'Q.6 Rand()'!V275</f>
        <v>6.2</v>
      </c>
      <c r="B277" s="141">
        <f>'Q.6 Rand()'!W275</f>
        <v>34.349299999999999</v>
      </c>
      <c r="D277" s="23"/>
      <c r="E277" s="24"/>
      <c r="F277" s="22">
        <f t="shared" si="40"/>
        <v>2.7609756097560969</v>
      </c>
      <c r="G277" s="22">
        <f t="shared" si="43"/>
        <v>-0.63131327913279023</v>
      </c>
      <c r="H277" s="18">
        <f t="shared" si="44"/>
        <v>-1.7430405658007766</v>
      </c>
      <c r="I277" s="18">
        <f t="shared" si="45"/>
        <v>7.622986317668051</v>
      </c>
      <c r="J277" s="24"/>
      <c r="K277" s="24"/>
      <c r="L277" s="19">
        <f t="shared" si="46"/>
        <v>21.336648453386388</v>
      </c>
      <c r="O277" s="9">
        <f t="shared" si="41"/>
        <v>13.012651546613611</v>
      </c>
      <c r="P277" s="10">
        <f t="shared" si="47"/>
        <v>169.3291002735856</v>
      </c>
      <c r="V277" s="10">
        <f t="shared" si="49"/>
        <v>6.9824648580803783E-3</v>
      </c>
      <c r="W277" s="13">
        <f t="shared" si="42"/>
        <v>186.15777616620502</v>
      </c>
      <c r="Z277" s="15">
        <f t="shared" si="48"/>
        <v>0.3985564564093963</v>
      </c>
    </row>
    <row r="278" spans="1:26">
      <c r="A278" s="84">
        <f>'Q.6 Rand()'!V276</f>
        <v>2.4</v>
      </c>
      <c r="B278" s="141">
        <f>'Q.6 Rand()'!W276</f>
        <v>39.200000000000003</v>
      </c>
      <c r="D278" s="23"/>
      <c r="E278" s="24"/>
      <c r="F278" s="22">
        <f t="shared" si="40"/>
        <v>-1.0390243902439034</v>
      </c>
      <c r="G278" s="22">
        <f t="shared" si="43"/>
        <v>4.2193867208672131</v>
      </c>
      <c r="H278" s="18">
        <f t="shared" si="44"/>
        <v>-4.3840457148522791</v>
      </c>
      <c r="I278" s="18">
        <f t="shared" si="45"/>
        <v>1.0795716835217153</v>
      </c>
      <c r="J278" s="24"/>
      <c r="K278" s="24"/>
      <c r="L278" s="19">
        <f t="shared" si="46"/>
        <v>40.115179547479059</v>
      </c>
      <c r="O278" s="9">
        <f t="shared" si="41"/>
        <v>-0.91517954747905605</v>
      </c>
      <c r="P278" s="10">
        <f t="shared" si="47"/>
        <v>0.83755360412396984</v>
      </c>
      <c r="V278" s="10">
        <f t="shared" si="49"/>
        <v>0.37883309256996828</v>
      </c>
      <c r="W278" s="13">
        <f t="shared" si="42"/>
        <v>26.36377076403933</v>
      </c>
      <c r="Z278" s="15">
        <f t="shared" si="48"/>
        <v>17.803224300230575</v>
      </c>
    </row>
    <row r="279" spans="1:26">
      <c r="A279" s="84">
        <f>'Q.6 Rand()'!V277</f>
        <v>4</v>
      </c>
      <c r="B279" s="141">
        <f>'Q.6 Rand()'!W277</f>
        <v>35.200000000000003</v>
      </c>
      <c r="D279" s="23"/>
      <c r="E279" s="24"/>
      <c r="F279" s="22">
        <f t="shared" si="40"/>
        <v>0.56097560975609673</v>
      </c>
      <c r="G279" s="22">
        <f t="shared" si="43"/>
        <v>0.21938672086721311</v>
      </c>
      <c r="H279" s="18">
        <f t="shared" si="44"/>
        <v>0.12307059951087547</v>
      </c>
      <c r="I279" s="18">
        <f t="shared" si="45"/>
        <v>0.31469363474122453</v>
      </c>
      <c r="J279" s="24"/>
      <c r="K279" s="24"/>
      <c r="L279" s="19">
        <f t="shared" si="46"/>
        <v>32.208429613124252</v>
      </c>
      <c r="O279" s="9">
        <f t="shared" si="41"/>
        <v>2.9915703868757504</v>
      </c>
      <c r="P279" s="10">
        <f t="shared" si="47"/>
        <v>8.9494933796319263</v>
      </c>
      <c r="V279" s="10">
        <f t="shared" si="49"/>
        <v>2.3346417027526937E-2</v>
      </c>
      <c r="W279" s="13">
        <f t="shared" si="42"/>
        <v>7.6850022780845331</v>
      </c>
      <c r="Z279" s="15">
        <f t="shared" si="48"/>
        <v>4.8130533292868483E-2</v>
      </c>
    </row>
    <row r="280" spans="1:26">
      <c r="A280" s="84">
        <f>'Q.6 Rand()'!V278</f>
        <v>2.4</v>
      </c>
      <c r="B280" s="141">
        <f>'Q.6 Rand()'!W278</f>
        <v>41.9</v>
      </c>
      <c r="D280" s="23"/>
      <c r="E280" s="24"/>
      <c r="F280" s="22">
        <f t="shared" si="40"/>
        <v>-1.0390243902439034</v>
      </c>
      <c r="G280" s="22">
        <f t="shared" si="43"/>
        <v>6.9193867208672089</v>
      </c>
      <c r="H280" s="18">
        <f t="shared" si="44"/>
        <v>-7.1894115685108133</v>
      </c>
      <c r="I280" s="18">
        <f t="shared" si="45"/>
        <v>1.0795716835217153</v>
      </c>
      <c r="J280" s="24"/>
      <c r="K280" s="24"/>
      <c r="L280" s="19">
        <f t="shared" si="46"/>
        <v>40.115179547479059</v>
      </c>
      <c r="O280" s="9">
        <f t="shared" si="41"/>
        <v>1.7848204525209397</v>
      </c>
      <c r="P280" s="10">
        <f t="shared" si="47"/>
        <v>3.1855840477370521</v>
      </c>
      <c r="V280" s="10">
        <f t="shared" si="49"/>
        <v>8.4987795081697445E-2</v>
      </c>
      <c r="W280" s="13">
        <f t="shared" si="42"/>
        <v>26.36377076403933</v>
      </c>
      <c r="Z280" s="15">
        <f t="shared" si="48"/>
        <v>47.877912592913468</v>
      </c>
    </row>
    <row r="281" spans="1:26">
      <c r="A281" s="84">
        <f>'Q.6 Rand()'!V279</f>
        <v>4.7</v>
      </c>
      <c r="B281" s="141">
        <f>'Q.6 Rand()'!W279</f>
        <v>26.560400000000001</v>
      </c>
      <c r="D281" s="23"/>
      <c r="E281" s="24"/>
      <c r="F281" s="22">
        <f t="shared" si="40"/>
        <v>1.2609756097560969</v>
      </c>
      <c r="G281" s="22">
        <f t="shared" si="43"/>
        <v>-8.4202132791327884</v>
      </c>
      <c r="H281" s="18">
        <f t="shared" si="44"/>
        <v>-10.617683573930853</v>
      </c>
      <c r="I281" s="18">
        <f t="shared" si="45"/>
        <v>1.5900594883997603</v>
      </c>
      <c r="J281" s="24"/>
      <c r="K281" s="24"/>
      <c r="L281" s="19">
        <f t="shared" si="46"/>
        <v>28.749226516844018</v>
      </c>
      <c r="O281" s="9">
        <f t="shared" si="41"/>
        <v>-2.1888265168440171</v>
      </c>
      <c r="P281" s="10">
        <f t="shared" si="47"/>
        <v>4.7909615208395122</v>
      </c>
      <c r="V281" s="10">
        <f t="shared" si="49"/>
        <v>4.2597146838208588E-2</v>
      </c>
      <c r="W281" s="13">
        <f t="shared" si="42"/>
        <v>38.830180981227734</v>
      </c>
      <c r="Z281" s="15">
        <f t="shared" si="48"/>
        <v>70.899991666084148</v>
      </c>
    </row>
    <row r="282" spans="1:26">
      <c r="A282" s="84">
        <f>'Q.6 Rand()'!V280</f>
        <v>3</v>
      </c>
      <c r="B282" s="141">
        <f>'Q.6 Rand()'!W280</f>
        <v>35.883099999999999</v>
      </c>
      <c r="D282" s="23"/>
      <c r="E282" s="24"/>
      <c r="F282" s="22">
        <f t="shared" si="40"/>
        <v>-0.43902439024390327</v>
      </c>
      <c r="G282" s="22">
        <f t="shared" si="43"/>
        <v>0.90248672086720916</v>
      </c>
      <c r="H282" s="18">
        <f t="shared" si="44"/>
        <v>-0.39621368233194626</v>
      </c>
      <c r="I282" s="18">
        <f t="shared" si="45"/>
        <v>0.19274241522903107</v>
      </c>
      <c r="J282" s="24"/>
      <c r="K282" s="24"/>
      <c r="L282" s="19">
        <f t="shared" si="46"/>
        <v>37.150148322096001</v>
      </c>
      <c r="O282" s="9">
        <f t="shared" si="41"/>
        <v>-1.2670483220960023</v>
      </c>
      <c r="P282" s="10">
        <f t="shared" si="47"/>
        <v>1.6054114505262946</v>
      </c>
      <c r="V282" s="10">
        <f t="shared" si="49"/>
        <v>8.2409395824009316E-2</v>
      </c>
      <c r="W282" s="13">
        <f t="shared" si="42"/>
        <v>4.7068823026453837</v>
      </c>
      <c r="Z282" s="15">
        <f t="shared" si="48"/>
        <v>0.81448228134164791</v>
      </c>
    </row>
    <row r="283" spans="1:26">
      <c r="A283" s="84">
        <f>'Q.6 Rand()'!V281</f>
        <v>1.6</v>
      </c>
      <c r="B283" s="141">
        <f>'Q.6 Rand()'!W281</f>
        <v>47.202500000000001</v>
      </c>
      <c r="D283" s="23"/>
      <c r="E283" s="24"/>
      <c r="F283" s="22">
        <f t="shared" si="40"/>
        <v>-1.8390243902439032</v>
      </c>
      <c r="G283" s="22">
        <f t="shared" si="43"/>
        <v>12.221886720867211</v>
      </c>
      <c r="H283" s="18">
        <f t="shared" si="44"/>
        <v>-22.476347774472881</v>
      </c>
      <c r="I283" s="18">
        <f t="shared" si="45"/>
        <v>3.3820107079119599</v>
      </c>
      <c r="J283" s="24"/>
      <c r="K283" s="24"/>
      <c r="L283" s="19">
        <f t="shared" si="46"/>
        <v>44.068554514656462</v>
      </c>
      <c r="O283" s="9">
        <f t="shared" si="41"/>
        <v>3.1339454853435385</v>
      </c>
      <c r="P283" s="10">
        <f t="shared" si="47"/>
        <v>9.8216143051051468</v>
      </c>
      <c r="V283" s="10">
        <f t="shared" si="49"/>
        <v>3.531044759499604E-2</v>
      </c>
      <c r="W283" s="13">
        <f t="shared" si="42"/>
        <v>82.590675900331533</v>
      </c>
      <c r="Z283" s="15">
        <f t="shared" si="48"/>
        <v>149.37451501771025</v>
      </c>
    </row>
    <row r="284" spans="1:26">
      <c r="A284" s="84">
        <f>'Q.6 Rand()'!V282</f>
        <v>3.5</v>
      </c>
      <c r="B284" s="141">
        <f>'Q.6 Rand()'!W282</f>
        <v>34.700000000000003</v>
      </c>
      <c r="D284" s="23"/>
      <c r="E284" s="24"/>
      <c r="F284" s="22">
        <f t="shared" si="40"/>
        <v>6.0975609756096727E-2</v>
      </c>
      <c r="G284" s="22">
        <f t="shared" si="43"/>
        <v>-0.28061327913278689</v>
      </c>
      <c r="H284" s="18">
        <f t="shared" si="44"/>
        <v>-1.7110565800779454E-2</v>
      </c>
      <c r="I284" s="18">
        <f t="shared" si="45"/>
        <v>3.7180249851277982E-3</v>
      </c>
      <c r="J284" s="24"/>
      <c r="K284" s="24"/>
      <c r="L284" s="19">
        <f t="shared" si="46"/>
        <v>34.679288967610127</v>
      </c>
      <c r="O284" s="9">
        <f t="shared" si="41"/>
        <v>2.0711032389876038E-2</v>
      </c>
      <c r="P284" s="10">
        <f t="shared" si="47"/>
        <v>4.2894686265449437E-4</v>
      </c>
      <c r="V284" s="10">
        <f t="shared" si="49"/>
        <v>6.6393633501266633E-2</v>
      </c>
      <c r="W284" s="13">
        <f t="shared" si="42"/>
        <v>9.0796340714606807E-2</v>
      </c>
      <c r="Z284" s="15">
        <f t="shared" si="48"/>
        <v>7.8743812425655368E-2</v>
      </c>
    </row>
    <row r="285" spans="1:26">
      <c r="A285" s="84">
        <f>'Q.6 Rand()'!V283</f>
        <v>3.8</v>
      </c>
      <c r="B285" s="141">
        <f>'Q.6 Rand()'!W283</f>
        <v>38.299999999999997</v>
      </c>
      <c r="D285" s="23"/>
      <c r="E285" s="24"/>
      <c r="F285" s="22">
        <f t="shared" si="40"/>
        <v>0.36097560975609655</v>
      </c>
      <c r="G285" s="22">
        <f t="shared" si="43"/>
        <v>3.3193867208672074</v>
      </c>
      <c r="H285" s="18">
        <f t="shared" si="44"/>
        <v>1.19821764558133</v>
      </c>
      <c r="I285" s="18">
        <f t="shared" si="45"/>
        <v>0.1303033908387857</v>
      </c>
      <c r="J285" s="24"/>
      <c r="K285" s="24"/>
      <c r="L285" s="19">
        <f t="shared" si="46"/>
        <v>33.196773354918605</v>
      </c>
      <c r="O285" s="9">
        <f t="shared" si="41"/>
        <v>5.1032266450813921</v>
      </c>
      <c r="P285" s="10">
        <f t="shared" si="47"/>
        <v>26.04292219106868</v>
      </c>
      <c r="V285" s="10">
        <f t="shared" si="49"/>
        <v>5.9685972305118266E-4</v>
      </c>
      <c r="W285" s="13">
        <f t="shared" si="42"/>
        <v>3.1820848752204682</v>
      </c>
      <c r="Z285" s="15">
        <f t="shared" si="48"/>
        <v>11.018328202669553</v>
      </c>
    </row>
    <row r="286" spans="1:26">
      <c r="A286" s="84">
        <f>'Q.6 Rand()'!V284</f>
        <v>5</v>
      </c>
      <c r="B286" s="141">
        <f>'Q.6 Rand()'!W284</f>
        <v>23.227</v>
      </c>
      <c r="D286" s="23"/>
      <c r="E286" s="24"/>
      <c r="F286" s="22">
        <f t="shared" si="40"/>
        <v>1.5609756097560967</v>
      </c>
      <c r="G286" s="22">
        <f t="shared" si="43"/>
        <v>-11.753613279132789</v>
      </c>
      <c r="H286" s="18">
        <f t="shared" si="44"/>
        <v>-18.34710365523166</v>
      </c>
      <c r="I286" s="18">
        <f t="shared" si="45"/>
        <v>2.436644854253418</v>
      </c>
      <c r="J286" s="24"/>
      <c r="K286" s="24"/>
      <c r="L286" s="19">
        <f t="shared" si="46"/>
        <v>27.266710904152493</v>
      </c>
      <c r="O286" s="9">
        <f t="shared" si="41"/>
        <v>-4.0397109041524928</v>
      </c>
      <c r="P286" s="10">
        <f t="shared" si="47"/>
        <v>16.31926418912855</v>
      </c>
      <c r="V286" s="10">
        <f t="shared" si="49"/>
        <v>0.13324351553737318</v>
      </c>
      <c r="W286" s="13">
        <f t="shared" si="42"/>
        <v>59.504289850726664</v>
      </c>
      <c r="Z286" s="15">
        <f t="shared" si="48"/>
        <v>138.14742511540663</v>
      </c>
    </row>
    <row r="287" spans="1:26">
      <c r="A287" s="84">
        <f>'Q.6 Rand()'!V285</f>
        <v>4.5999999999999996</v>
      </c>
      <c r="B287" s="141">
        <f>'Q.6 Rand()'!W285</f>
        <v>34.049900000000001</v>
      </c>
      <c r="D287" s="23"/>
      <c r="E287" s="24"/>
      <c r="F287" s="22">
        <f t="shared" si="40"/>
        <v>1.1609756097560964</v>
      </c>
      <c r="G287" s="22">
        <f t="shared" si="43"/>
        <v>-0.93071327913278878</v>
      </c>
      <c r="H287" s="18">
        <f t="shared" si="44"/>
        <v>-1.0805354167492853</v>
      </c>
      <c r="I287" s="18">
        <f t="shared" si="45"/>
        <v>1.3478643664485397</v>
      </c>
      <c r="J287" s="24"/>
      <c r="K287" s="24"/>
      <c r="L287" s="19">
        <f t="shared" si="46"/>
        <v>29.243398387741198</v>
      </c>
      <c r="O287" s="9">
        <f t="shared" si="41"/>
        <v>4.8065016122588027</v>
      </c>
      <c r="P287" s="10">
        <f t="shared" si="47"/>
        <v>23.102457748646469</v>
      </c>
      <c r="V287" s="10">
        <f t="shared" si="49"/>
        <v>0.17392305954933882</v>
      </c>
      <c r="W287" s="13">
        <f t="shared" si="42"/>
        <v>32.915634710005428</v>
      </c>
      <c r="Z287" s="15">
        <f t="shared" si="48"/>
        <v>0.86622720795410846</v>
      </c>
    </row>
    <row r="288" spans="1:26">
      <c r="A288" s="84">
        <f>'Q.6 Rand()'!V286</f>
        <v>5.3</v>
      </c>
      <c r="B288" s="141">
        <f>'Q.6 Rand()'!W286</f>
        <v>27.9</v>
      </c>
      <c r="D288" s="23"/>
      <c r="E288" s="24"/>
      <c r="F288" s="22">
        <f t="shared" si="40"/>
        <v>1.8609756097560965</v>
      </c>
      <c r="G288" s="22">
        <f t="shared" si="43"/>
        <v>-7.0806132791327911</v>
      </c>
      <c r="H288" s="18">
        <f t="shared" si="44"/>
        <v>-13.17684861458126</v>
      </c>
      <c r="I288" s="18">
        <f t="shared" si="45"/>
        <v>3.4632302201070755</v>
      </c>
      <c r="J288" s="24"/>
      <c r="K288" s="24"/>
      <c r="L288" s="19">
        <f t="shared" si="46"/>
        <v>25.784195291460968</v>
      </c>
      <c r="O288" s="9">
        <f t="shared" si="41"/>
        <v>2.1158047085390308</v>
      </c>
      <c r="P288" s="10">
        <f t="shared" si="47"/>
        <v>4.4766295646759326</v>
      </c>
      <c r="V288" s="10">
        <f t="shared" si="49"/>
        <v>0.1411605206552384</v>
      </c>
      <c r="W288" s="13">
        <f t="shared" si="42"/>
        <v>84.574103803973841</v>
      </c>
      <c r="Z288" s="15">
        <f t="shared" si="48"/>
        <v>50.13508440863162</v>
      </c>
    </row>
    <row r="289" spans="1:26">
      <c r="A289" s="84">
        <f>'Q.6 Rand()'!V287</f>
        <v>3.2</v>
      </c>
      <c r="B289" s="141">
        <f>'Q.6 Rand()'!W287</f>
        <v>36.4</v>
      </c>
      <c r="D289" s="23"/>
      <c r="E289" s="24"/>
      <c r="F289" s="22">
        <f t="shared" si="40"/>
        <v>-0.2390243902439031</v>
      </c>
      <c r="G289" s="22">
        <f t="shared" si="43"/>
        <v>1.4193867208672089</v>
      </c>
      <c r="H289" s="18">
        <f t="shared" si="44"/>
        <v>-0.33926804547557771</v>
      </c>
      <c r="I289" s="18">
        <f t="shared" si="45"/>
        <v>5.7132659131469678E-2</v>
      </c>
      <c r="J289" s="24"/>
      <c r="K289" s="24"/>
      <c r="L289" s="19">
        <f t="shared" si="46"/>
        <v>36.161804580301649</v>
      </c>
      <c r="O289" s="9">
        <f t="shared" si="41"/>
        <v>0.23819541969835001</v>
      </c>
      <c r="P289" s="10">
        <f t="shared" si="47"/>
        <v>5.6737057965273105E-2</v>
      </c>
      <c r="V289" s="10">
        <f t="shared" si="49"/>
        <v>7.5835294212868498E-2</v>
      </c>
      <c r="W289" s="13">
        <f t="shared" si="42"/>
        <v>1.3952128899569818</v>
      </c>
      <c r="Z289" s="15">
        <f t="shared" si="48"/>
        <v>2.0146586633741679</v>
      </c>
    </row>
    <row r="290" spans="1:26">
      <c r="A290" s="84">
        <f>'Q.6 Rand()'!V288</f>
        <v>4.7</v>
      </c>
      <c r="B290" s="141">
        <f>'Q.6 Rand()'!W288</f>
        <v>23.8</v>
      </c>
      <c r="D290" s="23"/>
      <c r="E290" s="24"/>
      <c r="F290" s="22">
        <f t="shared" si="40"/>
        <v>1.2609756097560969</v>
      </c>
      <c r="G290" s="22">
        <f t="shared" si="43"/>
        <v>-11.180613279132789</v>
      </c>
      <c r="H290" s="18">
        <f t="shared" si="44"/>
        <v>-14.098480647101583</v>
      </c>
      <c r="I290" s="18">
        <f t="shared" si="45"/>
        <v>1.5900594883997603</v>
      </c>
      <c r="J290" s="24"/>
      <c r="K290" s="24"/>
      <c r="L290" s="19">
        <f t="shared" si="46"/>
        <v>28.749226516844018</v>
      </c>
      <c r="O290" s="9">
        <f t="shared" si="41"/>
        <v>-4.9492265168440177</v>
      </c>
      <c r="P290" s="10">
        <f t="shared" si="47"/>
        <v>24.494843115031969</v>
      </c>
      <c r="V290" s="10">
        <f t="shared" si="49"/>
        <v>6.5438302114931325E-3</v>
      </c>
      <c r="W290" s="13">
        <f t="shared" si="42"/>
        <v>38.830180981227734</v>
      </c>
      <c r="Z290" s="15">
        <f t="shared" si="48"/>
        <v>125.00611329752046</v>
      </c>
    </row>
    <row r="291" spans="1:26">
      <c r="A291" s="84">
        <f>'Q.6 Rand()'!V289</f>
        <v>6.2</v>
      </c>
      <c r="B291" s="141">
        <f>'Q.6 Rand()'!W289</f>
        <v>35.200000000000003</v>
      </c>
      <c r="D291" s="23"/>
      <c r="E291" s="24"/>
      <c r="F291" s="22">
        <f t="shared" si="40"/>
        <v>2.7609756097560969</v>
      </c>
      <c r="G291" s="22">
        <f t="shared" si="43"/>
        <v>0.21938672086721311</v>
      </c>
      <c r="H291" s="18">
        <f t="shared" si="44"/>
        <v>0.60572138541874432</v>
      </c>
      <c r="I291" s="18">
        <f t="shared" si="45"/>
        <v>7.622986317668051</v>
      </c>
      <c r="J291" s="24"/>
      <c r="K291" s="24"/>
      <c r="L291" s="19">
        <f t="shared" si="46"/>
        <v>21.336648453386388</v>
      </c>
      <c r="O291" s="9">
        <f t="shared" si="41"/>
        <v>13.863351546613615</v>
      </c>
      <c r="P291" s="10">
        <f t="shared" si="47"/>
        <v>192.1925161049941</v>
      </c>
      <c r="V291" s="10">
        <f t="shared" si="49"/>
        <v>0.20795069398504276</v>
      </c>
      <c r="W291" s="13">
        <f t="shared" si="42"/>
        <v>186.15777616620502</v>
      </c>
      <c r="Z291" s="15">
        <f t="shared" si="48"/>
        <v>4.8130533292868483E-2</v>
      </c>
    </row>
    <row r="292" spans="1:26">
      <c r="A292" s="84">
        <f>'Q.6 Rand()'!V290</f>
        <v>5</v>
      </c>
      <c r="B292" s="141">
        <f>'Q.6 Rand()'!W290</f>
        <v>24.0505</v>
      </c>
      <c r="D292" s="23"/>
      <c r="E292" s="24"/>
      <c r="F292" s="22">
        <f t="shared" si="40"/>
        <v>1.5609756097560967</v>
      </c>
      <c r="G292" s="22">
        <f t="shared" si="43"/>
        <v>-10.93011327913279</v>
      </c>
      <c r="H292" s="18">
        <f t="shared" si="44"/>
        <v>-17.061640240597516</v>
      </c>
      <c r="I292" s="18">
        <f t="shared" si="45"/>
        <v>2.436644854253418</v>
      </c>
      <c r="J292" s="24"/>
      <c r="K292" s="24"/>
      <c r="L292" s="19">
        <f t="shared" si="46"/>
        <v>27.266710904152493</v>
      </c>
      <c r="O292" s="9">
        <f t="shared" si="41"/>
        <v>-3.2162109041524936</v>
      </c>
      <c r="P292" s="10">
        <f t="shared" si="47"/>
        <v>10.3440125799894</v>
      </c>
      <c r="V292" s="10">
        <f t="shared" si="49"/>
        <v>0.3938452143924322</v>
      </c>
      <c r="W292" s="13">
        <f t="shared" si="42"/>
        <v>59.504289850726664</v>
      </c>
      <c r="Z292" s="15">
        <f t="shared" si="48"/>
        <v>119.46737629467495</v>
      </c>
    </row>
    <row r="293" spans="1:26">
      <c r="A293" s="84">
        <f>'Q.6 Rand()'!V291</f>
        <v>2.5</v>
      </c>
      <c r="B293" s="141">
        <f>'Q.6 Rand()'!W291</f>
        <v>37.057400000000001</v>
      </c>
      <c r="D293" s="23"/>
      <c r="E293" s="24"/>
      <c r="F293" s="22">
        <f t="shared" si="40"/>
        <v>-0.93902439024390327</v>
      </c>
      <c r="G293" s="22">
        <f t="shared" si="43"/>
        <v>2.0767867208672115</v>
      </c>
      <c r="H293" s="18">
        <f t="shared" si="44"/>
        <v>-1.9501533842289687</v>
      </c>
      <c r="I293" s="18">
        <f t="shared" si="45"/>
        <v>0.88176680547293429</v>
      </c>
      <c r="J293" s="24"/>
      <c r="K293" s="24"/>
      <c r="L293" s="19">
        <f t="shared" si="46"/>
        <v>39.621007676581883</v>
      </c>
      <c r="O293" s="9">
        <f t="shared" si="41"/>
        <v>-2.5636076765818814</v>
      </c>
      <c r="P293" s="10">
        <f t="shared" si="47"/>
        <v>6.5720843194295524</v>
      </c>
      <c r="V293" s="10">
        <f t="shared" si="49"/>
        <v>0.13372740292935673</v>
      </c>
      <c r="W293" s="13">
        <f t="shared" si="42"/>
        <v>21.533260163876928</v>
      </c>
      <c r="Z293" s="15">
        <f t="shared" si="48"/>
        <v>4.3130430839703848</v>
      </c>
    </row>
    <row r="294" spans="1:26">
      <c r="A294" s="84">
        <f>'Q.6 Rand()'!V292</f>
        <v>4.2</v>
      </c>
      <c r="B294" s="141">
        <f>'Q.6 Rand()'!W292</f>
        <v>31.5002</v>
      </c>
      <c r="D294" s="23"/>
      <c r="E294" s="24"/>
      <c r="F294" s="22">
        <f t="shared" si="40"/>
        <v>0.7609756097560969</v>
      </c>
      <c r="G294" s="22">
        <f t="shared" si="43"/>
        <v>-3.4804132791327902</v>
      </c>
      <c r="H294" s="18">
        <f t="shared" si="44"/>
        <v>-2.6485096172912916</v>
      </c>
      <c r="I294" s="18">
        <f t="shared" si="45"/>
        <v>0.57908387864366351</v>
      </c>
      <c r="J294" s="24"/>
      <c r="K294" s="24"/>
      <c r="L294" s="19">
        <f t="shared" si="46"/>
        <v>31.220085871329896</v>
      </c>
      <c r="O294" s="9">
        <f t="shared" si="41"/>
        <v>0.28011412867010321</v>
      </c>
      <c r="P294" s="10">
        <f t="shared" si="47"/>
        <v>7.8463925080611133E-2</v>
      </c>
      <c r="V294" s="10">
        <f t="shared" si="49"/>
        <v>6.917937244873848E-2</v>
      </c>
      <c r="W294" s="13">
        <f t="shared" si="42"/>
        <v>14.141566384836748</v>
      </c>
      <c r="Z294" s="15">
        <f t="shared" si="48"/>
        <v>12.113276593563862</v>
      </c>
    </row>
    <row r="295" spans="1:26">
      <c r="A295" s="84">
        <f>'Q.6 Rand()'!V293</f>
        <v>5.3</v>
      </c>
      <c r="B295" s="141">
        <f>'Q.6 Rand()'!W293</f>
        <v>22.761900000000001</v>
      </c>
      <c r="D295" s="23"/>
      <c r="E295" s="24"/>
      <c r="F295" s="22">
        <f t="shared" si="40"/>
        <v>1.8609756097560965</v>
      </c>
      <c r="G295" s="22">
        <f t="shared" si="43"/>
        <v>-12.218713279132789</v>
      </c>
      <c r="H295" s="18">
        <f t="shared" si="44"/>
        <v>-22.738727395069056</v>
      </c>
      <c r="I295" s="18">
        <f t="shared" si="45"/>
        <v>3.4632302201070755</v>
      </c>
      <c r="J295" s="24"/>
      <c r="K295" s="24"/>
      <c r="L295" s="19">
        <f t="shared" si="46"/>
        <v>25.784195291460968</v>
      </c>
      <c r="O295" s="9">
        <f t="shared" si="41"/>
        <v>-3.0222952914609671</v>
      </c>
      <c r="P295" s="10">
        <f t="shared" si="47"/>
        <v>9.1342688287871319</v>
      </c>
      <c r="V295" s="10">
        <f t="shared" si="49"/>
        <v>8.8924555612378085E-3</v>
      </c>
      <c r="W295" s="13">
        <f t="shared" si="42"/>
        <v>84.574103803973841</v>
      </c>
      <c r="Z295" s="15">
        <f t="shared" si="48"/>
        <v>149.29695419765596</v>
      </c>
    </row>
    <row r="296" spans="1:26">
      <c r="A296" s="84">
        <f>'Q.6 Rand()'!V294</f>
        <v>4.5999999999999996</v>
      </c>
      <c r="B296" s="141">
        <f>'Q.6 Rand()'!W294</f>
        <v>34.200000000000003</v>
      </c>
      <c r="D296" s="23"/>
      <c r="E296" s="24"/>
      <c r="F296" s="22">
        <f t="shared" si="40"/>
        <v>1.1609756097560964</v>
      </c>
      <c r="G296" s="22">
        <f t="shared" si="43"/>
        <v>-0.78061327913278689</v>
      </c>
      <c r="H296" s="18">
        <f t="shared" si="44"/>
        <v>-0.90627297772489313</v>
      </c>
      <c r="I296" s="18">
        <f t="shared" si="45"/>
        <v>1.3478643664485397</v>
      </c>
      <c r="J296" s="24"/>
      <c r="K296" s="24"/>
      <c r="L296" s="19">
        <f t="shared" si="46"/>
        <v>29.243398387741198</v>
      </c>
      <c r="O296" s="9">
        <f t="shared" si="41"/>
        <v>4.9566016122588046</v>
      </c>
      <c r="P296" s="10">
        <f t="shared" si="47"/>
        <v>24.567899542646582</v>
      </c>
      <c r="V296" s="10">
        <f t="shared" si="49"/>
        <v>0.13277869121035446</v>
      </c>
      <c r="W296" s="13">
        <f t="shared" si="42"/>
        <v>32.915634710005428</v>
      </c>
      <c r="Z296" s="15">
        <f t="shared" si="48"/>
        <v>0.6093570915584422</v>
      </c>
    </row>
    <row r="297" spans="1:26">
      <c r="A297" s="84">
        <f>'Q.6 Rand()'!V295</f>
        <v>2.4</v>
      </c>
      <c r="B297" s="141">
        <f>'Q.6 Rand()'!W295</f>
        <v>40.200000000000003</v>
      </c>
      <c r="D297" s="23"/>
      <c r="E297" s="24"/>
      <c r="F297" s="22">
        <f t="shared" si="40"/>
        <v>-1.0390243902439034</v>
      </c>
      <c r="G297" s="22">
        <f t="shared" si="43"/>
        <v>5.2193867208672131</v>
      </c>
      <c r="H297" s="18">
        <f t="shared" si="44"/>
        <v>-5.4230701050961825</v>
      </c>
      <c r="I297" s="18">
        <f t="shared" si="45"/>
        <v>1.0795716835217153</v>
      </c>
      <c r="J297" s="24"/>
      <c r="K297" s="24"/>
      <c r="L297" s="19">
        <f t="shared" si="46"/>
        <v>40.115179547479059</v>
      </c>
      <c r="O297" s="9">
        <f t="shared" si="41"/>
        <v>8.4820452520943945E-2</v>
      </c>
      <c r="P297" s="10">
        <f t="shared" si="47"/>
        <v>7.194509165857706E-3</v>
      </c>
      <c r="V297" s="10">
        <f t="shared" si="49"/>
        <v>0.14492987170347379</v>
      </c>
      <c r="W297" s="13">
        <f t="shared" si="42"/>
        <v>26.36377076403933</v>
      </c>
      <c r="Z297" s="15">
        <f t="shared" si="48"/>
        <v>27.241997741965001</v>
      </c>
    </row>
    <row r="298" spans="1:26">
      <c r="A298" s="84">
        <f>'Q.6 Rand()'!V296</f>
        <v>1.6</v>
      </c>
      <c r="B298" s="141">
        <f>'Q.6 Rand()'!W296</f>
        <v>47.7592</v>
      </c>
      <c r="D298" s="23"/>
      <c r="E298" s="24"/>
      <c r="F298" s="22">
        <f t="shared" si="40"/>
        <v>-1.8390243902439032</v>
      </c>
      <c r="G298" s="22">
        <f t="shared" si="43"/>
        <v>12.77858672086721</v>
      </c>
      <c r="H298" s="18">
        <f t="shared" si="44"/>
        <v>-23.500132652521661</v>
      </c>
      <c r="I298" s="18">
        <f t="shared" si="45"/>
        <v>3.3820107079119599</v>
      </c>
      <c r="J298" s="24"/>
      <c r="K298" s="24"/>
      <c r="L298" s="19">
        <f t="shared" si="46"/>
        <v>44.068554514656462</v>
      </c>
      <c r="O298" s="9">
        <f t="shared" si="41"/>
        <v>3.6906454853435378</v>
      </c>
      <c r="P298" s="10">
        <f t="shared" si="47"/>
        <v>13.620864098486637</v>
      </c>
      <c r="V298" s="10">
        <f t="shared" si="49"/>
        <v>2.1099615054961181E-3</v>
      </c>
      <c r="W298" s="13">
        <f t="shared" si="42"/>
        <v>82.590675900331533</v>
      </c>
      <c r="Z298" s="15">
        <f t="shared" si="48"/>
        <v>163.29227858272381</v>
      </c>
    </row>
    <row r="299" spans="1:26">
      <c r="A299" s="84">
        <f>'Q.6 Rand()'!V297</f>
        <v>3.7</v>
      </c>
      <c r="B299" s="141">
        <f>'Q.6 Rand()'!W297</f>
        <v>34.299999999999997</v>
      </c>
      <c r="D299" s="23"/>
      <c r="E299" s="24"/>
      <c r="F299" s="22">
        <f t="shared" si="40"/>
        <v>0.2609756097560969</v>
      </c>
      <c r="G299" s="22">
        <f t="shared" si="43"/>
        <v>-0.68061327913279257</v>
      </c>
      <c r="H299" s="18">
        <f t="shared" si="44"/>
        <v>-0.17762346552977712</v>
      </c>
      <c r="I299" s="18">
        <f t="shared" si="45"/>
        <v>6.8108268887566575E-2</v>
      </c>
      <c r="J299" s="24"/>
      <c r="K299" s="24"/>
      <c r="L299" s="19">
        <f t="shared" si="46"/>
        <v>33.690945225815774</v>
      </c>
      <c r="O299" s="9">
        <f t="shared" si="41"/>
        <v>0.60905477418422294</v>
      </c>
      <c r="P299" s="10">
        <f t="shared" si="47"/>
        <v>0.37094771795659481</v>
      </c>
      <c r="V299" s="10">
        <f t="shared" si="49"/>
        <v>7.7276116127228636E-2</v>
      </c>
      <c r="W299" s="13">
        <f t="shared" si="42"/>
        <v>1.6632436877465004</v>
      </c>
      <c r="Z299" s="15">
        <f t="shared" si="48"/>
        <v>0.4632344357318926</v>
      </c>
    </row>
    <row r="300" spans="1:26">
      <c r="A300" s="84">
        <f>'Q.6 Rand()'!V298</f>
        <v>2.2000000000000002</v>
      </c>
      <c r="B300" s="141">
        <f>'Q.6 Rand()'!W298</f>
        <v>46.8</v>
      </c>
      <c r="D300" s="23"/>
      <c r="E300" s="24"/>
      <c r="F300" s="22">
        <f t="shared" si="40"/>
        <v>-1.2390243902439031</v>
      </c>
      <c r="G300" s="22">
        <f t="shared" si="43"/>
        <v>11.819386720867207</v>
      </c>
      <c r="H300" s="18">
        <f t="shared" si="44"/>
        <v>-14.644508424879376</v>
      </c>
      <c r="I300" s="18">
        <f t="shared" si="45"/>
        <v>1.5351814396192758</v>
      </c>
      <c r="J300" s="24"/>
      <c r="K300" s="24"/>
      <c r="L300" s="19">
        <f t="shared" si="46"/>
        <v>41.103523289273404</v>
      </c>
      <c r="O300" s="9">
        <f t="shared" si="41"/>
        <v>5.6964767107265928</v>
      </c>
      <c r="P300" s="10">
        <f t="shared" si="47"/>
        <v>32.449846915850465</v>
      </c>
      <c r="V300" s="10">
        <f t="shared" si="49"/>
        <v>1.775669895580825E-2</v>
      </c>
      <c r="W300" s="13">
        <f t="shared" si="42"/>
        <v>37.490026992280143</v>
      </c>
      <c r="Z300" s="15">
        <f t="shared" si="48"/>
        <v>139.69790245741208</v>
      </c>
    </row>
    <row r="301" spans="1:26">
      <c r="A301" s="84">
        <f>'Q.6 Rand()'!V299</f>
        <v>3</v>
      </c>
      <c r="B301" s="141">
        <f>'Q.6 Rand()'!W299</f>
        <v>33.722900000000003</v>
      </c>
      <c r="D301" s="23"/>
      <c r="E301" s="24"/>
      <c r="F301" s="22">
        <f t="shared" si="40"/>
        <v>-0.43902439024390327</v>
      </c>
      <c r="G301" s="22">
        <f t="shared" si="43"/>
        <v>-1.257713279132787</v>
      </c>
      <c r="H301" s="18">
        <f t="shared" si="44"/>
        <v>0.55216680547293195</v>
      </c>
      <c r="I301" s="18">
        <f t="shared" si="45"/>
        <v>0.19274241522903107</v>
      </c>
      <c r="J301" s="24"/>
      <c r="K301" s="24"/>
      <c r="L301" s="19">
        <f t="shared" si="46"/>
        <v>37.150148322096001</v>
      </c>
      <c r="O301" s="9">
        <f t="shared" si="41"/>
        <v>-3.4272483220959984</v>
      </c>
      <c r="P301" s="10">
        <f t="shared" si="47"/>
        <v>11.746031061309836</v>
      </c>
      <c r="V301" s="10">
        <f t="shared" si="49"/>
        <v>0.12171958783603831</v>
      </c>
      <c r="W301" s="13">
        <f t="shared" si="42"/>
        <v>4.7068823026453837</v>
      </c>
      <c r="Z301" s="15">
        <f t="shared" si="48"/>
        <v>1.5818426925069478</v>
      </c>
    </row>
    <row r="302" spans="1:26">
      <c r="A302" s="84">
        <f>'Q.6 Rand()'!V300</f>
        <v>2.4</v>
      </c>
      <c r="B302" s="141">
        <f>'Q.6 Rand()'!W300</f>
        <v>37.221800000000002</v>
      </c>
      <c r="D302" s="23"/>
      <c r="E302" s="24"/>
      <c r="F302" s="22">
        <f t="shared" si="40"/>
        <v>-1.0390243902439034</v>
      </c>
      <c r="G302" s="22">
        <f t="shared" si="43"/>
        <v>2.241186720867212</v>
      </c>
      <c r="H302" s="18">
        <f t="shared" si="44"/>
        <v>-2.3286476660717881</v>
      </c>
      <c r="I302" s="18">
        <f t="shared" si="45"/>
        <v>1.0795716835217153</v>
      </c>
      <c r="J302" s="24"/>
      <c r="K302" s="24"/>
      <c r="L302" s="19">
        <f t="shared" si="46"/>
        <v>40.115179547479059</v>
      </c>
      <c r="O302" s="9">
        <f t="shared" si="41"/>
        <v>-2.8933795474790571</v>
      </c>
      <c r="P302" s="10">
        <f t="shared" si="47"/>
        <v>8.371645205770113</v>
      </c>
      <c r="V302" s="10">
        <f t="shared" si="49"/>
        <v>0.10162970332017704</v>
      </c>
      <c r="W302" s="13">
        <f t="shared" si="42"/>
        <v>26.36377076403933</v>
      </c>
      <c r="Z302" s="15">
        <f t="shared" si="48"/>
        <v>5.0229179177915269</v>
      </c>
    </row>
    <row r="303" spans="1:26">
      <c r="A303" s="84">
        <f>'Q.6 Rand()'!V301</f>
        <v>6.2</v>
      </c>
      <c r="B303" s="141">
        <f>'Q.6 Rand()'!W301</f>
        <v>26.1</v>
      </c>
      <c r="D303" s="23"/>
      <c r="E303" s="24"/>
      <c r="F303" s="22">
        <f t="shared" si="40"/>
        <v>2.7609756097560969</v>
      </c>
      <c r="G303" s="22">
        <f t="shared" si="43"/>
        <v>-8.8806132791327883</v>
      </c>
      <c r="H303" s="18">
        <f t="shared" si="44"/>
        <v>-24.519156663361741</v>
      </c>
      <c r="I303" s="18">
        <f t="shared" si="45"/>
        <v>7.622986317668051</v>
      </c>
      <c r="J303" s="24"/>
      <c r="K303" s="24"/>
      <c r="L303" s="19">
        <f t="shared" si="46"/>
        <v>21.336648453386388</v>
      </c>
      <c r="O303" s="9">
        <f t="shared" si="41"/>
        <v>4.7633515466136132</v>
      </c>
      <c r="P303" s="10">
        <f t="shared" si="47"/>
        <v>22.6895179566263</v>
      </c>
      <c r="V303" s="10">
        <f t="shared" si="49"/>
        <v>7.7733466610401883E-2</v>
      </c>
      <c r="W303" s="13">
        <f t="shared" si="42"/>
        <v>186.15777616620502</v>
      </c>
      <c r="Z303" s="15">
        <f t="shared" si="48"/>
        <v>78.865292213509619</v>
      </c>
    </row>
    <row r="304" spans="1:26">
      <c r="A304" s="84">
        <f>'Q.6 Rand()'!V302</f>
        <v>4.5999999999999996</v>
      </c>
      <c r="B304" s="141">
        <f>'Q.6 Rand()'!W302</f>
        <v>31.9</v>
      </c>
      <c r="D304" s="23"/>
      <c r="E304" s="24"/>
      <c r="F304" s="22">
        <f t="shared" si="40"/>
        <v>1.1609756097560964</v>
      </c>
      <c r="G304" s="22">
        <f t="shared" si="43"/>
        <v>-3.0806132791327911</v>
      </c>
      <c r="H304" s="18">
        <f t="shared" si="44"/>
        <v>-3.5765168801639198</v>
      </c>
      <c r="I304" s="18">
        <f t="shared" si="45"/>
        <v>1.3478643664485397</v>
      </c>
      <c r="J304" s="24"/>
      <c r="K304" s="24"/>
      <c r="L304" s="19">
        <f t="shared" si="46"/>
        <v>29.243398387741198</v>
      </c>
      <c r="O304" s="9">
        <f t="shared" si="41"/>
        <v>2.6566016122588003</v>
      </c>
      <c r="P304" s="10">
        <f t="shared" si="47"/>
        <v>7.0575321262560573</v>
      </c>
      <c r="V304" s="10">
        <f t="shared" si="49"/>
        <v>0.18250389067485107</v>
      </c>
      <c r="W304" s="13">
        <f t="shared" si="42"/>
        <v>32.915634710005428</v>
      </c>
      <c r="Z304" s="15">
        <f t="shared" si="48"/>
        <v>9.4901781755692873</v>
      </c>
    </row>
    <row r="305" spans="1:26">
      <c r="A305" s="84">
        <f>'Q.6 Rand()'!V303</f>
        <v>2.2999999999999998</v>
      </c>
      <c r="B305" s="141">
        <f>'Q.6 Rand()'!W303</f>
        <v>31.9</v>
      </c>
      <c r="D305" s="23"/>
      <c r="E305" s="24"/>
      <c r="F305" s="22">
        <f t="shared" si="40"/>
        <v>-1.1390243902439035</v>
      </c>
      <c r="G305" s="22">
        <f t="shared" si="43"/>
        <v>-3.0806132791327911</v>
      </c>
      <c r="H305" s="18">
        <f t="shared" si="44"/>
        <v>3.5088936618414994</v>
      </c>
      <c r="I305" s="18">
        <f t="shared" si="45"/>
        <v>1.297376561570496</v>
      </c>
      <c r="J305" s="24"/>
      <c r="K305" s="24"/>
      <c r="L305" s="19">
        <f t="shared" si="46"/>
        <v>40.609351418376235</v>
      </c>
      <c r="O305" s="9">
        <f t="shared" si="41"/>
        <v>-8.7093514183762366</v>
      </c>
      <c r="P305" s="10">
        <f t="shared" si="47"/>
        <v>75.852802128772169</v>
      </c>
      <c r="V305" s="10">
        <f t="shared" si="49"/>
        <v>8.3279047406231987E-2</v>
      </c>
      <c r="W305" s="13">
        <f t="shared" si="42"/>
        <v>31.682693040173763</v>
      </c>
      <c r="Z305" s="15">
        <f t="shared" si="48"/>
        <v>9.4901781755692873</v>
      </c>
    </row>
    <row r="306" spans="1:26">
      <c r="A306" s="84">
        <f>'Q.6 Rand()'!V304</f>
        <v>6.2</v>
      </c>
      <c r="B306" s="141">
        <f>'Q.6 Rand()'!W304</f>
        <v>26</v>
      </c>
      <c r="D306" s="23"/>
      <c r="E306" s="24"/>
      <c r="F306" s="22">
        <f t="shared" si="40"/>
        <v>2.7609756097560969</v>
      </c>
      <c r="G306" s="22">
        <f t="shared" si="43"/>
        <v>-8.9806132791327897</v>
      </c>
      <c r="H306" s="18">
        <f t="shared" si="44"/>
        <v>-24.795254224337356</v>
      </c>
      <c r="I306" s="18">
        <f t="shared" si="45"/>
        <v>7.622986317668051</v>
      </c>
      <c r="J306" s="24"/>
      <c r="K306" s="24"/>
      <c r="L306" s="19">
        <f t="shared" si="46"/>
        <v>21.336648453386388</v>
      </c>
      <c r="O306" s="9">
        <f t="shared" si="41"/>
        <v>4.6633515466136117</v>
      </c>
      <c r="P306" s="10">
        <f t="shared" si="47"/>
        <v>21.746847647303564</v>
      </c>
      <c r="V306" s="10">
        <f t="shared" si="49"/>
        <v>0.27302042063875354</v>
      </c>
      <c r="W306" s="13">
        <f t="shared" si="42"/>
        <v>186.15777616620502</v>
      </c>
      <c r="Z306" s="15">
        <f t="shared" si="48"/>
        <v>80.651414869336193</v>
      </c>
    </row>
    <row r="307" spans="1:26">
      <c r="A307" s="84">
        <f>'Q.6 Rand()'!V305</f>
        <v>4.3</v>
      </c>
      <c r="B307" s="141">
        <f>'Q.6 Rand()'!W305</f>
        <v>27.6</v>
      </c>
      <c r="D307" s="23"/>
      <c r="E307" s="24"/>
      <c r="F307" s="22">
        <f t="shared" si="40"/>
        <v>0.86097560975609655</v>
      </c>
      <c r="G307" s="22">
        <f t="shared" si="43"/>
        <v>-7.3806132791327883</v>
      </c>
      <c r="H307" s="18">
        <f t="shared" si="44"/>
        <v>-6.3545280183752952</v>
      </c>
      <c r="I307" s="18">
        <f t="shared" si="45"/>
        <v>0.74127900059488228</v>
      </c>
      <c r="J307" s="24"/>
      <c r="K307" s="24"/>
      <c r="L307" s="19">
        <f t="shared" si="46"/>
        <v>30.725914000432724</v>
      </c>
      <c r="O307" s="9">
        <f t="shared" si="41"/>
        <v>-3.1259140004327222</v>
      </c>
      <c r="P307" s="10">
        <f t="shared" si="47"/>
        <v>9.7713383381013053</v>
      </c>
      <c r="V307" s="10">
        <f t="shared" si="49"/>
        <v>0.17935967486975429</v>
      </c>
      <c r="W307" s="13">
        <f t="shared" si="42"/>
        <v>18.102465952170864</v>
      </c>
      <c r="Z307" s="15">
        <f t="shared" si="48"/>
        <v>54.473452376111247</v>
      </c>
    </row>
    <row r="308" spans="1:26">
      <c r="A308" s="84">
        <f>'Q.6 Rand()'!V306</f>
        <v>3.7</v>
      </c>
      <c r="B308" s="141">
        <f>'Q.6 Rand()'!W306</f>
        <v>27</v>
      </c>
      <c r="D308" s="23"/>
      <c r="E308" s="24"/>
      <c r="F308" s="22">
        <f t="shared" si="40"/>
        <v>0.2609756097560969</v>
      </c>
      <c r="G308" s="22">
        <f t="shared" si="43"/>
        <v>-7.9806132791327897</v>
      </c>
      <c r="H308" s="18">
        <f t="shared" si="44"/>
        <v>-2.0827454167492836</v>
      </c>
      <c r="I308" s="18">
        <f t="shared" si="45"/>
        <v>6.8108268887566575E-2</v>
      </c>
      <c r="J308" s="24"/>
      <c r="K308" s="24"/>
      <c r="L308" s="19">
        <f t="shared" si="46"/>
        <v>33.690945225815774</v>
      </c>
      <c r="O308" s="9">
        <f t="shared" si="41"/>
        <v>-6.6909452258157742</v>
      </c>
      <c r="P308" s="10">
        <f t="shared" si="47"/>
        <v>44.768748014866901</v>
      </c>
      <c r="V308" s="10">
        <f t="shared" si="49"/>
        <v>0.11325775363886674</v>
      </c>
      <c r="W308" s="13">
        <f t="shared" si="42"/>
        <v>1.6632436877465004</v>
      </c>
      <c r="Z308" s="15">
        <f t="shared" si="48"/>
        <v>63.690188311070621</v>
      </c>
    </row>
    <row r="309" spans="1:26">
      <c r="A309" s="84">
        <f>'Q.6 Rand()'!V307</f>
        <v>6.2</v>
      </c>
      <c r="B309" s="141">
        <f>'Q.6 Rand()'!W307</f>
        <v>27.4</v>
      </c>
      <c r="D309" s="23"/>
      <c r="E309" s="24"/>
      <c r="F309" s="22">
        <f t="shared" si="40"/>
        <v>2.7609756097560969</v>
      </c>
      <c r="G309" s="22">
        <f t="shared" si="43"/>
        <v>-7.5806132791327911</v>
      </c>
      <c r="H309" s="18">
        <f t="shared" si="44"/>
        <v>-20.929888370678825</v>
      </c>
      <c r="I309" s="18">
        <f t="shared" si="45"/>
        <v>7.622986317668051</v>
      </c>
      <c r="J309" s="24"/>
      <c r="K309" s="24"/>
      <c r="L309" s="19">
        <f t="shared" si="46"/>
        <v>21.336648453386388</v>
      </c>
      <c r="O309" s="9">
        <f t="shared" si="41"/>
        <v>6.0633515466136103</v>
      </c>
      <c r="P309" s="10">
        <f t="shared" si="47"/>
        <v>36.764231977821659</v>
      </c>
      <c r="V309" s="10">
        <f t="shared" si="49"/>
        <v>0.24781278614132496</v>
      </c>
      <c r="W309" s="13">
        <f t="shared" si="42"/>
        <v>186.15777616620502</v>
      </c>
      <c r="Z309" s="15">
        <f t="shared" si="48"/>
        <v>57.465697687764411</v>
      </c>
    </row>
    <row r="310" spans="1:26">
      <c r="A310" s="84">
        <f>'Q.6 Rand()'!V308</f>
        <v>2.4</v>
      </c>
      <c r="B310" s="141">
        <f>'Q.6 Rand()'!W308</f>
        <v>33.6</v>
      </c>
      <c r="D310" s="23"/>
      <c r="E310" s="24"/>
      <c r="F310" s="22">
        <f t="shared" si="40"/>
        <v>-1.0390243902439034</v>
      </c>
      <c r="G310" s="22">
        <f t="shared" si="43"/>
        <v>-1.3806132791327883</v>
      </c>
      <c r="H310" s="18">
        <f t="shared" si="44"/>
        <v>1.4344908705135813</v>
      </c>
      <c r="I310" s="18">
        <f t="shared" si="45"/>
        <v>1.0795716835217153</v>
      </c>
      <c r="J310" s="24"/>
      <c r="K310" s="24"/>
      <c r="L310" s="19">
        <f t="shared" si="46"/>
        <v>40.115179547479059</v>
      </c>
      <c r="O310" s="9">
        <f t="shared" si="41"/>
        <v>-6.5151795474790575</v>
      </c>
      <c r="P310" s="10">
        <f t="shared" si="47"/>
        <v>42.447564535889413</v>
      </c>
      <c r="V310" s="10">
        <f t="shared" si="49"/>
        <v>0.22129020243115366</v>
      </c>
      <c r="W310" s="13">
        <f t="shared" si="42"/>
        <v>26.36377076403933</v>
      </c>
      <c r="Z310" s="15">
        <f t="shared" si="48"/>
        <v>1.9060930265177904</v>
      </c>
    </row>
    <row r="311" spans="1:26">
      <c r="A311" s="84">
        <f>'Q.6 Rand()'!V309</f>
        <v>3.5</v>
      </c>
      <c r="B311" s="141">
        <f>'Q.6 Rand()'!W309</f>
        <v>36.799999999999997</v>
      </c>
      <c r="D311" s="23"/>
      <c r="E311" s="24"/>
      <c r="F311" s="22">
        <f t="shared" si="40"/>
        <v>6.0975609756096727E-2</v>
      </c>
      <c r="G311" s="22">
        <f t="shared" si="43"/>
        <v>1.8193867208672074</v>
      </c>
      <c r="H311" s="18">
        <f t="shared" si="44"/>
        <v>0.11093821468702332</v>
      </c>
      <c r="I311" s="18">
        <f t="shared" si="45"/>
        <v>3.7180249851277982E-3</v>
      </c>
      <c r="J311" s="24"/>
      <c r="K311" s="24"/>
      <c r="L311" s="19">
        <f t="shared" si="46"/>
        <v>34.679288967610127</v>
      </c>
      <c r="O311" s="9">
        <f t="shared" si="41"/>
        <v>2.1207110323898704</v>
      </c>
      <c r="P311" s="10">
        <f t="shared" si="47"/>
        <v>4.4974152829001097</v>
      </c>
      <c r="V311" s="10">
        <f t="shared" si="49"/>
        <v>0.19390415319878146</v>
      </c>
      <c r="W311" s="13">
        <f t="shared" si="42"/>
        <v>9.0796340714606807E-2</v>
      </c>
      <c r="Z311" s="15">
        <f t="shared" si="48"/>
        <v>3.3101680400679299</v>
      </c>
    </row>
    <row r="312" spans="1:26">
      <c r="A312" s="84">
        <f>'Q.6 Rand()'!V310</f>
        <v>3.8</v>
      </c>
      <c r="B312" s="141">
        <f>'Q.6 Rand()'!W310</f>
        <v>29.5</v>
      </c>
      <c r="D312" s="23"/>
      <c r="E312" s="24"/>
      <c r="F312" s="22">
        <f t="shared" si="40"/>
        <v>0.36097560975609655</v>
      </c>
      <c r="G312" s="22">
        <f t="shared" si="43"/>
        <v>-5.4806132791327897</v>
      </c>
      <c r="H312" s="18">
        <f t="shared" si="44"/>
        <v>-1.9783677202723184</v>
      </c>
      <c r="I312" s="18">
        <f t="shared" si="45"/>
        <v>0.1303033908387857</v>
      </c>
      <c r="J312" s="24"/>
      <c r="K312" s="24"/>
      <c r="L312" s="19">
        <f t="shared" si="46"/>
        <v>33.196773354918605</v>
      </c>
      <c r="O312" s="9">
        <f t="shared" si="41"/>
        <v>-3.696773354918605</v>
      </c>
      <c r="P312" s="10">
        <f t="shared" si="47"/>
        <v>13.666133237636158</v>
      </c>
      <c r="V312" s="10">
        <f t="shared" si="49"/>
        <v>5.7628017184507351E-2</v>
      </c>
      <c r="W312" s="13">
        <f t="shared" si="42"/>
        <v>3.1820848752204682</v>
      </c>
      <c r="Z312" s="15">
        <f t="shared" si="48"/>
        <v>30.037121915406669</v>
      </c>
    </row>
    <row r="313" spans="1:26">
      <c r="A313" s="84">
        <f>'Q.6 Rand()'!V311</f>
        <v>4</v>
      </c>
      <c r="B313" s="141">
        <f>'Q.6 Rand()'!W311</f>
        <v>29.9</v>
      </c>
      <c r="D313" s="23"/>
      <c r="E313" s="24"/>
      <c r="F313" s="22">
        <f t="shared" si="40"/>
        <v>0.56097560975609673</v>
      </c>
      <c r="G313" s="22">
        <f t="shared" si="43"/>
        <v>-5.0806132791327911</v>
      </c>
      <c r="H313" s="18">
        <f t="shared" si="44"/>
        <v>-2.8501001321964394</v>
      </c>
      <c r="I313" s="18">
        <f t="shared" si="45"/>
        <v>0.31469363474122453</v>
      </c>
      <c r="J313" s="24"/>
      <c r="K313" s="24"/>
      <c r="L313" s="19">
        <f t="shared" si="46"/>
        <v>32.208429613124252</v>
      </c>
      <c r="O313" s="9">
        <f t="shared" si="41"/>
        <v>-2.3084296131242539</v>
      </c>
      <c r="P313" s="10">
        <f t="shared" si="47"/>
        <v>5.3288472787489924</v>
      </c>
      <c r="V313" s="10">
        <f t="shared" si="49"/>
        <v>0.12531435101419</v>
      </c>
      <c r="W313" s="13">
        <f t="shared" si="42"/>
        <v>7.6850022780845331</v>
      </c>
      <c r="Z313" s="15">
        <f t="shared" si="48"/>
        <v>25.812631292100452</v>
      </c>
    </row>
    <row r="314" spans="1:26">
      <c r="A314" s="84">
        <f>'Q.6 Rand()'!V312</f>
        <v>1.5</v>
      </c>
      <c r="B314" s="141">
        <f>'Q.6 Rand()'!W312</f>
        <v>47.4</v>
      </c>
      <c r="D314" s="23"/>
      <c r="E314" s="24"/>
      <c r="F314" s="22">
        <f t="shared" si="40"/>
        <v>-1.9390243902439033</v>
      </c>
      <c r="G314" s="22">
        <f t="shared" si="43"/>
        <v>12.419386720867209</v>
      </c>
      <c r="H314" s="18">
        <f t="shared" si="44"/>
        <v>-24.081493763632768</v>
      </c>
      <c r="I314" s="18">
        <f t="shared" si="45"/>
        <v>3.7598155859607409</v>
      </c>
      <c r="J314" s="24"/>
      <c r="K314" s="24"/>
      <c r="L314" s="19">
        <f t="shared" si="46"/>
        <v>44.562726385553638</v>
      </c>
      <c r="O314" s="9">
        <f t="shared" si="41"/>
        <v>2.8372736144463602</v>
      </c>
      <c r="P314" s="10">
        <f t="shared" si="47"/>
        <v>8.0501215632335121</v>
      </c>
      <c r="V314" s="10">
        <f t="shared" si="49"/>
        <v>7.7205003783419865E-2</v>
      </c>
      <c r="W314" s="13">
        <f t="shared" si="42"/>
        <v>91.8168915842422</v>
      </c>
      <c r="Z314" s="15">
        <f t="shared" si="48"/>
        <v>154.24116652245277</v>
      </c>
    </row>
    <row r="315" spans="1:26">
      <c r="A315" s="84">
        <f>'Q.6 Rand()'!V313</f>
        <v>3.8</v>
      </c>
      <c r="B315" s="141">
        <f>'Q.6 Rand()'!W313</f>
        <v>32.5</v>
      </c>
      <c r="D315" s="23"/>
      <c r="E315" s="24"/>
      <c r="F315" s="22">
        <f t="shared" si="40"/>
        <v>0.36097560975609655</v>
      </c>
      <c r="G315" s="22">
        <f t="shared" si="43"/>
        <v>-2.4806132791327897</v>
      </c>
      <c r="H315" s="18">
        <f t="shared" si="44"/>
        <v>-0.8954408910040289</v>
      </c>
      <c r="I315" s="18">
        <f t="shared" si="45"/>
        <v>0.1303033908387857</v>
      </c>
      <c r="J315" s="24"/>
      <c r="K315" s="24"/>
      <c r="L315" s="19">
        <f t="shared" si="46"/>
        <v>33.196773354918605</v>
      </c>
      <c r="O315" s="9">
        <f t="shared" si="41"/>
        <v>-0.69677335491860504</v>
      </c>
      <c r="P315" s="10">
        <f t="shared" si="47"/>
        <v>0.48549310812452834</v>
      </c>
      <c r="V315" s="10">
        <f t="shared" si="49"/>
        <v>5.9858093131779755E-2</v>
      </c>
      <c r="W315" s="13">
        <f t="shared" si="42"/>
        <v>3.1820848752204682</v>
      </c>
      <c r="Z315" s="15">
        <f t="shared" si="48"/>
        <v>6.1534422406099321</v>
      </c>
    </row>
    <row r="316" spans="1:26">
      <c r="A316" s="84">
        <f>'Q.6 Rand()'!V314</f>
        <v>3</v>
      </c>
      <c r="B316" s="141">
        <f>'Q.6 Rand()'!W314</f>
        <v>29.789200000000001</v>
      </c>
      <c r="D316" s="23"/>
      <c r="E316" s="24"/>
      <c r="F316" s="22">
        <f t="shared" si="40"/>
        <v>-0.43902439024390327</v>
      </c>
      <c r="G316" s="22">
        <f t="shared" si="43"/>
        <v>-5.1914132791327887</v>
      </c>
      <c r="H316" s="18">
        <f t="shared" si="44"/>
        <v>2.279157049375375</v>
      </c>
      <c r="I316" s="18">
        <f t="shared" si="45"/>
        <v>0.19274241522903107</v>
      </c>
      <c r="J316" s="24"/>
      <c r="K316" s="24"/>
      <c r="L316" s="19">
        <f t="shared" si="46"/>
        <v>37.150148322096001</v>
      </c>
      <c r="O316" s="9">
        <f t="shared" si="41"/>
        <v>-7.3609483220960001</v>
      </c>
      <c r="P316" s="10">
        <f t="shared" si="47"/>
        <v>54.183560200567918</v>
      </c>
      <c r="V316" s="10">
        <f t="shared" si="49"/>
        <v>2.1439180151341695E-2</v>
      </c>
      <c r="W316" s="13">
        <f t="shared" si="42"/>
        <v>4.7068823026453837</v>
      </c>
      <c r="Z316" s="15">
        <f t="shared" si="48"/>
        <v>26.950771834756253</v>
      </c>
    </row>
    <row r="317" spans="1:26">
      <c r="A317" s="84">
        <f>'Q.6 Rand()'!V315</f>
        <v>4.4000000000000004</v>
      </c>
      <c r="B317" s="141">
        <f>'Q.6 Rand()'!W315</f>
        <v>27.7</v>
      </c>
      <c r="D317" s="23"/>
      <c r="E317" s="24"/>
      <c r="F317" s="22">
        <f t="shared" si="40"/>
        <v>0.96097560975609708</v>
      </c>
      <c r="G317" s="22">
        <f t="shared" si="43"/>
        <v>-7.2806132791327904</v>
      </c>
      <c r="H317" s="18">
        <f t="shared" si="44"/>
        <v>-6.9964917853129709</v>
      </c>
      <c r="I317" s="18">
        <f t="shared" si="45"/>
        <v>0.92347412254610262</v>
      </c>
      <c r="J317" s="24"/>
      <c r="K317" s="24"/>
      <c r="L317" s="19">
        <f t="shared" si="46"/>
        <v>30.231742129535544</v>
      </c>
      <c r="O317" s="9">
        <f t="shared" si="41"/>
        <v>-2.5317421295355444</v>
      </c>
      <c r="P317" s="10">
        <f t="shared" si="47"/>
        <v>6.4097182104651731</v>
      </c>
      <c r="V317" s="10">
        <f t="shared" si="49"/>
        <v>0.24710124213124218</v>
      </c>
      <c r="W317" s="13">
        <f t="shared" si="42"/>
        <v>22.551777195477069</v>
      </c>
      <c r="Z317" s="15">
        <f t="shared" si="48"/>
        <v>53.007329720284723</v>
      </c>
    </row>
    <row r="318" spans="1:26">
      <c r="A318" s="84">
        <f>'Q.6 Rand()'!V316</f>
        <v>2</v>
      </c>
      <c r="B318" s="141">
        <f>'Q.6 Rand()'!W316</f>
        <v>38.462699999999998</v>
      </c>
      <c r="D318" s="23"/>
      <c r="E318" s="24"/>
      <c r="F318" s="22">
        <f t="shared" si="40"/>
        <v>-1.4390243902439033</v>
      </c>
      <c r="G318" s="22">
        <f t="shared" si="43"/>
        <v>3.4820867208672084</v>
      </c>
      <c r="H318" s="18">
        <f t="shared" si="44"/>
        <v>-5.0108077202723269</v>
      </c>
      <c r="I318" s="18">
        <f t="shared" si="45"/>
        <v>2.0707911957168377</v>
      </c>
      <c r="J318" s="24"/>
      <c r="K318" s="24"/>
      <c r="L318" s="19">
        <f t="shared" si="46"/>
        <v>42.091867031067757</v>
      </c>
      <c r="O318" s="9">
        <f t="shared" si="41"/>
        <v>-3.6291670310677588</v>
      </c>
      <c r="P318" s="10">
        <f t="shared" si="47"/>
        <v>13.170853339389172</v>
      </c>
      <c r="V318" s="10">
        <f t="shared" si="49"/>
        <v>9.1398632835218208E-2</v>
      </c>
      <c r="W318" s="13">
        <f t="shared" si="42"/>
        <v>50.569929924409145</v>
      </c>
      <c r="Z318" s="15">
        <f t="shared" si="48"/>
        <v>12.124927931639748</v>
      </c>
    </row>
    <row r="319" spans="1:26">
      <c r="A319" s="84">
        <f>'Q.6 Rand()'!V317</f>
        <v>4.3</v>
      </c>
      <c r="B319" s="141">
        <f>'Q.6 Rand()'!W317</f>
        <v>27.8522</v>
      </c>
      <c r="D319" s="23"/>
      <c r="E319" s="24"/>
      <c r="F319" s="22">
        <f t="shared" si="40"/>
        <v>0.86097560975609655</v>
      </c>
      <c r="G319" s="22">
        <f t="shared" si="43"/>
        <v>-7.1284132791327899</v>
      </c>
      <c r="H319" s="18">
        <f t="shared" si="44"/>
        <v>-6.1373899695948095</v>
      </c>
      <c r="I319" s="18">
        <f t="shared" si="45"/>
        <v>0.74127900059488228</v>
      </c>
      <c r="J319" s="24"/>
      <c r="K319" s="24"/>
      <c r="L319" s="19">
        <f t="shared" si="46"/>
        <v>30.725914000432724</v>
      </c>
      <c r="O319" s="9">
        <f t="shared" si="41"/>
        <v>-2.8737140004327237</v>
      </c>
      <c r="P319" s="10">
        <f t="shared" si="47"/>
        <v>8.2582321562830483</v>
      </c>
      <c r="V319" s="10">
        <f t="shared" si="49"/>
        <v>9.4355493271864918E-2</v>
      </c>
      <c r="W319" s="13">
        <f t="shared" si="42"/>
        <v>18.102465952170864</v>
      </c>
      <c r="Z319" s="15">
        <f t="shared" si="48"/>
        <v>50.814275878116696</v>
      </c>
    </row>
    <row r="320" spans="1:26">
      <c r="A320" s="84">
        <f>'Q.6 Rand()'!V318</f>
        <v>3.5</v>
      </c>
      <c r="B320" s="141">
        <f>'Q.6 Rand()'!W318</f>
        <v>35</v>
      </c>
      <c r="D320" s="23"/>
      <c r="E320" s="24"/>
      <c r="F320" s="22">
        <f t="shared" si="40"/>
        <v>6.0975609756096727E-2</v>
      </c>
      <c r="G320" s="22">
        <f t="shared" si="43"/>
        <v>1.9386720867210272E-2</v>
      </c>
      <c r="H320" s="18">
        <f t="shared" si="44"/>
        <v>1.1821171260493907E-3</v>
      </c>
      <c r="I320" s="18">
        <f t="shared" si="45"/>
        <v>3.7180249851277982E-3</v>
      </c>
      <c r="J320" s="24"/>
      <c r="K320" s="24"/>
      <c r="L320" s="19">
        <f t="shared" si="46"/>
        <v>34.679288967610127</v>
      </c>
      <c r="O320" s="9">
        <f t="shared" si="41"/>
        <v>0.3207110323898732</v>
      </c>
      <c r="P320" s="10">
        <f t="shared" si="47"/>
        <v>0.1028555662965783</v>
      </c>
      <c r="V320" s="10">
        <f t="shared" si="49"/>
        <v>0.10317727146985602</v>
      </c>
      <c r="W320" s="13">
        <f t="shared" si="42"/>
        <v>9.0796340714606807E-2</v>
      </c>
      <c r="Z320" s="15">
        <f t="shared" si="48"/>
        <v>3.7584494598312621E-4</v>
      </c>
    </row>
    <row r="321" spans="1:26">
      <c r="A321" s="84">
        <f>'Q.6 Rand()'!V319</f>
        <v>5.3</v>
      </c>
      <c r="B321" s="141">
        <f>'Q.6 Rand()'!W319</f>
        <v>23.299900000000001</v>
      </c>
      <c r="D321" s="23"/>
      <c r="E321" s="24"/>
      <c r="F321" s="22">
        <f t="shared" si="40"/>
        <v>1.8609756097560965</v>
      </c>
      <c r="G321" s="22">
        <f t="shared" si="43"/>
        <v>-11.680713279132789</v>
      </c>
      <c r="H321" s="18">
        <f t="shared" si="44"/>
        <v>-21.737522517020274</v>
      </c>
      <c r="I321" s="18">
        <f t="shared" si="45"/>
        <v>3.4632302201070755</v>
      </c>
      <c r="J321" s="24"/>
      <c r="K321" s="24"/>
      <c r="L321" s="19">
        <f t="shared" si="46"/>
        <v>25.784195291460968</v>
      </c>
      <c r="O321" s="9">
        <f t="shared" si="41"/>
        <v>-2.4842952914609668</v>
      </c>
      <c r="P321" s="10">
        <f t="shared" si="47"/>
        <v>6.1717230951751301</v>
      </c>
      <c r="V321" s="10">
        <f t="shared" si="49"/>
        <v>9.1631723539963763E-3</v>
      </c>
      <c r="W321" s="13">
        <f t="shared" si="42"/>
        <v>84.574103803973841</v>
      </c>
      <c r="Z321" s="15">
        <f t="shared" si="48"/>
        <v>136.43906270930907</v>
      </c>
    </row>
    <row r="322" spans="1:26">
      <c r="A322" s="84">
        <f>'Q.6 Rand()'!V320</f>
        <v>5.2</v>
      </c>
      <c r="B322" s="141">
        <f>'Q.6 Rand()'!W320</f>
        <v>23.9</v>
      </c>
      <c r="D322" s="23"/>
      <c r="E322" s="24"/>
      <c r="F322" s="22">
        <f t="shared" si="40"/>
        <v>1.7609756097560969</v>
      </c>
      <c r="G322" s="22">
        <f t="shared" si="43"/>
        <v>-11.080613279132791</v>
      </c>
      <c r="H322" s="18">
        <f t="shared" si="44"/>
        <v>-19.512689725692372</v>
      </c>
      <c r="I322" s="18">
        <f t="shared" si="45"/>
        <v>3.1010350981558572</v>
      </c>
      <c r="J322" s="24"/>
      <c r="K322" s="24"/>
      <c r="L322" s="19">
        <f t="shared" si="46"/>
        <v>26.278367162358141</v>
      </c>
      <c r="O322" s="9">
        <f t="shared" si="41"/>
        <v>-2.3783671623581419</v>
      </c>
      <c r="P322" s="10">
        <f t="shared" si="47"/>
        <v>5.6566303589835201</v>
      </c>
      <c r="V322" s="10">
        <f t="shared" si="49"/>
        <v>0.10662257312095617</v>
      </c>
      <c r="W322" s="13">
        <f t="shared" si="42"/>
        <v>75.72908747691946</v>
      </c>
      <c r="Z322" s="15">
        <f t="shared" si="48"/>
        <v>122.77999064169394</v>
      </c>
    </row>
    <row r="323" spans="1:26">
      <c r="A323" s="84">
        <f>'Q.6 Rand()'!V321</f>
        <v>4.3</v>
      </c>
      <c r="B323" s="141">
        <f>'Q.6 Rand()'!W321</f>
        <v>27.805499999999999</v>
      </c>
      <c r="D323" s="23"/>
      <c r="E323" s="24"/>
      <c r="F323" s="22">
        <f t="shared" si="40"/>
        <v>0.86097560975609655</v>
      </c>
      <c r="G323" s="22">
        <f t="shared" si="43"/>
        <v>-7.1751132791327912</v>
      </c>
      <c r="H323" s="18">
        <f t="shared" si="44"/>
        <v>-6.17759753057042</v>
      </c>
      <c r="I323" s="18">
        <f t="shared" si="45"/>
        <v>0.74127900059488228</v>
      </c>
      <c r="J323" s="24"/>
      <c r="K323" s="24"/>
      <c r="L323" s="19">
        <f t="shared" si="46"/>
        <v>30.725914000432724</v>
      </c>
      <c r="O323" s="9">
        <f t="shared" si="41"/>
        <v>-2.920414000432725</v>
      </c>
      <c r="P323" s="10">
        <f t="shared" si="47"/>
        <v>8.528817933923472</v>
      </c>
      <c r="V323" s="10">
        <f t="shared" si="49"/>
        <v>9.9513270391554068E-2</v>
      </c>
      <c r="W323" s="13">
        <f t="shared" si="42"/>
        <v>18.102465952170864</v>
      </c>
      <c r="Z323" s="15">
        <f t="shared" si="48"/>
        <v>51.482250568387713</v>
      </c>
    </row>
    <row r="324" spans="1:26">
      <c r="A324" s="84">
        <f>'Q.6 Rand()'!V322</f>
        <v>2.4</v>
      </c>
      <c r="B324" s="141">
        <f>'Q.6 Rand()'!W322</f>
        <v>38.876899999999999</v>
      </c>
      <c r="D324" s="23"/>
      <c r="E324" s="24"/>
      <c r="F324" s="22">
        <f t="shared" si="40"/>
        <v>-1.0390243902439034</v>
      </c>
      <c r="G324" s="22">
        <f t="shared" si="43"/>
        <v>3.8962867208672094</v>
      </c>
      <c r="H324" s="18">
        <f t="shared" si="44"/>
        <v>-4.0483369343644702</v>
      </c>
      <c r="I324" s="18">
        <f t="shared" si="45"/>
        <v>1.0795716835217153</v>
      </c>
      <c r="J324" s="24"/>
      <c r="K324" s="24"/>
      <c r="L324" s="19">
        <f t="shared" si="46"/>
        <v>40.115179547479059</v>
      </c>
      <c r="O324" s="9">
        <f t="shared" si="41"/>
        <v>-1.2382795474790598</v>
      </c>
      <c r="P324" s="10">
        <f t="shared" si="47"/>
        <v>1.5333362377049451</v>
      </c>
      <c r="V324" s="10">
        <f t="shared" si="49"/>
        <v>0.10503008399175434</v>
      </c>
      <c r="W324" s="13">
        <f t="shared" si="42"/>
        <v>26.36377076403933</v>
      </c>
      <c r="Z324" s="15">
        <f t="shared" si="48"/>
        <v>15.181050211206152</v>
      </c>
    </row>
    <row r="325" spans="1:26">
      <c r="A325" s="84">
        <f>'Q.6 Rand()'!V323</f>
        <v>3.8</v>
      </c>
      <c r="B325" s="141">
        <f>'Q.6 Rand()'!W323</f>
        <v>28.5532</v>
      </c>
      <c r="D325" s="23"/>
      <c r="E325" s="24"/>
      <c r="F325" s="22">
        <f t="shared" ref="F325:F373" si="50">A325-$D$5</f>
        <v>0.36097560975609655</v>
      </c>
      <c r="G325" s="22">
        <f t="shared" si="43"/>
        <v>-6.4274132791327894</v>
      </c>
      <c r="H325" s="18">
        <f t="shared" si="44"/>
        <v>-2.3201394275893907</v>
      </c>
      <c r="I325" s="18">
        <f t="shared" si="45"/>
        <v>0.1303033908387857</v>
      </c>
      <c r="J325" s="24"/>
      <c r="K325" s="24"/>
      <c r="L325" s="19">
        <f t="shared" si="46"/>
        <v>33.196773354918605</v>
      </c>
      <c r="O325" s="9">
        <f t="shared" ref="O325:O373" si="51">B325-L325</f>
        <v>-4.6435733549186047</v>
      </c>
      <c r="P325" s="10">
        <f t="shared" si="47"/>
        <v>21.562773502510026</v>
      </c>
      <c r="V325" s="10">
        <f t="shared" si="49"/>
        <v>3.1851293376762548E-2</v>
      </c>
      <c r="W325" s="13">
        <f t="shared" ref="W325:W373" si="52">(L325-$E$5)^2</f>
        <v>3.1820848752204682</v>
      </c>
      <c r="Z325" s="15">
        <f t="shared" si="48"/>
        <v>41.311641460772513</v>
      </c>
    </row>
    <row r="326" spans="1:26">
      <c r="A326" s="84">
        <f>'Q.6 Rand()'!V324</f>
        <v>4.8</v>
      </c>
      <c r="B326" s="141">
        <f>'Q.6 Rand()'!W324</f>
        <v>25.7761</v>
      </c>
      <c r="D326" s="23"/>
      <c r="E326" s="24"/>
      <c r="F326" s="22">
        <f t="shared" si="50"/>
        <v>1.3609756097560965</v>
      </c>
      <c r="G326" s="22">
        <f t="shared" ref="G326:G373" si="53">B326-$E$5</f>
        <v>-9.2045132791327902</v>
      </c>
      <c r="H326" s="18">
        <f t="shared" ref="H326:H373" si="54">F326*G326</f>
        <v>-12.527118072575837</v>
      </c>
      <c r="I326" s="18">
        <f t="shared" ref="I326:I373" si="55">F326^2</f>
        <v>1.8522546103509787</v>
      </c>
      <c r="J326" s="24"/>
      <c r="K326" s="24"/>
      <c r="L326" s="19">
        <f t="shared" ref="L326:L373" si="56">$K$5+$J$5*A326</f>
        <v>28.255054645946846</v>
      </c>
      <c r="O326" s="9">
        <f t="shared" si="51"/>
        <v>-2.4789546459468461</v>
      </c>
      <c r="P326" s="10">
        <f t="shared" ref="P326:P373" si="57">O326^2</f>
        <v>6.1452161366614533</v>
      </c>
      <c r="V326" s="10">
        <f t="shared" si="49"/>
        <v>0.16262882461225378</v>
      </c>
      <c r="W326" s="13">
        <f t="shared" si="52"/>
        <v>45.233138928421987</v>
      </c>
      <c r="Z326" s="15">
        <f t="shared" ref="Z326:Z373" si="58">(B326-$E$5)^2</f>
        <v>84.723064705731872</v>
      </c>
    </row>
    <row r="327" spans="1:26">
      <c r="A327" s="84">
        <f>'Q.6 Rand()'!V325</f>
        <v>2</v>
      </c>
      <c r="B327" s="141">
        <f>'Q.6 Rand()'!W325</f>
        <v>40.234499999999997</v>
      </c>
      <c r="D327" s="23"/>
      <c r="E327" s="24"/>
      <c r="F327" s="22">
        <f t="shared" si="50"/>
        <v>-1.4390243902439033</v>
      </c>
      <c r="G327" s="22">
        <f t="shared" si="53"/>
        <v>5.2538867208672073</v>
      </c>
      <c r="H327" s="18">
        <f t="shared" si="54"/>
        <v>-7.5604711349064733</v>
      </c>
      <c r="I327" s="18">
        <f t="shared" si="55"/>
        <v>2.0707911957168377</v>
      </c>
      <c r="J327" s="24"/>
      <c r="K327" s="24"/>
      <c r="L327" s="19">
        <f t="shared" si="56"/>
        <v>42.091867031067757</v>
      </c>
      <c r="O327" s="9">
        <f t="shared" si="51"/>
        <v>-1.8573670310677599</v>
      </c>
      <c r="P327" s="10">
        <f t="shared" si="57"/>
        <v>3.4498122880974651</v>
      </c>
      <c r="V327" s="10">
        <f t="shared" ref="V327:V373" si="59">ABS(O326) / B326</f>
        <v>9.6172603533771439E-2</v>
      </c>
      <c r="W327" s="13">
        <f t="shared" si="52"/>
        <v>50.569929924409145</v>
      </c>
      <c r="Z327" s="15">
        <f t="shared" si="58"/>
        <v>27.603325675704777</v>
      </c>
    </row>
    <row r="328" spans="1:26">
      <c r="A328" s="84">
        <f>'Q.6 Rand()'!V326</f>
        <v>5.3</v>
      </c>
      <c r="B328" s="141">
        <f>'Q.6 Rand()'!W326</f>
        <v>23.299900000000001</v>
      </c>
      <c r="D328" s="23"/>
      <c r="E328" s="24"/>
      <c r="F328" s="22">
        <f t="shared" si="50"/>
        <v>1.8609756097560965</v>
      </c>
      <c r="G328" s="22">
        <f t="shared" si="53"/>
        <v>-11.680713279132789</v>
      </c>
      <c r="H328" s="18">
        <f t="shared" si="54"/>
        <v>-21.737522517020274</v>
      </c>
      <c r="I328" s="18">
        <f t="shared" si="55"/>
        <v>3.4632302201070755</v>
      </c>
      <c r="J328" s="24"/>
      <c r="K328" s="24"/>
      <c r="L328" s="19">
        <f t="shared" si="56"/>
        <v>25.784195291460968</v>
      </c>
      <c r="O328" s="9">
        <f t="shared" si="51"/>
        <v>-2.4842952914609668</v>
      </c>
      <c r="P328" s="10">
        <f t="shared" si="57"/>
        <v>6.1717230951751301</v>
      </c>
      <c r="V328" s="10">
        <f t="shared" si="59"/>
        <v>4.6163542011650696E-2</v>
      </c>
      <c r="W328" s="13">
        <f t="shared" si="52"/>
        <v>84.574103803973841</v>
      </c>
      <c r="Z328" s="15">
        <f t="shared" si="58"/>
        <v>136.43906270930907</v>
      </c>
    </row>
    <row r="329" spans="1:26">
      <c r="A329" s="84">
        <f>'Q.6 Rand()'!V327</f>
        <v>5.5</v>
      </c>
      <c r="B329" s="141">
        <f>'Q.6 Rand()'!W327</f>
        <v>29.2</v>
      </c>
      <c r="D329" s="23"/>
      <c r="E329" s="24"/>
      <c r="F329" s="22">
        <f t="shared" si="50"/>
        <v>2.0609756097560967</v>
      </c>
      <c r="G329" s="22">
        <f t="shared" si="53"/>
        <v>-5.7806132791327904</v>
      </c>
      <c r="H329" s="18">
        <f t="shared" si="54"/>
        <v>-11.913702977724892</v>
      </c>
      <c r="I329" s="18">
        <f t="shared" si="55"/>
        <v>4.2476204640095148</v>
      </c>
      <c r="J329" s="24"/>
      <c r="K329" s="24"/>
      <c r="L329" s="19">
        <f t="shared" si="56"/>
        <v>24.795851549666615</v>
      </c>
      <c r="O329" s="9">
        <f t="shared" si="51"/>
        <v>4.4041484503333841</v>
      </c>
      <c r="P329" s="10">
        <f t="shared" si="57"/>
        <v>19.396523572573948</v>
      </c>
      <c r="V329" s="10">
        <f t="shared" si="59"/>
        <v>0.10662257312095617</v>
      </c>
      <c r="W329" s="13">
        <f t="shared" si="52"/>
        <v>103.72937148599883</v>
      </c>
      <c r="Z329" s="15">
        <f t="shared" si="58"/>
        <v>33.415489882886355</v>
      </c>
    </row>
    <row r="330" spans="1:26">
      <c r="A330" s="84">
        <f>'Q.6 Rand()'!V328</f>
        <v>2.4</v>
      </c>
      <c r="B330" s="141">
        <f>'Q.6 Rand()'!W328</f>
        <v>42.8</v>
      </c>
      <c r="D330" s="23"/>
      <c r="E330" s="24"/>
      <c r="F330" s="22">
        <f t="shared" si="50"/>
        <v>-1.0390243902439034</v>
      </c>
      <c r="G330" s="22">
        <f t="shared" si="53"/>
        <v>7.8193867208672074</v>
      </c>
      <c r="H330" s="18">
        <f t="shared" si="54"/>
        <v>-8.1245335197303259</v>
      </c>
      <c r="I330" s="18">
        <f t="shared" si="55"/>
        <v>1.0795716835217153</v>
      </c>
      <c r="J330" s="24"/>
      <c r="K330" s="24"/>
      <c r="L330" s="19">
        <f t="shared" si="56"/>
        <v>40.115179547479059</v>
      </c>
      <c r="O330" s="9">
        <f t="shared" si="51"/>
        <v>2.6848204525209383</v>
      </c>
      <c r="P330" s="10">
        <f t="shared" si="57"/>
        <v>7.2082608622747353</v>
      </c>
      <c r="V330" s="10">
        <f t="shared" si="59"/>
        <v>0.15082700172374602</v>
      </c>
      <c r="W330" s="13">
        <f t="shared" si="52"/>
        <v>26.36377076403933</v>
      </c>
      <c r="Z330" s="15">
        <f t="shared" si="58"/>
        <v>61.142808690474418</v>
      </c>
    </row>
    <row r="331" spans="1:26">
      <c r="A331" s="84">
        <f>'Q.6 Rand()'!V329</f>
        <v>3.5</v>
      </c>
      <c r="B331" s="141">
        <f>'Q.6 Rand()'!W329</f>
        <v>39.9</v>
      </c>
      <c r="D331" s="23"/>
      <c r="E331" s="24"/>
      <c r="F331" s="22">
        <f t="shared" si="50"/>
        <v>6.0975609756096727E-2</v>
      </c>
      <c r="G331" s="22">
        <f t="shared" si="53"/>
        <v>4.9193867208672089</v>
      </c>
      <c r="H331" s="18">
        <f t="shared" si="54"/>
        <v>0.29996260493092325</v>
      </c>
      <c r="I331" s="18">
        <f t="shared" si="55"/>
        <v>3.7180249851277982E-3</v>
      </c>
      <c r="J331" s="24"/>
      <c r="K331" s="24"/>
      <c r="L331" s="19">
        <f t="shared" si="56"/>
        <v>34.679288967610127</v>
      </c>
      <c r="O331" s="9">
        <f t="shared" si="51"/>
        <v>5.2207110323898718</v>
      </c>
      <c r="P331" s="10">
        <f t="shared" si="57"/>
        <v>27.25582368371732</v>
      </c>
      <c r="V331" s="10">
        <f t="shared" si="59"/>
        <v>6.2729449825255565E-2</v>
      </c>
      <c r="W331" s="13">
        <f t="shared" si="52"/>
        <v>9.0796340714606807E-2</v>
      </c>
      <c r="Z331" s="15">
        <f t="shared" si="58"/>
        <v>24.200365709444629</v>
      </c>
    </row>
    <row r="332" spans="1:26">
      <c r="A332" s="84">
        <f>'Q.6 Rand()'!V330</f>
        <v>3.5</v>
      </c>
      <c r="B332" s="141">
        <f>'Q.6 Rand()'!W330</f>
        <v>27.3</v>
      </c>
      <c r="D332" s="23"/>
      <c r="E332" s="24"/>
      <c r="F332" s="22">
        <f t="shared" si="50"/>
        <v>6.0975609756096727E-2</v>
      </c>
      <c r="G332" s="22">
        <f t="shared" si="53"/>
        <v>-7.680613279132789</v>
      </c>
      <c r="H332" s="18">
        <f t="shared" si="54"/>
        <v>-0.46833007799589538</v>
      </c>
      <c r="I332" s="18">
        <f t="shared" si="55"/>
        <v>3.7180249851277982E-3</v>
      </c>
      <c r="J332" s="24"/>
      <c r="K332" s="24"/>
      <c r="L332" s="19">
        <f t="shared" si="56"/>
        <v>34.679288967610127</v>
      </c>
      <c r="O332" s="9">
        <f t="shared" si="51"/>
        <v>-7.3792889676101261</v>
      </c>
      <c r="P332" s="10">
        <f t="shared" si="57"/>
        <v>54.453905667492521</v>
      </c>
      <c r="V332" s="10">
        <f t="shared" si="59"/>
        <v>0.13084488802982136</v>
      </c>
      <c r="W332" s="13">
        <f t="shared" si="52"/>
        <v>9.0796340714606807E-2</v>
      </c>
      <c r="Z332" s="15">
        <f t="shared" si="58"/>
        <v>58.991820343590931</v>
      </c>
    </row>
    <row r="333" spans="1:26">
      <c r="A333" s="84">
        <f>'Q.6 Rand()'!V331</f>
        <v>5.7</v>
      </c>
      <c r="B333" s="141">
        <f>'Q.6 Rand()'!W331</f>
        <v>27.1</v>
      </c>
      <c r="D333" s="23"/>
      <c r="E333" s="24"/>
      <c r="F333" s="22">
        <f t="shared" si="50"/>
        <v>2.2609756097560969</v>
      </c>
      <c r="G333" s="22">
        <f t="shared" si="53"/>
        <v>-7.8806132791327883</v>
      </c>
      <c r="H333" s="18">
        <f t="shared" si="54"/>
        <v>-17.817874414039249</v>
      </c>
      <c r="I333" s="18">
        <f t="shared" si="55"/>
        <v>5.1120107079119546</v>
      </c>
      <c r="J333" s="24"/>
      <c r="K333" s="24"/>
      <c r="L333" s="19">
        <f t="shared" si="56"/>
        <v>23.807507807872266</v>
      </c>
      <c r="O333" s="9">
        <f t="shared" si="51"/>
        <v>3.2924921921277353</v>
      </c>
      <c r="P333" s="10">
        <f t="shared" si="57"/>
        <v>10.840504835222099</v>
      </c>
      <c r="V333" s="10">
        <f t="shared" si="59"/>
        <v>0.27030362518718409</v>
      </c>
      <c r="W333" s="13">
        <f t="shared" si="52"/>
        <v>124.83828587191185</v>
      </c>
      <c r="Z333" s="15">
        <f t="shared" si="58"/>
        <v>62.104065655244035</v>
      </c>
    </row>
    <row r="334" spans="1:26">
      <c r="A334" s="84">
        <f>'Q.6 Rand()'!V332</f>
        <v>5.6</v>
      </c>
      <c r="B334" s="141">
        <f>'Q.6 Rand()'!W332</f>
        <v>24.947700000000001</v>
      </c>
      <c r="D334" s="23"/>
      <c r="E334" s="24"/>
      <c r="F334" s="22">
        <f t="shared" si="50"/>
        <v>2.1609756097560964</v>
      </c>
      <c r="G334" s="22">
        <f t="shared" si="53"/>
        <v>-10.032913279132789</v>
      </c>
      <c r="H334" s="18">
        <f t="shared" si="54"/>
        <v>-21.680880891004016</v>
      </c>
      <c r="I334" s="18">
        <f t="shared" si="55"/>
        <v>4.6698155859607322</v>
      </c>
      <c r="J334" s="24"/>
      <c r="K334" s="24"/>
      <c r="L334" s="19">
        <f t="shared" si="56"/>
        <v>24.301679678769442</v>
      </c>
      <c r="O334" s="9">
        <f t="shared" si="51"/>
        <v>0.64602032123055864</v>
      </c>
      <c r="P334" s="10">
        <f t="shared" si="57"/>
        <v>0.41734225544283415</v>
      </c>
      <c r="V334" s="10">
        <f t="shared" si="59"/>
        <v>0.12149417683128173</v>
      </c>
      <c r="W334" s="13">
        <f t="shared" si="52"/>
        <v>114.03962284096929</v>
      </c>
      <c r="Z334" s="15">
        <f t="shared" si="58"/>
        <v>100.65934886659905</v>
      </c>
    </row>
    <row r="335" spans="1:26">
      <c r="A335" s="84">
        <f>'Q.6 Rand()'!V333</f>
        <v>4.3</v>
      </c>
      <c r="B335" s="141">
        <f>'Q.6 Rand()'!W333</f>
        <v>24.1937</v>
      </c>
      <c r="D335" s="23"/>
      <c r="E335" s="24"/>
      <c r="F335" s="22">
        <f t="shared" si="50"/>
        <v>0.86097560975609655</v>
      </c>
      <c r="G335" s="22">
        <f t="shared" si="53"/>
        <v>-10.78691327913279</v>
      </c>
      <c r="H335" s="18">
        <f t="shared" si="54"/>
        <v>-9.2872692378874895</v>
      </c>
      <c r="I335" s="18">
        <f t="shared" si="55"/>
        <v>0.74127900059488228</v>
      </c>
      <c r="J335" s="24"/>
      <c r="K335" s="24"/>
      <c r="L335" s="19">
        <f t="shared" si="56"/>
        <v>30.725914000432724</v>
      </c>
      <c r="O335" s="9">
        <f t="shared" si="51"/>
        <v>-6.5322140004327238</v>
      </c>
      <c r="P335" s="10">
        <f t="shared" si="57"/>
        <v>42.669819747449289</v>
      </c>
      <c r="V335" s="10">
        <f t="shared" si="59"/>
        <v>2.5894985158173244E-2</v>
      </c>
      <c r="W335" s="13">
        <f t="shared" si="52"/>
        <v>18.102465952170864</v>
      </c>
      <c r="Z335" s="15">
        <f t="shared" si="58"/>
        <v>116.35749809153133</v>
      </c>
    </row>
    <row r="336" spans="1:26">
      <c r="A336" s="84">
        <f>'Q.6 Rand()'!V334</f>
        <v>1.6</v>
      </c>
      <c r="B336" s="141">
        <f>'Q.6 Rand()'!W334</f>
        <v>52</v>
      </c>
      <c r="D336" s="23"/>
      <c r="E336" s="24"/>
      <c r="F336" s="22">
        <f t="shared" si="50"/>
        <v>-1.8390243902439032</v>
      </c>
      <c r="G336" s="22">
        <f t="shared" si="53"/>
        <v>17.01938672086721</v>
      </c>
      <c r="H336" s="18">
        <f t="shared" si="54"/>
        <v>-31.299067286668006</v>
      </c>
      <c r="I336" s="18">
        <f t="shared" si="55"/>
        <v>3.3820107079119599</v>
      </c>
      <c r="J336" s="24"/>
      <c r="K336" s="24"/>
      <c r="L336" s="19">
        <f t="shared" si="56"/>
        <v>44.068554514656462</v>
      </c>
      <c r="O336" s="9">
        <f t="shared" si="51"/>
        <v>7.9314454853435379</v>
      </c>
      <c r="P336" s="10">
        <f t="shared" si="57"/>
        <v>62.907827486976387</v>
      </c>
      <c r="V336" s="10">
        <f t="shared" si="59"/>
        <v>0.26999648670656923</v>
      </c>
      <c r="W336" s="13">
        <f t="shared" si="52"/>
        <v>82.590675900331533</v>
      </c>
      <c r="Z336" s="15">
        <f t="shared" si="58"/>
        <v>289.65952435443114</v>
      </c>
    </row>
    <row r="337" spans="1:26">
      <c r="A337" s="84">
        <f>'Q.6 Rand()'!V335</f>
        <v>3.5</v>
      </c>
      <c r="B337" s="141">
        <f>'Q.6 Rand()'!W335</f>
        <v>31.496099999999998</v>
      </c>
      <c r="D337" s="23"/>
      <c r="E337" s="24"/>
      <c r="F337" s="22">
        <f t="shared" si="50"/>
        <v>6.0975609756096727E-2</v>
      </c>
      <c r="G337" s="22">
        <f t="shared" si="53"/>
        <v>-3.4845132791327913</v>
      </c>
      <c r="H337" s="18">
        <f t="shared" si="54"/>
        <v>-0.21247032189833803</v>
      </c>
      <c r="I337" s="18">
        <f t="shared" si="55"/>
        <v>3.7180249851277982E-3</v>
      </c>
      <c r="J337" s="24"/>
      <c r="K337" s="24"/>
      <c r="L337" s="19">
        <f t="shared" si="56"/>
        <v>34.679288967610127</v>
      </c>
      <c r="O337" s="9">
        <f t="shared" si="51"/>
        <v>-3.1831889676101284</v>
      </c>
      <c r="P337" s="10">
        <f t="shared" si="57"/>
        <v>10.132692003514835</v>
      </c>
      <c r="V337" s="10">
        <f t="shared" si="59"/>
        <v>0.15252779779506803</v>
      </c>
      <c r="W337" s="13">
        <f t="shared" si="52"/>
        <v>9.0796340714606807E-2</v>
      </c>
      <c r="Z337" s="15">
        <f t="shared" si="58"/>
        <v>12.141832792452758</v>
      </c>
    </row>
    <row r="338" spans="1:26">
      <c r="A338" s="84">
        <f>'Q.6 Rand()'!V336</f>
        <v>1.6</v>
      </c>
      <c r="B338" s="141">
        <f>'Q.6 Rand()'!W336</f>
        <v>47.7592</v>
      </c>
      <c r="D338" s="23"/>
      <c r="E338" s="24"/>
      <c r="F338" s="22">
        <f t="shared" si="50"/>
        <v>-1.8390243902439032</v>
      </c>
      <c r="G338" s="22">
        <f t="shared" si="53"/>
        <v>12.77858672086721</v>
      </c>
      <c r="H338" s="18">
        <f t="shared" si="54"/>
        <v>-23.500132652521661</v>
      </c>
      <c r="I338" s="18">
        <f t="shared" si="55"/>
        <v>3.3820107079119599</v>
      </c>
      <c r="J338" s="24"/>
      <c r="K338" s="24"/>
      <c r="L338" s="19">
        <f t="shared" si="56"/>
        <v>44.068554514656462</v>
      </c>
      <c r="O338" s="9">
        <f t="shared" si="51"/>
        <v>3.6906454853435378</v>
      </c>
      <c r="P338" s="10">
        <f t="shared" si="57"/>
        <v>13.620864098486637</v>
      </c>
      <c r="V338" s="10">
        <f t="shared" si="59"/>
        <v>0.10106613096891769</v>
      </c>
      <c r="W338" s="13">
        <f t="shared" si="52"/>
        <v>82.590675900331533</v>
      </c>
      <c r="Z338" s="15">
        <f t="shared" si="58"/>
        <v>163.29227858272381</v>
      </c>
    </row>
    <row r="339" spans="1:26">
      <c r="A339" s="84">
        <f>'Q.6 Rand()'!V337</f>
        <v>4.2</v>
      </c>
      <c r="B339" s="141">
        <f>'Q.6 Rand()'!W337</f>
        <v>31</v>
      </c>
      <c r="D339" s="23"/>
      <c r="E339" s="24"/>
      <c r="F339" s="22">
        <f t="shared" si="50"/>
        <v>0.7609756097560969</v>
      </c>
      <c r="G339" s="22">
        <f t="shared" si="53"/>
        <v>-3.9806132791327897</v>
      </c>
      <c r="H339" s="18">
        <f t="shared" si="54"/>
        <v>-3.0291496172912908</v>
      </c>
      <c r="I339" s="18">
        <f t="shared" si="55"/>
        <v>0.57908387864366351</v>
      </c>
      <c r="J339" s="24"/>
      <c r="K339" s="24"/>
      <c r="L339" s="19">
        <f t="shared" si="56"/>
        <v>31.220085871329896</v>
      </c>
      <c r="O339" s="9">
        <f t="shared" si="51"/>
        <v>-0.22008587132989632</v>
      </c>
      <c r="P339" s="10">
        <f t="shared" si="57"/>
        <v>4.843779075903968E-2</v>
      </c>
      <c r="V339" s="10">
        <f t="shared" si="59"/>
        <v>7.7276116127228636E-2</v>
      </c>
      <c r="W339" s="13">
        <f t="shared" si="52"/>
        <v>14.141566384836748</v>
      </c>
      <c r="Z339" s="15">
        <f t="shared" si="58"/>
        <v>15.845282078008301</v>
      </c>
    </row>
    <row r="340" spans="1:26">
      <c r="A340" s="84">
        <f>'Q.6 Rand()'!V338</f>
        <v>2.4</v>
      </c>
      <c r="B340" s="141">
        <f>'Q.6 Rand()'!W338</f>
        <v>41.585799999999999</v>
      </c>
      <c r="D340" s="23"/>
      <c r="E340" s="24"/>
      <c r="F340" s="22">
        <f t="shared" si="50"/>
        <v>-1.0390243902439034</v>
      </c>
      <c r="G340" s="22">
        <f t="shared" si="53"/>
        <v>6.6051867208672093</v>
      </c>
      <c r="H340" s="18">
        <f t="shared" si="54"/>
        <v>-6.8629501050961794</v>
      </c>
      <c r="I340" s="18">
        <f t="shared" si="55"/>
        <v>1.0795716835217153</v>
      </c>
      <c r="J340" s="24"/>
      <c r="K340" s="24"/>
      <c r="L340" s="19">
        <f t="shared" si="56"/>
        <v>40.115179547479059</v>
      </c>
      <c r="O340" s="9">
        <f t="shared" si="51"/>
        <v>1.4706204525209401</v>
      </c>
      <c r="P340" s="10">
        <f t="shared" si="57"/>
        <v>2.1627245153728945</v>
      </c>
      <c r="V340" s="10">
        <f t="shared" si="59"/>
        <v>7.0995442364482683E-3</v>
      </c>
      <c r="W340" s="13">
        <f t="shared" si="52"/>
        <v>26.36377076403933</v>
      </c>
      <c r="Z340" s="15">
        <f t="shared" si="58"/>
        <v>43.628491617520517</v>
      </c>
    </row>
    <row r="341" spans="1:26">
      <c r="A341" s="84">
        <f>'Q.6 Rand()'!V339</f>
        <v>2.4</v>
      </c>
      <c r="B341" s="141">
        <f>'Q.6 Rand()'!W339</f>
        <v>42.6</v>
      </c>
      <c r="D341" s="23"/>
      <c r="E341" s="24"/>
      <c r="F341" s="22">
        <f t="shared" si="50"/>
        <v>-1.0390243902439034</v>
      </c>
      <c r="G341" s="22">
        <f t="shared" si="53"/>
        <v>7.6193867208672117</v>
      </c>
      <c r="H341" s="18">
        <f t="shared" si="54"/>
        <v>-7.9167286416815488</v>
      </c>
      <c r="I341" s="18">
        <f t="shared" si="55"/>
        <v>1.0795716835217153</v>
      </c>
      <c r="J341" s="24"/>
      <c r="K341" s="24"/>
      <c r="L341" s="19">
        <f t="shared" si="56"/>
        <v>40.115179547479059</v>
      </c>
      <c r="O341" s="9">
        <f t="shared" si="51"/>
        <v>2.4848204525209425</v>
      </c>
      <c r="P341" s="10">
        <f t="shared" si="57"/>
        <v>6.1743326812663817</v>
      </c>
      <c r="V341" s="10">
        <f t="shared" si="59"/>
        <v>3.5363524388636026E-2</v>
      </c>
      <c r="W341" s="13">
        <f t="shared" si="52"/>
        <v>26.36377076403933</v>
      </c>
      <c r="Z341" s="15">
        <f t="shared" si="58"/>
        <v>58.055054002127598</v>
      </c>
    </row>
    <row r="342" spans="1:26">
      <c r="A342" s="84">
        <f>'Q.6 Rand()'!V340</f>
        <v>2.5</v>
      </c>
      <c r="B342" s="141">
        <f>'Q.6 Rand()'!W340</f>
        <v>42.908000000000001</v>
      </c>
      <c r="D342" s="23"/>
      <c r="E342" s="24"/>
      <c r="F342" s="22">
        <f t="shared" si="50"/>
        <v>-0.93902439024390327</v>
      </c>
      <c r="G342" s="22">
        <f t="shared" si="53"/>
        <v>7.9273867208672115</v>
      </c>
      <c r="H342" s="18">
        <f t="shared" si="54"/>
        <v>-7.4440094817899487</v>
      </c>
      <c r="I342" s="18">
        <f t="shared" si="55"/>
        <v>0.88176680547293429</v>
      </c>
      <c r="J342" s="24"/>
      <c r="K342" s="24"/>
      <c r="L342" s="19">
        <f t="shared" si="56"/>
        <v>39.621007676581883</v>
      </c>
      <c r="O342" s="9">
        <f t="shared" si="51"/>
        <v>3.2869923234181186</v>
      </c>
      <c r="P342" s="10">
        <f t="shared" si="57"/>
        <v>10.804318534209642</v>
      </c>
      <c r="V342" s="10">
        <f t="shared" si="59"/>
        <v>5.8329118603777992E-2</v>
      </c>
      <c r="W342" s="13">
        <f t="shared" si="52"/>
        <v>21.533260163876928</v>
      </c>
      <c r="Z342" s="15">
        <f t="shared" si="58"/>
        <v>62.843460222181804</v>
      </c>
    </row>
    <row r="343" spans="1:26">
      <c r="A343" s="84">
        <f>'Q.6 Rand()'!V341</f>
        <v>4</v>
      </c>
      <c r="B343" s="141">
        <f>'Q.6 Rand()'!W341</f>
        <v>25.3</v>
      </c>
      <c r="D343" s="23"/>
      <c r="E343" s="24"/>
      <c r="F343" s="22">
        <f t="shared" si="50"/>
        <v>0.56097560975609673</v>
      </c>
      <c r="G343" s="22">
        <f t="shared" si="53"/>
        <v>-9.680613279132789</v>
      </c>
      <c r="H343" s="18">
        <f t="shared" si="54"/>
        <v>-5.430587937074483</v>
      </c>
      <c r="I343" s="18">
        <f t="shared" si="55"/>
        <v>0.31469363474122453</v>
      </c>
      <c r="J343" s="24"/>
      <c r="K343" s="24"/>
      <c r="L343" s="19">
        <f t="shared" si="56"/>
        <v>32.208429613124252</v>
      </c>
      <c r="O343" s="9">
        <f t="shared" si="51"/>
        <v>-6.9084296131242517</v>
      </c>
      <c r="P343" s="10">
        <f t="shared" si="57"/>
        <v>47.7263997194921</v>
      </c>
      <c r="V343" s="10">
        <f t="shared" si="59"/>
        <v>7.6605582255479601E-2</v>
      </c>
      <c r="W343" s="13">
        <f t="shared" si="52"/>
        <v>7.6850022780845331</v>
      </c>
      <c r="Z343" s="15">
        <f t="shared" si="58"/>
        <v>93.714273460122087</v>
      </c>
    </row>
    <row r="344" spans="1:26">
      <c r="A344" s="84">
        <f>'Q.6 Rand()'!V342</f>
        <v>4.3</v>
      </c>
      <c r="B344" s="141">
        <f>'Q.6 Rand()'!W342</f>
        <v>24.1937</v>
      </c>
      <c r="D344" s="23"/>
      <c r="E344" s="24"/>
      <c r="F344" s="22">
        <f t="shared" si="50"/>
        <v>0.86097560975609655</v>
      </c>
      <c r="G344" s="22">
        <f t="shared" si="53"/>
        <v>-10.78691327913279</v>
      </c>
      <c r="H344" s="18">
        <f t="shared" si="54"/>
        <v>-9.2872692378874895</v>
      </c>
      <c r="I344" s="18">
        <f t="shared" si="55"/>
        <v>0.74127900059488228</v>
      </c>
      <c r="J344" s="24"/>
      <c r="K344" s="24"/>
      <c r="L344" s="19">
        <f t="shared" si="56"/>
        <v>30.725914000432724</v>
      </c>
      <c r="O344" s="9">
        <f t="shared" si="51"/>
        <v>-6.5322140004327238</v>
      </c>
      <c r="P344" s="10">
        <f t="shared" si="57"/>
        <v>42.669819747449289</v>
      </c>
      <c r="V344" s="10">
        <f t="shared" si="59"/>
        <v>0.27306045901676884</v>
      </c>
      <c r="W344" s="13">
        <f t="shared" si="52"/>
        <v>18.102465952170864</v>
      </c>
      <c r="Z344" s="15">
        <f t="shared" si="58"/>
        <v>116.35749809153133</v>
      </c>
    </row>
    <row r="345" spans="1:26">
      <c r="A345" s="84">
        <f>'Q.6 Rand()'!V343</f>
        <v>2.4</v>
      </c>
      <c r="B345" s="141">
        <f>'Q.6 Rand()'!W343</f>
        <v>43.5</v>
      </c>
      <c r="D345" s="23"/>
      <c r="E345" s="24"/>
      <c r="F345" s="22">
        <f t="shared" si="50"/>
        <v>-1.0390243902439034</v>
      </c>
      <c r="G345" s="22">
        <f t="shared" si="53"/>
        <v>8.5193867208672103</v>
      </c>
      <c r="H345" s="18">
        <f t="shared" si="54"/>
        <v>-8.8518505929010605</v>
      </c>
      <c r="I345" s="18">
        <f t="shared" si="55"/>
        <v>1.0795716835217153</v>
      </c>
      <c r="J345" s="24"/>
      <c r="K345" s="24"/>
      <c r="L345" s="19">
        <f t="shared" si="56"/>
        <v>40.115179547479059</v>
      </c>
      <c r="O345" s="9">
        <f t="shared" si="51"/>
        <v>3.3848204525209411</v>
      </c>
      <c r="P345" s="10">
        <f t="shared" si="57"/>
        <v>11.457009495804069</v>
      </c>
      <c r="V345" s="10">
        <f t="shared" si="59"/>
        <v>0.26999648670656923</v>
      </c>
      <c r="W345" s="13">
        <f t="shared" si="52"/>
        <v>26.36377076403933</v>
      </c>
      <c r="Z345" s="15">
        <f t="shared" si="58"/>
        <v>72.57995009968856</v>
      </c>
    </row>
    <row r="346" spans="1:26">
      <c r="A346" s="84">
        <f>'Q.6 Rand()'!V344</f>
        <v>3.6</v>
      </c>
      <c r="B346" s="141">
        <f>'Q.6 Rand()'!W344</f>
        <v>40</v>
      </c>
      <c r="D346" s="23"/>
      <c r="E346" s="24"/>
      <c r="F346" s="22">
        <f t="shared" si="50"/>
        <v>0.16097560975609682</v>
      </c>
      <c r="G346" s="22">
        <f t="shared" si="53"/>
        <v>5.0193867208672103</v>
      </c>
      <c r="H346" s="18">
        <f t="shared" si="54"/>
        <v>0.80799883799325445</v>
      </c>
      <c r="I346" s="18">
        <f t="shared" si="55"/>
        <v>2.5913146936347171E-2</v>
      </c>
      <c r="J346" s="24"/>
      <c r="K346" s="24"/>
      <c r="L346" s="19">
        <f t="shared" si="56"/>
        <v>34.185117096712951</v>
      </c>
      <c r="O346" s="9">
        <f t="shared" si="51"/>
        <v>5.8148829032870495</v>
      </c>
      <c r="P346" s="10">
        <f t="shared" si="57"/>
        <v>33.812863178940027</v>
      </c>
      <c r="V346" s="10">
        <f t="shared" si="59"/>
        <v>7.7811964425768765E-2</v>
      </c>
      <c r="W346" s="13">
        <f t="shared" si="52"/>
        <v>0.63281417624453806</v>
      </c>
      <c r="Z346" s="15">
        <f t="shared" si="58"/>
        <v>25.194243053618084</v>
      </c>
    </row>
    <row r="347" spans="1:26">
      <c r="A347" s="84">
        <f>'Q.6 Rand()'!V345</f>
        <v>2.4</v>
      </c>
      <c r="B347" s="141">
        <f>'Q.6 Rand()'!W345</f>
        <v>40.279600000000002</v>
      </c>
      <c r="D347" s="23"/>
      <c r="E347" s="24"/>
      <c r="F347" s="22">
        <f t="shared" si="50"/>
        <v>-1.0390243902439034</v>
      </c>
      <c r="G347" s="22">
        <f t="shared" si="53"/>
        <v>5.2989867208672123</v>
      </c>
      <c r="H347" s="18">
        <f t="shared" si="54"/>
        <v>-5.5057764465595964</v>
      </c>
      <c r="I347" s="18">
        <f t="shared" si="55"/>
        <v>1.0795716835217153</v>
      </c>
      <c r="J347" s="24"/>
      <c r="K347" s="24"/>
      <c r="L347" s="19">
        <f t="shared" si="56"/>
        <v>40.115179547479059</v>
      </c>
      <c r="O347" s="9">
        <f t="shared" si="51"/>
        <v>0.16442045252094317</v>
      </c>
      <c r="P347" s="10">
        <f t="shared" si="57"/>
        <v>2.7034085207191728E-2</v>
      </c>
      <c r="V347" s="10">
        <f t="shared" si="59"/>
        <v>0.14537207258217624</v>
      </c>
      <c r="W347" s="13">
        <f t="shared" si="52"/>
        <v>26.36377076403933</v>
      </c>
      <c r="Z347" s="15">
        <f t="shared" si="58"/>
        <v>28.079260267927051</v>
      </c>
    </row>
    <row r="348" spans="1:26">
      <c r="A348" s="84">
        <f>'Q.6 Rand()'!V346</f>
        <v>5.3</v>
      </c>
      <c r="B348" s="141">
        <f>'Q.6 Rand()'!W346</f>
        <v>24.299900000000001</v>
      </c>
      <c r="D348" s="23"/>
      <c r="E348" s="24"/>
      <c r="F348" s="22">
        <f t="shared" si="50"/>
        <v>1.8609756097560965</v>
      </c>
      <c r="G348" s="22">
        <f t="shared" si="53"/>
        <v>-10.680713279132789</v>
      </c>
      <c r="H348" s="18">
        <f t="shared" si="54"/>
        <v>-19.876546907264178</v>
      </c>
      <c r="I348" s="18">
        <f t="shared" si="55"/>
        <v>3.4632302201070755</v>
      </c>
      <c r="J348" s="24"/>
      <c r="K348" s="24"/>
      <c r="L348" s="19">
        <f t="shared" si="56"/>
        <v>25.784195291460968</v>
      </c>
      <c r="O348" s="9">
        <f t="shared" si="51"/>
        <v>-1.4842952914609668</v>
      </c>
      <c r="P348" s="10">
        <f t="shared" si="57"/>
        <v>2.2031325122531964</v>
      </c>
      <c r="V348" s="10">
        <f t="shared" si="59"/>
        <v>4.0819782848127376E-3</v>
      </c>
      <c r="W348" s="13">
        <f t="shared" si="52"/>
        <v>84.574103803973841</v>
      </c>
      <c r="Z348" s="15">
        <f t="shared" si="58"/>
        <v>114.07763615104349</v>
      </c>
    </row>
    <row r="349" spans="1:26">
      <c r="A349" s="84">
        <f>'Q.6 Rand()'!V347</f>
        <v>3.8</v>
      </c>
      <c r="B349" s="141">
        <f>'Q.6 Rand()'!W347</f>
        <v>37.076900000000002</v>
      </c>
      <c r="D349" s="23"/>
      <c r="E349" s="24"/>
      <c r="F349" s="22">
        <f t="shared" si="50"/>
        <v>0.36097560975609655</v>
      </c>
      <c r="G349" s="22">
        <f t="shared" si="53"/>
        <v>2.0962867208672122</v>
      </c>
      <c r="H349" s="18">
        <f t="shared" si="54"/>
        <v>0.75670837728865015</v>
      </c>
      <c r="I349" s="18">
        <f t="shared" si="55"/>
        <v>0.1303033908387857</v>
      </c>
      <c r="J349" s="24"/>
      <c r="K349" s="24"/>
      <c r="L349" s="19">
        <f t="shared" si="56"/>
        <v>33.196773354918605</v>
      </c>
      <c r="O349" s="9">
        <f t="shared" si="51"/>
        <v>3.8801266450813969</v>
      </c>
      <c r="P349" s="10">
        <f t="shared" si="57"/>
        <v>15.055382781870616</v>
      </c>
      <c r="V349" s="10">
        <f t="shared" si="59"/>
        <v>6.108236212745595E-2</v>
      </c>
      <c r="W349" s="13">
        <f t="shared" si="52"/>
        <v>3.1820848752204682</v>
      </c>
      <c r="Z349" s="15">
        <f t="shared" si="58"/>
        <v>4.3944180160842095</v>
      </c>
    </row>
    <row r="350" spans="1:26">
      <c r="A350" s="84">
        <f>'Q.6 Rand()'!V348</f>
        <v>3.5</v>
      </c>
      <c r="B350" s="141">
        <f>'Q.6 Rand()'!W348</f>
        <v>37.6</v>
      </c>
      <c r="D350" s="23"/>
      <c r="E350" s="24"/>
      <c r="F350" s="22">
        <f t="shared" si="50"/>
        <v>6.0975609756096727E-2</v>
      </c>
      <c r="G350" s="22">
        <f t="shared" si="53"/>
        <v>2.6193867208672117</v>
      </c>
      <c r="H350" s="18">
        <f t="shared" si="54"/>
        <v>0.15971870249190095</v>
      </c>
      <c r="I350" s="18">
        <f t="shared" si="55"/>
        <v>3.7180249851277982E-3</v>
      </c>
      <c r="J350" s="24"/>
      <c r="K350" s="24"/>
      <c r="L350" s="19">
        <f t="shared" si="56"/>
        <v>34.679288967610127</v>
      </c>
      <c r="O350" s="9">
        <f t="shared" si="51"/>
        <v>2.9207110323898746</v>
      </c>
      <c r="P350" s="10">
        <f t="shared" si="57"/>
        <v>8.5305529347239268</v>
      </c>
      <c r="V350" s="10">
        <f t="shared" si="59"/>
        <v>0.10465078377861678</v>
      </c>
      <c r="W350" s="13">
        <f t="shared" si="52"/>
        <v>9.0796340714606807E-2</v>
      </c>
      <c r="Z350" s="15">
        <f t="shared" si="58"/>
        <v>6.8611867934554835</v>
      </c>
    </row>
    <row r="351" spans="1:26">
      <c r="A351" s="84">
        <f>'Q.6 Rand()'!V349</f>
        <v>2</v>
      </c>
      <c r="B351" s="141">
        <f>'Q.6 Rand()'!W349</f>
        <v>41.521000000000001</v>
      </c>
      <c r="D351" s="23"/>
      <c r="E351" s="24"/>
      <c r="F351" s="22">
        <f t="shared" si="50"/>
        <v>-1.4390243902439033</v>
      </c>
      <c r="G351" s="22">
        <f t="shared" si="53"/>
        <v>6.5403867208672111</v>
      </c>
      <c r="H351" s="18">
        <f t="shared" si="54"/>
        <v>-9.4117760129552597</v>
      </c>
      <c r="I351" s="18">
        <f t="shared" si="55"/>
        <v>2.0707911957168377</v>
      </c>
      <c r="J351" s="24"/>
      <c r="K351" s="24"/>
      <c r="L351" s="19">
        <f t="shared" si="56"/>
        <v>42.091867031067757</v>
      </c>
      <c r="O351" s="9">
        <f t="shared" si="51"/>
        <v>-0.57086703106775616</v>
      </c>
      <c r="P351" s="10">
        <f t="shared" si="57"/>
        <v>0.32588916716011446</v>
      </c>
      <c r="V351" s="10">
        <f t="shared" si="59"/>
        <v>7.7678484903986031E-2</v>
      </c>
      <c r="W351" s="13">
        <f t="shared" si="52"/>
        <v>50.569929924409145</v>
      </c>
      <c r="Z351" s="15">
        <f t="shared" si="58"/>
        <v>42.776658458496151</v>
      </c>
    </row>
    <row r="352" spans="1:26">
      <c r="A352" s="84">
        <f>'Q.6 Rand()'!V350</f>
        <v>3.8</v>
      </c>
      <c r="B352" s="141">
        <f>'Q.6 Rand()'!W350</f>
        <v>36.4</v>
      </c>
      <c r="D352" s="23"/>
      <c r="E352" s="24"/>
      <c r="F352" s="22">
        <f t="shared" si="50"/>
        <v>0.36097560975609655</v>
      </c>
      <c r="G352" s="22">
        <f t="shared" si="53"/>
        <v>1.4193867208672089</v>
      </c>
      <c r="H352" s="18">
        <f t="shared" si="54"/>
        <v>0.51236398704474717</v>
      </c>
      <c r="I352" s="18">
        <f t="shared" si="55"/>
        <v>0.1303033908387857</v>
      </c>
      <c r="J352" s="24"/>
      <c r="K352" s="24"/>
      <c r="L352" s="19">
        <f t="shared" si="56"/>
        <v>33.196773354918605</v>
      </c>
      <c r="O352" s="9">
        <f t="shared" si="51"/>
        <v>3.2032266450813935</v>
      </c>
      <c r="P352" s="10">
        <f t="shared" si="57"/>
        <v>10.260660939759401</v>
      </c>
      <c r="V352" s="10">
        <f t="shared" si="59"/>
        <v>1.374887481196879E-2</v>
      </c>
      <c r="W352" s="13">
        <f t="shared" si="52"/>
        <v>3.1820848752204682</v>
      </c>
      <c r="Z352" s="15">
        <f t="shared" si="58"/>
        <v>2.0146586633741679</v>
      </c>
    </row>
    <row r="353" spans="1:26">
      <c r="A353" s="84">
        <f>'Q.6 Rand()'!V351</f>
        <v>2</v>
      </c>
      <c r="B353" s="141">
        <f>'Q.6 Rand()'!W351</f>
        <v>42</v>
      </c>
      <c r="D353" s="23"/>
      <c r="E353" s="24"/>
      <c r="F353" s="22">
        <f t="shared" si="50"/>
        <v>-1.4390243902439033</v>
      </c>
      <c r="G353" s="22">
        <f t="shared" si="53"/>
        <v>7.0193867208672103</v>
      </c>
      <c r="H353" s="18">
        <f t="shared" si="54"/>
        <v>-10.101068695882089</v>
      </c>
      <c r="I353" s="18">
        <f t="shared" si="55"/>
        <v>2.0707911957168377</v>
      </c>
      <c r="J353" s="24"/>
      <c r="K353" s="24"/>
      <c r="L353" s="19">
        <f t="shared" si="56"/>
        <v>42.091867031067757</v>
      </c>
      <c r="O353" s="9">
        <f t="shared" si="51"/>
        <v>-9.1867031067756955E-2</v>
      </c>
      <c r="P353" s="10">
        <f t="shared" si="57"/>
        <v>8.4395513972042209E-3</v>
      </c>
      <c r="V353" s="10">
        <f t="shared" si="59"/>
        <v>8.8000732007730592E-2</v>
      </c>
      <c r="W353" s="13">
        <f t="shared" si="52"/>
        <v>50.569929924409145</v>
      </c>
      <c r="Z353" s="15">
        <f t="shared" si="58"/>
        <v>49.271789937086929</v>
      </c>
    </row>
    <row r="354" spans="1:26">
      <c r="A354" s="84">
        <f>'Q.6 Rand()'!V352</f>
        <v>3.7</v>
      </c>
      <c r="B354" s="141">
        <f>'Q.6 Rand()'!W352</f>
        <v>32.974800000000002</v>
      </c>
      <c r="D354" s="23"/>
      <c r="E354" s="24"/>
      <c r="F354" s="22">
        <f t="shared" si="50"/>
        <v>0.2609756097560969</v>
      </c>
      <c r="G354" s="22">
        <f t="shared" si="53"/>
        <v>-2.0058132791327878</v>
      </c>
      <c r="H354" s="18">
        <f t="shared" si="54"/>
        <v>-0.52346834357855554</v>
      </c>
      <c r="I354" s="18">
        <f t="shared" si="55"/>
        <v>6.8108268887566575E-2</v>
      </c>
      <c r="J354" s="24"/>
      <c r="K354" s="24"/>
      <c r="L354" s="19">
        <f t="shared" si="56"/>
        <v>33.690945225815774</v>
      </c>
      <c r="O354" s="9">
        <f t="shared" si="51"/>
        <v>-0.71614522581577233</v>
      </c>
      <c r="P354" s="10">
        <f t="shared" si="57"/>
        <v>0.5128639844587235</v>
      </c>
      <c r="V354" s="10">
        <f t="shared" si="59"/>
        <v>2.1873102635180225E-3</v>
      </c>
      <c r="W354" s="13">
        <f t="shared" si="52"/>
        <v>1.6632436877465004</v>
      </c>
      <c r="Z354" s="15">
        <f t="shared" si="58"/>
        <v>4.0232869107454272</v>
      </c>
    </row>
    <row r="355" spans="1:26">
      <c r="A355" s="84">
        <f>'Q.6 Rand()'!V353</f>
        <v>3</v>
      </c>
      <c r="B355" s="141">
        <f>'Q.6 Rand()'!W353</f>
        <v>32.5289</v>
      </c>
      <c r="D355" s="23"/>
      <c r="E355" s="24"/>
      <c r="F355" s="22">
        <f t="shared" si="50"/>
        <v>-0.43902439024390327</v>
      </c>
      <c r="G355" s="22">
        <f t="shared" si="53"/>
        <v>-2.4517132791327896</v>
      </c>
      <c r="H355" s="18">
        <f t="shared" si="54"/>
        <v>1.0763619274241536</v>
      </c>
      <c r="I355" s="18">
        <f t="shared" si="55"/>
        <v>0.19274241522903107</v>
      </c>
      <c r="J355" s="24"/>
      <c r="K355" s="24"/>
      <c r="L355" s="19">
        <f t="shared" si="56"/>
        <v>37.150148322096001</v>
      </c>
      <c r="O355" s="9">
        <f t="shared" si="51"/>
        <v>-4.621248322096001</v>
      </c>
      <c r="P355" s="10">
        <f t="shared" si="57"/>
        <v>21.355936054475105</v>
      </c>
      <c r="V355" s="10">
        <f t="shared" si="59"/>
        <v>2.1717955099523647E-2</v>
      </c>
      <c r="W355" s="13">
        <f t="shared" si="52"/>
        <v>4.7068823026453837</v>
      </c>
      <c r="Z355" s="15">
        <f t="shared" si="58"/>
        <v>6.0108980030760559</v>
      </c>
    </row>
    <row r="356" spans="1:26">
      <c r="A356" s="84">
        <f>'Q.6 Rand()'!V354</f>
        <v>3.7</v>
      </c>
      <c r="B356" s="141">
        <f>'Q.6 Rand()'!W354</f>
        <v>24.4</v>
      </c>
      <c r="D356" s="23"/>
      <c r="E356" s="24"/>
      <c r="F356" s="22">
        <f t="shared" si="50"/>
        <v>0.2609756097560969</v>
      </c>
      <c r="G356" s="22">
        <f t="shared" si="53"/>
        <v>-10.580613279132791</v>
      </c>
      <c r="H356" s="18">
        <f t="shared" si="54"/>
        <v>-2.7612820021151361</v>
      </c>
      <c r="I356" s="18">
        <f t="shared" si="55"/>
        <v>6.8108268887566575E-2</v>
      </c>
      <c r="J356" s="24"/>
      <c r="K356" s="24"/>
      <c r="L356" s="19">
        <f t="shared" si="56"/>
        <v>33.690945225815774</v>
      </c>
      <c r="O356" s="9">
        <f t="shared" si="51"/>
        <v>-9.2909452258157756</v>
      </c>
      <c r="P356" s="10">
        <f t="shared" si="57"/>
        <v>86.321663189108961</v>
      </c>
      <c r="V356" s="10">
        <f t="shared" si="59"/>
        <v>0.14206592667123699</v>
      </c>
      <c r="W356" s="13">
        <f t="shared" si="52"/>
        <v>1.6632436877465004</v>
      </c>
      <c r="Z356" s="15">
        <f t="shared" si="58"/>
        <v>111.94937736256115</v>
      </c>
    </row>
    <row r="357" spans="1:26">
      <c r="A357" s="84">
        <f>'Q.6 Rand()'!V355</f>
        <v>3.3</v>
      </c>
      <c r="B357" s="141">
        <f>'Q.6 Rand()'!W355</f>
        <v>40.1</v>
      </c>
      <c r="D357" s="23"/>
      <c r="E357" s="24"/>
      <c r="F357" s="22">
        <f t="shared" si="50"/>
        <v>-0.13902439024390345</v>
      </c>
      <c r="G357" s="22">
        <f t="shared" si="53"/>
        <v>5.1193867208672117</v>
      </c>
      <c r="H357" s="18">
        <f t="shared" si="54"/>
        <v>-0.71171961729130051</v>
      </c>
      <c r="I357" s="18">
        <f t="shared" si="55"/>
        <v>1.9327781082689156E-2</v>
      </c>
      <c r="J357" s="24"/>
      <c r="K357" s="24"/>
      <c r="L357" s="19">
        <f t="shared" si="56"/>
        <v>35.667632709404479</v>
      </c>
      <c r="O357" s="9">
        <f t="shared" si="51"/>
        <v>4.432367290595522</v>
      </c>
      <c r="P357" s="10">
        <f t="shared" si="57"/>
        <v>19.645879798741088</v>
      </c>
      <c r="V357" s="10">
        <f t="shared" si="59"/>
        <v>0.38077644368097441</v>
      </c>
      <c r="W357" s="13">
        <f t="shared" si="52"/>
        <v>0.47199569757083704</v>
      </c>
      <c r="Z357" s="15">
        <f t="shared" si="58"/>
        <v>26.208120397791543</v>
      </c>
    </row>
    <row r="358" spans="1:26">
      <c r="A358" s="84">
        <f>'Q.6 Rand()'!V356</f>
        <v>4.5999999999999996</v>
      </c>
      <c r="B358" s="141">
        <f>'Q.6 Rand()'!W356</f>
        <v>24.5</v>
      </c>
      <c r="D358" s="23"/>
      <c r="E358" s="24"/>
      <c r="F358" s="22">
        <f t="shared" si="50"/>
        <v>1.1609756097560964</v>
      </c>
      <c r="G358" s="22">
        <f t="shared" si="53"/>
        <v>-10.48061327913279</v>
      </c>
      <c r="H358" s="18">
        <f t="shared" si="54"/>
        <v>-12.167736392359032</v>
      </c>
      <c r="I358" s="18">
        <f t="shared" si="55"/>
        <v>1.3478643664485397</v>
      </c>
      <c r="J358" s="24"/>
      <c r="K358" s="24"/>
      <c r="L358" s="19">
        <f t="shared" si="56"/>
        <v>29.243398387741198</v>
      </c>
      <c r="O358" s="9">
        <f t="shared" si="51"/>
        <v>-4.7433983877411983</v>
      </c>
      <c r="P358" s="10">
        <f t="shared" si="57"/>
        <v>22.499828264825798</v>
      </c>
      <c r="V358" s="10">
        <f t="shared" si="59"/>
        <v>0.1105328501395392</v>
      </c>
      <c r="W358" s="13">
        <f t="shared" si="52"/>
        <v>32.915634710005428</v>
      </c>
      <c r="Z358" s="15">
        <f t="shared" si="58"/>
        <v>109.84325470673457</v>
      </c>
    </row>
    <row r="359" spans="1:26">
      <c r="A359" s="84">
        <f>'Q.6 Rand()'!V357</f>
        <v>3.6</v>
      </c>
      <c r="B359" s="141">
        <f>'Q.6 Rand()'!W357</f>
        <v>35.6</v>
      </c>
      <c r="D359" s="23"/>
      <c r="E359" s="24"/>
      <c r="F359" s="22">
        <f t="shared" si="50"/>
        <v>0.16097560975609682</v>
      </c>
      <c r="G359" s="22">
        <f t="shared" si="53"/>
        <v>0.61938672086721169</v>
      </c>
      <c r="H359" s="18">
        <f t="shared" si="54"/>
        <v>9.9706155066428742E-2</v>
      </c>
      <c r="I359" s="18">
        <f t="shared" si="55"/>
        <v>2.5913146936347171E-2</v>
      </c>
      <c r="J359" s="24"/>
      <c r="K359" s="24"/>
      <c r="L359" s="19">
        <f t="shared" si="56"/>
        <v>34.185117096712951</v>
      </c>
      <c r="O359" s="9">
        <f t="shared" si="51"/>
        <v>1.4148829032870509</v>
      </c>
      <c r="P359" s="10">
        <f t="shared" si="57"/>
        <v>2.0018936300139942</v>
      </c>
      <c r="V359" s="10">
        <f t="shared" si="59"/>
        <v>0.19360809745882443</v>
      </c>
      <c r="W359" s="13">
        <f t="shared" si="52"/>
        <v>0.63281417624453806</v>
      </c>
      <c r="Z359" s="15">
        <f t="shared" si="58"/>
        <v>0.38363990998663722</v>
      </c>
    </row>
    <row r="360" spans="1:26">
      <c r="A360" s="84">
        <f>'Q.6 Rand()'!V358</f>
        <v>1.8</v>
      </c>
      <c r="B360" s="141">
        <f>'Q.6 Rand()'!W358</f>
        <v>48.4</v>
      </c>
      <c r="D360" s="23"/>
      <c r="E360" s="24"/>
      <c r="F360" s="22">
        <f t="shared" si="50"/>
        <v>-1.6390243902439032</v>
      </c>
      <c r="G360" s="22">
        <f t="shared" si="53"/>
        <v>13.419386720867209</v>
      </c>
      <c r="H360" s="18">
        <f t="shared" si="54"/>
        <v>-21.99470213761651</v>
      </c>
      <c r="I360" s="18">
        <f t="shared" si="55"/>
        <v>2.6864009518143988</v>
      </c>
      <c r="J360" s="24"/>
      <c r="K360" s="24"/>
      <c r="L360" s="19">
        <f t="shared" si="56"/>
        <v>43.08021077286211</v>
      </c>
      <c r="O360" s="9">
        <f t="shared" si="51"/>
        <v>5.319789227137889</v>
      </c>
      <c r="P360" s="10">
        <f t="shared" si="57"/>
        <v>28.30015742117234</v>
      </c>
      <c r="V360" s="10">
        <f t="shared" si="59"/>
        <v>3.9743901777726146E-2</v>
      </c>
      <c r="W360" s="13">
        <f t="shared" si="52"/>
        <v>65.60347956042628</v>
      </c>
      <c r="Z360" s="15">
        <f t="shared" si="58"/>
        <v>180.07993996418719</v>
      </c>
    </row>
    <row r="361" spans="1:26">
      <c r="A361" s="84">
        <f>'Q.6 Rand()'!V359</f>
        <v>6.1</v>
      </c>
      <c r="B361" s="141">
        <f>'Q.6 Rand()'!W359</f>
        <v>26</v>
      </c>
      <c r="D361" s="23"/>
      <c r="E361" s="24"/>
      <c r="F361" s="22">
        <f t="shared" si="50"/>
        <v>2.6609756097560964</v>
      </c>
      <c r="G361" s="22">
        <f t="shared" si="53"/>
        <v>-8.9806132791327897</v>
      </c>
      <c r="H361" s="18">
        <f t="shared" si="54"/>
        <v>-23.89719289642407</v>
      </c>
      <c r="I361" s="18">
        <f t="shared" si="55"/>
        <v>7.080791195716829</v>
      </c>
      <c r="J361" s="24"/>
      <c r="K361" s="24"/>
      <c r="L361" s="19">
        <f t="shared" si="56"/>
        <v>21.830820324283565</v>
      </c>
      <c r="O361" s="9">
        <f t="shared" si="51"/>
        <v>4.1691796757164354</v>
      </c>
      <c r="P361" s="10">
        <f t="shared" si="57"/>
        <v>17.382059168407</v>
      </c>
      <c r="V361" s="10">
        <f t="shared" si="59"/>
        <v>0.10991300056070019</v>
      </c>
      <c r="W361" s="13">
        <f t="shared" si="52"/>
        <v>172.91705475540232</v>
      </c>
      <c r="Z361" s="15">
        <f t="shared" si="58"/>
        <v>80.651414869336193</v>
      </c>
    </row>
    <row r="362" spans="1:26">
      <c r="A362" s="84">
        <f>'Q.6 Rand()'!V360</f>
        <v>5</v>
      </c>
      <c r="B362" s="141">
        <f>'Q.6 Rand()'!W360</f>
        <v>27.251100000000001</v>
      </c>
      <c r="D362" s="23"/>
      <c r="E362" s="24"/>
      <c r="F362" s="22">
        <f t="shared" si="50"/>
        <v>1.5609756097560967</v>
      </c>
      <c r="G362" s="22">
        <f t="shared" si="53"/>
        <v>-7.7295132791327887</v>
      </c>
      <c r="H362" s="18">
        <f t="shared" si="54"/>
        <v>-12.065581704012152</v>
      </c>
      <c r="I362" s="18">
        <f t="shared" si="55"/>
        <v>2.436644854253418</v>
      </c>
      <c r="J362" s="24"/>
      <c r="K362" s="24"/>
      <c r="L362" s="19">
        <f t="shared" si="56"/>
        <v>27.266710904152493</v>
      </c>
      <c r="O362" s="9">
        <f t="shared" si="51"/>
        <v>-1.5610904152492111E-2</v>
      </c>
      <c r="P362" s="10">
        <f t="shared" si="57"/>
        <v>2.4370032845829543E-4</v>
      </c>
      <c r="V362" s="10">
        <f t="shared" si="59"/>
        <v>0.16035306445063213</v>
      </c>
      <c r="W362" s="13">
        <f t="shared" si="52"/>
        <v>59.504289850726664</v>
      </c>
      <c r="Z362" s="15">
        <f t="shared" si="58"/>
        <v>59.745375532290119</v>
      </c>
    </row>
    <row r="363" spans="1:26">
      <c r="A363" s="84">
        <f>'Q.6 Rand()'!V361</f>
        <v>3.7</v>
      </c>
      <c r="B363" s="141">
        <f>'Q.6 Rand()'!W361</f>
        <v>25.2</v>
      </c>
      <c r="D363" s="23"/>
      <c r="E363" s="24"/>
      <c r="F363" s="22">
        <f t="shared" si="50"/>
        <v>0.2609756097560969</v>
      </c>
      <c r="G363" s="22">
        <f t="shared" si="53"/>
        <v>-9.7806132791327904</v>
      </c>
      <c r="H363" s="18">
        <f t="shared" si="54"/>
        <v>-2.5525015143102583</v>
      </c>
      <c r="I363" s="18">
        <f t="shared" si="55"/>
        <v>6.8108268887566575E-2</v>
      </c>
      <c r="J363" s="24"/>
      <c r="K363" s="24"/>
      <c r="L363" s="19">
        <f t="shared" si="56"/>
        <v>33.690945225815774</v>
      </c>
      <c r="O363" s="9">
        <f t="shared" si="51"/>
        <v>-8.4909452258157749</v>
      </c>
      <c r="P363" s="10">
        <f t="shared" si="57"/>
        <v>72.096150827803697</v>
      </c>
      <c r="V363" s="10">
        <f t="shared" si="59"/>
        <v>5.7285409221984106E-4</v>
      </c>
      <c r="W363" s="13">
        <f t="shared" si="52"/>
        <v>1.6632436877465004</v>
      </c>
      <c r="Z363" s="15">
        <f t="shared" si="58"/>
        <v>95.660396115948672</v>
      </c>
    </row>
    <row r="364" spans="1:26">
      <c r="A364" s="84">
        <f>'Q.6 Rand()'!V362</f>
        <v>2.5</v>
      </c>
      <c r="B364" s="141">
        <f>'Q.6 Rand()'!W362</f>
        <v>40.6</v>
      </c>
      <c r="D364" s="23"/>
      <c r="E364" s="24"/>
      <c r="F364" s="22">
        <f t="shared" si="50"/>
        <v>-0.93902439024390327</v>
      </c>
      <c r="G364" s="22">
        <f t="shared" si="53"/>
        <v>5.6193867208672117</v>
      </c>
      <c r="H364" s="18">
        <f t="shared" si="54"/>
        <v>-5.2767411891070202</v>
      </c>
      <c r="I364" s="18">
        <f t="shared" si="55"/>
        <v>0.88176680547293429</v>
      </c>
      <c r="J364" s="24"/>
      <c r="K364" s="24"/>
      <c r="L364" s="19">
        <f t="shared" si="56"/>
        <v>39.621007676581883</v>
      </c>
      <c r="O364" s="9">
        <f t="shared" si="51"/>
        <v>0.97899232341811881</v>
      </c>
      <c r="P364" s="10">
        <f t="shared" si="57"/>
        <v>0.95842596931160651</v>
      </c>
      <c r="V364" s="10">
        <f t="shared" si="59"/>
        <v>0.33694227086570538</v>
      </c>
      <c r="W364" s="13">
        <f t="shared" si="52"/>
        <v>21.533260163876928</v>
      </c>
      <c r="Z364" s="15">
        <f t="shared" si="58"/>
        <v>31.577507118658755</v>
      </c>
    </row>
    <row r="365" spans="1:26">
      <c r="A365" s="84">
        <f>'Q.6 Rand()'!V363</f>
        <v>1.6</v>
      </c>
      <c r="B365" s="141">
        <f>'Q.6 Rand()'!W363</f>
        <v>47.9</v>
      </c>
      <c r="D365" s="23"/>
      <c r="E365" s="24"/>
      <c r="F365" s="22">
        <f t="shared" si="50"/>
        <v>-1.8390243902439032</v>
      </c>
      <c r="G365" s="22">
        <f t="shared" si="53"/>
        <v>12.919386720867209</v>
      </c>
      <c r="H365" s="18">
        <f t="shared" si="54"/>
        <v>-23.759067286667999</v>
      </c>
      <c r="I365" s="18">
        <f t="shared" si="55"/>
        <v>3.3820107079119599</v>
      </c>
      <c r="J365" s="24"/>
      <c r="K365" s="24"/>
      <c r="L365" s="19">
        <f t="shared" si="56"/>
        <v>44.068554514656462</v>
      </c>
      <c r="O365" s="9">
        <f t="shared" si="51"/>
        <v>3.8314454853435365</v>
      </c>
      <c r="P365" s="10">
        <f t="shared" si="57"/>
        <v>14.679974507159368</v>
      </c>
      <c r="V365" s="10">
        <f t="shared" si="59"/>
        <v>2.4113111414239378E-2</v>
      </c>
      <c r="W365" s="13">
        <f t="shared" si="52"/>
        <v>82.590675900331533</v>
      </c>
      <c r="Z365" s="15">
        <f t="shared" si="58"/>
        <v>166.91055324331998</v>
      </c>
    </row>
    <row r="366" spans="1:26">
      <c r="A366" s="84">
        <f>'Q.6 Rand()'!V364</f>
        <v>2.4</v>
      </c>
      <c r="B366" s="141">
        <f>'Q.6 Rand()'!W364</f>
        <v>36.4</v>
      </c>
      <c r="D366" s="23"/>
      <c r="E366" s="24"/>
      <c r="F366" s="22">
        <f t="shared" si="50"/>
        <v>-1.0390243902439034</v>
      </c>
      <c r="G366" s="22">
        <f t="shared" si="53"/>
        <v>1.4193867208672089</v>
      </c>
      <c r="H366" s="18">
        <f t="shared" si="54"/>
        <v>-1.474777422169345</v>
      </c>
      <c r="I366" s="18">
        <f t="shared" si="55"/>
        <v>1.0795716835217153</v>
      </c>
      <c r="J366" s="24"/>
      <c r="K366" s="24"/>
      <c r="L366" s="19">
        <f t="shared" si="56"/>
        <v>40.115179547479059</v>
      </c>
      <c r="O366" s="9">
        <f t="shared" si="51"/>
        <v>-3.7151795474790603</v>
      </c>
      <c r="P366" s="10">
        <f t="shared" si="57"/>
        <v>13.802559070006716</v>
      </c>
      <c r="V366" s="10">
        <f t="shared" si="59"/>
        <v>7.9988423493602009E-2</v>
      </c>
      <c r="W366" s="13">
        <f t="shared" si="52"/>
        <v>26.36377076403933</v>
      </c>
      <c r="Z366" s="15">
        <f t="shared" si="58"/>
        <v>2.0146586633741679</v>
      </c>
    </row>
    <row r="367" spans="1:26">
      <c r="A367" s="84">
        <f>'Q.6 Rand()'!V365</f>
        <v>6.3</v>
      </c>
      <c r="B367" s="141">
        <f>'Q.6 Rand()'!W365</f>
        <v>26.6722</v>
      </c>
      <c r="D367" s="23"/>
      <c r="E367" s="24"/>
      <c r="F367" s="22">
        <f t="shared" si="50"/>
        <v>2.8609756097560965</v>
      </c>
      <c r="G367" s="22">
        <f t="shared" si="53"/>
        <v>-8.3084132791327896</v>
      </c>
      <c r="H367" s="18">
        <f t="shared" si="54"/>
        <v>-23.770167747372582</v>
      </c>
      <c r="I367" s="18">
        <f t="shared" si="55"/>
        <v>8.185181439619269</v>
      </c>
      <c r="J367" s="24"/>
      <c r="K367" s="24"/>
      <c r="L367" s="19">
        <f t="shared" si="56"/>
        <v>20.842476582489212</v>
      </c>
      <c r="O367" s="9">
        <f t="shared" si="51"/>
        <v>5.8297234175107882</v>
      </c>
      <c r="P367" s="10">
        <f t="shared" si="57"/>
        <v>33.985675124673662</v>
      </c>
      <c r="V367" s="10">
        <f t="shared" si="59"/>
        <v>0.10206537218349067</v>
      </c>
      <c r="W367" s="13">
        <f t="shared" si="52"/>
        <v>199.88690925297976</v>
      </c>
      <c r="Z367" s="15">
        <f t="shared" si="58"/>
        <v>69.029731216870076</v>
      </c>
    </row>
    <row r="368" spans="1:26">
      <c r="A368" s="84">
        <f>'Q.6 Rand()'!V366</f>
        <v>2.2000000000000002</v>
      </c>
      <c r="B368" s="141">
        <f>'Q.6 Rand()'!W366</f>
        <v>51.9</v>
      </c>
      <c r="D368" s="23"/>
      <c r="E368" s="24"/>
      <c r="F368" s="22">
        <f t="shared" si="50"/>
        <v>-1.2390243902439031</v>
      </c>
      <c r="G368" s="22">
        <f t="shared" si="53"/>
        <v>16.919386720867209</v>
      </c>
      <c r="H368" s="18">
        <f t="shared" si="54"/>
        <v>-20.963532815123283</v>
      </c>
      <c r="I368" s="18">
        <f t="shared" si="55"/>
        <v>1.5351814396192758</v>
      </c>
      <c r="J368" s="24"/>
      <c r="K368" s="24"/>
      <c r="L368" s="19">
        <f t="shared" si="56"/>
        <v>41.103523289273404</v>
      </c>
      <c r="O368" s="9">
        <f t="shared" si="51"/>
        <v>10.796476710726594</v>
      </c>
      <c r="P368" s="10">
        <f t="shared" si="57"/>
        <v>116.56390936526174</v>
      </c>
      <c r="V368" s="10">
        <f t="shared" si="59"/>
        <v>0.2185692750320854</v>
      </c>
      <c r="W368" s="13">
        <f t="shared" si="52"/>
        <v>37.490026992280143</v>
      </c>
      <c r="Z368" s="15">
        <f t="shared" si="58"/>
        <v>286.26564701025762</v>
      </c>
    </row>
    <row r="369" spans="1:26">
      <c r="A369" s="84">
        <f>'Q.6 Rand()'!V367</f>
        <v>4.8</v>
      </c>
      <c r="B369" s="141">
        <f>'Q.6 Rand()'!W367</f>
        <v>31.8</v>
      </c>
      <c r="D369" s="23"/>
      <c r="E369" s="24"/>
      <c r="F369" s="22">
        <f t="shared" si="50"/>
        <v>1.3609756097560965</v>
      </c>
      <c r="G369" s="22">
        <f t="shared" si="53"/>
        <v>-3.180613279132789</v>
      </c>
      <c r="H369" s="18">
        <f t="shared" si="54"/>
        <v>-4.3287370969660852</v>
      </c>
      <c r="I369" s="18">
        <f t="shared" si="55"/>
        <v>1.8522546103509787</v>
      </c>
      <c r="J369" s="24"/>
      <c r="K369" s="24"/>
      <c r="L369" s="19">
        <f t="shared" si="56"/>
        <v>28.255054645946846</v>
      </c>
      <c r="O369" s="9">
        <f t="shared" si="51"/>
        <v>3.544945354053155</v>
      </c>
      <c r="P369" s="10">
        <f t="shared" si="57"/>
        <v>12.566637563223049</v>
      </c>
      <c r="V369" s="10">
        <f t="shared" si="59"/>
        <v>0.20802459943596521</v>
      </c>
      <c r="W369" s="13">
        <f t="shared" si="52"/>
        <v>45.233138928421987</v>
      </c>
      <c r="Z369" s="15">
        <f t="shared" si="58"/>
        <v>10.116300831395833</v>
      </c>
    </row>
    <row r="370" spans="1:26">
      <c r="A370" s="84">
        <f>'Q.6 Rand()'!V368</f>
        <v>2.4</v>
      </c>
      <c r="B370" s="141">
        <f>'Q.6 Rand()'!W368</f>
        <v>42.8</v>
      </c>
      <c r="D370" s="23"/>
      <c r="E370" s="24"/>
      <c r="F370" s="22">
        <f t="shared" si="50"/>
        <v>-1.0390243902439034</v>
      </c>
      <c r="G370" s="22">
        <f t="shared" si="53"/>
        <v>7.8193867208672074</v>
      </c>
      <c r="H370" s="18">
        <f t="shared" si="54"/>
        <v>-8.1245335197303259</v>
      </c>
      <c r="I370" s="18">
        <f t="shared" si="55"/>
        <v>1.0795716835217153</v>
      </c>
      <c r="J370" s="24"/>
      <c r="K370" s="24"/>
      <c r="L370" s="19">
        <f t="shared" si="56"/>
        <v>40.115179547479059</v>
      </c>
      <c r="O370" s="9">
        <f t="shared" si="51"/>
        <v>2.6848204525209383</v>
      </c>
      <c r="P370" s="10">
        <f t="shared" si="57"/>
        <v>7.2082608622747353</v>
      </c>
      <c r="V370" s="10">
        <f t="shared" si="59"/>
        <v>0.11147626899538222</v>
      </c>
      <c r="W370" s="13">
        <f t="shared" si="52"/>
        <v>26.36377076403933</v>
      </c>
      <c r="Z370" s="15">
        <f t="shared" si="58"/>
        <v>61.142808690474418</v>
      </c>
    </row>
    <row r="371" spans="1:26">
      <c r="A371" s="84">
        <f>'Q.6 Rand()'!V369</f>
        <v>4</v>
      </c>
      <c r="B371" s="141">
        <f>'Q.6 Rand()'!W369</f>
        <v>27.8</v>
      </c>
      <c r="D371" s="23"/>
      <c r="E371" s="24"/>
      <c r="F371" s="22">
        <f t="shared" si="50"/>
        <v>0.56097560975609673</v>
      </c>
      <c r="G371" s="22">
        <f t="shared" si="53"/>
        <v>-7.180613279132789</v>
      </c>
      <c r="H371" s="18">
        <f t="shared" si="54"/>
        <v>-4.0281489126842418</v>
      </c>
      <c r="I371" s="18">
        <f t="shared" si="55"/>
        <v>0.31469363474122453</v>
      </c>
      <c r="J371" s="24"/>
      <c r="K371" s="24"/>
      <c r="L371" s="19">
        <f t="shared" si="56"/>
        <v>32.208429613124252</v>
      </c>
      <c r="O371" s="9">
        <f t="shared" si="51"/>
        <v>-4.4084296131242517</v>
      </c>
      <c r="P371" s="10">
        <f t="shared" si="57"/>
        <v>19.434251653870842</v>
      </c>
      <c r="V371" s="10">
        <f t="shared" si="59"/>
        <v>6.2729449825255565E-2</v>
      </c>
      <c r="W371" s="13">
        <f t="shared" si="52"/>
        <v>7.6850022780845331</v>
      </c>
      <c r="Z371" s="15">
        <f t="shared" si="58"/>
        <v>51.561207064458145</v>
      </c>
    </row>
    <row r="372" spans="1:26">
      <c r="A372" s="84">
        <f>'Q.6 Rand()'!V370</f>
        <v>3</v>
      </c>
      <c r="B372" s="141">
        <f>'Q.6 Rand()'!W370</f>
        <v>34.1</v>
      </c>
      <c r="D372" s="23"/>
      <c r="E372" s="24"/>
      <c r="F372" s="22">
        <f t="shared" si="50"/>
        <v>-0.43902439024390327</v>
      </c>
      <c r="G372" s="22">
        <f t="shared" si="53"/>
        <v>-0.88061327913278831</v>
      </c>
      <c r="H372" s="18">
        <f t="shared" si="54"/>
        <v>0.38661070791195656</v>
      </c>
      <c r="I372" s="18">
        <f t="shared" si="55"/>
        <v>0.19274241522903107</v>
      </c>
      <c r="J372" s="24"/>
      <c r="K372" s="24"/>
      <c r="L372" s="19">
        <f t="shared" si="56"/>
        <v>37.150148322096001</v>
      </c>
      <c r="O372" s="9">
        <f t="shared" si="51"/>
        <v>-3.0501483220959997</v>
      </c>
      <c r="P372" s="10">
        <f t="shared" si="57"/>
        <v>9.3034047867850429</v>
      </c>
      <c r="V372" s="10">
        <f t="shared" si="59"/>
        <v>0.15857660478864213</v>
      </c>
      <c r="W372" s="13">
        <f t="shared" si="52"/>
        <v>4.7068823026453837</v>
      </c>
      <c r="Z372" s="15">
        <f t="shared" si="58"/>
        <v>0.77547974738500214</v>
      </c>
    </row>
    <row r="373" spans="1:26">
      <c r="A373" s="84">
        <f>'Q.6 Rand()'!V371</f>
        <v>3.7</v>
      </c>
      <c r="B373" s="141">
        <f>'Q.6 Rand()'!W371</f>
        <v>31.846699999999998</v>
      </c>
      <c r="D373" s="23"/>
      <c r="E373" s="24"/>
      <c r="F373" s="22">
        <f t="shared" si="50"/>
        <v>0.2609756097560969</v>
      </c>
      <c r="G373" s="22">
        <f t="shared" si="53"/>
        <v>-3.1339132791327913</v>
      </c>
      <c r="H373" s="18">
        <f t="shared" si="54"/>
        <v>-0.81787492894440927</v>
      </c>
      <c r="I373" s="18">
        <f t="shared" si="55"/>
        <v>6.8108268887566575E-2</v>
      </c>
      <c r="J373" s="24"/>
      <c r="K373" s="24"/>
      <c r="L373" s="19">
        <f t="shared" si="56"/>
        <v>33.690945225815774</v>
      </c>
      <c r="O373" s="9">
        <f t="shared" si="51"/>
        <v>-1.8442452258157758</v>
      </c>
      <c r="P373" s="10">
        <f t="shared" si="57"/>
        <v>3.4012404529442817</v>
      </c>
      <c r="V373" s="10">
        <f t="shared" si="59"/>
        <v>8.9447164870850429E-2</v>
      </c>
      <c r="W373" s="13">
        <f t="shared" si="52"/>
        <v>1.6632436877465004</v>
      </c>
      <c r="Z373" s="15">
        <f t="shared" si="58"/>
        <v>9.8214124411248438</v>
      </c>
    </row>
    <row r="374" spans="1:26" ht="15.75" thickBot="1">
      <c r="A374" s="85">
        <f>SUM(A5:A373)</f>
        <v>1269.0000000000002</v>
      </c>
      <c r="B374" s="85">
        <f>SUM(B5:B373)</f>
        <v>12907.846299999999</v>
      </c>
      <c r="C374" s="155">
        <f t="shared" ref="C374:P374" si="60">SUM(C5:C373)</f>
        <v>369</v>
      </c>
      <c r="D374" s="25"/>
      <c r="E374" s="26"/>
      <c r="F374" s="27">
        <f t="shared" si="60"/>
        <v>-3.0109248427834245E-13</v>
      </c>
      <c r="G374" s="27">
        <f t="shared" si="60"/>
        <v>7.496225862269057E-13</v>
      </c>
      <c r="H374" s="27">
        <f t="shared" si="60"/>
        <v>-2728.4120912195126</v>
      </c>
      <c r="I374" s="27">
        <f t="shared" si="60"/>
        <v>552.11804878048702</v>
      </c>
      <c r="J374" s="26"/>
      <c r="K374" s="26"/>
      <c r="L374" s="157">
        <f t="shared" si="60"/>
        <v>12907.846300000012</v>
      </c>
      <c r="O374" s="85">
        <f t="shared" si="60"/>
        <v>-1.1510792319313623E-12</v>
      </c>
      <c r="P374" s="85">
        <f t="shared" si="60"/>
        <v>7747.2583813807405</v>
      </c>
      <c r="V374" s="85">
        <f t="shared" ref="V374:W374" si="61">SUM(V5:V373)</f>
        <v>48.440066039398246</v>
      </c>
      <c r="W374" s="85">
        <f t="shared" si="61"/>
        <v>13483.045076964234</v>
      </c>
      <c r="Z374" s="85">
        <f t="shared" ref="Z374" si="62">SUM(Z5:Z373)</f>
        <v>21230.303458344926</v>
      </c>
    </row>
    <row r="375" spans="1:26">
      <c r="A375" s="152"/>
      <c r="B375" s="152"/>
    </row>
  </sheetData>
  <mergeCells count="19">
    <mergeCell ref="S14:T14"/>
    <mergeCell ref="S15:T15"/>
    <mergeCell ref="S16:T16"/>
    <mergeCell ref="S17:T17"/>
    <mergeCell ref="S18:T18"/>
    <mergeCell ref="AE6:AH6"/>
    <mergeCell ref="S9:T9"/>
    <mergeCell ref="S10:T10"/>
    <mergeCell ref="S11:T11"/>
    <mergeCell ref="S12:T12"/>
    <mergeCell ref="S13:T13"/>
    <mergeCell ref="A1:R1"/>
    <mergeCell ref="D2:E2"/>
    <mergeCell ref="W2:Y2"/>
    <mergeCell ref="Z2:AA2"/>
    <mergeCell ref="D3:E3"/>
    <mergeCell ref="M3:N3"/>
    <mergeCell ref="W3:X3"/>
    <mergeCell ref="Z3:AA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D375"/>
  <sheetViews>
    <sheetView zoomScaleNormal="100" workbookViewId="0">
      <selection activeCell="T31" sqref="T31"/>
    </sheetView>
  </sheetViews>
  <sheetFormatPr defaultRowHeight="15"/>
  <cols>
    <col min="1" max="1" width="7.5703125" style="153" customWidth="1"/>
    <col min="2" max="2" width="8.5703125" style="153" customWidth="1"/>
    <col min="3" max="3" width="7.5703125" style="153" customWidth="1"/>
    <col min="4" max="4" width="8.5703125" style="153" customWidth="1"/>
    <col min="5" max="5" width="7.5703125" style="153" customWidth="1"/>
    <col min="6" max="6" width="8.5703125" style="153" customWidth="1"/>
    <col min="7" max="7" width="8.5703125" customWidth="1"/>
    <col min="8" max="8" width="7.5703125" style="153" customWidth="1"/>
    <col min="9" max="9" width="8.5703125" style="153" customWidth="1"/>
    <col min="10" max="10" width="5.5703125" style="153" customWidth="1"/>
    <col min="11" max="11" width="8.42578125" style="153" bestFit="1" customWidth="1"/>
    <col min="12" max="13" width="8.5703125" style="153" bestFit="1" customWidth="1"/>
    <col min="14" max="14" width="11" style="153" customWidth="1"/>
    <col min="15" max="15" width="6.5703125" style="153" bestFit="1" customWidth="1"/>
    <col min="16" max="16" width="8.140625" style="153" customWidth="1"/>
    <col min="17" max="17" width="6.5703125" style="153" bestFit="1" customWidth="1"/>
    <col min="18" max="18" width="8.5703125" style="153" bestFit="1" customWidth="1"/>
    <col min="19" max="19" width="9.5703125" style="153" bestFit="1" customWidth="1"/>
    <col min="20" max="20" width="12.5703125" style="153" bestFit="1" customWidth="1"/>
    <col min="21" max="21" width="10" style="143" bestFit="1" customWidth="1"/>
    <col min="22" max="22" width="15" style="143" bestFit="1" customWidth="1"/>
    <col min="23" max="23" width="6" style="143" customWidth="1"/>
    <col min="24" max="24" width="11.42578125" style="143" bestFit="1" customWidth="1"/>
    <col min="25" max="25" width="10" style="143" bestFit="1" customWidth="1"/>
    <col min="26" max="26" width="15" style="143" customWidth="1"/>
    <col min="27" max="27" width="13.28515625" style="143" bestFit="1" customWidth="1"/>
    <col min="28" max="28" width="3" style="143" bestFit="1" customWidth="1"/>
    <col min="29" max="29" width="15" style="143" bestFit="1" customWidth="1"/>
    <col min="30" max="16384" width="9.140625" style="143"/>
  </cols>
  <sheetData>
    <row r="1" spans="1:30">
      <c r="A1" s="159"/>
      <c r="B1" s="159"/>
      <c r="C1" s="159"/>
      <c r="D1" s="159"/>
      <c r="E1" s="159"/>
      <c r="F1" s="159"/>
      <c r="K1" s="171" t="s">
        <v>113</v>
      </c>
      <c r="L1" s="171" t="s">
        <v>36</v>
      </c>
      <c r="M1" s="172"/>
      <c r="N1" s="171" t="s">
        <v>24</v>
      </c>
      <c r="O1" s="173"/>
      <c r="P1" s="173"/>
      <c r="Q1" s="167"/>
      <c r="R1" s="171" t="s">
        <v>30</v>
      </c>
      <c r="S1" s="171" t="s">
        <v>28</v>
      </c>
      <c r="T1" s="167"/>
      <c r="X1" s="385" t="s">
        <v>118</v>
      </c>
      <c r="Y1" s="386"/>
      <c r="Z1" s="386"/>
      <c r="AA1" s="387"/>
      <c r="AD1"/>
    </row>
    <row r="2" spans="1:30" ht="18.75">
      <c r="A2" s="160" t="s">
        <v>107</v>
      </c>
      <c r="B2" s="160" t="s">
        <v>108</v>
      </c>
      <c r="C2" s="161" t="s">
        <v>109</v>
      </c>
      <c r="D2" s="161" t="s">
        <v>110</v>
      </c>
      <c r="E2" s="36" t="s">
        <v>111</v>
      </c>
      <c r="F2" s="36" t="s">
        <v>112</v>
      </c>
      <c r="H2" s="213" t="s">
        <v>111</v>
      </c>
      <c r="I2" s="213" t="s">
        <v>112</v>
      </c>
      <c r="J2" s="32" t="s">
        <v>14</v>
      </c>
      <c r="K2" s="178" t="s">
        <v>116</v>
      </c>
      <c r="L2" s="174" t="s">
        <v>117</v>
      </c>
      <c r="M2" s="32" t="s">
        <v>51</v>
      </c>
      <c r="N2" s="32" t="s">
        <v>25</v>
      </c>
      <c r="O2" s="70" t="s">
        <v>52</v>
      </c>
      <c r="P2" s="70" t="s">
        <v>53</v>
      </c>
      <c r="Q2" s="168" t="s">
        <v>54</v>
      </c>
      <c r="R2" s="70" t="s">
        <v>83</v>
      </c>
      <c r="S2" s="70" t="s">
        <v>82</v>
      </c>
      <c r="T2" s="170" t="s">
        <v>114</v>
      </c>
      <c r="U2" s="184" t="s">
        <v>105</v>
      </c>
      <c r="V2" s="185" t="s">
        <v>106</v>
      </c>
      <c r="X2" s="209" t="s">
        <v>165</v>
      </c>
      <c r="Y2" s="184" t="s">
        <v>105</v>
      </c>
      <c r="Z2" s="324" t="s">
        <v>106</v>
      </c>
      <c r="AA2" s="325" t="s">
        <v>158</v>
      </c>
    </row>
    <row r="3" spans="1:30">
      <c r="A3" s="162">
        <f>'Q.6a Model 1'!A5</f>
        <v>3.2</v>
      </c>
      <c r="B3" s="162">
        <f>'Q.6a Model 1'!B5</f>
        <v>30.347000000000001</v>
      </c>
      <c r="C3" s="163">
        <f>'Q.6a Model 2'!A5</f>
        <v>4.5999999999999996</v>
      </c>
      <c r="D3" s="163">
        <f>'Q.6a Model 2'!B5</f>
        <v>32.149900000000002</v>
      </c>
      <c r="E3" s="10">
        <f>'Q.6a Model 3'!$A5</f>
        <v>2.5</v>
      </c>
      <c r="F3" s="10">
        <f>'Q.6a Model 3'!$B5</f>
        <v>39.726700000000001</v>
      </c>
      <c r="H3" s="214">
        <v>2.5</v>
      </c>
      <c r="I3" s="214">
        <v>39.726700000000001</v>
      </c>
      <c r="J3" s="71">
        <f>AVERAGE(I3:I371)</f>
        <v>34.98061327913279</v>
      </c>
      <c r="K3" s="71">
        <f>$V$3 + $U$3 * H3</f>
        <v>39.153457619502632</v>
      </c>
      <c r="L3" s="71">
        <f>I3-K3</f>
        <v>0.5732423804973692</v>
      </c>
      <c r="M3" s="71">
        <f t="shared" ref="M3:M34" si="0">ABS(L3)</f>
        <v>0.5732423804973692</v>
      </c>
      <c r="N3" s="175">
        <f t="shared" ref="N3:N34" si="1">M3^2</f>
        <v>0.32860682679829062</v>
      </c>
      <c r="O3" s="71">
        <f>M3/I3</f>
        <v>1.442965009672007E-2</v>
      </c>
      <c r="P3" s="5">
        <f>AVERAGE(O3:O371)</f>
        <v>0.10510230094923277</v>
      </c>
      <c r="Q3" s="169">
        <f>P3*100</f>
        <v>10.510230094923276</v>
      </c>
      <c r="R3" s="175">
        <f t="shared" ref="R3:R66" si="2">(I3-$J$3)^2</f>
        <v>22.525339161992079</v>
      </c>
      <c r="S3" s="71">
        <f t="shared" ref="S3:S66" si="3">(K3-$J$3)^2</f>
        <v>17.412629888956623</v>
      </c>
      <c r="T3" s="169">
        <f>S372/R372</f>
        <v>0.46296146019414286</v>
      </c>
      <c r="U3" s="68">
        <f>Y10</f>
        <v>-4.2156046482739882</v>
      </c>
      <c r="V3" s="68">
        <f>Z10</f>
        <v>49.692469240187599</v>
      </c>
      <c r="X3" s="180">
        <v>2</v>
      </c>
      <c r="Y3" s="181">
        <f>SLOPE(D3:D371,C3:C371)</f>
        <v>-4.2156046482739882</v>
      </c>
      <c r="Z3" s="182">
        <f>INTERCEPT(D3:D371,C3:C371)</f>
        <v>49.692469240187599</v>
      </c>
      <c r="AA3" s="327" t="s">
        <v>155</v>
      </c>
    </row>
    <row r="4" spans="1:30">
      <c r="A4" s="162">
        <f>'Q.6a Model 1'!A6</f>
        <v>4.2</v>
      </c>
      <c r="B4" s="162">
        <f>'Q.6a Model 1'!B6</f>
        <v>27.471</v>
      </c>
      <c r="C4" s="163">
        <f>'Q.6a Model 2'!A6</f>
        <v>5.7</v>
      </c>
      <c r="D4" s="163">
        <f>'Q.6a Model 2'!B6</f>
        <v>34.5</v>
      </c>
      <c r="E4" s="10">
        <f>'Q.6a Model 3'!$A6</f>
        <v>2</v>
      </c>
      <c r="F4" s="10">
        <f>'Q.6a Model 3'!$B6</f>
        <v>37.1</v>
      </c>
      <c r="H4" s="214">
        <v>2</v>
      </c>
      <c r="I4" s="214">
        <v>37.1</v>
      </c>
      <c r="J4" s="62"/>
      <c r="K4" s="71">
        <f t="shared" ref="K4:K67" si="4">$V$3 + $U$3 * H4</f>
        <v>41.261259943639622</v>
      </c>
      <c r="L4" s="71">
        <f t="shared" ref="L4:L67" si="5">I4-K4</f>
        <v>-4.1612599436396209</v>
      </c>
      <c r="M4" s="71">
        <f t="shared" si="0"/>
        <v>4.1612599436396209</v>
      </c>
      <c r="N4" s="175">
        <f t="shared" si="1"/>
        <v>17.31608431853962</v>
      </c>
      <c r="O4" s="71">
        <f t="shared" ref="O4:O34" si="6">M4/I4</f>
        <v>0.11216334079891162</v>
      </c>
      <c r="P4" s="176"/>
      <c r="Q4" s="166"/>
      <c r="R4" s="175">
        <f t="shared" si="2"/>
        <v>4.4918000725882719</v>
      </c>
      <c r="S4" s="71">
        <f t="shared" si="3"/>
        <v>39.446522524380804</v>
      </c>
      <c r="X4" s="189">
        <v>3</v>
      </c>
      <c r="Y4" s="190">
        <f>SLOPE(F3:F371,E3:E371)</f>
        <v>-4.9417187089717549</v>
      </c>
      <c r="Z4" s="191">
        <f>INTERCEPT(F3:F371,E3:E371)</f>
        <v>51.975304449011269</v>
      </c>
      <c r="AA4" s="327" t="s">
        <v>155</v>
      </c>
    </row>
    <row r="5" spans="1:30">
      <c r="A5" s="162">
        <f>'Q.6a Model 1'!A7</f>
        <v>3.8</v>
      </c>
      <c r="B5" s="162">
        <f>'Q.6a Model 1'!B7</f>
        <v>27.372</v>
      </c>
      <c r="C5" s="163">
        <f>'Q.6a Model 2'!A7</f>
        <v>4.8</v>
      </c>
      <c r="D5" s="163">
        <f>'Q.6a Model 2'!B7</f>
        <v>23.577999999999999</v>
      </c>
      <c r="E5" s="10">
        <f>'Q.6a Model 3'!$A7</f>
        <v>3.6</v>
      </c>
      <c r="F5" s="10">
        <f>'Q.6a Model 3'!$B7</f>
        <v>30.9</v>
      </c>
      <c r="H5" s="214">
        <v>3.6</v>
      </c>
      <c r="I5" s="214">
        <v>30.9</v>
      </c>
      <c r="J5" s="62"/>
      <c r="K5" s="71">
        <f t="shared" si="4"/>
        <v>34.516292506401243</v>
      </c>
      <c r="L5" s="71">
        <f t="shared" si="5"/>
        <v>-3.6162925064012441</v>
      </c>
      <c r="M5" s="71">
        <f t="shared" si="0"/>
        <v>3.6162925064012441</v>
      </c>
      <c r="N5" s="175">
        <f t="shared" si="1"/>
        <v>13.077571491853792</v>
      </c>
      <c r="O5" s="71">
        <f t="shared" si="6"/>
        <v>0.11703211994826034</v>
      </c>
      <c r="P5" s="176"/>
      <c r="Q5" s="166"/>
      <c r="R5" s="175">
        <f t="shared" si="2"/>
        <v>16.65140473383487</v>
      </c>
      <c r="S5" s="71">
        <f t="shared" si="3"/>
        <v>0.21559377999002097</v>
      </c>
      <c r="X5" s="192"/>
      <c r="Y5" s="193"/>
      <c r="Z5" s="194"/>
      <c r="AA5" s="245"/>
    </row>
    <row r="6" spans="1:30">
      <c r="A6" s="162">
        <f>'Q.6a Model 1'!A8</f>
        <v>3.7</v>
      </c>
      <c r="B6" s="162">
        <f>'Q.6a Model 1'!B8</f>
        <v>27.8</v>
      </c>
      <c r="C6" s="163">
        <f>'Q.6a Model 2'!A8</f>
        <v>5.3</v>
      </c>
      <c r="D6" s="163">
        <f>'Q.6a Model 2'!B8</f>
        <v>29.0185</v>
      </c>
      <c r="E6" s="10">
        <f>'Q.6a Model 3'!$A8</f>
        <v>2.4</v>
      </c>
      <c r="F6" s="10">
        <f>'Q.6a Model 3'!$B8</f>
        <v>48.1</v>
      </c>
      <c r="H6" s="214">
        <v>2.4</v>
      </c>
      <c r="I6" s="214">
        <v>48.1</v>
      </c>
      <c r="J6" s="62"/>
      <c r="K6" s="71">
        <f t="shared" si="4"/>
        <v>39.575018084330026</v>
      </c>
      <c r="L6" s="71">
        <f t="shared" si="5"/>
        <v>8.5249819156699758</v>
      </c>
      <c r="M6" s="71">
        <f t="shared" si="0"/>
        <v>8.5249819156699758</v>
      </c>
      <c r="N6" s="175">
        <f t="shared" si="1"/>
        <v>72.675316662500123</v>
      </c>
      <c r="O6" s="71">
        <f t="shared" si="6"/>
        <v>0.17723455126133006</v>
      </c>
      <c r="P6" s="176"/>
      <c r="Q6" s="166"/>
      <c r="R6" s="175">
        <f t="shared" si="2"/>
        <v>172.11830793166692</v>
      </c>
      <c r="S6" s="71">
        <f t="shared" si="3"/>
        <v>21.10855551401945</v>
      </c>
      <c r="X6" s="186">
        <v>1</v>
      </c>
      <c r="Y6" s="187">
        <f>SLOPE(B3:B371,A3:A371)</f>
        <v>-4.5124073186338576</v>
      </c>
      <c r="Z6" s="188">
        <f>INTERCEPT(B3:B371,A3:A371)</f>
        <v>50.334136237805865</v>
      </c>
      <c r="AA6" s="326" t="s">
        <v>156</v>
      </c>
    </row>
    <row r="7" spans="1:30">
      <c r="A7" s="162">
        <f>'Q.6a Model 1'!A9</f>
        <v>2.5</v>
      </c>
      <c r="B7" s="162">
        <f>'Q.6a Model 1'!B9</f>
        <v>37.799999999999997</v>
      </c>
      <c r="C7" s="163">
        <f>'Q.6a Model 2'!A9</f>
        <v>2.5</v>
      </c>
      <c r="D7" s="163">
        <f>'Q.6a Model 2'!B9</f>
        <v>40.887300000000003</v>
      </c>
      <c r="E7" s="10">
        <f>'Q.6a Model 3'!$A9</f>
        <v>4.8</v>
      </c>
      <c r="F7" s="10">
        <f>'Q.6a Model 3'!$B9</f>
        <v>30.537500000000001</v>
      </c>
      <c r="H7" s="214">
        <v>4.8</v>
      </c>
      <c r="I7" s="214">
        <v>30.537500000000001</v>
      </c>
      <c r="J7" s="62"/>
      <c r="K7" s="71">
        <f t="shared" si="4"/>
        <v>29.457566928472456</v>
      </c>
      <c r="L7" s="71">
        <f t="shared" si="5"/>
        <v>1.0799330715275453</v>
      </c>
      <c r="M7" s="71">
        <f t="shared" si="0"/>
        <v>1.0799330715275453</v>
      </c>
      <c r="N7" s="175">
        <f t="shared" si="1"/>
        <v>1.1662554389789181</v>
      </c>
      <c r="O7" s="71">
        <f t="shared" si="6"/>
        <v>3.5364161163407126E-2</v>
      </c>
      <c r="P7" s="176"/>
      <c r="Q7" s="166"/>
      <c r="R7" s="175">
        <f t="shared" si="2"/>
        <v>19.741255611206117</v>
      </c>
      <c r="S7" s="71">
        <f t="shared" si="3"/>
        <v>30.504040991542428</v>
      </c>
      <c r="X7" s="189">
        <v>3</v>
      </c>
      <c r="Y7" s="190">
        <f>SLOPE(F3:F371,E3:E371)</f>
        <v>-4.9417187089717549</v>
      </c>
      <c r="Z7" s="191">
        <f>INTERCEPT(F3:F371,E3:E371)</f>
        <v>51.975304449011269</v>
      </c>
      <c r="AA7" s="326" t="s">
        <v>156</v>
      </c>
    </row>
    <row r="8" spans="1:30">
      <c r="A8" s="162">
        <f>'Q.6a Model 1'!A10</f>
        <v>4.4000000000000004</v>
      </c>
      <c r="B8" s="162">
        <f>'Q.6a Model 1'!B10</f>
        <v>30.562000000000001</v>
      </c>
      <c r="C8" s="163">
        <f>'Q.6a Model 2'!A10</f>
        <v>5.3</v>
      </c>
      <c r="D8" s="163">
        <f>'Q.6a Model 2'!B10</f>
        <v>29</v>
      </c>
      <c r="E8" s="10">
        <f>'Q.6a Model 3'!$A10</f>
        <v>5</v>
      </c>
      <c r="F8" s="10">
        <f>'Q.6a Model 3'!$B10</f>
        <v>23.7</v>
      </c>
      <c r="H8" s="214">
        <v>5</v>
      </c>
      <c r="I8" s="214">
        <v>23.7</v>
      </c>
      <c r="J8" s="62"/>
      <c r="K8" s="71">
        <f t="shared" si="4"/>
        <v>28.614445998817658</v>
      </c>
      <c r="L8" s="71">
        <f t="shared" si="5"/>
        <v>-4.9144459988176585</v>
      </c>
      <c r="M8" s="71">
        <f t="shared" si="0"/>
        <v>4.9144459988176585</v>
      </c>
      <c r="N8" s="175">
        <f t="shared" si="1"/>
        <v>24.151779475294894</v>
      </c>
      <c r="O8" s="71">
        <f t="shared" si="6"/>
        <v>0.20736059066741175</v>
      </c>
      <c r="P8" s="176"/>
      <c r="Q8" s="166"/>
      <c r="R8" s="175">
        <f t="shared" si="2"/>
        <v>127.25223595334705</v>
      </c>
      <c r="S8" s="71">
        <f t="shared" si="3"/>
        <v>40.528085840954965</v>
      </c>
      <c r="X8" s="192"/>
      <c r="Y8" s="193"/>
      <c r="Z8" s="194"/>
      <c r="AA8" s="245"/>
    </row>
    <row r="9" spans="1:30">
      <c r="A9" s="162">
        <f>'Q.6a Model 1'!A11</f>
        <v>2.4</v>
      </c>
      <c r="B9" s="162">
        <f>'Q.6a Model 1'!B11</f>
        <v>38.6</v>
      </c>
      <c r="C9" s="163">
        <f>'Q.6a Model 2'!A11</f>
        <v>3.5</v>
      </c>
      <c r="D9" s="163">
        <f>'Q.6a Model 2'!B11</f>
        <v>32.1</v>
      </c>
      <c r="E9" s="10">
        <f>'Q.6a Model 3'!$A11</f>
        <v>4.7</v>
      </c>
      <c r="F9" s="10">
        <f>'Q.6a Model 3'!$B11</f>
        <v>25.510200000000001</v>
      </c>
      <c r="H9" s="214">
        <v>4.7</v>
      </c>
      <c r="I9" s="214">
        <v>25.510200000000001</v>
      </c>
      <c r="J9" s="62"/>
      <c r="K9" s="71">
        <f t="shared" si="4"/>
        <v>29.879127393299854</v>
      </c>
      <c r="L9" s="71">
        <f t="shared" si="5"/>
        <v>-4.3689273932998525</v>
      </c>
      <c r="M9" s="71">
        <f t="shared" si="0"/>
        <v>4.3689273932998525</v>
      </c>
      <c r="N9" s="175">
        <f t="shared" si="1"/>
        <v>19.087526567925845</v>
      </c>
      <c r="O9" s="71">
        <f t="shared" si="6"/>
        <v>0.17126198121927119</v>
      </c>
      <c r="P9" s="176"/>
      <c r="Q9" s="166"/>
      <c r="R9" s="175">
        <f t="shared" si="2"/>
        <v>89.688727677574661</v>
      </c>
      <c r="S9" s="71">
        <f t="shared" si="3"/>
        <v>26.025158243352656</v>
      </c>
      <c r="X9" s="186">
        <v>1</v>
      </c>
      <c r="Y9" s="187">
        <f>SLOPE(B3:B371,A3:A371)</f>
        <v>-4.5124073186338576</v>
      </c>
      <c r="Z9" s="188">
        <f>INTERCEPT(B3:B371,A3:A371)</f>
        <v>50.334136237805865</v>
      </c>
      <c r="AA9" s="328" t="s">
        <v>157</v>
      </c>
    </row>
    <row r="10" spans="1:30" ht="15.75" thickBot="1">
      <c r="A10" s="162">
        <f>'Q.6a Model 1'!A12</f>
        <v>4.5</v>
      </c>
      <c r="B10" s="162">
        <f>'Q.6a Model 1'!B12</f>
        <v>27.2</v>
      </c>
      <c r="C10" s="163">
        <f>'Q.6a Model 2'!A12</f>
        <v>2</v>
      </c>
      <c r="D10" s="163">
        <f>'Q.6a Model 2'!B12</f>
        <v>40.239699999999999</v>
      </c>
      <c r="E10" s="10">
        <f>'Q.6a Model 3'!$A12</f>
        <v>2.5</v>
      </c>
      <c r="F10" s="10">
        <f>'Q.6a Model 3'!$B12</f>
        <v>51.6</v>
      </c>
      <c r="H10" s="214">
        <v>2.5</v>
      </c>
      <c r="I10" s="214">
        <v>51.6</v>
      </c>
      <c r="J10" s="62"/>
      <c r="K10" s="71">
        <f t="shared" si="4"/>
        <v>39.153457619502632</v>
      </c>
      <c r="L10" s="71">
        <f t="shared" si="5"/>
        <v>12.44654238049737</v>
      </c>
      <c r="M10" s="71">
        <f t="shared" si="0"/>
        <v>12.44654238049737</v>
      </c>
      <c r="N10" s="175">
        <f t="shared" si="1"/>
        <v>154.91641722951712</v>
      </c>
      <c r="O10" s="71">
        <f t="shared" si="6"/>
        <v>0.24121206163754591</v>
      </c>
      <c r="P10" s="176"/>
      <c r="Q10" s="166"/>
      <c r="R10" s="175">
        <f t="shared" si="2"/>
        <v>276.20401497773742</v>
      </c>
      <c r="S10" s="71">
        <f t="shared" si="3"/>
        <v>17.412629888956623</v>
      </c>
      <c r="X10" s="180">
        <v>2</v>
      </c>
      <c r="Y10" s="181">
        <f>SLOPE(D3:D371,C3:C371)</f>
        <v>-4.2156046482739882</v>
      </c>
      <c r="Z10" s="182">
        <f>INTERCEPT(D3:D371,C3:C371)</f>
        <v>49.692469240187599</v>
      </c>
      <c r="AA10" s="328" t="s">
        <v>157</v>
      </c>
    </row>
    <row r="11" spans="1:30" ht="15.75" thickBot="1">
      <c r="A11" s="162">
        <f>'Q.6a Model 1'!A13</f>
        <v>3.6</v>
      </c>
      <c r="B11" s="162">
        <f>'Q.6a Model 1'!B13</f>
        <v>37</v>
      </c>
      <c r="C11" s="163">
        <f>'Q.6a Model 2'!A13</f>
        <v>5.3</v>
      </c>
      <c r="D11" s="163">
        <f>'Q.6a Model 2'!B13</f>
        <v>23.299900000000001</v>
      </c>
      <c r="E11" s="10">
        <f>'Q.6a Model 3'!$A13</f>
        <v>1.8</v>
      </c>
      <c r="F11" s="10">
        <f>'Q.6a Model 3'!$B13</f>
        <v>50</v>
      </c>
      <c r="H11" s="214">
        <v>1.8</v>
      </c>
      <c r="I11" s="214">
        <v>50</v>
      </c>
      <c r="J11" s="62"/>
      <c r="K11" s="71">
        <f t="shared" si="4"/>
        <v>42.104380873294417</v>
      </c>
      <c r="L11" s="71">
        <f t="shared" si="5"/>
        <v>7.8956191267055829</v>
      </c>
      <c r="M11" s="71">
        <f t="shared" si="0"/>
        <v>7.8956191267055829</v>
      </c>
      <c r="N11" s="175">
        <f t="shared" si="1"/>
        <v>62.34080139399903</v>
      </c>
      <c r="O11" s="71">
        <f t="shared" si="6"/>
        <v>0.15791238253411166</v>
      </c>
      <c r="P11" s="176"/>
      <c r="Q11" s="166"/>
      <c r="R11" s="175">
        <f t="shared" si="2"/>
        <v>225.5819774709623</v>
      </c>
      <c r="S11" s="71">
        <f t="shared" si="3"/>
        <v>50.748064735627338</v>
      </c>
      <c r="X11" s="333" t="s">
        <v>127</v>
      </c>
      <c r="Y11" s="334">
        <f>AVERAGE(Y6,Y3,Y4)</f>
        <v>-4.5565768919598675</v>
      </c>
      <c r="Z11" s="334">
        <f>AVERAGE(Z6,Z3,Z4)</f>
        <v>50.667303309001575</v>
      </c>
      <c r="AA11" s="335" t="s">
        <v>168</v>
      </c>
    </row>
    <row r="12" spans="1:30">
      <c r="A12" s="162">
        <f>'Q.6a Model 1'!A14</f>
        <v>2.4</v>
      </c>
      <c r="B12" s="162">
        <f>'Q.6a Model 1'!B14</f>
        <v>36.262799999999999</v>
      </c>
      <c r="C12" s="163">
        <f>'Q.6a Model 2'!A14</f>
        <v>2.9</v>
      </c>
      <c r="D12" s="163">
        <f>'Q.6a Model 2'!B14</f>
        <v>35.5</v>
      </c>
      <c r="E12" s="10">
        <f>'Q.6a Model 3'!$A14</f>
        <v>2.5</v>
      </c>
      <c r="F12" s="10">
        <f>'Q.6a Model 3'!$B14</f>
        <v>38.6</v>
      </c>
      <c r="H12" s="214">
        <v>2.5</v>
      </c>
      <c r="I12" s="214">
        <v>38.6</v>
      </c>
      <c r="J12" s="62"/>
      <c r="K12" s="71">
        <f t="shared" si="4"/>
        <v>39.153457619502632</v>
      </c>
      <c r="L12" s="71">
        <f t="shared" si="5"/>
        <v>-0.55345761950263039</v>
      </c>
      <c r="M12" s="71">
        <f t="shared" si="0"/>
        <v>0.55345761950263039</v>
      </c>
      <c r="N12" s="175">
        <f t="shared" si="1"/>
        <v>0.30631533658551841</v>
      </c>
      <c r="O12" s="71">
        <f t="shared" si="6"/>
        <v>1.4338280297995606E-2</v>
      </c>
      <c r="P12" s="176"/>
      <c r="Q12" s="166"/>
      <c r="R12" s="175">
        <f t="shared" si="2"/>
        <v>13.099960235189908</v>
      </c>
      <c r="S12" s="71">
        <f t="shared" si="3"/>
        <v>17.412629888956623</v>
      </c>
    </row>
    <row r="13" spans="1:30">
      <c r="A13" s="162">
        <f>'Q.6a Model 1'!A15</f>
        <v>3</v>
      </c>
      <c r="B13" s="162">
        <f>'Q.6a Model 1'!B15</f>
        <v>35.540399999999998</v>
      </c>
      <c r="C13" s="163">
        <f>'Q.6a Model 2'!A15</f>
        <v>2.7</v>
      </c>
      <c r="D13" s="163">
        <f>'Q.6a Model 2'!B15</f>
        <v>37.799999999999997</v>
      </c>
      <c r="E13" s="10">
        <f>'Q.6a Model 3'!$A15</f>
        <v>3.6</v>
      </c>
      <c r="F13" s="10">
        <f>'Q.6a Model 3'!$B15</f>
        <v>33</v>
      </c>
      <c r="H13" s="214">
        <v>3.6</v>
      </c>
      <c r="I13" s="214">
        <v>33</v>
      </c>
      <c r="J13" s="62"/>
      <c r="K13" s="71">
        <f t="shared" si="4"/>
        <v>34.516292506401243</v>
      </c>
      <c r="L13" s="71">
        <f t="shared" si="5"/>
        <v>-1.5162925064012427</v>
      </c>
      <c r="M13" s="71">
        <f t="shared" si="0"/>
        <v>1.5162925064012427</v>
      </c>
      <c r="N13" s="175">
        <f t="shared" si="1"/>
        <v>2.2991429649685626</v>
      </c>
      <c r="O13" s="71">
        <f t="shared" si="6"/>
        <v>4.5948257769734629E-2</v>
      </c>
      <c r="P13" s="176"/>
      <c r="Q13" s="166"/>
      <c r="R13" s="175">
        <f t="shared" si="2"/>
        <v>3.9228289614771419</v>
      </c>
      <c r="S13" s="71">
        <f t="shared" si="3"/>
        <v>0.21559377999002097</v>
      </c>
      <c r="X13" s="195"/>
      <c r="Y13" s="195"/>
      <c r="Z13" s="195"/>
    </row>
    <row r="14" spans="1:30" ht="15.75" thickBot="1">
      <c r="A14" s="162">
        <f>'Q.6a Model 1'!A16</f>
        <v>4.7</v>
      </c>
      <c r="B14" s="162">
        <f>'Q.6a Model 1'!B16</f>
        <v>25.6</v>
      </c>
      <c r="C14" s="163">
        <f>'Q.6a Model 2'!A16</f>
        <v>2.4</v>
      </c>
      <c r="D14" s="163">
        <f>'Q.6a Model 2'!B16</f>
        <v>40</v>
      </c>
      <c r="E14" s="10">
        <f>'Q.6a Model 3'!$A16</f>
        <v>4</v>
      </c>
      <c r="F14" s="10">
        <f>'Q.6a Model 3'!$B16</f>
        <v>25.7499</v>
      </c>
      <c r="H14" s="214">
        <v>4</v>
      </c>
      <c r="I14" s="214">
        <v>25.7499</v>
      </c>
      <c r="J14" s="62"/>
      <c r="K14" s="71">
        <f t="shared" si="4"/>
        <v>32.830050647091646</v>
      </c>
      <c r="L14" s="71">
        <f t="shared" si="5"/>
        <v>-7.0801506470916458</v>
      </c>
      <c r="M14" s="71">
        <f t="shared" si="0"/>
        <v>7.0801506470916458</v>
      </c>
      <c r="N14" s="175">
        <f t="shared" si="1"/>
        <v>50.128533185512254</v>
      </c>
      <c r="O14" s="71">
        <f t="shared" si="6"/>
        <v>0.27495837448268329</v>
      </c>
      <c r="P14" s="176"/>
      <c r="Q14" s="166"/>
      <c r="R14" s="175">
        <f t="shared" si="2"/>
        <v>85.20606764155842</v>
      </c>
      <c r="S14" s="71">
        <f t="shared" si="3"/>
        <v>4.6249196343317314</v>
      </c>
      <c r="U14"/>
      <c r="V14"/>
      <c r="W14"/>
      <c r="X14" s="183"/>
      <c r="Y14" s="183"/>
      <c r="Z14" s="183"/>
    </row>
    <row r="15" spans="1:30">
      <c r="A15" s="162">
        <f>'Q.6a Model 1'!A17</f>
        <v>1.5</v>
      </c>
      <c r="B15" s="162">
        <f>'Q.6a Model 1'!B17</f>
        <v>50.672499999999999</v>
      </c>
      <c r="C15" s="163">
        <f>'Q.6a Model 2'!A17</f>
        <v>4.4000000000000004</v>
      </c>
      <c r="D15" s="163">
        <f>'Q.6a Model 2'!B17</f>
        <v>29.452100000000002</v>
      </c>
      <c r="E15" s="10">
        <f>'Q.6a Model 3'!$A17</f>
        <v>2</v>
      </c>
      <c r="F15" s="10">
        <f>'Q.6a Model 3'!$B17</f>
        <v>60.1</v>
      </c>
      <c r="H15" s="214">
        <v>2</v>
      </c>
      <c r="I15" s="214">
        <v>60.1</v>
      </c>
      <c r="J15" s="62"/>
      <c r="K15" s="71">
        <f t="shared" si="4"/>
        <v>41.261259943639622</v>
      </c>
      <c r="L15" s="71">
        <f t="shared" si="5"/>
        <v>18.838740056360379</v>
      </c>
      <c r="M15" s="71">
        <f t="shared" si="0"/>
        <v>18.838740056360379</v>
      </c>
      <c r="N15" s="175">
        <f t="shared" si="1"/>
        <v>354.89812691111706</v>
      </c>
      <c r="O15" s="71">
        <f t="shared" si="6"/>
        <v>0.31345657331714438</v>
      </c>
      <c r="P15" s="176"/>
      <c r="Q15" s="166"/>
      <c r="R15" s="175">
        <f t="shared" si="2"/>
        <v>630.98358923247997</v>
      </c>
      <c r="S15" s="71">
        <f t="shared" si="3"/>
        <v>39.446522524380804</v>
      </c>
      <c r="W15"/>
      <c r="X15" s="388" t="s">
        <v>159</v>
      </c>
      <c r="Y15" s="389"/>
      <c r="Z15" s="390"/>
    </row>
    <row r="16" spans="1:30">
      <c r="A16" s="162">
        <f>'Q.6a Model 1'!A18</f>
        <v>4.8</v>
      </c>
      <c r="B16" s="162">
        <f>'Q.6a Model 1'!B18</f>
        <v>30.537500000000001</v>
      </c>
      <c r="C16" s="163">
        <f>'Q.6a Model 2'!A18</f>
        <v>2.4</v>
      </c>
      <c r="D16" s="163">
        <f>'Q.6a Model 2'!B18</f>
        <v>46.8</v>
      </c>
      <c r="E16" s="10">
        <f>'Q.6a Model 3'!$A18</f>
        <v>2.4</v>
      </c>
      <c r="F16" s="10">
        <f>'Q.6a Model 3'!$B18</f>
        <v>41.5</v>
      </c>
      <c r="H16" s="214">
        <v>2.4</v>
      </c>
      <c r="I16" s="214">
        <v>41.5</v>
      </c>
      <c r="J16" s="62"/>
      <c r="K16" s="71">
        <f t="shared" si="4"/>
        <v>39.575018084330026</v>
      </c>
      <c r="L16" s="71">
        <f t="shared" si="5"/>
        <v>1.9249819156699743</v>
      </c>
      <c r="M16" s="71">
        <f t="shared" si="0"/>
        <v>1.9249819156699743</v>
      </c>
      <c r="N16" s="175">
        <f t="shared" si="1"/>
        <v>3.7055553756564441</v>
      </c>
      <c r="O16" s="71">
        <f t="shared" si="6"/>
        <v>4.6385106401686131E-2</v>
      </c>
      <c r="P16" s="176"/>
      <c r="Q16" s="166"/>
      <c r="R16" s="175">
        <f t="shared" si="2"/>
        <v>42.502403216219719</v>
      </c>
      <c r="S16" s="71">
        <f t="shared" si="3"/>
        <v>21.10855551401945</v>
      </c>
      <c r="W16"/>
      <c r="X16" s="391"/>
      <c r="Y16" s="392"/>
      <c r="Z16" s="393"/>
    </row>
    <row r="17" spans="1:26" ht="15.75" thickBot="1">
      <c r="A17" s="162">
        <f>'Q.6a Model 1'!A19</f>
        <v>2.4</v>
      </c>
      <c r="B17" s="162">
        <f>'Q.6a Model 1'!B19</f>
        <v>37.976399999999998</v>
      </c>
      <c r="C17" s="163">
        <f>'Q.6a Model 2'!A19</f>
        <v>3</v>
      </c>
      <c r="D17" s="163">
        <f>'Q.6a Model 2'!B19</f>
        <v>34.799999999999997</v>
      </c>
      <c r="E17" s="10">
        <f>'Q.6a Model 3'!$A19</f>
        <v>5.5</v>
      </c>
      <c r="F17" s="10">
        <f>'Q.6a Model 3'!$B19</f>
        <v>29.8</v>
      </c>
      <c r="H17" s="214">
        <v>5.5</v>
      </c>
      <c r="I17" s="214">
        <v>29.8</v>
      </c>
      <c r="J17" s="62"/>
      <c r="K17" s="71">
        <f t="shared" si="4"/>
        <v>26.506643674680664</v>
      </c>
      <c r="L17" s="71">
        <f t="shared" si="5"/>
        <v>3.293356325319337</v>
      </c>
      <c r="M17" s="71">
        <f t="shared" si="0"/>
        <v>3.293356325319337</v>
      </c>
      <c r="N17" s="175">
        <f t="shared" si="1"/>
        <v>10.846195885520887</v>
      </c>
      <c r="O17" s="71">
        <f t="shared" si="6"/>
        <v>0.11051531293017909</v>
      </c>
      <c r="P17" s="176"/>
      <c r="Q17" s="166"/>
      <c r="R17" s="175">
        <f t="shared" si="2"/>
        <v>26.838753947926989</v>
      </c>
      <c r="S17" s="71">
        <f t="shared" si="3"/>
        <v>71.808160857178521</v>
      </c>
      <c r="W17"/>
      <c r="X17" s="394"/>
      <c r="Y17" s="395"/>
      <c r="Z17" s="396"/>
    </row>
    <row r="18" spans="1:26" ht="17.25">
      <c r="A18" s="162">
        <f>'Q.6a Model 1'!A20</f>
        <v>5.3</v>
      </c>
      <c r="B18" s="162">
        <f>'Q.6a Model 1'!B20</f>
        <v>26.6</v>
      </c>
      <c r="C18" s="163">
        <f>'Q.6a Model 2'!A20</f>
        <v>2.5</v>
      </c>
      <c r="D18" s="163">
        <f>'Q.6a Model 2'!B20</f>
        <v>37.6</v>
      </c>
      <c r="E18" s="10">
        <f>'Q.6a Model 3'!$A20</f>
        <v>3.7</v>
      </c>
      <c r="F18" s="10">
        <f>'Q.6a Model 3'!$B20</f>
        <v>34.730499999999999</v>
      </c>
      <c r="H18" s="214">
        <v>3.7</v>
      </c>
      <c r="I18" s="214">
        <v>34.730499999999999</v>
      </c>
      <c r="J18" s="62"/>
      <c r="K18" s="71">
        <f t="shared" si="4"/>
        <v>34.094732041573842</v>
      </c>
      <c r="L18" s="71">
        <f t="shared" si="5"/>
        <v>0.63576795842615752</v>
      </c>
      <c r="M18" s="71">
        <f t="shared" si="0"/>
        <v>0.63576795842615752</v>
      </c>
      <c r="N18" s="175">
        <f t="shared" si="1"/>
        <v>0.40420089696136435</v>
      </c>
      <c r="O18" s="71">
        <f t="shared" si="6"/>
        <v>1.8305753111131643E-2</v>
      </c>
      <c r="P18" s="176"/>
      <c r="Q18" s="166"/>
      <c r="R18" s="175">
        <f t="shared" si="2"/>
        <v>6.2556652398557164E-2</v>
      </c>
      <c r="S18" s="71">
        <f t="shared" si="3"/>
        <v>0.78478556705897329</v>
      </c>
      <c r="X18" s="196" t="s">
        <v>126</v>
      </c>
      <c r="Y18" s="322" t="s">
        <v>54</v>
      </c>
      <c r="Z18" s="323" t="s">
        <v>119</v>
      </c>
    </row>
    <row r="19" spans="1:26">
      <c r="A19" s="162">
        <f>'Q.6a Model 1'!A21</f>
        <v>2</v>
      </c>
      <c r="B19" s="162">
        <f>'Q.6a Model 1'!B21</f>
        <v>47.7</v>
      </c>
      <c r="C19" s="163">
        <f>'Q.6a Model 2'!A21</f>
        <v>3.5</v>
      </c>
      <c r="D19" s="163">
        <f>'Q.6a Model 2'!B21</f>
        <v>36</v>
      </c>
      <c r="E19" s="10">
        <f>'Q.6a Model 3'!$A21</f>
        <v>4.4000000000000004</v>
      </c>
      <c r="F19" s="10">
        <f>'Q.6a Model 3'!$B21</f>
        <v>27.7</v>
      </c>
      <c r="H19" s="214">
        <v>4.4000000000000004</v>
      </c>
      <c r="I19" s="214">
        <v>27.7</v>
      </c>
      <c r="J19" s="62"/>
      <c r="K19" s="71">
        <f t="shared" si="4"/>
        <v>31.143808787782049</v>
      </c>
      <c r="L19" s="71">
        <f t="shared" si="5"/>
        <v>-3.44380878778205</v>
      </c>
      <c r="M19" s="71">
        <f t="shared" si="0"/>
        <v>3.44380878778205</v>
      </c>
      <c r="N19" s="175">
        <f t="shared" si="1"/>
        <v>11.859818966804873</v>
      </c>
      <c r="O19" s="71">
        <f t="shared" si="6"/>
        <v>0.12432522699574187</v>
      </c>
      <c r="P19" s="176"/>
      <c r="Q19" s="166"/>
      <c r="R19" s="175">
        <f t="shared" si="2"/>
        <v>53.007329720284723</v>
      </c>
      <c r="S19" s="71">
        <f t="shared" si="3"/>
        <v>14.721068704849214</v>
      </c>
      <c r="X19" s="200" t="s">
        <v>120</v>
      </c>
      <c r="Y19" s="201">
        <v>10.324132821722854</v>
      </c>
      <c r="Z19" s="202">
        <v>0.56287332776336219</v>
      </c>
    </row>
    <row r="20" spans="1:26">
      <c r="A20" s="162">
        <f>'Q.6a Model 1'!A22</f>
        <v>4</v>
      </c>
      <c r="B20" s="162">
        <f>'Q.6a Model 1'!B22</f>
        <v>24.4</v>
      </c>
      <c r="C20" s="163">
        <f>'Q.6a Model 2'!A22</f>
        <v>2</v>
      </c>
      <c r="D20" s="163">
        <f>'Q.6a Model 2'!B22</f>
        <v>37.798900000000003</v>
      </c>
      <c r="E20" s="10">
        <f>'Q.6a Model 3'!$A22</f>
        <v>2.5</v>
      </c>
      <c r="F20" s="10">
        <f>'Q.6a Model 3'!$B22</f>
        <v>39.375300000000003</v>
      </c>
      <c r="H20" s="214">
        <v>2.5</v>
      </c>
      <c r="I20" s="214">
        <v>39.375300000000003</v>
      </c>
      <c r="J20" s="62"/>
      <c r="K20" s="71">
        <f t="shared" si="4"/>
        <v>39.153457619502632</v>
      </c>
      <c r="L20" s="71">
        <f t="shared" si="5"/>
        <v>0.22184238049737104</v>
      </c>
      <c r="M20" s="71">
        <f t="shared" si="0"/>
        <v>0.22184238049737104</v>
      </c>
      <c r="N20" s="175">
        <f t="shared" si="1"/>
        <v>4.9214041784740349E-2</v>
      </c>
      <c r="O20" s="71">
        <f t="shared" si="6"/>
        <v>5.6340492770181059E-3</v>
      </c>
      <c r="P20" s="176"/>
      <c r="Q20" s="166"/>
      <c r="R20" s="175">
        <f t="shared" si="2"/>
        <v>19.313271374566618</v>
      </c>
      <c r="S20" s="71">
        <f t="shared" si="3"/>
        <v>17.412629888956623</v>
      </c>
      <c r="X20" s="200" t="s">
        <v>121</v>
      </c>
      <c r="Y20" s="201">
        <v>10.200307623028547</v>
      </c>
      <c r="Z20" s="202">
        <v>0.77013052902427981</v>
      </c>
    </row>
    <row r="21" spans="1:26">
      <c r="A21" s="162">
        <f>'Q.6a Model 1'!A23</f>
        <v>4.3</v>
      </c>
      <c r="B21" s="162">
        <f>'Q.6a Model 1'!B23</f>
        <v>31.6</v>
      </c>
      <c r="C21" s="163">
        <f>'Q.6a Model 2'!A23</f>
        <v>1.6</v>
      </c>
      <c r="D21" s="163">
        <f>'Q.6a Model 2'!B23</f>
        <v>47.3</v>
      </c>
      <c r="E21" s="10">
        <f>'Q.6a Model 3'!$A23</f>
        <v>2.5</v>
      </c>
      <c r="F21" s="10">
        <f>'Q.6a Model 3'!$B23</f>
        <v>36.030700000000003</v>
      </c>
      <c r="H21" s="214">
        <v>2.5</v>
      </c>
      <c r="I21" s="214">
        <v>36.030700000000003</v>
      </c>
      <c r="J21" s="62"/>
      <c r="K21" s="71">
        <f t="shared" si="4"/>
        <v>39.153457619502632</v>
      </c>
      <c r="L21" s="71">
        <f t="shared" si="5"/>
        <v>-3.1227576195026288</v>
      </c>
      <c r="M21" s="71">
        <f t="shared" si="0"/>
        <v>3.1227576195026288</v>
      </c>
      <c r="N21" s="175">
        <f t="shared" si="1"/>
        <v>9.7516151501617241</v>
      </c>
      <c r="O21" s="71">
        <f t="shared" si="6"/>
        <v>8.666935750631069E-2</v>
      </c>
      <c r="P21" s="176"/>
      <c r="Q21" s="166"/>
      <c r="R21" s="175">
        <f t="shared" si="2"/>
        <v>1.1026821213416569</v>
      </c>
      <c r="S21" s="71">
        <f t="shared" si="3"/>
        <v>17.412629888956623</v>
      </c>
      <c r="X21" s="197" t="s">
        <v>122</v>
      </c>
      <c r="Y21" s="198">
        <v>10.626588289684642</v>
      </c>
      <c r="Z21" s="199">
        <v>0.68202231525796697</v>
      </c>
    </row>
    <row r="22" spans="1:26">
      <c r="A22" s="162">
        <f>'Q.6a Model 1'!A24</f>
        <v>2.5</v>
      </c>
      <c r="B22" s="162">
        <f>'Q.6a Model 1'!B24</f>
        <v>37.5</v>
      </c>
      <c r="C22" s="163">
        <f>'Q.6a Model 2'!A24</f>
        <v>3.6</v>
      </c>
      <c r="D22" s="163">
        <f>'Q.6a Model 2'!B24</f>
        <v>31</v>
      </c>
      <c r="E22" s="10">
        <f>'Q.6a Model 3'!$A24</f>
        <v>2</v>
      </c>
      <c r="F22" s="10">
        <f>'Q.6a Model 3'!$B24</f>
        <v>38.200000000000003</v>
      </c>
      <c r="H22" s="214">
        <v>2</v>
      </c>
      <c r="I22" s="214">
        <v>38.200000000000003</v>
      </c>
      <c r="J22" s="62"/>
      <c r="K22" s="71">
        <f t="shared" si="4"/>
        <v>41.261259943639622</v>
      </c>
      <c r="L22" s="71">
        <f t="shared" si="5"/>
        <v>-3.0612599436396195</v>
      </c>
      <c r="M22" s="71">
        <f t="shared" si="0"/>
        <v>3.0612599436396195</v>
      </c>
      <c r="N22" s="175">
        <f t="shared" si="1"/>
        <v>9.3713124425324459</v>
      </c>
      <c r="O22" s="71">
        <f t="shared" si="6"/>
        <v>8.0137694859675895E-2</v>
      </c>
      <c r="P22" s="176"/>
      <c r="Q22" s="166"/>
      <c r="R22" s="175">
        <f t="shared" si="2"/>
        <v>10.364450858496147</v>
      </c>
      <c r="S22" s="71">
        <f t="shared" si="3"/>
        <v>39.446522524380804</v>
      </c>
      <c r="X22" s="197" t="s">
        <v>123</v>
      </c>
      <c r="Y22" s="198">
        <v>10.907951859765051</v>
      </c>
      <c r="Z22" s="199">
        <v>0.81611945604801583</v>
      </c>
    </row>
    <row r="23" spans="1:26">
      <c r="A23" s="162">
        <f>'Q.6a Model 1'!A25</f>
        <v>1.6</v>
      </c>
      <c r="B23" s="162">
        <f>'Q.6a Model 1'!B25</f>
        <v>44.571399999999997</v>
      </c>
      <c r="C23" s="163">
        <f>'Q.6a Model 2'!A25</f>
        <v>8.4</v>
      </c>
      <c r="D23" s="163">
        <f>'Q.6a Model 2'!B25</f>
        <v>30</v>
      </c>
      <c r="E23" s="10">
        <f>'Q.6a Model 3'!$A25</f>
        <v>2.5</v>
      </c>
      <c r="F23" s="10">
        <f>'Q.6a Model 3'!$B25</f>
        <v>39.571399999999997</v>
      </c>
      <c r="H23" s="214">
        <v>2.5</v>
      </c>
      <c r="I23" s="214">
        <v>39.571399999999997</v>
      </c>
      <c r="J23" s="62"/>
      <c r="K23" s="71">
        <f t="shared" si="4"/>
        <v>39.153457619502632</v>
      </c>
      <c r="L23" s="71">
        <f t="shared" si="5"/>
        <v>0.41794238049736521</v>
      </c>
      <c r="M23" s="71">
        <f t="shared" si="0"/>
        <v>0.41794238049736521</v>
      </c>
      <c r="N23" s="175">
        <f t="shared" si="1"/>
        <v>0.17467583341580439</v>
      </c>
      <c r="O23" s="71">
        <f t="shared" si="6"/>
        <v>1.0561728432589325E-2</v>
      </c>
      <c r="P23" s="176"/>
      <c r="Q23" s="166"/>
      <c r="R23" s="175">
        <f t="shared" si="2"/>
        <v>21.075322716490685</v>
      </c>
      <c r="S23" s="71">
        <f t="shared" si="3"/>
        <v>17.412629888956623</v>
      </c>
      <c r="X23" s="203" t="s">
        <v>124</v>
      </c>
      <c r="Y23" s="204">
        <v>10.246221973749487</v>
      </c>
      <c r="Z23" s="205">
        <v>0.53000394289818786</v>
      </c>
    </row>
    <row r="24" spans="1:26">
      <c r="A24" s="162">
        <f>'Q.6a Model 1'!A26</f>
        <v>2.4</v>
      </c>
      <c r="B24" s="162">
        <f>'Q.6a Model 1'!B26</f>
        <v>33.6</v>
      </c>
      <c r="C24" s="163">
        <f>'Q.6a Model 2'!A26</f>
        <v>3.6</v>
      </c>
      <c r="D24" s="163">
        <f>'Q.6a Model 2'!B26</f>
        <v>36.439500000000002</v>
      </c>
      <c r="E24" s="10">
        <f>'Q.6a Model 3'!$A26</f>
        <v>3.9</v>
      </c>
      <c r="F24" s="10">
        <f>'Q.6a Model 3'!$B26</f>
        <v>37.299999999999997</v>
      </c>
      <c r="H24" s="214">
        <v>3.9</v>
      </c>
      <c r="I24" s="214">
        <v>37.299999999999997</v>
      </c>
      <c r="J24" s="62"/>
      <c r="K24" s="71">
        <f t="shared" si="4"/>
        <v>33.251611111919047</v>
      </c>
      <c r="L24" s="71">
        <f t="shared" si="5"/>
        <v>4.0483888880809502</v>
      </c>
      <c r="M24" s="71">
        <f t="shared" si="0"/>
        <v>4.0483888880809502</v>
      </c>
      <c r="N24" s="175">
        <f t="shared" si="1"/>
        <v>16.389452589137314</v>
      </c>
      <c r="O24" s="71">
        <f t="shared" si="6"/>
        <v>0.10853589512281368</v>
      </c>
      <c r="P24" s="176"/>
      <c r="Q24" s="144"/>
      <c r="R24" s="175">
        <f t="shared" si="2"/>
        <v>5.3795547609351368</v>
      </c>
      <c r="S24" s="71">
        <f t="shared" si="3"/>
        <v>2.9894484942298192</v>
      </c>
      <c r="X24" s="203" t="s">
        <v>125</v>
      </c>
      <c r="Y24" s="204">
        <v>10.510230094923276</v>
      </c>
      <c r="Z24" s="205">
        <v>0.46296146019414286</v>
      </c>
    </row>
    <row r="25" spans="1:26" ht="15.75" thickBot="1">
      <c r="A25" s="162">
        <f>'Q.6a Model 1'!A27</f>
        <v>3</v>
      </c>
      <c r="B25" s="162">
        <f>'Q.6a Model 1'!B27</f>
        <v>39.710299999999997</v>
      </c>
      <c r="C25" s="163">
        <f>'Q.6a Model 2'!A27</f>
        <v>3.8</v>
      </c>
      <c r="D25" s="163">
        <f>'Q.6a Model 2'!B27</f>
        <v>33.164900000000003</v>
      </c>
      <c r="E25" s="10">
        <f>'Q.6a Model 3'!$A27</f>
        <v>3.5</v>
      </c>
      <c r="F25" s="10">
        <f>'Q.6a Model 3'!$B27</f>
        <v>32.200000000000003</v>
      </c>
      <c r="H25" s="214">
        <v>3.5</v>
      </c>
      <c r="I25" s="214">
        <v>32.200000000000003</v>
      </c>
      <c r="J25" s="62"/>
      <c r="K25" s="71">
        <f t="shared" si="4"/>
        <v>34.937852971228637</v>
      </c>
      <c r="L25" s="71">
        <f t="shared" si="5"/>
        <v>-2.7378529712286337</v>
      </c>
      <c r="M25" s="71">
        <f t="shared" si="0"/>
        <v>2.7378529712286337</v>
      </c>
      <c r="N25" s="175">
        <f t="shared" si="1"/>
        <v>7.4958388920654579</v>
      </c>
      <c r="O25" s="71">
        <f t="shared" si="6"/>
        <v>8.5026489789709114E-2</v>
      </c>
      <c r="P25" s="176"/>
      <c r="Q25" s="144"/>
      <c r="R25" s="175">
        <f t="shared" si="2"/>
        <v>7.7318102080895894</v>
      </c>
      <c r="S25" s="71">
        <f t="shared" si="3"/>
        <v>1.828443932057986E-3</v>
      </c>
      <c r="X25" s="206" t="s">
        <v>127</v>
      </c>
      <c r="Y25" s="207">
        <f>AVERAGE(Y19:Y24)</f>
        <v>10.469238777145641</v>
      </c>
      <c r="Z25" s="208">
        <f>AVERAGE(Z19:Z24)</f>
        <v>0.63735183853099253</v>
      </c>
    </row>
    <row r="26" spans="1:26">
      <c r="A26" s="162">
        <f>'Q.6a Model 1'!A28</f>
        <v>2.2000000000000002</v>
      </c>
      <c r="B26" s="162">
        <f>'Q.6a Model 1'!B28</f>
        <v>42.399099999999997</v>
      </c>
      <c r="C26" s="163">
        <f>'Q.6a Model 2'!A28</f>
        <v>2</v>
      </c>
      <c r="D26" s="163">
        <f>'Q.6a Model 2'!B28</f>
        <v>42.936300000000003</v>
      </c>
      <c r="E26" s="10">
        <f>'Q.6a Model 3'!$A28</f>
        <v>2.5</v>
      </c>
      <c r="F26" s="10">
        <f>'Q.6a Model 3'!$B28</f>
        <v>37</v>
      </c>
      <c r="H26" s="214">
        <v>2.5</v>
      </c>
      <c r="I26" s="214">
        <v>37</v>
      </c>
      <c r="J26" s="62"/>
      <c r="K26" s="71">
        <f t="shared" si="4"/>
        <v>39.153457619502632</v>
      </c>
      <c r="L26" s="71">
        <f t="shared" si="5"/>
        <v>-2.1534576195026318</v>
      </c>
      <c r="M26" s="71">
        <f t="shared" si="0"/>
        <v>2.1534576195026318</v>
      </c>
      <c r="N26" s="175">
        <f t="shared" si="1"/>
        <v>4.6373797189939419</v>
      </c>
      <c r="O26" s="71">
        <f t="shared" si="6"/>
        <v>5.8201557283854913E-2</v>
      </c>
      <c r="P26" s="176"/>
      <c r="Q26" s="144"/>
      <c r="R26" s="175">
        <f t="shared" si="2"/>
        <v>4.0779227284148245</v>
      </c>
      <c r="S26" s="71">
        <f t="shared" si="3"/>
        <v>17.412629888956623</v>
      </c>
    </row>
    <row r="27" spans="1:26">
      <c r="A27" s="162">
        <f>'Q.6a Model 1'!A29</f>
        <v>5.7</v>
      </c>
      <c r="B27" s="162">
        <f>'Q.6a Model 1'!B29</f>
        <v>33.6</v>
      </c>
      <c r="C27" s="163">
        <f>'Q.6a Model 2'!A29</f>
        <v>3.5</v>
      </c>
      <c r="D27" s="163">
        <f>'Q.6a Model 2'!B29</f>
        <v>34.1997</v>
      </c>
      <c r="E27" s="10">
        <f>'Q.6a Model 3'!$A29</f>
        <v>3</v>
      </c>
      <c r="F27" s="10">
        <f>'Q.6a Model 3'!$B29</f>
        <v>29.5</v>
      </c>
      <c r="H27" s="214">
        <v>3</v>
      </c>
      <c r="I27" s="214">
        <v>29.5</v>
      </c>
      <c r="J27" s="62"/>
      <c r="K27" s="71">
        <f t="shared" si="4"/>
        <v>37.045655295365634</v>
      </c>
      <c r="L27" s="71">
        <f t="shared" si="5"/>
        <v>-7.5456552953656342</v>
      </c>
      <c r="M27" s="71">
        <f t="shared" si="0"/>
        <v>7.5456552953656342</v>
      </c>
      <c r="N27" s="175">
        <f t="shared" si="1"/>
        <v>56.936913836479434</v>
      </c>
      <c r="O27" s="71">
        <f t="shared" si="6"/>
        <v>0.25578492526663166</v>
      </c>
      <c r="P27" s="176"/>
      <c r="Q27" s="144"/>
      <c r="R27" s="175">
        <f t="shared" si="2"/>
        <v>30.037121915406669</v>
      </c>
      <c r="S27" s="71">
        <f t="shared" si="3"/>
        <v>4.2643985288070114</v>
      </c>
    </row>
    <row r="28" spans="1:26">
      <c r="A28" s="162">
        <f>'Q.6a Model 1'!A30</f>
        <v>5.6</v>
      </c>
      <c r="B28" s="162">
        <f>'Q.6a Model 1'!B30</f>
        <v>23.110900000000001</v>
      </c>
      <c r="C28" s="163">
        <f>'Q.6a Model 2'!A30</f>
        <v>5</v>
      </c>
      <c r="D28" s="163">
        <f>'Q.6a Model 2'!B30</f>
        <v>23.618200000000002</v>
      </c>
      <c r="E28" s="10">
        <f>'Q.6a Model 3'!$A30</f>
        <v>3.7</v>
      </c>
      <c r="F28" s="10">
        <f>'Q.6a Model 3'!$B30</f>
        <v>28.1</v>
      </c>
      <c r="H28" s="214">
        <v>3.7</v>
      </c>
      <c r="I28" s="214">
        <v>28.1</v>
      </c>
      <c r="J28" s="62"/>
      <c r="K28" s="71">
        <f t="shared" si="4"/>
        <v>34.094732041573842</v>
      </c>
      <c r="L28" s="71">
        <f t="shared" si="5"/>
        <v>-5.9947320415738403</v>
      </c>
      <c r="M28" s="71">
        <f t="shared" si="0"/>
        <v>5.9947320415738403</v>
      </c>
      <c r="N28" s="175">
        <f t="shared" si="1"/>
        <v>35.936812250272062</v>
      </c>
      <c r="O28" s="71">
        <f t="shared" si="6"/>
        <v>0.2133356598424854</v>
      </c>
      <c r="P28" s="176"/>
      <c r="Q28" s="144"/>
      <c r="R28" s="175">
        <f t="shared" si="2"/>
        <v>47.342839096978459</v>
      </c>
      <c r="S28" s="71">
        <f t="shared" si="3"/>
        <v>0.78478556705897329</v>
      </c>
    </row>
    <row r="29" spans="1:26">
      <c r="A29" s="162">
        <f>'Q.6a Model 1'!A31</f>
        <v>3.5</v>
      </c>
      <c r="B29" s="162">
        <f>'Q.6a Model 1'!B31</f>
        <v>40.299999999999997</v>
      </c>
      <c r="C29" s="163">
        <f>'Q.6a Model 2'!A31</f>
        <v>6</v>
      </c>
      <c r="D29" s="163">
        <f>'Q.6a Model 2'!B31</f>
        <v>30.5</v>
      </c>
      <c r="E29" s="10">
        <f>'Q.6a Model 3'!$A31</f>
        <v>3.5</v>
      </c>
      <c r="F29" s="10">
        <f>'Q.6a Model 3'!$B31</f>
        <v>30.380500000000001</v>
      </c>
      <c r="H29" s="214">
        <v>3.5</v>
      </c>
      <c r="I29" s="214">
        <v>30.380500000000001</v>
      </c>
      <c r="J29" s="62"/>
      <c r="K29" s="71">
        <f t="shared" si="4"/>
        <v>34.937852971228637</v>
      </c>
      <c r="L29" s="71">
        <f t="shared" si="5"/>
        <v>-4.5573529712286351</v>
      </c>
      <c r="M29" s="71">
        <f t="shared" si="0"/>
        <v>4.5573529712286351</v>
      </c>
      <c r="N29" s="175">
        <f t="shared" si="1"/>
        <v>20.769466104366469</v>
      </c>
      <c r="O29" s="71">
        <f t="shared" si="6"/>
        <v>0.15000914965944059</v>
      </c>
      <c r="P29" s="176"/>
      <c r="Q29" s="144"/>
      <c r="R29" s="175">
        <f t="shared" si="2"/>
        <v>21.161042180853816</v>
      </c>
      <c r="S29" s="71">
        <f t="shared" si="3"/>
        <v>1.828443932057986E-3</v>
      </c>
    </row>
    <row r="30" spans="1:26">
      <c r="A30" s="162">
        <f>'Q.6a Model 1'!A32</f>
        <v>1.8</v>
      </c>
      <c r="B30" s="162">
        <f>'Q.6a Model 1'!B32</f>
        <v>43.628999999999998</v>
      </c>
      <c r="C30" s="163">
        <f>'Q.6a Model 2'!A32</f>
        <v>2.4</v>
      </c>
      <c r="D30" s="163">
        <f>'Q.6a Model 2'!B32</f>
        <v>42.2</v>
      </c>
      <c r="E30" s="10">
        <f>'Q.6a Model 3'!$A32</f>
        <v>3.5</v>
      </c>
      <c r="F30" s="10">
        <f>'Q.6a Model 3'!$B32</f>
        <v>41.2</v>
      </c>
      <c r="H30" s="214">
        <v>3.5</v>
      </c>
      <c r="I30" s="214">
        <v>41.2</v>
      </c>
      <c r="J30" s="62"/>
      <c r="K30" s="71">
        <f t="shared" si="4"/>
        <v>34.937852971228637</v>
      </c>
      <c r="L30" s="71">
        <f t="shared" si="5"/>
        <v>6.2621470287713663</v>
      </c>
      <c r="M30" s="71">
        <f t="shared" si="0"/>
        <v>6.2621470287713663</v>
      </c>
      <c r="N30" s="175">
        <f t="shared" si="1"/>
        <v>39.214485409950051</v>
      </c>
      <c r="O30" s="71">
        <f t="shared" si="6"/>
        <v>0.15199385992163508</v>
      </c>
      <c r="P30" s="176"/>
      <c r="Q30" s="144"/>
      <c r="R30" s="175">
        <f t="shared" si="2"/>
        <v>38.680771183699427</v>
      </c>
      <c r="S30" s="71">
        <f t="shared" si="3"/>
        <v>1.828443932057986E-3</v>
      </c>
    </row>
    <row r="31" spans="1:26">
      <c r="A31" s="162">
        <f>'Q.6a Model 1'!A33</f>
        <v>4</v>
      </c>
      <c r="B31" s="162">
        <f>'Q.6a Model 1'!B33</f>
        <v>24.6648</v>
      </c>
      <c r="C31" s="163">
        <f>'Q.6a Model 2'!A33</f>
        <v>4.2</v>
      </c>
      <c r="D31" s="163">
        <f>'Q.6a Model 2'!B33</f>
        <v>26.8</v>
      </c>
      <c r="E31" s="10">
        <f>'Q.6a Model 3'!$A33</f>
        <v>5</v>
      </c>
      <c r="F31" s="10">
        <f>'Q.6a Model 3'!$B33</f>
        <v>32.670099999999998</v>
      </c>
      <c r="H31" s="214">
        <v>5</v>
      </c>
      <c r="I31" s="214">
        <v>32.670099999999998</v>
      </c>
      <c r="J31" s="62"/>
      <c r="K31" s="71">
        <f t="shared" si="4"/>
        <v>28.614445998817658</v>
      </c>
      <c r="L31" s="71">
        <f t="shared" si="5"/>
        <v>4.0556540011823401</v>
      </c>
      <c r="M31" s="71">
        <f t="shared" si="0"/>
        <v>4.0556540011823401</v>
      </c>
      <c r="N31" s="175">
        <f t="shared" si="1"/>
        <v>16.448329377306326</v>
      </c>
      <c r="O31" s="71">
        <f t="shared" si="6"/>
        <v>0.12413962617752441</v>
      </c>
      <c r="P31" s="176"/>
      <c r="Q31" s="144"/>
      <c r="R31" s="175">
        <f t="shared" si="2"/>
        <v>5.3384716130489664</v>
      </c>
      <c r="S31" s="71">
        <f t="shared" si="3"/>
        <v>40.528085840954965</v>
      </c>
    </row>
    <row r="32" spans="1:26">
      <c r="A32" s="162">
        <f>'Q.6a Model 1'!A34</f>
        <v>4</v>
      </c>
      <c r="B32" s="162">
        <f>'Q.6a Model 1'!B34</f>
        <v>36.392600000000002</v>
      </c>
      <c r="C32" s="163">
        <f>'Q.6a Model 2'!A34</f>
        <v>2</v>
      </c>
      <c r="D32" s="163">
        <f>'Q.6a Model 2'!B34</f>
        <v>39</v>
      </c>
      <c r="E32" s="10">
        <f>'Q.6a Model 3'!$A34</f>
        <v>4.5999999999999996</v>
      </c>
      <c r="F32" s="10">
        <f>'Q.6a Model 3'!$B34</f>
        <v>29</v>
      </c>
      <c r="H32" s="214">
        <v>4.5999999999999996</v>
      </c>
      <c r="I32" s="214">
        <v>29</v>
      </c>
      <c r="J32" s="62"/>
      <c r="K32" s="71">
        <f t="shared" si="4"/>
        <v>30.300687858127255</v>
      </c>
      <c r="L32" s="71">
        <f t="shared" si="5"/>
        <v>-1.3006878581272545</v>
      </c>
      <c r="M32" s="71">
        <f t="shared" si="0"/>
        <v>1.3006878581272545</v>
      </c>
      <c r="N32" s="175">
        <f t="shared" si="1"/>
        <v>1.691788904279665</v>
      </c>
      <c r="O32" s="71">
        <f t="shared" si="6"/>
        <v>4.4851305452663949E-2</v>
      </c>
      <c r="P32" s="176"/>
      <c r="Q32" s="144"/>
      <c r="R32" s="175">
        <f t="shared" si="2"/>
        <v>35.767735194539462</v>
      </c>
      <c r="S32" s="71">
        <f t="shared" si="3"/>
        <v>21.901701946173837</v>
      </c>
    </row>
    <row r="33" spans="1:19">
      <c r="A33" s="162">
        <f>'Q.6a Model 1'!A35</f>
        <v>1.6</v>
      </c>
      <c r="B33" s="162">
        <f>'Q.6a Model 1'!B35</f>
        <v>48.9</v>
      </c>
      <c r="C33" s="163">
        <f>'Q.6a Model 2'!A35</f>
        <v>2.5</v>
      </c>
      <c r="D33" s="163">
        <f>'Q.6a Model 2'!B35</f>
        <v>39.614699999999999</v>
      </c>
      <c r="E33" s="10">
        <f>'Q.6a Model 3'!$A35</f>
        <v>3.7</v>
      </c>
      <c r="F33" s="10">
        <f>'Q.6a Model 3'!$B35</f>
        <v>27</v>
      </c>
      <c r="H33" s="214">
        <v>3.7</v>
      </c>
      <c r="I33" s="214">
        <v>27</v>
      </c>
      <c r="J33" s="62"/>
      <c r="K33" s="71">
        <f t="shared" si="4"/>
        <v>34.094732041573842</v>
      </c>
      <c r="L33" s="71">
        <f t="shared" si="5"/>
        <v>-7.0947320415738417</v>
      </c>
      <c r="M33" s="71">
        <f t="shared" si="0"/>
        <v>7.0947320415738417</v>
      </c>
      <c r="N33" s="175">
        <f t="shared" si="1"/>
        <v>50.335222741734533</v>
      </c>
      <c r="O33" s="71">
        <f t="shared" si="6"/>
        <v>0.26276785339162378</v>
      </c>
      <c r="P33" s="176"/>
      <c r="Q33" s="144"/>
      <c r="R33" s="175">
        <f t="shared" si="2"/>
        <v>63.690188311070621</v>
      </c>
      <c r="S33" s="71">
        <f t="shared" si="3"/>
        <v>0.78478556705897329</v>
      </c>
    </row>
    <row r="34" spans="1:19">
      <c r="A34" s="162">
        <f>'Q.6a Model 1'!A36</f>
        <v>1.6</v>
      </c>
      <c r="B34" s="162">
        <f>'Q.6a Model 1'!B36</f>
        <v>47.9</v>
      </c>
      <c r="C34" s="163">
        <f>'Q.6a Model 2'!A36</f>
        <v>3.7</v>
      </c>
      <c r="D34" s="163">
        <f>'Q.6a Model 2'!B36</f>
        <v>31.6</v>
      </c>
      <c r="E34" s="10">
        <f>'Q.6a Model 3'!$A36</f>
        <v>5.3</v>
      </c>
      <c r="F34" s="10">
        <f>'Q.6a Model 3'!$B36</f>
        <v>30.4</v>
      </c>
      <c r="H34" s="214">
        <v>5.3</v>
      </c>
      <c r="I34" s="214">
        <v>30.4</v>
      </c>
      <c r="J34" s="62"/>
      <c r="K34" s="71">
        <f t="shared" si="4"/>
        <v>27.349764604335462</v>
      </c>
      <c r="L34" s="71">
        <f t="shared" si="5"/>
        <v>3.0502353956645365</v>
      </c>
      <c r="M34" s="71">
        <f t="shared" si="0"/>
        <v>3.0502353956645365</v>
      </c>
      <c r="N34" s="175">
        <f t="shared" si="1"/>
        <v>9.303935968964792</v>
      </c>
      <c r="O34" s="71">
        <f t="shared" si="6"/>
        <v>0.10033669064685975</v>
      </c>
      <c r="P34" s="176"/>
      <c r="Q34" s="144"/>
      <c r="R34" s="175">
        <f t="shared" si="2"/>
        <v>20.982018012967661</v>
      </c>
      <c r="S34" s="71">
        <f t="shared" si="3"/>
        <v>58.229851497656135</v>
      </c>
    </row>
    <row r="35" spans="1:19">
      <c r="A35" s="162">
        <f>'Q.6a Model 1'!A37</f>
        <v>3.7</v>
      </c>
      <c r="B35" s="162">
        <f>'Q.6a Model 1'!B37</f>
        <v>30.9</v>
      </c>
      <c r="C35" s="163">
        <f>'Q.6a Model 2'!A37</f>
        <v>2.4</v>
      </c>
      <c r="D35" s="163">
        <f>'Q.6a Model 2'!B37</f>
        <v>39.347999999999999</v>
      </c>
      <c r="E35" s="10">
        <f>'Q.6a Model 3'!$A37</f>
        <v>5.9</v>
      </c>
      <c r="F35" s="10">
        <f>'Q.6a Model 3'!$B37</f>
        <v>22.925799999999999</v>
      </c>
      <c r="H35" s="214">
        <v>5.9</v>
      </c>
      <c r="I35" s="214">
        <v>22.925799999999999</v>
      </c>
      <c r="J35" s="62"/>
      <c r="K35" s="71">
        <f t="shared" si="4"/>
        <v>24.820401815371067</v>
      </c>
      <c r="L35" s="71">
        <f t="shared" si="5"/>
        <v>-1.8946018153710682</v>
      </c>
      <c r="M35" s="71">
        <f t="shared" ref="M35:M66" si="7">ABS(L35)</f>
        <v>1.8946018153710682</v>
      </c>
      <c r="N35" s="175">
        <f t="shared" ref="N35:N66" si="8">M35^2</f>
        <v>3.5895160388073473</v>
      </c>
      <c r="O35" s="71">
        <f t="shared" ref="O35:O66" si="9">M35/I35</f>
        <v>8.2640597727061574E-2</v>
      </c>
      <c r="P35" s="176"/>
      <c r="Q35" s="144"/>
      <c r="R35" s="175">
        <f t="shared" si="2"/>
        <v>145.31852319475627</v>
      </c>
      <c r="S35" s="71">
        <f t="shared" si="3"/>
        <v>103.22989698835512</v>
      </c>
    </row>
    <row r="36" spans="1:19">
      <c r="A36" s="162">
        <f>'Q.6a Model 1'!A38</f>
        <v>5.6</v>
      </c>
      <c r="B36" s="162">
        <f>'Q.6a Model 1'!B38</f>
        <v>23.6</v>
      </c>
      <c r="C36" s="163">
        <f>'Q.6a Model 2'!A38</f>
        <v>2.2000000000000002</v>
      </c>
      <c r="D36" s="163">
        <f>'Q.6a Model 2'!B38</f>
        <v>44.999099999999999</v>
      </c>
      <c r="E36" s="10">
        <f>'Q.6a Model 3'!$A38</f>
        <v>2.4</v>
      </c>
      <c r="F36" s="10">
        <f>'Q.6a Model 3'!$B38</f>
        <v>39.200000000000003</v>
      </c>
      <c r="H36" s="214">
        <v>2.4</v>
      </c>
      <c r="I36" s="214">
        <v>39.200000000000003</v>
      </c>
      <c r="J36" s="62"/>
      <c r="K36" s="71">
        <f t="shared" si="4"/>
        <v>39.575018084330026</v>
      </c>
      <c r="L36" s="71">
        <f t="shared" si="5"/>
        <v>-0.37501808433002282</v>
      </c>
      <c r="M36" s="71">
        <f t="shared" si="7"/>
        <v>0.37501808433002282</v>
      </c>
      <c r="N36" s="175">
        <f t="shared" si="8"/>
        <v>0.14063856357456012</v>
      </c>
      <c r="O36" s="71">
        <f t="shared" si="9"/>
        <v>9.5667878655618065E-3</v>
      </c>
      <c r="P36" s="176"/>
      <c r="Q36" s="144"/>
      <c r="R36" s="175">
        <f t="shared" si="2"/>
        <v>17.803224300230575</v>
      </c>
      <c r="S36" s="71">
        <f t="shared" si="3"/>
        <v>21.10855551401945</v>
      </c>
    </row>
    <row r="37" spans="1:19">
      <c r="A37" s="162">
        <f>'Q.6a Model 1'!A39</f>
        <v>3.7</v>
      </c>
      <c r="B37" s="162">
        <f>'Q.6a Model 1'!B39</f>
        <v>27.2</v>
      </c>
      <c r="C37" s="163">
        <f>'Q.6a Model 2'!A39</f>
        <v>3.5</v>
      </c>
      <c r="D37" s="163">
        <f>'Q.6a Model 2'!B39</f>
        <v>30.2</v>
      </c>
      <c r="E37" s="10">
        <f>'Q.6a Model 3'!$A39</f>
        <v>3.7</v>
      </c>
      <c r="F37" s="10">
        <f>'Q.6a Model 3'!$B39</f>
        <v>30.5</v>
      </c>
      <c r="H37" s="214">
        <v>3.7</v>
      </c>
      <c r="I37" s="214">
        <v>30.5</v>
      </c>
      <c r="J37" s="62"/>
      <c r="K37" s="71">
        <f t="shared" si="4"/>
        <v>34.094732041573842</v>
      </c>
      <c r="L37" s="71">
        <f t="shared" si="5"/>
        <v>-3.5947320415738417</v>
      </c>
      <c r="M37" s="71">
        <f t="shared" si="7"/>
        <v>3.5947320415738417</v>
      </c>
      <c r="N37" s="175">
        <f t="shared" si="8"/>
        <v>12.922098450717641</v>
      </c>
      <c r="O37" s="71">
        <f t="shared" si="9"/>
        <v>0.11786006693684727</v>
      </c>
      <c r="P37" s="176"/>
      <c r="Q37" s="144"/>
      <c r="R37" s="175">
        <f t="shared" si="2"/>
        <v>20.075895357141089</v>
      </c>
      <c r="S37" s="71">
        <f t="shared" si="3"/>
        <v>0.78478556705897329</v>
      </c>
    </row>
    <row r="38" spans="1:19">
      <c r="A38" s="162">
        <f>'Q.6a Model 1'!A40</f>
        <v>2.5</v>
      </c>
      <c r="B38" s="162">
        <f>'Q.6a Model 1'!B40</f>
        <v>39.571399999999997</v>
      </c>
      <c r="C38" s="163">
        <f>'Q.6a Model 2'!A40</f>
        <v>3.5</v>
      </c>
      <c r="D38" s="163">
        <f>'Q.6a Model 2'!B40</f>
        <v>34.5</v>
      </c>
      <c r="E38" s="10">
        <f>'Q.6a Model 3'!$A40</f>
        <v>2.4</v>
      </c>
      <c r="F38" s="10">
        <f>'Q.6a Model 3'!$B40</f>
        <v>38.6</v>
      </c>
      <c r="H38" s="214">
        <v>2.4</v>
      </c>
      <c r="I38" s="214">
        <v>38.6</v>
      </c>
      <c r="J38" s="62"/>
      <c r="K38" s="71">
        <f t="shared" si="4"/>
        <v>39.575018084330026</v>
      </c>
      <c r="L38" s="71">
        <f t="shared" si="5"/>
        <v>-0.97501808433002424</v>
      </c>
      <c r="M38" s="71">
        <f t="shared" si="7"/>
        <v>0.97501808433002424</v>
      </c>
      <c r="N38" s="175">
        <f t="shared" si="8"/>
        <v>0.95066026477059029</v>
      </c>
      <c r="O38" s="71">
        <f t="shared" si="9"/>
        <v>2.525953586347213E-2</v>
      </c>
      <c r="P38" s="176"/>
      <c r="Q38" s="144"/>
      <c r="R38" s="175">
        <f t="shared" si="2"/>
        <v>13.099960235189908</v>
      </c>
      <c r="S38" s="71">
        <f t="shared" si="3"/>
        <v>21.10855551401945</v>
      </c>
    </row>
    <row r="39" spans="1:19">
      <c r="A39" s="162">
        <f>'Q.6a Model 1'!A41</f>
        <v>2.5</v>
      </c>
      <c r="B39" s="162">
        <f>'Q.6a Model 1'!B41</f>
        <v>40.6</v>
      </c>
      <c r="C39" s="163">
        <f>'Q.6a Model 2'!A41</f>
        <v>2.5</v>
      </c>
      <c r="D39" s="163">
        <f>'Q.6a Model 2'!B41</f>
        <v>31.8</v>
      </c>
      <c r="E39" s="10">
        <f>'Q.6a Model 3'!$A41</f>
        <v>2</v>
      </c>
      <c r="F39" s="10">
        <f>'Q.6a Model 3'!$B41</f>
        <v>37.798900000000003</v>
      </c>
      <c r="H39" s="214">
        <v>2</v>
      </c>
      <c r="I39" s="214">
        <v>37.798900000000003</v>
      </c>
      <c r="J39" s="62"/>
      <c r="K39" s="71">
        <f t="shared" si="4"/>
        <v>41.261259943639622</v>
      </c>
      <c r="L39" s="71">
        <f t="shared" si="5"/>
        <v>-3.4623599436396191</v>
      </c>
      <c r="M39" s="71">
        <f t="shared" si="7"/>
        <v>3.4623599436396191</v>
      </c>
      <c r="N39" s="175">
        <f t="shared" si="8"/>
        <v>11.987936379320146</v>
      </c>
      <c r="O39" s="71">
        <f t="shared" si="9"/>
        <v>9.1599489499419789E-2</v>
      </c>
      <c r="P39" s="176"/>
      <c r="Q39" s="144"/>
      <c r="R39" s="175">
        <f t="shared" si="2"/>
        <v>7.9427400410164708</v>
      </c>
      <c r="S39" s="71">
        <f t="shared" si="3"/>
        <v>39.446522524380804</v>
      </c>
    </row>
    <row r="40" spans="1:19">
      <c r="A40" s="162">
        <f>'Q.6a Model 1'!A42</f>
        <v>2.8</v>
      </c>
      <c r="B40" s="162">
        <f>'Q.6a Model 1'!B42</f>
        <v>37.118499999999997</v>
      </c>
      <c r="C40" s="163">
        <f>'Q.6a Model 2'!A42</f>
        <v>3.8</v>
      </c>
      <c r="D40" s="163">
        <f>'Q.6a Model 2'!B42</f>
        <v>35.359400000000001</v>
      </c>
      <c r="E40" s="10">
        <f>'Q.6a Model 3'!$A42</f>
        <v>3</v>
      </c>
      <c r="F40" s="10">
        <f>'Q.6a Model 3'!$B42</f>
        <v>36.1</v>
      </c>
      <c r="H40" s="214">
        <v>3</v>
      </c>
      <c r="I40" s="214">
        <v>36.1</v>
      </c>
      <c r="J40" s="62"/>
      <c r="K40" s="71">
        <f t="shared" si="4"/>
        <v>37.045655295365634</v>
      </c>
      <c r="L40" s="71">
        <f t="shared" si="5"/>
        <v>-0.94565529536563275</v>
      </c>
      <c r="M40" s="71">
        <f t="shared" si="7"/>
        <v>0.94565529536563275</v>
      </c>
      <c r="N40" s="175">
        <f t="shared" si="8"/>
        <v>0.89426393765306211</v>
      </c>
      <c r="O40" s="71">
        <f t="shared" si="9"/>
        <v>2.6195437544754369E-2</v>
      </c>
      <c r="P40" s="176"/>
      <c r="Q40" s="144"/>
      <c r="R40" s="175">
        <f t="shared" si="2"/>
        <v>1.2530266308538489</v>
      </c>
      <c r="S40" s="71">
        <f t="shared" si="3"/>
        <v>4.2643985288070114</v>
      </c>
    </row>
    <row r="41" spans="1:19">
      <c r="A41" s="162">
        <f>'Q.6a Model 1'!A43</f>
        <v>5.6</v>
      </c>
      <c r="B41" s="162">
        <f>'Q.6a Model 1'!B43</f>
        <v>24.9815</v>
      </c>
      <c r="C41" s="163">
        <f>'Q.6a Model 2'!A43</f>
        <v>3.5</v>
      </c>
      <c r="D41" s="163">
        <f>'Q.6a Model 2'!B43</f>
        <v>36.6</v>
      </c>
      <c r="E41" s="10">
        <f>'Q.6a Model 3'!$A43</f>
        <v>4.5999999999999996</v>
      </c>
      <c r="F41" s="10">
        <f>'Q.6a Model 3'!$B43</f>
        <v>34.1</v>
      </c>
      <c r="H41" s="214">
        <v>4.5999999999999996</v>
      </c>
      <c r="I41" s="214">
        <v>34.1</v>
      </c>
      <c r="J41" s="62"/>
      <c r="K41" s="71">
        <f t="shared" si="4"/>
        <v>30.300687858127255</v>
      </c>
      <c r="L41" s="71">
        <f t="shared" si="5"/>
        <v>3.7993121418727469</v>
      </c>
      <c r="M41" s="71">
        <f t="shared" si="7"/>
        <v>3.7993121418727469</v>
      </c>
      <c r="N41" s="175">
        <f t="shared" si="8"/>
        <v>14.434772751381679</v>
      </c>
      <c r="O41" s="71">
        <f t="shared" si="9"/>
        <v>0.1114167783540395</v>
      </c>
      <c r="P41" s="176"/>
      <c r="Q41" s="144"/>
      <c r="R41" s="175">
        <f t="shared" si="2"/>
        <v>0.77547974738500214</v>
      </c>
      <c r="S41" s="71">
        <f t="shared" si="3"/>
        <v>21.901701946173837</v>
      </c>
    </row>
    <row r="42" spans="1:19">
      <c r="A42" s="162">
        <f>'Q.6a Model 1'!A44</f>
        <v>6.2</v>
      </c>
      <c r="B42" s="162">
        <f>'Q.6a Model 1'!B44</f>
        <v>26</v>
      </c>
      <c r="C42" s="163">
        <f>'Q.6a Model 2'!A44</f>
        <v>3.7</v>
      </c>
      <c r="D42" s="163">
        <f>'Q.6a Model 2'!B44</f>
        <v>31.8217</v>
      </c>
      <c r="E42" s="10">
        <f>'Q.6a Model 3'!$A44</f>
        <v>2</v>
      </c>
      <c r="F42" s="10">
        <f>'Q.6a Model 3'!$B44</f>
        <v>35.299999999999997</v>
      </c>
      <c r="H42" s="214">
        <v>2</v>
      </c>
      <c r="I42" s="214">
        <v>35.299999999999997</v>
      </c>
      <c r="J42" s="62"/>
      <c r="K42" s="71">
        <f t="shared" si="4"/>
        <v>41.261259943639622</v>
      </c>
      <c r="L42" s="71">
        <f t="shared" si="5"/>
        <v>-5.9612599436396252</v>
      </c>
      <c r="M42" s="71">
        <f t="shared" si="7"/>
        <v>5.9612599436396252</v>
      </c>
      <c r="N42" s="175">
        <f t="shared" si="8"/>
        <v>35.536620115642307</v>
      </c>
      <c r="O42" s="71">
        <f t="shared" si="9"/>
        <v>0.16887421936656163</v>
      </c>
      <c r="P42" s="176"/>
      <c r="Q42" s="144"/>
      <c r="R42" s="175">
        <f t="shared" si="2"/>
        <v>0.10200787746630748</v>
      </c>
      <c r="S42" s="71">
        <f t="shared" si="3"/>
        <v>39.446522524380804</v>
      </c>
    </row>
    <row r="43" spans="1:19">
      <c r="A43" s="162">
        <f>'Q.6a Model 1'!A45</f>
        <v>2.5</v>
      </c>
      <c r="B43" s="162">
        <f>'Q.6a Model 1'!B45</f>
        <v>40.240900000000003</v>
      </c>
      <c r="C43" s="163">
        <f>'Q.6a Model 2'!A45</f>
        <v>2.2000000000000002</v>
      </c>
      <c r="D43" s="163">
        <f>'Q.6a Model 2'!B45</f>
        <v>51.9</v>
      </c>
      <c r="E43" s="10">
        <f>'Q.6a Model 3'!$A45</f>
        <v>4.8</v>
      </c>
      <c r="F43" s="10">
        <f>'Q.6a Model 3'!$B45</f>
        <v>25.56</v>
      </c>
      <c r="H43" s="214">
        <v>4.8</v>
      </c>
      <c r="I43" s="214">
        <v>25.56</v>
      </c>
      <c r="J43" s="62"/>
      <c r="K43" s="71">
        <f t="shared" si="4"/>
        <v>29.457566928472456</v>
      </c>
      <c r="L43" s="71">
        <f t="shared" si="5"/>
        <v>-3.8975669284724574</v>
      </c>
      <c r="M43" s="71">
        <f t="shared" si="7"/>
        <v>3.8975669284724574</v>
      </c>
      <c r="N43" s="175">
        <f t="shared" si="8"/>
        <v>15.191027961922225</v>
      </c>
      <c r="O43" s="71">
        <f t="shared" si="9"/>
        <v>0.15248696903256875</v>
      </c>
      <c r="P43" s="176"/>
      <c r="Q43" s="144"/>
      <c r="R43" s="175">
        <f t="shared" si="2"/>
        <v>88.747954554973077</v>
      </c>
      <c r="S43" s="71">
        <f t="shared" si="3"/>
        <v>30.504040991542428</v>
      </c>
    </row>
    <row r="44" spans="1:19">
      <c r="A44" s="162">
        <f>'Q.6a Model 1'!A46</f>
        <v>2.4</v>
      </c>
      <c r="B44" s="162">
        <f>'Q.6a Model 1'!B46</f>
        <v>33.6</v>
      </c>
      <c r="C44" s="163">
        <f>'Q.6a Model 2'!A46</f>
        <v>3.5</v>
      </c>
      <c r="D44" s="163">
        <f>'Q.6a Model 2'!B46</f>
        <v>37.4</v>
      </c>
      <c r="E44" s="10">
        <f>'Q.6a Model 3'!$A46</f>
        <v>2.4</v>
      </c>
      <c r="F44" s="10">
        <f>'Q.6a Model 3'!$B46</f>
        <v>43.2286</v>
      </c>
      <c r="H44" s="214">
        <v>2.4</v>
      </c>
      <c r="I44" s="214">
        <v>43.2286</v>
      </c>
      <c r="J44" s="62"/>
      <c r="K44" s="71">
        <f t="shared" si="4"/>
        <v>39.575018084330026</v>
      </c>
      <c r="L44" s="71">
        <f t="shared" si="5"/>
        <v>3.6535819156699745</v>
      </c>
      <c r="M44" s="71">
        <f t="shared" si="7"/>
        <v>3.6535819156699745</v>
      </c>
      <c r="N44" s="175">
        <f t="shared" si="8"/>
        <v>13.34866081451068</v>
      </c>
      <c r="O44" s="71">
        <f t="shared" si="9"/>
        <v>8.451770160657468E-2</v>
      </c>
      <c r="P44" s="176"/>
      <c r="Q44" s="144"/>
      <c r="R44" s="175">
        <f t="shared" si="2"/>
        <v>68.029284947601838</v>
      </c>
      <c r="S44" s="71">
        <f t="shared" si="3"/>
        <v>21.10855551401945</v>
      </c>
    </row>
    <row r="45" spans="1:19">
      <c r="A45" s="162">
        <f>'Q.6a Model 1'!A47</f>
        <v>3.5</v>
      </c>
      <c r="B45" s="162">
        <f>'Q.6a Model 1'!B47</f>
        <v>31.3</v>
      </c>
      <c r="C45" s="163">
        <f>'Q.6a Model 2'!A47</f>
        <v>3.6</v>
      </c>
      <c r="D45" s="163">
        <f>'Q.6a Model 2'!B47</f>
        <v>32.1</v>
      </c>
      <c r="E45" s="10">
        <f>'Q.6a Model 3'!$A47</f>
        <v>4</v>
      </c>
      <c r="F45" s="10">
        <f>'Q.6a Model 3'!$B47</f>
        <v>27.736599999999999</v>
      </c>
      <c r="H45" s="214">
        <v>4</v>
      </c>
      <c r="I45" s="214">
        <v>27.736599999999999</v>
      </c>
      <c r="J45" s="62"/>
      <c r="K45" s="71">
        <f t="shared" si="4"/>
        <v>32.830050647091646</v>
      </c>
      <c r="L45" s="71">
        <f t="shared" si="5"/>
        <v>-5.0934506470916467</v>
      </c>
      <c r="M45" s="71">
        <f t="shared" si="7"/>
        <v>5.0934506470916467</v>
      </c>
      <c r="N45" s="175">
        <f t="shared" si="8"/>
        <v>25.943239494358316</v>
      </c>
      <c r="O45" s="71">
        <f t="shared" si="9"/>
        <v>0.18363644596279455</v>
      </c>
      <c r="P45" s="176"/>
      <c r="Q45" s="144"/>
      <c r="R45" s="175">
        <f t="shared" si="2"/>
        <v>52.4757283882522</v>
      </c>
      <c r="S45" s="71">
        <f t="shared" si="3"/>
        <v>4.6249196343317314</v>
      </c>
    </row>
    <row r="46" spans="1:19">
      <c r="A46" s="162">
        <f>'Q.6a Model 1'!A48</f>
        <v>6.3</v>
      </c>
      <c r="B46" s="162">
        <f>'Q.6a Model 1'!B48</f>
        <v>24.7</v>
      </c>
      <c r="C46" s="163">
        <f>'Q.6a Model 2'!A48</f>
        <v>2.4</v>
      </c>
      <c r="D46" s="163">
        <f>'Q.6a Model 2'!B48</f>
        <v>45.1</v>
      </c>
      <c r="E46" s="10">
        <f>'Q.6a Model 3'!$A48</f>
        <v>5</v>
      </c>
      <c r="F46" s="10">
        <f>'Q.6a Model 3'!$B48</f>
        <v>30.802700000000002</v>
      </c>
      <c r="H46" s="214">
        <v>5</v>
      </c>
      <c r="I46" s="214">
        <v>30.802700000000002</v>
      </c>
      <c r="J46" s="62"/>
      <c r="K46" s="71">
        <f t="shared" si="4"/>
        <v>28.614445998817658</v>
      </c>
      <c r="L46" s="71">
        <f t="shared" si="5"/>
        <v>2.1882540011823437</v>
      </c>
      <c r="M46" s="71">
        <f t="shared" si="7"/>
        <v>2.1882540011823437</v>
      </c>
      <c r="N46" s="175">
        <f t="shared" si="8"/>
        <v>4.7884555736905368</v>
      </c>
      <c r="O46" s="71">
        <f t="shared" si="9"/>
        <v>7.1040980212200344E-2</v>
      </c>
      <c r="P46" s="176"/>
      <c r="Q46" s="144"/>
      <c r="R46" s="175">
        <f t="shared" si="2"/>
        <v>17.454959367954086</v>
      </c>
      <c r="S46" s="71">
        <f t="shared" si="3"/>
        <v>40.528085840954965</v>
      </c>
    </row>
    <row r="47" spans="1:19">
      <c r="A47" s="162">
        <f>'Q.6a Model 1'!A49</f>
        <v>3.5</v>
      </c>
      <c r="B47" s="162">
        <f>'Q.6a Model 1'!B49</f>
        <v>33.200000000000003</v>
      </c>
      <c r="C47" s="163">
        <f>'Q.6a Model 2'!A49</f>
        <v>5</v>
      </c>
      <c r="D47" s="163">
        <f>'Q.6a Model 2'!B49</f>
        <v>24.572199999999999</v>
      </c>
      <c r="E47" s="10">
        <f>'Q.6a Model 3'!$A49</f>
        <v>6.8</v>
      </c>
      <c r="F47" s="10">
        <f>'Q.6a Model 3'!$B49</f>
        <v>21.006</v>
      </c>
      <c r="H47" s="214">
        <v>6.8</v>
      </c>
      <c r="I47" s="214">
        <v>21.006</v>
      </c>
      <c r="J47" s="62"/>
      <c r="K47" s="71">
        <f t="shared" si="4"/>
        <v>21.02635763192448</v>
      </c>
      <c r="L47" s="71">
        <f t="shared" si="5"/>
        <v>-2.0357631924479591E-2</v>
      </c>
      <c r="M47" s="71">
        <f t="shared" si="7"/>
        <v>2.0357631924479591E-2</v>
      </c>
      <c r="N47" s="175">
        <f t="shared" si="8"/>
        <v>4.144331775725906E-4</v>
      </c>
      <c r="O47" s="71">
        <f t="shared" si="9"/>
        <v>9.6913414855182283E-4</v>
      </c>
      <c r="P47" s="176"/>
      <c r="Q47" s="144"/>
      <c r="R47" s="175">
        <f t="shared" si="2"/>
        <v>195.28981630131449</v>
      </c>
      <c r="S47" s="71">
        <f t="shared" si="3"/>
        <v>194.72125066764499</v>
      </c>
    </row>
    <row r="48" spans="1:19">
      <c r="A48" s="162">
        <f>'Q.6a Model 1'!A50</f>
        <v>4</v>
      </c>
      <c r="B48" s="162">
        <f>'Q.6a Model 1'!B50</f>
        <v>28.4</v>
      </c>
      <c r="C48" s="163">
        <f>'Q.6a Model 2'!A50</f>
        <v>5.3</v>
      </c>
      <c r="D48" s="163">
        <f>'Q.6a Model 2'!B50</f>
        <v>22.761900000000001</v>
      </c>
      <c r="E48" s="10">
        <f>'Q.6a Model 3'!$A50</f>
        <v>2.4</v>
      </c>
      <c r="F48" s="10">
        <f>'Q.6a Model 3'!$B50</f>
        <v>39.347999999999999</v>
      </c>
      <c r="H48" s="214">
        <v>2.4</v>
      </c>
      <c r="I48" s="214">
        <v>39.347999999999999</v>
      </c>
      <c r="J48" s="62"/>
      <c r="K48" s="71">
        <f t="shared" si="4"/>
        <v>39.575018084330026</v>
      </c>
      <c r="L48" s="71">
        <f t="shared" si="5"/>
        <v>-0.22701808433002668</v>
      </c>
      <c r="M48" s="71">
        <f t="shared" si="7"/>
        <v>0.22701808433002668</v>
      </c>
      <c r="N48" s="175">
        <f t="shared" si="8"/>
        <v>5.1537210612875105E-2</v>
      </c>
      <c r="O48" s="71">
        <f t="shared" si="9"/>
        <v>5.7694948747084142E-3</v>
      </c>
      <c r="P48" s="176"/>
      <c r="Q48" s="144"/>
      <c r="R48" s="175">
        <f t="shared" si="2"/>
        <v>19.074066769607235</v>
      </c>
      <c r="S48" s="71">
        <f t="shared" si="3"/>
        <v>21.10855551401945</v>
      </c>
    </row>
    <row r="49" spans="1:19">
      <c r="A49" s="162">
        <f>'Q.6a Model 1'!A51</f>
        <v>2.4</v>
      </c>
      <c r="B49" s="162">
        <f>'Q.6a Model 1'!B51</f>
        <v>35.241799999999998</v>
      </c>
      <c r="C49" s="163">
        <f>'Q.6a Model 2'!A51</f>
        <v>5.7</v>
      </c>
      <c r="D49" s="163">
        <f>'Q.6a Model 2'!B51</f>
        <v>24.149100000000001</v>
      </c>
      <c r="E49" s="10">
        <f>'Q.6a Model 3'!$A51</f>
        <v>3</v>
      </c>
      <c r="F49" s="10">
        <f>'Q.6a Model 3'!$B51</f>
        <v>29.6</v>
      </c>
      <c r="H49" s="214">
        <v>3</v>
      </c>
      <c r="I49" s="214">
        <v>29.6</v>
      </c>
      <c r="J49" s="62"/>
      <c r="K49" s="71">
        <f t="shared" si="4"/>
        <v>37.045655295365634</v>
      </c>
      <c r="L49" s="71">
        <f t="shared" si="5"/>
        <v>-7.4456552953656328</v>
      </c>
      <c r="M49" s="71">
        <f t="shared" si="7"/>
        <v>7.4456552953656328</v>
      </c>
      <c r="N49" s="175">
        <f t="shared" si="8"/>
        <v>55.437782777406291</v>
      </c>
      <c r="O49" s="71">
        <f t="shared" si="9"/>
        <v>0.25154240862721733</v>
      </c>
      <c r="P49" s="176"/>
      <c r="Q49" s="144"/>
      <c r="R49" s="175">
        <f t="shared" si="2"/>
        <v>28.950999259580097</v>
      </c>
      <c r="S49" s="71">
        <f t="shared" si="3"/>
        <v>4.2643985288070114</v>
      </c>
    </row>
    <row r="50" spans="1:19">
      <c r="A50" s="162">
        <f>'Q.6a Model 1'!A52</f>
        <v>2</v>
      </c>
      <c r="B50" s="162">
        <f>'Q.6a Model 1'!B52</f>
        <v>47.512900000000002</v>
      </c>
      <c r="C50" s="163">
        <f>'Q.6a Model 2'!A52</f>
        <v>2</v>
      </c>
      <c r="D50" s="163">
        <f>'Q.6a Model 2'!B52</f>
        <v>58.534999999999997</v>
      </c>
      <c r="E50" s="10">
        <f>'Q.6a Model 3'!$A52</f>
        <v>2.4</v>
      </c>
      <c r="F50" s="10">
        <f>'Q.6a Model 3'!$B52</f>
        <v>37.071100000000001</v>
      </c>
      <c r="H50" s="214">
        <v>2.4</v>
      </c>
      <c r="I50" s="214">
        <v>37.071100000000001</v>
      </c>
      <c r="J50" s="62"/>
      <c r="K50" s="71">
        <f t="shared" si="4"/>
        <v>39.575018084330026</v>
      </c>
      <c r="L50" s="71">
        <f t="shared" si="5"/>
        <v>-2.5039180843300244</v>
      </c>
      <c r="M50" s="71">
        <f t="shared" si="7"/>
        <v>2.5039180843300244</v>
      </c>
      <c r="N50" s="175">
        <f t="shared" si="8"/>
        <v>6.2696057730349395</v>
      </c>
      <c r="O50" s="71">
        <f t="shared" si="9"/>
        <v>6.7543668365115259E-2</v>
      </c>
      <c r="P50" s="176"/>
      <c r="Q50" s="144"/>
      <c r="R50" s="175">
        <f t="shared" si="2"/>
        <v>4.3701347301221469</v>
      </c>
      <c r="S50" s="71">
        <f t="shared" si="3"/>
        <v>21.10855551401945</v>
      </c>
    </row>
    <row r="51" spans="1:19">
      <c r="A51" s="162">
        <f>'Q.6a Model 1'!A53</f>
        <v>5.4</v>
      </c>
      <c r="B51" s="162">
        <f>'Q.6a Model 1'!B53</f>
        <v>27.0426</v>
      </c>
      <c r="C51" s="163">
        <f>'Q.6a Model 2'!A53</f>
        <v>3.5</v>
      </c>
      <c r="D51" s="163">
        <f>'Q.6a Model 2'!B53</f>
        <v>34.749400000000001</v>
      </c>
      <c r="E51" s="10">
        <f>'Q.6a Model 3'!$A53</f>
        <v>2.7</v>
      </c>
      <c r="F51" s="10">
        <f>'Q.6a Model 3'!$B53</f>
        <v>35.700000000000003</v>
      </c>
      <c r="H51" s="214">
        <v>2.7</v>
      </c>
      <c r="I51" s="214">
        <v>35.700000000000003</v>
      </c>
      <c r="J51" s="62"/>
      <c r="K51" s="71">
        <f t="shared" si="4"/>
        <v>38.31033668984783</v>
      </c>
      <c r="L51" s="71">
        <f t="shared" si="5"/>
        <v>-2.6103366898478271</v>
      </c>
      <c r="M51" s="71">
        <f t="shared" si="7"/>
        <v>2.6103366898478271</v>
      </c>
      <c r="N51" s="175">
        <f t="shared" si="8"/>
        <v>6.8138576343657107</v>
      </c>
      <c r="O51" s="71">
        <f t="shared" si="9"/>
        <v>7.3118674785653412E-2</v>
      </c>
      <c r="P51" s="176"/>
      <c r="Q51" s="144"/>
      <c r="R51" s="175">
        <f t="shared" si="2"/>
        <v>0.51751725416008154</v>
      </c>
      <c r="S51" s="71">
        <f t="shared" si="3"/>
        <v>11.0870579918638</v>
      </c>
    </row>
    <row r="52" spans="1:19">
      <c r="A52" s="162">
        <f>'Q.6a Model 1'!A54</f>
        <v>2.5</v>
      </c>
      <c r="B52" s="162">
        <f>'Q.6a Model 1'!B54</f>
        <v>40.187600000000003</v>
      </c>
      <c r="C52" s="163">
        <f>'Q.6a Model 2'!A54</f>
        <v>5.7</v>
      </c>
      <c r="D52" s="163">
        <f>'Q.6a Model 2'!B54</f>
        <v>26</v>
      </c>
      <c r="E52" s="10">
        <f>'Q.6a Model 3'!$A54</f>
        <v>2.4</v>
      </c>
      <c r="F52" s="10">
        <f>'Q.6a Model 3'!$B54</f>
        <v>46.8</v>
      </c>
      <c r="H52" s="214">
        <v>2.4</v>
      </c>
      <c r="I52" s="214">
        <v>46.8</v>
      </c>
      <c r="J52" s="62"/>
      <c r="K52" s="71">
        <f t="shared" si="4"/>
        <v>39.575018084330026</v>
      </c>
      <c r="L52" s="71">
        <f t="shared" si="5"/>
        <v>7.2249819156699715</v>
      </c>
      <c r="M52" s="71">
        <f t="shared" si="7"/>
        <v>7.2249819156699715</v>
      </c>
      <c r="N52" s="175">
        <f t="shared" si="8"/>
        <v>52.200363681758134</v>
      </c>
      <c r="O52" s="71">
        <f t="shared" si="9"/>
        <v>0.1543799554630336</v>
      </c>
      <c r="P52" s="176"/>
      <c r="Q52" s="144"/>
      <c r="R52" s="175">
        <f t="shared" si="2"/>
        <v>139.69790245741208</v>
      </c>
      <c r="S52" s="71">
        <f t="shared" si="3"/>
        <v>21.10855551401945</v>
      </c>
    </row>
    <row r="53" spans="1:19">
      <c r="A53" s="162">
        <f>'Q.6a Model 1'!A55</f>
        <v>4.5999999999999996</v>
      </c>
      <c r="B53" s="162">
        <f>'Q.6a Model 1'!B55</f>
        <v>27.106100000000001</v>
      </c>
      <c r="C53" s="163">
        <f>'Q.6a Model 2'!A55</f>
        <v>2.4</v>
      </c>
      <c r="D53" s="163">
        <f>'Q.6a Model 2'!B55</f>
        <v>45.1</v>
      </c>
      <c r="E53" s="10">
        <f>'Q.6a Model 3'!$A55</f>
        <v>3.5</v>
      </c>
      <c r="F53" s="10">
        <f>'Q.6a Model 3'!$B55</f>
        <v>33.5</v>
      </c>
      <c r="H53" s="214">
        <v>3.5</v>
      </c>
      <c r="I53" s="214">
        <v>33.5</v>
      </c>
      <c r="J53" s="62"/>
      <c r="K53" s="71">
        <f t="shared" si="4"/>
        <v>34.937852971228637</v>
      </c>
      <c r="L53" s="71">
        <f t="shared" si="5"/>
        <v>-1.4378529712286365</v>
      </c>
      <c r="M53" s="71">
        <f t="shared" si="7"/>
        <v>1.4378529712286365</v>
      </c>
      <c r="N53" s="175">
        <f t="shared" si="8"/>
        <v>2.0674211668710183</v>
      </c>
      <c r="O53" s="71">
        <f t="shared" si="9"/>
        <v>4.2920984215780195E-2</v>
      </c>
      <c r="P53" s="176"/>
      <c r="Q53" s="144"/>
      <c r="R53" s="175">
        <f t="shared" si="2"/>
        <v>2.1922156823443522</v>
      </c>
      <c r="S53" s="71">
        <f t="shared" si="3"/>
        <v>1.828443932057986E-3</v>
      </c>
    </row>
    <row r="54" spans="1:19">
      <c r="A54" s="162">
        <f>'Q.6a Model 1'!A56</f>
        <v>3.5</v>
      </c>
      <c r="B54" s="162">
        <f>'Q.6a Model 1'!B56</f>
        <v>41.2</v>
      </c>
      <c r="C54" s="163">
        <f>'Q.6a Model 2'!A56</f>
        <v>1.3</v>
      </c>
      <c r="D54" s="163">
        <f>'Q.6a Model 2'!B56</f>
        <v>62.267400000000002</v>
      </c>
      <c r="E54" s="10">
        <f>'Q.6a Model 3'!$A56</f>
        <v>3</v>
      </c>
      <c r="F54" s="10">
        <f>'Q.6a Model 3'!$B56</f>
        <v>34.285299999999999</v>
      </c>
      <c r="H54" s="214">
        <v>3</v>
      </c>
      <c r="I54" s="214">
        <v>34.285299999999999</v>
      </c>
      <c r="J54" s="62"/>
      <c r="K54" s="71">
        <f t="shared" si="4"/>
        <v>37.045655295365634</v>
      </c>
      <c r="L54" s="71">
        <f t="shared" si="5"/>
        <v>-2.7603552953656347</v>
      </c>
      <c r="M54" s="71">
        <f t="shared" si="7"/>
        <v>2.7603552953656347</v>
      </c>
      <c r="N54" s="175">
        <f t="shared" si="8"/>
        <v>7.6195613566531009</v>
      </c>
      <c r="O54" s="71">
        <f t="shared" si="9"/>
        <v>8.0511335626803168E-2</v>
      </c>
      <c r="P54" s="176"/>
      <c r="Q54" s="144"/>
      <c r="R54" s="175">
        <f t="shared" si="2"/>
        <v>0.48346055613839356</v>
      </c>
      <c r="S54" s="71">
        <f t="shared" si="3"/>
        <v>4.2643985288070114</v>
      </c>
    </row>
    <row r="55" spans="1:19">
      <c r="A55" s="162">
        <f>'Q.6a Model 1'!A57</f>
        <v>3</v>
      </c>
      <c r="B55" s="162">
        <f>'Q.6a Model 1'!B57</f>
        <v>34.7286</v>
      </c>
      <c r="C55" s="163">
        <f>'Q.6a Model 2'!A57</f>
        <v>3.4</v>
      </c>
      <c r="D55" s="163">
        <f>'Q.6a Model 2'!B57</f>
        <v>36.729900000000001</v>
      </c>
      <c r="E55" s="10">
        <f>'Q.6a Model 3'!$A57</f>
        <v>2.5</v>
      </c>
      <c r="F55" s="10">
        <f>'Q.6a Model 3'!$B57</f>
        <v>38.4</v>
      </c>
      <c r="H55" s="214">
        <v>2.5</v>
      </c>
      <c r="I55" s="214">
        <v>38.4</v>
      </c>
      <c r="J55" s="62"/>
      <c r="K55" s="71">
        <f t="shared" si="4"/>
        <v>39.153457619502632</v>
      </c>
      <c r="L55" s="71">
        <f t="shared" si="5"/>
        <v>-0.75345761950263324</v>
      </c>
      <c r="M55" s="71">
        <f t="shared" si="7"/>
        <v>0.75345761950263324</v>
      </c>
      <c r="N55" s="175">
        <f t="shared" si="8"/>
        <v>0.56769838438657483</v>
      </c>
      <c r="O55" s="71">
        <f t="shared" si="9"/>
        <v>1.9621292174547743E-2</v>
      </c>
      <c r="P55" s="176"/>
      <c r="Q55" s="144"/>
      <c r="R55" s="175">
        <f t="shared" si="2"/>
        <v>11.692205546843002</v>
      </c>
      <c r="S55" s="71">
        <f t="shared" si="3"/>
        <v>17.412629888956623</v>
      </c>
    </row>
    <row r="56" spans="1:19">
      <c r="A56" s="162">
        <f>'Q.6a Model 1'!A58</f>
        <v>1.6</v>
      </c>
      <c r="B56" s="162">
        <f>'Q.6a Model 1'!B58</f>
        <v>44.571399999999997</v>
      </c>
      <c r="C56" s="163">
        <f>'Q.6a Model 2'!A58</f>
        <v>3</v>
      </c>
      <c r="D56" s="163">
        <f>'Q.6a Model 2'!B58</f>
        <v>35.708100000000002</v>
      </c>
      <c r="E56" s="10">
        <f>'Q.6a Model 3'!$A58</f>
        <v>3.5</v>
      </c>
      <c r="F56" s="10">
        <f>'Q.6a Model 3'!$B58</f>
        <v>28.7</v>
      </c>
      <c r="H56" s="214">
        <v>3.5</v>
      </c>
      <c r="I56" s="214">
        <v>28.7</v>
      </c>
      <c r="J56" s="62"/>
      <c r="K56" s="71">
        <f t="shared" si="4"/>
        <v>34.937852971228637</v>
      </c>
      <c r="L56" s="71">
        <f t="shared" si="5"/>
        <v>-6.2378529712286372</v>
      </c>
      <c r="M56" s="71">
        <f t="shared" si="7"/>
        <v>6.2378529712286372</v>
      </c>
      <c r="N56" s="175">
        <f t="shared" si="8"/>
        <v>38.910809690665936</v>
      </c>
      <c r="O56" s="71">
        <f t="shared" si="9"/>
        <v>0.2173467934226006</v>
      </c>
      <c r="P56" s="176"/>
      <c r="Q56" s="144"/>
      <c r="R56" s="175">
        <f t="shared" si="2"/>
        <v>39.446103162019142</v>
      </c>
      <c r="S56" s="71">
        <f t="shared" si="3"/>
        <v>1.828443932057986E-3</v>
      </c>
    </row>
    <row r="57" spans="1:19">
      <c r="A57" s="162">
        <f>'Q.6a Model 1'!A59</f>
        <v>3.5</v>
      </c>
      <c r="B57" s="162">
        <f>'Q.6a Model 1'!B59</f>
        <v>37.6</v>
      </c>
      <c r="C57" s="163">
        <f>'Q.6a Model 2'!A59</f>
        <v>3.5</v>
      </c>
      <c r="D57" s="163">
        <f>'Q.6a Model 2'!B59</f>
        <v>33.9</v>
      </c>
      <c r="E57" s="10">
        <f>'Q.6a Model 3'!$A59</f>
        <v>3</v>
      </c>
      <c r="F57" s="10">
        <f>'Q.6a Model 3'!$B59</f>
        <v>35.267800000000001</v>
      </c>
      <c r="H57" s="214">
        <v>3</v>
      </c>
      <c r="I57" s="214">
        <v>35.267800000000001</v>
      </c>
      <c r="J57" s="62"/>
      <c r="K57" s="71">
        <f t="shared" si="4"/>
        <v>37.045655295365634</v>
      </c>
      <c r="L57" s="71">
        <f t="shared" si="5"/>
        <v>-1.777855295365633</v>
      </c>
      <c r="M57" s="71">
        <f t="shared" si="7"/>
        <v>1.777855295365633</v>
      </c>
      <c r="N57" s="175">
        <f t="shared" si="8"/>
        <v>3.1607694512596223</v>
      </c>
      <c r="O57" s="71">
        <f t="shared" si="9"/>
        <v>5.0410155874923666E-2</v>
      </c>
      <c r="P57" s="176"/>
      <c r="Q57" s="144"/>
      <c r="R57" s="175">
        <f t="shared" si="2"/>
        <v>8.2476212642461605E-2</v>
      </c>
      <c r="S57" s="71">
        <f t="shared" si="3"/>
        <v>4.2643985288070114</v>
      </c>
    </row>
    <row r="58" spans="1:19">
      <c r="A58" s="162">
        <f>'Q.6a Model 1'!A60</f>
        <v>4</v>
      </c>
      <c r="B58" s="162">
        <f>'Q.6a Model 1'!B60</f>
        <v>30</v>
      </c>
      <c r="C58" s="163">
        <f>'Q.6a Model 2'!A60</f>
        <v>4.4000000000000004</v>
      </c>
      <c r="D58" s="163">
        <f>'Q.6a Model 2'!B60</f>
        <v>24.9</v>
      </c>
      <c r="E58" s="10">
        <f>'Q.6a Model 3'!$A60</f>
        <v>2.5</v>
      </c>
      <c r="F58" s="10">
        <f>'Q.6a Model 3'!$B60</f>
        <v>40.4</v>
      </c>
      <c r="H58" s="214">
        <v>2.5</v>
      </c>
      <c r="I58" s="214">
        <v>40.4</v>
      </c>
      <c r="J58" s="62"/>
      <c r="K58" s="71">
        <f t="shared" si="4"/>
        <v>39.153457619502632</v>
      </c>
      <c r="L58" s="71">
        <f t="shared" si="5"/>
        <v>1.2465423804973668</v>
      </c>
      <c r="M58" s="71">
        <f t="shared" si="7"/>
        <v>1.2465423804973668</v>
      </c>
      <c r="N58" s="175">
        <f t="shared" si="8"/>
        <v>1.5538679063760419</v>
      </c>
      <c r="O58" s="71">
        <f t="shared" si="9"/>
        <v>3.0855009418251655E-2</v>
      </c>
      <c r="P58" s="176"/>
      <c r="Q58" s="144"/>
      <c r="R58" s="175">
        <f t="shared" si="2"/>
        <v>29.369752430311838</v>
      </c>
      <c r="S58" s="71">
        <f t="shared" si="3"/>
        <v>17.412629888956623</v>
      </c>
    </row>
    <row r="59" spans="1:19">
      <c r="A59" s="162">
        <f>'Q.6a Model 1'!A61</f>
        <v>3</v>
      </c>
      <c r="B59" s="162">
        <f>'Q.6a Model 1'!B61</f>
        <v>32.1</v>
      </c>
      <c r="C59" s="163">
        <f>'Q.6a Model 2'!A61</f>
        <v>3.7</v>
      </c>
      <c r="D59" s="163">
        <f>'Q.6a Model 2'!B61</f>
        <v>25.1</v>
      </c>
      <c r="E59" s="10">
        <f>'Q.6a Model 3'!$A61</f>
        <v>5.7</v>
      </c>
      <c r="F59" s="10">
        <f>'Q.6a Model 3'!$B61</f>
        <v>25.617899999999999</v>
      </c>
      <c r="H59" s="214">
        <v>5.7</v>
      </c>
      <c r="I59" s="214">
        <v>25.617899999999999</v>
      </c>
      <c r="J59" s="62"/>
      <c r="K59" s="71">
        <f t="shared" si="4"/>
        <v>25.663522745025865</v>
      </c>
      <c r="L59" s="71">
        <f t="shared" si="5"/>
        <v>-4.5622745025866607E-2</v>
      </c>
      <c r="M59" s="71">
        <f t="shared" si="7"/>
        <v>4.5622745025866607E-2</v>
      </c>
      <c r="N59" s="175">
        <f t="shared" si="8"/>
        <v>2.0814348636952361E-3</v>
      </c>
      <c r="O59" s="71">
        <f t="shared" si="9"/>
        <v>1.7808932436252233E-3</v>
      </c>
      <c r="P59" s="176"/>
      <c r="Q59" s="144"/>
      <c r="R59" s="175">
        <f t="shared" si="2"/>
        <v>87.660399947249502</v>
      </c>
      <c r="S59" s="71">
        <f t="shared" si="3"/>
        <v>86.808176020744853</v>
      </c>
    </row>
    <row r="60" spans="1:19">
      <c r="A60" s="162">
        <f>'Q.6a Model 1'!A62</f>
        <v>4.2</v>
      </c>
      <c r="B60" s="162">
        <f>'Q.6a Model 1'!B62</f>
        <v>26.881699999999999</v>
      </c>
      <c r="C60" s="163">
        <f>'Q.6a Model 2'!A62</f>
        <v>3.6</v>
      </c>
      <c r="D60" s="163">
        <f>'Q.6a Model 2'!B62</f>
        <v>35.6</v>
      </c>
      <c r="E60" s="10">
        <f>'Q.6a Model 3'!$A62</f>
        <v>3.6</v>
      </c>
      <c r="F60" s="10">
        <f>'Q.6a Model 3'!$B62</f>
        <v>40.4</v>
      </c>
      <c r="H60" s="214">
        <v>3.6</v>
      </c>
      <c r="I60" s="214">
        <v>40.4</v>
      </c>
      <c r="J60" s="62"/>
      <c r="K60" s="71">
        <f t="shared" si="4"/>
        <v>34.516292506401243</v>
      </c>
      <c r="L60" s="71">
        <f t="shared" si="5"/>
        <v>5.8837074935987559</v>
      </c>
      <c r="M60" s="71">
        <f t="shared" si="7"/>
        <v>5.8837074935987559</v>
      </c>
      <c r="N60" s="175">
        <f t="shared" si="8"/>
        <v>34.618013870230151</v>
      </c>
      <c r="O60" s="71">
        <f t="shared" si="9"/>
        <v>0.14563632409897911</v>
      </c>
      <c r="P60" s="176"/>
      <c r="Q60" s="144"/>
      <c r="R60" s="175">
        <f t="shared" si="2"/>
        <v>29.369752430311838</v>
      </c>
      <c r="S60" s="71">
        <f t="shared" si="3"/>
        <v>0.21559377999002097</v>
      </c>
    </row>
    <row r="61" spans="1:19">
      <c r="A61" s="162">
        <f>'Q.6a Model 1'!A63</f>
        <v>4.8</v>
      </c>
      <c r="B61" s="162">
        <f>'Q.6a Model 1'!B63</f>
        <v>26.228300000000001</v>
      </c>
      <c r="C61" s="163">
        <f>'Q.6a Model 2'!A63</f>
        <v>5</v>
      </c>
      <c r="D61" s="163">
        <f>'Q.6a Model 2'!B63</f>
        <v>23.618200000000002</v>
      </c>
      <c r="E61" s="10">
        <f>'Q.6a Model 3'!$A63</f>
        <v>3.5</v>
      </c>
      <c r="F61" s="10">
        <f>'Q.6a Model 3'!$B63</f>
        <v>37.349899999999998</v>
      </c>
      <c r="H61" s="214">
        <v>3.5</v>
      </c>
      <c r="I61" s="214">
        <v>37.349899999999998</v>
      </c>
      <c r="J61" s="62"/>
      <c r="K61" s="71">
        <f t="shared" si="4"/>
        <v>34.937852971228637</v>
      </c>
      <c r="L61" s="71">
        <f t="shared" si="5"/>
        <v>2.4120470287713616</v>
      </c>
      <c r="M61" s="71">
        <f t="shared" si="7"/>
        <v>2.4120470287713616</v>
      </c>
      <c r="N61" s="175">
        <f t="shared" si="8"/>
        <v>5.8179708690047534</v>
      </c>
      <c r="O61" s="71">
        <f t="shared" si="9"/>
        <v>6.4579745294401372E-2</v>
      </c>
      <c r="P61" s="176"/>
      <c r="Q61" s="144"/>
      <c r="R61" s="175">
        <f t="shared" si="2"/>
        <v>5.6135195656776888</v>
      </c>
      <c r="S61" s="71">
        <f t="shared" si="3"/>
        <v>1.828443932057986E-3</v>
      </c>
    </row>
    <row r="62" spans="1:19">
      <c r="A62" s="162">
        <f>'Q.6a Model 1'!A64</f>
        <v>3</v>
      </c>
      <c r="B62" s="162">
        <f>'Q.6a Model 1'!B64</f>
        <v>38.7896</v>
      </c>
      <c r="C62" s="163">
        <f>'Q.6a Model 2'!A64</f>
        <v>4.8</v>
      </c>
      <c r="D62" s="163">
        <f>'Q.6a Model 2'!B64</f>
        <v>23.577999999999999</v>
      </c>
      <c r="E62" s="10">
        <f>'Q.6a Model 3'!$A64</f>
        <v>2.5</v>
      </c>
      <c r="F62" s="10">
        <f>'Q.6a Model 3'!$B64</f>
        <v>40.6</v>
      </c>
      <c r="H62" s="214">
        <v>2.5</v>
      </c>
      <c r="I62" s="214">
        <v>40.6</v>
      </c>
      <c r="J62" s="62"/>
      <c r="K62" s="71">
        <f t="shared" si="4"/>
        <v>39.153457619502632</v>
      </c>
      <c r="L62" s="71">
        <f t="shared" si="5"/>
        <v>1.4465423804973696</v>
      </c>
      <c r="M62" s="71">
        <f t="shared" si="7"/>
        <v>1.4465423804973696</v>
      </c>
      <c r="N62" s="175">
        <f t="shared" si="8"/>
        <v>2.0924848585749967</v>
      </c>
      <c r="O62" s="71">
        <f t="shared" si="9"/>
        <v>3.5629122672349002E-2</v>
      </c>
      <c r="P62" s="176"/>
      <c r="Q62" s="144"/>
      <c r="R62" s="175">
        <f t="shared" si="2"/>
        <v>31.577507118658755</v>
      </c>
      <c r="S62" s="71">
        <f t="shared" si="3"/>
        <v>17.412629888956623</v>
      </c>
    </row>
    <row r="63" spans="1:19">
      <c r="A63" s="162">
        <f>'Q.6a Model 1'!A65</f>
        <v>3.5</v>
      </c>
      <c r="B63" s="162">
        <f>'Q.6a Model 1'!B65</f>
        <v>34.200000000000003</v>
      </c>
      <c r="C63" s="163">
        <f>'Q.6a Model 2'!A65</f>
        <v>4.5999999999999996</v>
      </c>
      <c r="D63" s="163">
        <f>'Q.6a Model 2'!B65</f>
        <v>29</v>
      </c>
      <c r="E63" s="10">
        <f>'Q.6a Model 3'!$A65</f>
        <v>4.2</v>
      </c>
      <c r="F63" s="10">
        <f>'Q.6a Model 3'!$B65</f>
        <v>24.6</v>
      </c>
      <c r="H63" s="214">
        <v>4.2</v>
      </c>
      <c r="I63" s="214">
        <v>24.6</v>
      </c>
      <c r="J63" s="62"/>
      <c r="K63" s="71">
        <f t="shared" si="4"/>
        <v>31.986929717436848</v>
      </c>
      <c r="L63" s="71">
        <f t="shared" si="5"/>
        <v>-7.3869297174368462</v>
      </c>
      <c r="M63" s="71">
        <f t="shared" si="7"/>
        <v>7.3869297174368462</v>
      </c>
      <c r="N63" s="175">
        <f t="shared" si="8"/>
        <v>54.566730650351602</v>
      </c>
      <c r="O63" s="71">
        <f t="shared" si="9"/>
        <v>0.30028169583076608</v>
      </c>
      <c r="P63" s="176"/>
      <c r="Q63" s="144"/>
      <c r="R63" s="175">
        <f t="shared" si="2"/>
        <v>107.75713205090798</v>
      </c>
      <c r="S63" s="71">
        <f t="shared" si="3"/>
        <v>8.9621412675685015</v>
      </c>
    </row>
    <row r="64" spans="1:19">
      <c r="A64" s="162">
        <f>'Q.6a Model 1'!A66</f>
        <v>2</v>
      </c>
      <c r="B64" s="162">
        <f>'Q.6a Model 1'!B66</f>
        <v>33.299999999999997</v>
      </c>
      <c r="C64" s="163">
        <f>'Q.6a Model 2'!A66</f>
        <v>2.4</v>
      </c>
      <c r="D64" s="163">
        <f>'Q.6a Model 2'!B66</f>
        <v>41.699800000000003</v>
      </c>
      <c r="E64" s="10">
        <f>'Q.6a Model 3'!$A66</f>
        <v>5.6</v>
      </c>
      <c r="F64" s="10">
        <f>'Q.6a Model 3'!$B66</f>
        <v>24.149100000000001</v>
      </c>
      <c r="H64" s="214">
        <v>5.6</v>
      </c>
      <c r="I64" s="214">
        <v>24.149100000000001</v>
      </c>
      <c r="J64" s="62"/>
      <c r="K64" s="71">
        <f t="shared" si="4"/>
        <v>26.085083209853266</v>
      </c>
      <c r="L64" s="71">
        <f t="shared" si="5"/>
        <v>-1.9359832098532657</v>
      </c>
      <c r="M64" s="71">
        <f t="shared" si="7"/>
        <v>1.9359832098532657</v>
      </c>
      <c r="N64" s="175">
        <f t="shared" si="8"/>
        <v>3.7480309888337535</v>
      </c>
      <c r="O64" s="71">
        <f t="shared" si="9"/>
        <v>8.0167923850299416E-2</v>
      </c>
      <c r="P64" s="176"/>
      <c r="Q64" s="144"/>
      <c r="R64" s="175">
        <f t="shared" si="2"/>
        <v>117.32167991602995</v>
      </c>
      <c r="S64" s="71">
        <f t="shared" si="3"/>
        <v>79.130455213456159</v>
      </c>
    </row>
    <row r="65" spans="1:19">
      <c r="A65" s="162">
        <f>'Q.6a Model 1'!A67</f>
        <v>2.9</v>
      </c>
      <c r="B65" s="162">
        <f>'Q.6a Model 1'!B67</f>
        <v>37.329599999999999</v>
      </c>
      <c r="C65" s="163">
        <f>'Q.6a Model 2'!A67</f>
        <v>5.7</v>
      </c>
      <c r="D65" s="163">
        <f>'Q.6a Model 2'!B67</f>
        <v>34.5</v>
      </c>
      <c r="E65" s="10">
        <f>'Q.6a Model 3'!$A67</f>
        <v>3.5</v>
      </c>
      <c r="F65" s="10">
        <f>'Q.6a Model 3'!$B67</f>
        <v>30.5</v>
      </c>
      <c r="H65" s="214">
        <v>3.5</v>
      </c>
      <c r="I65" s="214">
        <v>30.5</v>
      </c>
      <c r="J65" s="62"/>
      <c r="K65" s="71">
        <f t="shared" si="4"/>
        <v>34.937852971228637</v>
      </c>
      <c r="L65" s="71">
        <f t="shared" si="5"/>
        <v>-4.4378529712286365</v>
      </c>
      <c r="M65" s="71">
        <f t="shared" si="7"/>
        <v>4.4378529712286365</v>
      </c>
      <c r="N65" s="175">
        <f t="shared" si="8"/>
        <v>19.694538994242837</v>
      </c>
      <c r="O65" s="71">
        <f t="shared" si="9"/>
        <v>0.14550337610585692</v>
      </c>
      <c r="P65" s="176"/>
      <c r="Q65" s="144"/>
      <c r="R65" s="175">
        <f t="shared" si="2"/>
        <v>20.075895357141089</v>
      </c>
      <c r="S65" s="71">
        <f t="shared" si="3"/>
        <v>1.828443932057986E-3</v>
      </c>
    </row>
    <row r="66" spans="1:19">
      <c r="A66" s="162">
        <f>'Q.6a Model 1'!A68</f>
        <v>5.5</v>
      </c>
      <c r="B66" s="162">
        <f>'Q.6a Model 1'!B68</f>
        <v>23.9</v>
      </c>
      <c r="C66" s="163">
        <f>'Q.6a Model 2'!A68</f>
        <v>2.9</v>
      </c>
      <c r="D66" s="163">
        <f>'Q.6a Model 2'!B68</f>
        <v>37.329599999999999</v>
      </c>
      <c r="E66" s="10">
        <f>'Q.6a Model 3'!$A68</f>
        <v>2</v>
      </c>
      <c r="F66" s="10">
        <f>'Q.6a Model 3'!$B68</f>
        <v>38.512</v>
      </c>
      <c r="H66" s="214">
        <v>2</v>
      </c>
      <c r="I66" s="214">
        <v>38.512</v>
      </c>
      <c r="J66" s="62"/>
      <c r="K66" s="71">
        <f t="shared" si="4"/>
        <v>41.261259943639622</v>
      </c>
      <c r="L66" s="71">
        <f t="shared" si="5"/>
        <v>-2.7492599436396219</v>
      </c>
      <c r="M66" s="71">
        <f t="shared" si="7"/>
        <v>2.7492599436396219</v>
      </c>
      <c r="N66" s="175">
        <f t="shared" si="8"/>
        <v>7.5584302377013373</v>
      </c>
      <c r="O66" s="71">
        <f t="shared" si="9"/>
        <v>7.1387098661186685E-2</v>
      </c>
      <c r="P66" s="176"/>
      <c r="Q66" s="144"/>
      <c r="R66" s="175">
        <f t="shared" si="2"/>
        <v>12.470692172317271</v>
      </c>
      <c r="S66" s="71">
        <f t="shared" si="3"/>
        <v>39.446522524380804</v>
      </c>
    </row>
    <row r="67" spans="1:19">
      <c r="A67" s="162">
        <f>'Q.6a Model 1'!A69</f>
        <v>6</v>
      </c>
      <c r="B67" s="162">
        <f>'Q.6a Model 1'!B69</f>
        <v>21.4</v>
      </c>
      <c r="C67" s="163">
        <f>'Q.6a Model 2'!A69</f>
        <v>3.6</v>
      </c>
      <c r="D67" s="163">
        <f>'Q.6a Model 2'!B69</f>
        <v>37.690800000000003</v>
      </c>
      <c r="E67" s="10">
        <f>'Q.6a Model 3'!$A69</f>
        <v>4.5999999999999996</v>
      </c>
      <c r="F67" s="10">
        <f>'Q.6a Model 3'!$B69</f>
        <v>28.4633</v>
      </c>
      <c r="H67" s="214">
        <v>4.5999999999999996</v>
      </c>
      <c r="I67" s="214">
        <v>28.4633</v>
      </c>
      <c r="J67" s="62"/>
      <c r="K67" s="71">
        <f t="shared" si="4"/>
        <v>30.300687858127255</v>
      </c>
      <c r="L67" s="71">
        <f t="shared" si="5"/>
        <v>-1.8373878581272542</v>
      </c>
      <c r="M67" s="71">
        <f t="shared" ref="M67:M84" si="10">ABS(L67)</f>
        <v>1.8373878581272542</v>
      </c>
      <c r="N67" s="175">
        <f t="shared" ref="N67:N84" si="11">M67^2</f>
        <v>3.3759941411934591</v>
      </c>
      <c r="O67" s="71">
        <f t="shared" ref="O67:O84" si="12">M67/I67</f>
        <v>6.4552875391372541E-2</v>
      </c>
      <c r="P67" s="176"/>
      <c r="Q67" s="144"/>
      <c r="R67" s="175">
        <f t="shared" ref="R67:R130" si="13">(I67-$J$3)^2</f>
        <v>42.475372378360596</v>
      </c>
      <c r="S67" s="71">
        <f t="shared" ref="S67:S130" si="14">(K67-$J$3)^2</f>
        <v>21.901701946173837</v>
      </c>
    </row>
    <row r="68" spans="1:19">
      <c r="A68" s="162">
        <f>'Q.6a Model 1'!A70</f>
        <v>3.7</v>
      </c>
      <c r="B68" s="162">
        <f>'Q.6a Model 1'!B70</f>
        <v>35.2288</v>
      </c>
      <c r="C68" s="163">
        <f>'Q.6a Model 2'!A70</f>
        <v>3</v>
      </c>
      <c r="D68" s="163">
        <f>'Q.6a Model 2'!B70</f>
        <v>35.460599999999999</v>
      </c>
      <c r="E68" s="10">
        <f>'Q.6a Model 3'!$A70</f>
        <v>2</v>
      </c>
      <c r="F68" s="10">
        <f>'Q.6a Model 3'!$B70</f>
        <v>40.400300000000001</v>
      </c>
      <c r="H68" s="214">
        <v>2</v>
      </c>
      <c r="I68" s="214">
        <v>40.400300000000001</v>
      </c>
      <c r="J68" s="62"/>
      <c r="K68" s="71">
        <f t="shared" ref="K68:K131" si="15">$V$3 + $U$3 * H68</f>
        <v>41.261259943639622</v>
      </c>
      <c r="L68" s="71">
        <f t="shared" ref="L68:L84" si="16">I68-K68</f>
        <v>-0.86095994363962092</v>
      </c>
      <c r="M68" s="71">
        <f t="shared" si="10"/>
        <v>0.86095994363962092</v>
      </c>
      <c r="N68" s="175">
        <f t="shared" si="11"/>
        <v>0.74125202455193928</v>
      </c>
      <c r="O68" s="71">
        <f t="shared" si="12"/>
        <v>2.1310731446044236E-2</v>
      </c>
      <c r="P68" s="176"/>
      <c r="Q68" s="144"/>
      <c r="R68" s="175">
        <f t="shared" si="13"/>
        <v>29.373004152344389</v>
      </c>
      <c r="S68" s="71">
        <f t="shared" si="14"/>
        <v>39.446522524380804</v>
      </c>
    </row>
    <row r="69" spans="1:19">
      <c r="A69" s="162">
        <f>'Q.6a Model 1'!A71</f>
        <v>4</v>
      </c>
      <c r="B69" s="162">
        <f>'Q.6a Model 1'!B71</f>
        <v>28.6</v>
      </c>
      <c r="C69" s="163">
        <f>'Q.6a Model 2'!A71</f>
        <v>5.7</v>
      </c>
      <c r="D69" s="163">
        <f>'Q.6a Model 2'!B71</f>
        <v>24.5</v>
      </c>
      <c r="E69" s="10">
        <f>'Q.6a Model 3'!$A71</f>
        <v>4.7</v>
      </c>
      <c r="F69" s="10">
        <f>'Q.6a Model 3'!$B71</f>
        <v>24.5</v>
      </c>
      <c r="H69" s="214">
        <v>4.7</v>
      </c>
      <c r="I69" s="214">
        <v>24.5</v>
      </c>
      <c r="J69" s="62"/>
      <c r="K69" s="71">
        <f t="shared" si="15"/>
        <v>29.879127393299854</v>
      </c>
      <c r="L69" s="71">
        <f t="shared" si="16"/>
        <v>-5.3791273932998536</v>
      </c>
      <c r="M69" s="71">
        <f t="shared" si="10"/>
        <v>5.3791273932998536</v>
      </c>
      <c r="N69" s="175">
        <f t="shared" si="11"/>
        <v>28.935011513348879</v>
      </c>
      <c r="O69" s="71">
        <f t="shared" si="12"/>
        <v>0.2195562201346879</v>
      </c>
      <c r="P69" s="176"/>
      <c r="Q69" s="144"/>
      <c r="R69" s="175">
        <f t="shared" si="13"/>
        <v>109.84325470673457</v>
      </c>
      <c r="S69" s="71">
        <f t="shared" si="14"/>
        <v>26.025158243352656</v>
      </c>
    </row>
    <row r="70" spans="1:19">
      <c r="A70" s="162">
        <f>'Q.6a Model 1'!A72</f>
        <v>2.4</v>
      </c>
      <c r="B70" s="162">
        <f>'Q.6a Model 1'!B72</f>
        <v>40.832099999999997</v>
      </c>
      <c r="C70" s="163">
        <f>'Q.6a Model 2'!A72</f>
        <v>3</v>
      </c>
      <c r="D70" s="163">
        <f>'Q.6a Model 2'!B72</f>
        <v>35.288699999999999</v>
      </c>
      <c r="E70" s="10">
        <f>'Q.6a Model 3'!$A72</f>
        <v>2.5</v>
      </c>
      <c r="F70" s="10">
        <f>'Q.6a Model 3'!$B72</f>
        <v>51.6</v>
      </c>
      <c r="H70" s="214">
        <v>2.5</v>
      </c>
      <c r="I70" s="214">
        <v>51.6</v>
      </c>
      <c r="J70" s="62"/>
      <c r="K70" s="71">
        <f t="shared" si="15"/>
        <v>39.153457619502632</v>
      </c>
      <c r="L70" s="71">
        <f t="shared" si="16"/>
        <v>12.44654238049737</v>
      </c>
      <c r="M70" s="71">
        <f t="shared" si="10"/>
        <v>12.44654238049737</v>
      </c>
      <c r="N70" s="175">
        <f t="shared" si="11"/>
        <v>154.91641722951712</v>
      </c>
      <c r="O70" s="71">
        <f t="shared" si="12"/>
        <v>0.24121206163754591</v>
      </c>
      <c r="P70" s="176"/>
      <c r="Q70" s="144"/>
      <c r="R70" s="175">
        <f t="shared" si="13"/>
        <v>276.20401497773742</v>
      </c>
      <c r="S70" s="71">
        <f t="shared" si="14"/>
        <v>17.412629888956623</v>
      </c>
    </row>
    <row r="71" spans="1:19">
      <c r="A71" s="162">
        <f>'Q.6a Model 1'!A73</f>
        <v>2.5</v>
      </c>
      <c r="B71" s="162">
        <f>'Q.6a Model 1'!B73</f>
        <v>47.649299999999997</v>
      </c>
      <c r="C71" s="163">
        <f>'Q.6a Model 2'!A73</f>
        <v>2</v>
      </c>
      <c r="D71" s="163">
        <f>'Q.6a Model 2'!B73</f>
        <v>46.362900000000003</v>
      </c>
      <c r="E71" s="10">
        <f>'Q.6a Model 3'!$A73</f>
        <v>5.3</v>
      </c>
      <c r="F71" s="10">
        <f>'Q.6a Model 3'!$B73</f>
        <v>28.993500000000001</v>
      </c>
      <c r="H71" s="214">
        <v>5.3</v>
      </c>
      <c r="I71" s="214">
        <v>28.993500000000001</v>
      </c>
      <c r="J71" s="62"/>
      <c r="K71" s="71">
        <f t="shared" si="15"/>
        <v>27.349764604335462</v>
      </c>
      <c r="L71" s="71">
        <f t="shared" si="16"/>
        <v>1.6437353956645389</v>
      </c>
      <c r="M71" s="71">
        <f t="shared" si="10"/>
        <v>1.6437353956645389</v>
      </c>
      <c r="N71" s="175">
        <f t="shared" si="11"/>
        <v>2.701866050960458</v>
      </c>
      <c r="O71" s="71">
        <f t="shared" si="12"/>
        <v>5.6693237990050833E-2</v>
      </c>
      <c r="P71" s="176"/>
      <c r="Q71" s="144"/>
      <c r="R71" s="175">
        <f t="shared" si="13"/>
        <v>35.845525417168176</v>
      </c>
      <c r="S71" s="71">
        <f t="shared" si="14"/>
        <v>58.229851497656135</v>
      </c>
    </row>
    <row r="72" spans="1:19">
      <c r="A72" s="162">
        <f>'Q.6a Model 1'!A74</f>
        <v>3</v>
      </c>
      <c r="B72" s="162">
        <f>'Q.6a Model 1'!B74</f>
        <v>38.7896</v>
      </c>
      <c r="C72" s="163">
        <f>'Q.6a Model 2'!A74</f>
        <v>5.4</v>
      </c>
      <c r="D72" s="163">
        <f>'Q.6a Model 2'!B74</f>
        <v>30.4</v>
      </c>
      <c r="E72" s="10">
        <f>'Q.6a Model 3'!$A74</f>
        <v>5.3</v>
      </c>
      <c r="F72" s="10">
        <f>'Q.6a Model 3'!$B74</f>
        <v>28.993500000000001</v>
      </c>
      <c r="H72" s="214">
        <v>5.3</v>
      </c>
      <c r="I72" s="214">
        <v>28.993500000000001</v>
      </c>
      <c r="J72" s="62"/>
      <c r="K72" s="71">
        <f t="shared" si="15"/>
        <v>27.349764604335462</v>
      </c>
      <c r="L72" s="71">
        <f t="shared" si="16"/>
        <v>1.6437353956645389</v>
      </c>
      <c r="M72" s="71">
        <f t="shared" si="10"/>
        <v>1.6437353956645389</v>
      </c>
      <c r="N72" s="175">
        <f t="shared" si="11"/>
        <v>2.701866050960458</v>
      </c>
      <c r="O72" s="71">
        <f t="shared" si="12"/>
        <v>5.6693237990050833E-2</v>
      </c>
      <c r="P72" s="176"/>
      <c r="Q72" s="144"/>
      <c r="R72" s="175">
        <f t="shared" si="13"/>
        <v>35.845525417168176</v>
      </c>
      <c r="S72" s="71">
        <f t="shared" si="14"/>
        <v>58.229851497656135</v>
      </c>
    </row>
    <row r="73" spans="1:19">
      <c r="A73" s="162">
        <f>'Q.6a Model 1'!A75</f>
        <v>2.4</v>
      </c>
      <c r="B73" s="162">
        <f>'Q.6a Model 1'!B75</f>
        <v>34.299999999999997</v>
      </c>
      <c r="C73" s="163">
        <f>'Q.6a Model 2'!A75</f>
        <v>2.4</v>
      </c>
      <c r="D73" s="163">
        <f>'Q.6a Model 2'!B75</f>
        <v>46.9</v>
      </c>
      <c r="E73" s="10">
        <f>'Q.6a Model 3'!$A75</f>
        <v>2.2000000000000002</v>
      </c>
      <c r="F73" s="10">
        <f>'Q.6a Model 3'!$B75</f>
        <v>42.399099999999997</v>
      </c>
      <c r="H73" s="214">
        <v>2.2000000000000002</v>
      </c>
      <c r="I73" s="214">
        <v>42.399099999999997</v>
      </c>
      <c r="J73" s="62"/>
      <c r="K73" s="71">
        <f t="shared" si="15"/>
        <v>40.418139013984828</v>
      </c>
      <c r="L73" s="71">
        <f t="shared" si="16"/>
        <v>1.9809609860151696</v>
      </c>
      <c r="M73" s="71">
        <f t="shared" si="10"/>
        <v>1.9809609860151696</v>
      </c>
      <c r="N73" s="175">
        <f t="shared" si="11"/>
        <v>3.9242064281141928</v>
      </c>
      <c r="O73" s="71">
        <f t="shared" si="12"/>
        <v>4.6721769707733646E-2</v>
      </c>
      <c r="P73" s="176"/>
      <c r="Q73" s="144"/>
      <c r="R73" s="175">
        <f t="shared" si="13"/>
        <v>55.033945227683091</v>
      </c>
      <c r="S73" s="71">
        <f t="shared" si="14"/>
        <v>29.566686117178193</v>
      </c>
    </row>
    <row r="74" spans="1:19">
      <c r="A74" s="162">
        <f>'Q.6a Model 1'!A76</f>
        <v>1.8</v>
      </c>
      <c r="B74" s="162">
        <f>'Q.6a Model 1'!B76</f>
        <v>37.002800000000001</v>
      </c>
      <c r="C74" s="163">
        <f>'Q.6a Model 2'!A76</f>
        <v>2.5</v>
      </c>
      <c r="D74" s="163">
        <f>'Q.6a Model 2'!B76</f>
        <v>46.6</v>
      </c>
      <c r="E74" s="10">
        <f>'Q.6a Model 3'!$A76</f>
        <v>2.5</v>
      </c>
      <c r="F74" s="10">
        <f>'Q.6a Model 3'!$B76</f>
        <v>42.9</v>
      </c>
      <c r="H74" s="214">
        <v>2.5</v>
      </c>
      <c r="I74" s="214">
        <v>42.9</v>
      </c>
      <c r="J74" s="62"/>
      <c r="K74" s="71">
        <f t="shared" si="15"/>
        <v>39.153457619502632</v>
      </c>
      <c r="L74" s="71">
        <f t="shared" si="16"/>
        <v>3.7465423804973668</v>
      </c>
      <c r="M74" s="71">
        <f t="shared" si="10"/>
        <v>3.7465423804973668</v>
      </c>
      <c r="N74" s="175">
        <f t="shared" si="11"/>
        <v>14.036579808862875</v>
      </c>
      <c r="O74" s="71">
        <f t="shared" si="12"/>
        <v>8.733199022138384E-2</v>
      </c>
      <c r="P74" s="176"/>
      <c r="Q74" s="144"/>
      <c r="R74" s="175">
        <f t="shared" si="13"/>
        <v>62.716686034647886</v>
      </c>
      <c r="S74" s="71">
        <f t="shared" si="14"/>
        <v>17.412629888956623</v>
      </c>
    </row>
    <row r="75" spans="1:19">
      <c r="A75" s="162">
        <f>'Q.6a Model 1'!A77</f>
        <v>2.4</v>
      </c>
      <c r="B75" s="162">
        <f>'Q.6a Model 1'!B77</f>
        <v>34.1</v>
      </c>
      <c r="C75" s="163">
        <f>'Q.6a Model 2'!A77</f>
        <v>2.5</v>
      </c>
      <c r="D75" s="163">
        <f>'Q.6a Model 2'!B77</f>
        <v>37.057400000000001</v>
      </c>
      <c r="E75" s="10">
        <f>'Q.6a Model 3'!$A77</f>
        <v>2.5</v>
      </c>
      <c r="F75" s="10">
        <f>'Q.6a Model 3'!$B77</f>
        <v>37.9</v>
      </c>
      <c r="H75" s="214">
        <v>2.5</v>
      </c>
      <c r="I75" s="214">
        <v>37.9</v>
      </c>
      <c r="J75" s="62"/>
      <c r="K75" s="71">
        <f t="shared" si="15"/>
        <v>39.153457619502632</v>
      </c>
      <c r="L75" s="71">
        <f t="shared" si="16"/>
        <v>-1.2534576195026332</v>
      </c>
      <c r="M75" s="71">
        <f t="shared" si="10"/>
        <v>1.2534576195026332</v>
      </c>
      <c r="N75" s="175">
        <f t="shared" si="11"/>
        <v>1.5711560038892081</v>
      </c>
      <c r="O75" s="71">
        <f t="shared" si="12"/>
        <v>3.3072760409040454E-2</v>
      </c>
      <c r="P75" s="176"/>
      <c r="Q75" s="144"/>
      <c r="R75" s="175">
        <f t="shared" si="13"/>
        <v>8.5228188259757935</v>
      </c>
      <c r="S75" s="71">
        <f t="shared" si="14"/>
        <v>17.412629888956623</v>
      </c>
    </row>
    <row r="76" spans="1:19">
      <c r="A76" s="162">
        <f>'Q.6a Model 1'!A78</f>
        <v>4.5999999999999996</v>
      </c>
      <c r="B76" s="162">
        <f>'Q.6a Model 1'!B78</f>
        <v>26.782900000000001</v>
      </c>
      <c r="C76" s="163">
        <f>'Q.6a Model 2'!A78</f>
        <v>4.7</v>
      </c>
      <c r="D76" s="163">
        <f>'Q.6a Model 2'!B78</f>
        <v>25.609400000000001</v>
      </c>
      <c r="E76" s="10">
        <f>'Q.6a Model 3'!$A78</f>
        <v>3.5</v>
      </c>
      <c r="F76" s="10">
        <f>'Q.6a Model 3'!$B78</f>
        <v>36.556399999999996</v>
      </c>
      <c r="H76" s="214">
        <v>3.5</v>
      </c>
      <c r="I76" s="214">
        <v>36.556399999999996</v>
      </c>
      <c r="J76" s="62"/>
      <c r="K76" s="71">
        <f t="shared" si="15"/>
        <v>34.937852971228637</v>
      </c>
      <c r="L76" s="71">
        <f t="shared" si="16"/>
        <v>1.6185470287713599</v>
      </c>
      <c r="M76" s="71">
        <f t="shared" si="10"/>
        <v>1.6185470287713599</v>
      </c>
      <c r="N76" s="175">
        <f t="shared" si="11"/>
        <v>2.6196944843445973</v>
      </c>
      <c r="O76" s="71">
        <f t="shared" si="12"/>
        <v>4.4275339715381168E-2</v>
      </c>
      <c r="P76" s="176"/>
      <c r="Q76" s="144"/>
      <c r="R76" s="175">
        <f t="shared" si="13"/>
        <v>2.4831037896614241</v>
      </c>
      <c r="S76" s="71">
        <f t="shared" si="14"/>
        <v>1.828443932057986E-3</v>
      </c>
    </row>
    <row r="77" spans="1:19">
      <c r="A77" s="162">
        <f>'Q.6a Model 1'!A79</f>
        <v>5.7</v>
      </c>
      <c r="B77" s="162">
        <f>'Q.6a Model 1'!B79</f>
        <v>25.4</v>
      </c>
      <c r="C77" s="163">
        <f>'Q.6a Model 2'!A79</f>
        <v>5.3</v>
      </c>
      <c r="D77" s="163">
        <f>'Q.6a Model 2'!B79</f>
        <v>24.299900000000001</v>
      </c>
      <c r="E77" s="10">
        <f>'Q.6a Model 3'!$A79</f>
        <v>2.2000000000000002</v>
      </c>
      <c r="F77" s="10">
        <f>'Q.6a Model 3'!$B79</f>
        <v>51.9</v>
      </c>
      <c r="H77" s="214">
        <v>2.2000000000000002</v>
      </c>
      <c r="I77" s="214">
        <v>51.9</v>
      </c>
      <c r="J77" s="62"/>
      <c r="K77" s="71">
        <f t="shared" si="15"/>
        <v>40.418139013984828</v>
      </c>
      <c r="L77" s="71">
        <f t="shared" si="16"/>
        <v>11.481860986015171</v>
      </c>
      <c r="M77" s="71">
        <f t="shared" si="10"/>
        <v>11.481860986015171</v>
      </c>
      <c r="N77" s="175">
        <f t="shared" si="11"/>
        <v>131.83313170217727</v>
      </c>
      <c r="O77" s="71">
        <f t="shared" si="12"/>
        <v>0.22123046215828845</v>
      </c>
      <c r="P77" s="176"/>
      <c r="Q77" s="144"/>
      <c r="R77" s="175">
        <f t="shared" si="13"/>
        <v>286.26564701025762</v>
      </c>
      <c r="S77" s="71">
        <f t="shared" si="14"/>
        <v>29.566686117178193</v>
      </c>
    </row>
    <row r="78" spans="1:19">
      <c r="A78" s="162">
        <f>'Q.6a Model 1'!A80</f>
        <v>2.5</v>
      </c>
      <c r="B78" s="162">
        <f>'Q.6a Model 1'!B80</f>
        <v>40.4</v>
      </c>
      <c r="C78" s="163">
        <f>'Q.6a Model 2'!A80</f>
        <v>4</v>
      </c>
      <c r="D78" s="163">
        <f>'Q.6a Model 2'!B80</f>
        <v>35.200000000000003</v>
      </c>
      <c r="E78" s="10">
        <f>'Q.6a Model 3'!$A80</f>
        <v>2.4</v>
      </c>
      <c r="F78" s="10">
        <f>'Q.6a Model 3'!$B80</f>
        <v>44.344000000000001</v>
      </c>
      <c r="H78" s="214">
        <v>2.4</v>
      </c>
      <c r="I78" s="214">
        <v>44.344000000000001</v>
      </c>
      <c r="J78" s="62"/>
      <c r="K78" s="71">
        <f t="shared" si="15"/>
        <v>39.575018084330026</v>
      </c>
      <c r="L78" s="71">
        <f t="shared" si="16"/>
        <v>4.7689819156699755</v>
      </c>
      <c r="M78" s="71">
        <f t="shared" si="10"/>
        <v>4.7689819156699755</v>
      </c>
      <c r="N78" s="175">
        <f t="shared" si="11"/>
        <v>22.74318851198727</v>
      </c>
      <c r="O78" s="71">
        <f t="shared" si="12"/>
        <v>0.10754514513056954</v>
      </c>
      <c r="P78" s="176"/>
      <c r="Q78" s="144"/>
      <c r="R78" s="175">
        <f t="shared" si="13"/>
        <v>87.673010884512436</v>
      </c>
      <c r="S78" s="71">
        <f t="shared" si="14"/>
        <v>21.10855551401945</v>
      </c>
    </row>
    <row r="79" spans="1:19">
      <c r="A79" s="162">
        <f>'Q.6a Model 1'!A81</f>
        <v>4</v>
      </c>
      <c r="B79" s="162">
        <f>'Q.6a Model 1'!B81</f>
        <v>28.3</v>
      </c>
      <c r="C79" s="163">
        <f>'Q.6a Model 2'!A81</f>
        <v>2</v>
      </c>
      <c r="D79" s="163">
        <f>'Q.6a Model 2'!B81</f>
        <v>38.499699999999997</v>
      </c>
      <c r="E79" s="10">
        <f>'Q.6a Model 3'!$A81</f>
        <v>5.3</v>
      </c>
      <c r="F79" s="10">
        <f>'Q.6a Model 3'!$B81</f>
        <v>29.3645</v>
      </c>
      <c r="H79" s="214">
        <v>5.3</v>
      </c>
      <c r="I79" s="214">
        <v>29.3645</v>
      </c>
      <c r="J79" s="62"/>
      <c r="K79" s="71">
        <f t="shared" si="15"/>
        <v>27.349764604335462</v>
      </c>
      <c r="L79" s="71">
        <f t="shared" si="16"/>
        <v>2.0147353956645375</v>
      </c>
      <c r="M79" s="71">
        <f t="shared" si="10"/>
        <v>2.0147353956645375</v>
      </c>
      <c r="N79" s="175">
        <f t="shared" si="11"/>
        <v>4.0591587145435408</v>
      </c>
      <c r="O79" s="71">
        <f t="shared" si="12"/>
        <v>6.8611261750226887E-2</v>
      </c>
      <c r="P79" s="176"/>
      <c r="Q79" s="144"/>
      <c r="R79" s="175">
        <f t="shared" si="13"/>
        <v>31.54072836405166</v>
      </c>
      <c r="S79" s="71">
        <f t="shared" si="14"/>
        <v>58.229851497656135</v>
      </c>
    </row>
    <row r="80" spans="1:19">
      <c r="A80" s="162">
        <f>'Q.6a Model 1'!A82</f>
        <v>2.4</v>
      </c>
      <c r="B80" s="162">
        <f>'Q.6a Model 1'!B82</f>
        <v>42.214599999999997</v>
      </c>
      <c r="C80" s="163">
        <f>'Q.6a Model 2'!A82</f>
        <v>6</v>
      </c>
      <c r="D80" s="163">
        <f>'Q.6a Model 2'!B82</f>
        <v>30.5</v>
      </c>
      <c r="E80" s="10">
        <f>'Q.6a Model 3'!$A82</f>
        <v>2</v>
      </c>
      <c r="F80" s="10">
        <f>'Q.6a Model 3'!$B82</f>
        <v>42.3461</v>
      </c>
      <c r="H80" s="214">
        <v>2</v>
      </c>
      <c r="I80" s="214">
        <v>42.3461</v>
      </c>
      <c r="J80" s="62"/>
      <c r="K80" s="71">
        <f t="shared" si="15"/>
        <v>41.261259943639622</v>
      </c>
      <c r="L80" s="71">
        <f t="shared" si="16"/>
        <v>1.0848400563603775</v>
      </c>
      <c r="M80" s="71">
        <f t="shared" si="10"/>
        <v>1.0848400563603775</v>
      </c>
      <c r="N80" s="175">
        <f t="shared" si="11"/>
        <v>1.176877947883987</v>
      </c>
      <c r="O80" s="71">
        <f t="shared" si="12"/>
        <v>2.5618417194508525E-2</v>
      </c>
      <c r="P80" s="176"/>
      <c r="Q80" s="144"/>
      <c r="R80" s="175">
        <f t="shared" si="13"/>
        <v>54.250394635271206</v>
      </c>
      <c r="S80" s="71">
        <f t="shared" si="14"/>
        <v>39.446522524380804</v>
      </c>
    </row>
    <row r="81" spans="1:20">
      <c r="A81" s="162">
        <f>'Q.6a Model 1'!A83</f>
        <v>4.7</v>
      </c>
      <c r="B81" s="162">
        <f>'Q.6a Model 1'!B83</f>
        <v>25.6</v>
      </c>
      <c r="C81" s="163">
        <f>'Q.6a Model 2'!A83</f>
        <v>3</v>
      </c>
      <c r="D81" s="163">
        <f>'Q.6a Model 2'!B83</f>
        <v>36.798000000000002</v>
      </c>
      <c r="E81" s="10">
        <f>'Q.6a Model 3'!$A83</f>
        <v>2</v>
      </c>
      <c r="F81" s="10">
        <f>'Q.6a Model 3'!$B83</f>
        <v>43</v>
      </c>
      <c r="H81" s="214">
        <v>2</v>
      </c>
      <c r="I81" s="214">
        <v>43</v>
      </c>
      <c r="J81" s="62"/>
      <c r="K81" s="71">
        <f t="shared" si="15"/>
        <v>41.261259943639622</v>
      </c>
      <c r="L81" s="71">
        <f t="shared" si="16"/>
        <v>1.7387400563603777</v>
      </c>
      <c r="M81" s="71">
        <f t="shared" si="10"/>
        <v>1.7387400563603777</v>
      </c>
      <c r="N81" s="175">
        <f t="shared" si="11"/>
        <v>3.0232169835920892</v>
      </c>
      <c r="O81" s="71">
        <f t="shared" si="12"/>
        <v>4.0435815264194826E-2</v>
      </c>
      <c r="P81" s="176"/>
      <c r="Q81" s="144"/>
      <c r="R81" s="175">
        <f t="shared" si="13"/>
        <v>64.310563378821342</v>
      </c>
      <c r="S81" s="71">
        <f t="shared" si="14"/>
        <v>39.446522524380804</v>
      </c>
    </row>
    <row r="82" spans="1:20">
      <c r="A82" s="162">
        <f>'Q.6a Model 1'!A84</f>
        <v>5.9</v>
      </c>
      <c r="B82" s="162">
        <f>'Q.6a Model 1'!B84</f>
        <v>23.6523</v>
      </c>
      <c r="C82" s="163">
        <f>'Q.6a Model 2'!A84</f>
        <v>3</v>
      </c>
      <c r="D82" s="163">
        <f>'Q.6a Model 2'!B84</f>
        <v>35.460599999999999</v>
      </c>
      <c r="E82" s="10">
        <f>'Q.6a Model 3'!$A84</f>
        <v>2.5</v>
      </c>
      <c r="F82" s="10">
        <f>'Q.6a Model 3'!$B84</f>
        <v>47.649299999999997</v>
      </c>
      <c r="H82" s="214">
        <v>2.5</v>
      </c>
      <c r="I82" s="214">
        <v>47.649299999999997</v>
      </c>
      <c r="J82" s="62"/>
      <c r="K82" s="71">
        <f t="shared" si="15"/>
        <v>39.153457619502632</v>
      </c>
      <c r="L82" s="71">
        <f t="shared" si="16"/>
        <v>8.4958423804973648</v>
      </c>
      <c r="M82" s="71">
        <f t="shared" si="10"/>
        <v>8.4958423804973648</v>
      </c>
      <c r="N82" s="175">
        <f t="shared" si="11"/>
        <v>72.17933775425513</v>
      </c>
      <c r="O82" s="71">
        <f t="shared" si="12"/>
        <v>0.17829941637122404</v>
      </c>
      <c r="P82" s="176"/>
      <c r="Q82" s="144"/>
      <c r="R82" s="175">
        <f t="shared" si="13"/>
        <v>160.49562323147711</v>
      </c>
      <c r="S82" s="71">
        <f t="shared" si="14"/>
        <v>17.412629888956623</v>
      </c>
    </row>
    <row r="83" spans="1:20">
      <c r="A83" s="162">
        <f>'Q.6a Model 1'!A85</f>
        <v>3.5</v>
      </c>
      <c r="B83" s="162">
        <f>'Q.6a Model 1'!B85</f>
        <v>34</v>
      </c>
      <c r="C83" s="163">
        <f>'Q.6a Model 2'!A85</f>
        <v>3.6</v>
      </c>
      <c r="D83" s="163">
        <f>'Q.6a Model 2'!B85</f>
        <v>33</v>
      </c>
      <c r="E83" s="10">
        <f>'Q.6a Model 3'!$A85</f>
        <v>1.3</v>
      </c>
      <c r="F83" s="10">
        <f>'Q.6a Model 3'!$B85</f>
        <v>61.2</v>
      </c>
      <c r="H83" s="214">
        <v>1.3</v>
      </c>
      <c r="I83" s="214">
        <v>61.2</v>
      </c>
      <c r="J83" s="62"/>
      <c r="K83" s="71">
        <f t="shared" si="15"/>
        <v>44.212183197431415</v>
      </c>
      <c r="L83" s="71">
        <f t="shared" si="16"/>
        <v>16.987816802568588</v>
      </c>
      <c r="M83" s="71">
        <f t="shared" si="10"/>
        <v>16.987816802568588</v>
      </c>
      <c r="N83" s="175">
        <f t="shared" si="11"/>
        <v>288.58591971763167</v>
      </c>
      <c r="O83" s="71">
        <f t="shared" si="12"/>
        <v>0.27757870592432332</v>
      </c>
      <c r="P83" s="176"/>
      <c r="Q83" s="144"/>
      <c r="R83" s="175">
        <f t="shared" si="13"/>
        <v>687.45624001838792</v>
      </c>
      <c r="S83" s="71">
        <f t="shared" si="14"/>
        <v>85.221883156436078</v>
      </c>
    </row>
    <row r="84" spans="1:20">
      <c r="A84" s="162">
        <f>'Q.6a Model 1'!A86</f>
        <v>5</v>
      </c>
      <c r="B84" s="162">
        <f>'Q.6a Model 1'!B86</f>
        <v>24.7928</v>
      </c>
      <c r="C84" s="163">
        <f>'Q.6a Model 2'!A86</f>
        <v>6.2</v>
      </c>
      <c r="D84" s="163">
        <f>'Q.6a Model 2'!B86</f>
        <v>25.799900000000001</v>
      </c>
      <c r="E84" s="10">
        <f>'Q.6a Model 3'!$A86</f>
        <v>2</v>
      </c>
      <c r="F84" s="10">
        <f>'Q.6a Model 3'!$B86</f>
        <v>41.521000000000001</v>
      </c>
      <c r="H84" s="214">
        <v>2</v>
      </c>
      <c r="I84" s="214">
        <v>41.521000000000001</v>
      </c>
      <c r="J84" s="62"/>
      <c r="K84" s="71">
        <f t="shared" si="15"/>
        <v>41.261259943639622</v>
      </c>
      <c r="L84" s="71">
        <f t="shared" si="16"/>
        <v>0.25974005636037845</v>
      </c>
      <c r="M84" s="71">
        <f t="shared" si="10"/>
        <v>0.25974005636037845</v>
      </c>
      <c r="N84" s="175">
        <f t="shared" si="11"/>
        <v>6.7464896878092567E-2</v>
      </c>
      <c r="O84" s="71">
        <f t="shared" si="12"/>
        <v>6.2556310387605896E-3</v>
      </c>
      <c r="P84" s="176"/>
      <c r="Q84" s="144"/>
      <c r="R84" s="175">
        <f t="shared" si="13"/>
        <v>42.776658458496151</v>
      </c>
      <c r="S84" s="71">
        <f t="shared" si="14"/>
        <v>39.446522524380804</v>
      </c>
    </row>
    <row r="85" spans="1:20">
      <c r="A85" s="162">
        <f>'Q.6a Model 1'!A87</f>
        <v>3.5</v>
      </c>
      <c r="B85" s="162">
        <f>'Q.6a Model 1'!B87</f>
        <v>36.087600000000002</v>
      </c>
      <c r="C85" s="163">
        <f>'Q.6a Model 2'!A87</f>
        <v>3.2</v>
      </c>
      <c r="D85" s="163">
        <f>'Q.6a Model 2'!B87</f>
        <v>36.200000000000003</v>
      </c>
      <c r="E85" s="10">
        <f>'Q.6a Model 3'!$A87</f>
        <v>3.7</v>
      </c>
      <c r="F85" s="10">
        <f>'Q.6a Model 3'!$B87</f>
        <v>31.411200000000001</v>
      </c>
      <c r="H85" s="214">
        <v>3.7</v>
      </c>
      <c r="I85" s="214">
        <v>31.411200000000001</v>
      </c>
      <c r="J85" s="62"/>
      <c r="K85" s="71">
        <f t="shared" si="15"/>
        <v>34.094732041573842</v>
      </c>
      <c r="L85" s="71">
        <f t="shared" ref="L85:L148" si="17">I85-K85</f>
        <v>-2.6835320415738408</v>
      </c>
      <c r="M85" s="71">
        <f t="shared" ref="M85:M148" si="18">ABS(L85)</f>
        <v>2.6835320415738408</v>
      </c>
      <c r="N85" s="175">
        <f t="shared" ref="N85:N148" si="19">M85^2</f>
        <v>7.2013442181534666</v>
      </c>
      <c r="O85" s="71">
        <f t="shared" ref="O85:O148" si="20">M85/I85</f>
        <v>8.5432331193136229E-2</v>
      </c>
      <c r="P85" s="176"/>
      <c r="Q85" s="144"/>
      <c r="R85" s="175">
        <f t="shared" si="13"/>
        <v>12.740711157249489</v>
      </c>
      <c r="S85" s="71">
        <f t="shared" si="14"/>
        <v>0.78478556705897329</v>
      </c>
      <c r="T85" s="64"/>
    </row>
    <row r="86" spans="1:20">
      <c r="A86" s="162">
        <f>'Q.6a Model 1'!A88</f>
        <v>4</v>
      </c>
      <c r="B86" s="162">
        <f>'Q.6a Model 1'!B88</f>
        <v>27.785699999999999</v>
      </c>
      <c r="C86" s="163">
        <f>'Q.6a Model 2'!A88</f>
        <v>1.6</v>
      </c>
      <c r="D86" s="163">
        <f>'Q.6a Model 2'!B88</f>
        <v>46.5047</v>
      </c>
      <c r="E86" s="10">
        <f>'Q.6a Model 3'!$A88</f>
        <v>5.3</v>
      </c>
      <c r="F86" s="10">
        <f>'Q.6a Model 3'!$B88</f>
        <v>27.9</v>
      </c>
      <c r="H86" s="214">
        <v>5.3</v>
      </c>
      <c r="I86" s="214">
        <v>27.9</v>
      </c>
      <c r="J86" s="62"/>
      <c r="K86" s="71">
        <f t="shared" si="15"/>
        <v>27.349764604335462</v>
      </c>
      <c r="L86" s="71">
        <f t="shared" si="17"/>
        <v>0.5502353956645365</v>
      </c>
      <c r="M86" s="71">
        <f t="shared" si="18"/>
        <v>0.5502353956645365</v>
      </c>
      <c r="N86" s="175">
        <f t="shared" si="19"/>
        <v>0.30275899064210904</v>
      </c>
      <c r="O86" s="71">
        <f t="shared" si="20"/>
        <v>1.9721698769338228E-2</v>
      </c>
      <c r="P86" s="176"/>
      <c r="Q86" s="144"/>
      <c r="R86" s="175">
        <f t="shared" si="13"/>
        <v>50.13508440863162</v>
      </c>
      <c r="S86" s="71">
        <f t="shared" si="14"/>
        <v>58.229851497656135</v>
      </c>
    </row>
    <row r="87" spans="1:20">
      <c r="A87" s="162">
        <f>'Q.6a Model 1'!A89</f>
        <v>3</v>
      </c>
      <c r="B87" s="162">
        <f>'Q.6a Model 1'!B89</f>
        <v>33</v>
      </c>
      <c r="C87" s="163">
        <f>'Q.6a Model 2'!A89</f>
        <v>3.8</v>
      </c>
      <c r="D87" s="163">
        <f>'Q.6a Model 2'!B89</f>
        <v>26.163</v>
      </c>
      <c r="E87" s="10">
        <f>'Q.6a Model 3'!$A89</f>
        <v>3</v>
      </c>
      <c r="F87" s="10">
        <f>'Q.6a Model 3'!$B89</f>
        <v>35.267800000000001</v>
      </c>
      <c r="H87" s="214">
        <v>3</v>
      </c>
      <c r="I87" s="214">
        <v>35.267800000000001</v>
      </c>
      <c r="K87" s="71">
        <f t="shared" si="15"/>
        <v>37.045655295365634</v>
      </c>
      <c r="L87" s="71">
        <f t="shared" si="17"/>
        <v>-1.777855295365633</v>
      </c>
      <c r="M87" s="71">
        <f t="shared" si="18"/>
        <v>1.777855295365633</v>
      </c>
      <c r="N87" s="175">
        <f t="shared" si="19"/>
        <v>3.1607694512596223</v>
      </c>
      <c r="O87" s="71">
        <f t="shared" si="20"/>
        <v>5.0410155874923666E-2</v>
      </c>
      <c r="P87" s="176"/>
      <c r="Q87" s="144"/>
      <c r="R87" s="175">
        <f t="shared" si="13"/>
        <v>8.2476212642461605E-2</v>
      </c>
      <c r="S87" s="71">
        <f t="shared" si="14"/>
        <v>4.2643985288070114</v>
      </c>
    </row>
    <row r="88" spans="1:20">
      <c r="A88" s="162">
        <f>'Q.6a Model 1'!A90</f>
        <v>3.7</v>
      </c>
      <c r="B88" s="162">
        <f>'Q.6a Model 1'!B90</f>
        <v>34.583199999999998</v>
      </c>
      <c r="C88" s="163">
        <f>'Q.6a Model 2'!A90</f>
        <v>3.5</v>
      </c>
      <c r="D88" s="163">
        <f>'Q.6a Model 2'!B90</f>
        <v>37.4</v>
      </c>
      <c r="E88" s="10">
        <f>'Q.6a Model 3'!$A90</f>
        <v>2</v>
      </c>
      <c r="F88" s="10">
        <f>'Q.6a Model 3'!$B90</f>
        <v>41.566099999999999</v>
      </c>
      <c r="H88" s="214">
        <v>2</v>
      </c>
      <c r="I88" s="214">
        <v>41.566099999999999</v>
      </c>
      <c r="K88" s="71">
        <f t="shared" si="15"/>
        <v>41.261259943639622</v>
      </c>
      <c r="L88" s="71">
        <f t="shared" si="17"/>
        <v>0.30484005636037637</v>
      </c>
      <c r="M88" s="71">
        <f t="shared" si="18"/>
        <v>0.30484005636037637</v>
      </c>
      <c r="N88" s="175">
        <f t="shared" si="19"/>
        <v>9.2927459961797437E-2</v>
      </c>
      <c r="O88" s="71">
        <f t="shared" si="20"/>
        <v>7.3338623628480025E-3</v>
      </c>
      <c r="P88" s="176"/>
      <c r="Q88" s="144"/>
      <c r="R88" s="175">
        <f t="shared" si="13"/>
        <v>43.368635350718343</v>
      </c>
      <c r="S88" s="71">
        <f t="shared" si="14"/>
        <v>39.446522524380804</v>
      </c>
    </row>
    <row r="89" spans="1:20">
      <c r="A89" s="162">
        <f>'Q.6a Model 1'!A91</f>
        <v>2.4</v>
      </c>
      <c r="B89" s="162">
        <f>'Q.6a Model 1'!B91</f>
        <v>43.003500000000003</v>
      </c>
      <c r="C89" s="163">
        <f>'Q.6a Model 2'!A91</f>
        <v>6.3</v>
      </c>
      <c r="D89" s="163">
        <f>'Q.6a Model 2'!B91</f>
        <v>27.1158</v>
      </c>
      <c r="E89" s="10">
        <f>'Q.6a Model 3'!$A91</f>
        <v>4.5999999999999996</v>
      </c>
      <c r="F89" s="10">
        <f>'Q.6a Model 3'!$B91</f>
        <v>26.548400000000001</v>
      </c>
      <c r="H89" s="214">
        <v>4.5999999999999996</v>
      </c>
      <c r="I89" s="214">
        <v>26.548400000000001</v>
      </c>
      <c r="K89" s="71">
        <f t="shared" si="15"/>
        <v>30.300687858127255</v>
      </c>
      <c r="L89" s="71">
        <f t="shared" si="17"/>
        <v>-3.7522878581272536</v>
      </c>
      <c r="M89" s="71">
        <f t="shared" si="18"/>
        <v>3.7522878581272536</v>
      </c>
      <c r="N89" s="175">
        <f t="shared" si="19"/>
        <v>14.079664170249213</v>
      </c>
      <c r="O89" s="71">
        <f t="shared" si="20"/>
        <v>0.14133762705576433</v>
      </c>
      <c r="P89" s="176"/>
      <c r="Q89" s="144"/>
      <c r="R89" s="175">
        <f t="shared" si="13"/>
        <v>71.102220784783341</v>
      </c>
      <c r="S89" s="71">
        <f t="shared" si="14"/>
        <v>21.901701946173837</v>
      </c>
    </row>
    <row r="90" spans="1:20">
      <c r="A90" s="162">
        <f>'Q.6a Model 1'!A92</f>
        <v>2.4</v>
      </c>
      <c r="B90" s="162">
        <f>'Q.6a Model 1'!B92</f>
        <v>35.299999999999997</v>
      </c>
      <c r="C90" s="163">
        <f>'Q.6a Model 2'!A92</f>
        <v>6.2</v>
      </c>
      <c r="D90" s="163">
        <f>'Q.6a Model 2'!B92</f>
        <v>28.4</v>
      </c>
      <c r="E90" s="10">
        <f>'Q.6a Model 3'!$A92</f>
        <v>5.3</v>
      </c>
      <c r="F90" s="10">
        <f>'Q.6a Model 3'!$B92</f>
        <v>26.6</v>
      </c>
      <c r="H90" s="214">
        <v>5.3</v>
      </c>
      <c r="I90" s="214">
        <v>26.6</v>
      </c>
      <c r="K90" s="71">
        <f t="shared" si="15"/>
        <v>27.349764604335462</v>
      </c>
      <c r="L90" s="71">
        <f t="shared" si="17"/>
        <v>-0.74976460433546066</v>
      </c>
      <c r="M90" s="71">
        <f t="shared" si="18"/>
        <v>0.74976460433546066</v>
      </c>
      <c r="N90" s="175">
        <f t="shared" si="19"/>
        <v>0.56214696191430991</v>
      </c>
      <c r="O90" s="71">
        <f t="shared" si="20"/>
        <v>2.8186639260731602E-2</v>
      </c>
      <c r="P90" s="176"/>
      <c r="Q90" s="144"/>
      <c r="R90" s="175">
        <f t="shared" si="13"/>
        <v>70.234678934376831</v>
      </c>
      <c r="S90" s="71">
        <f t="shared" si="14"/>
        <v>58.229851497656135</v>
      </c>
    </row>
    <row r="91" spans="1:20">
      <c r="A91" s="162">
        <f>'Q.6a Model 1'!A93</f>
        <v>6</v>
      </c>
      <c r="B91" s="162">
        <f>'Q.6a Model 1'!B93</f>
        <v>30.299900000000001</v>
      </c>
      <c r="C91" s="163">
        <f>'Q.6a Model 2'!A93</f>
        <v>3.3</v>
      </c>
      <c r="D91" s="163">
        <f>'Q.6a Model 2'!B93</f>
        <v>34.998899999999999</v>
      </c>
      <c r="E91" s="10">
        <f>'Q.6a Model 3'!$A93</f>
        <v>3</v>
      </c>
      <c r="F91" s="10">
        <f>'Q.6a Model 3'!$B93</f>
        <v>38.7896</v>
      </c>
      <c r="H91" s="214">
        <v>3</v>
      </c>
      <c r="I91" s="214">
        <v>38.7896</v>
      </c>
      <c r="K91" s="71">
        <f t="shared" si="15"/>
        <v>37.045655295365634</v>
      </c>
      <c r="L91" s="71">
        <f t="shared" si="17"/>
        <v>1.7439447046343659</v>
      </c>
      <c r="M91" s="71">
        <f t="shared" si="18"/>
        <v>1.7439447046343659</v>
      </c>
      <c r="N91" s="175">
        <f t="shared" si="19"/>
        <v>3.0413431328222456</v>
      </c>
      <c r="O91" s="71">
        <f t="shared" si="20"/>
        <v>4.4959079357208269E-2</v>
      </c>
      <c r="P91" s="176"/>
      <c r="Q91" s="144"/>
      <c r="R91" s="175">
        <f t="shared" si="13"/>
        <v>14.508379839742744</v>
      </c>
      <c r="S91" s="71">
        <f t="shared" si="14"/>
        <v>4.2643985288070114</v>
      </c>
    </row>
    <row r="92" spans="1:20">
      <c r="A92" s="162">
        <f>'Q.6a Model 1'!A94</f>
        <v>5.5</v>
      </c>
      <c r="B92" s="162">
        <f>'Q.6a Model 1'!B94</f>
        <v>20.100000000000001</v>
      </c>
      <c r="C92" s="163">
        <f>'Q.6a Model 2'!A94</f>
        <v>6</v>
      </c>
      <c r="D92" s="163">
        <f>'Q.6a Model 2'!B94</f>
        <v>23.2715</v>
      </c>
      <c r="E92" s="10">
        <f>'Q.6a Model 3'!$A94</f>
        <v>2</v>
      </c>
      <c r="F92" s="10">
        <f>'Q.6a Model 3'!$B94</f>
        <v>58.534999999999997</v>
      </c>
      <c r="H92" s="214">
        <v>2</v>
      </c>
      <c r="I92" s="214">
        <v>58.534999999999997</v>
      </c>
      <c r="K92" s="71">
        <f t="shared" si="15"/>
        <v>41.261259943639622</v>
      </c>
      <c r="L92" s="71">
        <f t="shared" si="17"/>
        <v>17.273740056360374</v>
      </c>
      <c r="M92" s="71">
        <f t="shared" si="18"/>
        <v>17.273740056360374</v>
      </c>
      <c r="N92" s="175">
        <f t="shared" si="19"/>
        <v>298.38209553470892</v>
      </c>
      <c r="O92" s="71">
        <f t="shared" si="20"/>
        <v>0.29510105161630434</v>
      </c>
      <c r="P92" s="176"/>
      <c r="Q92" s="144"/>
      <c r="R92" s="175">
        <f t="shared" si="13"/>
        <v>554.80913379616538</v>
      </c>
      <c r="S92" s="71">
        <f t="shared" si="14"/>
        <v>39.446522524380804</v>
      </c>
    </row>
    <row r="93" spans="1:20">
      <c r="A93" s="162">
        <f>'Q.6a Model 1'!A95</f>
        <v>1.3</v>
      </c>
      <c r="B93" s="162">
        <f>'Q.6a Model 1'!B95</f>
        <v>32.1</v>
      </c>
      <c r="C93" s="163">
        <f>'Q.6a Model 2'!A95</f>
        <v>2.4</v>
      </c>
      <c r="D93" s="163">
        <f>'Q.6a Model 2'!B95</f>
        <v>31.9</v>
      </c>
      <c r="E93" s="10">
        <f>'Q.6a Model 3'!$A95</f>
        <v>2.4</v>
      </c>
      <c r="F93" s="10">
        <f>'Q.6a Model 3'!$B95</f>
        <v>48.2</v>
      </c>
      <c r="H93" s="214">
        <v>2.4</v>
      </c>
      <c r="I93" s="214">
        <v>48.2</v>
      </c>
      <c r="K93" s="71">
        <f t="shared" si="15"/>
        <v>39.575018084330026</v>
      </c>
      <c r="L93" s="71">
        <f t="shared" si="17"/>
        <v>8.6249819156699772</v>
      </c>
      <c r="M93" s="71">
        <f t="shared" si="18"/>
        <v>8.6249819156699772</v>
      </c>
      <c r="N93" s="175">
        <f t="shared" si="19"/>
        <v>74.390313045634144</v>
      </c>
      <c r="O93" s="71">
        <f t="shared" si="20"/>
        <v>0.17894153352012399</v>
      </c>
      <c r="P93" s="176"/>
      <c r="Q93" s="144"/>
      <c r="R93" s="175">
        <f t="shared" si="13"/>
        <v>174.75218527584042</v>
      </c>
      <c r="S93" s="71">
        <f t="shared" si="14"/>
        <v>21.10855551401945</v>
      </c>
    </row>
    <row r="94" spans="1:20">
      <c r="A94" s="162">
        <f>'Q.6a Model 1'!A96</f>
        <v>2.4</v>
      </c>
      <c r="B94" s="162">
        <f>'Q.6a Model 1'!B96</f>
        <v>43.3</v>
      </c>
      <c r="C94" s="163">
        <f>'Q.6a Model 2'!A96</f>
        <v>4.5999999999999996</v>
      </c>
      <c r="D94" s="163">
        <f>'Q.6a Model 2'!B96</f>
        <v>29.14</v>
      </c>
      <c r="E94" s="10">
        <f>'Q.6a Model 3'!$A96</f>
        <v>3.5</v>
      </c>
      <c r="F94" s="10">
        <f>'Q.6a Model 3'!$B96</f>
        <v>37.6</v>
      </c>
      <c r="H94" s="214">
        <v>3.5</v>
      </c>
      <c r="I94" s="214">
        <v>37.6</v>
      </c>
      <c r="K94" s="71">
        <f t="shared" si="15"/>
        <v>34.937852971228637</v>
      </c>
      <c r="L94" s="71">
        <f t="shared" si="17"/>
        <v>2.6621470287713649</v>
      </c>
      <c r="M94" s="71">
        <f t="shared" si="18"/>
        <v>2.6621470287713649</v>
      </c>
      <c r="N94" s="175">
        <f t="shared" si="19"/>
        <v>7.0870268027962062</v>
      </c>
      <c r="O94" s="71">
        <f t="shared" si="20"/>
        <v>7.0801782680089492E-2</v>
      </c>
      <c r="P94" s="176"/>
      <c r="Q94" s="144"/>
      <c r="R94" s="175">
        <f t="shared" si="13"/>
        <v>6.8611867934554835</v>
      </c>
      <c r="S94" s="71">
        <f t="shared" si="14"/>
        <v>1.828443932057986E-3</v>
      </c>
    </row>
    <row r="95" spans="1:20">
      <c r="A95" s="162">
        <f>'Q.6a Model 1'!A97</f>
        <v>3</v>
      </c>
      <c r="B95" s="162">
        <f>'Q.6a Model 1'!B97</f>
        <v>38.7896</v>
      </c>
      <c r="C95" s="163">
        <f>'Q.6a Model 2'!A97</f>
        <v>4.8</v>
      </c>
      <c r="D95" s="163">
        <f>'Q.6a Model 2'!B97</f>
        <v>26.388000000000002</v>
      </c>
      <c r="E95" s="10">
        <f>'Q.6a Model 3'!$A97</f>
        <v>1.6</v>
      </c>
      <c r="F95" s="10">
        <f>'Q.6a Model 3'!$B97</f>
        <v>42.1</v>
      </c>
      <c r="H95" s="214">
        <v>1.6</v>
      </c>
      <c r="I95" s="214">
        <v>42.1</v>
      </c>
      <c r="K95" s="71">
        <f t="shared" si="15"/>
        <v>42.947501802949219</v>
      </c>
      <c r="L95" s="71">
        <f t="shared" si="17"/>
        <v>-0.84750180294921762</v>
      </c>
      <c r="M95" s="71">
        <f t="shared" si="18"/>
        <v>0.84750180294921762</v>
      </c>
      <c r="N95" s="175">
        <f t="shared" si="19"/>
        <v>0.71825930600217447</v>
      </c>
      <c r="O95" s="71">
        <f t="shared" si="20"/>
        <v>2.0130684155563364E-2</v>
      </c>
      <c r="P95" s="176"/>
      <c r="Q95" s="144"/>
      <c r="R95" s="175">
        <f t="shared" si="13"/>
        <v>50.685667281260386</v>
      </c>
      <c r="S95" s="71">
        <f t="shared" si="14"/>
        <v>63.471312750917924</v>
      </c>
    </row>
    <row r="96" spans="1:20">
      <c r="A96" s="162">
        <f>'Q.6a Model 1'!A98</f>
        <v>3</v>
      </c>
      <c r="B96" s="162">
        <f>'Q.6a Model 1'!B98</f>
        <v>33.299999999999997</v>
      </c>
      <c r="C96" s="163">
        <f>'Q.6a Model 2'!A98</f>
        <v>1.6</v>
      </c>
      <c r="D96" s="163">
        <f>'Q.6a Model 2'!B98</f>
        <v>50.4</v>
      </c>
      <c r="E96" s="10">
        <f>'Q.6a Model 3'!$A98</f>
        <v>3.5</v>
      </c>
      <c r="F96" s="10">
        <f>'Q.6a Model 3'!$B98</f>
        <v>34.200000000000003</v>
      </c>
      <c r="H96" s="214">
        <v>3.5</v>
      </c>
      <c r="I96" s="214">
        <v>34.200000000000003</v>
      </c>
      <c r="K96" s="71">
        <f t="shared" si="15"/>
        <v>34.937852971228637</v>
      </c>
      <c r="L96" s="71">
        <f t="shared" si="17"/>
        <v>-0.73785297122863369</v>
      </c>
      <c r="M96" s="71">
        <f t="shared" si="18"/>
        <v>0.73785297122863369</v>
      </c>
      <c r="N96" s="175">
        <f t="shared" si="19"/>
        <v>0.54442700715092296</v>
      </c>
      <c r="O96" s="71">
        <f t="shared" si="20"/>
        <v>2.1574648281538995E-2</v>
      </c>
      <c r="P96" s="176"/>
      <c r="Q96" s="144"/>
      <c r="R96" s="175">
        <f t="shared" si="13"/>
        <v>0.6093570915584422</v>
      </c>
      <c r="S96" s="71">
        <f t="shared" si="14"/>
        <v>1.828443932057986E-3</v>
      </c>
    </row>
    <row r="97" spans="1:19">
      <c r="A97" s="162">
        <f>'Q.6a Model 1'!A99</f>
        <v>3.5</v>
      </c>
      <c r="B97" s="162">
        <f>'Q.6a Model 1'!B99</f>
        <v>40.299999999999997</v>
      </c>
      <c r="C97" s="163">
        <f>'Q.6a Model 2'!A99</f>
        <v>2</v>
      </c>
      <c r="D97" s="163">
        <f>'Q.6a Model 2'!B99</f>
        <v>41.566099999999999</v>
      </c>
      <c r="E97" s="10">
        <f>'Q.6a Model 3'!$A99</f>
        <v>2</v>
      </c>
      <c r="F97" s="10">
        <f>'Q.6a Model 3'!$B99</f>
        <v>38.995899999999999</v>
      </c>
      <c r="H97" s="214">
        <v>2</v>
      </c>
      <c r="I97" s="214">
        <v>38.995899999999999</v>
      </c>
      <c r="K97" s="71">
        <f t="shared" si="15"/>
        <v>41.261259943639622</v>
      </c>
      <c r="L97" s="71">
        <f t="shared" si="17"/>
        <v>-2.2653599436396235</v>
      </c>
      <c r="M97" s="71">
        <f t="shared" si="18"/>
        <v>2.2653599436396235</v>
      </c>
      <c r="N97" s="175">
        <f t="shared" si="19"/>
        <v>5.1318556742469177</v>
      </c>
      <c r="O97" s="71">
        <f t="shared" si="20"/>
        <v>5.8092259535992848E-2</v>
      </c>
      <c r="P97" s="176"/>
      <c r="Q97" s="144"/>
      <c r="R97" s="175">
        <f t="shared" si="13"/>
        <v>16.122527450772544</v>
      </c>
      <c r="S97" s="71">
        <f t="shared" si="14"/>
        <v>39.446522524380804</v>
      </c>
    </row>
    <row r="98" spans="1:19">
      <c r="A98" s="162">
        <f>'Q.6a Model 1'!A100</f>
        <v>4.5999999999999996</v>
      </c>
      <c r="B98" s="162">
        <f>'Q.6a Model 1'!B100</f>
        <v>30.299900000000001</v>
      </c>
      <c r="C98" s="163">
        <f>'Q.6a Model 2'!A100</f>
        <v>3.8</v>
      </c>
      <c r="D98" s="163">
        <f>'Q.6a Model 2'!B100</f>
        <v>28.2</v>
      </c>
      <c r="E98" s="10">
        <f>'Q.6a Model 3'!$A100</f>
        <v>4</v>
      </c>
      <c r="F98" s="10">
        <f>'Q.6a Model 3'!$B100</f>
        <v>27.3</v>
      </c>
      <c r="H98" s="214">
        <v>4</v>
      </c>
      <c r="I98" s="214">
        <v>27.3</v>
      </c>
      <c r="K98" s="71">
        <f t="shared" si="15"/>
        <v>32.830050647091646</v>
      </c>
      <c r="L98" s="71">
        <f t="shared" si="17"/>
        <v>-5.5300506470916453</v>
      </c>
      <c r="M98" s="71">
        <f t="shared" si="18"/>
        <v>5.5300506470916453</v>
      </c>
      <c r="N98" s="175">
        <f t="shared" si="19"/>
        <v>30.581460159398723</v>
      </c>
      <c r="O98" s="71">
        <f t="shared" si="20"/>
        <v>0.20256595776892472</v>
      </c>
      <c r="P98" s="176"/>
      <c r="Q98" s="144"/>
      <c r="R98" s="175">
        <f t="shared" si="13"/>
        <v>58.991820343590931</v>
      </c>
      <c r="S98" s="71">
        <f t="shared" si="14"/>
        <v>4.6249196343317314</v>
      </c>
    </row>
    <row r="99" spans="1:19">
      <c r="A99" s="162">
        <f>'Q.6a Model 1'!A101</f>
        <v>6.2</v>
      </c>
      <c r="B99" s="162">
        <f>'Q.6a Model 1'!B101</f>
        <v>33.799999999999997</v>
      </c>
      <c r="C99" s="163">
        <f>'Q.6a Model 2'!A101</f>
        <v>3.5</v>
      </c>
      <c r="D99" s="163">
        <f>'Q.6a Model 2'!B101</f>
        <v>31.4</v>
      </c>
      <c r="E99" s="10">
        <f>'Q.6a Model 3'!$A101</f>
        <v>1.8</v>
      </c>
      <c r="F99" s="10">
        <f>'Q.6a Model 3'!$B101</f>
        <v>44.8</v>
      </c>
      <c r="H99" s="214">
        <v>1.8</v>
      </c>
      <c r="I99" s="214">
        <v>44.8</v>
      </c>
      <c r="K99" s="71">
        <f t="shared" si="15"/>
        <v>42.104380873294417</v>
      </c>
      <c r="L99" s="71">
        <f t="shared" si="17"/>
        <v>2.69561912670558</v>
      </c>
      <c r="M99" s="71">
        <f t="shared" si="18"/>
        <v>2.69561912670558</v>
      </c>
      <c r="N99" s="175">
        <f t="shared" si="19"/>
        <v>7.2663624762609542</v>
      </c>
      <c r="O99" s="71">
        <f t="shared" si="20"/>
        <v>6.0170069792535273E-2</v>
      </c>
      <c r="P99" s="176"/>
      <c r="Q99" s="144"/>
      <c r="R99" s="175">
        <f t="shared" si="13"/>
        <v>96.420355573943255</v>
      </c>
      <c r="S99" s="71">
        <f t="shared" si="14"/>
        <v>50.748064735627338</v>
      </c>
    </row>
    <row r="100" spans="1:19">
      <c r="A100" s="162">
        <f>'Q.6a Model 1'!A102</f>
        <v>1.6</v>
      </c>
      <c r="B100" s="162">
        <f>'Q.6a Model 1'!B102</f>
        <v>48.9</v>
      </c>
      <c r="C100" s="163">
        <f>'Q.6a Model 2'!A102</f>
        <v>4</v>
      </c>
      <c r="D100" s="163">
        <f>'Q.6a Model 2'!B102</f>
        <v>26.813700000000001</v>
      </c>
      <c r="E100" s="10">
        <f>'Q.6a Model 3'!$A102</f>
        <v>3.5</v>
      </c>
      <c r="F100" s="10">
        <f>'Q.6a Model 3'!$B102</f>
        <v>32.200000000000003</v>
      </c>
      <c r="H100" s="214">
        <v>3.5</v>
      </c>
      <c r="I100" s="214">
        <v>32.200000000000003</v>
      </c>
      <c r="K100" s="71">
        <f t="shared" si="15"/>
        <v>34.937852971228637</v>
      </c>
      <c r="L100" s="71">
        <f t="shared" si="17"/>
        <v>-2.7378529712286337</v>
      </c>
      <c r="M100" s="71">
        <f t="shared" si="18"/>
        <v>2.7378529712286337</v>
      </c>
      <c r="N100" s="175">
        <f t="shared" si="19"/>
        <v>7.4958388920654579</v>
      </c>
      <c r="O100" s="71">
        <f t="shared" si="20"/>
        <v>8.5026489789709114E-2</v>
      </c>
      <c r="P100" s="176"/>
      <c r="Q100" s="144"/>
      <c r="R100" s="175">
        <f t="shared" si="13"/>
        <v>7.7318102080895894</v>
      </c>
      <c r="S100" s="71">
        <f t="shared" si="14"/>
        <v>1.828443932057986E-3</v>
      </c>
    </row>
    <row r="101" spans="1:19">
      <c r="A101" s="162">
        <f>'Q.6a Model 1'!A103</f>
        <v>2.5</v>
      </c>
      <c r="B101" s="162">
        <f>'Q.6a Model 1'!B103</f>
        <v>40.0169</v>
      </c>
      <c r="C101" s="163">
        <f>'Q.6a Model 2'!A103</f>
        <v>5.3</v>
      </c>
      <c r="D101" s="163">
        <f>'Q.6a Model 2'!B103</f>
        <v>22.299900000000001</v>
      </c>
      <c r="E101" s="10">
        <f>'Q.6a Model 3'!$A103</f>
        <v>3.6</v>
      </c>
      <c r="F101" s="10">
        <f>'Q.6a Model 3'!$B103</f>
        <v>35.1</v>
      </c>
      <c r="H101" s="214">
        <v>3.6</v>
      </c>
      <c r="I101" s="214">
        <v>35.1</v>
      </c>
      <c r="K101" s="71">
        <f t="shared" si="15"/>
        <v>34.516292506401243</v>
      </c>
      <c r="L101" s="71">
        <f t="shared" si="17"/>
        <v>0.58370749359875873</v>
      </c>
      <c r="M101" s="71">
        <f t="shared" si="18"/>
        <v>0.58370749359875873</v>
      </c>
      <c r="N101" s="175">
        <f t="shared" si="19"/>
        <v>0.34071443808334495</v>
      </c>
      <c r="O101" s="71">
        <f t="shared" si="20"/>
        <v>1.6629843122471757E-2</v>
      </c>
      <c r="P101" s="176"/>
      <c r="Q101" s="144"/>
      <c r="R101" s="175">
        <f t="shared" si="13"/>
        <v>1.4253189119425519E-2</v>
      </c>
      <c r="S101" s="71">
        <f t="shared" si="14"/>
        <v>0.21559377999002097</v>
      </c>
    </row>
    <row r="102" spans="1:19">
      <c r="A102" s="162">
        <f>'Q.6a Model 1'!A104</f>
        <v>1.6</v>
      </c>
      <c r="B102" s="162">
        <f>'Q.6a Model 1'!B104</f>
        <v>47.202500000000001</v>
      </c>
      <c r="C102" s="163">
        <f>'Q.6a Model 2'!A104</f>
        <v>2.9</v>
      </c>
      <c r="D102" s="163">
        <f>'Q.6a Model 2'!B104</f>
        <v>41.360799999999998</v>
      </c>
      <c r="E102" s="10">
        <f>'Q.6a Model 3'!$A104</f>
        <v>2</v>
      </c>
      <c r="F102" s="10">
        <f>'Q.6a Model 3'!$B104</f>
        <v>43.5</v>
      </c>
      <c r="H102" s="214">
        <v>2</v>
      </c>
      <c r="I102" s="214">
        <v>43.5</v>
      </c>
      <c r="K102" s="71">
        <f t="shared" si="15"/>
        <v>41.261259943639622</v>
      </c>
      <c r="L102" s="71">
        <f t="shared" si="17"/>
        <v>2.2387400563603777</v>
      </c>
      <c r="M102" s="71">
        <f t="shared" si="18"/>
        <v>2.2387400563603777</v>
      </c>
      <c r="N102" s="175">
        <f t="shared" si="19"/>
        <v>5.0119570399524669</v>
      </c>
      <c r="O102" s="71">
        <f t="shared" si="20"/>
        <v>5.1465288651962704E-2</v>
      </c>
      <c r="P102" s="176"/>
      <c r="Q102" s="144"/>
      <c r="R102" s="175">
        <f t="shared" si="13"/>
        <v>72.57995009968856</v>
      </c>
      <c r="S102" s="71">
        <f t="shared" si="14"/>
        <v>39.446522524380804</v>
      </c>
    </row>
    <row r="103" spans="1:19">
      <c r="A103" s="162">
        <f>'Q.6a Model 1'!A105</f>
        <v>4.5999999999999996</v>
      </c>
      <c r="B103" s="162">
        <f>'Q.6a Model 1'!B105</f>
        <v>31.61</v>
      </c>
      <c r="C103" s="163">
        <f>'Q.6a Model 2'!A105</f>
        <v>6.2</v>
      </c>
      <c r="D103" s="163">
        <f>'Q.6a Model 2'!B105</f>
        <v>25.802600000000002</v>
      </c>
      <c r="E103" s="10">
        <f>'Q.6a Model 3'!$A105</f>
        <v>3</v>
      </c>
      <c r="F103" s="10">
        <f>'Q.6a Model 3'!$B105</f>
        <v>34.799999999999997</v>
      </c>
      <c r="H103" s="214">
        <v>3</v>
      </c>
      <c r="I103" s="214">
        <v>34.799999999999997</v>
      </c>
      <c r="K103" s="71">
        <f t="shared" si="15"/>
        <v>37.045655295365634</v>
      </c>
      <c r="L103" s="71">
        <f t="shared" si="17"/>
        <v>-2.245655295365637</v>
      </c>
      <c r="M103" s="71">
        <f t="shared" si="18"/>
        <v>2.245655295365637</v>
      </c>
      <c r="N103" s="175">
        <f t="shared" si="19"/>
        <v>5.0429677056037265</v>
      </c>
      <c r="O103" s="71">
        <f t="shared" si="20"/>
        <v>6.4530324579472331E-2</v>
      </c>
      <c r="P103" s="176"/>
      <c r="Q103" s="144"/>
      <c r="R103" s="175">
        <f t="shared" si="13"/>
        <v>3.2621156599100046E-2</v>
      </c>
      <c r="S103" s="71">
        <f t="shared" si="14"/>
        <v>4.2643985288070114</v>
      </c>
    </row>
    <row r="104" spans="1:19">
      <c r="A104" s="162">
        <f>'Q.6a Model 1'!A106</f>
        <v>2</v>
      </c>
      <c r="B104" s="162">
        <f>'Q.6a Model 1'!B106</f>
        <v>34.5</v>
      </c>
      <c r="C104" s="163">
        <f>'Q.6a Model 2'!A106</f>
        <v>2.4</v>
      </c>
      <c r="D104" s="163">
        <f>'Q.6a Model 2'!B106</f>
        <v>36.159599999999998</v>
      </c>
      <c r="E104" s="10">
        <f>'Q.6a Model 3'!$A106</f>
        <v>2.5</v>
      </c>
      <c r="F104" s="10">
        <f>'Q.6a Model 3'!$B106</f>
        <v>36.704700000000003</v>
      </c>
      <c r="H104" s="214">
        <v>2.5</v>
      </c>
      <c r="I104" s="214">
        <v>36.704700000000003</v>
      </c>
      <c r="K104" s="71">
        <f t="shared" si="15"/>
        <v>39.153457619502632</v>
      </c>
      <c r="L104" s="71">
        <f t="shared" si="17"/>
        <v>-2.4487576195026293</v>
      </c>
      <c r="M104" s="71">
        <f t="shared" si="18"/>
        <v>2.4487576195026293</v>
      </c>
      <c r="N104" s="175">
        <f t="shared" si="19"/>
        <v>5.9964138790721835</v>
      </c>
      <c r="O104" s="71">
        <f t="shared" si="20"/>
        <v>6.6715096963130854E-2</v>
      </c>
      <c r="P104" s="176"/>
      <c r="Q104" s="144"/>
      <c r="R104" s="175">
        <f t="shared" si="13"/>
        <v>2.9724750210706588</v>
      </c>
      <c r="S104" s="71">
        <f t="shared" si="14"/>
        <v>17.412629888956623</v>
      </c>
    </row>
    <row r="105" spans="1:19">
      <c r="A105" s="162">
        <f>'Q.6a Model 1'!A107</f>
        <v>2.4</v>
      </c>
      <c r="B105" s="162">
        <f>'Q.6a Model 1'!B107</f>
        <v>44.6</v>
      </c>
      <c r="C105" s="163">
        <f>'Q.6a Model 2'!A107</f>
        <v>5.5</v>
      </c>
      <c r="D105" s="163">
        <f>'Q.6a Model 2'!B107</f>
        <v>24.6</v>
      </c>
      <c r="E105" s="10">
        <f>'Q.6a Model 3'!$A107</f>
        <v>2</v>
      </c>
      <c r="F105" s="10">
        <f>'Q.6a Model 3'!$B107</f>
        <v>44.707999999999998</v>
      </c>
      <c r="H105" s="214">
        <v>2</v>
      </c>
      <c r="I105" s="214">
        <v>44.707999999999998</v>
      </c>
      <c r="K105" s="71">
        <f t="shared" si="15"/>
        <v>41.261259943639622</v>
      </c>
      <c r="L105" s="71">
        <f t="shared" si="17"/>
        <v>3.4467400563603761</v>
      </c>
      <c r="M105" s="71">
        <f t="shared" si="18"/>
        <v>3.4467400563603761</v>
      </c>
      <c r="N105" s="175">
        <f t="shared" si="19"/>
        <v>11.880017016119128</v>
      </c>
      <c r="O105" s="71">
        <f t="shared" si="20"/>
        <v>7.7094480995803349E-2</v>
      </c>
      <c r="P105" s="176"/>
      <c r="Q105" s="144"/>
      <c r="R105" s="175">
        <f t="shared" si="13"/>
        <v>94.622052417303706</v>
      </c>
      <c r="S105" s="71">
        <f t="shared" si="14"/>
        <v>39.446522524380804</v>
      </c>
    </row>
    <row r="106" spans="1:19">
      <c r="A106" s="162">
        <f>'Q.6a Model 1'!A108</f>
        <v>2.5</v>
      </c>
      <c r="B106" s="162">
        <f>'Q.6a Model 1'!B108</f>
        <v>32.910299999999999</v>
      </c>
      <c r="C106" s="163">
        <f>'Q.6a Model 2'!A108</f>
        <v>6.6</v>
      </c>
      <c r="D106" s="163">
        <f>'Q.6a Model 2'!B108</f>
        <v>27.3</v>
      </c>
      <c r="E106" s="10">
        <f>'Q.6a Model 3'!$A108</f>
        <v>5.3</v>
      </c>
      <c r="F106" s="10">
        <f>'Q.6a Model 3'!$B108</f>
        <v>26.6</v>
      </c>
      <c r="H106" s="214">
        <v>5.3</v>
      </c>
      <c r="I106" s="214">
        <v>26.6</v>
      </c>
      <c r="K106" s="71">
        <f t="shared" si="15"/>
        <v>27.349764604335462</v>
      </c>
      <c r="L106" s="71">
        <f t="shared" si="17"/>
        <v>-0.74976460433546066</v>
      </c>
      <c r="M106" s="71">
        <f t="shared" si="18"/>
        <v>0.74976460433546066</v>
      </c>
      <c r="N106" s="175">
        <f t="shared" si="19"/>
        <v>0.56214696191430991</v>
      </c>
      <c r="O106" s="71">
        <f t="shared" si="20"/>
        <v>2.8186639260731602E-2</v>
      </c>
      <c r="P106" s="176"/>
      <c r="Q106" s="144"/>
      <c r="R106" s="175">
        <f t="shared" si="13"/>
        <v>70.234678934376831</v>
      </c>
      <c r="S106" s="71">
        <f t="shared" si="14"/>
        <v>58.229851497656135</v>
      </c>
    </row>
    <row r="107" spans="1:19">
      <c r="A107" s="162">
        <f>'Q.6a Model 1'!A109</f>
        <v>3.8</v>
      </c>
      <c r="B107" s="162">
        <f>'Q.6a Model 1'!B109</f>
        <v>33.200000000000003</v>
      </c>
      <c r="C107" s="163">
        <f>'Q.6a Model 2'!A109</f>
        <v>2.4</v>
      </c>
      <c r="D107" s="163">
        <f>'Q.6a Model 2'!B109</f>
        <v>44.4</v>
      </c>
      <c r="E107" s="10">
        <f>'Q.6a Model 3'!$A109</f>
        <v>2</v>
      </c>
      <c r="F107" s="10">
        <f>'Q.6a Model 3'!$B109</f>
        <v>40</v>
      </c>
      <c r="H107" s="214">
        <v>2</v>
      </c>
      <c r="I107" s="214">
        <v>40</v>
      </c>
      <c r="K107" s="71">
        <f t="shared" si="15"/>
        <v>41.261259943639622</v>
      </c>
      <c r="L107" s="71">
        <f t="shared" si="17"/>
        <v>-1.2612599436396223</v>
      </c>
      <c r="M107" s="71">
        <f t="shared" si="18"/>
        <v>1.2612599436396223</v>
      </c>
      <c r="N107" s="175">
        <f t="shared" si="19"/>
        <v>1.5907766454298233</v>
      </c>
      <c r="O107" s="71">
        <f t="shared" si="20"/>
        <v>3.153149859099056E-2</v>
      </c>
      <c r="P107" s="176"/>
      <c r="Q107" s="144"/>
      <c r="R107" s="175">
        <f t="shared" si="13"/>
        <v>25.194243053618084</v>
      </c>
      <c r="S107" s="71">
        <f t="shared" si="14"/>
        <v>39.446522524380804</v>
      </c>
    </row>
    <row r="108" spans="1:19">
      <c r="A108" s="162">
        <f>'Q.6a Model 1'!A110</f>
        <v>2.5</v>
      </c>
      <c r="B108" s="162">
        <f>'Q.6a Model 1'!B110</f>
        <v>45.672899999999998</v>
      </c>
      <c r="C108" s="163">
        <f>'Q.6a Model 2'!A110</f>
        <v>4.5999999999999996</v>
      </c>
      <c r="D108" s="163">
        <f>'Q.6a Model 2'!B110</f>
        <v>22.7</v>
      </c>
      <c r="E108" s="10">
        <f>'Q.6a Model 3'!$A110</f>
        <v>3.8</v>
      </c>
      <c r="F108" s="10">
        <f>'Q.6a Model 3'!$B110</f>
        <v>38.048400000000001</v>
      </c>
      <c r="H108" s="214">
        <v>3.8</v>
      </c>
      <c r="I108" s="214">
        <v>38.048400000000001</v>
      </c>
      <c r="K108" s="71">
        <f t="shared" si="15"/>
        <v>33.673171576746441</v>
      </c>
      <c r="L108" s="71">
        <f t="shared" si="17"/>
        <v>4.3752284232535601</v>
      </c>
      <c r="M108" s="71">
        <f t="shared" si="18"/>
        <v>4.3752284232535601</v>
      </c>
      <c r="N108" s="175">
        <f t="shared" si="19"/>
        <v>19.142623755645833</v>
      </c>
      <c r="O108" s="71">
        <f t="shared" si="20"/>
        <v>0.11499112770191545</v>
      </c>
      <c r="P108" s="176"/>
      <c r="Q108" s="144"/>
      <c r="R108" s="175">
        <f t="shared" si="13"/>
        <v>9.4113153647291963</v>
      </c>
      <c r="S108" s="71">
        <f t="shared" si="14"/>
        <v>1.7094038051389142</v>
      </c>
    </row>
    <row r="109" spans="1:19">
      <c r="A109" s="162">
        <f>'Q.6a Model 1'!A111</f>
        <v>2.4</v>
      </c>
      <c r="B109" s="162">
        <f>'Q.6a Model 1'!B111</f>
        <v>38.6</v>
      </c>
      <c r="C109" s="163">
        <f>'Q.6a Model 2'!A111</f>
        <v>6.2</v>
      </c>
      <c r="D109" s="163">
        <f>'Q.6a Model 2'!B111</f>
        <v>35.799999999999997</v>
      </c>
      <c r="E109" s="10">
        <f>'Q.6a Model 3'!$A111</f>
        <v>5.3</v>
      </c>
      <c r="F109" s="10">
        <f>'Q.6a Model 3'!$B111</f>
        <v>22.9</v>
      </c>
      <c r="H109" s="214">
        <v>5.3</v>
      </c>
      <c r="I109" s="214">
        <v>22.9</v>
      </c>
      <c r="K109" s="71">
        <f t="shared" si="15"/>
        <v>27.349764604335462</v>
      </c>
      <c r="L109" s="71">
        <f t="shared" si="17"/>
        <v>-4.4497646043354635</v>
      </c>
      <c r="M109" s="71">
        <f t="shared" si="18"/>
        <v>4.4497646043354635</v>
      </c>
      <c r="N109" s="175">
        <f t="shared" si="19"/>
        <v>19.800405033996743</v>
      </c>
      <c r="O109" s="71">
        <f t="shared" si="20"/>
        <v>0.19431286481814253</v>
      </c>
      <c r="P109" s="176"/>
      <c r="Q109" s="144"/>
      <c r="R109" s="175">
        <f t="shared" si="13"/>
        <v>145.94121719995954</v>
      </c>
      <c r="S109" s="71">
        <f t="shared" si="14"/>
        <v>58.229851497656135</v>
      </c>
    </row>
    <row r="110" spans="1:19">
      <c r="A110" s="162">
        <f>'Q.6a Model 1'!A112</f>
        <v>5</v>
      </c>
      <c r="B110" s="162">
        <f>'Q.6a Model 1'!B112</f>
        <v>23.227</v>
      </c>
      <c r="C110" s="163">
        <f>'Q.6a Model 2'!A112</f>
        <v>3.7</v>
      </c>
      <c r="D110" s="163">
        <f>'Q.6a Model 2'!B112</f>
        <v>36.9</v>
      </c>
      <c r="E110" s="10">
        <f>'Q.6a Model 3'!$A112</f>
        <v>3.5</v>
      </c>
      <c r="F110" s="10">
        <f>'Q.6a Model 3'!$B112</f>
        <v>34.6</v>
      </c>
      <c r="H110" s="214">
        <v>3.5</v>
      </c>
      <c r="I110" s="214">
        <v>34.6</v>
      </c>
      <c r="K110" s="71">
        <f t="shared" si="15"/>
        <v>34.937852971228637</v>
      </c>
      <c r="L110" s="71">
        <f t="shared" si="17"/>
        <v>-0.33785297122863511</v>
      </c>
      <c r="M110" s="71">
        <f t="shared" si="18"/>
        <v>0.33785297122863511</v>
      </c>
      <c r="N110" s="175">
        <f t="shared" si="19"/>
        <v>0.11414463016801694</v>
      </c>
      <c r="O110" s="71">
        <f t="shared" si="20"/>
        <v>9.7645367407119977E-3</v>
      </c>
      <c r="P110" s="176"/>
      <c r="Q110" s="144"/>
      <c r="R110" s="175">
        <f t="shared" si="13"/>
        <v>0.14486646825221383</v>
      </c>
      <c r="S110" s="71">
        <f t="shared" si="14"/>
        <v>1.828443932057986E-3</v>
      </c>
    </row>
    <row r="111" spans="1:19">
      <c r="A111" s="162">
        <f>'Q.6a Model 1'!A113</f>
        <v>3</v>
      </c>
      <c r="B111" s="162">
        <f>'Q.6a Model 1'!B113</f>
        <v>32</v>
      </c>
      <c r="C111" s="163">
        <f>'Q.6a Model 2'!A113</f>
        <v>3.5</v>
      </c>
      <c r="D111" s="163">
        <f>'Q.6a Model 2'!B113</f>
        <v>33.700000000000003</v>
      </c>
      <c r="E111" s="10">
        <f>'Q.6a Model 3'!$A113</f>
        <v>2.2999999999999998</v>
      </c>
      <c r="F111" s="10">
        <f>'Q.6a Model 3'!$B113</f>
        <v>32.8232</v>
      </c>
      <c r="H111" s="214">
        <v>2.2999999999999998</v>
      </c>
      <c r="I111" s="214">
        <v>32.8232</v>
      </c>
      <c r="K111" s="71">
        <f t="shared" si="15"/>
        <v>39.996578549157427</v>
      </c>
      <c r="L111" s="71">
        <f t="shared" si="17"/>
        <v>-7.1733785491574267</v>
      </c>
      <c r="M111" s="71">
        <f t="shared" si="18"/>
        <v>7.1733785491574267</v>
      </c>
      <c r="N111" s="175">
        <f t="shared" si="19"/>
        <v>51.457359809511907</v>
      </c>
      <c r="O111" s="71">
        <f t="shared" si="20"/>
        <v>0.21854598421718258</v>
      </c>
      <c r="P111" s="176"/>
      <c r="Q111" s="144"/>
      <c r="R111" s="175">
        <f t="shared" si="13"/>
        <v>4.6544320569784965</v>
      </c>
      <c r="S111" s="71">
        <f t="shared" si="14"/>
        <v>25.159907590093329</v>
      </c>
    </row>
    <row r="112" spans="1:19">
      <c r="A112" s="162">
        <f>'Q.6a Model 1'!A114</f>
        <v>2</v>
      </c>
      <c r="B112" s="162">
        <f>'Q.6a Model 1'!B114</f>
        <v>50.9</v>
      </c>
      <c r="C112" s="163">
        <f>'Q.6a Model 2'!A114</f>
        <v>1.6</v>
      </c>
      <c r="D112" s="163">
        <f>'Q.6a Model 2'!B114</f>
        <v>43.5</v>
      </c>
      <c r="E112" s="10">
        <f>'Q.6a Model 3'!$A114</f>
        <v>3.8</v>
      </c>
      <c r="F112" s="10">
        <f>'Q.6a Model 3'!$B114</f>
        <v>36.012999999999998</v>
      </c>
      <c r="H112" s="214">
        <v>3.8</v>
      </c>
      <c r="I112" s="214">
        <v>36.012999999999998</v>
      </c>
      <c r="K112" s="71">
        <f t="shared" si="15"/>
        <v>33.673171576746441</v>
      </c>
      <c r="L112" s="71">
        <f t="shared" si="17"/>
        <v>2.3398284232535573</v>
      </c>
      <c r="M112" s="71">
        <f t="shared" si="18"/>
        <v>2.3398284232535573</v>
      </c>
      <c r="N112" s="175">
        <f t="shared" si="19"/>
        <v>5.4747970502652281</v>
      </c>
      <c r="O112" s="71">
        <f t="shared" si="20"/>
        <v>6.4971771950505575E-2</v>
      </c>
      <c r="P112" s="176"/>
      <c r="Q112" s="144"/>
      <c r="R112" s="175">
        <f t="shared" si="13"/>
        <v>1.0658223414229473</v>
      </c>
      <c r="S112" s="71">
        <f t="shared" si="14"/>
        <v>1.7094038051389142</v>
      </c>
    </row>
    <row r="113" spans="1:19">
      <c r="A113" s="162">
        <f>'Q.6a Model 1'!A115</f>
        <v>3</v>
      </c>
      <c r="B113" s="162">
        <f>'Q.6a Model 1'!B115</f>
        <v>31.3917</v>
      </c>
      <c r="C113" s="163">
        <f>'Q.6a Model 2'!A115</f>
        <v>3.5</v>
      </c>
      <c r="D113" s="163">
        <f>'Q.6a Model 2'!B115</f>
        <v>31.4</v>
      </c>
      <c r="E113" s="10">
        <f>'Q.6a Model 3'!$A115</f>
        <v>2.2000000000000002</v>
      </c>
      <c r="F113" s="10">
        <f>'Q.6a Model 3'!$B115</f>
        <v>44.999099999999999</v>
      </c>
      <c r="H113" s="214">
        <v>2.2000000000000002</v>
      </c>
      <c r="I113" s="214">
        <v>44.999099999999999</v>
      </c>
      <c r="K113" s="71">
        <f t="shared" si="15"/>
        <v>40.418139013984828</v>
      </c>
      <c r="L113" s="71">
        <f t="shared" si="17"/>
        <v>4.580960986015171</v>
      </c>
      <c r="M113" s="71">
        <f t="shared" si="18"/>
        <v>4.580960986015171</v>
      </c>
      <c r="N113" s="175">
        <f t="shared" si="19"/>
        <v>20.985203555393088</v>
      </c>
      <c r="O113" s="71">
        <f t="shared" si="20"/>
        <v>0.10180116904594028</v>
      </c>
      <c r="P113" s="176"/>
      <c r="Q113" s="144"/>
      <c r="R113" s="175">
        <f t="shared" si="13"/>
        <v>100.3700761761926</v>
      </c>
      <c r="S113" s="71">
        <f t="shared" si="14"/>
        <v>29.566686117178193</v>
      </c>
    </row>
    <row r="114" spans="1:19">
      <c r="A114" s="162">
        <f>'Q.6a Model 1'!A116</f>
        <v>4.2</v>
      </c>
      <c r="B114" s="162">
        <f>'Q.6a Model 1'!B116</f>
        <v>31.5002</v>
      </c>
      <c r="C114" s="163">
        <f>'Q.6a Model 2'!A116</f>
        <v>5.3</v>
      </c>
      <c r="D114" s="163">
        <f>'Q.6a Model 2'!B116</f>
        <v>29</v>
      </c>
      <c r="E114" s="10">
        <f>'Q.6a Model 3'!$A116</f>
        <v>2.5</v>
      </c>
      <c r="F114" s="10">
        <f>'Q.6a Model 3'!$B116</f>
        <v>42.908000000000001</v>
      </c>
      <c r="H114" s="214">
        <v>2.5</v>
      </c>
      <c r="I114" s="214">
        <v>42.908000000000001</v>
      </c>
      <c r="K114" s="71">
        <f t="shared" si="15"/>
        <v>39.153457619502632</v>
      </c>
      <c r="L114" s="71">
        <f t="shared" si="17"/>
        <v>3.7545423804973694</v>
      </c>
      <c r="M114" s="71">
        <f t="shared" si="18"/>
        <v>3.7545423804973694</v>
      </c>
      <c r="N114" s="175">
        <f t="shared" si="19"/>
        <v>14.096588486950854</v>
      </c>
      <c r="O114" s="71">
        <f t="shared" si="20"/>
        <v>8.7502152990057078E-2</v>
      </c>
      <c r="P114" s="176"/>
      <c r="Q114" s="144"/>
      <c r="R114" s="175">
        <f t="shared" si="13"/>
        <v>62.843460222181804</v>
      </c>
      <c r="S114" s="71">
        <f t="shared" si="14"/>
        <v>17.412629888956623</v>
      </c>
    </row>
    <row r="115" spans="1:19">
      <c r="A115" s="162">
        <f>'Q.6a Model 1'!A117</f>
        <v>1.8</v>
      </c>
      <c r="B115" s="162">
        <f>'Q.6a Model 1'!B117</f>
        <v>50.5</v>
      </c>
      <c r="C115" s="163">
        <f>'Q.6a Model 2'!A117</f>
        <v>6.1</v>
      </c>
      <c r="D115" s="163">
        <f>'Q.6a Model 2'!B117</f>
        <v>20.9</v>
      </c>
      <c r="E115" s="10">
        <f>'Q.6a Model 3'!$A117</f>
        <v>2.5</v>
      </c>
      <c r="F115" s="10">
        <f>'Q.6a Model 3'!$B117</f>
        <v>37.9</v>
      </c>
      <c r="H115" s="214">
        <v>2.5</v>
      </c>
      <c r="I115" s="214">
        <v>37.9</v>
      </c>
      <c r="K115" s="71">
        <f t="shared" si="15"/>
        <v>39.153457619502632</v>
      </c>
      <c r="L115" s="71">
        <f t="shared" si="17"/>
        <v>-1.2534576195026332</v>
      </c>
      <c r="M115" s="71">
        <f t="shared" si="18"/>
        <v>1.2534576195026332</v>
      </c>
      <c r="N115" s="175">
        <f t="shared" si="19"/>
        <v>1.5711560038892081</v>
      </c>
      <c r="O115" s="71">
        <f t="shared" si="20"/>
        <v>3.3072760409040454E-2</v>
      </c>
      <c r="P115" s="176"/>
      <c r="Q115" s="144"/>
      <c r="R115" s="175">
        <f t="shared" si="13"/>
        <v>8.5228188259757935</v>
      </c>
      <c r="S115" s="71">
        <f t="shared" si="14"/>
        <v>17.412629888956623</v>
      </c>
    </row>
    <row r="116" spans="1:19">
      <c r="A116" s="162">
        <f>'Q.6a Model 1'!A118</f>
        <v>3.8</v>
      </c>
      <c r="B116" s="162">
        <f>'Q.6a Model 1'!B118</f>
        <v>32.4</v>
      </c>
      <c r="C116" s="163">
        <f>'Q.6a Model 2'!A118</f>
        <v>2.5</v>
      </c>
      <c r="D116" s="163">
        <f>'Q.6a Model 2'!B118</f>
        <v>42.699800000000003</v>
      </c>
      <c r="E116" s="10">
        <f>'Q.6a Model 3'!$A118</f>
        <v>4.5</v>
      </c>
      <c r="F116" s="10">
        <f>'Q.6a Model 3'!$B118</f>
        <v>24.349900000000002</v>
      </c>
      <c r="H116" s="214">
        <v>4.5</v>
      </c>
      <c r="I116" s="214">
        <v>24.349900000000002</v>
      </c>
      <c r="K116" s="71">
        <f t="shared" si="15"/>
        <v>30.722248322954652</v>
      </c>
      <c r="L116" s="71">
        <f t="shared" si="17"/>
        <v>-6.3723483229546503</v>
      </c>
      <c r="M116" s="71">
        <f t="shared" si="18"/>
        <v>6.3723483229546503</v>
      </c>
      <c r="N116" s="175">
        <f t="shared" si="19"/>
        <v>40.60682314906294</v>
      </c>
      <c r="O116" s="71">
        <f t="shared" si="20"/>
        <v>0.26169915781808756</v>
      </c>
      <c r="P116" s="176"/>
      <c r="Q116" s="144"/>
      <c r="R116" s="175">
        <f t="shared" si="13"/>
        <v>113.0120648231302</v>
      </c>
      <c r="S116" s="71">
        <f t="shared" si="14"/>
        <v>18.133672100006034</v>
      </c>
    </row>
    <row r="117" spans="1:19">
      <c r="A117" s="162">
        <f>'Q.6a Model 1'!A119</f>
        <v>3.2</v>
      </c>
      <c r="B117" s="162">
        <f>'Q.6a Model 1'!B119</f>
        <v>36.4</v>
      </c>
      <c r="C117" s="163">
        <f>'Q.6a Model 2'!A119</f>
        <v>1.5</v>
      </c>
      <c r="D117" s="163">
        <f>'Q.6a Model 2'!B119</f>
        <v>49.3</v>
      </c>
      <c r="E117" s="10">
        <f>'Q.6a Model 3'!$A119</f>
        <v>6</v>
      </c>
      <c r="F117" s="10">
        <f>'Q.6a Model 3'!$B119</f>
        <v>30.5</v>
      </c>
      <c r="H117" s="214">
        <v>6</v>
      </c>
      <c r="I117" s="214">
        <v>30.5</v>
      </c>
      <c r="K117" s="71">
        <f t="shared" si="15"/>
        <v>24.39884135054367</v>
      </c>
      <c r="L117" s="71">
        <f t="shared" si="17"/>
        <v>6.1011586494563304</v>
      </c>
      <c r="M117" s="71">
        <f t="shared" si="18"/>
        <v>6.1011586494563304</v>
      </c>
      <c r="N117" s="175">
        <f t="shared" si="19"/>
        <v>37.224136865835796</v>
      </c>
      <c r="O117" s="71">
        <f t="shared" si="20"/>
        <v>0.20003798850676494</v>
      </c>
      <c r="P117" s="176"/>
      <c r="Q117" s="144"/>
      <c r="R117" s="175">
        <f t="shared" si="13"/>
        <v>20.075895357141089</v>
      </c>
      <c r="S117" s="71">
        <f t="shared" si="14"/>
        <v>111.97389714867671</v>
      </c>
    </row>
    <row r="118" spans="1:19">
      <c r="A118" s="162">
        <f>'Q.6a Model 1'!A120</f>
        <v>5.4</v>
      </c>
      <c r="B118" s="162">
        <f>'Q.6a Model 1'!B120</f>
        <v>23.898299999999999</v>
      </c>
      <c r="C118" s="163">
        <f>'Q.6a Model 2'!A120</f>
        <v>3.6</v>
      </c>
      <c r="D118" s="163">
        <f>'Q.6a Model 2'!B120</f>
        <v>35.242699999999999</v>
      </c>
      <c r="E118" s="10">
        <f>'Q.6a Model 3'!$A120</f>
        <v>3</v>
      </c>
      <c r="F118" s="10">
        <f>'Q.6a Model 3'!$B120</f>
        <v>38.7896</v>
      </c>
      <c r="H118" s="214">
        <v>3</v>
      </c>
      <c r="I118" s="214">
        <v>38.7896</v>
      </c>
      <c r="K118" s="71">
        <f t="shared" si="15"/>
        <v>37.045655295365634</v>
      </c>
      <c r="L118" s="71">
        <f t="shared" si="17"/>
        <v>1.7439447046343659</v>
      </c>
      <c r="M118" s="71">
        <f t="shared" si="18"/>
        <v>1.7439447046343659</v>
      </c>
      <c r="N118" s="175">
        <f t="shared" si="19"/>
        <v>3.0413431328222456</v>
      </c>
      <c r="O118" s="71">
        <f t="shared" si="20"/>
        <v>4.4959079357208269E-2</v>
      </c>
      <c r="P118" s="176"/>
      <c r="Q118" s="144"/>
      <c r="R118" s="175">
        <f t="shared" si="13"/>
        <v>14.508379839742744</v>
      </c>
      <c r="S118" s="71">
        <f t="shared" si="14"/>
        <v>4.2643985288070114</v>
      </c>
    </row>
    <row r="119" spans="1:19">
      <c r="A119" s="162">
        <f>'Q.6a Model 1'!A121</f>
        <v>3</v>
      </c>
      <c r="B119" s="162">
        <f>'Q.6a Model 1'!B121</f>
        <v>36.1</v>
      </c>
      <c r="C119" s="163">
        <f>'Q.6a Model 2'!A121</f>
        <v>2</v>
      </c>
      <c r="D119" s="163">
        <f>'Q.6a Model 2'!B121</f>
        <v>58.534999999999997</v>
      </c>
      <c r="E119" s="10">
        <f>'Q.6a Model 3'!$A121</f>
        <v>3</v>
      </c>
      <c r="F119" s="10">
        <f>'Q.6a Model 3'!$B121</f>
        <v>33.1</v>
      </c>
      <c r="H119" s="214">
        <v>3</v>
      </c>
      <c r="I119" s="214">
        <v>33.1</v>
      </c>
      <c r="K119" s="71">
        <f t="shared" si="15"/>
        <v>37.045655295365634</v>
      </c>
      <c r="L119" s="71">
        <f t="shared" si="17"/>
        <v>-3.9456552953656328</v>
      </c>
      <c r="M119" s="71">
        <f t="shared" si="18"/>
        <v>3.9456552953656328</v>
      </c>
      <c r="N119" s="175">
        <f t="shared" si="19"/>
        <v>15.568195709846858</v>
      </c>
      <c r="O119" s="71">
        <f t="shared" si="20"/>
        <v>0.11920408747328196</v>
      </c>
      <c r="P119" s="176"/>
      <c r="Q119" s="144"/>
      <c r="R119" s="175">
        <f t="shared" si="13"/>
        <v>3.5367063056505788</v>
      </c>
      <c r="S119" s="71">
        <f t="shared" si="14"/>
        <v>4.2643985288070114</v>
      </c>
    </row>
    <row r="120" spans="1:19">
      <c r="A120" s="162">
        <f>'Q.6a Model 1'!A122</f>
        <v>6</v>
      </c>
      <c r="B120" s="162">
        <f>'Q.6a Model 1'!B122</f>
        <v>21.7</v>
      </c>
      <c r="C120" s="163">
        <f>'Q.6a Model 2'!A122</f>
        <v>1.6</v>
      </c>
      <c r="D120" s="163">
        <f>'Q.6a Model 2'!B122</f>
        <v>47.7592</v>
      </c>
      <c r="E120" s="10">
        <f>'Q.6a Model 3'!$A122</f>
        <v>5</v>
      </c>
      <c r="F120" s="10">
        <f>'Q.6a Model 3'!$B122</f>
        <v>29.7559</v>
      </c>
      <c r="H120" s="214">
        <v>5</v>
      </c>
      <c r="I120" s="214">
        <v>29.7559</v>
      </c>
      <c r="K120" s="71">
        <f t="shared" si="15"/>
        <v>28.614445998817658</v>
      </c>
      <c r="L120" s="71">
        <f t="shared" si="17"/>
        <v>1.1414540011823426</v>
      </c>
      <c r="M120" s="71">
        <f t="shared" si="18"/>
        <v>1.1414540011823426</v>
      </c>
      <c r="N120" s="175">
        <f t="shared" si="19"/>
        <v>1.3029172368151796</v>
      </c>
      <c r="O120" s="71">
        <f t="shared" si="20"/>
        <v>3.836059407318692E-2</v>
      </c>
      <c r="P120" s="176"/>
      <c r="Q120" s="144"/>
      <c r="R120" s="175">
        <f t="shared" si="13"/>
        <v>27.297628849146502</v>
      </c>
      <c r="S120" s="71">
        <f t="shared" si="14"/>
        <v>40.528085840954965</v>
      </c>
    </row>
    <row r="121" spans="1:19">
      <c r="A121" s="162">
        <f>'Q.6a Model 1'!A123</f>
        <v>2.5</v>
      </c>
      <c r="B121" s="162">
        <f>'Q.6a Model 1'!B123</f>
        <v>46.8</v>
      </c>
      <c r="C121" s="163">
        <f>'Q.6a Model 2'!A123</f>
        <v>3.2</v>
      </c>
      <c r="D121" s="163">
        <f>'Q.6a Model 2'!B123</f>
        <v>30.7</v>
      </c>
      <c r="E121" s="10">
        <f>'Q.6a Model 3'!$A123</f>
        <v>2.5</v>
      </c>
      <c r="F121" s="10">
        <f>'Q.6a Model 3'!$B123</f>
        <v>37.070999999999998</v>
      </c>
      <c r="H121" s="214">
        <v>2.5</v>
      </c>
      <c r="I121" s="214">
        <v>37.070999999999998</v>
      </c>
      <c r="K121" s="71">
        <f t="shared" si="15"/>
        <v>39.153457619502632</v>
      </c>
      <c r="L121" s="71">
        <f t="shared" si="17"/>
        <v>-2.0824576195026339</v>
      </c>
      <c r="M121" s="71">
        <f t="shared" si="18"/>
        <v>2.0824576195026339</v>
      </c>
      <c r="N121" s="175">
        <f t="shared" si="19"/>
        <v>4.3366297370245768</v>
      </c>
      <c r="O121" s="71">
        <f t="shared" si="20"/>
        <v>5.617484339517774E-2</v>
      </c>
      <c r="P121" s="176"/>
      <c r="Q121" s="144"/>
      <c r="R121" s="175">
        <f t="shared" si="13"/>
        <v>4.3697166427779592</v>
      </c>
      <c r="S121" s="71">
        <f t="shared" si="14"/>
        <v>17.412629888956623</v>
      </c>
    </row>
    <row r="122" spans="1:19">
      <c r="A122" s="162">
        <f>'Q.6a Model 1'!A124</f>
        <v>2</v>
      </c>
      <c r="B122" s="162">
        <f>'Q.6a Model 1'!B124</f>
        <v>40.239699999999999</v>
      </c>
      <c r="C122" s="163">
        <f>'Q.6a Model 2'!A124</f>
        <v>3</v>
      </c>
      <c r="D122" s="163">
        <f>'Q.6a Model 2'!B124</f>
        <v>36</v>
      </c>
      <c r="E122" s="10">
        <f>'Q.6a Model 3'!$A124</f>
        <v>4.5999999999999996</v>
      </c>
      <c r="F122" s="10">
        <f>'Q.6a Model 3'!$B124</f>
        <v>24.8718</v>
      </c>
      <c r="H122" s="214">
        <v>4.5999999999999996</v>
      </c>
      <c r="I122" s="214">
        <v>24.8718</v>
      </c>
      <c r="K122" s="71">
        <f t="shared" si="15"/>
        <v>30.300687858127255</v>
      </c>
      <c r="L122" s="71">
        <f t="shared" si="17"/>
        <v>-5.4288878581272542</v>
      </c>
      <c r="M122" s="71">
        <f t="shared" si="18"/>
        <v>5.4288878581272542</v>
      </c>
      <c r="N122" s="175">
        <f t="shared" si="19"/>
        <v>29.472823376121525</v>
      </c>
      <c r="O122" s="71">
        <f t="shared" si="20"/>
        <v>0.2182748276412344</v>
      </c>
      <c r="P122" s="176"/>
      <c r="Q122" s="144"/>
      <c r="R122" s="175">
        <f t="shared" si="13"/>
        <v>102.18810591237141</v>
      </c>
      <c r="S122" s="71">
        <f t="shared" si="14"/>
        <v>21.901701946173837</v>
      </c>
    </row>
    <row r="123" spans="1:19">
      <c r="A123" s="162">
        <f>'Q.6a Model 1'!A125</f>
        <v>2.9</v>
      </c>
      <c r="B123" s="162">
        <f>'Q.6a Model 1'!B125</f>
        <v>35.258200000000002</v>
      </c>
      <c r="C123" s="163">
        <f>'Q.6a Model 2'!A125</f>
        <v>3</v>
      </c>
      <c r="D123" s="163">
        <f>'Q.6a Model 2'!B125</f>
        <v>31.3</v>
      </c>
      <c r="E123" s="10">
        <f>'Q.6a Model 3'!$A125</f>
        <v>3.5</v>
      </c>
      <c r="F123" s="10">
        <f>'Q.6a Model 3'!$B125</f>
        <v>34.200000000000003</v>
      </c>
      <c r="H123" s="214">
        <v>3.5</v>
      </c>
      <c r="I123" s="214">
        <v>34.200000000000003</v>
      </c>
      <c r="K123" s="71">
        <f t="shared" si="15"/>
        <v>34.937852971228637</v>
      </c>
      <c r="L123" s="71">
        <f t="shared" si="17"/>
        <v>-0.73785297122863369</v>
      </c>
      <c r="M123" s="71">
        <f t="shared" si="18"/>
        <v>0.73785297122863369</v>
      </c>
      <c r="N123" s="175">
        <f t="shared" si="19"/>
        <v>0.54442700715092296</v>
      </c>
      <c r="O123" s="71">
        <f t="shared" si="20"/>
        <v>2.1574648281538995E-2</v>
      </c>
      <c r="P123" s="176"/>
      <c r="Q123" s="144"/>
      <c r="R123" s="175">
        <f t="shared" si="13"/>
        <v>0.6093570915584422</v>
      </c>
      <c r="S123" s="71">
        <f t="shared" si="14"/>
        <v>1.828443932057986E-3</v>
      </c>
    </row>
    <row r="124" spans="1:19">
      <c r="A124" s="162">
        <f>'Q.6a Model 1'!A126</f>
        <v>3</v>
      </c>
      <c r="B124" s="162">
        <f>'Q.6a Model 1'!B126</f>
        <v>38.169600000000003</v>
      </c>
      <c r="C124" s="163">
        <f>'Q.6a Model 2'!A126</f>
        <v>2.4</v>
      </c>
      <c r="D124" s="163">
        <f>'Q.6a Model 2'!B126</f>
        <v>44.8</v>
      </c>
      <c r="E124" s="10">
        <f>'Q.6a Model 3'!$A126</f>
        <v>6.2</v>
      </c>
      <c r="F124" s="10">
        <f>'Q.6a Model 3'!$B126</f>
        <v>24.9754</v>
      </c>
      <c r="H124" s="214">
        <v>6.2</v>
      </c>
      <c r="I124" s="214">
        <v>24.9754</v>
      </c>
      <c r="K124" s="71">
        <f t="shared" si="15"/>
        <v>23.555720420888871</v>
      </c>
      <c r="L124" s="71">
        <f t="shared" si="17"/>
        <v>1.4196795791111292</v>
      </c>
      <c r="M124" s="71">
        <f t="shared" si="18"/>
        <v>1.4196795791111292</v>
      </c>
      <c r="N124" s="175">
        <f t="shared" si="19"/>
        <v>2.015490107345153</v>
      </c>
      <c r="O124" s="71">
        <f t="shared" si="20"/>
        <v>5.6843116791367873E-2</v>
      </c>
      <c r="P124" s="176"/>
      <c r="Q124" s="144"/>
      <c r="R124" s="175">
        <f t="shared" si="13"/>
        <v>100.1042927609351</v>
      </c>
      <c r="S124" s="71">
        <f t="shared" si="14"/>
        <v>130.52817682235289</v>
      </c>
    </row>
    <row r="125" spans="1:19">
      <c r="A125" s="162">
        <f>'Q.6a Model 1'!A127</f>
        <v>6.1</v>
      </c>
      <c r="B125" s="162">
        <f>'Q.6a Model 1'!B127</f>
        <v>26</v>
      </c>
      <c r="C125" s="163">
        <f>'Q.6a Model 2'!A127</f>
        <v>2.4</v>
      </c>
      <c r="D125" s="163">
        <f>'Q.6a Model 2'!B127</f>
        <v>42.3</v>
      </c>
      <c r="E125" s="10">
        <f>'Q.6a Model 3'!$A127</f>
        <v>3</v>
      </c>
      <c r="F125" s="10">
        <f>'Q.6a Model 3'!$B127</f>
        <v>34.7286</v>
      </c>
      <c r="H125" s="214">
        <v>3</v>
      </c>
      <c r="I125" s="214">
        <v>34.7286</v>
      </c>
      <c r="K125" s="71">
        <f t="shared" si="15"/>
        <v>37.045655295365634</v>
      </c>
      <c r="L125" s="71">
        <f t="shared" si="17"/>
        <v>-2.317055295365634</v>
      </c>
      <c r="M125" s="71">
        <f t="shared" si="18"/>
        <v>2.317055295365634</v>
      </c>
      <c r="N125" s="175">
        <f t="shared" si="19"/>
        <v>5.3687452417819257</v>
      </c>
      <c r="O125" s="71">
        <f t="shared" si="20"/>
        <v>6.6718937572077017E-2</v>
      </c>
      <c r="P125" s="176"/>
      <c r="Q125" s="144"/>
      <c r="R125" s="175">
        <f t="shared" si="13"/>
        <v>6.3510692859261322E-2</v>
      </c>
      <c r="S125" s="71">
        <f t="shared" si="14"/>
        <v>4.2643985288070114</v>
      </c>
    </row>
    <row r="126" spans="1:19">
      <c r="A126" s="162">
        <f>'Q.6a Model 1'!A128</f>
        <v>2.4</v>
      </c>
      <c r="B126" s="162">
        <f>'Q.6a Model 1'!B128</f>
        <v>34.700000000000003</v>
      </c>
      <c r="C126" s="163">
        <f>'Q.6a Model 2'!A128</f>
        <v>3</v>
      </c>
      <c r="D126" s="163">
        <f>'Q.6a Model 2'!B128</f>
        <v>34.285299999999999</v>
      </c>
      <c r="E126" s="10">
        <f>'Q.6a Model 3'!$A128</f>
        <v>3.3</v>
      </c>
      <c r="F126" s="10">
        <f>'Q.6a Model 3'!$B128</f>
        <v>33.098799999999997</v>
      </c>
      <c r="H126" s="214">
        <v>3.3</v>
      </c>
      <c r="I126" s="214">
        <v>33.098799999999997</v>
      </c>
      <c r="K126" s="71">
        <f t="shared" si="15"/>
        <v>35.780973900883438</v>
      </c>
      <c r="L126" s="71">
        <f t="shared" si="17"/>
        <v>-2.6821739008834413</v>
      </c>
      <c r="M126" s="71">
        <f t="shared" si="18"/>
        <v>2.6821739008834413</v>
      </c>
      <c r="N126" s="175">
        <f t="shared" si="19"/>
        <v>7.1940568345802962</v>
      </c>
      <c r="O126" s="71">
        <f t="shared" si="20"/>
        <v>8.1035381974072826E-2</v>
      </c>
      <c r="P126" s="176"/>
      <c r="Q126" s="144"/>
      <c r="R126" s="175">
        <f t="shared" si="13"/>
        <v>3.5412212175205138</v>
      </c>
      <c r="S126" s="71">
        <f t="shared" si="14"/>
        <v>0.64057712484908502</v>
      </c>
    </row>
    <row r="127" spans="1:19">
      <c r="A127" s="162">
        <f>'Q.6a Model 1'!A129</f>
        <v>3.6</v>
      </c>
      <c r="B127" s="162">
        <f>'Q.6a Model 1'!B129</f>
        <v>28.1127</v>
      </c>
      <c r="C127" s="163">
        <f>'Q.6a Model 2'!A129</f>
        <v>2.2000000000000002</v>
      </c>
      <c r="D127" s="163">
        <f>'Q.6a Model 2'!B129</f>
        <v>46.8</v>
      </c>
      <c r="E127" s="10">
        <f>'Q.6a Model 3'!$A129</f>
        <v>5.9</v>
      </c>
      <c r="F127" s="10">
        <f>'Q.6a Model 3'!$B129</f>
        <v>26.620799999999999</v>
      </c>
      <c r="H127" s="214">
        <v>5.9</v>
      </c>
      <c r="I127" s="214">
        <v>26.620799999999999</v>
      </c>
      <c r="K127" s="71">
        <f t="shared" si="15"/>
        <v>24.820401815371067</v>
      </c>
      <c r="L127" s="71">
        <f t="shared" si="17"/>
        <v>1.8003981846289321</v>
      </c>
      <c r="M127" s="71">
        <f t="shared" si="18"/>
        <v>1.8003981846289321</v>
      </c>
      <c r="N127" s="175">
        <f t="shared" si="19"/>
        <v>3.2414336232151544</v>
      </c>
      <c r="O127" s="71">
        <f t="shared" si="20"/>
        <v>6.7631257686806265E-2</v>
      </c>
      <c r="P127" s="176"/>
      <c r="Q127" s="144"/>
      <c r="R127" s="175">
        <f t="shared" si="13"/>
        <v>69.886478061964937</v>
      </c>
      <c r="S127" s="71">
        <f t="shared" si="14"/>
        <v>103.22989698835512</v>
      </c>
    </row>
    <row r="128" spans="1:19">
      <c r="A128" s="162">
        <f>'Q.6a Model 1'!A130</f>
        <v>1.6</v>
      </c>
      <c r="B128" s="162">
        <f>'Q.6a Model 1'!B130</f>
        <v>44.2</v>
      </c>
      <c r="C128" s="163">
        <f>'Q.6a Model 2'!A130</f>
        <v>4.8</v>
      </c>
      <c r="D128" s="163">
        <f>'Q.6a Model 2'!B130</f>
        <v>31.374700000000001</v>
      </c>
      <c r="E128" s="10">
        <f>'Q.6a Model 3'!$A130</f>
        <v>2.7</v>
      </c>
      <c r="F128" s="10">
        <f>'Q.6a Model 3'!$B130</f>
        <v>38.299999999999997</v>
      </c>
      <c r="H128" s="214">
        <v>2.7</v>
      </c>
      <c r="I128" s="214">
        <v>38.299999999999997</v>
      </c>
      <c r="K128" s="71">
        <f t="shared" si="15"/>
        <v>38.31033668984783</v>
      </c>
      <c r="L128" s="71">
        <f t="shared" si="17"/>
        <v>-1.0336689847832758E-2</v>
      </c>
      <c r="M128" s="71">
        <f t="shared" si="18"/>
        <v>1.0336689847832758E-2</v>
      </c>
      <c r="N128" s="175">
        <f t="shared" si="19"/>
        <v>1.0684715701028882E-4</v>
      </c>
      <c r="O128" s="71">
        <f t="shared" si="20"/>
        <v>2.698874633898893E-4</v>
      </c>
      <c r="P128" s="176"/>
      <c r="Q128" s="144"/>
      <c r="R128" s="175">
        <f t="shared" si="13"/>
        <v>11.018328202669553</v>
      </c>
      <c r="S128" s="71">
        <f t="shared" si="14"/>
        <v>11.0870579918638</v>
      </c>
    </row>
    <row r="129" spans="1:19">
      <c r="A129" s="162">
        <f>'Q.6a Model 1'!A131</f>
        <v>2.4</v>
      </c>
      <c r="B129" s="162">
        <f>'Q.6a Model 1'!B131</f>
        <v>39.299999999999997</v>
      </c>
      <c r="C129" s="163">
        <f>'Q.6a Model 2'!A131</f>
        <v>3.7</v>
      </c>
      <c r="D129" s="163">
        <f>'Q.6a Model 2'!B131</f>
        <v>25.2</v>
      </c>
      <c r="E129" s="10">
        <f>'Q.6a Model 3'!$A131</f>
        <v>2.2999999999999998</v>
      </c>
      <c r="F129" s="10">
        <f>'Q.6a Model 3'!$B131</f>
        <v>34.700000000000003</v>
      </c>
      <c r="H129" s="214">
        <v>2.2999999999999998</v>
      </c>
      <c r="I129" s="214">
        <v>34.700000000000003</v>
      </c>
      <c r="K129" s="71">
        <f t="shared" si="15"/>
        <v>39.996578549157427</v>
      </c>
      <c r="L129" s="71">
        <f t="shared" si="17"/>
        <v>-5.2965785491574238</v>
      </c>
      <c r="M129" s="71">
        <f t="shared" si="18"/>
        <v>5.2965785491574238</v>
      </c>
      <c r="N129" s="175">
        <f t="shared" si="19"/>
        <v>28.053744327394561</v>
      </c>
      <c r="O129" s="71">
        <f t="shared" si="20"/>
        <v>0.15263915127254823</v>
      </c>
      <c r="P129" s="176"/>
      <c r="Q129" s="144"/>
      <c r="R129" s="175">
        <f t="shared" si="13"/>
        <v>7.8743812425655368E-2</v>
      </c>
      <c r="S129" s="71">
        <f t="shared" si="14"/>
        <v>25.159907590093329</v>
      </c>
    </row>
    <row r="130" spans="1:19">
      <c r="A130" s="162">
        <f>'Q.6a Model 1'!A132</f>
        <v>4</v>
      </c>
      <c r="B130" s="162">
        <f>'Q.6a Model 1'!B132</f>
        <v>25.753499999999999</v>
      </c>
      <c r="C130" s="163">
        <f>'Q.6a Model 2'!A132</f>
        <v>2</v>
      </c>
      <c r="D130" s="163">
        <f>'Q.6a Model 2'!B132</f>
        <v>37.5</v>
      </c>
      <c r="E130" s="10">
        <f>'Q.6a Model 3'!$A132</f>
        <v>3</v>
      </c>
      <c r="F130" s="10">
        <f>'Q.6a Model 3'!$B132</f>
        <v>35.708100000000002</v>
      </c>
      <c r="H130" s="214">
        <v>3</v>
      </c>
      <c r="I130" s="214">
        <v>35.708100000000002</v>
      </c>
      <c r="K130" s="71">
        <f t="shared" si="15"/>
        <v>37.045655295365634</v>
      </c>
      <c r="L130" s="71">
        <f t="shared" si="17"/>
        <v>-1.3375552953656324</v>
      </c>
      <c r="M130" s="71">
        <f t="shared" si="18"/>
        <v>1.3375552953656324</v>
      </c>
      <c r="N130" s="175">
        <f t="shared" si="19"/>
        <v>1.7890541681606442</v>
      </c>
      <c r="O130" s="71">
        <f t="shared" si="20"/>
        <v>3.7458036002073265E-2</v>
      </c>
      <c r="P130" s="176"/>
      <c r="Q130" s="144"/>
      <c r="R130" s="175">
        <f t="shared" si="13"/>
        <v>0.5292369290381288</v>
      </c>
      <c r="S130" s="71">
        <f t="shared" si="14"/>
        <v>4.2643985288070114</v>
      </c>
    </row>
    <row r="131" spans="1:19">
      <c r="A131" s="162">
        <f>'Q.6a Model 1'!A133</f>
        <v>5.7</v>
      </c>
      <c r="B131" s="162">
        <f>'Q.6a Model 1'!B133</f>
        <v>21.1</v>
      </c>
      <c r="C131" s="163">
        <f>'Q.6a Model 2'!A133</f>
        <v>4.4000000000000004</v>
      </c>
      <c r="D131" s="163">
        <f>'Q.6a Model 2'!B133</f>
        <v>26.2</v>
      </c>
      <c r="E131" s="10">
        <f>'Q.6a Model 3'!$A133</f>
        <v>2.4</v>
      </c>
      <c r="F131" s="10">
        <f>'Q.6a Model 3'!$B133</f>
        <v>41.395899999999997</v>
      </c>
      <c r="H131" s="214">
        <v>2.4</v>
      </c>
      <c r="I131" s="214">
        <v>41.395899999999997</v>
      </c>
      <c r="K131" s="71">
        <f t="shared" si="15"/>
        <v>39.575018084330026</v>
      </c>
      <c r="L131" s="71">
        <f t="shared" si="17"/>
        <v>1.8208819156699718</v>
      </c>
      <c r="M131" s="71">
        <f t="shared" si="18"/>
        <v>1.8208819156699718</v>
      </c>
      <c r="N131" s="175">
        <f t="shared" si="19"/>
        <v>3.3156109508139462</v>
      </c>
      <c r="O131" s="71">
        <f t="shared" si="20"/>
        <v>4.3987011169462964E-2</v>
      </c>
      <c r="P131" s="176"/>
      <c r="Q131" s="144"/>
      <c r="R131" s="175">
        <f t="shared" ref="R131:R194" si="21">(I131-$J$3)^2</f>
        <v>41.155903710935128</v>
      </c>
      <c r="S131" s="71">
        <f t="shared" ref="S131:S194" si="22">(K131-$J$3)^2</f>
        <v>21.10855551401945</v>
      </c>
    </row>
    <row r="132" spans="1:19">
      <c r="A132" s="162">
        <f>'Q.6a Model 1'!A134</f>
        <v>3</v>
      </c>
      <c r="B132" s="162">
        <f>'Q.6a Model 1'!B134</f>
        <v>36.558999999999997</v>
      </c>
      <c r="C132" s="163">
        <f>'Q.6a Model 2'!A134</f>
        <v>2.5</v>
      </c>
      <c r="D132" s="163">
        <f>'Q.6a Model 2'!B134</f>
        <v>40.799999999999997</v>
      </c>
      <c r="E132" s="10">
        <f>'Q.6a Model 3'!$A134</f>
        <v>5.2</v>
      </c>
      <c r="F132" s="10">
        <f>'Q.6a Model 3'!$B134</f>
        <v>25.4</v>
      </c>
      <c r="H132" s="214">
        <v>5.2</v>
      </c>
      <c r="I132" s="214">
        <v>25.4</v>
      </c>
      <c r="K132" s="71">
        <f t="shared" ref="K132:K195" si="23">$V$3 + $U$3 * H132</f>
        <v>27.771325069162859</v>
      </c>
      <c r="L132" s="71">
        <f t="shared" si="17"/>
        <v>-2.3713250691628609</v>
      </c>
      <c r="M132" s="71">
        <f t="shared" si="18"/>
        <v>2.3713250691628609</v>
      </c>
      <c r="N132" s="175">
        <f t="shared" si="19"/>
        <v>5.6231825836402471</v>
      </c>
      <c r="O132" s="71">
        <f t="shared" si="20"/>
        <v>9.3359254691451218E-2</v>
      </c>
      <c r="P132" s="176"/>
      <c r="Q132" s="144"/>
      <c r="R132" s="175">
        <f t="shared" si="21"/>
        <v>91.788150804295569</v>
      </c>
      <c r="S132" s="71">
        <f t="shared" si="22"/>
        <v>51.973836494411444</v>
      </c>
    </row>
    <row r="133" spans="1:19">
      <c r="A133" s="162">
        <f>'Q.6a Model 1'!A135</f>
        <v>3.7</v>
      </c>
      <c r="B133" s="162">
        <f>'Q.6a Model 1'!B135</f>
        <v>25.1</v>
      </c>
      <c r="C133" s="163">
        <f>'Q.6a Model 2'!A135</f>
        <v>3</v>
      </c>
      <c r="D133" s="163">
        <f>'Q.6a Model 2'!B135</f>
        <v>34.548200000000001</v>
      </c>
      <c r="E133" s="10">
        <f>'Q.6a Model 3'!$A135</f>
        <v>4.5999999999999996</v>
      </c>
      <c r="F133" s="10">
        <f>'Q.6a Model 3'!$B135</f>
        <v>33.550899999999999</v>
      </c>
      <c r="H133" s="214">
        <v>4.5999999999999996</v>
      </c>
      <c r="I133" s="214">
        <v>33.550899999999999</v>
      </c>
      <c r="K133" s="71">
        <f t="shared" si="23"/>
        <v>30.300687858127255</v>
      </c>
      <c r="L133" s="71">
        <f t="shared" si="17"/>
        <v>3.2502121418727441</v>
      </c>
      <c r="M133" s="71">
        <f t="shared" si="18"/>
        <v>3.2502121418727441</v>
      </c>
      <c r="N133" s="175">
        <f t="shared" si="19"/>
        <v>10.563878967177011</v>
      </c>
      <c r="O133" s="71">
        <f t="shared" si="20"/>
        <v>9.6874067219441029E-2</v>
      </c>
      <c r="P133" s="176"/>
      <c r="Q133" s="144"/>
      <c r="R133" s="175">
        <f t="shared" si="21"/>
        <v>2.0440800605286382</v>
      </c>
      <c r="S133" s="71">
        <f t="shared" si="22"/>
        <v>21.901701946173837</v>
      </c>
    </row>
    <row r="134" spans="1:19">
      <c r="A134" s="162">
        <f>'Q.6a Model 1'!A136</f>
        <v>3.5</v>
      </c>
      <c r="B134" s="162">
        <f>'Q.6a Model 1'!B136</f>
        <v>35.349400000000003</v>
      </c>
      <c r="C134" s="163">
        <f>'Q.6a Model 2'!A136</f>
        <v>2.5</v>
      </c>
      <c r="D134" s="163">
        <f>'Q.6a Model 2'!B136</f>
        <v>39.6</v>
      </c>
      <c r="E134" s="10">
        <f>'Q.6a Model 3'!$A136</f>
        <v>3.5</v>
      </c>
      <c r="F134" s="10">
        <f>'Q.6a Model 3'!$B136</f>
        <v>31.9</v>
      </c>
      <c r="H134" s="214">
        <v>3.5</v>
      </c>
      <c r="I134" s="214">
        <v>31.9</v>
      </c>
      <c r="K134" s="71">
        <f t="shared" si="23"/>
        <v>34.937852971228637</v>
      </c>
      <c r="L134" s="71">
        <f t="shared" si="17"/>
        <v>-3.037852971228638</v>
      </c>
      <c r="M134" s="71">
        <f t="shared" si="18"/>
        <v>3.037852971228638</v>
      </c>
      <c r="N134" s="175">
        <f t="shared" si="19"/>
        <v>9.2285506748026638</v>
      </c>
      <c r="O134" s="71">
        <f t="shared" si="20"/>
        <v>9.5230500665474546E-2</v>
      </c>
      <c r="P134" s="176"/>
      <c r="Q134" s="144"/>
      <c r="R134" s="175">
        <f t="shared" si="21"/>
        <v>9.4901781755692873</v>
      </c>
      <c r="S134" s="71">
        <f t="shared" si="22"/>
        <v>1.828443932057986E-3</v>
      </c>
    </row>
    <row r="135" spans="1:19">
      <c r="A135" s="162">
        <f>'Q.6a Model 1'!A137</f>
        <v>5.5</v>
      </c>
      <c r="B135" s="162">
        <f>'Q.6a Model 1'!B137</f>
        <v>21.4</v>
      </c>
      <c r="C135" s="163">
        <f>'Q.6a Model 2'!A137</f>
        <v>4</v>
      </c>
      <c r="D135" s="163">
        <f>'Q.6a Model 2'!B137</f>
        <v>27.8</v>
      </c>
      <c r="E135" s="10">
        <f>'Q.6a Model 3'!$A137</f>
        <v>3.5</v>
      </c>
      <c r="F135" s="10">
        <f>'Q.6a Model 3'!$B137</f>
        <v>29.9849</v>
      </c>
      <c r="H135" s="214">
        <v>3.5</v>
      </c>
      <c r="I135" s="214">
        <v>29.9849</v>
      </c>
      <c r="K135" s="71">
        <f t="shared" si="23"/>
        <v>34.937852971228637</v>
      </c>
      <c r="L135" s="71">
        <f t="shared" si="17"/>
        <v>-4.9529529712286369</v>
      </c>
      <c r="M135" s="71">
        <f t="shared" si="18"/>
        <v>4.9529529712286369</v>
      </c>
      <c r="N135" s="175">
        <f t="shared" si="19"/>
        <v>24.531743135202582</v>
      </c>
      <c r="O135" s="71">
        <f t="shared" si="20"/>
        <v>0.16518157376641698</v>
      </c>
      <c r="P135" s="176"/>
      <c r="Q135" s="144"/>
      <c r="R135" s="175">
        <f t="shared" si="21"/>
        <v>24.957151167303692</v>
      </c>
      <c r="S135" s="71">
        <f t="shared" si="22"/>
        <v>1.828443932057986E-3</v>
      </c>
    </row>
    <row r="136" spans="1:19">
      <c r="A136" s="162">
        <f>'Q.6a Model 1'!A138</f>
        <v>6.3</v>
      </c>
      <c r="B136" s="162">
        <f>'Q.6a Model 1'!B138</f>
        <v>19.7</v>
      </c>
      <c r="C136" s="163">
        <f>'Q.6a Model 2'!A138</f>
        <v>6.2</v>
      </c>
      <c r="D136" s="163">
        <f>'Q.6a Model 2'!B138</f>
        <v>28.4</v>
      </c>
      <c r="E136" s="10">
        <f>'Q.6a Model 3'!$A138</f>
        <v>3.6</v>
      </c>
      <c r="F136" s="10">
        <f>'Q.6a Model 3'!$B138</f>
        <v>31.6</v>
      </c>
      <c r="H136" s="214">
        <v>3.6</v>
      </c>
      <c r="I136" s="214">
        <v>31.6</v>
      </c>
      <c r="K136" s="71">
        <f t="shared" si="23"/>
        <v>34.516292506401243</v>
      </c>
      <c r="L136" s="71">
        <f t="shared" si="17"/>
        <v>-2.9162925064012413</v>
      </c>
      <c r="M136" s="71">
        <f t="shared" si="18"/>
        <v>2.9162925064012413</v>
      </c>
      <c r="N136" s="175">
        <f t="shared" si="19"/>
        <v>8.5047619828920347</v>
      </c>
      <c r="O136" s="71">
        <f t="shared" si="20"/>
        <v>9.2287737544343079E-2</v>
      </c>
      <c r="P136" s="176"/>
      <c r="Q136" s="144"/>
      <c r="R136" s="175">
        <f t="shared" si="21"/>
        <v>11.428546143048944</v>
      </c>
      <c r="S136" s="71">
        <f t="shared" si="22"/>
        <v>0.21559377999002097</v>
      </c>
    </row>
    <row r="137" spans="1:19">
      <c r="A137" s="162">
        <f>'Q.6a Model 1'!A139</f>
        <v>2</v>
      </c>
      <c r="B137" s="162">
        <f>'Q.6a Model 1'!B139</f>
        <v>38</v>
      </c>
      <c r="C137" s="163">
        <f>'Q.6a Model 2'!A139</f>
        <v>2</v>
      </c>
      <c r="D137" s="163">
        <f>'Q.6a Model 2'!B139</f>
        <v>31.1</v>
      </c>
      <c r="E137" s="10">
        <f>'Q.6a Model 3'!$A139</f>
        <v>2.7</v>
      </c>
      <c r="F137" s="10">
        <f>'Q.6a Model 3'!$B139</f>
        <v>36.5</v>
      </c>
      <c r="H137" s="214">
        <v>2.7</v>
      </c>
      <c r="I137" s="214">
        <v>36.5</v>
      </c>
      <c r="K137" s="71">
        <f t="shared" si="23"/>
        <v>38.31033668984783</v>
      </c>
      <c r="L137" s="71">
        <f t="shared" si="17"/>
        <v>-1.8103366898478299</v>
      </c>
      <c r="M137" s="71">
        <f t="shared" si="18"/>
        <v>1.8103366898478299</v>
      </c>
      <c r="N137" s="175">
        <f t="shared" si="19"/>
        <v>3.2773189306091979</v>
      </c>
      <c r="O137" s="71">
        <f t="shared" si="20"/>
        <v>4.959826547528301E-2</v>
      </c>
      <c r="P137" s="176"/>
      <c r="Q137" s="144"/>
      <c r="R137" s="175">
        <f t="shared" si="21"/>
        <v>2.3085360075476138</v>
      </c>
      <c r="S137" s="71">
        <f t="shared" si="22"/>
        <v>11.0870579918638</v>
      </c>
    </row>
    <row r="138" spans="1:19">
      <c r="A138" s="162">
        <f>'Q.6a Model 1'!A140</f>
        <v>3</v>
      </c>
      <c r="B138" s="162">
        <f>'Q.6a Model 1'!B140</f>
        <v>35</v>
      </c>
      <c r="C138" s="163">
        <f>'Q.6a Model 2'!A140</f>
        <v>5.5</v>
      </c>
      <c r="D138" s="163">
        <f>'Q.6a Model 2'!B140</f>
        <v>31.7</v>
      </c>
      <c r="E138" s="10">
        <f>'Q.6a Model 3'!$A140</f>
        <v>3.5</v>
      </c>
      <c r="F138" s="10">
        <f>'Q.6a Model 3'!$B140</f>
        <v>34.200000000000003</v>
      </c>
      <c r="H138" s="214">
        <v>3.5</v>
      </c>
      <c r="I138" s="214">
        <v>34.200000000000003</v>
      </c>
      <c r="K138" s="71">
        <f t="shared" si="23"/>
        <v>34.937852971228637</v>
      </c>
      <c r="L138" s="71">
        <f t="shared" si="17"/>
        <v>-0.73785297122863369</v>
      </c>
      <c r="M138" s="71">
        <f t="shared" si="18"/>
        <v>0.73785297122863369</v>
      </c>
      <c r="N138" s="175">
        <f t="shared" si="19"/>
        <v>0.54442700715092296</v>
      </c>
      <c r="O138" s="71">
        <f t="shared" si="20"/>
        <v>2.1574648281538995E-2</v>
      </c>
      <c r="P138" s="176"/>
      <c r="Q138" s="144"/>
      <c r="R138" s="175">
        <f t="shared" si="21"/>
        <v>0.6093570915584422</v>
      </c>
      <c r="S138" s="71">
        <f t="shared" si="22"/>
        <v>1.828443932057986E-3</v>
      </c>
    </row>
    <row r="139" spans="1:19">
      <c r="A139" s="162">
        <f>'Q.6a Model 1'!A141</f>
        <v>3.6</v>
      </c>
      <c r="B139" s="162">
        <f>'Q.6a Model 1'!B141</f>
        <v>34.875399999999999</v>
      </c>
      <c r="C139" s="163">
        <f>'Q.6a Model 2'!A141</f>
        <v>5.7</v>
      </c>
      <c r="D139" s="163">
        <f>'Q.6a Model 2'!B141</f>
        <v>20.99</v>
      </c>
      <c r="E139" s="10">
        <f>'Q.6a Model 3'!$A141</f>
        <v>3.6</v>
      </c>
      <c r="F139" s="10">
        <f>'Q.6a Model 3'!$B141</f>
        <v>40</v>
      </c>
      <c r="H139" s="214">
        <v>3.6</v>
      </c>
      <c r="I139" s="214">
        <v>40</v>
      </c>
      <c r="K139" s="71">
        <f t="shared" si="23"/>
        <v>34.516292506401243</v>
      </c>
      <c r="L139" s="71">
        <f t="shared" si="17"/>
        <v>5.4837074935987573</v>
      </c>
      <c r="M139" s="71">
        <f t="shared" si="18"/>
        <v>5.4837074935987573</v>
      </c>
      <c r="N139" s="175">
        <f t="shared" si="19"/>
        <v>30.071047875351166</v>
      </c>
      <c r="O139" s="71">
        <f t="shared" si="20"/>
        <v>0.13709268733996893</v>
      </c>
      <c r="P139" s="176"/>
      <c r="Q139" s="144"/>
      <c r="R139" s="175">
        <f t="shared" si="21"/>
        <v>25.194243053618084</v>
      </c>
      <c r="S139" s="71">
        <f t="shared" si="22"/>
        <v>0.21559377999002097</v>
      </c>
    </row>
    <row r="140" spans="1:19">
      <c r="A140" s="162">
        <f>'Q.6a Model 1'!A142</f>
        <v>3.8</v>
      </c>
      <c r="B140" s="162">
        <f>'Q.6a Model 1'!B142</f>
        <v>32.4</v>
      </c>
      <c r="C140" s="163">
        <f>'Q.6a Model 2'!A142</f>
        <v>2.5</v>
      </c>
      <c r="D140" s="163">
        <f>'Q.6a Model 2'!B142</f>
        <v>42.9</v>
      </c>
      <c r="E140" s="10">
        <f>'Q.6a Model 3'!$A142</f>
        <v>3.8</v>
      </c>
      <c r="F140" s="10">
        <f>'Q.6a Model 3'!$B142</f>
        <v>31.9</v>
      </c>
      <c r="H140" s="214">
        <v>3.8</v>
      </c>
      <c r="I140" s="214">
        <v>31.9</v>
      </c>
      <c r="K140" s="71">
        <f t="shared" si="23"/>
        <v>33.673171576746441</v>
      </c>
      <c r="L140" s="71">
        <f t="shared" si="17"/>
        <v>-1.7731715767464422</v>
      </c>
      <c r="M140" s="71">
        <f t="shared" si="18"/>
        <v>1.7731715767464422</v>
      </c>
      <c r="N140" s="175">
        <f t="shared" si="19"/>
        <v>3.1441374405814639</v>
      </c>
      <c r="O140" s="71">
        <f t="shared" si="20"/>
        <v>5.558531588546841E-2</v>
      </c>
      <c r="P140" s="176"/>
      <c r="Q140" s="144"/>
      <c r="R140" s="175">
        <f t="shared" si="21"/>
        <v>9.4901781755692873</v>
      </c>
      <c r="S140" s="71">
        <f t="shared" si="22"/>
        <v>1.7094038051389142</v>
      </c>
    </row>
    <row r="141" spans="1:19">
      <c r="A141" s="162">
        <f>'Q.6a Model 1'!A143</f>
        <v>2.4</v>
      </c>
      <c r="B141" s="162">
        <f>'Q.6a Model 1'!B143</f>
        <v>46.9</v>
      </c>
      <c r="C141" s="163">
        <f>'Q.6a Model 2'!A143</f>
        <v>2.4</v>
      </c>
      <c r="D141" s="163">
        <f>'Q.6a Model 2'!B143</f>
        <v>38.6</v>
      </c>
      <c r="E141" s="10">
        <f>'Q.6a Model 3'!$A143</f>
        <v>3.5</v>
      </c>
      <c r="F141" s="10">
        <f>'Q.6a Model 3'!$B143</f>
        <v>36.556399999999996</v>
      </c>
      <c r="H141" s="214">
        <v>3.5</v>
      </c>
      <c r="I141" s="214">
        <v>36.556399999999996</v>
      </c>
      <c r="K141" s="71">
        <f t="shared" si="23"/>
        <v>34.937852971228637</v>
      </c>
      <c r="L141" s="71">
        <f t="shared" si="17"/>
        <v>1.6185470287713599</v>
      </c>
      <c r="M141" s="71">
        <f t="shared" si="18"/>
        <v>1.6185470287713599</v>
      </c>
      <c r="N141" s="175">
        <f t="shared" si="19"/>
        <v>2.6196944843445973</v>
      </c>
      <c r="O141" s="71">
        <f t="shared" si="20"/>
        <v>4.4275339715381168E-2</v>
      </c>
      <c r="P141" s="176"/>
      <c r="Q141" s="144"/>
      <c r="R141" s="175">
        <f t="shared" si="21"/>
        <v>2.4831037896614241</v>
      </c>
      <c r="S141" s="71">
        <f t="shared" si="22"/>
        <v>1.828443932057986E-3</v>
      </c>
    </row>
    <row r="142" spans="1:19">
      <c r="A142" s="162">
        <f>'Q.6a Model 1'!A144</f>
        <v>3.5</v>
      </c>
      <c r="B142" s="162">
        <f>'Q.6a Model 1'!B144</f>
        <v>30.2</v>
      </c>
      <c r="C142" s="163">
        <f>'Q.6a Model 2'!A144</f>
        <v>4.3</v>
      </c>
      <c r="D142" s="163">
        <f>'Q.6a Model 2'!B144</f>
        <v>27.6</v>
      </c>
      <c r="E142" s="10">
        <f>'Q.6a Model 3'!$A144</f>
        <v>5.5</v>
      </c>
      <c r="F142" s="10">
        <f>'Q.6a Model 3'!$B144</f>
        <v>29</v>
      </c>
      <c r="H142" s="214">
        <v>5.5</v>
      </c>
      <c r="I142" s="214">
        <v>29</v>
      </c>
      <c r="K142" s="71">
        <f t="shared" si="23"/>
        <v>26.506643674680664</v>
      </c>
      <c r="L142" s="71">
        <f t="shared" si="17"/>
        <v>2.4933563253193363</v>
      </c>
      <c r="M142" s="71">
        <f t="shared" si="18"/>
        <v>2.4933563253193363</v>
      </c>
      <c r="N142" s="175">
        <f t="shared" si="19"/>
        <v>6.2168257650099434</v>
      </c>
      <c r="O142" s="71">
        <f t="shared" si="20"/>
        <v>8.5977804321356419E-2</v>
      </c>
      <c r="P142" s="176"/>
      <c r="Q142" s="144"/>
      <c r="R142" s="175">
        <f t="shared" si="21"/>
        <v>35.767735194539462</v>
      </c>
      <c r="S142" s="71">
        <f t="shared" si="22"/>
        <v>71.808160857178521</v>
      </c>
    </row>
    <row r="143" spans="1:19">
      <c r="A143" s="162">
        <f>'Q.6a Model 1'!A145</f>
        <v>2</v>
      </c>
      <c r="B143" s="162">
        <f>'Q.6a Model 1'!B145</f>
        <v>41.113199999999999</v>
      </c>
      <c r="C143" s="163">
        <f>'Q.6a Model 2'!A145</f>
        <v>4.8</v>
      </c>
      <c r="D143" s="163">
        <f>'Q.6a Model 2'!B145</f>
        <v>33.260300000000001</v>
      </c>
      <c r="E143" s="10">
        <f>'Q.6a Model 3'!$A145</f>
        <v>3.5</v>
      </c>
      <c r="F143" s="10">
        <f>'Q.6a Model 3'!$B145</f>
        <v>29.773399999999999</v>
      </c>
      <c r="H143" s="214">
        <v>3.5</v>
      </c>
      <c r="I143" s="214">
        <v>29.773399999999999</v>
      </c>
      <c r="K143" s="71">
        <f t="shared" si="23"/>
        <v>34.937852971228637</v>
      </c>
      <c r="L143" s="71">
        <f t="shared" si="17"/>
        <v>-5.1644529712286378</v>
      </c>
      <c r="M143" s="71">
        <f t="shared" si="18"/>
        <v>5.1644529712286378</v>
      </c>
      <c r="N143" s="175">
        <f t="shared" si="19"/>
        <v>26.671574492032306</v>
      </c>
      <c r="O143" s="71">
        <f t="shared" si="20"/>
        <v>0.17345862317466726</v>
      </c>
      <c r="P143" s="176"/>
      <c r="Q143" s="144"/>
      <c r="R143" s="175">
        <f t="shared" si="21"/>
        <v>27.115070134376875</v>
      </c>
      <c r="S143" s="71">
        <f t="shared" si="22"/>
        <v>1.828443932057986E-3</v>
      </c>
    </row>
    <row r="144" spans="1:19">
      <c r="A144" s="162">
        <f>'Q.6a Model 1'!A146</f>
        <v>2.4</v>
      </c>
      <c r="B144" s="162">
        <f>'Q.6a Model 1'!B146</f>
        <v>37.491100000000003</v>
      </c>
      <c r="C144" s="163">
        <f>'Q.6a Model 2'!A146</f>
        <v>2.5</v>
      </c>
      <c r="D144" s="163">
        <f>'Q.6a Model 2'!B146</f>
        <v>39.200000000000003</v>
      </c>
      <c r="E144" s="10">
        <f>'Q.6a Model 3'!$A146</f>
        <v>6.2</v>
      </c>
      <c r="F144" s="10">
        <f>'Q.6a Model 3'!$B146</f>
        <v>26</v>
      </c>
      <c r="H144" s="214">
        <v>6.2</v>
      </c>
      <c r="I144" s="214">
        <v>26</v>
      </c>
      <c r="K144" s="71">
        <f t="shared" si="23"/>
        <v>23.555720420888871</v>
      </c>
      <c r="L144" s="71">
        <f t="shared" si="17"/>
        <v>2.4442795791111287</v>
      </c>
      <c r="M144" s="71">
        <f t="shared" si="18"/>
        <v>2.4442795791111287</v>
      </c>
      <c r="N144" s="175">
        <f t="shared" si="19"/>
        <v>5.9745026608596765</v>
      </c>
      <c r="O144" s="71">
        <f t="shared" si="20"/>
        <v>9.401075304273572E-2</v>
      </c>
      <c r="P144" s="176"/>
      <c r="Q144" s="144"/>
      <c r="R144" s="175">
        <f t="shared" si="21"/>
        <v>80.651414869336193</v>
      </c>
      <c r="S144" s="71">
        <f t="shared" si="22"/>
        <v>130.52817682235289</v>
      </c>
    </row>
    <row r="145" spans="1:19">
      <c r="A145" s="162">
        <f>'Q.6a Model 1'!A147</f>
        <v>3.6</v>
      </c>
      <c r="B145" s="162">
        <f>'Q.6a Model 1'!B147</f>
        <v>36.756300000000003</v>
      </c>
      <c r="C145" s="163">
        <f>'Q.6a Model 2'!A147</f>
        <v>3.6</v>
      </c>
      <c r="D145" s="163">
        <f>'Q.6a Model 2'!B147</f>
        <v>32.6</v>
      </c>
      <c r="E145" s="10">
        <f>'Q.6a Model 3'!$A147</f>
        <v>3</v>
      </c>
      <c r="F145" s="10">
        <f>'Q.6a Model 3'!$B147</f>
        <v>37.9</v>
      </c>
      <c r="H145" s="214">
        <v>3</v>
      </c>
      <c r="I145" s="214">
        <v>37.9</v>
      </c>
      <c r="K145" s="71">
        <f t="shared" si="23"/>
        <v>37.045655295365634</v>
      </c>
      <c r="L145" s="71">
        <f t="shared" si="17"/>
        <v>0.8543447046343644</v>
      </c>
      <c r="M145" s="71">
        <f t="shared" si="18"/>
        <v>0.8543447046343644</v>
      </c>
      <c r="N145" s="175">
        <f t="shared" si="19"/>
        <v>0.72990487433677931</v>
      </c>
      <c r="O145" s="71">
        <f t="shared" si="20"/>
        <v>2.2542076639429139E-2</v>
      </c>
      <c r="P145" s="176"/>
      <c r="Q145" s="144"/>
      <c r="R145" s="175">
        <f t="shared" si="21"/>
        <v>8.5228188259757935</v>
      </c>
      <c r="S145" s="71">
        <f t="shared" si="22"/>
        <v>4.2643985288070114</v>
      </c>
    </row>
    <row r="146" spans="1:19">
      <c r="A146" s="162">
        <f>'Q.6a Model 1'!A148</f>
        <v>4.3</v>
      </c>
      <c r="B146" s="162">
        <f>'Q.6a Model 1'!B148</f>
        <v>26.1157</v>
      </c>
      <c r="C146" s="163">
        <f>'Q.6a Model 2'!A148</f>
        <v>3.7</v>
      </c>
      <c r="D146" s="163">
        <f>'Q.6a Model 2'!B148</f>
        <v>31.3858</v>
      </c>
      <c r="E146" s="10">
        <f>'Q.6a Model 3'!$A148</f>
        <v>2</v>
      </c>
      <c r="F146" s="10">
        <f>'Q.6a Model 3'!$B148</f>
        <v>40</v>
      </c>
      <c r="H146" s="214">
        <v>2</v>
      </c>
      <c r="I146" s="214">
        <v>40</v>
      </c>
      <c r="K146" s="71">
        <f t="shared" si="23"/>
        <v>41.261259943639622</v>
      </c>
      <c r="L146" s="71">
        <f t="shared" si="17"/>
        <v>-1.2612599436396223</v>
      </c>
      <c r="M146" s="71">
        <f t="shared" si="18"/>
        <v>1.2612599436396223</v>
      </c>
      <c r="N146" s="175">
        <f t="shared" si="19"/>
        <v>1.5907766454298233</v>
      </c>
      <c r="O146" s="71">
        <f t="shared" si="20"/>
        <v>3.153149859099056E-2</v>
      </c>
      <c r="P146" s="176"/>
      <c r="Q146" s="144"/>
      <c r="R146" s="175">
        <f t="shared" si="21"/>
        <v>25.194243053618084</v>
      </c>
      <c r="S146" s="71">
        <f t="shared" si="22"/>
        <v>39.446522524380804</v>
      </c>
    </row>
    <row r="147" spans="1:19">
      <c r="A147" s="162">
        <f>'Q.6a Model 1'!A149</f>
        <v>2</v>
      </c>
      <c r="B147" s="162">
        <f>'Q.6a Model 1'!B149</f>
        <v>38</v>
      </c>
      <c r="C147" s="163">
        <f>'Q.6a Model 2'!A149</f>
        <v>2.4</v>
      </c>
      <c r="D147" s="163">
        <f>'Q.6a Model 2'!B149</f>
        <v>35.810299999999998</v>
      </c>
      <c r="E147" s="10">
        <f>'Q.6a Model 3'!$A149</f>
        <v>2</v>
      </c>
      <c r="F147" s="10">
        <f>'Q.6a Model 3'!$B149</f>
        <v>42.457900000000002</v>
      </c>
      <c r="H147" s="214">
        <v>2</v>
      </c>
      <c r="I147" s="214">
        <v>42.457900000000002</v>
      </c>
      <c r="K147" s="71">
        <f t="shared" si="23"/>
        <v>41.261259943639622</v>
      </c>
      <c r="L147" s="71">
        <f t="shared" si="17"/>
        <v>1.1966400563603798</v>
      </c>
      <c r="M147" s="71">
        <f t="shared" si="18"/>
        <v>1.1966400563603798</v>
      </c>
      <c r="N147" s="175">
        <f t="shared" si="19"/>
        <v>1.431947424486173</v>
      </c>
      <c r="O147" s="71">
        <f t="shared" si="20"/>
        <v>2.8184155513117225E-2</v>
      </c>
      <c r="P147" s="176"/>
      <c r="Q147" s="144"/>
      <c r="R147" s="175">
        <f t="shared" si="21"/>
        <v>55.90981670605715</v>
      </c>
      <c r="S147" s="71">
        <f t="shared" si="22"/>
        <v>39.446522524380804</v>
      </c>
    </row>
    <row r="148" spans="1:19">
      <c r="A148" s="162">
        <f>'Q.6a Model 1'!A150</f>
        <v>4</v>
      </c>
      <c r="B148" s="162">
        <f>'Q.6a Model 1'!B150</f>
        <v>28.918199999999999</v>
      </c>
      <c r="C148" s="163">
        <f>'Q.6a Model 2'!A150</f>
        <v>2.4</v>
      </c>
      <c r="D148" s="163">
        <f>'Q.6a Model 2'!B150</f>
        <v>39.299999999999997</v>
      </c>
      <c r="E148" s="10">
        <f>'Q.6a Model 3'!$A150</f>
        <v>2.4</v>
      </c>
      <c r="F148" s="10">
        <f>'Q.6a Model 3'!$B150</f>
        <v>45.3</v>
      </c>
      <c r="H148" s="214">
        <v>2.4</v>
      </c>
      <c r="I148" s="214">
        <v>45.3</v>
      </c>
      <c r="K148" s="71">
        <f t="shared" si="23"/>
        <v>39.575018084330026</v>
      </c>
      <c r="L148" s="71">
        <f t="shared" si="17"/>
        <v>5.7249819156699715</v>
      </c>
      <c r="M148" s="71">
        <f t="shared" si="18"/>
        <v>5.7249819156699715</v>
      </c>
      <c r="N148" s="175">
        <f t="shared" si="19"/>
        <v>32.775417934748219</v>
      </c>
      <c r="O148" s="71">
        <f t="shared" si="20"/>
        <v>0.12637929173664397</v>
      </c>
      <c r="P148" s="176"/>
      <c r="Q148" s="144"/>
      <c r="R148" s="175">
        <f t="shared" si="21"/>
        <v>106.48974229481045</v>
      </c>
      <c r="S148" s="71">
        <f t="shared" si="22"/>
        <v>21.10855551401945</v>
      </c>
    </row>
    <row r="149" spans="1:19">
      <c r="A149" s="162">
        <f>'Q.6a Model 1'!A151</f>
        <v>2.4</v>
      </c>
      <c r="B149" s="162">
        <f>'Q.6a Model 1'!B151</f>
        <v>37.709800000000001</v>
      </c>
      <c r="C149" s="163">
        <f>'Q.6a Model 2'!A151</f>
        <v>3</v>
      </c>
      <c r="D149" s="163">
        <f>'Q.6a Model 2'!B151</f>
        <v>35.465499999999999</v>
      </c>
      <c r="E149" s="10">
        <f>'Q.6a Model 3'!$A151</f>
        <v>2</v>
      </c>
      <c r="F149" s="10">
        <f>'Q.6a Model 3'!$B151</f>
        <v>40.299999999999997</v>
      </c>
      <c r="H149" s="214">
        <v>2</v>
      </c>
      <c r="I149" s="214">
        <v>40.299999999999997</v>
      </c>
      <c r="K149" s="71">
        <f t="shared" si="23"/>
        <v>41.261259943639622</v>
      </c>
      <c r="L149" s="71">
        <f t="shared" ref="L149:L212" si="24">I149-K149</f>
        <v>-0.96125994363962519</v>
      </c>
      <c r="M149" s="71">
        <f t="shared" ref="M149:M212" si="25">ABS(L149)</f>
        <v>0.96125994363962519</v>
      </c>
      <c r="N149" s="175">
        <f t="shared" ref="N149:N212" si="26">M149^2</f>
        <v>0.92402067924605535</v>
      </c>
      <c r="O149" s="71">
        <f t="shared" ref="O149:O212" si="27">M149/I149</f>
        <v>2.3852604060536606E-2</v>
      </c>
      <c r="P149" s="176"/>
      <c r="Q149" s="144"/>
      <c r="R149" s="175">
        <f t="shared" si="21"/>
        <v>28.295875086138381</v>
      </c>
      <c r="S149" s="71">
        <f t="shared" si="22"/>
        <v>39.446522524380804</v>
      </c>
    </row>
    <row r="150" spans="1:19">
      <c r="A150" s="162">
        <f>'Q.6a Model 1'!A152</f>
        <v>2.4</v>
      </c>
      <c r="B150" s="162">
        <f>'Q.6a Model 1'!B152</f>
        <v>31.3</v>
      </c>
      <c r="C150" s="163">
        <f>'Q.6a Model 2'!A152</f>
        <v>2</v>
      </c>
      <c r="D150" s="163">
        <f>'Q.6a Model 2'!B152</f>
        <v>47.4</v>
      </c>
      <c r="E150" s="10">
        <f>'Q.6a Model 3'!$A152</f>
        <v>3.5</v>
      </c>
      <c r="F150" s="10">
        <f>'Q.6a Model 3'!$B152</f>
        <v>35.9</v>
      </c>
      <c r="H150" s="214">
        <v>3.5</v>
      </c>
      <c r="I150" s="214">
        <v>35.9</v>
      </c>
      <c r="K150" s="71">
        <f t="shared" si="23"/>
        <v>34.937852971228637</v>
      </c>
      <c r="L150" s="71">
        <f t="shared" si="24"/>
        <v>0.96214702877136205</v>
      </c>
      <c r="M150" s="71">
        <f t="shared" si="25"/>
        <v>0.96214702877136205</v>
      </c>
      <c r="N150" s="175">
        <f t="shared" si="26"/>
        <v>0.92572690497356014</v>
      </c>
      <c r="O150" s="71">
        <f t="shared" si="27"/>
        <v>2.680075289056719E-2</v>
      </c>
      <c r="P150" s="176"/>
      <c r="Q150" s="144"/>
      <c r="R150" s="175">
        <f t="shared" si="21"/>
        <v>0.84527194250695903</v>
      </c>
      <c r="S150" s="71">
        <f t="shared" si="22"/>
        <v>1.828443932057986E-3</v>
      </c>
    </row>
    <row r="151" spans="1:19">
      <c r="A151" s="162">
        <f>'Q.6a Model 1'!A153</f>
        <v>1.8</v>
      </c>
      <c r="B151" s="162">
        <f>'Q.6a Model 1'!B153</f>
        <v>44.2</v>
      </c>
      <c r="C151" s="163">
        <f>'Q.6a Model 2'!A153</f>
        <v>2.4</v>
      </c>
      <c r="D151" s="163">
        <f>'Q.6a Model 2'!B153</f>
        <v>36.700000000000003</v>
      </c>
      <c r="E151" s="10">
        <f>'Q.6a Model 3'!$A153</f>
        <v>2.5</v>
      </c>
      <c r="F151" s="10">
        <f>'Q.6a Model 3'!$B153</f>
        <v>38.6</v>
      </c>
      <c r="H151" s="214">
        <v>2.5</v>
      </c>
      <c r="I151" s="214">
        <v>38.6</v>
      </c>
      <c r="K151" s="71">
        <f t="shared" si="23"/>
        <v>39.153457619502632</v>
      </c>
      <c r="L151" s="71">
        <f t="shared" si="24"/>
        <v>-0.55345761950263039</v>
      </c>
      <c r="M151" s="71">
        <f t="shared" si="25"/>
        <v>0.55345761950263039</v>
      </c>
      <c r="N151" s="175">
        <f t="shared" si="26"/>
        <v>0.30631533658551841</v>
      </c>
      <c r="O151" s="71">
        <f t="shared" si="27"/>
        <v>1.4338280297995606E-2</v>
      </c>
      <c r="P151" s="176"/>
      <c r="Q151" s="144"/>
      <c r="R151" s="175">
        <f t="shared" si="21"/>
        <v>13.099960235189908</v>
      </c>
      <c r="S151" s="71">
        <f t="shared" si="22"/>
        <v>17.412629888956623</v>
      </c>
    </row>
    <row r="152" spans="1:19">
      <c r="A152" s="162">
        <f>'Q.6a Model 1'!A154</f>
        <v>3</v>
      </c>
      <c r="B152" s="162">
        <f>'Q.6a Model 1'!B154</f>
        <v>34.7288</v>
      </c>
      <c r="C152" s="163">
        <f>'Q.6a Model 2'!A154</f>
        <v>2.5</v>
      </c>
      <c r="D152" s="163">
        <f>'Q.6a Model 2'!B154</f>
        <v>35.922600000000003</v>
      </c>
      <c r="E152" s="10">
        <f>'Q.6a Model 3'!$A154</f>
        <v>3.5</v>
      </c>
      <c r="F152" s="10">
        <f>'Q.6a Model 3'!$B154</f>
        <v>36.410200000000003</v>
      </c>
      <c r="H152" s="214">
        <v>3.5</v>
      </c>
      <c r="I152" s="214">
        <v>36.410200000000003</v>
      </c>
      <c r="K152" s="71">
        <f t="shared" si="23"/>
        <v>34.937852971228637</v>
      </c>
      <c r="L152" s="71">
        <f t="shared" si="24"/>
        <v>1.4723470287713667</v>
      </c>
      <c r="M152" s="71">
        <f t="shared" si="25"/>
        <v>1.4723470287713667</v>
      </c>
      <c r="N152" s="175">
        <f t="shared" si="26"/>
        <v>2.1678057731318718</v>
      </c>
      <c r="O152" s="71">
        <f t="shared" si="27"/>
        <v>4.0437762736029094E-2</v>
      </c>
      <c r="P152" s="176"/>
      <c r="Q152" s="144"/>
      <c r="R152" s="175">
        <f t="shared" si="21"/>
        <v>2.0437181924798722</v>
      </c>
      <c r="S152" s="71">
        <f t="shared" si="22"/>
        <v>1.828443932057986E-3</v>
      </c>
    </row>
    <row r="153" spans="1:19">
      <c r="A153" s="162">
        <f>'Q.6a Model 1'!A155</f>
        <v>2.7</v>
      </c>
      <c r="B153" s="162">
        <f>'Q.6a Model 1'!B155</f>
        <v>40.6</v>
      </c>
      <c r="C153" s="163">
        <f>'Q.6a Model 2'!A155</f>
        <v>6.3</v>
      </c>
      <c r="D153" s="163">
        <f>'Q.6a Model 2'!B155</f>
        <v>24.8202</v>
      </c>
      <c r="E153" s="10">
        <f>'Q.6a Model 3'!$A155</f>
        <v>2.5</v>
      </c>
      <c r="F153" s="10">
        <f>'Q.6a Model 3'!$B155</f>
        <v>39.700000000000003</v>
      </c>
      <c r="H153" s="214">
        <v>2.5</v>
      </c>
      <c r="I153" s="214">
        <v>39.700000000000003</v>
      </c>
      <c r="K153" s="71">
        <f t="shared" si="23"/>
        <v>39.153457619502632</v>
      </c>
      <c r="L153" s="71">
        <f t="shared" si="24"/>
        <v>0.54654238049737103</v>
      </c>
      <c r="M153" s="71">
        <f t="shared" si="25"/>
        <v>0.54654238049737103</v>
      </c>
      <c r="N153" s="175">
        <f t="shared" si="26"/>
        <v>0.29870857367973308</v>
      </c>
      <c r="O153" s="71">
        <f t="shared" si="27"/>
        <v>1.3766810591873326E-2</v>
      </c>
      <c r="P153" s="176"/>
      <c r="Q153" s="144"/>
      <c r="R153" s="175">
        <f t="shared" si="21"/>
        <v>22.272611021097788</v>
      </c>
      <c r="S153" s="71">
        <f t="shared" si="22"/>
        <v>17.412629888956623</v>
      </c>
    </row>
    <row r="154" spans="1:19">
      <c r="A154" s="162">
        <f>'Q.6a Model 1'!A156</f>
        <v>2.4</v>
      </c>
      <c r="B154" s="162">
        <f>'Q.6a Model 1'!B156</f>
        <v>41.699800000000003</v>
      </c>
      <c r="C154" s="163">
        <f>'Q.6a Model 2'!A156</f>
        <v>4</v>
      </c>
      <c r="D154" s="163">
        <f>'Q.6a Model 2'!B156</f>
        <v>27.9711</v>
      </c>
      <c r="E154" s="10">
        <f>'Q.6a Model 3'!$A156</f>
        <v>3</v>
      </c>
      <c r="F154" s="10">
        <f>'Q.6a Model 3'!$B156</f>
        <v>36.154800000000002</v>
      </c>
      <c r="H154" s="214">
        <v>3</v>
      </c>
      <c r="I154" s="214">
        <v>36.154800000000002</v>
      </c>
      <c r="K154" s="71">
        <f t="shared" si="23"/>
        <v>37.045655295365634</v>
      </c>
      <c r="L154" s="71">
        <f t="shared" si="24"/>
        <v>-0.89085529536563257</v>
      </c>
      <c r="M154" s="71">
        <f t="shared" si="25"/>
        <v>0.89085529536563257</v>
      </c>
      <c r="N154" s="175">
        <f t="shared" si="26"/>
        <v>0.79362315728098842</v>
      </c>
      <c r="O154" s="71">
        <f t="shared" si="27"/>
        <v>2.4640028305111149E-2</v>
      </c>
      <c r="P154" s="176"/>
      <c r="Q154" s="144"/>
      <c r="R154" s="175">
        <f t="shared" si="21"/>
        <v>1.3787144554608957</v>
      </c>
      <c r="S154" s="71">
        <f t="shared" si="22"/>
        <v>4.2643985288070114</v>
      </c>
    </row>
    <row r="155" spans="1:19">
      <c r="A155" s="162">
        <f>'Q.6a Model 1'!A157</f>
        <v>3.5</v>
      </c>
      <c r="B155" s="162">
        <f>'Q.6a Model 1'!B157</f>
        <v>33.5</v>
      </c>
      <c r="C155" s="163">
        <f>'Q.6a Model 2'!A157</f>
        <v>3.8</v>
      </c>
      <c r="D155" s="163">
        <f>'Q.6a Model 2'!B157</f>
        <v>34.255000000000003</v>
      </c>
      <c r="E155" s="10">
        <f>'Q.6a Model 3'!$A157</f>
        <v>2.5</v>
      </c>
      <c r="F155" s="10">
        <f>'Q.6a Model 3'!$B157</f>
        <v>42.9</v>
      </c>
      <c r="H155" s="214">
        <v>2.5</v>
      </c>
      <c r="I155" s="214">
        <v>42.9</v>
      </c>
      <c r="K155" s="71">
        <f t="shared" si="23"/>
        <v>39.153457619502632</v>
      </c>
      <c r="L155" s="71">
        <f t="shared" si="24"/>
        <v>3.7465423804973668</v>
      </c>
      <c r="M155" s="71">
        <f t="shared" si="25"/>
        <v>3.7465423804973668</v>
      </c>
      <c r="N155" s="175">
        <f t="shared" si="26"/>
        <v>14.036579808862875</v>
      </c>
      <c r="O155" s="71">
        <f t="shared" si="27"/>
        <v>8.733199022138384E-2</v>
      </c>
      <c r="P155" s="176"/>
      <c r="Q155" s="144"/>
      <c r="R155" s="175">
        <f t="shared" si="21"/>
        <v>62.716686034647886</v>
      </c>
      <c r="S155" s="71">
        <f t="shared" si="22"/>
        <v>17.412629888956623</v>
      </c>
    </row>
    <row r="156" spans="1:19">
      <c r="A156" s="162">
        <f>'Q.6a Model 1'!A158</f>
        <v>1.8</v>
      </c>
      <c r="B156" s="162">
        <f>'Q.6a Model 1'!B158</f>
        <v>41.798999999999999</v>
      </c>
      <c r="C156" s="163">
        <f>'Q.6a Model 2'!A158</f>
        <v>2.2000000000000002</v>
      </c>
      <c r="D156" s="163">
        <f>'Q.6a Model 2'!B158</f>
        <v>51.9</v>
      </c>
      <c r="E156" s="10">
        <f>'Q.6a Model 3'!$A158</f>
        <v>3.5</v>
      </c>
      <c r="F156" s="10">
        <f>'Q.6a Model 3'!$B158</f>
        <v>39.799999999999997</v>
      </c>
      <c r="H156" s="214">
        <v>3.5</v>
      </c>
      <c r="I156" s="214">
        <v>39.799999999999997</v>
      </c>
      <c r="K156" s="71">
        <f t="shared" si="23"/>
        <v>34.937852971228637</v>
      </c>
      <c r="L156" s="71">
        <f t="shared" si="24"/>
        <v>4.8621470287713606</v>
      </c>
      <c r="M156" s="71">
        <f t="shared" si="25"/>
        <v>4.8621470287713606</v>
      </c>
      <c r="N156" s="175">
        <f t="shared" si="26"/>
        <v>23.64047372939017</v>
      </c>
      <c r="O156" s="71">
        <f t="shared" si="27"/>
        <v>0.1221644982103357</v>
      </c>
      <c r="P156" s="176"/>
      <c r="Q156" s="144"/>
      <c r="R156" s="175">
        <f t="shared" si="21"/>
        <v>23.226488365271173</v>
      </c>
      <c r="S156" s="71">
        <f t="shared" si="22"/>
        <v>1.828443932057986E-3</v>
      </c>
    </row>
    <row r="157" spans="1:19">
      <c r="A157" s="162">
        <f>'Q.6a Model 1'!A159</f>
        <v>2</v>
      </c>
      <c r="B157" s="162">
        <f>'Q.6a Model 1'!B159</f>
        <v>49.3</v>
      </c>
      <c r="C157" s="163">
        <f>'Q.6a Model 2'!A159</f>
        <v>3.5</v>
      </c>
      <c r="D157" s="163">
        <f>'Q.6a Model 2'!B159</f>
        <v>35.5</v>
      </c>
      <c r="E157" s="10">
        <f>'Q.6a Model 3'!$A159</f>
        <v>2.4</v>
      </c>
      <c r="F157" s="10">
        <f>'Q.6a Model 3'!$B159</f>
        <v>41.6</v>
      </c>
      <c r="H157" s="214">
        <v>2.4</v>
      </c>
      <c r="I157" s="214">
        <v>41.6</v>
      </c>
      <c r="K157" s="71">
        <f t="shared" si="23"/>
        <v>39.575018084330026</v>
      </c>
      <c r="L157" s="71">
        <f t="shared" si="24"/>
        <v>2.0249819156699758</v>
      </c>
      <c r="M157" s="71">
        <f t="shared" si="25"/>
        <v>2.0249819156699758</v>
      </c>
      <c r="N157" s="175">
        <f t="shared" si="26"/>
        <v>4.100551758790445</v>
      </c>
      <c r="O157" s="71">
        <f t="shared" si="27"/>
        <v>4.8677449895912876E-2</v>
      </c>
      <c r="P157" s="176"/>
      <c r="Q157" s="144"/>
      <c r="R157" s="175">
        <f t="shared" si="21"/>
        <v>43.816280560393174</v>
      </c>
      <c r="S157" s="71">
        <f t="shared" si="22"/>
        <v>21.10855551401945</v>
      </c>
    </row>
    <row r="158" spans="1:19">
      <c r="A158" s="162">
        <f>'Q.6a Model 1'!A160</f>
        <v>2.7</v>
      </c>
      <c r="B158" s="162">
        <f>'Q.6a Model 1'!B160</f>
        <v>39.799999999999997</v>
      </c>
      <c r="C158" s="163">
        <f>'Q.6a Model 2'!A160</f>
        <v>5.3</v>
      </c>
      <c r="D158" s="163">
        <f>'Q.6a Model 2'!B160</f>
        <v>23.299900000000001</v>
      </c>
      <c r="E158" s="10">
        <f>'Q.6a Model 3'!$A160</f>
        <v>2.5</v>
      </c>
      <c r="F158" s="10">
        <f>'Q.6a Model 3'!$B160</f>
        <v>40.200000000000003</v>
      </c>
      <c r="H158" s="214">
        <v>2.5</v>
      </c>
      <c r="I158" s="214">
        <v>40.200000000000003</v>
      </c>
      <c r="K158" s="71">
        <f t="shared" si="23"/>
        <v>39.153457619502632</v>
      </c>
      <c r="L158" s="71">
        <f t="shared" si="24"/>
        <v>1.046542380497371</v>
      </c>
      <c r="M158" s="71">
        <f t="shared" si="25"/>
        <v>1.046542380497371</v>
      </c>
      <c r="N158" s="175">
        <f t="shared" si="26"/>
        <v>1.0952509541771041</v>
      </c>
      <c r="O158" s="71">
        <f t="shared" si="27"/>
        <v>2.6033392549685844E-2</v>
      </c>
      <c r="P158" s="176"/>
      <c r="Q158" s="144"/>
      <c r="R158" s="175">
        <f t="shared" si="21"/>
        <v>27.241997741965001</v>
      </c>
      <c r="S158" s="71">
        <f t="shared" si="22"/>
        <v>17.412629888956623</v>
      </c>
    </row>
    <row r="159" spans="1:19">
      <c r="A159" s="162">
        <f>'Q.6a Model 1'!A161</f>
        <v>3.5</v>
      </c>
      <c r="B159" s="162">
        <f>'Q.6a Model 1'!B161</f>
        <v>38.299999999999997</v>
      </c>
      <c r="C159" s="163">
        <f>'Q.6a Model 2'!A161</f>
        <v>6</v>
      </c>
      <c r="D159" s="163">
        <f>'Q.6a Model 2'!B161</f>
        <v>30.5</v>
      </c>
      <c r="E159" s="10">
        <f>'Q.6a Model 3'!$A161</f>
        <v>2</v>
      </c>
      <c r="F159" s="10">
        <f>'Q.6a Model 3'!$B161</f>
        <v>42</v>
      </c>
      <c r="H159" s="214">
        <v>2</v>
      </c>
      <c r="I159" s="214">
        <v>42</v>
      </c>
      <c r="K159" s="71">
        <f t="shared" si="23"/>
        <v>41.261259943639622</v>
      </c>
      <c r="L159" s="71">
        <f t="shared" si="24"/>
        <v>0.73874005636037765</v>
      </c>
      <c r="M159" s="71">
        <f t="shared" si="25"/>
        <v>0.73874005636037765</v>
      </c>
      <c r="N159" s="175">
        <f t="shared" si="26"/>
        <v>0.54573687087133393</v>
      </c>
      <c r="O159" s="71">
        <f t="shared" si="27"/>
        <v>1.7589048960961372E-2</v>
      </c>
      <c r="P159" s="176"/>
      <c r="Q159" s="144"/>
      <c r="R159" s="175">
        <f t="shared" si="21"/>
        <v>49.271789937086929</v>
      </c>
      <c r="S159" s="71">
        <f t="shared" si="22"/>
        <v>39.446522524380804</v>
      </c>
    </row>
    <row r="160" spans="1:19">
      <c r="A160" s="162">
        <f>'Q.6a Model 1'!A162</f>
        <v>6.2</v>
      </c>
      <c r="B160" s="162">
        <f>'Q.6a Model 1'!B162</f>
        <v>27.4</v>
      </c>
      <c r="C160" s="163">
        <f>'Q.6a Model 2'!A162</f>
        <v>6.2</v>
      </c>
      <c r="D160" s="163">
        <f>'Q.6a Model 2'!B162</f>
        <v>28.4</v>
      </c>
      <c r="E160" s="10">
        <f>'Q.6a Model 3'!$A162</f>
        <v>2.5</v>
      </c>
      <c r="F160" s="10">
        <f>'Q.6a Model 3'!$B162</f>
        <v>39.200000000000003</v>
      </c>
      <c r="H160" s="214">
        <v>2.5</v>
      </c>
      <c r="I160" s="214">
        <v>39.200000000000003</v>
      </c>
      <c r="K160" s="71">
        <f t="shared" si="23"/>
        <v>39.153457619502632</v>
      </c>
      <c r="L160" s="71">
        <f t="shared" si="24"/>
        <v>4.6542380497371028E-2</v>
      </c>
      <c r="M160" s="71">
        <f t="shared" si="25"/>
        <v>4.6542380497371028E-2</v>
      </c>
      <c r="N160" s="175">
        <f t="shared" si="26"/>
        <v>2.1661931823620628E-3</v>
      </c>
      <c r="O160" s="71">
        <f t="shared" si="27"/>
        <v>1.1873056249329342E-3</v>
      </c>
      <c r="P160" s="176"/>
      <c r="Q160" s="144"/>
      <c r="R160" s="175">
        <f t="shared" si="21"/>
        <v>17.803224300230575</v>
      </c>
      <c r="S160" s="71">
        <f t="shared" si="22"/>
        <v>17.412629888956623</v>
      </c>
    </row>
    <row r="161" spans="1:19">
      <c r="A161" s="162">
        <f>'Q.6a Model 1'!A163</f>
        <v>3.6</v>
      </c>
      <c r="B161" s="162">
        <f>'Q.6a Model 1'!B163</f>
        <v>37.200000000000003</v>
      </c>
      <c r="C161" s="163">
        <f>'Q.6a Model 2'!A163</f>
        <v>3</v>
      </c>
      <c r="D161" s="163">
        <f>'Q.6a Model 2'!B163</f>
        <v>35.9</v>
      </c>
      <c r="E161" s="10">
        <f>'Q.6a Model 3'!$A163</f>
        <v>3.7</v>
      </c>
      <c r="F161" s="10">
        <f>'Q.6a Model 3'!$B163</f>
        <v>30.5</v>
      </c>
      <c r="H161" s="214">
        <v>3.7</v>
      </c>
      <c r="I161" s="214">
        <v>30.5</v>
      </c>
      <c r="K161" s="71">
        <f t="shared" si="23"/>
        <v>34.094732041573842</v>
      </c>
      <c r="L161" s="71">
        <f t="shared" si="24"/>
        <v>-3.5947320415738417</v>
      </c>
      <c r="M161" s="71">
        <f t="shared" si="25"/>
        <v>3.5947320415738417</v>
      </c>
      <c r="N161" s="175">
        <f t="shared" si="26"/>
        <v>12.922098450717641</v>
      </c>
      <c r="O161" s="71">
        <f t="shared" si="27"/>
        <v>0.11786006693684727</v>
      </c>
      <c r="P161" s="176"/>
      <c r="Q161" s="144"/>
      <c r="R161" s="175">
        <f t="shared" si="21"/>
        <v>20.075895357141089</v>
      </c>
      <c r="S161" s="71">
        <f t="shared" si="22"/>
        <v>0.78478556705897329</v>
      </c>
    </row>
    <row r="162" spans="1:19">
      <c r="A162" s="162">
        <f>'Q.6a Model 1'!A164</f>
        <v>1</v>
      </c>
      <c r="B162" s="162">
        <f>'Q.6a Model 1'!B164</f>
        <v>57.8</v>
      </c>
      <c r="C162" s="163">
        <f>'Q.6a Model 2'!A164</f>
        <v>2</v>
      </c>
      <c r="D162" s="163">
        <f>'Q.6a Model 2'!B164</f>
        <v>30.6</v>
      </c>
      <c r="E162" s="10">
        <f>'Q.6a Model 3'!$A164</f>
        <v>3</v>
      </c>
      <c r="F162" s="10">
        <f>'Q.6a Model 3'!$B164</f>
        <v>35.708100000000002</v>
      </c>
      <c r="H162" s="214">
        <v>3</v>
      </c>
      <c r="I162" s="214">
        <v>35.708100000000002</v>
      </c>
      <c r="K162" s="71">
        <f t="shared" si="23"/>
        <v>37.045655295365634</v>
      </c>
      <c r="L162" s="71">
        <f t="shared" si="24"/>
        <v>-1.3375552953656324</v>
      </c>
      <c r="M162" s="71">
        <f t="shared" si="25"/>
        <v>1.3375552953656324</v>
      </c>
      <c r="N162" s="175">
        <f t="shared" si="26"/>
        <v>1.7890541681606442</v>
      </c>
      <c r="O162" s="71">
        <f t="shared" si="27"/>
        <v>3.7458036002073265E-2</v>
      </c>
      <c r="P162" s="176"/>
      <c r="Q162" s="144"/>
      <c r="R162" s="175">
        <f t="shared" si="21"/>
        <v>0.5292369290381288</v>
      </c>
      <c r="S162" s="71">
        <f t="shared" si="22"/>
        <v>4.2643985288070114</v>
      </c>
    </row>
    <row r="163" spans="1:19">
      <c r="A163" s="162">
        <f>'Q.6a Model 1'!A165</f>
        <v>2.5</v>
      </c>
      <c r="B163" s="162">
        <f>'Q.6a Model 1'!B165</f>
        <v>38.6</v>
      </c>
      <c r="C163" s="163">
        <f>'Q.6a Model 2'!A165</f>
        <v>3</v>
      </c>
      <c r="D163" s="163">
        <f>'Q.6a Model 2'!B165</f>
        <v>35.708100000000002</v>
      </c>
      <c r="E163" s="10">
        <f>'Q.6a Model 3'!$A165</f>
        <v>3.7</v>
      </c>
      <c r="F163" s="10">
        <f>'Q.6a Model 3'!$B165</f>
        <v>34.730499999999999</v>
      </c>
      <c r="H163" s="214">
        <v>3.7</v>
      </c>
      <c r="I163" s="214">
        <v>34.730499999999999</v>
      </c>
      <c r="K163" s="71">
        <f t="shared" si="23"/>
        <v>34.094732041573842</v>
      </c>
      <c r="L163" s="71">
        <f t="shared" si="24"/>
        <v>0.63576795842615752</v>
      </c>
      <c r="M163" s="71">
        <f t="shared" si="25"/>
        <v>0.63576795842615752</v>
      </c>
      <c r="N163" s="175">
        <f t="shared" si="26"/>
        <v>0.40420089696136435</v>
      </c>
      <c r="O163" s="71">
        <f t="shared" si="27"/>
        <v>1.8305753111131643E-2</v>
      </c>
      <c r="P163" s="176"/>
      <c r="Q163" s="144"/>
      <c r="R163" s="175">
        <f t="shared" si="21"/>
        <v>6.2556652398557164E-2</v>
      </c>
      <c r="S163" s="71">
        <f t="shared" si="22"/>
        <v>0.78478556705897329</v>
      </c>
    </row>
    <row r="164" spans="1:19">
      <c r="A164" s="162">
        <f>'Q.6a Model 1'!A166</f>
        <v>5.5</v>
      </c>
      <c r="B164" s="162">
        <f>'Q.6a Model 1'!B166</f>
        <v>30.8</v>
      </c>
      <c r="C164" s="163">
        <f>'Q.6a Model 2'!A166</f>
        <v>2.9</v>
      </c>
      <c r="D164" s="163">
        <f>'Q.6a Model 2'!B166</f>
        <v>34.299999999999997</v>
      </c>
      <c r="E164" s="10">
        <f>'Q.6a Model 3'!$A166</f>
        <v>2.5</v>
      </c>
      <c r="F164" s="10">
        <f>'Q.6a Model 3'!$B166</f>
        <v>31.8</v>
      </c>
      <c r="H164" s="214">
        <v>2.5</v>
      </c>
      <c r="I164" s="214">
        <v>31.8</v>
      </c>
      <c r="K164" s="71">
        <f t="shared" si="23"/>
        <v>39.153457619502632</v>
      </c>
      <c r="L164" s="71">
        <f t="shared" si="24"/>
        <v>-7.3534576195026311</v>
      </c>
      <c r="M164" s="71">
        <f t="shared" si="25"/>
        <v>7.3534576195026311</v>
      </c>
      <c r="N164" s="175">
        <f t="shared" si="26"/>
        <v>54.0733389618213</v>
      </c>
      <c r="O164" s="71">
        <f t="shared" si="27"/>
        <v>0.23124080564473681</v>
      </c>
      <c r="P164" s="176"/>
      <c r="Q164" s="144"/>
      <c r="R164" s="175">
        <f t="shared" si="21"/>
        <v>10.116300831395833</v>
      </c>
      <c r="S164" s="71">
        <f t="shared" si="22"/>
        <v>17.412629888956623</v>
      </c>
    </row>
    <row r="165" spans="1:19">
      <c r="A165" s="162">
        <f>'Q.6a Model 1'!A167</f>
        <v>5.2</v>
      </c>
      <c r="B165" s="162">
        <f>'Q.6a Model 1'!B167</f>
        <v>22.6</v>
      </c>
      <c r="C165" s="163">
        <f>'Q.6a Model 2'!A167</f>
        <v>4</v>
      </c>
      <c r="D165" s="163">
        <f>'Q.6a Model 2'!B167</f>
        <v>28.654900000000001</v>
      </c>
      <c r="E165" s="10">
        <f>'Q.6a Model 3'!$A167</f>
        <v>5.3</v>
      </c>
      <c r="F165" s="10">
        <f>'Q.6a Model 3'!$B167</f>
        <v>22.9</v>
      </c>
      <c r="H165" s="214">
        <v>5.3</v>
      </c>
      <c r="I165" s="214">
        <v>22.9</v>
      </c>
      <c r="K165" s="71">
        <f t="shared" si="23"/>
        <v>27.349764604335462</v>
      </c>
      <c r="L165" s="71">
        <f t="shared" si="24"/>
        <v>-4.4497646043354635</v>
      </c>
      <c r="M165" s="71">
        <f t="shared" si="25"/>
        <v>4.4497646043354635</v>
      </c>
      <c r="N165" s="175">
        <f t="shared" si="26"/>
        <v>19.800405033996743</v>
      </c>
      <c r="O165" s="71">
        <f t="shared" si="27"/>
        <v>0.19431286481814253</v>
      </c>
      <c r="P165" s="176"/>
      <c r="Q165" s="144"/>
      <c r="R165" s="175">
        <f t="shared" si="21"/>
        <v>145.94121719995954</v>
      </c>
      <c r="S165" s="71">
        <f t="shared" si="22"/>
        <v>58.229851497656135</v>
      </c>
    </row>
    <row r="166" spans="1:19">
      <c r="A166" s="162">
        <f>'Q.6a Model 1'!A168</f>
        <v>5.4</v>
      </c>
      <c r="B166" s="162">
        <f>'Q.6a Model 1'!B168</f>
        <v>24.793900000000001</v>
      </c>
      <c r="C166" s="163">
        <f>'Q.6a Model 2'!A168</f>
        <v>4.5999999999999996</v>
      </c>
      <c r="D166" s="163">
        <f>'Q.6a Model 2'!B168</f>
        <v>31.9</v>
      </c>
      <c r="E166" s="10">
        <f>'Q.6a Model 3'!$A168</f>
        <v>5.5</v>
      </c>
      <c r="F166" s="10">
        <f>'Q.6a Model 3'!$B168</f>
        <v>29.3</v>
      </c>
      <c r="H166" s="214">
        <v>5.5</v>
      </c>
      <c r="I166" s="214">
        <v>29.3</v>
      </c>
      <c r="K166" s="71">
        <f t="shared" si="23"/>
        <v>26.506643674680664</v>
      </c>
      <c r="L166" s="71">
        <f t="shared" si="24"/>
        <v>2.793356325319337</v>
      </c>
      <c r="M166" s="71">
        <f t="shared" si="25"/>
        <v>2.793356325319337</v>
      </c>
      <c r="N166" s="175">
        <f t="shared" si="26"/>
        <v>7.8028395602015497</v>
      </c>
      <c r="O166" s="71">
        <f t="shared" si="27"/>
        <v>9.533639335560877E-2</v>
      </c>
      <c r="P166" s="176"/>
      <c r="Q166" s="144"/>
      <c r="R166" s="175">
        <f t="shared" si="21"/>
        <v>32.269367227059774</v>
      </c>
      <c r="S166" s="71">
        <f t="shared" si="22"/>
        <v>71.808160857178521</v>
      </c>
    </row>
    <row r="167" spans="1:19">
      <c r="A167" s="162">
        <f>'Q.6a Model 1'!A169</f>
        <v>4.2</v>
      </c>
      <c r="B167" s="162">
        <f>'Q.6a Model 1'!B169</f>
        <v>25.045100000000001</v>
      </c>
      <c r="C167" s="163">
        <f>'Q.6a Model 2'!A169</f>
        <v>2.4</v>
      </c>
      <c r="D167" s="163">
        <f>'Q.6a Model 2'!B169</f>
        <v>46.9</v>
      </c>
      <c r="E167" s="10">
        <f>'Q.6a Model 3'!$A169</f>
        <v>3</v>
      </c>
      <c r="F167" s="10">
        <f>'Q.6a Model 3'!$B169</f>
        <v>37.9</v>
      </c>
      <c r="H167" s="214">
        <v>3</v>
      </c>
      <c r="I167" s="214">
        <v>37.9</v>
      </c>
      <c r="K167" s="71">
        <f t="shared" si="23"/>
        <v>37.045655295365634</v>
      </c>
      <c r="L167" s="71">
        <f t="shared" si="24"/>
        <v>0.8543447046343644</v>
      </c>
      <c r="M167" s="71">
        <f t="shared" si="25"/>
        <v>0.8543447046343644</v>
      </c>
      <c r="N167" s="175">
        <f t="shared" si="26"/>
        <v>0.72990487433677931</v>
      </c>
      <c r="O167" s="71">
        <f t="shared" si="27"/>
        <v>2.2542076639429139E-2</v>
      </c>
      <c r="P167" s="176"/>
      <c r="Q167" s="144"/>
      <c r="R167" s="175">
        <f t="shared" si="21"/>
        <v>8.5228188259757935</v>
      </c>
      <c r="S167" s="71">
        <f t="shared" si="22"/>
        <v>4.2643985288070114</v>
      </c>
    </row>
    <row r="168" spans="1:19">
      <c r="A168" s="162">
        <f>'Q.6a Model 1'!A170</f>
        <v>3</v>
      </c>
      <c r="B168" s="162">
        <f>'Q.6a Model 1'!B170</f>
        <v>34</v>
      </c>
      <c r="C168" s="163">
        <f>'Q.6a Model 2'!A170</f>
        <v>2.5</v>
      </c>
      <c r="D168" s="163">
        <f>'Q.6a Model 2'!B170</f>
        <v>40.081600000000002</v>
      </c>
      <c r="E168" s="10">
        <f>'Q.6a Model 3'!$A170</f>
        <v>3.6</v>
      </c>
      <c r="F168" s="10">
        <f>'Q.6a Model 3'!$B170</f>
        <v>26.1066</v>
      </c>
      <c r="H168" s="214">
        <v>3.6</v>
      </c>
      <c r="I168" s="214">
        <v>26.1066</v>
      </c>
      <c r="K168" s="71">
        <f t="shared" si="23"/>
        <v>34.516292506401243</v>
      </c>
      <c r="L168" s="71">
        <f t="shared" si="24"/>
        <v>-8.4096925064012424</v>
      </c>
      <c r="M168" s="71">
        <f t="shared" si="25"/>
        <v>8.4096925064012424</v>
      </c>
      <c r="N168" s="175">
        <f t="shared" si="26"/>
        <v>70.722928052221206</v>
      </c>
      <c r="O168" s="71">
        <f t="shared" si="27"/>
        <v>0.3221289829545495</v>
      </c>
      <c r="P168" s="176"/>
      <c r="Q168" s="144"/>
      <c r="R168" s="175">
        <f t="shared" si="21"/>
        <v>78.748111678225087</v>
      </c>
      <c r="S168" s="71">
        <f t="shared" si="22"/>
        <v>0.21559377999002097</v>
      </c>
    </row>
    <row r="169" spans="1:19">
      <c r="A169" s="162">
        <f>'Q.6a Model 1'!A171</f>
        <v>4.2</v>
      </c>
      <c r="B169" s="162">
        <f>'Q.6a Model 1'!B171</f>
        <v>31.5002</v>
      </c>
      <c r="C169" s="163">
        <f>'Q.6a Model 2'!A171</f>
        <v>3.7</v>
      </c>
      <c r="D169" s="163">
        <f>'Q.6a Model 2'!B171</f>
        <v>37.064999999999998</v>
      </c>
      <c r="E169" s="10">
        <f>'Q.6a Model 3'!$A171</f>
        <v>2</v>
      </c>
      <c r="F169" s="10">
        <f>'Q.6a Model 3'!$B171</f>
        <v>37.5</v>
      </c>
      <c r="H169" s="214">
        <v>2</v>
      </c>
      <c r="I169" s="214">
        <v>37.5</v>
      </c>
      <c r="K169" s="71">
        <f t="shared" si="23"/>
        <v>41.261259943639622</v>
      </c>
      <c r="L169" s="71">
        <f t="shared" si="24"/>
        <v>-3.7612599436396223</v>
      </c>
      <c r="M169" s="71">
        <f t="shared" si="25"/>
        <v>3.7612599436396223</v>
      </c>
      <c r="N169" s="175">
        <f t="shared" si="26"/>
        <v>14.147076363627935</v>
      </c>
      <c r="O169" s="71">
        <f t="shared" si="27"/>
        <v>0.10030026516372326</v>
      </c>
      <c r="P169" s="176"/>
      <c r="Q169" s="144"/>
      <c r="R169" s="175">
        <f t="shared" si="21"/>
        <v>6.3473094492820348</v>
      </c>
      <c r="S169" s="71">
        <f t="shared" si="22"/>
        <v>39.446522524380804</v>
      </c>
    </row>
    <row r="170" spans="1:19">
      <c r="A170" s="162">
        <f>'Q.6a Model 1'!A172</f>
        <v>4.2</v>
      </c>
      <c r="B170" s="162">
        <f>'Q.6a Model 1'!B172</f>
        <v>29.3</v>
      </c>
      <c r="C170" s="163">
        <f>'Q.6a Model 2'!A172</f>
        <v>5.6</v>
      </c>
      <c r="D170" s="163">
        <f>'Q.6a Model 2'!B172</f>
        <v>23.061</v>
      </c>
      <c r="E170" s="10">
        <f>'Q.6a Model 3'!$A172</f>
        <v>6.7</v>
      </c>
      <c r="F170" s="10">
        <f>'Q.6a Model 3'!$B172</f>
        <v>24.2</v>
      </c>
      <c r="H170" s="214">
        <v>6.7</v>
      </c>
      <c r="I170" s="214">
        <v>24.2</v>
      </c>
      <c r="K170" s="71">
        <f t="shared" si="23"/>
        <v>21.447918096751877</v>
      </c>
      <c r="L170" s="71">
        <f t="shared" si="24"/>
        <v>2.7520819032481221</v>
      </c>
      <c r="M170" s="71">
        <f t="shared" si="25"/>
        <v>2.7520819032481221</v>
      </c>
      <c r="N170" s="175">
        <f t="shared" si="26"/>
        <v>7.5739548021858063</v>
      </c>
      <c r="O170" s="71">
        <f t="shared" si="27"/>
        <v>0.11372239269620339</v>
      </c>
      <c r="P170" s="176"/>
      <c r="Q170" s="144"/>
      <c r="R170" s="175">
        <f t="shared" si="21"/>
        <v>116.22162267421426</v>
      </c>
      <c r="S170" s="71">
        <f t="shared" si="22"/>
        <v>183.13383889923557</v>
      </c>
    </row>
    <row r="171" spans="1:19">
      <c r="A171" s="162">
        <f>'Q.6a Model 1'!A173</f>
        <v>4.8</v>
      </c>
      <c r="B171" s="162">
        <f>'Q.6a Model 1'!B173</f>
        <v>32.026299999999999</v>
      </c>
      <c r="C171" s="163">
        <f>'Q.6a Model 2'!A173</f>
        <v>4</v>
      </c>
      <c r="D171" s="163">
        <f>'Q.6a Model 2'!B173</f>
        <v>29.2</v>
      </c>
      <c r="E171" s="10">
        <f>'Q.6a Model 3'!$A173</f>
        <v>3.5</v>
      </c>
      <c r="F171" s="10">
        <f>'Q.6a Model 3'!$B173</f>
        <v>33</v>
      </c>
      <c r="H171" s="214">
        <v>3.5</v>
      </c>
      <c r="I171" s="214">
        <v>33</v>
      </c>
      <c r="K171" s="71">
        <f t="shared" si="23"/>
        <v>34.937852971228637</v>
      </c>
      <c r="L171" s="71">
        <f t="shared" si="24"/>
        <v>-1.9378529712286365</v>
      </c>
      <c r="M171" s="71">
        <f t="shared" si="25"/>
        <v>1.9378529712286365</v>
      </c>
      <c r="N171" s="175">
        <f t="shared" si="26"/>
        <v>3.7552741380996548</v>
      </c>
      <c r="O171" s="71">
        <f t="shared" si="27"/>
        <v>5.872281730995868E-2</v>
      </c>
      <c r="P171" s="176"/>
      <c r="Q171" s="144"/>
      <c r="R171" s="175">
        <f t="shared" si="21"/>
        <v>3.9228289614771419</v>
      </c>
      <c r="S171" s="71">
        <f t="shared" si="22"/>
        <v>1.828443932057986E-3</v>
      </c>
    </row>
    <row r="172" spans="1:19">
      <c r="A172" s="162">
        <f>'Q.6a Model 1'!A174</f>
        <v>3</v>
      </c>
      <c r="B172" s="162">
        <f>'Q.6a Model 1'!B174</f>
        <v>36.798000000000002</v>
      </c>
      <c r="C172" s="163">
        <f>'Q.6a Model 2'!A174</f>
        <v>3.7</v>
      </c>
      <c r="D172" s="163">
        <f>'Q.6a Model 2'!B174</f>
        <v>28.8</v>
      </c>
      <c r="E172" s="10">
        <f>'Q.6a Model 3'!$A174</f>
        <v>3.6</v>
      </c>
      <c r="F172" s="10">
        <f>'Q.6a Model 3'!$B174</f>
        <v>37.200000000000003</v>
      </c>
      <c r="H172" s="214">
        <v>3.6</v>
      </c>
      <c r="I172" s="214">
        <v>37.200000000000003</v>
      </c>
      <c r="K172" s="71">
        <f t="shared" si="23"/>
        <v>34.516292506401243</v>
      </c>
      <c r="L172" s="71">
        <f t="shared" si="24"/>
        <v>2.6837074935987602</v>
      </c>
      <c r="M172" s="71">
        <f t="shared" si="25"/>
        <v>2.6837074935987602</v>
      </c>
      <c r="N172" s="175">
        <f t="shared" si="26"/>
        <v>7.202285911198139</v>
      </c>
      <c r="O172" s="71">
        <f t="shared" si="27"/>
        <v>7.2142674559106446E-2</v>
      </c>
      <c r="P172" s="176"/>
      <c r="Q172" s="144"/>
      <c r="R172" s="175">
        <f t="shared" si="21"/>
        <v>4.9256774167617206</v>
      </c>
      <c r="S172" s="71">
        <f t="shared" si="22"/>
        <v>0.21559377999002097</v>
      </c>
    </row>
    <row r="173" spans="1:19">
      <c r="A173" s="162">
        <f>'Q.6a Model 1'!A175</f>
        <v>2</v>
      </c>
      <c r="B173" s="162">
        <f>'Q.6a Model 1'!B175</f>
        <v>42</v>
      </c>
      <c r="C173" s="163">
        <f>'Q.6a Model 2'!A175</f>
        <v>2.4</v>
      </c>
      <c r="D173" s="163">
        <f>'Q.6a Model 2'!B175</f>
        <v>39.299999999999997</v>
      </c>
      <c r="E173" s="10">
        <f>'Q.6a Model 3'!$A175</f>
        <v>2</v>
      </c>
      <c r="F173" s="10">
        <f>'Q.6a Model 3'!$B175</f>
        <v>38.462699999999998</v>
      </c>
      <c r="H173" s="214">
        <v>2</v>
      </c>
      <c r="I173" s="214">
        <v>38.462699999999998</v>
      </c>
      <c r="K173" s="71">
        <f t="shared" si="23"/>
        <v>41.261259943639622</v>
      </c>
      <c r="L173" s="71">
        <f t="shared" si="24"/>
        <v>-2.7985599436396242</v>
      </c>
      <c r="M173" s="71">
        <f t="shared" si="25"/>
        <v>2.7985599436396242</v>
      </c>
      <c r="N173" s="175">
        <f t="shared" si="26"/>
        <v>7.8319377581442167</v>
      </c>
      <c r="O173" s="71">
        <f t="shared" si="27"/>
        <v>7.2760361171722854E-2</v>
      </c>
      <c r="P173" s="176"/>
      <c r="Q173" s="144"/>
      <c r="R173" s="175">
        <f t="shared" si="21"/>
        <v>12.124927931639748</v>
      </c>
      <c r="S173" s="71">
        <f t="shared" si="22"/>
        <v>39.446522524380804</v>
      </c>
    </row>
    <row r="174" spans="1:19">
      <c r="A174" s="162">
        <f>'Q.6a Model 1'!A176</f>
        <v>1.6</v>
      </c>
      <c r="B174" s="162">
        <f>'Q.6a Model 1'!B176</f>
        <v>51.655500000000004</v>
      </c>
      <c r="C174" s="163">
        <f>'Q.6a Model 2'!A176</f>
        <v>2.9</v>
      </c>
      <c r="D174" s="163">
        <f>'Q.6a Model 2'!B176</f>
        <v>34.1</v>
      </c>
      <c r="E174" s="10">
        <f>'Q.6a Model 3'!$A176</f>
        <v>3</v>
      </c>
      <c r="F174" s="10">
        <f>'Q.6a Model 3'!$B176</f>
        <v>34.9</v>
      </c>
      <c r="H174" s="214">
        <v>3</v>
      </c>
      <c r="I174" s="214">
        <v>34.9</v>
      </c>
      <c r="K174" s="71">
        <f t="shared" si="23"/>
        <v>37.045655295365634</v>
      </c>
      <c r="L174" s="71">
        <f t="shared" si="24"/>
        <v>-2.1456552953656356</v>
      </c>
      <c r="M174" s="71">
        <f t="shared" si="25"/>
        <v>2.1456552953656356</v>
      </c>
      <c r="N174" s="175">
        <f t="shared" si="26"/>
        <v>4.6038366465305929</v>
      </c>
      <c r="O174" s="71">
        <f t="shared" si="27"/>
        <v>6.1480094423084115E-2</v>
      </c>
      <c r="P174" s="176"/>
      <c r="Q174" s="144"/>
      <c r="R174" s="175">
        <f t="shared" si="21"/>
        <v>6.4985007725413008E-3</v>
      </c>
      <c r="S174" s="71">
        <f t="shared" si="22"/>
        <v>4.2643985288070114</v>
      </c>
    </row>
    <row r="175" spans="1:19">
      <c r="A175" s="162">
        <f>'Q.6a Model 1'!A177</f>
        <v>3</v>
      </c>
      <c r="B175" s="162">
        <f>'Q.6a Model 1'!B177</f>
        <v>36.154800000000002</v>
      </c>
      <c r="C175" s="163">
        <f>'Q.6a Model 2'!A177</f>
        <v>6.2</v>
      </c>
      <c r="D175" s="163">
        <f>'Q.6a Model 2'!B177</f>
        <v>27.1</v>
      </c>
      <c r="E175" s="10">
        <f>'Q.6a Model 3'!$A177</f>
        <v>2.2000000000000002</v>
      </c>
      <c r="F175" s="10">
        <f>'Q.6a Model 3'!$B177</f>
        <v>51.9</v>
      </c>
      <c r="H175" s="214">
        <v>2.2000000000000002</v>
      </c>
      <c r="I175" s="214">
        <v>51.9</v>
      </c>
      <c r="K175" s="71">
        <f t="shared" si="23"/>
        <v>40.418139013984828</v>
      </c>
      <c r="L175" s="71">
        <f t="shared" si="24"/>
        <v>11.481860986015171</v>
      </c>
      <c r="M175" s="71">
        <f t="shared" si="25"/>
        <v>11.481860986015171</v>
      </c>
      <c r="N175" s="175">
        <f t="shared" si="26"/>
        <v>131.83313170217727</v>
      </c>
      <c r="O175" s="71">
        <f t="shared" si="27"/>
        <v>0.22123046215828845</v>
      </c>
      <c r="P175" s="176"/>
      <c r="Q175" s="144"/>
      <c r="R175" s="175">
        <f t="shared" si="21"/>
        <v>286.26564701025762</v>
      </c>
      <c r="S175" s="71">
        <f t="shared" si="22"/>
        <v>29.566686117178193</v>
      </c>
    </row>
    <row r="176" spans="1:19">
      <c r="A176" s="162">
        <f>'Q.6a Model 1'!A178</f>
        <v>2.4</v>
      </c>
      <c r="B176" s="162">
        <f>'Q.6a Model 1'!B178</f>
        <v>33.6</v>
      </c>
      <c r="C176" s="163">
        <f>'Q.6a Model 2'!A178</f>
        <v>6.8</v>
      </c>
      <c r="D176" s="163">
        <f>'Q.6a Model 2'!B178</f>
        <v>21.006</v>
      </c>
      <c r="E176" s="10">
        <f>'Q.6a Model 3'!$A178</f>
        <v>3.5</v>
      </c>
      <c r="F176" s="10">
        <f>'Q.6a Model 3'!$B178</f>
        <v>38.299999999999997</v>
      </c>
      <c r="H176" s="214">
        <v>3.5</v>
      </c>
      <c r="I176" s="214">
        <v>38.299999999999997</v>
      </c>
      <c r="K176" s="71">
        <f t="shared" si="23"/>
        <v>34.937852971228637</v>
      </c>
      <c r="L176" s="71">
        <f t="shared" si="24"/>
        <v>3.3621470287713606</v>
      </c>
      <c r="M176" s="71">
        <f t="shared" si="25"/>
        <v>3.3621470287713606</v>
      </c>
      <c r="N176" s="175">
        <f t="shared" si="26"/>
        <v>11.304032643076088</v>
      </c>
      <c r="O176" s="71">
        <f t="shared" si="27"/>
        <v>8.7784517722489838E-2</v>
      </c>
      <c r="P176" s="176"/>
      <c r="Q176" s="144"/>
      <c r="R176" s="175">
        <f t="shared" si="21"/>
        <v>11.018328202669553</v>
      </c>
      <c r="S176" s="71">
        <f t="shared" si="22"/>
        <v>1.828443932057986E-3</v>
      </c>
    </row>
    <row r="177" spans="1:19">
      <c r="A177" s="162">
        <f>'Q.6a Model 1'!A179</f>
        <v>6</v>
      </c>
      <c r="B177" s="162">
        <f>'Q.6a Model 1'!B179</f>
        <v>23.1</v>
      </c>
      <c r="C177" s="163">
        <f>'Q.6a Model 2'!A179</f>
        <v>2.4</v>
      </c>
      <c r="D177" s="163">
        <f>'Q.6a Model 2'!B179</f>
        <v>39.200000000000003</v>
      </c>
      <c r="E177" s="10">
        <f>'Q.6a Model 3'!$A179</f>
        <v>2.7</v>
      </c>
      <c r="F177" s="10">
        <f>'Q.6a Model 3'!$B179</f>
        <v>38.299999999999997</v>
      </c>
      <c r="H177" s="214">
        <v>2.7</v>
      </c>
      <c r="I177" s="214">
        <v>38.299999999999997</v>
      </c>
      <c r="K177" s="71">
        <f t="shared" si="23"/>
        <v>38.31033668984783</v>
      </c>
      <c r="L177" s="71">
        <f t="shared" si="24"/>
        <v>-1.0336689847832758E-2</v>
      </c>
      <c r="M177" s="71">
        <f t="shared" si="25"/>
        <v>1.0336689847832758E-2</v>
      </c>
      <c r="N177" s="175">
        <f t="shared" si="26"/>
        <v>1.0684715701028882E-4</v>
      </c>
      <c r="O177" s="71">
        <f t="shared" si="27"/>
        <v>2.698874633898893E-4</v>
      </c>
      <c r="P177" s="176"/>
      <c r="Q177" s="144"/>
      <c r="R177" s="175">
        <f t="shared" si="21"/>
        <v>11.018328202669553</v>
      </c>
      <c r="S177" s="71">
        <f t="shared" si="22"/>
        <v>11.0870579918638</v>
      </c>
    </row>
    <row r="178" spans="1:19">
      <c r="A178" s="162">
        <f>'Q.6a Model 1'!A180</f>
        <v>2</v>
      </c>
      <c r="B178" s="162">
        <f>'Q.6a Model 1'!B180</f>
        <v>41.315600000000003</v>
      </c>
      <c r="C178" s="163">
        <f>'Q.6a Model 2'!A180</f>
        <v>6.2</v>
      </c>
      <c r="D178" s="163">
        <f>'Q.6a Model 2'!B180</f>
        <v>26.1</v>
      </c>
      <c r="E178" s="10">
        <f>'Q.6a Model 3'!$A180</f>
        <v>1.5</v>
      </c>
      <c r="F178" s="10">
        <f>'Q.6a Model 3'!$B180</f>
        <v>46.2622</v>
      </c>
      <c r="H178" s="214">
        <v>1.5</v>
      </c>
      <c r="I178" s="214">
        <v>46.2622</v>
      </c>
      <c r="K178" s="71">
        <f t="shared" si="23"/>
        <v>43.369062267776613</v>
      </c>
      <c r="L178" s="71">
        <f t="shared" si="24"/>
        <v>2.8931377322233871</v>
      </c>
      <c r="M178" s="71">
        <f t="shared" si="25"/>
        <v>2.8931377322233871</v>
      </c>
      <c r="N178" s="175">
        <f t="shared" si="26"/>
        <v>8.3702459376146834</v>
      </c>
      <c r="O178" s="71">
        <f t="shared" si="27"/>
        <v>6.2537832879184019E-2</v>
      </c>
      <c r="P178" s="176"/>
      <c r="Q178" s="144"/>
      <c r="R178" s="175">
        <f t="shared" si="21"/>
        <v>127.27419894044738</v>
      </c>
      <c r="S178" s="71">
        <f t="shared" si="22"/>
        <v>70.366076435079577</v>
      </c>
    </row>
    <row r="179" spans="1:19">
      <c r="A179" s="162">
        <f>'Q.6a Model 1'!A181</f>
        <v>4.2</v>
      </c>
      <c r="B179" s="162">
        <f>'Q.6a Model 1'!B181</f>
        <v>34.485500000000002</v>
      </c>
      <c r="C179" s="163">
        <f>'Q.6a Model 2'!A181</f>
        <v>3.7</v>
      </c>
      <c r="D179" s="163">
        <f>'Q.6a Model 2'!B181</f>
        <v>28.5</v>
      </c>
      <c r="E179" s="10">
        <f>'Q.6a Model 3'!$A181</f>
        <v>5.7</v>
      </c>
      <c r="F179" s="10">
        <f>'Q.6a Model 3'!$B181</f>
        <v>24.220600000000001</v>
      </c>
      <c r="H179" s="214">
        <v>5.7</v>
      </c>
      <c r="I179" s="214">
        <v>24.220600000000001</v>
      </c>
      <c r="K179" s="71">
        <f t="shared" si="23"/>
        <v>25.663522745025865</v>
      </c>
      <c r="L179" s="71">
        <f t="shared" si="24"/>
        <v>-1.4429227450258644</v>
      </c>
      <c r="M179" s="71">
        <f t="shared" si="25"/>
        <v>1.4429227450258644</v>
      </c>
      <c r="N179" s="175">
        <f t="shared" si="26"/>
        <v>2.0820260481129758</v>
      </c>
      <c r="O179" s="71">
        <f t="shared" si="27"/>
        <v>5.9574194901276779E-2</v>
      </c>
      <c r="P179" s="176"/>
      <c r="Q179" s="144"/>
      <c r="R179" s="175">
        <f t="shared" si="21"/>
        <v>115.77788576711394</v>
      </c>
      <c r="S179" s="71">
        <f t="shared" si="22"/>
        <v>86.808176020744853</v>
      </c>
    </row>
    <row r="180" spans="1:19">
      <c r="A180" s="162">
        <f>'Q.6a Model 1'!A182</f>
        <v>5.7</v>
      </c>
      <c r="B180" s="162">
        <f>'Q.6a Model 1'!B182</f>
        <v>25.555099999999999</v>
      </c>
      <c r="C180" s="163">
        <f>'Q.6a Model 2'!A182</f>
        <v>3.2</v>
      </c>
      <c r="D180" s="163">
        <f>'Q.6a Model 2'!B182</f>
        <v>33.762799999999999</v>
      </c>
      <c r="E180" s="10">
        <f>'Q.6a Model 3'!$A182</f>
        <v>4.5999999999999996</v>
      </c>
      <c r="F180" s="10">
        <f>'Q.6a Model 3'!$B182</f>
        <v>28.3</v>
      </c>
      <c r="H180" s="214">
        <v>4.5999999999999996</v>
      </c>
      <c r="I180" s="214">
        <v>28.3</v>
      </c>
      <c r="K180" s="71">
        <f t="shared" si="23"/>
        <v>30.300687858127255</v>
      </c>
      <c r="L180" s="71">
        <f t="shared" si="24"/>
        <v>-2.0006878581272538</v>
      </c>
      <c r="M180" s="71">
        <f t="shared" si="25"/>
        <v>2.0006878581272538</v>
      </c>
      <c r="N180" s="175">
        <f t="shared" si="26"/>
        <v>4.002751905657818</v>
      </c>
      <c r="O180" s="71">
        <f t="shared" si="27"/>
        <v>7.0695684032765146E-2</v>
      </c>
      <c r="P180" s="176"/>
      <c r="Q180" s="144"/>
      <c r="R180" s="175">
        <f t="shared" si="21"/>
        <v>44.630593785325352</v>
      </c>
      <c r="S180" s="71">
        <f t="shared" si="22"/>
        <v>21.901701946173837</v>
      </c>
    </row>
    <row r="181" spans="1:19">
      <c r="A181" s="162">
        <f>'Q.6a Model 1'!A183</f>
        <v>3.7</v>
      </c>
      <c r="B181" s="162">
        <f>'Q.6a Model 1'!B183</f>
        <v>26.6</v>
      </c>
      <c r="C181" s="163">
        <f>'Q.6a Model 2'!A183</f>
        <v>3.6</v>
      </c>
      <c r="D181" s="163">
        <f>'Q.6a Model 2'!B183</f>
        <v>37.690800000000003</v>
      </c>
      <c r="E181" s="10">
        <f>'Q.6a Model 3'!$A183</f>
        <v>3.5</v>
      </c>
      <c r="F181" s="10">
        <f>'Q.6a Model 3'!$B183</f>
        <v>31.708200000000001</v>
      </c>
      <c r="H181" s="214">
        <v>3.5</v>
      </c>
      <c r="I181" s="214">
        <v>31.708200000000001</v>
      </c>
      <c r="K181" s="71">
        <f t="shared" si="23"/>
        <v>34.937852971228637</v>
      </c>
      <c r="L181" s="71">
        <f t="shared" si="24"/>
        <v>-3.229652971228635</v>
      </c>
      <c r="M181" s="71">
        <f t="shared" si="25"/>
        <v>3.229652971228635</v>
      </c>
      <c r="N181" s="175">
        <f t="shared" si="26"/>
        <v>10.430658314565951</v>
      </c>
      <c r="O181" s="71">
        <f t="shared" si="27"/>
        <v>0.10185544973314899</v>
      </c>
      <c r="P181" s="176"/>
      <c r="Q181" s="144"/>
      <c r="R181" s="175">
        <f t="shared" si="21"/>
        <v>10.708688669444609</v>
      </c>
      <c r="S181" s="71">
        <f t="shared" si="22"/>
        <v>1.828443932057986E-3</v>
      </c>
    </row>
    <row r="182" spans="1:19">
      <c r="A182" s="162">
        <f>'Q.6a Model 1'!A184</f>
        <v>3</v>
      </c>
      <c r="B182" s="162">
        <f>'Q.6a Model 1'!B184</f>
        <v>35.460599999999999</v>
      </c>
      <c r="C182" s="163">
        <f>'Q.6a Model 2'!A184</f>
        <v>2.9</v>
      </c>
      <c r="D182" s="163">
        <f>'Q.6a Model 2'!B184</f>
        <v>35.323700000000002</v>
      </c>
      <c r="E182" s="10">
        <f>'Q.6a Model 3'!$A184</f>
        <v>3.8</v>
      </c>
      <c r="F182" s="10">
        <f>'Q.6a Model 3'!$B184</f>
        <v>33.235700000000001</v>
      </c>
      <c r="H182" s="214">
        <v>3.8</v>
      </c>
      <c r="I182" s="214">
        <v>33.235700000000001</v>
      </c>
      <c r="K182" s="71">
        <f t="shared" si="23"/>
        <v>33.673171576746441</v>
      </c>
      <c r="L182" s="71">
        <f t="shared" si="24"/>
        <v>-0.43747157674643944</v>
      </c>
      <c r="M182" s="71">
        <f t="shared" si="25"/>
        <v>0.43747157674643944</v>
      </c>
      <c r="N182" s="175">
        <f t="shared" si="26"/>
        <v>0.19138138046101585</v>
      </c>
      <c r="O182" s="71">
        <f t="shared" si="27"/>
        <v>1.3162700853192183E-2</v>
      </c>
      <c r="P182" s="176"/>
      <c r="Q182" s="144"/>
      <c r="R182" s="175">
        <f t="shared" si="21"/>
        <v>3.0447223516939403</v>
      </c>
      <c r="S182" s="71">
        <f t="shared" si="22"/>
        <v>1.7094038051389142</v>
      </c>
    </row>
    <row r="183" spans="1:19">
      <c r="A183" s="162">
        <f>'Q.6a Model 1'!A185</f>
        <v>3</v>
      </c>
      <c r="B183" s="162">
        <f>'Q.6a Model 1'!B185</f>
        <v>38.169600000000003</v>
      </c>
      <c r="C183" s="163">
        <f>'Q.6a Model 2'!A185</f>
        <v>2.5</v>
      </c>
      <c r="D183" s="163">
        <f>'Q.6a Model 2'!B185</f>
        <v>38.029899999999998</v>
      </c>
      <c r="E183" s="10">
        <f>'Q.6a Model 3'!$A185</f>
        <v>3.7</v>
      </c>
      <c r="F183" s="10">
        <f>'Q.6a Model 3'!$B185</f>
        <v>31.6</v>
      </c>
      <c r="H183" s="214">
        <v>3.7</v>
      </c>
      <c r="I183" s="214">
        <v>31.6</v>
      </c>
      <c r="K183" s="71">
        <f t="shared" si="23"/>
        <v>34.094732041573842</v>
      </c>
      <c r="L183" s="71">
        <f t="shared" si="24"/>
        <v>-2.4947320415738403</v>
      </c>
      <c r="M183" s="71">
        <f t="shared" si="25"/>
        <v>2.4947320415738403</v>
      </c>
      <c r="N183" s="175">
        <f t="shared" si="26"/>
        <v>6.223687959255181</v>
      </c>
      <c r="O183" s="71">
        <f t="shared" si="27"/>
        <v>7.8947216505501266E-2</v>
      </c>
      <c r="P183" s="176"/>
      <c r="Q183" s="144"/>
      <c r="R183" s="175">
        <f t="shared" si="21"/>
        <v>11.428546143048944</v>
      </c>
      <c r="S183" s="71">
        <f t="shared" si="22"/>
        <v>0.78478556705897329</v>
      </c>
    </row>
    <row r="184" spans="1:19">
      <c r="A184" s="162">
        <f>'Q.6a Model 1'!A186</f>
        <v>3.8</v>
      </c>
      <c r="B184" s="162">
        <f>'Q.6a Model 1'!B186</f>
        <v>34.514800000000001</v>
      </c>
      <c r="C184" s="163">
        <f>'Q.6a Model 2'!A186</f>
        <v>3.5</v>
      </c>
      <c r="D184" s="163">
        <f>'Q.6a Model 2'!B186</f>
        <v>28.668299999999999</v>
      </c>
      <c r="E184" s="10">
        <f>'Q.6a Model 3'!$A186</f>
        <v>4</v>
      </c>
      <c r="F184" s="10">
        <f>'Q.6a Model 3'!$B186</f>
        <v>25.753499999999999</v>
      </c>
      <c r="H184" s="214">
        <v>4</v>
      </c>
      <c r="I184" s="214">
        <v>25.753499999999999</v>
      </c>
      <c r="K184" s="71">
        <f t="shared" si="23"/>
        <v>32.830050647091646</v>
      </c>
      <c r="L184" s="71">
        <f t="shared" si="24"/>
        <v>-7.0765506470916471</v>
      </c>
      <c r="M184" s="71">
        <f t="shared" si="25"/>
        <v>7.0765506470916471</v>
      </c>
      <c r="N184" s="175">
        <f t="shared" si="26"/>
        <v>50.077569060853207</v>
      </c>
      <c r="O184" s="71">
        <f t="shared" si="27"/>
        <v>0.27478015209939027</v>
      </c>
      <c r="P184" s="176"/>
      <c r="Q184" s="144"/>
      <c r="R184" s="175">
        <f t="shared" si="21"/>
        <v>85.139619465948684</v>
      </c>
      <c r="S184" s="71">
        <f t="shared" si="22"/>
        <v>4.6249196343317314</v>
      </c>
    </row>
    <row r="185" spans="1:19">
      <c r="A185" s="162">
        <f>'Q.6a Model 1'!A187</f>
        <v>2.4</v>
      </c>
      <c r="B185" s="162">
        <f>'Q.6a Model 1'!B187</f>
        <v>38.700000000000003</v>
      </c>
      <c r="C185" s="163">
        <f>'Q.6a Model 2'!A187</f>
        <v>8.4</v>
      </c>
      <c r="D185" s="163">
        <f>'Q.6a Model 2'!B187</f>
        <v>30</v>
      </c>
      <c r="E185" s="10">
        <f>'Q.6a Model 3'!$A187</f>
        <v>5.7</v>
      </c>
      <c r="F185" s="10">
        <f>'Q.6a Model 3'!$B187</f>
        <v>31.9</v>
      </c>
      <c r="H185" s="214">
        <v>5.7</v>
      </c>
      <c r="I185" s="214">
        <v>31.9</v>
      </c>
      <c r="K185" s="71">
        <f t="shared" si="23"/>
        <v>25.663522745025865</v>
      </c>
      <c r="L185" s="71">
        <f t="shared" si="24"/>
        <v>6.2364772549741332</v>
      </c>
      <c r="M185" s="71">
        <f t="shared" si="25"/>
        <v>6.2364772549741332</v>
      </c>
      <c r="N185" s="175">
        <f t="shared" si="26"/>
        <v>38.893648551809697</v>
      </c>
      <c r="O185" s="71">
        <f t="shared" si="27"/>
        <v>0.19550085438790388</v>
      </c>
      <c r="P185" s="176"/>
      <c r="Q185" s="144"/>
      <c r="R185" s="175">
        <f t="shared" si="21"/>
        <v>9.4901781755692873</v>
      </c>
      <c r="S185" s="71">
        <f t="shared" si="22"/>
        <v>86.808176020744853</v>
      </c>
    </row>
    <row r="186" spans="1:19">
      <c r="A186" s="162">
        <f>'Q.6a Model 1'!A188</f>
        <v>4.4000000000000004</v>
      </c>
      <c r="B186" s="162">
        <f>'Q.6a Model 1'!B188</f>
        <v>30.8</v>
      </c>
      <c r="C186" s="163">
        <f>'Q.6a Model 2'!A188</f>
        <v>2</v>
      </c>
      <c r="D186" s="163">
        <f>'Q.6a Model 2'!B188</f>
        <v>40.5</v>
      </c>
      <c r="E186" s="10">
        <f>'Q.6a Model 3'!$A188</f>
        <v>3.6</v>
      </c>
      <c r="F186" s="10">
        <f>'Q.6a Model 3'!$B188</f>
        <v>31.6</v>
      </c>
      <c r="H186" s="214">
        <v>3.6</v>
      </c>
      <c r="I186" s="214">
        <v>31.6</v>
      </c>
      <c r="K186" s="71">
        <f t="shared" si="23"/>
        <v>34.516292506401243</v>
      </c>
      <c r="L186" s="71">
        <f t="shared" si="24"/>
        <v>-2.9162925064012413</v>
      </c>
      <c r="M186" s="71">
        <f t="shared" si="25"/>
        <v>2.9162925064012413</v>
      </c>
      <c r="N186" s="175">
        <f t="shared" si="26"/>
        <v>8.5047619828920347</v>
      </c>
      <c r="O186" s="71">
        <f t="shared" si="27"/>
        <v>9.2287737544343079E-2</v>
      </c>
      <c r="P186" s="176"/>
      <c r="Q186" s="144"/>
      <c r="R186" s="175">
        <f t="shared" si="21"/>
        <v>11.428546143048944</v>
      </c>
      <c r="S186" s="71">
        <f t="shared" si="22"/>
        <v>0.21559377999002097</v>
      </c>
    </row>
    <row r="187" spans="1:19">
      <c r="A187" s="162">
        <f>'Q.6a Model 1'!A189</f>
        <v>5.3</v>
      </c>
      <c r="B187" s="162">
        <f>'Q.6a Model 1'!B189</f>
        <v>28.993500000000001</v>
      </c>
      <c r="C187" s="163">
        <f>'Q.6a Model 2'!A189</f>
        <v>2.5</v>
      </c>
      <c r="D187" s="163">
        <f>'Q.6a Model 2'!B189</f>
        <v>35.922600000000003</v>
      </c>
      <c r="E187" s="10">
        <f>'Q.6a Model 3'!$A189</f>
        <v>2</v>
      </c>
      <c r="F187" s="10">
        <f>'Q.6a Model 3'!$B189</f>
        <v>42.6</v>
      </c>
      <c r="H187" s="214">
        <v>2</v>
      </c>
      <c r="I187" s="214">
        <v>42.6</v>
      </c>
      <c r="K187" s="71">
        <f t="shared" si="23"/>
        <v>41.261259943639622</v>
      </c>
      <c r="L187" s="71">
        <f t="shared" si="24"/>
        <v>1.3387400563603791</v>
      </c>
      <c r="M187" s="71">
        <f t="shared" si="25"/>
        <v>1.3387400563603791</v>
      </c>
      <c r="N187" s="175">
        <f t="shared" si="26"/>
        <v>1.7922249385037909</v>
      </c>
      <c r="O187" s="71">
        <f t="shared" si="27"/>
        <v>3.1425822919257725E-2</v>
      </c>
      <c r="P187" s="176"/>
      <c r="Q187" s="144"/>
      <c r="R187" s="175">
        <f t="shared" si="21"/>
        <v>58.055054002127598</v>
      </c>
      <c r="S187" s="71">
        <f t="shared" si="22"/>
        <v>39.446522524380804</v>
      </c>
    </row>
    <row r="188" spans="1:19">
      <c r="A188" s="162">
        <f>'Q.6a Model 1'!A190</f>
        <v>3.7</v>
      </c>
      <c r="B188" s="162">
        <f>'Q.6a Model 1'!B190</f>
        <v>28.5</v>
      </c>
      <c r="C188" s="163">
        <f>'Q.6a Model 2'!A190</f>
        <v>3</v>
      </c>
      <c r="D188" s="163">
        <f>'Q.6a Model 2'!B190</f>
        <v>38.299999999999997</v>
      </c>
      <c r="E188" s="10">
        <f>'Q.6a Model 3'!$A190</f>
        <v>4.8</v>
      </c>
      <c r="F188" s="10">
        <f>'Q.6a Model 3'!$B190</f>
        <v>31.374700000000001</v>
      </c>
      <c r="H188" s="214">
        <v>4.8</v>
      </c>
      <c r="I188" s="214">
        <v>31.374700000000001</v>
      </c>
      <c r="K188" s="71">
        <f t="shared" si="23"/>
        <v>29.457566928472456</v>
      </c>
      <c r="L188" s="71">
        <f t="shared" si="24"/>
        <v>1.9171330715275445</v>
      </c>
      <c r="M188" s="71">
        <f t="shared" si="25"/>
        <v>1.9171330715275445</v>
      </c>
      <c r="N188" s="175">
        <f t="shared" si="26"/>
        <v>3.6753992139446372</v>
      </c>
      <c r="O188" s="71">
        <f t="shared" si="27"/>
        <v>6.1104427182651772E-2</v>
      </c>
      <c r="P188" s="176"/>
      <c r="Q188" s="144"/>
      <c r="R188" s="175">
        <f t="shared" si="21"/>
        <v>13.002610576626184</v>
      </c>
      <c r="S188" s="71">
        <f t="shared" si="22"/>
        <v>30.504040991542428</v>
      </c>
    </row>
    <row r="189" spans="1:19">
      <c r="A189" s="162">
        <f>'Q.6a Model 1'!A191</f>
        <v>4</v>
      </c>
      <c r="B189" s="162">
        <f>'Q.6a Model 1'!B191</f>
        <v>28.0488</v>
      </c>
      <c r="C189" s="163">
        <f>'Q.6a Model 2'!A191</f>
        <v>5.3</v>
      </c>
      <c r="D189" s="163">
        <f>'Q.6a Model 2'!B191</f>
        <v>22.9</v>
      </c>
      <c r="E189" s="10">
        <f>'Q.6a Model 3'!$A191</f>
        <v>5.2</v>
      </c>
      <c r="F189" s="10">
        <f>'Q.6a Model 3'!$B191</f>
        <v>24.8</v>
      </c>
      <c r="H189" s="214">
        <v>5.2</v>
      </c>
      <c r="I189" s="214">
        <v>24.8</v>
      </c>
      <c r="K189" s="71">
        <f t="shared" si="23"/>
        <v>27.771325069162859</v>
      </c>
      <c r="L189" s="71">
        <f t="shared" si="24"/>
        <v>-2.9713250691628588</v>
      </c>
      <c r="M189" s="71">
        <f t="shared" si="25"/>
        <v>2.9713250691628588</v>
      </c>
      <c r="N189" s="175">
        <f t="shared" si="26"/>
        <v>8.8287726666356683</v>
      </c>
      <c r="O189" s="71">
        <f t="shared" si="27"/>
        <v>0.11981149472430881</v>
      </c>
      <c r="P189" s="176"/>
      <c r="Q189" s="144"/>
      <c r="R189" s="175">
        <f t="shared" si="21"/>
        <v>103.64488673925487</v>
      </c>
      <c r="S189" s="71">
        <f t="shared" si="22"/>
        <v>51.973836494411444</v>
      </c>
    </row>
    <row r="190" spans="1:19">
      <c r="A190" s="162">
        <f>'Q.6a Model 1'!A192</f>
        <v>3</v>
      </c>
      <c r="B190" s="162">
        <f>'Q.6a Model 1'!B192</f>
        <v>38.169600000000003</v>
      </c>
      <c r="C190" s="163">
        <f>'Q.6a Model 2'!A192</f>
        <v>3.7</v>
      </c>
      <c r="D190" s="163">
        <f>'Q.6a Model 2'!B192</f>
        <v>34.823500000000003</v>
      </c>
      <c r="E190" s="10">
        <f>'Q.6a Model 3'!$A192</f>
        <v>2.9</v>
      </c>
      <c r="F190" s="10">
        <f>'Q.6a Model 3'!$B192</f>
        <v>34.179600000000001</v>
      </c>
      <c r="H190" s="214">
        <v>2.9</v>
      </c>
      <c r="I190" s="214">
        <v>34.179600000000001</v>
      </c>
      <c r="K190" s="71">
        <f t="shared" si="23"/>
        <v>37.467215760193035</v>
      </c>
      <c r="L190" s="71">
        <f t="shared" si="24"/>
        <v>-3.2876157601930345</v>
      </c>
      <c r="M190" s="71">
        <f t="shared" si="25"/>
        <v>3.2876157601930345</v>
      </c>
      <c r="N190" s="175">
        <f t="shared" si="26"/>
        <v>10.808417386669625</v>
      </c>
      <c r="O190" s="71">
        <f t="shared" si="27"/>
        <v>9.6186490192776808E-2</v>
      </c>
      <c r="P190" s="176"/>
      <c r="Q190" s="144"/>
      <c r="R190" s="175">
        <f t="shared" si="21"/>
        <v>0.64162227334706345</v>
      </c>
      <c r="S190" s="71">
        <f t="shared" si="22"/>
        <v>6.1831918988149681</v>
      </c>
    </row>
    <row r="191" spans="1:19">
      <c r="A191" s="162">
        <f>'Q.6a Model 1'!A193</f>
        <v>1.8</v>
      </c>
      <c r="B191" s="162">
        <f>'Q.6a Model 1'!B193</f>
        <v>47.5</v>
      </c>
      <c r="C191" s="163">
        <f>'Q.6a Model 2'!A193</f>
        <v>3.8</v>
      </c>
      <c r="D191" s="163">
        <f>'Q.6a Model 2'!B193</f>
        <v>36.934699999999999</v>
      </c>
      <c r="E191" s="10">
        <f>'Q.6a Model 3'!$A193</f>
        <v>2.4</v>
      </c>
      <c r="F191" s="10">
        <f>'Q.6a Model 3'!$B193</f>
        <v>33.5</v>
      </c>
      <c r="H191" s="214">
        <v>2.4</v>
      </c>
      <c r="I191" s="214">
        <v>33.5</v>
      </c>
      <c r="K191" s="71">
        <f t="shared" si="23"/>
        <v>39.575018084330026</v>
      </c>
      <c r="L191" s="71">
        <f t="shared" si="24"/>
        <v>-6.0750180843300257</v>
      </c>
      <c r="M191" s="71">
        <f t="shared" si="25"/>
        <v>6.0750180843300257</v>
      </c>
      <c r="N191" s="175">
        <f t="shared" si="26"/>
        <v>36.905844724936856</v>
      </c>
      <c r="O191" s="71">
        <f t="shared" si="27"/>
        <v>0.18134382341283659</v>
      </c>
      <c r="P191" s="176"/>
      <c r="Q191" s="144"/>
      <c r="R191" s="175">
        <f t="shared" si="21"/>
        <v>2.1922156823443522</v>
      </c>
      <c r="S191" s="71">
        <f t="shared" si="22"/>
        <v>21.10855551401945</v>
      </c>
    </row>
    <row r="192" spans="1:19">
      <c r="A192" s="162">
        <f>'Q.6a Model 1'!A194</f>
        <v>3.5</v>
      </c>
      <c r="B192" s="162">
        <f>'Q.6a Model 1'!B194</f>
        <v>34.700000000000003</v>
      </c>
      <c r="C192" s="163">
        <f>'Q.6a Model 2'!A194</f>
        <v>6.5</v>
      </c>
      <c r="D192" s="163">
        <f>'Q.6a Model 2'!B194</f>
        <v>17.5</v>
      </c>
      <c r="E192" s="10">
        <f>'Q.6a Model 3'!$A194</f>
        <v>2.9</v>
      </c>
      <c r="F192" s="10">
        <f>'Q.6a Model 3'!$B194</f>
        <v>34.151400000000002</v>
      </c>
      <c r="H192" s="214">
        <v>2.9</v>
      </c>
      <c r="I192" s="214">
        <v>34.151400000000002</v>
      </c>
      <c r="K192" s="71">
        <f t="shared" si="23"/>
        <v>37.467215760193035</v>
      </c>
      <c r="L192" s="71">
        <f t="shared" si="24"/>
        <v>-3.3158157601930327</v>
      </c>
      <c r="M192" s="71">
        <f t="shared" si="25"/>
        <v>3.3158157601930327</v>
      </c>
      <c r="N192" s="175">
        <f t="shared" si="26"/>
        <v>10.9946341555445</v>
      </c>
      <c r="O192" s="71">
        <f t="shared" si="27"/>
        <v>9.7091649542713696E-2</v>
      </c>
      <c r="P192" s="176"/>
      <c r="Q192" s="144"/>
      <c r="R192" s="175">
        <f t="shared" si="21"/>
        <v>0.68759466229014987</v>
      </c>
      <c r="S192" s="71">
        <f t="shared" si="22"/>
        <v>6.1831918988149681</v>
      </c>
    </row>
    <row r="193" spans="1:19">
      <c r="A193" s="162">
        <f>'Q.6a Model 1'!A195</f>
        <v>2.5</v>
      </c>
      <c r="B193" s="162">
        <f>'Q.6a Model 1'!B195</f>
        <v>42.921500000000002</v>
      </c>
      <c r="C193" s="163">
        <f>'Q.6a Model 2'!A195</f>
        <v>6</v>
      </c>
      <c r="D193" s="163">
        <f>'Q.6a Model 2'!B195</f>
        <v>30.299900000000001</v>
      </c>
      <c r="E193" s="10">
        <f>'Q.6a Model 3'!$A195</f>
        <v>4.5999999999999996</v>
      </c>
      <c r="F193" s="10">
        <f>'Q.6a Model 3'!$B195</f>
        <v>26.229500000000002</v>
      </c>
      <c r="H193" s="214">
        <v>4.5999999999999996</v>
      </c>
      <c r="I193" s="214">
        <v>26.229500000000002</v>
      </c>
      <c r="K193" s="71">
        <f t="shared" si="23"/>
        <v>30.300687858127255</v>
      </c>
      <c r="L193" s="71">
        <f t="shared" si="24"/>
        <v>-4.0711878581272529</v>
      </c>
      <c r="M193" s="71">
        <f t="shared" si="25"/>
        <v>4.0711878581272529</v>
      </c>
      <c r="N193" s="175">
        <f t="shared" si="26"/>
        <v>16.57457057616277</v>
      </c>
      <c r="O193" s="71">
        <f t="shared" si="27"/>
        <v>0.15521408559550326</v>
      </c>
      <c r="P193" s="176"/>
      <c r="Q193" s="144"/>
      <c r="R193" s="175">
        <f t="shared" si="21"/>
        <v>76.581983624214217</v>
      </c>
      <c r="S193" s="71">
        <f t="shared" si="22"/>
        <v>21.901701946173837</v>
      </c>
    </row>
    <row r="194" spans="1:19">
      <c r="A194" s="162">
        <f>'Q.6a Model 1'!A196</f>
        <v>4.8</v>
      </c>
      <c r="B194" s="162">
        <f>'Q.6a Model 1'!B196</f>
        <v>28.8</v>
      </c>
      <c r="C194" s="163">
        <f>'Q.6a Model 2'!A196</f>
        <v>5.9</v>
      </c>
      <c r="D194" s="163">
        <f>'Q.6a Model 2'!B196</f>
        <v>27.2408</v>
      </c>
      <c r="E194" s="10">
        <f>'Q.6a Model 3'!$A196</f>
        <v>2</v>
      </c>
      <c r="F194" s="10">
        <f>'Q.6a Model 3'!$B196</f>
        <v>43.1</v>
      </c>
      <c r="H194" s="214">
        <v>2</v>
      </c>
      <c r="I194" s="214">
        <v>43.1</v>
      </c>
      <c r="K194" s="71">
        <f t="shared" si="23"/>
        <v>41.261259943639622</v>
      </c>
      <c r="L194" s="71">
        <f t="shared" si="24"/>
        <v>1.8387400563603791</v>
      </c>
      <c r="M194" s="71">
        <f t="shared" si="25"/>
        <v>1.8387400563603791</v>
      </c>
      <c r="N194" s="175">
        <f t="shared" si="26"/>
        <v>3.3809649948641698</v>
      </c>
      <c r="O194" s="71">
        <f t="shared" si="27"/>
        <v>4.2662182282143364E-2</v>
      </c>
      <c r="P194" s="176"/>
      <c r="Q194" s="144"/>
      <c r="R194" s="175">
        <f t="shared" si="21"/>
        <v>65.924440722994817</v>
      </c>
      <c r="S194" s="71">
        <f t="shared" si="22"/>
        <v>39.446522524380804</v>
      </c>
    </row>
    <row r="195" spans="1:19">
      <c r="A195" s="162">
        <f>'Q.6a Model 1'!A197</f>
        <v>5.7</v>
      </c>
      <c r="B195" s="162">
        <f>'Q.6a Model 1'!B197</f>
        <v>31.9</v>
      </c>
      <c r="C195" s="163">
        <f>'Q.6a Model 2'!A197</f>
        <v>3</v>
      </c>
      <c r="D195" s="163">
        <f>'Q.6a Model 2'!B197</f>
        <v>32.954799999999999</v>
      </c>
      <c r="E195" s="10">
        <f>'Q.6a Model 3'!$A197</f>
        <v>4.8</v>
      </c>
      <c r="F195" s="10">
        <f>'Q.6a Model 3'!$B197</f>
        <v>26.212499999999999</v>
      </c>
      <c r="H195" s="214">
        <v>4.8</v>
      </c>
      <c r="I195" s="214">
        <v>26.212499999999999</v>
      </c>
      <c r="K195" s="71">
        <f t="shared" si="23"/>
        <v>29.457566928472456</v>
      </c>
      <c r="L195" s="71">
        <f t="shared" si="24"/>
        <v>-3.2450669284724576</v>
      </c>
      <c r="M195" s="71">
        <f t="shared" si="25"/>
        <v>3.2450669284724576</v>
      </c>
      <c r="N195" s="175">
        <f t="shared" si="26"/>
        <v>10.530459370265671</v>
      </c>
      <c r="O195" s="71">
        <f t="shared" si="27"/>
        <v>0.12379845220686535</v>
      </c>
      <c r="P195" s="176"/>
      <c r="Q195" s="144"/>
      <c r="R195" s="175">
        <f t="shared" ref="R195:R258" si="28">(I195-$J$3)^2</f>
        <v>76.879810475704787</v>
      </c>
      <c r="S195" s="71">
        <f t="shared" ref="S195:S258" si="29">(K195-$J$3)^2</f>
        <v>30.504040991542428</v>
      </c>
    </row>
    <row r="196" spans="1:19">
      <c r="A196" s="162">
        <f>'Q.6a Model 1'!A198</f>
        <v>2.2000000000000002</v>
      </c>
      <c r="B196" s="162">
        <f>'Q.6a Model 1'!B198</f>
        <v>46.8</v>
      </c>
      <c r="C196" s="163">
        <f>'Q.6a Model 2'!A198</f>
        <v>3.5</v>
      </c>
      <c r="D196" s="163">
        <f>'Q.6a Model 2'!B198</f>
        <v>34.6</v>
      </c>
      <c r="E196" s="10">
        <f>'Q.6a Model 3'!$A198</f>
        <v>3.8</v>
      </c>
      <c r="F196" s="10">
        <f>'Q.6a Model 3'!$B198</f>
        <v>29.0307</v>
      </c>
      <c r="H196" s="214">
        <v>3.8</v>
      </c>
      <c r="I196" s="214">
        <v>29.0307</v>
      </c>
      <c r="K196" s="71">
        <f t="shared" ref="K196:K259" si="30">$V$3 + $U$3 * H196</f>
        <v>33.673171576746441</v>
      </c>
      <c r="L196" s="71">
        <f t="shared" si="24"/>
        <v>-4.6424715767464413</v>
      </c>
      <c r="M196" s="71">
        <f t="shared" si="25"/>
        <v>4.6424715767464413</v>
      </c>
      <c r="N196" s="175">
        <f t="shared" si="26"/>
        <v>21.55254234089859</v>
      </c>
      <c r="O196" s="71">
        <f t="shared" si="27"/>
        <v>0.15991593646541219</v>
      </c>
      <c r="P196" s="176"/>
      <c r="Q196" s="144"/>
      <c r="R196" s="175">
        <f t="shared" si="28"/>
        <v>35.401468029200714</v>
      </c>
      <c r="S196" s="71">
        <f t="shared" si="29"/>
        <v>1.7094038051389142</v>
      </c>
    </row>
    <row r="197" spans="1:19">
      <c r="A197" s="162">
        <f>'Q.6a Model 1'!A199</f>
        <v>2.4</v>
      </c>
      <c r="B197" s="162">
        <f>'Q.6a Model 1'!B199</f>
        <v>40.1</v>
      </c>
      <c r="C197" s="163">
        <f>'Q.6a Model 2'!A199</f>
        <v>3.8</v>
      </c>
      <c r="D197" s="163">
        <f>'Q.6a Model 2'!B199</f>
        <v>34.255000000000003</v>
      </c>
      <c r="E197" s="10">
        <f>'Q.6a Model 3'!$A199</f>
        <v>2.4</v>
      </c>
      <c r="F197" s="10">
        <f>'Q.6a Model 3'!$B199</f>
        <v>47.408099999999997</v>
      </c>
      <c r="H197" s="214">
        <v>2.4</v>
      </c>
      <c r="I197" s="214">
        <v>47.408099999999997</v>
      </c>
      <c r="K197" s="71">
        <f t="shared" si="30"/>
        <v>39.575018084330026</v>
      </c>
      <c r="L197" s="71">
        <f t="shared" si="24"/>
        <v>7.8330819156699718</v>
      </c>
      <c r="M197" s="71">
        <f t="shared" si="25"/>
        <v>7.8330819156699718</v>
      </c>
      <c r="N197" s="175">
        <f t="shared" si="26"/>
        <v>61.357172297595959</v>
      </c>
      <c r="O197" s="71">
        <f t="shared" si="27"/>
        <v>0.16522665780045967</v>
      </c>
      <c r="P197" s="176"/>
      <c r="Q197" s="144"/>
      <c r="R197" s="175">
        <f t="shared" si="28"/>
        <v>154.44242619733078</v>
      </c>
      <c r="S197" s="71">
        <f t="shared" si="29"/>
        <v>21.10855551401945</v>
      </c>
    </row>
    <row r="198" spans="1:19">
      <c r="A198" s="162">
        <f>'Q.6a Model 1'!A200</f>
        <v>2.5</v>
      </c>
      <c r="B198" s="162">
        <f>'Q.6a Model 1'!B200</f>
        <v>44.736499999999999</v>
      </c>
      <c r="C198" s="163">
        <f>'Q.6a Model 2'!A200</f>
        <v>3.5</v>
      </c>
      <c r="D198" s="163">
        <f>'Q.6a Model 2'!B200</f>
        <v>30.6</v>
      </c>
      <c r="E198" s="10">
        <f>'Q.6a Model 3'!$A200</f>
        <v>3</v>
      </c>
      <c r="F198" s="10">
        <f>'Q.6a Model 3'!$B200</f>
        <v>36.1</v>
      </c>
      <c r="H198" s="214">
        <v>3</v>
      </c>
      <c r="I198" s="214">
        <v>36.1</v>
      </c>
      <c r="K198" s="71">
        <f t="shared" si="30"/>
        <v>37.045655295365634</v>
      </c>
      <c r="L198" s="71">
        <f t="shared" si="24"/>
        <v>-0.94565529536563275</v>
      </c>
      <c r="M198" s="71">
        <f t="shared" si="25"/>
        <v>0.94565529536563275</v>
      </c>
      <c r="N198" s="175">
        <f t="shared" si="26"/>
        <v>0.89426393765306211</v>
      </c>
      <c r="O198" s="71">
        <f t="shared" si="27"/>
        <v>2.6195437544754369E-2</v>
      </c>
      <c r="P198" s="176"/>
      <c r="Q198" s="144"/>
      <c r="R198" s="175">
        <f t="shared" si="28"/>
        <v>1.2530266308538489</v>
      </c>
      <c r="S198" s="71">
        <f t="shared" si="29"/>
        <v>4.2643985288070114</v>
      </c>
    </row>
    <row r="199" spans="1:19">
      <c r="A199" s="162">
        <f>'Q.6a Model 1'!A201</f>
        <v>2.4</v>
      </c>
      <c r="B199" s="162">
        <f>'Q.6a Model 1'!B201</f>
        <v>32.276499999999999</v>
      </c>
      <c r="C199" s="163">
        <f>'Q.6a Model 2'!A201</f>
        <v>5.3</v>
      </c>
      <c r="D199" s="163">
        <f>'Q.6a Model 2'!B201</f>
        <v>22.299900000000001</v>
      </c>
      <c r="E199" s="10">
        <f>'Q.6a Model 3'!$A201</f>
        <v>5</v>
      </c>
      <c r="F199" s="10">
        <f>'Q.6a Model 3'!$B201</f>
        <v>23.820399999999999</v>
      </c>
      <c r="H199" s="214">
        <v>5</v>
      </c>
      <c r="I199" s="214">
        <v>23.820399999999999</v>
      </c>
      <c r="K199" s="71">
        <f t="shared" si="30"/>
        <v>28.614445998817658</v>
      </c>
      <c r="L199" s="71">
        <f t="shared" si="24"/>
        <v>-4.7940459988176585</v>
      </c>
      <c r="M199" s="71">
        <f t="shared" si="25"/>
        <v>4.7940459988176585</v>
      </c>
      <c r="N199" s="175">
        <f t="shared" si="26"/>
        <v>22.982877038779602</v>
      </c>
      <c r="O199" s="71">
        <f t="shared" si="27"/>
        <v>0.20125799729717631</v>
      </c>
      <c r="P199" s="176"/>
      <c r="Q199" s="144"/>
      <c r="R199" s="175">
        <f t="shared" si="28"/>
        <v>124.55036043573187</v>
      </c>
      <c r="S199" s="71">
        <f t="shared" si="29"/>
        <v>40.528085840954965</v>
      </c>
    </row>
    <row r="200" spans="1:19">
      <c r="A200" s="162">
        <f>'Q.6a Model 1'!A202</f>
        <v>3.2</v>
      </c>
      <c r="B200" s="162">
        <f>'Q.6a Model 1'!B202</f>
        <v>38.9</v>
      </c>
      <c r="C200" s="163">
        <f>'Q.6a Model 2'!A202</f>
        <v>2.4</v>
      </c>
      <c r="D200" s="163">
        <f>'Q.6a Model 2'!B202</f>
        <v>36.4</v>
      </c>
      <c r="E200" s="10">
        <f>'Q.6a Model 3'!$A202</f>
        <v>3.3</v>
      </c>
      <c r="F200" s="10">
        <f>'Q.6a Model 3'!$B202</f>
        <v>36.200000000000003</v>
      </c>
      <c r="H200" s="214">
        <v>3.3</v>
      </c>
      <c r="I200" s="214">
        <v>36.200000000000003</v>
      </c>
      <c r="K200" s="71">
        <f t="shared" si="30"/>
        <v>35.780973900883438</v>
      </c>
      <c r="L200" s="71">
        <f t="shared" si="24"/>
        <v>0.41902609911656441</v>
      </c>
      <c r="M200" s="71">
        <f t="shared" si="25"/>
        <v>0.41902609911656441</v>
      </c>
      <c r="N200" s="175">
        <f t="shared" si="26"/>
        <v>0.17558287174084486</v>
      </c>
      <c r="O200" s="71">
        <f t="shared" si="27"/>
        <v>1.1575306605429955E-2</v>
      </c>
      <c r="P200" s="176"/>
      <c r="Q200" s="144"/>
      <c r="R200" s="175">
        <f t="shared" si="28"/>
        <v>1.4869039750272948</v>
      </c>
      <c r="S200" s="71">
        <f t="shared" si="29"/>
        <v>0.64057712484908502</v>
      </c>
    </row>
    <row r="201" spans="1:19">
      <c r="A201" s="162">
        <f>'Q.6a Model 1'!A203</f>
        <v>3.5</v>
      </c>
      <c r="B201" s="162">
        <f>'Q.6a Model 1'!B203</f>
        <v>38.0169</v>
      </c>
      <c r="C201" s="163">
        <f>'Q.6a Model 2'!A203</f>
        <v>2.4</v>
      </c>
      <c r="D201" s="163">
        <f>'Q.6a Model 2'!B203</f>
        <v>37</v>
      </c>
      <c r="E201" s="10">
        <f>'Q.6a Model 3'!$A203</f>
        <v>2</v>
      </c>
      <c r="F201" s="10">
        <f>'Q.6a Model 3'!$B203</f>
        <v>37.1</v>
      </c>
      <c r="H201" s="214">
        <v>2</v>
      </c>
      <c r="I201" s="214">
        <v>37.1</v>
      </c>
      <c r="K201" s="71">
        <f t="shared" si="30"/>
        <v>41.261259943639622</v>
      </c>
      <c r="L201" s="71">
        <f t="shared" si="24"/>
        <v>-4.1612599436396209</v>
      </c>
      <c r="M201" s="71">
        <f t="shared" si="25"/>
        <v>4.1612599436396209</v>
      </c>
      <c r="N201" s="175">
        <f t="shared" si="26"/>
        <v>17.31608431853962</v>
      </c>
      <c r="O201" s="71">
        <f t="shared" si="27"/>
        <v>0.11216334079891162</v>
      </c>
      <c r="P201" s="176"/>
      <c r="Q201" s="144"/>
      <c r="R201" s="175">
        <f t="shared" si="28"/>
        <v>4.4918000725882719</v>
      </c>
      <c r="S201" s="71">
        <f t="shared" si="29"/>
        <v>39.446522524380804</v>
      </c>
    </row>
    <row r="202" spans="1:19">
      <c r="A202" s="162">
        <f>'Q.6a Model 1'!A204</f>
        <v>2.4</v>
      </c>
      <c r="B202" s="162">
        <f>'Q.6a Model 1'!B204</f>
        <v>43.291600000000003</v>
      </c>
      <c r="C202" s="163">
        <f>'Q.6a Model 2'!A204</f>
        <v>3.5</v>
      </c>
      <c r="D202" s="163">
        <f>'Q.6a Model 2'!B204</f>
        <v>31.5</v>
      </c>
      <c r="E202" s="10">
        <f>'Q.6a Model 3'!$A204</f>
        <v>3.8</v>
      </c>
      <c r="F202" s="10">
        <f>'Q.6a Model 3'!$B204</f>
        <v>26.9</v>
      </c>
      <c r="H202" s="214">
        <v>3.8</v>
      </c>
      <c r="I202" s="214">
        <v>26.9</v>
      </c>
      <c r="K202" s="71">
        <f t="shared" si="30"/>
        <v>33.673171576746441</v>
      </c>
      <c r="L202" s="71">
        <f t="shared" si="24"/>
        <v>-6.7731715767464422</v>
      </c>
      <c r="M202" s="71">
        <f t="shared" si="25"/>
        <v>6.7731715767464422</v>
      </c>
      <c r="N202" s="175">
        <f t="shared" si="26"/>
        <v>45.875853208045889</v>
      </c>
      <c r="O202" s="71">
        <f t="shared" si="27"/>
        <v>0.25179076493481201</v>
      </c>
      <c r="P202" s="176"/>
      <c r="Q202" s="144"/>
      <c r="R202" s="175">
        <f t="shared" si="28"/>
        <v>65.296310966897195</v>
      </c>
      <c r="S202" s="71">
        <f t="shared" si="29"/>
        <v>1.7094038051389142</v>
      </c>
    </row>
    <row r="203" spans="1:19">
      <c r="A203" s="162">
        <f>'Q.6a Model 1'!A205</f>
        <v>1.8</v>
      </c>
      <c r="B203" s="162">
        <f>'Q.6a Model 1'!B205</f>
        <v>43.260899999999999</v>
      </c>
      <c r="C203" s="163">
        <f>'Q.6a Model 2'!A205</f>
        <v>2.4</v>
      </c>
      <c r="D203" s="163">
        <f>'Q.6a Model 2'!B205</f>
        <v>44.6</v>
      </c>
      <c r="E203" s="10">
        <f>'Q.6a Model 3'!$A205</f>
        <v>1.6</v>
      </c>
      <c r="F203" s="10">
        <f>'Q.6a Model 3'!$B205</f>
        <v>47.9</v>
      </c>
      <c r="H203" s="214">
        <v>1.6</v>
      </c>
      <c r="I203" s="214">
        <v>47.9</v>
      </c>
      <c r="K203" s="71">
        <f t="shared" si="30"/>
        <v>42.947501802949219</v>
      </c>
      <c r="L203" s="71">
        <f t="shared" si="24"/>
        <v>4.9524981970507795</v>
      </c>
      <c r="M203" s="71">
        <f t="shared" si="25"/>
        <v>4.9524981970507795</v>
      </c>
      <c r="N203" s="175">
        <f t="shared" si="26"/>
        <v>24.527238391791222</v>
      </c>
      <c r="O203" s="71">
        <f t="shared" si="27"/>
        <v>0.1033924467025215</v>
      </c>
      <c r="P203" s="176"/>
      <c r="Q203" s="144"/>
      <c r="R203" s="175">
        <f t="shared" si="28"/>
        <v>166.91055324331998</v>
      </c>
      <c r="S203" s="71">
        <f t="shared" si="29"/>
        <v>63.471312750917924</v>
      </c>
    </row>
    <row r="204" spans="1:19">
      <c r="A204" s="162">
        <f>'Q.6a Model 1'!A206</f>
        <v>5.6</v>
      </c>
      <c r="B204" s="162">
        <f>'Q.6a Model 1'!B206</f>
        <v>24.299600000000002</v>
      </c>
      <c r="C204" s="163">
        <f>'Q.6a Model 2'!A206</f>
        <v>4.8</v>
      </c>
      <c r="D204" s="163">
        <f>'Q.6a Model 2'!B206</f>
        <v>26.794599999999999</v>
      </c>
      <c r="E204" s="10">
        <f>'Q.6a Model 3'!$A206</f>
        <v>3</v>
      </c>
      <c r="F204" s="10">
        <f>'Q.6a Model 3'!$B206</f>
        <v>35.465499999999999</v>
      </c>
      <c r="H204" s="214">
        <v>3</v>
      </c>
      <c r="I204" s="214">
        <v>35.465499999999999</v>
      </c>
      <c r="K204" s="71">
        <f t="shared" si="30"/>
        <v>37.045655295365634</v>
      </c>
      <c r="L204" s="71">
        <f t="shared" si="24"/>
        <v>-1.5801552953656355</v>
      </c>
      <c r="M204" s="71">
        <f t="shared" si="25"/>
        <v>1.5801552953656355</v>
      </c>
      <c r="N204" s="175">
        <f t="shared" si="26"/>
        <v>2.4968907574720589</v>
      </c>
      <c r="O204" s="71">
        <f t="shared" si="27"/>
        <v>4.455471642485332E-2</v>
      </c>
      <c r="P204" s="176"/>
      <c r="Q204" s="144"/>
      <c r="R204" s="175">
        <f t="shared" si="28"/>
        <v>0.23511513207335463</v>
      </c>
      <c r="S204" s="71">
        <f t="shared" si="29"/>
        <v>4.2643985288070114</v>
      </c>
    </row>
    <row r="205" spans="1:19">
      <c r="A205" s="162">
        <f>'Q.6a Model 1'!A207</f>
        <v>1.6</v>
      </c>
      <c r="B205" s="162">
        <f>'Q.6a Model 1'!B207</f>
        <v>48.9</v>
      </c>
      <c r="C205" s="163">
        <f>'Q.6a Model 2'!A207</f>
        <v>2</v>
      </c>
      <c r="D205" s="163">
        <f>'Q.6a Model 2'!B207</f>
        <v>33.4</v>
      </c>
      <c r="E205" s="10">
        <f>'Q.6a Model 3'!$A207</f>
        <v>3</v>
      </c>
      <c r="F205" s="10">
        <f>'Q.6a Model 3'!$B207</f>
        <v>34.4</v>
      </c>
      <c r="H205" s="214">
        <v>3</v>
      </c>
      <c r="I205" s="214">
        <v>34.4</v>
      </c>
      <c r="K205" s="71">
        <f t="shared" si="30"/>
        <v>37.045655295365634</v>
      </c>
      <c r="L205" s="71">
        <f t="shared" si="24"/>
        <v>-2.6456552953656356</v>
      </c>
      <c r="M205" s="71">
        <f t="shared" si="25"/>
        <v>2.6456552953656356</v>
      </c>
      <c r="N205" s="175">
        <f t="shared" si="26"/>
        <v>6.9994919418962285</v>
      </c>
      <c r="O205" s="71">
        <f t="shared" si="27"/>
        <v>7.6908584167605695E-2</v>
      </c>
      <c r="P205" s="176"/>
      <c r="Q205" s="144"/>
      <c r="R205" s="175">
        <f t="shared" si="28"/>
        <v>0.33711177990533248</v>
      </c>
      <c r="S205" s="71">
        <f t="shared" si="29"/>
        <v>4.2643985288070114</v>
      </c>
    </row>
    <row r="206" spans="1:19">
      <c r="A206" s="162">
        <f>'Q.6a Model 1'!A208</f>
        <v>5</v>
      </c>
      <c r="B206" s="162">
        <f>'Q.6a Model 1'!B208</f>
        <v>31.073599999999999</v>
      </c>
      <c r="C206" s="163">
        <f>'Q.6a Model 2'!A208</f>
        <v>5.3</v>
      </c>
      <c r="D206" s="163">
        <f>'Q.6a Model 2'!B208</f>
        <v>22.9</v>
      </c>
      <c r="E206" s="10">
        <f>'Q.6a Model 3'!$A208</f>
        <v>2.5</v>
      </c>
      <c r="F206" s="10">
        <f>'Q.6a Model 3'!$B208</f>
        <v>30.2</v>
      </c>
      <c r="H206" s="214">
        <v>2.5</v>
      </c>
      <c r="I206" s="214">
        <v>30.2</v>
      </c>
      <c r="K206" s="71">
        <f t="shared" si="30"/>
        <v>39.153457619502632</v>
      </c>
      <c r="L206" s="71">
        <f t="shared" si="24"/>
        <v>-8.9534576195026325</v>
      </c>
      <c r="M206" s="71">
        <f t="shared" si="25"/>
        <v>8.9534576195026325</v>
      </c>
      <c r="N206" s="175">
        <f t="shared" si="26"/>
        <v>80.164403344229754</v>
      </c>
      <c r="O206" s="71">
        <f t="shared" si="27"/>
        <v>0.29647210660604745</v>
      </c>
      <c r="P206" s="176"/>
      <c r="Q206" s="144"/>
      <c r="R206" s="175">
        <f t="shared" si="28"/>
        <v>22.854263324620771</v>
      </c>
      <c r="S206" s="71">
        <f t="shared" si="29"/>
        <v>17.412629888956623</v>
      </c>
    </row>
    <row r="207" spans="1:19">
      <c r="A207" s="162">
        <f>'Q.6a Model 1'!A209</f>
        <v>5.3</v>
      </c>
      <c r="B207" s="162">
        <f>'Q.6a Model 1'!B209</f>
        <v>27.9</v>
      </c>
      <c r="C207" s="163">
        <f>'Q.6a Model 2'!A209</f>
        <v>5.7</v>
      </c>
      <c r="D207" s="163">
        <f>'Q.6a Model 2'!B209</f>
        <v>34.5</v>
      </c>
      <c r="E207" s="10">
        <f>'Q.6a Model 3'!$A209</f>
        <v>3.5</v>
      </c>
      <c r="F207" s="10">
        <f>'Q.6a Model 3'!$B209</f>
        <v>30.549900000000001</v>
      </c>
      <c r="H207" s="214">
        <v>3.5</v>
      </c>
      <c r="I207" s="214">
        <v>30.549900000000001</v>
      </c>
      <c r="K207" s="71">
        <f t="shared" si="30"/>
        <v>34.937852971228637</v>
      </c>
      <c r="L207" s="71">
        <f t="shared" si="24"/>
        <v>-4.3879529712286356</v>
      </c>
      <c r="M207" s="71">
        <f t="shared" si="25"/>
        <v>4.3879529712286356</v>
      </c>
      <c r="N207" s="175">
        <f t="shared" si="26"/>
        <v>19.254131277714212</v>
      </c>
      <c r="O207" s="71">
        <f t="shared" si="27"/>
        <v>0.14363231864027823</v>
      </c>
      <c r="P207" s="176"/>
      <c r="Q207" s="144"/>
      <c r="R207" s="175">
        <f t="shared" si="28"/>
        <v>19.631220161883629</v>
      </c>
      <c r="S207" s="71">
        <f t="shared" si="29"/>
        <v>1.828443932057986E-3</v>
      </c>
    </row>
    <row r="208" spans="1:19">
      <c r="A208" s="162">
        <f>'Q.6a Model 1'!A210</f>
        <v>4.5999999999999996</v>
      </c>
      <c r="B208" s="162">
        <f>'Q.6a Model 1'!B210</f>
        <v>28.0212</v>
      </c>
      <c r="C208" s="163">
        <f>'Q.6a Model 2'!A210</f>
        <v>2</v>
      </c>
      <c r="D208" s="163">
        <f>'Q.6a Model 2'!B210</f>
        <v>41.521000000000001</v>
      </c>
      <c r="E208" s="10">
        <f>'Q.6a Model 3'!$A210</f>
        <v>5</v>
      </c>
      <c r="F208" s="10">
        <f>'Q.6a Model 3'!$B210</f>
        <v>23.574300000000001</v>
      </c>
      <c r="H208" s="214">
        <v>5</v>
      </c>
      <c r="I208" s="214">
        <v>23.574300000000001</v>
      </c>
      <c r="K208" s="71">
        <f t="shared" si="30"/>
        <v>28.614445998817658</v>
      </c>
      <c r="L208" s="71">
        <f t="shared" si="24"/>
        <v>-5.0401459988176569</v>
      </c>
      <c r="M208" s="71">
        <f t="shared" si="25"/>
        <v>5.0401459988176569</v>
      </c>
      <c r="N208" s="175">
        <f t="shared" si="26"/>
        <v>25.403071689397635</v>
      </c>
      <c r="O208" s="71">
        <f t="shared" si="27"/>
        <v>0.21379833118343522</v>
      </c>
      <c r="P208" s="176"/>
      <c r="Q208" s="144"/>
      <c r="R208" s="175">
        <f t="shared" si="28"/>
        <v>130.103982621721</v>
      </c>
      <c r="S208" s="71">
        <f t="shared" si="29"/>
        <v>40.528085840954965</v>
      </c>
    </row>
    <row r="209" spans="1:19">
      <c r="A209" s="162">
        <f>'Q.6a Model 1'!A211</f>
        <v>3.5</v>
      </c>
      <c r="B209" s="162">
        <f>'Q.6a Model 1'!B211</f>
        <v>32.4</v>
      </c>
      <c r="C209" s="163">
        <f>'Q.6a Model 2'!A211</f>
        <v>2.7</v>
      </c>
      <c r="D209" s="163">
        <f>'Q.6a Model 2'!B211</f>
        <v>38.700000000000003</v>
      </c>
      <c r="E209" s="10">
        <f>'Q.6a Model 3'!$A211</f>
        <v>4</v>
      </c>
      <c r="F209" s="10">
        <f>'Q.6a Model 3'!$B211</f>
        <v>30</v>
      </c>
      <c r="H209" s="214">
        <v>4</v>
      </c>
      <c r="I209" s="214">
        <v>30</v>
      </c>
      <c r="K209" s="71">
        <f t="shared" si="30"/>
        <v>32.830050647091646</v>
      </c>
      <c r="L209" s="71">
        <f t="shared" si="24"/>
        <v>-2.830050647091646</v>
      </c>
      <c r="M209" s="71">
        <f t="shared" si="25"/>
        <v>2.830050647091646</v>
      </c>
      <c r="N209" s="175">
        <f t="shared" si="26"/>
        <v>8.0091866651038437</v>
      </c>
      <c r="O209" s="71">
        <f t="shared" si="27"/>
        <v>9.4335021569721539E-2</v>
      </c>
      <c r="P209" s="176"/>
      <c r="Q209" s="144"/>
      <c r="R209" s="175">
        <f t="shared" si="28"/>
        <v>24.806508636273879</v>
      </c>
      <c r="S209" s="71">
        <f t="shared" si="29"/>
        <v>4.6249196343317314</v>
      </c>
    </row>
    <row r="210" spans="1:19">
      <c r="A210" s="162">
        <f>'Q.6a Model 1'!A212</f>
        <v>4.5999999999999996</v>
      </c>
      <c r="B210" s="162">
        <f>'Q.6a Model 1'!B212</f>
        <v>33.799999999999997</v>
      </c>
      <c r="C210" s="163">
        <f>'Q.6a Model 2'!A212</f>
        <v>3.5</v>
      </c>
      <c r="D210" s="163">
        <f>'Q.6a Model 2'!B212</f>
        <v>35.749400000000001</v>
      </c>
      <c r="E210" s="10">
        <f>'Q.6a Model 3'!$A212</f>
        <v>3</v>
      </c>
      <c r="F210" s="10">
        <f>'Q.6a Model 3'!$B212</f>
        <v>33.629600000000003</v>
      </c>
      <c r="H210" s="214">
        <v>3</v>
      </c>
      <c r="I210" s="214">
        <v>33.629600000000003</v>
      </c>
      <c r="K210" s="71">
        <f t="shared" si="30"/>
        <v>37.045655295365634</v>
      </c>
      <c r="L210" s="71">
        <f t="shared" si="24"/>
        <v>-3.4160552953656307</v>
      </c>
      <c r="M210" s="71">
        <f t="shared" si="25"/>
        <v>3.4160552953656307</v>
      </c>
      <c r="N210" s="175">
        <f t="shared" si="26"/>
        <v>11.669433780995567</v>
      </c>
      <c r="O210" s="71">
        <f t="shared" si="27"/>
        <v>0.1015788262532302</v>
      </c>
      <c r="P210" s="176"/>
      <c r="Q210" s="144"/>
      <c r="R210" s="175">
        <f t="shared" si="28"/>
        <v>1.8252368803931238</v>
      </c>
      <c r="S210" s="71">
        <f t="shared" si="29"/>
        <v>4.2643985288070114</v>
      </c>
    </row>
    <row r="211" spans="1:19">
      <c r="A211" s="162">
        <f>'Q.6a Model 1'!A213</f>
        <v>4.5999999999999996</v>
      </c>
      <c r="B211" s="162">
        <f>'Q.6a Model 1'!B213</f>
        <v>33.305199999999999</v>
      </c>
      <c r="C211" s="163">
        <f>'Q.6a Model 2'!A213</f>
        <v>3.6</v>
      </c>
      <c r="D211" s="163">
        <f>'Q.6a Model 2'!B213</f>
        <v>37.200000000000003</v>
      </c>
      <c r="E211" s="10">
        <f>'Q.6a Model 3'!$A213</f>
        <v>6.5</v>
      </c>
      <c r="F211" s="10">
        <f>'Q.6a Model 3'!$B213</f>
        <v>17.5</v>
      </c>
      <c r="H211" s="214">
        <v>6.5</v>
      </c>
      <c r="I211" s="214">
        <v>17.5</v>
      </c>
      <c r="K211" s="71">
        <f t="shared" si="30"/>
        <v>22.291039026406676</v>
      </c>
      <c r="L211" s="71">
        <f t="shared" si="24"/>
        <v>-4.7910390264066756</v>
      </c>
      <c r="M211" s="71">
        <f t="shared" si="25"/>
        <v>4.7910390264066756</v>
      </c>
      <c r="N211" s="175">
        <f t="shared" si="26"/>
        <v>22.954054952551825</v>
      </c>
      <c r="O211" s="71">
        <f t="shared" si="27"/>
        <v>0.27377365865181003</v>
      </c>
      <c r="P211" s="176"/>
      <c r="Q211" s="144"/>
      <c r="R211" s="175">
        <f t="shared" si="28"/>
        <v>305.57184061459361</v>
      </c>
      <c r="S211" s="71">
        <f t="shared" si="29"/>
        <v>161.02529471544952</v>
      </c>
    </row>
    <row r="212" spans="1:19">
      <c r="A212" s="162">
        <f>'Q.6a Model 1'!A214</f>
        <v>2.2000000000000002</v>
      </c>
      <c r="B212" s="162">
        <f>'Q.6a Model 1'!B214</f>
        <v>46.8</v>
      </c>
      <c r="C212" s="163">
        <f>'Q.6a Model 2'!A214</f>
        <v>3.7</v>
      </c>
      <c r="D212" s="163">
        <f>'Q.6a Model 2'!B214</f>
        <v>30.5</v>
      </c>
      <c r="E212" s="10">
        <f>'Q.6a Model 3'!$A214</f>
        <v>5.5</v>
      </c>
      <c r="F212" s="10">
        <f>'Q.6a Model 3'!$B214</f>
        <v>23.2</v>
      </c>
      <c r="H212" s="214">
        <v>5.5</v>
      </c>
      <c r="I212" s="214">
        <v>23.2</v>
      </c>
      <c r="K212" s="71">
        <f t="shared" si="30"/>
        <v>26.506643674680664</v>
      </c>
      <c r="L212" s="71">
        <f t="shared" si="24"/>
        <v>-3.3066436746806644</v>
      </c>
      <c r="M212" s="71">
        <f t="shared" si="25"/>
        <v>3.3066436746806644</v>
      </c>
      <c r="N212" s="175">
        <f t="shared" si="26"/>
        <v>10.933892391305648</v>
      </c>
      <c r="O212" s="71">
        <f t="shared" si="27"/>
        <v>0.1425277445983045</v>
      </c>
      <c r="P212" s="176"/>
      <c r="Q212" s="144"/>
      <c r="R212" s="175">
        <f t="shared" si="28"/>
        <v>138.78284923247983</v>
      </c>
      <c r="S212" s="71">
        <f t="shared" si="29"/>
        <v>71.808160857178521</v>
      </c>
    </row>
    <row r="213" spans="1:19">
      <c r="A213" s="162">
        <f>'Q.6a Model 1'!A215</f>
        <v>6</v>
      </c>
      <c r="B213" s="162">
        <f>'Q.6a Model 1'!B215</f>
        <v>24.4</v>
      </c>
      <c r="C213" s="163">
        <f>'Q.6a Model 2'!A215</f>
        <v>2</v>
      </c>
      <c r="D213" s="163">
        <f>'Q.6a Model 2'!B215</f>
        <v>41.521000000000001</v>
      </c>
      <c r="E213" s="10">
        <f>'Q.6a Model 3'!$A215</f>
        <v>2.4</v>
      </c>
      <c r="F213" s="10">
        <f>'Q.6a Model 3'!$B215</f>
        <v>41.5</v>
      </c>
      <c r="H213" s="214">
        <v>2.4</v>
      </c>
      <c r="I213" s="214">
        <v>41.5</v>
      </c>
      <c r="K213" s="71">
        <f t="shared" si="30"/>
        <v>39.575018084330026</v>
      </c>
      <c r="L213" s="71">
        <f t="shared" ref="L213:L276" si="31">I213-K213</f>
        <v>1.9249819156699743</v>
      </c>
      <c r="M213" s="71">
        <f t="shared" ref="M213:M276" si="32">ABS(L213)</f>
        <v>1.9249819156699743</v>
      </c>
      <c r="N213" s="175">
        <f t="shared" ref="N213:N276" si="33">M213^2</f>
        <v>3.7055553756564441</v>
      </c>
      <c r="O213" s="71">
        <f t="shared" ref="O213:O276" si="34">M213/I213</f>
        <v>4.6385106401686131E-2</v>
      </c>
      <c r="P213" s="176"/>
      <c r="Q213" s="144"/>
      <c r="R213" s="175">
        <f t="shared" si="28"/>
        <v>42.502403216219719</v>
      </c>
      <c r="S213" s="71">
        <f t="shared" si="29"/>
        <v>21.10855551401945</v>
      </c>
    </row>
    <row r="214" spans="1:19">
      <c r="A214" s="162">
        <f>'Q.6a Model 1'!A216</f>
        <v>2.5</v>
      </c>
      <c r="B214" s="162">
        <f>'Q.6a Model 1'!B216</f>
        <v>32.910299999999999</v>
      </c>
      <c r="C214" s="163">
        <f>'Q.6a Model 2'!A216</f>
        <v>5.5</v>
      </c>
      <c r="D214" s="163">
        <f>'Q.6a Model 2'!B216</f>
        <v>32</v>
      </c>
      <c r="E214" s="10">
        <f>'Q.6a Model 3'!$A216</f>
        <v>3.7</v>
      </c>
      <c r="F214" s="10">
        <f>'Q.6a Model 3'!$B216</f>
        <v>28.7</v>
      </c>
      <c r="H214" s="214">
        <v>3.7</v>
      </c>
      <c r="I214" s="214">
        <v>28.7</v>
      </c>
      <c r="K214" s="71">
        <f t="shared" si="30"/>
        <v>34.094732041573842</v>
      </c>
      <c r="L214" s="71">
        <f t="shared" si="31"/>
        <v>-5.3947320415738425</v>
      </c>
      <c r="M214" s="71">
        <f t="shared" si="32"/>
        <v>5.3947320415738425</v>
      </c>
      <c r="N214" s="175">
        <f t="shared" si="33"/>
        <v>29.103133800383478</v>
      </c>
      <c r="O214" s="71">
        <f t="shared" si="34"/>
        <v>0.18796975754612691</v>
      </c>
      <c r="P214" s="176"/>
      <c r="Q214" s="144"/>
      <c r="R214" s="175">
        <f t="shared" si="28"/>
        <v>39.446103162019142</v>
      </c>
      <c r="S214" s="71">
        <f t="shared" si="29"/>
        <v>0.78478556705897329</v>
      </c>
    </row>
    <row r="215" spans="1:19">
      <c r="A215" s="162">
        <f>'Q.6a Model 1'!A217</f>
        <v>3.5</v>
      </c>
      <c r="B215" s="162">
        <f>'Q.6a Model 1'!B217</f>
        <v>36.4</v>
      </c>
      <c r="C215" s="163">
        <f>'Q.6a Model 2'!A217</f>
        <v>6.1</v>
      </c>
      <c r="D215" s="163">
        <f>'Q.6a Model 2'!B217</f>
        <v>30.1</v>
      </c>
      <c r="E215" s="10">
        <f>'Q.6a Model 3'!$A217</f>
        <v>3</v>
      </c>
      <c r="F215" s="10">
        <f>'Q.6a Model 3'!$B217</f>
        <v>33.1</v>
      </c>
      <c r="H215" s="214">
        <v>3</v>
      </c>
      <c r="I215" s="214">
        <v>33.1</v>
      </c>
      <c r="K215" s="71">
        <f t="shared" si="30"/>
        <v>37.045655295365634</v>
      </c>
      <c r="L215" s="71">
        <f t="shared" si="31"/>
        <v>-3.9456552953656328</v>
      </c>
      <c r="M215" s="71">
        <f t="shared" si="32"/>
        <v>3.9456552953656328</v>
      </c>
      <c r="N215" s="175">
        <f t="shared" si="33"/>
        <v>15.568195709846858</v>
      </c>
      <c r="O215" s="71">
        <f t="shared" si="34"/>
        <v>0.11920408747328196</v>
      </c>
      <c r="P215" s="176"/>
      <c r="Q215" s="144"/>
      <c r="R215" s="175">
        <f t="shared" si="28"/>
        <v>3.5367063056505788</v>
      </c>
      <c r="S215" s="71">
        <f t="shared" si="29"/>
        <v>4.2643985288070114</v>
      </c>
    </row>
    <row r="216" spans="1:19">
      <c r="A216" s="162">
        <f>'Q.6a Model 1'!A218</f>
        <v>4</v>
      </c>
      <c r="B216" s="162">
        <f>'Q.6a Model 1'!B218</f>
        <v>27.9711</v>
      </c>
      <c r="C216" s="163">
        <f>'Q.6a Model 2'!A218</f>
        <v>2.4</v>
      </c>
      <c r="D216" s="163">
        <f>'Q.6a Model 2'!B218</f>
        <v>39.204099999999997</v>
      </c>
      <c r="E216" s="10">
        <f>'Q.6a Model 3'!$A218</f>
        <v>2.5</v>
      </c>
      <c r="F216" s="10">
        <f>'Q.6a Model 3'!$B218</f>
        <v>37.799999999999997</v>
      </c>
      <c r="H216" s="214">
        <v>2.5</v>
      </c>
      <c r="I216" s="214">
        <v>37.799999999999997</v>
      </c>
      <c r="K216" s="71">
        <f t="shared" si="30"/>
        <v>39.153457619502632</v>
      </c>
      <c r="L216" s="71">
        <f t="shared" si="31"/>
        <v>-1.3534576195026347</v>
      </c>
      <c r="M216" s="71">
        <f t="shared" si="32"/>
        <v>1.3534576195026347</v>
      </c>
      <c r="N216" s="175">
        <f t="shared" si="33"/>
        <v>1.8318475277897386</v>
      </c>
      <c r="O216" s="71">
        <f t="shared" si="34"/>
        <v>3.5805757129699335E-2</v>
      </c>
      <c r="P216" s="176"/>
      <c r="Q216" s="144"/>
      <c r="R216" s="175">
        <f t="shared" si="28"/>
        <v>7.9489414818023443</v>
      </c>
      <c r="S216" s="71">
        <f t="shared" si="29"/>
        <v>17.412629888956623</v>
      </c>
    </row>
    <row r="217" spans="1:19">
      <c r="A217" s="162">
        <f>'Q.6a Model 1'!A219</f>
        <v>2</v>
      </c>
      <c r="B217" s="162">
        <f>'Q.6a Model 1'!B219</f>
        <v>43.541400000000003</v>
      </c>
      <c r="C217" s="163">
        <f>'Q.6a Model 2'!A219</f>
        <v>4.8</v>
      </c>
      <c r="D217" s="163">
        <f>'Q.6a Model 2'!B219</f>
        <v>25.7761</v>
      </c>
      <c r="E217" s="10">
        <f>'Q.6a Model 3'!$A219</f>
        <v>3.5</v>
      </c>
      <c r="F217" s="10">
        <f>'Q.6a Model 3'!$B219</f>
        <v>40.299999999999997</v>
      </c>
      <c r="H217" s="214">
        <v>3.5</v>
      </c>
      <c r="I217" s="214">
        <v>40.299999999999997</v>
      </c>
      <c r="K217" s="71">
        <f t="shared" si="30"/>
        <v>34.937852971228637</v>
      </c>
      <c r="L217" s="71">
        <f t="shared" si="31"/>
        <v>5.3621470287713606</v>
      </c>
      <c r="M217" s="71">
        <f t="shared" si="32"/>
        <v>5.3621470287713606</v>
      </c>
      <c r="N217" s="175">
        <f t="shared" si="33"/>
        <v>28.75262075816153</v>
      </c>
      <c r="O217" s="71">
        <f t="shared" si="34"/>
        <v>0.1330557575377509</v>
      </c>
      <c r="P217" s="176"/>
      <c r="Q217" s="144"/>
      <c r="R217" s="175">
        <f t="shared" si="28"/>
        <v>28.295875086138381</v>
      </c>
      <c r="S217" s="71">
        <f t="shared" si="29"/>
        <v>1.828443932057986E-3</v>
      </c>
    </row>
    <row r="218" spans="1:19">
      <c r="A218" s="162">
        <f>'Q.6a Model 1'!A220</f>
        <v>5.4</v>
      </c>
      <c r="B218" s="162">
        <f>'Q.6a Model 1'!B220</f>
        <v>20.7</v>
      </c>
      <c r="C218" s="163">
        <f>'Q.6a Model 2'!A220</f>
        <v>2.2000000000000002</v>
      </c>
      <c r="D218" s="163">
        <f>'Q.6a Model 2'!B220</f>
        <v>51.9</v>
      </c>
      <c r="E218" s="10">
        <f>'Q.6a Model 3'!$A220</f>
        <v>3.6</v>
      </c>
      <c r="F218" s="10">
        <f>'Q.6a Model 3'!$B220</f>
        <v>31.6</v>
      </c>
      <c r="H218" s="214">
        <v>3.6</v>
      </c>
      <c r="I218" s="214">
        <v>31.6</v>
      </c>
      <c r="K218" s="71">
        <f t="shared" si="30"/>
        <v>34.516292506401243</v>
      </c>
      <c r="L218" s="71">
        <f t="shared" si="31"/>
        <v>-2.9162925064012413</v>
      </c>
      <c r="M218" s="71">
        <f t="shared" si="32"/>
        <v>2.9162925064012413</v>
      </c>
      <c r="N218" s="175">
        <f t="shared" si="33"/>
        <v>8.5047619828920347</v>
      </c>
      <c r="O218" s="71">
        <f t="shared" si="34"/>
        <v>9.2287737544343079E-2</v>
      </c>
      <c r="P218" s="176"/>
      <c r="Q218" s="144"/>
      <c r="R218" s="175">
        <f t="shared" si="28"/>
        <v>11.428546143048944</v>
      </c>
      <c r="S218" s="71">
        <f t="shared" si="29"/>
        <v>0.21559377999002097</v>
      </c>
    </row>
    <row r="219" spans="1:19">
      <c r="A219" s="162">
        <f>'Q.6a Model 1'!A221</f>
        <v>2.7</v>
      </c>
      <c r="B219" s="162">
        <f>'Q.6a Model 1'!B221</f>
        <v>31.3</v>
      </c>
      <c r="C219" s="163">
        <f>'Q.6a Model 2'!A221</f>
        <v>2.2000000000000002</v>
      </c>
      <c r="D219" s="163">
        <f>'Q.6a Model 2'!B221</f>
        <v>51.9</v>
      </c>
      <c r="E219" s="10">
        <f>'Q.6a Model 3'!$A221</f>
        <v>2.4</v>
      </c>
      <c r="F219" s="10">
        <f>'Q.6a Model 3'!$B221</f>
        <v>41.9</v>
      </c>
      <c r="H219" s="214">
        <v>2.4</v>
      </c>
      <c r="I219" s="214">
        <v>41.9</v>
      </c>
      <c r="K219" s="71">
        <f t="shared" si="30"/>
        <v>39.575018084330026</v>
      </c>
      <c r="L219" s="71">
        <f t="shared" si="31"/>
        <v>2.3249819156699729</v>
      </c>
      <c r="M219" s="71">
        <f t="shared" si="32"/>
        <v>2.3249819156699729</v>
      </c>
      <c r="N219" s="175">
        <f t="shared" si="33"/>
        <v>5.4055409081924175</v>
      </c>
      <c r="O219" s="71">
        <f t="shared" si="34"/>
        <v>5.5488828536276208E-2</v>
      </c>
      <c r="P219" s="176"/>
      <c r="Q219" s="144"/>
      <c r="R219" s="175">
        <f t="shared" si="28"/>
        <v>47.877912592913468</v>
      </c>
      <c r="S219" s="71">
        <f t="shared" si="29"/>
        <v>21.10855551401945</v>
      </c>
    </row>
    <row r="220" spans="1:19">
      <c r="A220" s="162">
        <f>'Q.6a Model 1'!A222</f>
        <v>3</v>
      </c>
      <c r="B220" s="162">
        <f>'Q.6a Model 1'!B222</f>
        <v>29.789200000000001</v>
      </c>
      <c r="C220" s="163">
        <f>'Q.6a Model 2'!A222</f>
        <v>4.5999999999999996</v>
      </c>
      <c r="D220" s="163">
        <f>'Q.6a Model 2'!B222</f>
        <v>25.229800000000001</v>
      </c>
      <c r="E220" s="10">
        <f>'Q.6a Model 3'!$A222</f>
        <v>2.5</v>
      </c>
      <c r="F220" s="10">
        <f>'Q.6a Model 3'!$B222</f>
        <v>31.7</v>
      </c>
      <c r="H220" s="214">
        <v>2.5</v>
      </c>
      <c r="I220" s="214">
        <v>31.7</v>
      </c>
      <c r="K220" s="71">
        <f t="shared" si="30"/>
        <v>39.153457619502632</v>
      </c>
      <c r="L220" s="71">
        <f t="shared" si="31"/>
        <v>-7.4534576195026325</v>
      </c>
      <c r="M220" s="71">
        <f t="shared" si="32"/>
        <v>7.4534576195026325</v>
      </c>
      <c r="N220" s="175">
        <f t="shared" si="33"/>
        <v>55.554030485721853</v>
      </c>
      <c r="O220" s="71">
        <f t="shared" si="34"/>
        <v>0.23512484604109252</v>
      </c>
      <c r="P220" s="176"/>
      <c r="Q220" s="144"/>
      <c r="R220" s="175">
        <f t="shared" si="28"/>
        <v>10.762423487222399</v>
      </c>
      <c r="S220" s="71">
        <f t="shared" si="29"/>
        <v>17.412629888956623</v>
      </c>
    </row>
    <row r="221" spans="1:19">
      <c r="A221" s="162">
        <f>'Q.6a Model 1'!A223</f>
        <v>2.9</v>
      </c>
      <c r="B221" s="162">
        <f>'Q.6a Model 1'!B223</f>
        <v>35.5</v>
      </c>
      <c r="C221" s="163">
        <f>'Q.6a Model 2'!A223</f>
        <v>3.5</v>
      </c>
      <c r="D221" s="163">
        <f>'Q.6a Model 2'!B223</f>
        <v>29.2</v>
      </c>
      <c r="E221" s="10">
        <f>'Q.6a Model 3'!$A223</f>
        <v>3.5</v>
      </c>
      <c r="F221" s="10">
        <f>'Q.6a Model 3'!$B223</f>
        <v>38.719299999999997</v>
      </c>
      <c r="H221" s="214">
        <v>3.5</v>
      </c>
      <c r="I221" s="214">
        <v>38.719299999999997</v>
      </c>
      <c r="K221" s="71">
        <f t="shared" si="30"/>
        <v>34.937852971228637</v>
      </c>
      <c r="L221" s="71">
        <f t="shared" si="31"/>
        <v>3.7814470287713604</v>
      </c>
      <c r="M221" s="71">
        <f t="shared" si="32"/>
        <v>3.7814470287713604</v>
      </c>
      <c r="N221" s="175">
        <f t="shared" si="33"/>
        <v>14.299341631403751</v>
      </c>
      <c r="O221" s="71">
        <f t="shared" si="34"/>
        <v>9.7663104156618552E-2</v>
      </c>
      <c r="P221" s="176"/>
      <c r="Q221" s="144"/>
      <c r="R221" s="175">
        <f t="shared" si="28"/>
        <v>13.977778396788791</v>
      </c>
      <c r="S221" s="71">
        <f t="shared" si="29"/>
        <v>1.828443932057986E-3</v>
      </c>
    </row>
    <row r="222" spans="1:19">
      <c r="A222" s="162">
        <f>'Q.6a Model 1'!A224</f>
        <v>3.6</v>
      </c>
      <c r="B222" s="162">
        <f>'Q.6a Model 1'!B224</f>
        <v>34.270800000000001</v>
      </c>
      <c r="C222" s="163">
        <f>'Q.6a Model 2'!A224</f>
        <v>5.3</v>
      </c>
      <c r="D222" s="163">
        <f>'Q.6a Model 2'!B224</f>
        <v>30.4</v>
      </c>
      <c r="E222" s="10">
        <f>'Q.6a Model 3'!$A224</f>
        <v>2.5</v>
      </c>
      <c r="F222" s="10">
        <f>'Q.6a Model 3'!$B224</f>
        <v>40.193100000000001</v>
      </c>
      <c r="H222" s="214">
        <v>2.5</v>
      </c>
      <c r="I222" s="214">
        <v>40.193100000000001</v>
      </c>
      <c r="K222" s="71">
        <f t="shared" si="30"/>
        <v>39.153457619502632</v>
      </c>
      <c r="L222" s="71">
        <f t="shared" si="31"/>
        <v>1.0396423804973693</v>
      </c>
      <c r="M222" s="71">
        <f t="shared" si="32"/>
        <v>1.0396423804973693</v>
      </c>
      <c r="N222" s="175">
        <f t="shared" si="33"/>
        <v>1.0808562793262368</v>
      </c>
      <c r="O222" s="71">
        <f t="shared" si="34"/>
        <v>2.586619047790216E-2</v>
      </c>
      <c r="P222" s="176"/>
      <c r="Q222" s="144"/>
      <c r="R222" s="175">
        <f t="shared" si="28"/>
        <v>27.170017815217015</v>
      </c>
      <c r="S222" s="71">
        <f t="shared" si="29"/>
        <v>17.412629888956623</v>
      </c>
    </row>
    <row r="223" spans="1:19">
      <c r="A223" s="162">
        <f>'Q.6a Model 1'!A225</f>
        <v>2</v>
      </c>
      <c r="B223" s="162">
        <f>'Q.6a Model 1'!B225</f>
        <v>42.774299999999997</v>
      </c>
      <c r="C223" s="163">
        <f>'Q.6a Model 2'!A225</f>
        <v>2</v>
      </c>
      <c r="D223" s="163">
        <f>'Q.6a Model 2'!B225</f>
        <v>60.1</v>
      </c>
      <c r="E223" s="10">
        <f>'Q.6a Model 3'!$A225</f>
        <v>3.5</v>
      </c>
      <c r="F223" s="10">
        <f>'Q.6a Model 3'!$B225</f>
        <v>34.700000000000003</v>
      </c>
      <c r="H223" s="214">
        <v>3.5</v>
      </c>
      <c r="I223" s="214">
        <v>34.700000000000003</v>
      </c>
      <c r="K223" s="71">
        <f t="shared" si="30"/>
        <v>34.937852971228637</v>
      </c>
      <c r="L223" s="71">
        <f t="shared" si="31"/>
        <v>-0.23785297122863369</v>
      </c>
      <c r="M223" s="71">
        <f t="shared" si="32"/>
        <v>0.23785297122863369</v>
      </c>
      <c r="N223" s="175">
        <f t="shared" si="33"/>
        <v>5.6574035922289247E-2</v>
      </c>
      <c r="O223" s="71">
        <f t="shared" si="34"/>
        <v>6.854552484975034E-3</v>
      </c>
      <c r="P223" s="176"/>
      <c r="Q223" s="144"/>
      <c r="R223" s="175">
        <f t="shared" si="28"/>
        <v>7.8743812425655368E-2</v>
      </c>
      <c r="S223" s="71">
        <f t="shared" si="29"/>
        <v>1.828443932057986E-3</v>
      </c>
    </row>
    <row r="224" spans="1:19">
      <c r="A224" s="162">
        <f>'Q.6a Model 1'!A226</f>
        <v>6.2</v>
      </c>
      <c r="B224" s="162">
        <f>'Q.6a Model 1'!B226</f>
        <v>28.4</v>
      </c>
      <c r="C224" s="163">
        <f>'Q.6a Model 2'!A226</f>
        <v>3.6</v>
      </c>
      <c r="D224" s="163">
        <f>'Q.6a Model 2'!B226</f>
        <v>34.270800000000001</v>
      </c>
      <c r="E224" s="10">
        <f>'Q.6a Model 3'!$A226</f>
        <v>4.4000000000000004</v>
      </c>
      <c r="F224" s="10">
        <f>'Q.6a Model 3'!$B226</f>
        <v>30.172599999999999</v>
      </c>
      <c r="H224" s="214">
        <v>4.4000000000000004</v>
      </c>
      <c r="I224" s="214">
        <v>30.172599999999999</v>
      </c>
      <c r="K224" s="71">
        <f t="shared" si="30"/>
        <v>31.143808787782049</v>
      </c>
      <c r="L224" s="71">
        <f t="shared" si="31"/>
        <v>-0.97120878778205011</v>
      </c>
      <c r="M224" s="71">
        <f t="shared" si="32"/>
        <v>0.97120878778205011</v>
      </c>
      <c r="N224" s="175">
        <f t="shared" si="33"/>
        <v>0.94324650946507926</v>
      </c>
      <c r="O224" s="71">
        <f t="shared" si="34"/>
        <v>3.2188435460717674E-2</v>
      </c>
      <c r="P224" s="176"/>
      <c r="Q224" s="144"/>
      <c r="R224" s="175">
        <f t="shared" si="28"/>
        <v>23.116991692317249</v>
      </c>
      <c r="S224" s="71">
        <f t="shared" si="29"/>
        <v>14.721068704849214</v>
      </c>
    </row>
    <row r="225" spans="1:19">
      <c r="A225" s="162">
        <f>'Q.6a Model 1'!A227</f>
        <v>1</v>
      </c>
      <c r="B225" s="162">
        <f>'Q.6a Model 1'!B227</f>
        <v>57.8</v>
      </c>
      <c r="C225" s="163">
        <f>'Q.6a Model 2'!A227</f>
        <v>4</v>
      </c>
      <c r="D225" s="163">
        <f>'Q.6a Model 2'!B227</f>
        <v>30.9375</v>
      </c>
      <c r="E225" s="10">
        <f>'Q.6a Model 3'!$A227</f>
        <v>4</v>
      </c>
      <c r="F225" s="10">
        <f>'Q.6a Model 3'!$B227</f>
        <v>28.5</v>
      </c>
      <c r="H225" s="214">
        <v>4</v>
      </c>
      <c r="I225" s="214">
        <v>28.5</v>
      </c>
      <c r="K225" s="71">
        <f t="shared" si="30"/>
        <v>32.830050647091646</v>
      </c>
      <c r="L225" s="71">
        <f t="shared" si="31"/>
        <v>-4.330050647091646</v>
      </c>
      <c r="M225" s="71">
        <f t="shared" si="32"/>
        <v>4.330050647091646</v>
      </c>
      <c r="N225" s="175">
        <f t="shared" si="33"/>
        <v>18.749338606378782</v>
      </c>
      <c r="O225" s="71">
        <f t="shared" si="34"/>
        <v>0.15193160165233846</v>
      </c>
      <c r="P225" s="176"/>
      <c r="Q225" s="144"/>
      <c r="R225" s="175">
        <f t="shared" si="28"/>
        <v>41.998348473672252</v>
      </c>
      <c r="S225" s="71">
        <f t="shared" si="29"/>
        <v>4.6249196343317314</v>
      </c>
    </row>
    <row r="226" spans="1:19">
      <c r="A226" s="162">
        <f>'Q.6a Model 1'!A228</f>
        <v>2</v>
      </c>
      <c r="B226" s="162">
        <f>'Q.6a Model 1'!B228</f>
        <v>43.1</v>
      </c>
      <c r="C226" s="163">
        <f>'Q.6a Model 2'!A228</f>
        <v>2.7</v>
      </c>
      <c r="D226" s="163">
        <f>'Q.6a Model 2'!B228</f>
        <v>31.7</v>
      </c>
      <c r="E226" s="10">
        <f>'Q.6a Model 3'!$A228</f>
        <v>2</v>
      </c>
      <c r="F226" s="10">
        <f>'Q.6a Model 3'!$B228</f>
        <v>60.1</v>
      </c>
      <c r="H226" s="214">
        <v>2</v>
      </c>
      <c r="I226" s="214">
        <v>60.1</v>
      </c>
      <c r="K226" s="71">
        <f t="shared" si="30"/>
        <v>41.261259943639622</v>
      </c>
      <c r="L226" s="71">
        <f t="shared" si="31"/>
        <v>18.838740056360379</v>
      </c>
      <c r="M226" s="71">
        <f t="shared" si="32"/>
        <v>18.838740056360379</v>
      </c>
      <c r="N226" s="175">
        <f t="shared" si="33"/>
        <v>354.89812691111706</v>
      </c>
      <c r="O226" s="71">
        <f t="shared" si="34"/>
        <v>0.31345657331714438</v>
      </c>
      <c r="P226" s="176"/>
      <c r="Q226" s="144"/>
      <c r="R226" s="175">
        <f t="shared" si="28"/>
        <v>630.98358923247997</v>
      </c>
      <c r="S226" s="71">
        <f t="shared" si="29"/>
        <v>39.446522524380804</v>
      </c>
    </row>
    <row r="227" spans="1:19">
      <c r="A227" s="162">
        <f>'Q.6a Model 1'!A229</f>
        <v>3.5</v>
      </c>
      <c r="B227" s="162">
        <f>'Q.6a Model 1'!B229</f>
        <v>41.2</v>
      </c>
      <c r="C227" s="163">
        <f>'Q.6a Model 2'!A229</f>
        <v>2.4</v>
      </c>
      <c r="D227" s="163">
        <f>'Q.6a Model 2'!B229</f>
        <v>34.700000000000003</v>
      </c>
      <c r="E227" s="10">
        <f>'Q.6a Model 3'!$A229</f>
        <v>5</v>
      </c>
      <c r="F227" s="10">
        <f>'Q.6a Model 3'!$B229</f>
        <v>32.088799999999999</v>
      </c>
      <c r="H227" s="214">
        <v>5</v>
      </c>
      <c r="I227" s="214">
        <v>32.088799999999999</v>
      </c>
      <c r="K227" s="71">
        <f t="shared" si="30"/>
        <v>28.614445998817658</v>
      </c>
      <c r="L227" s="71">
        <f t="shared" si="31"/>
        <v>3.4743540011823413</v>
      </c>
      <c r="M227" s="71">
        <f t="shared" si="32"/>
        <v>3.4743540011823413</v>
      </c>
      <c r="N227" s="175">
        <f t="shared" si="33"/>
        <v>12.071135725531745</v>
      </c>
      <c r="O227" s="71">
        <f t="shared" si="34"/>
        <v>0.10827310467148479</v>
      </c>
      <c r="P227" s="176"/>
      <c r="Q227" s="144"/>
      <c r="R227" s="175">
        <f t="shared" si="28"/>
        <v>8.3625840413687431</v>
      </c>
      <c r="S227" s="71">
        <f t="shared" si="29"/>
        <v>40.528085840954965</v>
      </c>
    </row>
    <row r="228" spans="1:19">
      <c r="A228" s="162">
        <f>'Q.6a Model 1'!A230</f>
        <v>3.2</v>
      </c>
      <c r="B228" s="162">
        <f>'Q.6a Model 1'!B230</f>
        <v>30.492599999999999</v>
      </c>
      <c r="C228" s="163">
        <f>'Q.6a Model 2'!A230</f>
        <v>3.5</v>
      </c>
      <c r="D228" s="163">
        <f>'Q.6a Model 2'!B230</f>
        <v>34.792700000000004</v>
      </c>
      <c r="E228" s="10">
        <f>'Q.6a Model 3'!$A230</f>
        <v>1.6</v>
      </c>
      <c r="F228" s="10">
        <f>'Q.6a Model 3'!$B230</f>
        <v>50.820500000000003</v>
      </c>
      <c r="H228" s="214">
        <v>1.6</v>
      </c>
      <c r="I228" s="214">
        <v>50.820500000000003</v>
      </c>
      <c r="K228" s="71">
        <f t="shared" si="30"/>
        <v>42.947501802949219</v>
      </c>
      <c r="L228" s="71">
        <f t="shared" si="31"/>
        <v>7.8729981970507836</v>
      </c>
      <c r="M228" s="71">
        <f t="shared" si="32"/>
        <v>7.8729981970507836</v>
      </c>
      <c r="N228" s="175">
        <f t="shared" si="33"/>
        <v>61.984100610764891</v>
      </c>
      <c r="O228" s="71">
        <f t="shared" si="34"/>
        <v>0.15491776344291738</v>
      </c>
      <c r="P228" s="176"/>
      <c r="Q228" s="144"/>
      <c r="R228" s="175">
        <f t="shared" si="28"/>
        <v>250.90201132990546</v>
      </c>
      <c r="S228" s="71">
        <f t="shared" si="29"/>
        <v>63.471312750917924</v>
      </c>
    </row>
    <row r="229" spans="1:19">
      <c r="A229" s="162">
        <f>'Q.6a Model 1'!A231</f>
        <v>3.5</v>
      </c>
      <c r="B229" s="162">
        <f>'Q.6a Model 1'!B231</f>
        <v>32.1</v>
      </c>
      <c r="C229" s="163">
        <f>'Q.6a Model 2'!A231</f>
        <v>2</v>
      </c>
      <c r="D229" s="163">
        <f>'Q.6a Model 2'!B231</f>
        <v>42.8</v>
      </c>
      <c r="E229" s="10">
        <f>'Q.6a Model 3'!$A231</f>
        <v>3</v>
      </c>
      <c r="F229" s="10">
        <f>'Q.6a Model 3'!$B231</f>
        <v>39.493699999999997</v>
      </c>
      <c r="H229" s="214">
        <v>3</v>
      </c>
      <c r="I229" s="214">
        <v>39.493699999999997</v>
      </c>
      <c r="K229" s="71">
        <f t="shared" si="30"/>
        <v>37.045655295365634</v>
      </c>
      <c r="L229" s="71">
        <f t="shared" si="31"/>
        <v>2.4480447046343627</v>
      </c>
      <c r="M229" s="71">
        <f t="shared" si="32"/>
        <v>2.4480447046343627</v>
      </c>
      <c r="N229" s="175">
        <f t="shared" si="33"/>
        <v>5.9929228758883442</v>
      </c>
      <c r="O229" s="71">
        <f t="shared" si="34"/>
        <v>6.1985701634295162E-2</v>
      </c>
      <c r="P229" s="176"/>
      <c r="Q229" s="144"/>
      <c r="R229" s="175">
        <f t="shared" si="28"/>
        <v>20.36795175006792</v>
      </c>
      <c r="S229" s="71">
        <f t="shared" si="29"/>
        <v>4.2643985288070114</v>
      </c>
    </row>
    <row r="230" spans="1:19">
      <c r="A230" s="162">
        <f>'Q.6a Model 1'!A232</f>
        <v>2</v>
      </c>
      <c r="B230" s="162">
        <f>'Q.6a Model 1'!B232</f>
        <v>42.575000000000003</v>
      </c>
      <c r="C230" s="163">
        <f>'Q.6a Model 2'!A232</f>
        <v>2</v>
      </c>
      <c r="D230" s="163">
        <f>'Q.6a Model 2'!B232</f>
        <v>37.798900000000003</v>
      </c>
      <c r="E230" s="10">
        <f>'Q.6a Model 3'!$A232</f>
        <v>3.5</v>
      </c>
      <c r="F230" s="10">
        <f>'Q.6a Model 3'!$B232</f>
        <v>34.9</v>
      </c>
      <c r="H230" s="214">
        <v>3.5</v>
      </c>
      <c r="I230" s="214">
        <v>34.9</v>
      </c>
      <c r="K230" s="71">
        <f t="shared" si="30"/>
        <v>34.937852971228637</v>
      </c>
      <c r="L230" s="71">
        <f t="shared" si="31"/>
        <v>-3.7852971228637955E-2</v>
      </c>
      <c r="M230" s="71">
        <f t="shared" si="32"/>
        <v>3.7852971228637955E-2</v>
      </c>
      <c r="N230" s="175">
        <f t="shared" si="33"/>
        <v>1.4328474308360928E-3</v>
      </c>
      <c r="O230" s="71">
        <f t="shared" si="34"/>
        <v>1.0846123561214314E-3</v>
      </c>
      <c r="P230" s="176"/>
      <c r="Q230" s="144"/>
      <c r="R230" s="175">
        <f t="shared" si="28"/>
        <v>6.4985007725413008E-3</v>
      </c>
      <c r="S230" s="71">
        <f t="shared" si="29"/>
        <v>1.828443932057986E-3</v>
      </c>
    </row>
    <row r="231" spans="1:19">
      <c r="A231" s="162">
        <f>'Q.6a Model 1'!A233</f>
        <v>3.5</v>
      </c>
      <c r="B231" s="162">
        <f>'Q.6a Model 1'!B233</f>
        <v>33.1</v>
      </c>
      <c r="C231" s="163">
        <f>'Q.6a Model 2'!A233</f>
        <v>4</v>
      </c>
      <c r="D231" s="163">
        <f>'Q.6a Model 2'!B233</f>
        <v>28.4</v>
      </c>
      <c r="E231" s="10">
        <f>'Q.6a Model 3'!$A233</f>
        <v>6</v>
      </c>
      <c r="F231" s="10">
        <f>'Q.6a Model 3'!$B233</f>
        <v>23.2715</v>
      </c>
      <c r="H231" s="214">
        <v>6</v>
      </c>
      <c r="I231" s="214">
        <v>23.2715</v>
      </c>
      <c r="K231" s="71">
        <f t="shared" si="30"/>
        <v>24.39884135054367</v>
      </c>
      <c r="L231" s="71">
        <f t="shared" si="31"/>
        <v>-1.12734135054367</v>
      </c>
      <c r="M231" s="71">
        <f t="shared" si="32"/>
        <v>1.12734135054367</v>
      </c>
      <c r="N231" s="175">
        <f t="shared" si="33"/>
        <v>1.2708985206456258</v>
      </c>
      <c r="O231" s="71">
        <f t="shared" si="34"/>
        <v>4.8443003267673763E-2</v>
      </c>
      <c r="P231" s="176"/>
      <c r="Q231" s="144"/>
      <c r="R231" s="175">
        <f t="shared" si="28"/>
        <v>137.10333378356384</v>
      </c>
      <c r="S231" s="71">
        <f t="shared" si="29"/>
        <v>111.97389714867671</v>
      </c>
    </row>
    <row r="232" spans="1:19">
      <c r="A232" s="162">
        <f>'Q.6a Model 1'!A234</f>
        <v>2.5</v>
      </c>
      <c r="B232" s="162">
        <f>'Q.6a Model 1'!B234</f>
        <v>36.290100000000002</v>
      </c>
      <c r="C232" s="163">
        <f>'Q.6a Model 2'!A234</f>
        <v>3.5</v>
      </c>
      <c r="D232" s="163">
        <f>'Q.6a Model 2'!B234</f>
        <v>35.5</v>
      </c>
      <c r="E232" s="10">
        <f>'Q.6a Model 3'!$A234</f>
        <v>2.7</v>
      </c>
      <c r="F232" s="10">
        <f>'Q.6a Model 3'!$B234</f>
        <v>36.146299999999997</v>
      </c>
      <c r="H232" s="214">
        <v>2.7</v>
      </c>
      <c r="I232" s="214">
        <v>36.146299999999997</v>
      </c>
      <c r="K232" s="71">
        <f t="shared" si="30"/>
        <v>38.31033668984783</v>
      </c>
      <c r="L232" s="71">
        <f t="shared" si="31"/>
        <v>-2.1640366898478334</v>
      </c>
      <c r="M232" s="71">
        <f t="shared" si="32"/>
        <v>2.1640366898478334</v>
      </c>
      <c r="N232" s="175">
        <f t="shared" si="33"/>
        <v>4.6830547950075676</v>
      </c>
      <c r="O232" s="71">
        <f t="shared" si="34"/>
        <v>5.9868830000521039E-2</v>
      </c>
      <c r="P232" s="176"/>
      <c r="Q232" s="144"/>
      <c r="R232" s="175">
        <f t="shared" si="28"/>
        <v>1.3588255312061412</v>
      </c>
      <c r="S232" s="71">
        <f t="shared" si="29"/>
        <v>11.0870579918638</v>
      </c>
    </row>
    <row r="233" spans="1:19">
      <c r="A233" s="162">
        <f>'Q.6a Model 1'!A235</f>
        <v>2</v>
      </c>
      <c r="B233" s="162">
        <f>'Q.6a Model 1'!B235</f>
        <v>46.438699999999997</v>
      </c>
      <c r="C233" s="163">
        <f>'Q.6a Model 2'!A235</f>
        <v>3.2</v>
      </c>
      <c r="D233" s="163">
        <f>'Q.6a Model 2'!B235</f>
        <v>30.492599999999999</v>
      </c>
      <c r="E233" s="10">
        <f>'Q.6a Model 3'!$A235</f>
        <v>5.4</v>
      </c>
      <c r="F233" s="10">
        <f>'Q.6a Model 3'!$B235</f>
        <v>27</v>
      </c>
      <c r="H233" s="214">
        <v>5.4</v>
      </c>
      <c r="I233" s="214">
        <v>27</v>
      </c>
      <c r="K233" s="71">
        <f t="shared" si="30"/>
        <v>26.928204139508061</v>
      </c>
      <c r="L233" s="71">
        <f t="shared" si="31"/>
        <v>7.1795860491938868E-2</v>
      </c>
      <c r="M233" s="71">
        <f t="shared" si="32"/>
        <v>7.1795860491938868E-2</v>
      </c>
      <c r="N233" s="175">
        <f t="shared" si="33"/>
        <v>5.1546455837779481E-3</v>
      </c>
      <c r="O233" s="71">
        <f t="shared" si="34"/>
        <v>2.659105944145884E-3</v>
      </c>
      <c r="P233" s="176"/>
      <c r="Q233" s="144"/>
      <c r="R233" s="175">
        <f t="shared" si="28"/>
        <v>63.690188311070621</v>
      </c>
      <c r="S233" s="71">
        <f t="shared" si="29"/>
        <v>64.841292951911868</v>
      </c>
    </row>
    <row r="234" spans="1:19">
      <c r="A234" s="162">
        <f>'Q.6a Model 1'!A236</f>
        <v>5.7</v>
      </c>
      <c r="B234" s="162">
        <f>'Q.6a Model 1'!B236</f>
        <v>24.749099999999999</v>
      </c>
      <c r="C234" s="163">
        <f>'Q.6a Model 2'!A236</f>
        <v>4</v>
      </c>
      <c r="D234" s="163">
        <f>'Q.6a Model 2'!B236</f>
        <v>27.8</v>
      </c>
      <c r="E234" s="10">
        <f>'Q.6a Model 3'!$A236</f>
        <v>3.8</v>
      </c>
      <c r="F234" s="10">
        <f>'Q.6a Model 3'!$B236</f>
        <v>26.563199999999998</v>
      </c>
      <c r="H234" s="214">
        <v>3.8</v>
      </c>
      <c r="I234" s="214">
        <v>26.563199999999998</v>
      </c>
      <c r="K234" s="71">
        <f t="shared" si="30"/>
        <v>33.673171576746441</v>
      </c>
      <c r="L234" s="71">
        <f t="shared" si="31"/>
        <v>-7.1099715767464424</v>
      </c>
      <c r="M234" s="71">
        <f t="shared" si="32"/>
        <v>7.1099715767464424</v>
      </c>
      <c r="N234" s="175">
        <f t="shared" si="33"/>
        <v>50.551695822142293</v>
      </c>
      <c r="O234" s="71">
        <f t="shared" si="34"/>
        <v>0.26766246449021364</v>
      </c>
      <c r="P234" s="176"/>
      <c r="Q234" s="144"/>
      <c r="R234" s="175">
        <f t="shared" si="28"/>
        <v>70.852846311721052</v>
      </c>
      <c r="S234" s="71">
        <f t="shared" si="29"/>
        <v>1.7094038051389142</v>
      </c>
    </row>
    <row r="235" spans="1:19">
      <c r="A235" s="162">
        <f>'Q.6a Model 1'!A237</f>
        <v>1.8</v>
      </c>
      <c r="B235" s="162">
        <f>'Q.6a Model 1'!B237</f>
        <v>69.6404</v>
      </c>
      <c r="C235" s="163">
        <f>'Q.6a Model 2'!A237</f>
        <v>2.9</v>
      </c>
      <c r="D235" s="163">
        <f>'Q.6a Model 2'!B237</f>
        <v>34.1</v>
      </c>
      <c r="E235" s="10">
        <f>'Q.6a Model 3'!$A237</f>
        <v>5.3</v>
      </c>
      <c r="F235" s="10">
        <f>'Q.6a Model 3'!$B237</f>
        <v>27.9</v>
      </c>
      <c r="H235" s="214">
        <v>5.3</v>
      </c>
      <c r="I235" s="214">
        <v>27.9</v>
      </c>
      <c r="K235" s="71">
        <f t="shared" si="30"/>
        <v>27.349764604335462</v>
      </c>
      <c r="L235" s="71">
        <f t="shared" si="31"/>
        <v>0.5502353956645365</v>
      </c>
      <c r="M235" s="71">
        <f t="shared" si="32"/>
        <v>0.5502353956645365</v>
      </c>
      <c r="N235" s="175">
        <f t="shared" si="33"/>
        <v>0.30275899064210904</v>
      </c>
      <c r="O235" s="71">
        <f t="shared" si="34"/>
        <v>1.9721698769338228E-2</v>
      </c>
      <c r="P235" s="176"/>
      <c r="Q235" s="144"/>
      <c r="R235" s="175">
        <f t="shared" si="28"/>
        <v>50.13508440863162</v>
      </c>
      <c r="S235" s="71">
        <f t="shared" si="29"/>
        <v>58.229851497656135</v>
      </c>
    </row>
    <row r="236" spans="1:19">
      <c r="A236" s="162">
        <f>'Q.6a Model 1'!A238</f>
        <v>1.8</v>
      </c>
      <c r="B236" s="162">
        <f>'Q.6a Model 1'!B238</f>
        <v>44.7393</v>
      </c>
      <c r="C236" s="163">
        <f>'Q.6a Model 2'!A238</f>
        <v>5.7</v>
      </c>
      <c r="D236" s="163">
        <f>'Q.6a Model 2'!B238</f>
        <v>23.999300000000002</v>
      </c>
      <c r="E236" s="10">
        <f>'Q.6a Model 3'!$A238</f>
        <v>2.5</v>
      </c>
      <c r="F236" s="10">
        <f>'Q.6a Model 3'!$B238</f>
        <v>40.200000000000003</v>
      </c>
      <c r="H236" s="214">
        <v>2.5</v>
      </c>
      <c r="I236" s="214">
        <v>40.200000000000003</v>
      </c>
      <c r="K236" s="71">
        <f t="shared" si="30"/>
        <v>39.153457619502632</v>
      </c>
      <c r="L236" s="71">
        <f t="shared" si="31"/>
        <v>1.046542380497371</v>
      </c>
      <c r="M236" s="71">
        <f t="shared" si="32"/>
        <v>1.046542380497371</v>
      </c>
      <c r="N236" s="175">
        <f t="shared" si="33"/>
        <v>1.0952509541771041</v>
      </c>
      <c r="O236" s="71">
        <f t="shared" si="34"/>
        <v>2.6033392549685844E-2</v>
      </c>
      <c r="P236" s="176"/>
      <c r="Q236" s="144"/>
      <c r="R236" s="175">
        <f t="shared" si="28"/>
        <v>27.241997741965001</v>
      </c>
      <c r="S236" s="71">
        <f t="shared" si="29"/>
        <v>17.412629888956623</v>
      </c>
    </row>
    <row r="237" spans="1:19">
      <c r="A237" s="162">
        <f>'Q.6a Model 1'!A239</f>
        <v>2</v>
      </c>
      <c r="B237" s="162">
        <f>'Q.6a Model 1'!B239</f>
        <v>47.296399999999998</v>
      </c>
      <c r="C237" s="163">
        <f>'Q.6a Model 2'!A239</f>
        <v>2</v>
      </c>
      <c r="D237" s="163">
        <f>'Q.6a Model 2'!B239</f>
        <v>41.2</v>
      </c>
      <c r="E237" s="10">
        <f>'Q.6a Model 3'!$A239</f>
        <v>4</v>
      </c>
      <c r="F237" s="10">
        <f>'Q.6a Model 3'!$B239</f>
        <v>26.2</v>
      </c>
      <c r="H237" s="214">
        <v>4</v>
      </c>
      <c r="I237" s="214">
        <v>26.2</v>
      </c>
      <c r="K237" s="71">
        <f t="shared" si="30"/>
        <v>32.830050647091646</v>
      </c>
      <c r="L237" s="71">
        <f t="shared" si="31"/>
        <v>-6.6300506470916467</v>
      </c>
      <c r="M237" s="71">
        <f t="shared" si="32"/>
        <v>6.6300506470916467</v>
      </c>
      <c r="N237" s="175">
        <f t="shared" si="33"/>
        <v>43.957571583000366</v>
      </c>
      <c r="O237" s="71">
        <f t="shared" si="34"/>
        <v>0.25305536820960484</v>
      </c>
      <c r="P237" s="176"/>
      <c r="Q237" s="144"/>
      <c r="R237" s="175">
        <f t="shared" si="28"/>
        <v>77.099169557683098</v>
      </c>
      <c r="S237" s="71">
        <f t="shared" si="29"/>
        <v>4.6249196343317314</v>
      </c>
    </row>
    <row r="238" spans="1:19">
      <c r="A238" s="162">
        <f>'Q.6a Model 1'!A240</f>
        <v>3.5</v>
      </c>
      <c r="B238" s="162">
        <f>'Q.6a Model 1'!B240</f>
        <v>41.2</v>
      </c>
      <c r="C238" s="163">
        <f>'Q.6a Model 2'!A240</f>
        <v>5.3</v>
      </c>
      <c r="D238" s="163">
        <f>'Q.6a Model 2'!B240</f>
        <v>26.6</v>
      </c>
      <c r="E238" s="10">
        <f>'Q.6a Model 3'!$A240</f>
        <v>2</v>
      </c>
      <c r="F238" s="10">
        <f>'Q.6a Model 3'!$B240</f>
        <v>60.1</v>
      </c>
      <c r="H238" s="214">
        <v>2</v>
      </c>
      <c r="I238" s="214">
        <v>60.1</v>
      </c>
      <c r="K238" s="71">
        <f t="shared" si="30"/>
        <v>41.261259943639622</v>
      </c>
      <c r="L238" s="71">
        <f t="shared" si="31"/>
        <v>18.838740056360379</v>
      </c>
      <c r="M238" s="71">
        <f t="shared" si="32"/>
        <v>18.838740056360379</v>
      </c>
      <c r="N238" s="175">
        <f t="shared" si="33"/>
        <v>354.89812691111706</v>
      </c>
      <c r="O238" s="71">
        <f t="shared" si="34"/>
        <v>0.31345657331714438</v>
      </c>
      <c r="P238" s="176"/>
      <c r="Q238" s="144"/>
      <c r="R238" s="175">
        <f t="shared" si="28"/>
        <v>630.98358923247997</v>
      </c>
      <c r="S238" s="71">
        <f t="shared" si="29"/>
        <v>39.446522524380804</v>
      </c>
    </row>
    <row r="239" spans="1:19">
      <c r="A239" s="162">
        <f>'Q.6a Model 1'!A241</f>
        <v>4</v>
      </c>
      <c r="B239" s="162">
        <f>'Q.6a Model 1'!B241</f>
        <v>26.6538</v>
      </c>
      <c r="C239" s="163">
        <f>'Q.6a Model 2'!A241</f>
        <v>2.4</v>
      </c>
      <c r="D239" s="163">
        <f>'Q.6a Model 2'!B241</f>
        <v>40.299999999999997</v>
      </c>
      <c r="E239" s="10">
        <f>'Q.6a Model 3'!$A241</f>
        <v>1.5</v>
      </c>
      <c r="F239" s="10">
        <f>'Q.6a Model 3'!$B241</f>
        <v>48.862200000000001</v>
      </c>
      <c r="H239" s="214">
        <v>1.5</v>
      </c>
      <c r="I239" s="214">
        <v>48.862200000000001</v>
      </c>
      <c r="K239" s="71">
        <f t="shared" si="30"/>
        <v>43.369062267776613</v>
      </c>
      <c r="L239" s="71">
        <f t="shared" si="31"/>
        <v>5.4931377322233885</v>
      </c>
      <c r="M239" s="71">
        <f t="shared" si="32"/>
        <v>5.4931377322233885</v>
      </c>
      <c r="N239" s="175">
        <f t="shared" si="33"/>
        <v>30.17456214517631</v>
      </c>
      <c r="O239" s="71">
        <f t="shared" si="34"/>
        <v>0.11242100708161705</v>
      </c>
      <c r="P239" s="176"/>
      <c r="Q239" s="144"/>
      <c r="R239" s="175">
        <f t="shared" si="28"/>
        <v>192.6984498889569</v>
      </c>
      <c r="S239" s="71">
        <f t="shared" si="29"/>
        <v>70.366076435079577</v>
      </c>
    </row>
    <row r="240" spans="1:19">
      <c r="A240" s="162">
        <f>'Q.6a Model 1'!A242</f>
        <v>2</v>
      </c>
      <c r="B240" s="162">
        <f>'Q.6a Model 1'!B242</f>
        <v>36.200000000000003</v>
      </c>
      <c r="C240" s="163">
        <f>'Q.6a Model 2'!A242</f>
        <v>2</v>
      </c>
      <c r="D240" s="163">
        <f>'Q.6a Model 2'!B242</f>
        <v>38</v>
      </c>
      <c r="E240" s="10">
        <f>'Q.6a Model 3'!$A242</f>
        <v>4</v>
      </c>
      <c r="F240" s="10">
        <f>'Q.6a Model 3'!$B242</f>
        <v>26.384599999999999</v>
      </c>
      <c r="H240" s="214">
        <v>4</v>
      </c>
      <c r="I240" s="214">
        <v>26.384599999999999</v>
      </c>
      <c r="K240" s="71">
        <f t="shared" si="30"/>
        <v>32.830050647091646</v>
      </c>
      <c r="L240" s="71">
        <f t="shared" si="31"/>
        <v>-6.4454506470916471</v>
      </c>
      <c r="M240" s="71">
        <f t="shared" si="32"/>
        <v>6.4454506470916471</v>
      </c>
      <c r="N240" s="175">
        <f t="shared" si="33"/>
        <v>41.543834044094133</v>
      </c>
      <c r="O240" s="71">
        <f t="shared" si="34"/>
        <v>0.24428835938735655</v>
      </c>
      <c r="P240" s="176"/>
      <c r="Q240" s="144"/>
      <c r="R240" s="175">
        <f t="shared" si="28"/>
        <v>73.89144429502727</v>
      </c>
      <c r="S240" s="71">
        <f t="shared" si="29"/>
        <v>4.6249196343317314</v>
      </c>
    </row>
    <row r="241" spans="1:19">
      <c r="A241" s="162">
        <f>'Q.6a Model 1'!A243</f>
        <v>3.2</v>
      </c>
      <c r="B241" s="162">
        <f>'Q.6a Model 1'!B243</f>
        <v>36.4</v>
      </c>
      <c r="C241" s="163">
        <f>'Q.6a Model 2'!A243</f>
        <v>3.6</v>
      </c>
      <c r="D241" s="163">
        <f>'Q.6a Model 2'!B243</f>
        <v>33</v>
      </c>
      <c r="E241" s="10">
        <f>'Q.6a Model 3'!$A243</f>
        <v>3</v>
      </c>
      <c r="F241" s="10">
        <f>'Q.6a Model 3'!$B243</f>
        <v>35.5</v>
      </c>
      <c r="H241" s="214">
        <v>3</v>
      </c>
      <c r="I241" s="214">
        <v>35.5</v>
      </c>
      <c r="K241" s="71">
        <f t="shared" si="30"/>
        <v>37.045655295365634</v>
      </c>
      <c r="L241" s="71">
        <f t="shared" si="31"/>
        <v>-1.5456552953656342</v>
      </c>
      <c r="M241" s="71">
        <f t="shared" si="32"/>
        <v>1.5456552953656342</v>
      </c>
      <c r="N241" s="175">
        <f t="shared" si="33"/>
        <v>2.389050292091826</v>
      </c>
      <c r="O241" s="71">
        <f t="shared" si="34"/>
        <v>4.3539585784947439E-2</v>
      </c>
      <c r="P241" s="176"/>
      <c r="Q241" s="144"/>
      <c r="R241" s="175">
        <f t="shared" si="28"/>
        <v>0.26976256581319341</v>
      </c>
      <c r="S241" s="71">
        <f t="shared" si="29"/>
        <v>4.2643985288070114</v>
      </c>
    </row>
    <row r="242" spans="1:19">
      <c r="A242" s="162">
        <f>'Q.6a Model 1'!A244</f>
        <v>3.8</v>
      </c>
      <c r="B242" s="162">
        <f>'Q.6a Model 1'!B244</f>
        <v>34.514800000000001</v>
      </c>
      <c r="C242" s="163">
        <f>'Q.6a Model 2'!A244</f>
        <v>2</v>
      </c>
      <c r="D242" s="163">
        <f>'Q.6a Model 2'!B244</f>
        <v>43.541400000000003</v>
      </c>
      <c r="E242" s="10">
        <f>'Q.6a Model 3'!$A244</f>
        <v>2.4</v>
      </c>
      <c r="F242" s="10">
        <f>'Q.6a Model 3'!$B244</f>
        <v>37.6</v>
      </c>
      <c r="H242" s="214">
        <v>2.4</v>
      </c>
      <c r="I242" s="214">
        <v>37.6</v>
      </c>
      <c r="K242" s="71">
        <f t="shared" si="30"/>
        <v>39.575018084330026</v>
      </c>
      <c r="L242" s="71">
        <f t="shared" si="31"/>
        <v>-1.9750180843300242</v>
      </c>
      <c r="M242" s="71">
        <f t="shared" si="32"/>
        <v>1.9750180843300242</v>
      </c>
      <c r="N242" s="175">
        <f t="shared" si="33"/>
        <v>3.9006964334306389</v>
      </c>
      <c r="O242" s="71">
        <f t="shared" si="34"/>
        <v>5.2527076710904896E-2</v>
      </c>
      <c r="P242" s="176"/>
      <c r="Q242" s="144"/>
      <c r="R242" s="175">
        <f t="shared" si="28"/>
        <v>6.8611867934554835</v>
      </c>
      <c r="S242" s="71">
        <f t="shared" si="29"/>
        <v>21.10855551401945</v>
      </c>
    </row>
    <row r="243" spans="1:19">
      <c r="A243" s="162">
        <f>'Q.6a Model 1'!A245</f>
        <v>3.8</v>
      </c>
      <c r="B243" s="162">
        <f>'Q.6a Model 1'!B245</f>
        <v>36.934699999999999</v>
      </c>
      <c r="C243" s="163">
        <f>'Q.6a Model 2'!A245</f>
        <v>3</v>
      </c>
      <c r="D243" s="163">
        <f>'Q.6a Model 2'!B245</f>
        <v>38.169600000000003</v>
      </c>
      <c r="E243" s="10">
        <f>'Q.6a Model 3'!$A245</f>
        <v>3.7</v>
      </c>
      <c r="F243" s="10">
        <f>'Q.6a Model 3'!$B245</f>
        <v>34.4</v>
      </c>
      <c r="H243" s="214">
        <v>3.7</v>
      </c>
      <c r="I243" s="214">
        <v>34.4</v>
      </c>
      <c r="K243" s="71">
        <f t="shared" si="30"/>
        <v>34.094732041573842</v>
      </c>
      <c r="L243" s="71">
        <f t="shared" si="31"/>
        <v>0.30526795842615684</v>
      </c>
      <c r="M243" s="71">
        <f t="shared" si="32"/>
        <v>0.30526795842615684</v>
      </c>
      <c r="N243" s="175">
        <f t="shared" si="33"/>
        <v>9.3188526441673816E-2</v>
      </c>
      <c r="O243" s="71">
        <f t="shared" si="34"/>
        <v>8.8740685588999078E-3</v>
      </c>
      <c r="P243" s="176"/>
      <c r="Q243" s="144"/>
      <c r="R243" s="175">
        <f t="shared" si="28"/>
        <v>0.33711177990533248</v>
      </c>
      <c r="S243" s="71">
        <f t="shared" si="29"/>
        <v>0.78478556705897329</v>
      </c>
    </row>
    <row r="244" spans="1:19">
      <c r="A244" s="162">
        <f>'Q.6a Model 1'!A246</f>
        <v>2.4</v>
      </c>
      <c r="B244" s="162">
        <f>'Q.6a Model 1'!B246</f>
        <v>35.587699999999998</v>
      </c>
      <c r="C244" s="163">
        <f>'Q.6a Model 2'!A246</f>
        <v>5.9</v>
      </c>
      <c r="D244" s="163">
        <f>'Q.6a Model 2'!B246</f>
        <v>24.6983</v>
      </c>
      <c r="E244" s="10">
        <f>'Q.6a Model 3'!$A246</f>
        <v>2.5</v>
      </c>
      <c r="F244" s="10">
        <f>'Q.6a Model 3'!$B246</f>
        <v>30.168800000000001</v>
      </c>
      <c r="H244" s="214">
        <v>2.5</v>
      </c>
      <c r="I244" s="214">
        <v>30.168800000000001</v>
      </c>
      <c r="K244" s="71">
        <f t="shared" si="30"/>
        <v>39.153457619502632</v>
      </c>
      <c r="L244" s="71">
        <f t="shared" si="31"/>
        <v>-8.9846576195026309</v>
      </c>
      <c r="M244" s="71">
        <f t="shared" si="32"/>
        <v>8.9846576195026309</v>
      </c>
      <c r="N244" s="175">
        <f t="shared" si="33"/>
        <v>80.724072539686688</v>
      </c>
      <c r="O244" s="71">
        <f t="shared" si="34"/>
        <v>0.29781289343635248</v>
      </c>
      <c r="P244" s="176"/>
      <c r="Q244" s="144"/>
      <c r="R244" s="175">
        <f t="shared" si="28"/>
        <v>23.153547033238642</v>
      </c>
      <c r="S244" s="71">
        <f t="shared" si="29"/>
        <v>17.412629888956623</v>
      </c>
    </row>
    <row r="245" spans="1:19">
      <c r="A245" s="162">
        <f>'Q.6a Model 1'!A247</f>
        <v>3.4</v>
      </c>
      <c r="B245" s="162">
        <f>'Q.6a Model 1'!B247</f>
        <v>36.729900000000001</v>
      </c>
      <c r="C245" s="163">
        <f>'Q.6a Model 2'!A247</f>
        <v>2.7</v>
      </c>
      <c r="D245" s="163">
        <f>'Q.6a Model 2'!B247</f>
        <v>35.429099999999998</v>
      </c>
      <c r="E245" s="10">
        <f>'Q.6a Model 3'!$A247</f>
        <v>4</v>
      </c>
      <c r="F245" s="10">
        <f>'Q.6a Model 3'!$B247</f>
        <v>30.2</v>
      </c>
      <c r="H245" s="214">
        <v>4</v>
      </c>
      <c r="I245" s="214">
        <v>30.2</v>
      </c>
      <c r="K245" s="71">
        <f t="shared" si="30"/>
        <v>32.830050647091646</v>
      </c>
      <c r="L245" s="71">
        <f t="shared" si="31"/>
        <v>-2.6300506470916467</v>
      </c>
      <c r="M245" s="71">
        <f t="shared" si="32"/>
        <v>2.6300506470916467</v>
      </c>
      <c r="N245" s="175">
        <f t="shared" si="33"/>
        <v>6.9171664062671896</v>
      </c>
      <c r="O245" s="71">
        <f t="shared" si="34"/>
        <v>8.7087769771246576E-2</v>
      </c>
      <c r="P245" s="176"/>
      <c r="Q245" s="144"/>
      <c r="R245" s="175">
        <f t="shared" si="28"/>
        <v>22.854263324620771</v>
      </c>
      <c r="S245" s="71">
        <f t="shared" si="29"/>
        <v>4.6249196343317314</v>
      </c>
    </row>
    <row r="246" spans="1:19">
      <c r="A246" s="162">
        <f>'Q.6a Model 1'!A248</f>
        <v>3</v>
      </c>
      <c r="B246" s="162">
        <f>'Q.6a Model 1'!B248</f>
        <v>34.7288</v>
      </c>
      <c r="C246" s="163">
        <f>'Q.6a Model 2'!A248</f>
        <v>1.3</v>
      </c>
      <c r="D246" s="163">
        <f>'Q.6a Model 2'!B248</f>
        <v>65</v>
      </c>
      <c r="E246" s="10">
        <f>'Q.6a Model 3'!$A248</f>
        <v>3.7</v>
      </c>
      <c r="F246" s="10">
        <f>'Q.6a Model 3'!$B248</f>
        <v>35.161999999999999</v>
      </c>
      <c r="H246" s="214">
        <v>3.7</v>
      </c>
      <c r="I246" s="214">
        <v>35.161999999999999</v>
      </c>
      <c r="K246" s="71">
        <f t="shared" si="30"/>
        <v>34.094732041573842</v>
      </c>
      <c r="L246" s="71">
        <f t="shared" si="31"/>
        <v>1.0672679584261573</v>
      </c>
      <c r="M246" s="71">
        <f t="shared" si="32"/>
        <v>1.0672679584261573</v>
      </c>
      <c r="N246" s="175">
        <f t="shared" si="33"/>
        <v>1.1390608950831378</v>
      </c>
      <c r="O246" s="71">
        <f t="shared" si="34"/>
        <v>3.0352879768675199E-2</v>
      </c>
      <c r="P246" s="176"/>
      <c r="Q246" s="144"/>
      <c r="R246" s="175">
        <f t="shared" si="28"/>
        <v>3.2901142506958907E-2</v>
      </c>
      <c r="S246" s="71">
        <f t="shared" si="29"/>
        <v>0.78478556705897329</v>
      </c>
    </row>
    <row r="247" spans="1:19">
      <c r="A247" s="162">
        <f>'Q.6a Model 1'!A249</f>
        <v>3.8</v>
      </c>
      <c r="B247" s="162">
        <f>'Q.6a Model 1'!B249</f>
        <v>31.1</v>
      </c>
      <c r="C247" s="163">
        <f>'Q.6a Model 2'!A249</f>
        <v>4</v>
      </c>
      <c r="D247" s="163">
        <f>'Q.6a Model 2'!B249</f>
        <v>28.4</v>
      </c>
      <c r="E247" s="10">
        <f>'Q.6a Model 3'!$A249</f>
        <v>1.6</v>
      </c>
      <c r="F247" s="10">
        <f>'Q.6a Model 3'!$B249</f>
        <v>48.2</v>
      </c>
      <c r="H247" s="214">
        <v>1.6</v>
      </c>
      <c r="I247" s="214">
        <v>48.2</v>
      </c>
      <c r="K247" s="71">
        <f t="shared" si="30"/>
        <v>42.947501802949219</v>
      </c>
      <c r="L247" s="71">
        <f t="shared" si="31"/>
        <v>5.2524981970507838</v>
      </c>
      <c r="M247" s="71">
        <f t="shared" si="32"/>
        <v>5.2524981970507838</v>
      </c>
      <c r="N247" s="175">
        <f t="shared" si="33"/>
        <v>27.588737310021735</v>
      </c>
      <c r="O247" s="71">
        <f t="shared" si="34"/>
        <v>0.10897299164005775</v>
      </c>
      <c r="P247" s="176"/>
      <c r="Q247" s="144"/>
      <c r="R247" s="175">
        <f t="shared" si="28"/>
        <v>174.75218527584042</v>
      </c>
      <c r="S247" s="71">
        <f t="shared" si="29"/>
        <v>63.471312750917924</v>
      </c>
    </row>
    <row r="248" spans="1:19">
      <c r="A248" s="162">
        <f>'Q.6a Model 1'!A250</f>
        <v>3</v>
      </c>
      <c r="B248" s="162">
        <f>'Q.6a Model 1'!B250</f>
        <v>39.710299999999997</v>
      </c>
      <c r="C248" s="163">
        <f>'Q.6a Model 2'!A250</f>
        <v>2.2999999999999998</v>
      </c>
      <c r="D248" s="163">
        <f>'Q.6a Model 2'!B250</f>
        <v>37.700000000000003</v>
      </c>
      <c r="E248" s="10">
        <f>'Q.6a Model 3'!$A250</f>
        <v>4</v>
      </c>
      <c r="F248" s="10">
        <f>'Q.6a Model 3'!$B250</f>
        <v>27.589400000000001</v>
      </c>
      <c r="H248" s="214">
        <v>4</v>
      </c>
      <c r="I248" s="214">
        <v>27.589400000000001</v>
      </c>
      <c r="K248" s="71">
        <f t="shared" si="30"/>
        <v>32.830050647091646</v>
      </c>
      <c r="L248" s="71">
        <f t="shared" si="31"/>
        <v>-5.2406506470916447</v>
      </c>
      <c r="M248" s="71">
        <f t="shared" si="32"/>
        <v>5.2406506470916447</v>
      </c>
      <c r="N248" s="175">
        <f t="shared" si="33"/>
        <v>27.464419204862075</v>
      </c>
      <c r="O248" s="71">
        <f t="shared" si="34"/>
        <v>0.18995159905948097</v>
      </c>
      <c r="P248" s="176"/>
      <c r="Q248" s="144"/>
      <c r="R248" s="175">
        <f t="shared" si="28"/>
        <v>54.630033737628871</v>
      </c>
      <c r="S248" s="71">
        <f t="shared" si="29"/>
        <v>4.6249196343317314</v>
      </c>
    </row>
    <row r="249" spans="1:19">
      <c r="A249" s="162">
        <f>'Q.6a Model 1'!A251</f>
        <v>5.7</v>
      </c>
      <c r="B249" s="162">
        <f>'Q.6a Model 1'!B251</f>
        <v>27.1</v>
      </c>
      <c r="C249" s="163">
        <f>'Q.6a Model 2'!A251</f>
        <v>3.5</v>
      </c>
      <c r="D249" s="163">
        <f>'Q.6a Model 2'!B251</f>
        <v>27.8</v>
      </c>
      <c r="E249" s="10">
        <f>'Q.6a Model 3'!$A251</f>
        <v>1.6</v>
      </c>
      <c r="F249" s="10">
        <f>'Q.6a Model 3'!$B251</f>
        <v>48.318800000000003</v>
      </c>
      <c r="H249" s="214">
        <v>1.6</v>
      </c>
      <c r="I249" s="214">
        <v>48.318800000000003</v>
      </c>
      <c r="K249" s="71">
        <f t="shared" si="30"/>
        <v>42.947501802949219</v>
      </c>
      <c r="L249" s="71">
        <f t="shared" si="31"/>
        <v>5.371298197050784</v>
      </c>
      <c r="M249" s="71">
        <f t="shared" si="32"/>
        <v>5.371298197050784</v>
      </c>
      <c r="N249" s="175">
        <f t="shared" si="33"/>
        <v>28.850844321641002</v>
      </c>
      <c r="O249" s="71">
        <f t="shared" si="34"/>
        <v>0.11116373330982524</v>
      </c>
      <c r="P249" s="176"/>
      <c r="Q249" s="144"/>
      <c r="R249" s="175">
        <f t="shared" si="28"/>
        <v>177.90722500071846</v>
      </c>
      <c r="S249" s="71">
        <f t="shared" si="29"/>
        <v>63.471312750917924</v>
      </c>
    </row>
    <row r="250" spans="1:19">
      <c r="A250" s="162">
        <f>'Q.6a Model 1'!A252</f>
        <v>2</v>
      </c>
      <c r="B250" s="162">
        <f>'Q.6a Model 1'!B252</f>
        <v>40.6</v>
      </c>
      <c r="C250" s="163">
        <f>'Q.6a Model 2'!A252</f>
        <v>3.6</v>
      </c>
      <c r="D250" s="163">
        <f>'Q.6a Model 2'!B252</f>
        <v>34.875399999999999</v>
      </c>
      <c r="E250" s="10">
        <f>'Q.6a Model 3'!$A252</f>
        <v>2.4</v>
      </c>
      <c r="F250" s="10">
        <f>'Q.6a Model 3'!$B252</f>
        <v>40.370600000000003</v>
      </c>
      <c r="H250" s="214">
        <v>2.4</v>
      </c>
      <c r="I250" s="214">
        <v>40.370600000000003</v>
      </c>
      <c r="K250" s="71">
        <f t="shared" si="30"/>
        <v>39.575018084330026</v>
      </c>
      <c r="L250" s="71">
        <f t="shared" si="31"/>
        <v>0.79558191566997749</v>
      </c>
      <c r="M250" s="71">
        <f t="shared" si="32"/>
        <v>0.79558191566997749</v>
      </c>
      <c r="N250" s="175">
        <f t="shared" si="33"/>
        <v>0.63295058454111119</v>
      </c>
      <c r="O250" s="71">
        <f t="shared" si="34"/>
        <v>1.9706962880660119E-2</v>
      </c>
      <c r="P250" s="176"/>
      <c r="Q250" s="144"/>
      <c r="R250" s="175">
        <f t="shared" si="28"/>
        <v>29.051956851124896</v>
      </c>
      <c r="S250" s="71">
        <f t="shared" si="29"/>
        <v>21.10855551401945</v>
      </c>
    </row>
    <row r="251" spans="1:19">
      <c r="A251" s="162">
        <f>'Q.6a Model 1'!A253</f>
        <v>2.4</v>
      </c>
      <c r="B251" s="162">
        <f>'Q.6a Model 1'!B253</f>
        <v>44.6</v>
      </c>
      <c r="C251" s="163">
        <f>'Q.6a Model 2'!A253</f>
        <v>5.5</v>
      </c>
      <c r="D251" s="163">
        <f>'Q.6a Model 2'!B253</f>
        <v>32.299999999999997</v>
      </c>
      <c r="E251" s="10">
        <f>'Q.6a Model 3'!$A253</f>
        <v>4.5999999999999996</v>
      </c>
      <c r="F251" s="10">
        <f>'Q.6a Model 3'!$B253</f>
        <v>29.9</v>
      </c>
      <c r="H251" s="214">
        <v>4.5999999999999996</v>
      </c>
      <c r="I251" s="214">
        <v>29.9</v>
      </c>
      <c r="K251" s="71">
        <f t="shared" si="30"/>
        <v>30.300687858127255</v>
      </c>
      <c r="L251" s="71">
        <f t="shared" si="31"/>
        <v>-0.40068785812725594</v>
      </c>
      <c r="M251" s="71">
        <f t="shared" si="32"/>
        <v>0.40068785812725594</v>
      </c>
      <c r="N251" s="175">
        <f t="shared" si="33"/>
        <v>0.16055075965060797</v>
      </c>
      <c r="O251" s="71">
        <f t="shared" si="34"/>
        <v>1.3400931709941671E-2</v>
      </c>
      <c r="P251" s="176"/>
      <c r="Q251" s="144"/>
      <c r="R251" s="175">
        <f t="shared" si="28"/>
        <v>25.812631292100452</v>
      </c>
      <c r="S251" s="71">
        <f t="shared" si="29"/>
        <v>21.901701946173837</v>
      </c>
    </row>
    <row r="252" spans="1:19">
      <c r="A252" s="162">
        <f>'Q.6a Model 1'!A254</f>
        <v>2</v>
      </c>
      <c r="B252" s="162">
        <f>'Q.6a Model 1'!B254</f>
        <v>42.774299999999997</v>
      </c>
      <c r="C252" s="163">
        <f>'Q.6a Model 2'!A254</f>
        <v>1.6</v>
      </c>
      <c r="D252" s="163">
        <f>'Q.6a Model 2'!B254</f>
        <v>46.5047</v>
      </c>
      <c r="E252" s="10">
        <f>'Q.6a Model 3'!$A254</f>
        <v>2</v>
      </c>
      <c r="F252" s="10">
        <f>'Q.6a Model 3'!$B254</f>
        <v>48.2</v>
      </c>
      <c r="H252" s="214">
        <v>2</v>
      </c>
      <c r="I252" s="214">
        <v>48.2</v>
      </c>
      <c r="K252" s="71">
        <f t="shared" si="30"/>
        <v>41.261259943639622</v>
      </c>
      <c r="L252" s="71">
        <f t="shared" si="31"/>
        <v>6.9387400563603805</v>
      </c>
      <c r="M252" s="71">
        <f t="shared" si="32"/>
        <v>6.9387400563603805</v>
      </c>
      <c r="N252" s="175">
        <f t="shared" si="33"/>
        <v>48.146113569740059</v>
      </c>
      <c r="O252" s="71">
        <f t="shared" si="34"/>
        <v>0.14395726258009087</v>
      </c>
      <c r="P252" s="176"/>
      <c r="Q252" s="144"/>
      <c r="R252" s="175">
        <f t="shared" si="28"/>
        <v>174.75218527584042</v>
      </c>
      <c r="S252" s="71">
        <f t="shared" si="29"/>
        <v>39.446522524380804</v>
      </c>
    </row>
    <row r="253" spans="1:19">
      <c r="A253" s="162">
        <f>'Q.6a Model 1'!A255</f>
        <v>6.7</v>
      </c>
      <c r="B253" s="162">
        <f>'Q.6a Model 1'!B255</f>
        <v>24.2</v>
      </c>
      <c r="C253" s="163">
        <f>'Q.6a Model 2'!A255</f>
        <v>4.5</v>
      </c>
      <c r="D253" s="163">
        <f>'Q.6a Model 2'!B255</f>
        <v>29.6</v>
      </c>
      <c r="E253" s="10">
        <f>'Q.6a Model 3'!$A255</f>
        <v>1.8</v>
      </c>
      <c r="F253" s="10">
        <f>'Q.6a Model 3'!$B255</f>
        <v>46.9</v>
      </c>
      <c r="H253" s="214">
        <v>1.8</v>
      </c>
      <c r="I253" s="214">
        <v>46.9</v>
      </c>
      <c r="K253" s="71">
        <f t="shared" si="30"/>
        <v>42.104380873294417</v>
      </c>
      <c r="L253" s="71">
        <f t="shared" si="31"/>
        <v>4.7956191267055814</v>
      </c>
      <c r="M253" s="71">
        <f t="shared" si="32"/>
        <v>4.7956191267055814</v>
      </c>
      <c r="N253" s="175">
        <f t="shared" si="33"/>
        <v>22.997962808424404</v>
      </c>
      <c r="O253" s="71">
        <f t="shared" si="34"/>
        <v>0.10225200696600387</v>
      </c>
      <c r="P253" s="176"/>
      <c r="Q253" s="144"/>
      <c r="R253" s="175">
        <f t="shared" si="28"/>
        <v>142.07177980158556</v>
      </c>
      <c r="S253" s="71">
        <f t="shared" si="29"/>
        <v>50.748064735627338</v>
      </c>
    </row>
    <row r="254" spans="1:19">
      <c r="A254" s="162">
        <f>'Q.6a Model 1'!A256</f>
        <v>4.5999999999999996</v>
      </c>
      <c r="B254" s="162">
        <f>'Q.6a Model 1'!B256</f>
        <v>26.662199999999999</v>
      </c>
      <c r="C254" s="163">
        <f>'Q.6a Model 2'!A256</f>
        <v>3.6</v>
      </c>
      <c r="D254" s="163">
        <f>'Q.6a Model 2'!B256</f>
        <v>33.200000000000003</v>
      </c>
      <c r="E254" s="10">
        <f>'Q.6a Model 3'!$A256</f>
        <v>4.4000000000000004</v>
      </c>
      <c r="F254" s="10">
        <f>'Q.6a Model 3'!$B256</f>
        <v>30.953700000000001</v>
      </c>
      <c r="H254" s="214">
        <v>4.4000000000000004</v>
      </c>
      <c r="I254" s="214">
        <v>30.953700000000001</v>
      </c>
      <c r="K254" s="71">
        <f t="shared" si="30"/>
        <v>31.143808787782049</v>
      </c>
      <c r="L254" s="71">
        <f t="shared" si="31"/>
        <v>-0.19010878778204798</v>
      </c>
      <c r="M254" s="71">
        <f t="shared" si="32"/>
        <v>0.19010878778204798</v>
      </c>
      <c r="N254" s="175">
        <f t="shared" si="33"/>
        <v>3.6141351191959756E-2</v>
      </c>
      <c r="O254" s="71">
        <f t="shared" si="34"/>
        <v>6.1417144891256284E-3</v>
      </c>
      <c r="P254" s="176"/>
      <c r="Q254" s="144"/>
      <c r="R254" s="175">
        <f t="shared" si="28"/>
        <v>16.216030557655987</v>
      </c>
      <c r="S254" s="71">
        <f t="shared" si="29"/>
        <v>14.721068704849214</v>
      </c>
    </row>
    <row r="255" spans="1:19">
      <c r="A255" s="162">
        <f>'Q.6a Model 1'!A257</f>
        <v>6</v>
      </c>
      <c r="B255" s="162">
        <f>'Q.6a Model 1'!B257</f>
        <v>30.299900000000001</v>
      </c>
      <c r="C255" s="163">
        <f>'Q.6a Model 2'!A257</f>
        <v>5.5</v>
      </c>
      <c r="D255" s="163">
        <f>'Q.6a Model 2'!B257</f>
        <v>23.9</v>
      </c>
      <c r="E255" s="10">
        <f>'Q.6a Model 3'!$A257</f>
        <v>2.9</v>
      </c>
      <c r="F255" s="10">
        <f>'Q.6a Model 3'!$B257</f>
        <v>32.4</v>
      </c>
      <c r="H255" s="214">
        <v>2.9</v>
      </c>
      <c r="I255" s="214">
        <v>32.4</v>
      </c>
      <c r="K255" s="71">
        <f t="shared" si="30"/>
        <v>37.467215760193035</v>
      </c>
      <c r="L255" s="71">
        <f t="shared" si="31"/>
        <v>-5.0672157601930365</v>
      </c>
      <c r="M255" s="71">
        <f t="shared" si="32"/>
        <v>5.0672157601930365</v>
      </c>
      <c r="N255" s="175">
        <f t="shared" si="33"/>
        <v>25.676675560348695</v>
      </c>
      <c r="O255" s="71">
        <f t="shared" si="34"/>
        <v>0.15639554815410608</v>
      </c>
      <c r="P255" s="176"/>
      <c r="Q255" s="144"/>
      <c r="R255" s="175">
        <f t="shared" si="28"/>
        <v>6.6595648964364971</v>
      </c>
      <c r="S255" s="71">
        <f t="shared" si="29"/>
        <v>6.1831918988149681</v>
      </c>
    </row>
    <row r="256" spans="1:19">
      <c r="A256" s="162">
        <f>'Q.6a Model 1'!A258</f>
        <v>2.5</v>
      </c>
      <c r="B256" s="162">
        <f>'Q.6a Model 1'!B258</f>
        <v>37.070999999999998</v>
      </c>
      <c r="C256" s="163">
        <f>'Q.6a Model 2'!A258</f>
        <v>4.5999999999999996</v>
      </c>
      <c r="D256" s="163">
        <f>'Q.6a Model 2'!B258</f>
        <v>26.662199999999999</v>
      </c>
      <c r="E256" s="10">
        <f>'Q.6a Model 3'!$A258</f>
        <v>5</v>
      </c>
      <c r="F256" s="10">
        <f>'Q.6a Model 3'!$B258</f>
        <v>30.337800000000001</v>
      </c>
      <c r="H256" s="214">
        <v>5</v>
      </c>
      <c r="I256" s="214">
        <v>30.337800000000001</v>
      </c>
      <c r="K256" s="71">
        <f t="shared" si="30"/>
        <v>28.614445998817658</v>
      </c>
      <c r="L256" s="71">
        <f t="shared" si="31"/>
        <v>1.7233540011823436</v>
      </c>
      <c r="M256" s="71">
        <f t="shared" si="32"/>
        <v>1.7233540011823436</v>
      </c>
      <c r="N256" s="175">
        <f t="shared" si="33"/>
        <v>2.9699490133911932</v>
      </c>
      <c r="O256" s="71">
        <f t="shared" si="34"/>
        <v>5.6805503404411116E-2</v>
      </c>
      <c r="P256" s="176"/>
      <c r="Q256" s="144"/>
      <c r="R256" s="175">
        <f t="shared" si="28"/>
        <v>21.555715144891753</v>
      </c>
      <c r="S256" s="71">
        <f t="shared" si="29"/>
        <v>40.528085840954965</v>
      </c>
    </row>
    <row r="257" spans="1:19">
      <c r="A257" s="162">
        <f>'Q.6a Model 1'!A259</f>
        <v>5.7</v>
      </c>
      <c r="B257" s="162">
        <f>'Q.6a Model 1'!B259</f>
        <v>21.7</v>
      </c>
      <c r="C257" s="163">
        <f>'Q.6a Model 2'!A259</f>
        <v>3</v>
      </c>
      <c r="D257" s="163">
        <f>'Q.6a Model 2'!B259</f>
        <v>34.7288</v>
      </c>
      <c r="E257" s="10">
        <f>'Q.6a Model 3'!$A259</f>
        <v>4.8</v>
      </c>
      <c r="F257" s="10">
        <f>'Q.6a Model 3'!$B259</f>
        <v>24.153400000000001</v>
      </c>
      <c r="H257" s="214">
        <v>4.8</v>
      </c>
      <c r="I257" s="214">
        <v>24.153400000000001</v>
      </c>
      <c r="K257" s="71">
        <f t="shared" si="30"/>
        <v>29.457566928472456</v>
      </c>
      <c r="L257" s="71">
        <f t="shared" si="31"/>
        <v>-5.3041669284724549</v>
      </c>
      <c r="M257" s="71">
        <f t="shared" si="32"/>
        <v>5.3041669284724549</v>
      </c>
      <c r="N257" s="175">
        <f t="shared" si="33"/>
        <v>28.134186805100917</v>
      </c>
      <c r="O257" s="71">
        <f t="shared" si="34"/>
        <v>0.21960332410643862</v>
      </c>
      <c r="P257" s="176"/>
      <c r="Q257" s="144"/>
      <c r="R257" s="175">
        <f t="shared" si="28"/>
        <v>117.22854739182939</v>
      </c>
      <c r="S257" s="71">
        <f t="shared" si="29"/>
        <v>30.504040991542428</v>
      </c>
    </row>
    <row r="258" spans="1:19">
      <c r="A258" s="162">
        <f>'Q.6a Model 1'!A260</f>
        <v>3</v>
      </c>
      <c r="B258" s="162">
        <f>'Q.6a Model 1'!B260</f>
        <v>35.799999999999997</v>
      </c>
      <c r="C258" s="163">
        <f>'Q.6a Model 2'!A260</f>
        <v>1.3</v>
      </c>
      <c r="D258" s="163">
        <f>'Q.6a Model 2'!B260</f>
        <v>30.2</v>
      </c>
      <c r="E258" s="10">
        <f>'Q.6a Model 3'!$A260</f>
        <v>1.6</v>
      </c>
      <c r="F258" s="10">
        <f>'Q.6a Model 3'!$B260</f>
        <v>44.571399999999997</v>
      </c>
      <c r="H258" s="214">
        <v>1.6</v>
      </c>
      <c r="I258" s="214">
        <v>44.571399999999997</v>
      </c>
      <c r="K258" s="71">
        <f t="shared" si="30"/>
        <v>42.947501802949219</v>
      </c>
      <c r="L258" s="71">
        <f t="shared" si="31"/>
        <v>1.623898197050778</v>
      </c>
      <c r="M258" s="71">
        <f t="shared" si="32"/>
        <v>1.623898197050778</v>
      </c>
      <c r="N258" s="175">
        <f t="shared" si="33"/>
        <v>2.6370453543847674</v>
      </c>
      <c r="O258" s="71">
        <f t="shared" si="34"/>
        <v>3.6433636750265376E-2</v>
      </c>
      <c r="P258" s="176"/>
      <c r="Q258" s="144"/>
      <c r="R258" s="175">
        <f t="shared" si="28"/>
        <v>91.983189925162762</v>
      </c>
      <c r="S258" s="71">
        <f t="shared" si="29"/>
        <v>63.471312750917924</v>
      </c>
    </row>
    <row r="259" spans="1:19">
      <c r="A259" s="162">
        <f>'Q.6a Model 1'!A261</f>
        <v>1.8</v>
      </c>
      <c r="B259" s="162">
        <f>'Q.6a Model 1'!B261</f>
        <v>43.7</v>
      </c>
      <c r="C259" s="163">
        <f>'Q.6a Model 2'!A261</f>
        <v>3.5</v>
      </c>
      <c r="D259" s="163">
        <f>'Q.6a Model 2'!B261</f>
        <v>34.5</v>
      </c>
      <c r="E259" s="10">
        <f>'Q.6a Model 3'!$A261</f>
        <v>1.6</v>
      </c>
      <c r="F259" s="10">
        <f>'Q.6a Model 3'!$B261</f>
        <v>50.2669</v>
      </c>
      <c r="H259" s="214">
        <v>1.6</v>
      </c>
      <c r="I259" s="214">
        <v>50.2669</v>
      </c>
      <c r="K259" s="71">
        <f t="shared" si="30"/>
        <v>42.947501802949219</v>
      </c>
      <c r="L259" s="71">
        <f t="shared" si="31"/>
        <v>7.3193981970507807</v>
      </c>
      <c r="M259" s="71">
        <f t="shared" si="32"/>
        <v>7.3193981970507807</v>
      </c>
      <c r="N259" s="175">
        <f t="shared" si="33"/>
        <v>53.57358996699022</v>
      </c>
      <c r="O259" s="71">
        <f t="shared" si="34"/>
        <v>0.14561069405614391</v>
      </c>
      <c r="P259" s="176"/>
      <c r="Q259" s="144"/>
      <c r="R259" s="175">
        <f t="shared" ref="R259:R322" si="35">(I259-$J$3)^2</f>
        <v>233.67056171256121</v>
      </c>
      <c r="S259" s="71">
        <f t="shared" ref="S259:S322" si="36">(K259-$J$3)^2</f>
        <v>63.471312750917924</v>
      </c>
    </row>
    <row r="260" spans="1:19">
      <c r="A260" s="162">
        <f>'Q.6a Model 1'!A262</f>
        <v>4</v>
      </c>
      <c r="B260" s="162">
        <f>'Q.6a Model 1'!B262</f>
        <v>26.82</v>
      </c>
      <c r="C260" s="163">
        <f>'Q.6a Model 2'!A262</f>
        <v>2.2999999999999998</v>
      </c>
      <c r="D260" s="163">
        <f>'Q.6a Model 2'!B262</f>
        <v>34.4</v>
      </c>
      <c r="E260" s="10">
        <f>'Q.6a Model 3'!$A262</f>
        <v>3</v>
      </c>
      <c r="F260" s="10">
        <f>'Q.6a Model 3'!$B262</f>
        <v>35.460599999999999</v>
      </c>
      <c r="H260" s="214">
        <v>3</v>
      </c>
      <c r="I260" s="214">
        <v>35.460599999999999</v>
      </c>
      <c r="K260" s="71">
        <f t="shared" ref="K260:K323" si="37">$V$3 + $U$3 * H260</f>
        <v>37.045655295365634</v>
      </c>
      <c r="L260" s="71">
        <f t="shared" si="31"/>
        <v>-1.5850552953656347</v>
      </c>
      <c r="M260" s="71">
        <f t="shared" si="32"/>
        <v>1.5850552953656347</v>
      </c>
      <c r="N260" s="175">
        <f t="shared" si="33"/>
        <v>2.5124002893666395</v>
      </c>
      <c r="O260" s="71">
        <f t="shared" si="34"/>
        <v>4.4699054594835808E-2</v>
      </c>
      <c r="P260" s="176"/>
      <c r="Q260" s="144"/>
      <c r="R260" s="175">
        <f t="shared" si="35"/>
        <v>0.2303872522088567</v>
      </c>
      <c r="S260" s="71">
        <f t="shared" si="36"/>
        <v>4.2643985288070114</v>
      </c>
    </row>
    <row r="261" spans="1:19">
      <c r="A261" s="162">
        <f>'Q.6a Model 1'!A263</f>
        <v>3.6</v>
      </c>
      <c r="B261" s="162">
        <f>'Q.6a Model 1'!B263</f>
        <v>33</v>
      </c>
      <c r="C261" s="163">
        <f>'Q.6a Model 2'!A263</f>
        <v>3.7</v>
      </c>
      <c r="D261" s="163">
        <f>'Q.6a Model 2'!B263</f>
        <v>27.5</v>
      </c>
      <c r="E261" s="10">
        <f>'Q.6a Model 3'!$A263</f>
        <v>3.5</v>
      </c>
      <c r="F261" s="10">
        <f>'Q.6a Model 3'!$B263</f>
        <v>25.8</v>
      </c>
      <c r="H261" s="214">
        <v>3.5</v>
      </c>
      <c r="I261" s="214">
        <v>25.8</v>
      </c>
      <c r="K261" s="71">
        <f t="shared" si="37"/>
        <v>34.937852971228637</v>
      </c>
      <c r="L261" s="71">
        <f t="shared" si="31"/>
        <v>-9.1378529712286358</v>
      </c>
      <c r="M261" s="71">
        <f t="shared" si="32"/>
        <v>9.1378529712286358</v>
      </c>
      <c r="N261" s="175">
        <f t="shared" si="33"/>
        <v>83.500356923792012</v>
      </c>
      <c r="O261" s="71">
        <f t="shared" si="34"/>
        <v>0.35418034772204016</v>
      </c>
      <c r="P261" s="176"/>
      <c r="Q261" s="144"/>
      <c r="R261" s="175">
        <f t="shared" si="35"/>
        <v>84.283660180989301</v>
      </c>
      <c r="S261" s="71">
        <f t="shared" si="36"/>
        <v>1.828443932057986E-3</v>
      </c>
    </row>
    <row r="262" spans="1:19">
      <c r="A262" s="162">
        <f>'Q.6a Model 1'!A264</f>
        <v>2.2999999999999998</v>
      </c>
      <c r="B262" s="162">
        <f>'Q.6a Model 1'!B264</f>
        <v>31.7</v>
      </c>
      <c r="C262" s="163">
        <f>'Q.6a Model 2'!A264</f>
        <v>5</v>
      </c>
      <c r="D262" s="163">
        <f>'Q.6a Model 2'!B264</f>
        <v>30.3</v>
      </c>
      <c r="E262" s="10">
        <f>'Q.6a Model 3'!$A264</f>
        <v>3.8</v>
      </c>
      <c r="F262" s="10">
        <f>'Q.6a Model 3'!$B264</f>
        <v>37.076900000000002</v>
      </c>
      <c r="H262" s="214">
        <v>3.8</v>
      </c>
      <c r="I262" s="214">
        <v>37.076900000000002</v>
      </c>
      <c r="K262" s="71">
        <f t="shared" si="37"/>
        <v>33.673171576746441</v>
      </c>
      <c r="L262" s="71">
        <f t="shared" si="31"/>
        <v>3.4037284232535612</v>
      </c>
      <c r="M262" s="71">
        <f t="shared" si="32"/>
        <v>3.4037284232535612</v>
      </c>
      <c r="N262" s="175">
        <f t="shared" si="33"/>
        <v>11.585367179264173</v>
      </c>
      <c r="O262" s="71">
        <f t="shared" si="34"/>
        <v>9.1801861084760614E-2</v>
      </c>
      <c r="P262" s="176"/>
      <c r="Q262" s="144"/>
      <c r="R262" s="175">
        <f t="shared" si="35"/>
        <v>4.3944180160842095</v>
      </c>
      <c r="S262" s="71">
        <f t="shared" si="36"/>
        <v>1.7094038051389142</v>
      </c>
    </row>
    <row r="263" spans="1:19">
      <c r="A263" s="162">
        <f>'Q.6a Model 1'!A265</f>
        <v>2</v>
      </c>
      <c r="B263" s="162">
        <f>'Q.6a Model 1'!B265</f>
        <v>37.5</v>
      </c>
      <c r="C263" s="163">
        <f>'Q.6a Model 2'!A265</f>
        <v>2.4</v>
      </c>
      <c r="D263" s="163">
        <f>'Q.6a Model 2'!B265</f>
        <v>39.347999999999999</v>
      </c>
      <c r="E263" s="10">
        <f>'Q.6a Model 3'!$A265</f>
        <v>2.4</v>
      </c>
      <c r="F263" s="10">
        <f>'Q.6a Model 3'!$B265</f>
        <v>42.6</v>
      </c>
      <c r="H263" s="214">
        <v>2.4</v>
      </c>
      <c r="I263" s="214">
        <v>42.6</v>
      </c>
      <c r="K263" s="71">
        <f t="shared" si="37"/>
        <v>39.575018084330026</v>
      </c>
      <c r="L263" s="71">
        <f t="shared" si="31"/>
        <v>3.0249819156699758</v>
      </c>
      <c r="M263" s="71">
        <f t="shared" si="32"/>
        <v>3.0249819156699758</v>
      </c>
      <c r="N263" s="175">
        <f t="shared" si="33"/>
        <v>9.1505155901303965</v>
      </c>
      <c r="O263" s="71">
        <f t="shared" si="34"/>
        <v>7.1008965156572193E-2</v>
      </c>
      <c r="P263" s="176"/>
      <c r="Q263" s="144"/>
      <c r="R263" s="175">
        <f t="shared" si="35"/>
        <v>58.055054002127598</v>
      </c>
      <c r="S263" s="71">
        <f t="shared" si="36"/>
        <v>21.10855551401945</v>
      </c>
    </row>
    <row r="264" spans="1:19">
      <c r="A264" s="162">
        <f>'Q.6a Model 1'!A266</f>
        <v>2.7</v>
      </c>
      <c r="B264" s="162">
        <f>'Q.6a Model 1'!B266</f>
        <v>35.9</v>
      </c>
      <c r="C264" s="163">
        <f>'Q.6a Model 2'!A266</f>
        <v>2</v>
      </c>
      <c r="D264" s="163">
        <f>'Q.6a Model 2'!B266</f>
        <v>42.575000000000003</v>
      </c>
      <c r="E264" s="10">
        <f>'Q.6a Model 3'!$A266</f>
        <v>3.6</v>
      </c>
      <c r="F264" s="10">
        <f>'Q.6a Model 3'!$B266</f>
        <v>33</v>
      </c>
      <c r="H264" s="214">
        <v>3.6</v>
      </c>
      <c r="I264" s="214">
        <v>33</v>
      </c>
      <c r="K264" s="71">
        <f t="shared" si="37"/>
        <v>34.516292506401243</v>
      </c>
      <c r="L264" s="71">
        <f t="shared" si="31"/>
        <v>-1.5162925064012427</v>
      </c>
      <c r="M264" s="71">
        <f t="shared" si="32"/>
        <v>1.5162925064012427</v>
      </c>
      <c r="N264" s="175">
        <f t="shared" si="33"/>
        <v>2.2991429649685626</v>
      </c>
      <c r="O264" s="71">
        <f t="shared" si="34"/>
        <v>4.5948257769734629E-2</v>
      </c>
      <c r="P264" s="176"/>
      <c r="Q264" s="144"/>
      <c r="R264" s="175">
        <f t="shared" si="35"/>
        <v>3.9228289614771419</v>
      </c>
      <c r="S264" s="71">
        <f t="shared" si="36"/>
        <v>0.21559377999002097</v>
      </c>
    </row>
    <row r="265" spans="1:19">
      <c r="A265" s="162">
        <f>'Q.6a Model 1'!A267</f>
        <v>2</v>
      </c>
      <c r="B265" s="162">
        <f>'Q.6a Model 1'!B267</f>
        <v>34.1</v>
      </c>
      <c r="C265" s="163">
        <f>'Q.6a Model 2'!A267</f>
        <v>2.5</v>
      </c>
      <c r="D265" s="163">
        <f>'Q.6a Model 2'!B267</f>
        <v>39.200000000000003</v>
      </c>
      <c r="E265" s="10">
        <f>'Q.6a Model 3'!$A267</f>
        <v>3.5</v>
      </c>
      <c r="F265" s="10">
        <f>'Q.6a Model 3'!$B267</f>
        <v>31.947500000000002</v>
      </c>
      <c r="H265" s="214">
        <v>3.5</v>
      </c>
      <c r="I265" s="214">
        <v>31.947500000000002</v>
      </c>
      <c r="K265" s="71">
        <f t="shared" si="37"/>
        <v>34.937852971228637</v>
      </c>
      <c r="L265" s="71">
        <f t="shared" si="31"/>
        <v>-2.990352971228635</v>
      </c>
      <c r="M265" s="71">
        <f t="shared" si="32"/>
        <v>2.990352971228635</v>
      </c>
      <c r="N265" s="175">
        <f t="shared" si="33"/>
        <v>8.9422108925359254</v>
      </c>
      <c r="O265" s="71">
        <f t="shared" si="34"/>
        <v>9.3602096290120812E-2</v>
      </c>
      <c r="P265" s="176"/>
      <c r="Q265" s="144"/>
      <c r="R265" s="175">
        <f t="shared" si="35"/>
        <v>9.1997761640516558</v>
      </c>
      <c r="S265" s="71">
        <f t="shared" si="36"/>
        <v>1.828443932057986E-3</v>
      </c>
    </row>
    <row r="266" spans="1:19">
      <c r="A266" s="162">
        <f>'Q.6a Model 1'!A268</f>
        <v>3.6</v>
      </c>
      <c r="B266" s="162">
        <f>'Q.6a Model 1'!B268</f>
        <v>38.1</v>
      </c>
      <c r="C266" s="163">
        <f>'Q.6a Model 2'!A268</f>
        <v>4</v>
      </c>
      <c r="D266" s="163">
        <f>'Q.6a Model 2'!B268</f>
        <v>27.1846</v>
      </c>
      <c r="E266" s="10">
        <f>'Q.6a Model 3'!$A268</f>
        <v>2.2999999999999998</v>
      </c>
      <c r="F266" s="10">
        <f>'Q.6a Model 3'!$B268</f>
        <v>39.200000000000003</v>
      </c>
      <c r="H266" s="214">
        <v>2.2999999999999998</v>
      </c>
      <c r="I266" s="214">
        <v>39.200000000000003</v>
      </c>
      <c r="K266" s="71">
        <f t="shared" si="37"/>
        <v>39.996578549157427</v>
      </c>
      <c r="L266" s="71">
        <f t="shared" si="31"/>
        <v>-0.79657854915742377</v>
      </c>
      <c r="M266" s="71">
        <f t="shared" si="32"/>
        <v>0.79657854915742377</v>
      </c>
      <c r="N266" s="175">
        <f t="shared" si="33"/>
        <v>0.63453738497774614</v>
      </c>
      <c r="O266" s="71">
        <f t="shared" si="34"/>
        <v>2.0320881356056728E-2</v>
      </c>
      <c r="P266" s="176"/>
      <c r="Q266" s="144"/>
      <c r="R266" s="175">
        <f t="shared" si="35"/>
        <v>17.803224300230575</v>
      </c>
      <c r="S266" s="71">
        <f t="shared" si="36"/>
        <v>25.159907590093329</v>
      </c>
    </row>
    <row r="267" spans="1:19">
      <c r="A267" s="162">
        <f>'Q.6a Model 1'!A269</f>
        <v>5.4</v>
      </c>
      <c r="B267" s="162">
        <f>'Q.6a Model 1'!B269</f>
        <v>27</v>
      </c>
      <c r="C267" s="163">
        <f>'Q.6a Model 2'!A269</f>
        <v>3.5</v>
      </c>
      <c r="D267" s="163">
        <f>'Q.6a Model 2'!B269</f>
        <v>34.200000000000003</v>
      </c>
      <c r="E267" s="10">
        <f>'Q.6a Model 3'!$A269</f>
        <v>2.9</v>
      </c>
      <c r="F267" s="10">
        <f>'Q.6a Model 3'!$B269</f>
        <v>41.360799999999998</v>
      </c>
      <c r="H267" s="214">
        <v>2.9</v>
      </c>
      <c r="I267" s="214">
        <v>41.360799999999998</v>
      </c>
      <c r="K267" s="71">
        <f t="shared" si="37"/>
        <v>37.467215760193035</v>
      </c>
      <c r="L267" s="71">
        <f t="shared" si="31"/>
        <v>3.8935842398069624</v>
      </c>
      <c r="M267" s="71">
        <f t="shared" si="32"/>
        <v>3.8935842398069624</v>
      </c>
      <c r="N267" s="175">
        <f t="shared" si="33"/>
        <v>15.159998232473162</v>
      </c>
      <c r="O267" s="71">
        <f t="shared" si="34"/>
        <v>9.4137063108232014E-2</v>
      </c>
      <c r="P267" s="176"/>
      <c r="Q267" s="144"/>
      <c r="R267" s="175">
        <f t="shared" si="35"/>
        <v>40.706782593130256</v>
      </c>
      <c r="S267" s="71">
        <f t="shared" si="36"/>
        <v>6.1831918988149681</v>
      </c>
    </row>
    <row r="268" spans="1:19">
      <c r="A268" s="162">
        <f>'Q.6a Model 1'!A270</f>
        <v>2.4</v>
      </c>
      <c r="B268" s="162">
        <f>'Q.6a Model 1'!B270</f>
        <v>34.283099999999997</v>
      </c>
      <c r="C268" s="163">
        <f>'Q.6a Model 2'!A270</f>
        <v>3.8</v>
      </c>
      <c r="D268" s="163">
        <f>'Q.6a Model 2'!B270</f>
        <v>34.514800000000001</v>
      </c>
      <c r="E268" s="10">
        <f>'Q.6a Model 3'!$A270</f>
        <v>2</v>
      </c>
      <c r="F268" s="10">
        <f>'Q.6a Model 3'!$B270</f>
        <v>35</v>
      </c>
      <c r="H268" s="214">
        <v>2</v>
      </c>
      <c r="I268" s="214">
        <v>35</v>
      </c>
      <c r="K268" s="71">
        <f t="shared" si="37"/>
        <v>41.261259943639622</v>
      </c>
      <c r="L268" s="71">
        <f t="shared" si="31"/>
        <v>-6.2612599436396223</v>
      </c>
      <c r="M268" s="71">
        <f t="shared" si="32"/>
        <v>6.2612599436396223</v>
      </c>
      <c r="N268" s="175">
        <f t="shared" si="33"/>
        <v>39.20337608182605</v>
      </c>
      <c r="O268" s="71">
        <f t="shared" si="34"/>
        <v>0.17889314124684635</v>
      </c>
      <c r="P268" s="176"/>
      <c r="Q268" s="144"/>
      <c r="R268" s="175">
        <f t="shared" si="35"/>
        <v>3.7584494598312621E-4</v>
      </c>
      <c r="S268" s="71">
        <f t="shared" si="36"/>
        <v>39.446522524380804</v>
      </c>
    </row>
    <row r="269" spans="1:19">
      <c r="A269" s="162">
        <f>'Q.6a Model 1'!A271</f>
        <v>5.6</v>
      </c>
      <c r="B269" s="162">
        <f>'Q.6a Model 1'!B271</f>
        <v>25.008900000000001</v>
      </c>
      <c r="C269" s="163">
        <f>'Q.6a Model 2'!A271</f>
        <v>1.6</v>
      </c>
      <c r="D269" s="163">
        <f>'Q.6a Model 2'!B271</f>
        <v>46.5047</v>
      </c>
      <c r="E269" s="10">
        <f>'Q.6a Model 3'!$A271</f>
        <v>3.5</v>
      </c>
      <c r="F269" s="10">
        <f>'Q.6a Model 3'!$B271</f>
        <v>28.2</v>
      </c>
      <c r="H269" s="214">
        <v>3.5</v>
      </c>
      <c r="I269" s="214">
        <v>28.2</v>
      </c>
      <c r="K269" s="71">
        <f t="shared" si="37"/>
        <v>34.937852971228637</v>
      </c>
      <c r="L269" s="71">
        <f t="shared" si="31"/>
        <v>-6.7378529712286372</v>
      </c>
      <c r="M269" s="71">
        <f t="shared" si="32"/>
        <v>6.7378529712286372</v>
      </c>
      <c r="N269" s="175">
        <f t="shared" si="33"/>
        <v>45.398662661894576</v>
      </c>
      <c r="O269" s="71">
        <f t="shared" si="34"/>
        <v>0.23893095642654744</v>
      </c>
      <c r="P269" s="176"/>
      <c r="Q269" s="144"/>
      <c r="R269" s="175">
        <f t="shared" si="35"/>
        <v>45.976716441151936</v>
      </c>
      <c r="S269" s="71">
        <f t="shared" si="36"/>
        <v>1.828443932057986E-3</v>
      </c>
    </row>
    <row r="270" spans="1:19">
      <c r="A270" s="162">
        <f>'Q.6a Model 1'!A272</f>
        <v>2.5</v>
      </c>
      <c r="B270" s="162">
        <f>'Q.6a Model 1'!B272</f>
        <v>35.922600000000003</v>
      </c>
      <c r="C270" s="163">
        <f>'Q.6a Model 2'!A272</f>
        <v>3.6</v>
      </c>
      <c r="D270" s="163">
        <f>'Q.6a Model 2'!B272</f>
        <v>33.5</v>
      </c>
      <c r="E270" s="10">
        <f>'Q.6a Model 3'!$A272</f>
        <v>3.7</v>
      </c>
      <c r="F270" s="10">
        <f>'Q.6a Model 3'!$B272</f>
        <v>29.799900000000001</v>
      </c>
      <c r="H270" s="214">
        <v>3.7</v>
      </c>
      <c r="I270" s="214">
        <v>29.799900000000001</v>
      </c>
      <c r="K270" s="71">
        <f t="shared" si="37"/>
        <v>34.094732041573842</v>
      </c>
      <c r="L270" s="71">
        <f t="shared" si="31"/>
        <v>-4.2948320415738408</v>
      </c>
      <c r="M270" s="71">
        <f t="shared" si="32"/>
        <v>4.2948320415738408</v>
      </c>
      <c r="N270" s="175">
        <f t="shared" si="33"/>
        <v>18.445582265329325</v>
      </c>
      <c r="O270" s="71">
        <f t="shared" si="34"/>
        <v>0.1441223642218209</v>
      </c>
      <c r="P270" s="176"/>
      <c r="Q270" s="144"/>
      <c r="R270" s="175">
        <f t="shared" si="35"/>
        <v>26.839790080582812</v>
      </c>
      <c r="S270" s="71">
        <f t="shared" si="36"/>
        <v>0.78478556705897329</v>
      </c>
    </row>
    <row r="271" spans="1:19">
      <c r="A271" s="162">
        <f>'Q.6a Model 1'!A273</f>
        <v>7</v>
      </c>
      <c r="B271" s="162">
        <f>'Q.6a Model 1'!B273</f>
        <v>33.700000000000003</v>
      </c>
      <c r="C271" s="163">
        <f>'Q.6a Model 2'!A273</f>
        <v>2.5</v>
      </c>
      <c r="D271" s="163">
        <f>'Q.6a Model 2'!B273</f>
        <v>40.0169</v>
      </c>
      <c r="E271" s="10">
        <f>'Q.6a Model 3'!$A273</f>
        <v>3.5</v>
      </c>
      <c r="F271" s="10">
        <f>'Q.6a Model 3'!$B273</f>
        <v>35</v>
      </c>
      <c r="H271" s="214">
        <v>3.5</v>
      </c>
      <c r="I271" s="214">
        <v>35</v>
      </c>
      <c r="K271" s="71">
        <f t="shared" si="37"/>
        <v>34.937852971228637</v>
      </c>
      <c r="L271" s="71">
        <f t="shared" si="31"/>
        <v>6.2147028771363466E-2</v>
      </c>
      <c r="M271" s="71">
        <f t="shared" si="32"/>
        <v>6.2147028771363466E-2</v>
      </c>
      <c r="N271" s="175">
        <f t="shared" si="33"/>
        <v>3.8622531851086783E-3</v>
      </c>
      <c r="O271" s="71">
        <f t="shared" si="34"/>
        <v>1.7756293934675276E-3</v>
      </c>
      <c r="P271" s="176"/>
      <c r="Q271" s="144"/>
      <c r="R271" s="175">
        <f t="shared" si="35"/>
        <v>3.7584494598312621E-4</v>
      </c>
      <c r="S271" s="71">
        <f t="shared" si="36"/>
        <v>1.828443932057986E-3</v>
      </c>
    </row>
    <row r="272" spans="1:19">
      <c r="A272" s="162">
        <f>'Q.6a Model 1'!A274</f>
        <v>6</v>
      </c>
      <c r="B272" s="162">
        <f>'Q.6a Model 1'!B274</f>
        <v>23.8</v>
      </c>
      <c r="C272" s="163">
        <f>'Q.6a Model 2'!A274</f>
        <v>5</v>
      </c>
      <c r="D272" s="163">
        <f>'Q.6a Model 2'!B274</f>
        <v>25.508199999999999</v>
      </c>
      <c r="E272" s="10">
        <f>'Q.6a Model 3'!$A274</f>
        <v>3</v>
      </c>
      <c r="F272" s="10">
        <f>'Q.6a Model 3'!$B274</f>
        <v>34.5</v>
      </c>
      <c r="H272" s="214">
        <v>3</v>
      </c>
      <c r="I272" s="214">
        <v>34.5</v>
      </c>
      <c r="K272" s="71">
        <f t="shared" si="37"/>
        <v>37.045655295365634</v>
      </c>
      <c r="L272" s="71">
        <f t="shared" si="31"/>
        <v>-2.5456552953656342</v>
      </c>
      <c r="M272" s="71">
        <f t="shared" si="32"/>
        <v>2.5456552953656342</v>
      </c>
      <c r="N272" s="175">
        <f t="shared" si="33"/>
        <v>6.4803608828230939</v>
      </c>
      <c r="O272" s="71">
        <f t="shared" si="34"/>
        <v>7.3787110010598095E-2</v>
      </c>
      <c r="P272" s="176"/>
      <c r="Q272" s="144"/>
      <c r="R272" s="175">
        <f t="shared" si="35"/>
        <v>0.23098912407877287</v>
      </c>
      <c r="S272" s="71">
        <f t="shared" si="36"/>
        <v>4.2643985288070114</v>
      </c>
    </row>
    <row r="273" spans="1:19">
      <c r="A273" s="162">
        <f>'Q.6a Model 1'!A275</f>
        <v>3.4</v>
      </c>
      <c r="B273" s="162">
        <f>'Q.6a Model 1'!B275</f>
        <v>40.997799999999998</v>
      </c>
      <c r="C273" s="163">
        <f>'Q.6a Model 2'!A275</f>
        <v>5.6</v>
      </c>
      <c r="D273" s="163">
        <f>'Q.6a Model 2'!B275</f>
        <v>24.2</v>
      </c>
      <c r="E273" s="10">
        <f>'Q.6a Model 3'!$A275</f>
        <v>2</v>
      </c>
      <c r="F273" s="10">
        <f>'Q.6a Model 3'!$B275</f>
        <v>34.700000000000003</v>
      </c>
      <c r="H273" s="214">
        <v>2</v>
      </c>
      <c r="I273" s="214">
        <v>34.700000000000003</v>
      </c>
      <c r="K273" s="71">
        <f t="shared" si="37"/>
        <v>41.261259943639622</v>
      </c>
      <c r="L273" s="71">
        <f t="shared" si="31"/>
        <v>-6.5612599436396195</v>
      </c>
      <c r="M273" s="71">
        <f t="shared" si="32"/>
        <v>6.5612599436396195</v>
      </c>
      <c r="N273" s="175">
        <f t="shared" si="33"/>
        <v>43.050132048009786</v>
      </c>
      <c r="O273" s="71">
        <f t="shared" si="34"/>
        <v>0.18908530096944146</v>
      </c>
      <c r="P273" s="176"/>
      <c r="Q273" s="144"/>
      <c r="R273" s="175">
        <f t="shared" si="35"/>
        <v>7.8743812425655368E-2</v>
      </c>
      <c r="S273" s="71">
        <f t="shared" si="36"/>
        <v>39.446522524380804</v>
      </c>
    </row>
    <row r="274" spans="1:19">
      <c r="A274" s="162">
        <f>'Q.6a Model 1'!A276</f>
        <v>2.5</v>
      </c>
      <c r="B274" s="162">
        <f>'Q.6a Model 1'!B276</f>
        <v>34.143500000000003</v>
      </c>
      <c r="C274" s="163">
        <f>'Q.6a Model 2'!A276</f>
        <v>3.7</v>
      </c>
      <c r="D274" s="163">
        <f>'Q.6a Model 2'!B276</f>
        <v>35.161999999999999</v>
      </c>
      <c r="E274" s="10">
        <f>'Q.6a Model 3'!$A276</f>
        <v>2</v>
      </c>
      <c r="F274" s="10">
        <f>'Q.6a Model 3'!$B276</f>
        <v>41.8</v>
      </c>
      <c r="H274" s="214">
        <v>2</v>
      </c>
      <c r="I274" s="214">
        <v>41.8</v>
      </c>
      <c r="K274" s="71">
        <f t="shared" si="37"/>
        <v>41.261259943639622</v>
      </c>
      <c r="L274" s="71">
        <f t="shared" si="31"/>
        <v>0.53874005636037481</v>
      </c>
      <c r="M274" s="71">
        <f t="shared" si="32"/>
        <v>0.53874005636037481</v>
      </c>
      <c r="N274" s="175">
        <f t="shared" si="33"/>
        <v>0.29024084832717983</v>
      </c>
      <c r="O274" s="71">
        <f t="shared" si="34"/>
        <v>1.288851809474581E-2</v>
      </c>
      <c r="P274" s="176"/>
      <c r="Q274" s="144"/>
      <c r="R274" s="175">
        <f t="shared" si="35"/>
        <v>46.504035248740003</v>
      </c>
      <c r="S274" s="71">
        <f t="shared" si="36"/>
        <v>39.446522524380804</v>
      </c>
    </row>
    <row r="275" spans="1:19">
      <c r="A275" s="162">
        <f>'Q.6a Model 1'!A277</f>
        <v>3.2</v>
      </c>
      <c r="B275" s="162">
        <f>'Q.6a Model 1'!B277</f>
        <v>29.743099999999998</v>
      </c>
      <c r="C275" s="163">
        <f>'Q.6a Model 2'!A277</f>
        <v>4.5999999999999996</v>
      </c>
      <c r="D275" s="163">
        <f>'Q.6a Model 2'!B277</f>
        <v>33.305199999999999</v>
      </c>
      <c r="E275" s="10">
        <f>'Q.6a Model 3'!$A277</f>
        <v>6.2</v>
      </c>
      <c r="F275" s="10">
        <f>'Q.6a Model 3'!$B277</f>
        <v>34.349299999999999</v>
      </c>
      <c r="H275" s="214">
        <v>6.2</v>
      </c>
      <c r="I275" s="214">
        <v>34.349299999999999</v>
      </c>
      <c r="K275" s="71">
        <f t="shared" si="37"/>
        <v>23.555720420888871</v>
      </c>
      <c r="L275" s="71">
        <f t="shared" si="31"/>
        <v>10.793579579111128</v>
      </c>
      <c r="M275" s="71">
        <f t="shared" si="32"/>
        <v>10.793579579111128</v>
      </c>
      <c r="N275" s="175">
        <f t="shared" si="33"/>
        <v>116.50136013060477</v>
      </c>
      <c r="O275" s="71">
        <f t="shared" si="34"/>
        <v>0.31422997205506747</v>
      </c>
      <c r="P275" s="176"/>
      <c r="Q275" s="144"/>
      <c r="R275" s="175">
        <f t="shared" si="35"/>
        <v>0.3985564564093963</v>
      </c>
      <c r="S275" s="71">
        <f t="shared" si="36"/>
        <v>130.52817682235289</v>
      </c>
    </row>
    <row r="276" spans="1:19">
      <c r="A276" s="162">
        <f>'Q.6a Model 1'!A278</f>
        <v>3.7</v>
      </c>
      <c r="B276" s="162">
        <f>'Q.6a Model 1'!B278</f>
        <v>31.6</v>
      </c>
      <c r="C276" s="163">
        <f>'Q.6a Model 2'!A278</f>
        <v>5.6</v>
      </c>
      <c r="D276" s="163">
        <f>'Q.6a Model 2'!B278</f>
        <v>24.192399999999999</v>
      </c>
      <c r="E276" s="10">
        <f>'Q.6a Model 3'!$A278</f>
        <v>2.4</v>
      </c>
      <c r="F276" s="10">
        <f>'Q.6a Model 3'!$B278</f>
        <v>39.200000000000003</v>
      </c>
      <c r="H276" s="214">
        <v>2.4</v>
      </c>
      <c r="I276" s="214">
        <v>39.200000000000003</v>
      </c>
      <c r="K276" s="71">
        <f t="shared" si="37"/>
        <v>39.575018084330026</v>
      </c>
      <c r="L276" s="71">
        <f t="shared" si="31"/>
        <v>-0.37501808433002282</v>
      </c>
      <c r="M276" s="71">
        <f t="shared" si="32"/>
        <v>0.37501808433002282</v>
      </c>
      <c r="N276" s="175">
        <f t="shared" si="33"/>
        <v>0.14063856357456012</v>
      </c>
      <c r="O276" s="71">
        <f t="shared" si="34"/>
        <v>9.5667878655618065E-3</v>
      </c>
      <c r="P276" s="176"/>
      <c r="Q276" s="144"/>
      <c r="R276" s="175">
        <f t="shared" si="35"/>
        <v>17.803224300230575</v>
      </c>
      <c r="S276" s="71">
        <f t="shared" si="36"/>
        <v>21.10855551401945</v>
      </c>
    </row>
    <row r="277" spans="1:19">
      <c r="A277" s="162">
        <f>'Q.6a Model 1'!A279</f>
        <v>3</v>
      </c>
      <c r="B277" s="162">
        <f>'Q.6a Model 1'!B279</f>
        <v>38.299999999999997</v>
      </c>
      <c r="C277" s="163">
        <f>'Q.6a Model 2'!A279</f>
        <v>3</v>
      </c>
      <c r="D277" s="163">
        <f>'Q.6a Model 2'!B279</f>
        <v>34.285299999999999</v>
      </c>
      <c r="E277" s="10">
        <f>'Q.6a Model 3'!$A279</f>
        <v>4</v>
      </c>
      <c r="F277" s="10">
        <f>'Q.6a Model 3'!$B279</f>
        <v>35.200000000000003</v>
      </c>
      <c r="H277" s="214">
        <v>4</v>
      </c>
      <c r="I277" s="214">
        <v>35.200000000000003</v>
      </c>
      <c r="K277" s="71">
        <f t="shared" si="37"/>
        <v>32.830050647091646</v>
      </c>
      <c r="L277" s="71">
        <f t="shared" ref="L277:L340" si="38">I277-K277</f>
        <v>2.3699493529083568</v>
      </c>
      <c r="M277" s="71">
        <f t="shared" ref="M277:M340" si="39">ABS(L277)</f>
        <v>2.3699493529083568</v>
      </c>
      <c r="N277" s="175">
        <f t="shared" ref="N277:N340" si="40">M277^2</f>
        <v>5.6166599353507394</v>
      </c>
      <c r="O277" s="71">
        <f t="shared" ref="O277:O340" si="41">M277/I277</f>
        <v>6.7328106616714678E-2</v>
      </c>
      <c r="P277" s="176"/>
      <c r="Q277" s="144"/>
      <c r="R277" s="175">
        <f t="shared" si="35"/>
        <v>4.8130533292868483E-2</v>
      </c>
      <c r="S277" s="71">
        <f t="shared" si="36"/>
        <v>4.6249196343317314</v>
      </c>
    </row>
    <row r="278" spans="1:19">
      <c r="A278" s="162">
        <f>'Q.6a Model 1'!A280</f>
        <v>3.5</v>
      </c>
      <c r="B278" s="162">
        <f>'Q.6a Model 1'!B280</f>
        <v>36.200000000000003</v>
      </c>
      <c r="C278" s="163">
        <f>'Q.6a Model 2'!A280</f>
        <v>8</v>
      </c>
      <c r="D278" s="163">
        <f>'Q.6a Model 2'!B280</f>
        <v>17.8</v>
      </c>
      <c r="E278" s="10">
        <f>'Q.6a Model 3'!$A280</f>
        <v>2.4</v>
      </c>
      <c r="F278" s="10">
        <f>'Q.6a Model 3'!$B280</f>
        <v>41.9</v>
      </c>
      <c r="H278" s="214">
        <v>2.4</v>
      </c>
      <c r="I278" s="214">
        <v>41.9</v>
      </c>
      <c r="K278" s="71">
        <f t="shared" si="37"/>
        <v>39.575018084330026</v>
      </c>
      <c r="L278" s="71">
        <f t="shared" si="38"/>
        <v>2.3249819156699729</v>
      </c>
      <c r="M278" s="71">
        <f t="shared" si="39"/>
        <v>2.3249819156699729</v>
      </c>
      <c r="N278" s="175">
        <f t="shared" si="40"/>
        <v>5.4055409081924175</v>
      </c>
      <c r="O278" s="71">
        <f t="shared" si="41"/>
        <v>5.5488828536276208E-2</v>
      </c>
      <c r="P278" s="176"/>
      <c r="Q278" s="144"/>
      <c r="R278" s="175">
        <f t="shared" si="35"/>
        <v>47.877912592913468</v>
      </c>
      <c r="S278" s="71">
        <f t="shared" si="36"/>
        <v>21.10855551401945</v>
      </c>
    </row>
    <row r="279" spans="1:19">
      <c r="A279" s="162">
        <f>'Q.6a Model 1'!A281</f>
        <v>3.6</v>
      </c>
      <c r="B279" s="162">
        <f>'Q.6a Model 1'!B281</f>
        <v>36.439500000000002</v>
      </c>
      <c r="C279" s="163">
        <f>'Q.6a Model 2'!A281</f>
        <v>4.5999999999999996</v>
      </c>
      <c r="D279" s="163">
        <f>'Q.6a Model 2'!B281</f>
        <v>33.550899999999999</v>
      </c>
      <c r="E279" s="10">
        <f>'Q.6a Model 3'!$A281</f>
        <v>4.7</v>
      </c>
      <c r="F279" s="10">
        <f>'Q.6a Model 3'!$B281</f>
        <v>26.560400000000001</v>
      </c>
      <c r="H279" s="214">
        <v>4.7</v>
      </c>
      <c r="I279" s="214">
        <v>26.560400000000001</v>
      </c>
      <c r="K279" s="71">
        <f t="shared" si="37"/>
        <v>29.879127393299854</v>
      </c>
      <c r="L279" s="71">
        <f t="shared" si="38"/>
        <v>-3.3187273932998522</v>
      </c>
      <c r="M279" s="71">
        <f t="shared" si="39"/>
        <v>3.3187273932998522</v>
      </c>
      <c r="N279" s="175">
        <f t="shared" si="40"/>
        <v>11.013951511038831</v>
      </c>
      <c r="O279" s="71">
        <f t="shared" si="41"/>
        <v>0.12495020381093101</v>
      </c>
      <c r="P279" s="176"/>
      <c r="Q279" s="144"/>
      <c r="R279" s="175">
        <f t="shared" si="35"/>
        <v>70.899991666084148</v>
      </c>
      <c r="S279" s="71">
        <f t="shared" si="36"/>
        <v>26.025158243352656</v>
      </c>
    </row>
    <row r="280" spans="1:19">
      <c r="A280" s="162">
        <f>'Q.6a Model 1'!A282</f>
        <v>4</v>
      </c>
      <c r="B280" s="162">
        <f>'Q.6a Model 1'!B282</f>
        <v>27.3704</v>
      </c>
      <c r="C280" s="163">
        <f>'Q.6a Model 2'!A282</f>
        <v>2</v>
      </c>
      <c r="D280" s="163">
        <f>'Q.6a Model 2'!B282</f>
        <v>39.7256</v>
      </c>
      <c r="E280" s="10">
        <f>'Q.6a Model 3'!$A282</f>
        <v>3</v>
      </c>
      <c r="F280" s="10">
        <f>'Q.6a Model 3'!$B282</f>
        <v>35.883099999999999</v>
      </c>
      <c r="H280" s="214">
        <v>3</v>
      </c>
      <c r="I280" s="214">
        <v>35.883099999999999</v>
      </c>
      <c r="K280" s="71">
        <f t="shared" si="37"/>
        <v>37.045655295365634</v>
      </c>
      <c r="L280" s="71">
        <f t="shared" si="38"/>
        <v>-1.1625552953656353</v>
      </c>
      <c r="M280" s="71">
        <f t="shared" si="39"/>
        <v>1.1625552953656353</v>
      </c>
      <c r="N280" s="175">
        <f t="shared" si="40"/>
        <v>1.3515348147826796</v>
      </c>
      <c r="O280" s="71">
        <f t="shared" si="41"/>
        <v>3.2398407477771854E-2</v>
      </c>
      <c r="P280" s="176"/>
      <c r="Q280" s="144"/>
      <c r="R280" s="175">
        <f t="shared" si="35"/>
        <v>0.81448228134164791</v>
      </c>
      <c r="S280" s="71">
        <f t="shared" si="36"/>
        <v>4.2643985288070114</v>
      </c>
    </row>
    <row r="281" spans="1:19">
      <c r="A281" s="162">
        <f>'Q.6a Model 1'!A283</f>
        <v>5</v>
      </c>
      <c r="B281" s="162">
        <f>'Q.6a Model 1'!B283</f>
        <v>29.7559</v>
      </c>
      <c r="C281" s="163">
        <f>'Q.6a Model 2'!A283</f>
        <v>4</v>
      </c>
      <c r="D281" s="163">
        <f>'Q.6a Model 2'!B283</f>
        <v>32.756799999999998</v>
      </c>
      <c r="E281" s="10">
        <f>'Q.6a Model 3'!$A283</f>
        <v>1.6</v>
      </c>
      <c r="F281" s="10">
        <f>'Q.6a Model 3'!$B283</f>
        <v>47.202500000000001</v>
      </c>
      <c r="H281" s="214">
        <v>1.6</v>
      </c>
      <c r="I281" s="214">
        <v>47.202500000000001</v>
      </c>
      <c r="K281" s="71">
        <f t="shared" si="37"/>
        <v>42.947501802949219</v>
      </c>
      <c r="L281" s="71">
        <f t="shared" si="38"/>
        <v>4.2549981970507815</v>
      </c>
      <c r="M281" s="71">
        <f t="shared" si="39"/>
        <v>4.2549981970507815</v>
      </c>
      <c r="N281" s="175">
        <f t="shared" si="40"/>
        <v>18.105009656905402</v>
      </c>
      <c r="O281" s="71">
        <f t="shared" si="41"/>
        <v>9.0143492337286829E-2</v>
      </c>
      <c r="P281" s="176"/>
      <c r="Q281" s="144"/>
      <c r="R281" s="175">
        <f t="shared" si="35"/>
        <v>149.37451501771025</v>
      </c>
      <c r="S281" s="71">
        <f t="shared" si="36"/>
        <v>63.471312750917924</v>
      </c>
    </row>
    <row r="282" spans="1:19">
      <c r="A282" s="162">
        <f>'Q.6a Model 1'!A284</f>
        <v>4</v>
      </c>
      <c r="B282" s="162">
        <f>'Q.6a Model 1'!B284</f>
        <v>31.4</v>
      </c>
      <c r="C282" s="163">
        <f>'Q.6a Model 2'!A284</f>
        <v>3.3</v>
      </c>
      <c r="D282" s="163">
        <f>'Q.6a Model 2'!B284</f>
        <v>33.098799999999997</v>
      </c>
      <c r="E282" s="10">
        <f>'Q.6a Model 3'!$A284</f>
        <v>3.5</v>
      </c>
      <c r="F282" s="10">
        <f>'Q.6a Model 3'!$B284</f>
        <v>34.700000000000003</v>
      </c>
      <c r="H282" s="214">
        <v>3.5</v>
      </c>
      <c r="I282" s="214">
        <v>34.700000000000003</v>
      </c>
      <c r="K282" s="71">
        <f t="shared" si="37"/>
        <v>34.937852971228637</v>
      </c>
      <c r="L282" s="71">
        <f t="shared" si="38"/>
        <v>-0.23785297122863369</v>
      </c>
      <c r="M282" s="71">
        <f t="shared" si="39"/>
        <v>0.23785297122863369</v>
      </c>
      <c r="N282" s="175">
        <f t="shared" si="40"/>
        <v>5.6574035922289247E-2</v>
      </c>
      <c r="O282" s="71">
        <f t="shared" si="41"/>
        <v>6.854552484975034E-3</v>
      </c>
      <c r="P282" s="176"/>
      <c r="Q282" s="144"/>
      <c r="R282" s="175">
        <f t="shared" si="35"/>
        <v>7.8743812425655368E-2</v>
      </c>
      <c r="S282" s="71">
        <f t="shared" si="36"/>
        <v>1.828443932057986E-3</v>
      </c>
    </row>
    <row r="283" spans="1:19">
      <c r="A283" s="162">
        <f>'Q.6a Model 1'!A285</f>
        <v>2</v>
      </c>
      <c r="B283" s="162">
        <f>'Q.6a Model 1'!B285</f>
        <v>41.707799999999999</v>
      </c>
      <c r="C283" s="163">
        <f>'Q.6a Model 2'!A285</f>
        <v>2.5</v>
      </c>
      <c r="D283" s="163">
        <f>'Q.6a Model 2'!B285</f>
        <v>36.030700000000003</v>
      </c>
      <c r="E283" s="10">
        <f>'Q.6a Model 3'!$A285</f>
        <v>3.8</v>
      </c>
      <c r="F283" s="10">
        <f>'Q.6a Model 3'!$B285</f>
        <v>38.299999999999997</v>
      </c>
      <c r="H283" s="214">
        <v>3.8</v>
      </c>
      <c r="I283" s="214">
        <v>38.299999999999997</v>
      </c>
      <c r="K283" s="71">
        <f t="shared" si="37"/>
        <v>33.673171576746441</v>
      </c>
      <c r="L283" s="71">
        <f t="shared" si="38"/>
        <v>4.6268284232535564</v>
      </c>
      <c r="M283" s="71">
        <f t="shared" si="39"/>
        <v>4.6268284232535564</v>
      </c>
      <c r="N283" s="175">
        <f t="shared" si="40"/>
        <v>21.407541258226992</v>
      </c>
      <c r="O283" s="71">
        <f t="shared" si="41"/>
        <v>0.1208049196671947</v>
      </c>
      <c r="P283" s="176"/>
      <c r="Q283" s="144"/>
      <c r="R283" s="175">
        <f t="shared" si="35"/>
        <v>11.018328202669553</v>
      </c>
      <c r="S283" s="71">
        <f t="shared" si="36"/>
        <v>1.7094038051389142</v>
      </c>
    </row>
    <row r="284" spans="1:19">
      <c r="A284" s="162">
        <f>'Q.6a Model 1'!A286</f>
        <v>4</v>
      </c>
      <c r="B284" s="162">
        <f>'Q.6a Model 1'!B286</f>
        <v>27.234000000000002</v>
      </c>
      <c r="C284" s="163">
        <f>'Q.6a Model 2'!A286</f>
        <v>3.6</v>
      </c>
      <c r="D284" s="163">
        <f>'Q.6a Model 2'!B286</f>
        <v>34.875399999999999</v>
      </c>
      <c r="E284" s="10">
        <f>'Q.6a Model 3'!$A286</f>
        <v>5</v>
      </c>
      <c r="F284" s="10">
        <f>'Q.6a Model 3'!$B286</f>
        <v>23.227</v>
      </c>
      <c r="H284" s="214">
        <v>5</v>
      </c>
      <c r="I284" s="214">
        <v>23.227</v>
      </c>
      <c r="K284" s="71">
        <f t="shared" si="37"/>
        <v>28.614445998817658</v>
      </c>
      <c r="L284" s="71">
        <f t="shared" si="38"/>
        <v>-5.3874459988176575</v>
      </c>
      <c r="M284" s="71">
        <f t="shared" si="39"/>
        <v>5.3874459988176575</v>
      </c>
      <c r="N284" s="175">
        <f t="shared" si="40"/>
        <v>29.024574390176387</v>
      </c>
      <c r="O284" s="71">
        <f t="shared" si="41"/>
        <v>0.23194756097721003</v>
      </c>
      <c r="P284" s="176"/>
      <c r="Q284" s="144"/>
      <c r="R284" s="175">
        <f t="shared" si="35"/>
        <v>138.14742511540663</v>
      </c>
      <c r="S284" s="71">
        <f t="shared" si="36"/>
        <v>40.528085840954965</v>
      </c>
    </row>
    <row r="285" spans="1:19">
      <c r="A285" s="162">
        <f>'Q.6a Model 1'!A287</f>
        <v>6.5</v>
      </c>
      <c r="B285" s="162">
        <f>'Q.6a Model 1'!B287</f>
        <v>19.899999999999999</v>
      </c>
      <c r="C285" s="163">
        <f>'Q.6a Model 2'!A287</f>
        <v>2.5</v>
      </c>
      <c r="D285" s="163">
        <f>'Q.6a Model 2'!B287</f>
        <v>38.6</v>
      </c>
      <c r="E285" s="10">
        <f>'Q.6a Model 3'!$A287</f>
        <v>4.5999999999999996</v>
      </c>
      <c r="F285" s="10">
        <f>'Q.6a Model 3'!$B287</f>
        <v>34.049900000000001</v>
      </c>
      <c r="H285" s="214">
        <v>4.5999999999999996</v>
      </c>
      <c r="I285" s="214">
        <v>34.049900000000001</v>
      </c>
      <c r="K285" s="71">
        <f t="shared" si="37"/>
        <v>30.300687858127255</v>
      </c>
      <c r="L285" s="71">
        <f t="shared" si="38"/>
        <v>3.7492121418727464</v>
      </c>
      <c r="M285" s="71">
        <f t="shared" si="39"/>
        <v>3.7492121418727464</v>
      </c>
      <c r="N285" s="175">
        <f t="shared" si="40"/>
        <v>14.056591684766026</v>
      </c>
      <c r="O285" s="71">
        <f t="shared" si="41"/>
        <v>0.11010934369477579</v>
      </c>
      <c r="P285" s="176"/>
      <c r="Q285" s="144"/>
      <c r="R285" s="175">
        <f t="shared" si="35"/>
        <v>0.86622720795410846</v>
      </c>
      <c r="S285" s="71">
        <f t="shared" si="36"/>
        <v>21.901701946173837</v>
      </c>
    </row>
    <row r="286" spans="1:19">
      <c r="A286" s="162">
        <f>'Q.6a Model 1'!A288</f>
        <v>4.7</v>
      </c>
      <c r="B286" s="162">
        <f>'Q.6a Model 1'!B288</f>
        <v>26.702200000000001</v>
      </c>
      <c r="C286" s="163">
        <f>'Q.6a Model 2'!A288</f>
        <v>2.5</v>
      </c>
      <c r="D286" s="163">
        <f>'Q.6a Model 2'!B288</f>
        <v>40.4</v>
      </c>
      <c r="E286" s="10">
        <f>'Q.6a Model 3'!$A288</f>
        <v>5.3</v>
      </c>
      <c r="F286" s="10">
        <f>'Q.6a Model 3'!$B288</f>
        <v>27.9</v>
      </c>
      <c r="H286" s="214">
        <v>5.3</v>
      </c>
      <c r="I286" s="214">
        <v>27.9</v>
      </c>
      <c r="K286" s="71">
        <f t="shared" si="37"/>
        <v>27.349764604335462</v>
      </c>
      <c r="L286" s="71">
        <f t="shared" si="38"/>
        <v>0.5502353956645365</v>
      </c>
      <c r="M286" s="71">
        <f t="shared" si="39"/>
        <v>0.5502353956645365</v>
      </c>
      <c r="N286" s="175">
        <f t="shared" si="40"/>
        <v>0.30275899064210904</v>
      </c>
      <c r="O286" s="71">
        <f t="shared" si="41"/>
        <v>1.9721698769338228E-2</v>
      </c>
      <c r="P286" s="176"/>
      <c r="Q286" s="144"/>
      <c r="R286" s="175">
        <f t="shared" si="35"/>
        <v>50.13508440863162</v>
      </c>
      <c r="S286" s="71">
        <f t="shared" si="36"/>
        <v>58.229851497656135</v>
      </c>
    </row>
    <row r="287" spans="1:19">
      <c r="A287" s="162">
        <f>'Q.6a Model 1'!A289</f>
        <v>3.6</v>
      </c>
      <c r="B287" s="162">
        <f>'Q.6a Model 1'!B289</f>
        <v>29.5</v>
      </c>
      <c r="C287" s="163">
        <f>'Q.6a Model 2'!A289</f>
        <v>6.5</v>
      </c>
      <c r="D287" s="163">
        <f>'Q.6a Model 2'!B289</f>
        <v>19.899999999999999</v>
      </c>
      <c r="E287" s="10">
        <f>'Q.6a Model 3'!$A289</f>
        <v>3.2</v>
      </c>
      <c r="F287" s="10">
        <f>'Q.6a Model 3'!$B289</f>
        <v>36.4</v>
      </c>
      <c r="H287" s="214">
        <v>3.2</v>
      </c>
      <c r="I287" s="214">
        <v>36.4</v>
      </c>
      <c r="K287" s="71">
        <f t="shared" si="37"/>
        <v>36.202534365710832</v>
      </c>
      <c r="L287" s="71">
        <f t="shared" si="38"/>
        <v>0.1974656342891663</v>
      </c>
      <c r="M287" s="71">
        <f t="shared" si="39"/>
        <v>0.1974656342891663</v>
      </c>
      <c r="N287" s="175">
        <f t="shared" si="40"/>
        <v>3.8992676725222768E-2</v>
      </c>
      <c r="O287" s="71">
        <f t="shared" si="41"/>
        <v>5.4248800628891843E-3</v>
      </c>
      <c r="P287" s="176"/>
      <c r="Q287" s="144"/>
      <c r="R287" s="175">
        <f t="shared" si="35"/>
        <v>2.0146586633741679</v>
      </c>
      <c r="S287" s="71">
        <f t="shared" si="36"/>
        <v>1.4930911418240642</v>
      </c>
    </row>
    <row r="288" spans="1:19">
      <c r="A288" s="162">
        <f>'Q.6a Model 1'!A290</f>
        <v>2.2999999999999998</v>
      </c>
      <c r="B288" s="162">
        <f>'Q.6a Model 1'!B290</f>
        <v>34.700000000000003</v>
      </c>
      <c r="C288" s="163">
        <f>'Q.6a Model 2'!A290</f>
        <v>3</v>
      </c>
      <c r="D288" s="163">
        <f>'Q.6a Model 2'!B290</f>
        <v>34.4</v>
      </c>
      <c r="E288" s="10">
        <f>'Q.6a Model 3'!$A290</f>
        <v>4.7</v>
      </c>
      <c r="F288" s="10">
        <f>'Q.6a Model 3'!$B290</f>
        <v>23.8</v>
      </c>
      <c r="H288" s="214">
        <v>4.7</v>
      </c>
      <c r="I288" s="214">
        <v>23.8</v>
      </c>
      <c r="K288" s="71">
        <f t="shared" si="37"/>
        <v>29.879127393299854</v>
      </c>
      <c r="L288" s="71">
        <f t="shared" si="38"/>
        <v>-6.0791273932998529</v>
      </c>
      <c r="M288" s="71">
        <f t="shared" si="39"/>
        <v>6.0791273932998529</v>
      </c>
      <c r="N288" s="175">
        <f t="shared" si="40"/>
        <v>36.955789863968661</v>
      </c>
      <c r="O288" s="71">
        <f t="shared" si="41"/>
        <v>0.25542552072688457</v>
      </c>
      <c r="P288" s="176"/>
      <c r="Q288" s="144"/>
      <c r="R288" s="175">
        <f t="shared" si="35"/>
        <v>125.00611329752046</v>
      </c>
      <c r="S288" s="71">
        <f t="shared" si="36"/>
        <v>26.025158243352656</v>
      </c>
    </row>
    <row r="289" spans="1:19">
      <c r="A289" s="162">
        <f>'Q.6a Model 1'!A291</f>
        <v>2.4</v>
      </c>
      <c r="B289" s="162">
        <f>'Q.6a Model 1'!B291</f>
        <v>38.200000000000003</v>
      </c>
      <c r="C289" s="163">
        <f>'Q.6a Model 2'!A291</f>
        <v>4</v>
      </c>
      <c r="D289" s="163">
        <f>'Q.6a Model 2'!B291</f>
        <v>25.753499999999999</v>
      </c>
      <c r="E289" s="10">
        <f>'Q.6a Model 3'!$A291</f>
        <v>6.2</v>
      </c>
      <c r="F289" s="10">
        <f>'Q.6a Model 3'!$B291</f>
        <v>35.200000000000003</v>
      </c>
      <c r="H289" s="214">
        <v>6.2</v>
      </c>
      <c r="I289" s="214">
        <v>35.200000000000003</v>
      </c>
      <c r="K289" s="71">
        <f t="shared" si="37"/>
        <v>23.555720420888871</v>
      </c>
      <c r="L289" s="71">
        <f t="shared" si="38"/>
        <v>11.644279579111132</v>
      </c>
      <c r="M289" s="71">
        <f t="shared" si="39"/>
        <v>11.644279579111132</v>
      </c>
      <c r="N289" s="175">
        <f t="shared" si="40"/>
        <v>135.58924691650452</v>
      </c>
      <c r="O289" s="71">
        <f t="shared" si="41"/>
        <v>0.33080339713383894</v>
      </c>
      <c r="P289" s="176"/>
      <c r="Q289" s="144"/>
      <c r="R289" s="175">
        <f t="shared" si="35"/>
        <v>4.8130533292868483E-2</v>
      </c>
      <c r="S289" s="71">
        <f t="shared" si="36"/>
        <v>130.52817682235289</v>
      </c>
    </row>
    <row r="290" spans="1:19">
      <c r="A290" s="162">
        <f>'Q.6a Model 1'!A292</f>
        <v>5.3</v>
      </c>
      <c r="B290" s="162">
        <f>'Q.6a Model 1'!B292</f>
        <v>28.993500000000001</v>
      </c>
      <c r="C290" s="163">
        <f>'Q.6a Model 2'!A292</f>
        <v>3.2</v>
      </c>
      <c r="D290" s="163">
        <f>'Q.6a Model 2'!B292</f>
        <v>29.7</v>
      </c>
      <c r="E290" s="10">
        <f>'Q.6a Model 3'!$A292</f>
        <v>5</v>
      </c>
      <c r="F290" s="10">
        <f>'Q.6a Model 3'!$B292</f>
        <v>24.0505</v>
      </c>
      <c r="H290" s="214">
        <v>5</v>
      </c>
      <c r="I290" s="214">
        <v>24.0505</v>
      </c>
      <c r="K290" s="71">
        <f t="shared" si="37"/>
        <v>28.614445998817658</v>
      </c>
      <c r="L290" s="71">
        <f t="shared" si="38"/>
        <v>-4.5639459988176583</v>
      </c>
      <c r="M290" s="71">
        <f t="shared" si="39"/>
        <v>4.5639459988176583</v>
      </c>
      <c r="N290" s="175">
        <f t="shared" si="40"/>
        <v>20.829603080123711</v>
      </c>
      <c r="O290" s="71">
        <f t="shared" si="41"/>
        <v>0.18976511917912969</v>
      </c>
      <c r="P290" s="176"/>
      <c r="Q290" s="144"/>
      <c r="R290" s="175">
        <f t="shared" si="35"/>
        <v>119.46737629467495</v>
      </c>
      <c r="S290" s="71">
        <f t="shared" si="36"/>
        <v>40.528085840954965</v>
      </c>
    </row>
    <row r="291" spans="1:19">
      <c r="A291" s="162">
        <f>'Q.6a Model 1'!A293</f>
        <v>4.4000000000000004</v>
      </c>
      <c r="B291" s="162">
        <f>'Q.6a Model 1'!B293</f>
        <v>26.6</v>
      </c>
      <c r="C291" s="163">
        <f>'Q.6a Model 2'!A293</f>
        <v>3.8</v>
      </c>
      <c r="D291" s="163">
        <f>'Q.6a Model 2'!B293</f>
        <v>31.9</v>
      </c>
      <c r="E291" s="10">
        <f>'Q.6a Model 3'!$A293</f>
        <v>2.5</v>
      </c>
      <c r="F291" s="10">
        <f>'Q.6a Model 3'!$B293</f>
        <v>37.057400000000001</v>
      </c>
      <c r="H291" s="214">
        <v>2.5</v>
      </c>
      <c r="I291" s="214">
        <v>37.057400000000001</v>
      </c>
      <c r="K291" s="71">
        <f t="shared" si="37"/>
        <v>39.153457619502632</v>
      </c>
      <c r="L291" s="71">
        <f t="shared" si="38"/>
        <v>-2.0960576195026306</v>
      </c>
      <c r="M291" s="71">
        <f t="shared" si="39"/>
        <v>2.0960576195026306</v>
      </c>
      <c r="N291" s="175">
        <f t="shared" si="40"/>
        <v>4.3934575442750345</v>
      </c>
      <c r="O291" s="71">
        <f t="shared" si="41"/>
        <v>5.6562457687334526E-2</v>
      </c>
      <c r="P291" s="176"/>
      <c r="Q291" s="144"/>
      <c r="R291" s="175">
        <f t="shared" si="35"/>
        <v>4.3130430839703848</v>
      </c>
      <c r="S291" s="71">
        <f t="shared" si="36"/>
        <v>17.412629888956623</v>
      </c>
    </row>
    <row r="292" spans="1:19">
      <c r="A292" s="162">
        <f>'Q.6a Model 1'!A294</f>
        <v>2.4</v>
      </c>
      <c r="B292" s="162">
        <f>'Q.6a Model 1'!B294</f>
        <v>35</v>
      </c>
      <c r="C292" s="163">
        <f>'Q.6a Model 2'!A294</f>
        <v>3.5</v>
      </c>
      <c r="D292" s="163">
        <f>'Q.6a Model 2'!B294</f>
        <v>37.9499</v>
      </c>
      <c r="E292" s="10">
        <f>'Q.6a Model 3'!$A294</f>
        <v>4.2</v>
      </c>
      <c r="F292" s="10">
        <f>'Q.6a Model 3'!$B294</f>
        <v>31.5002</v>
      </c>
      <c r="H292" s="214">
        <v>4.2</v>
      </c>
      <c r="I292" s="214">
        <v>31.5002</v>
      </c>
      <c r="K292" s="71">
        <f t="shared" si="37"/>
        <v>31.986929717436848</v>
      </c>
      <c r="L292" s="71">
        <f t="shared" si="38"/>
        <v>-0.48672971743684812</v>
      </c>
      <c r="M292" s="71">
        <f t="shared" si="39"/>
        <v>0.48672971743684812</v>
      </c>
      <c r="N292" s="175">
        <f t="shared" si="40"/>
        <v>0.23690581783615403</v>
      </c>
      <c r="O292" s="71">
        <f t="shared" si="41"/>
        <v>1.5451638955843078E-2</v>
      </c>
      <c r="P292" s="176"/>
      <c r="Q292" s="144"/>
      <c r="R292" s="175">
        <f t="shared" si="35"/>
        <v>12.113276593563862</v>
      </c>
      <c r="S292" s="71">
        <f t="shared" si="36"/>
        <v>8.9621412675685015</v>
      </c>
    </row>
    <row r="293" spans="1:19">
      <c r="A293" s="162">
        <f>'Q.6a Model 1'!A295</f>
        <v>3.8</v>
      </c>
      <c r="B293" s="162">
        <f>'Q.6a Model 1'!B295</f>
        <v>33.200000000000003</v>
      </c>
      <c r="C293" s="163">
        <f>'Q.6a Model 2'!A295</f>
        <v>4.5999999999999996</v>
      </c>
      <c r="D293" s="163">
        <f>'Q.6a Model 2'!B295</f>
        <v>32.110900000000001</v>
      </c>
      <c r="E293" s="10">
        <f>'Q.6a Model 3'!$A295</f>
        <v>5.3</v>
      </c>
      <c r="F293" s="10">
        <f>'Q.6a Model 3'!$B295</f>
        <v>22.761900000000001</v>
      </c>
      <c r="H293" s="214">
        <v>5.3</v>
      </c>
      <c r="I293" s="214">
        <v>22.761900000000001</v>
      </c>
      <c r="K293" s="71">
        <f t="shared" si="37"/>
        <v>27.349764604335462</v>
      </c>
      <c r="L293" s="71">
        <f t="shared" si="38"/>
        <v>-4.5878646043354614</v>
      </c>
      <c r="M293" s="71">
        <f t="shared" si="39"/>
        <v>4.5878646043354614</v>
      </c>
      <c r="N293" s="175">
        <f t="shared" si="40"/>
        <v>21.048501627714181</v>
      </c>
      <c r="O293" s="71">
        <f t="shared" si="41"/>
        <v>0.20155894737853436</v>
      </c>
      <c r="P293" s="176"/>
      <c r="Q293" s="144"/>
      <c r="R293" s="175">
        <f t="shared" si="35"/>
        <v>149.29695419765596</v>
      </c>
      <c r="S293" s="71">
        <f t="shared" si="36"/>
        <v>58.229851497656135</v>
      </c>
    </row>
    <row r="294" spans="1:19">
      <c r="A294" s="162">
        <f>'Q.6a Model 1'!A296</f>
        <v>2.7</v>
      </c>
      <c r="B294" s="162">
        <f>'Q.6a Model 1'!B296</f>
        <v>35.700000000000003</v>
      </c>
      <c r="C294" s="163">
        <f>'Q.6a Model 2'!A296</f>
        <v>2</v>
      </c>
      <c r="D294" s="163">
        <f>'Q.6a Model 2'!B296</f>
        <v>37</v>
      </c>
      <c r="E294" s="10">
        <f>'Q.6a Model 3'!$A296</f>
        <v>4.5999999999999996</v>
      </c>
      <c r="F294" s="10">
        <f>'Q.6a Model 3'!$B296</f>
        <v>34.200000000000003</v>
      </c>
      <c r="H294" s="214">
        <v>4.5999999999999996</v>
      </c>
      <c r="I294" s="214">
        <v>34.200000000000003</v>
      </c>
      <c r="K294" s="71">
        <f t="shared" si="37"/>
        <v>30.300687858127255</v>
      </c>
      <c r="L294" s="71">
        <f t="shared" si="38"/>
        <v>3.8993121418727483</v>
      </c>
      <c r="M294" s="71">
        <f t="shared" si="39"/>
        <v>3.8993121418727483</v>
      </c>
      <c r="N294" s="175">
        <f t="shared" si="40"/>
        <v>15.20463517975624</v>
      </c>
      <c r="O294" s="71">
        <f t="shared" si="41"/>
        <v>0.11401497490855989</v>
      </c>
      <c r="P294" s="176"/>
      <c r="Q294" s="144"/>
      <c r="R294" s="175">
        <f t="shared" si="35"/>
        <v>0.6093570915584422</v>
      </c>
      <c r="S294" s="71">
        <f t="shared" si="36"/>
        <v>21.901701946173837</v>
      </c>
    </row>
    <row r="295" spans="1:19">
      <c r="A295" s="162">
        <f>'Q.6a Model 1'!A297</f>
        <v>2</v>
      </c>
      <c r="B295" s="162">
        <f>'Q.6a Model 1'!B297</f>
        <v>47.327800000000003</v>
      </c>
      <c r="C295" s="163">
        <f>'Q.6a Model 2'!A297</f>
        <v>3</v>
      </c>
      <c r="D295" s="163">
        <f>'Q.6a Model 2'!B297</f>
        <v>39.710299999999997</v>
      </c>
      <c r="E295" s="10">
        <f>'Q.6a Model 3'!$A297</f>
        <v>2.4</v>
      </c>
      <c r="F295" s="10">
        <f>'Q.6a Model 3'!$B297</f>
        <v>40.200000000000003</v>
      </c>
      <c r="H295" s="214">
        <v>2.4</v>
      </c>
      <c r="I295" s="214">
        <v>40.200000000000003</v>
      </c>
      <c r="K295" s="71">
        <f t="shared" si="37"/>
        <v>39.575018084330026</v>
      </c>
      <c r="L295" s="71">
        <f t="shared" si="38"/>
        <v>0.62498191566997718</v>
      </c>
      <c r="M295" s="71">
        <f t="shared" si="39"/>
        <v>0.62498191566997718</v>
      </c>
      <c r="N295" s="175">
        <f t="shared" si="40"/>
        <v>0.39060239491451448</v>
      </c>
      <c r="O295" s="71">
        <f t="shared" si="41"/>
        <v>1.5546813822636247E-2</v>
      </c>
      <c r="P295" s="176"/>
      <c r="Q295" s="144"/>
      <c r="R295" s="175">
        <f t="shared" si="35"/>
        <v>27.241997741965001</v>
      </c>
      <c r="S295" s="71">
        <f t="shared" si="36"/>
        <v>21.10855551401945</v>
      </c>
    </row>
    <row r="296" spans="1:19">
      <c r="A296" s="162">
        <f>'Q.6a Model 1'!A298</f>
        <v>4.8</v>
      </c>
      <c r="B296" s="162">
        <f>'Q.6a Model 1'!B298</f>
        <v>25.7761</v>
      </c>
      <c r="C296" s="163">
        <f>'Q.6a Model 2'!A298</f>
        <v>1.6</v>
      </c>
      <c r="D296" s="163">
        <f>'Q.6a Model 2'!B298</f>
        <v>51.655500000000004</v>
      </c>
      <c r="E296" s="10">
        <f>'Q.6a Model 3'!$A298</f>
        <v>1.6</v>
      </c>
      <c r="F296" s="10">
        <f>'Q.6a Model 3'!$B298</f>
        <v>47.7592</v>
      </c>
      <c r="H296" s="214">
        <v>1.6</v>
      </c>
      <c r="I296" s="214">
        <v>47.7592</v>
      </c>
      <c r="K296" s="71">
        <f t="shared" si="37"/>
        <v>42.947501802949219</v>
      </c>
      <c r="L296" s="71">
        <f t="shared" si="38"/>
        <v>4.8116981970507808</v>
      </c>
      <c r="M296" s="71">
        <f t="shared" si="39"/>
        <v>4.8116981970507808</v>
      </c>
      <c r="N296" s="175">
        <f t="shared" si="40"/>
        <v>23.152439539501735</v>
      </c>
      <c r="O296" s="71">
        <f t="shared" si="41"/>
        <v>0.10074913727723205</v>
      </c>
      <c r="P296" s="176"/>
      <c r="Q296" s="144"/>
      <c r="R296" s="175">
        <f t="shared" si="35"/>
        <v>163.29227858272381</v>
      </c>
      <c r="S296" s="71">
        <f t="shared" si="36"/>
        <v>63.471312750917924</v>
      </c>
    </row>
    <row r="297" spans="1:19">
      <c r="A297" s="162">
        <f>'Q.6a Model 1'!A299</f>
        <v>2.4</v>
      </c>
      <c r="B297" s="162">
        <f>'Q.6a Model 1'!B299</f>
        <v>42.3947</v>
      </c>
      <c r="C297" s="163">
        <f>'Q.6a Model 2'!A299</f>
        <v>5.3</v>
      </c>
      <c r="D297" s="163">
        <f>'Q.6a Model 2'!B299</f>
        <v>29.370799999999999</v>
      </c>
      <c r="E297" s="10">
        <f>'Q.6a Model 3'!$A299</f>
        <v>3.7</v>
      </c>
      <c r="F297" s="10">
        <f>'Q.6a Model 3'!$B299</f>
        <v>34.299999999999997</v>
      </c>
      <c r="H297" s="214">
        <v>3.7</v>
      </c>
      <c r="I297" s="214">
        <v>34.299999999999997</v>
      </c>
      <c r="K297" s="71">
        <f t="shared" si="37"/>
        <v>34.094732041573842</v>
      </c>
      <c r="L297" s="71">
        <f t="shared" si="38"/>
        <v>0.20526795842615542</v>
      </c>
      <c r="M297" s="71">
        <f t="shared" si="39"/>
        <v>0.20526795842615542</v>
      </c>
      <c r="N297" s="175">
        <f t="shared" si="40"/>
        <v>4.2134934756441866E-2</v>
      </c>
      <c r="O297" s="71">
        <f t="shared" si="41"/>
        <v>5.9844885838529283E-3</v>
      </c>
      <c r="P297" s="176"/>
      <c r="Q297" s="144"/>
      <c r="R297" s="175">
        <f t="shared" si="35"/>
        <v>0.4632344357318926</v>
      </c>
      <c r="S297" s="71">
        <f t="shared" si="36"/>
        <v>0.78478556705897329</v>
      </c>
    </row>
    <row r="298" spans="1:19">
      <c r="A298" s="162">
        <f>'Q.6a Model 1'!A300</f>
        <v>5.2</v>
      </c>
      <c r="B298" s="162">
        <f>'Q.6a Model 1'!B300</f>
        <v>24</v>
      </c>
      <c r="C298" s="163">
        <f>'Q.6a Model 2'!A300</f>
        <v>2.4</v>
      </c>
      <c r="D298" s="163">
        <f>'Q.6a Model 2'!B300</f>
        <v>38.599499999999999</v>
      </c>
      <c r="E298" s="10">
        <f>'Q.6a Model 3'!$A300</f>
        <v>2.2000000000000002</v>
      </c>
      <c r="F298" s="10">
        <f>'Q.6a Model 3'!$B300</f>
        <v>46.8</v>
      </c>
      <c r="H298" s="214">
        <v>2.2000000000000002</v>
      </c>
      <c r="I298" s="214">
        <v>46.8</v>
      </c>
      <c r="K298" s="71">
        <f t="shared" si="37"/>
        <v>40.418139013984828</v>
      </c>
      <c r="L298" s="71">
        <f t="shared" si="38"/>
        <v>6.3818609860151696</v>
      </c>
      <c r="M298" s="71">
        <f t="shared" si="39"/>
        <v>6.3818609860151696</v>
      </c>
      <c r="N298" s="175">
        <f t="shared" si="40"/>
        <v>40.728149644822516</v>
      </c>
      <c r="O298" s="71">
        <f t="shared" si="41"/>
        <v>0.13636455098323014</v>
      </c>
      <c r="P298" s="176"/>
      <c r="Q298" s="144"/>
      <c r="R298" s="175">
        <f t="shared" si="35"/>
        <v>139.69790245741208</v>
      </c>
      <c r="S298" s="71">
        <f t="shared" si="36"/>
        <v>29.566686117178193</v>
      </c>
    </row>
    <row r="299" spans="1:19">
      <c r="A299" s="162">
        <f>'Q.6a Model 1'!A301</f>
        <v>3.5</v>
      </c>
      <c r="B299" s="162">
        <f>'Q.6a Model 1'!B301</f>
        <v>38.034700000000001</v>
      </c>
      <c r="C299" s="163">
        <f>'Q.6a Model 2'!A301</f>
        <v>3.4</v>
      </c>
      <c r="D299" s="163">
        <f>'Q.6a Model 2'!B301</f>
        <v>40.997799999999998</v>
      </c>
      <c r="E299" s="10">
        <f>'Q.6a Model 3'!$A301</f>
        <v>3</v>
      </c>
      <c r="F299" s="10">
        <f>'Q.6a Model 3'!$B301</f>
        <v>33.722900000000003</v>
      </c>
      <c r="H299" s="214">
        <v>3</v>
      </c>
      <c r="I299" s="214">
        <v>33.722900000000003</v>
      </c>
      <c r="K299" s="71">
        <f t="shared" si="37"/>
        <v>37.045655295365634</v>
      </c>
      <c r="L299" s="71">
        <f t="shared" si="38"/>
        <v>-3.3227552953656314</v>
      </c>
      <c r="M299" s="71">
        <f t="shared" si="39"/>
        <v>3.3227552953656314</v>
      </c>
      <c r="N299" s="175">
        <f t="shared" si="40"/>
        <v>11.040702752880344</v>
      </c>
      <c r="O299" s="71">
        <f t="shared" si="41"/>
        <v>9.8531125596126992E-2</v>
      </c>
      <c r="P299" s="176"/>
      <c r="Q299" s="144"/>
      <c r="R299" s="175">
        <f t="shared" si="35"/>
        <v>1.5818426925069478</v>
      </c>
      <c r="S299" s="71">
        <f t="shared" si="36"/>
        <v>4.2643985288070114</v>
      </c>
    </row>
    <row r="300" spans="1:19">
      <c r="A300" s="162">
        <f>'Q.6a Model 1'!A302</f>
        <v>4.5999999999999996</v>
      </c>
      <c r="B300" s="162">
        <f>'Q.6a Model 1'!B302</f>
        <v>32.149900000000002</v>
      </c>
      <c r="C300" s="163">
        <f>'Q.6a Model 2'!A302</f>
        <v>2.2999999999999998</v>
      </c>
      <c r="D300" s="163">
        <f>'Q.6a Model 2'!B302</f>
        <v>38.1</v>
      </c>
      <c r="E300" s="10">
        <f>'Q.6a Model 3'!$A302</f>
        <v>2.4</v>
      </c>
      <c r="F300" s="10">
        <f>'Q.6a Model 3'!$B302</f>
        <v>37.221800000000002</v>
      </c>
      <c r="H300" s="214">
        <v>2.4</v>
      </c>
      <c r="I300" s="214">
        <v>37.221800000000002</v>
      </c>
      <c r="K300" s="71">
        <f t="shared" si="37"/>
        <v>39.575018084330026</v>
      </c>
      <c r="L300" s="71">
        <f t="shared" si="38"/>
        <v>-2.3532180843300239</v>
      </c>
      <c r="M300" s="71">
        <f t="shared" si="39"/>
        <v>2.3532180843300239</v>
      </c>
      <c r="N300" s="175">
        <f t="shared" si="40"/>
        <v>5.5376353524178672</v>
      </c>
      <c r="O300" s="71">
        <f t="shared" si="41"/>
        <v>6.322150149455491E-2</v>
      </c>
      <c r="P300" s="176"/>
      <c r="Q300" s="144"/>
      <c r="R300" s="175">
        <f t="shared" si="35"/>
        <v>5.0229179177915269</v>
      </c>
      <c r="S300" s="71">
        <f t="shared" si="36"/>
        <v>21.10855551401945</v>
      </c>
    </row>
    <row r="301" spans="1:19">
      <c r="A301" s="162">
        <f>'Q.6a Model 1'!A303</f>
        <v>3</v>
      </c>
      <c r="B301" s="162">
        <f>'Q.6a Model 1'!B303</f>
        <v>38.7896</v>
      </c>
      <c r="C301" s="163">
        <f>'Q.6a Model 2'!A303</f>
        <v>2</v>
      </c>
      <c r="D301" s="163">
        <f>'Q.6a Model 2'!B303</f>
        <v>41.9</v>
      </c>
      <c r="E301" s="10">
        <f>'Q.6a Model 3'!$A303</f>
        <v>6.2</v>
      </c>
      <c r="F301" s="10">
        <f>'Q.6a Model 3'!$B303</f>
        <v>26.1</v>
      </c>
      <c r="H301" s="214">
        <v>6.2</v>
      </c>
      <c r="I301" s="214">
        <v>26.1</v>
      </c>
      <c r="K301" s="71">
        <f t="shared" si="37"/>
        <v>23.555720420888871</v>
      </c>
      <c r="L301" s="71">
        <f t="shared" si="38"/>
        <v>2.5442795791111301</v>
      </c>
      <c r="M301" s="71">
        <f t="shared" si="39"/>
        <v>2.5442795791111301</v>
      </c>
      <c r="N301" s="175">
        <f t="shared" si="40"/>
        <v>6.4733585766819095</v>
      </c>
      <c r="O301" s="71">
        <f t="shared" si="41"/>
        <v>9.7481976211154411E-2</v>
      </c>
      <c r="P301" s="176"/>
      <c r="Q301" s="144"/>
      <c r="R301" s="175">
        <f t="shared" si="35"/>
        <v>78.865292213509619</v>
      </c>
      <c r="S301" s="71">
        <f t="shared" si="36"/>
        <v>130.52817682235289</v>
      </c>
    </row>
    <row r="302" spans="1:19">
      <c r="A302" s="162">
        <f>'Q.6a Model 1'!A304</f>
        <v>2.7</v>
      </c>
      <c r="B302" s="162">
        <f>'Q.6a Model 1'!B304</f>
        <v>32.700000000000003</v>
      </c>
      <c r="C302" s="163">
        <f>'Q.6a Model 2'!A304</f>
        <v>6</v>
      </c>
      <c r="D302" s="163">
        <f>'Q.6a Model 2'!B304</f>
        <v>23.4</v>
      </c>
      <c r="E302" s="10">
        <f>'Q.6a Model 3'!$A304</f>
        <v>4.5999999999999996</v>
      </c>
      <c r="F302" s="10">
        <f>'Q.6a Model 3'!$B304</f>
        <v>31.9</v>
      </c>
      <c r="H302" s="214">
        <v>4.5999999999999996</v>
      </c>
      <c r="I302" s="214">
        <v>31.9</v>
      </c>
      <c r="K302" s="71">
        <f t="shared" si="37"/>
        <v>30.300687858127255</v>
      </c>
      <c r="L302" s="71">
        <f t="shared" si="38"/>
        <v>1.5993121418727441</v>
      </c>
      <c r="M302" s="71">
        <f t="shared" si="39"/>
        <v>1.5993121418727441</v>
      </c>
      <c r="N302" s="175">
        <f t="shared" si="40"/>
        <v>2.5577993271415842</v>
      </c>
      <c r="O302" s="71">
        <f t="shared" si="41"/>
        <v>5.0135176861214548E-2</v>
      </c>
      <c r="P302" s="176"/>
      <c r="Q302" s="144"/>
      <c r="R302" s="175">
        <f t="shared" si="35"/>
        <v>9.4901781755692873</v>
      </c>
      <c r="S302" s="71">
        <f t="shared" si="36"/>
        <v>21.901701946173837</v>
      </c>
    </row>
    <row r="303" spans="1:19">
      <c r="A303" s="162">
        <f>'Q.6a Model 1'!A305</f>
        <v>2.5</v>
      </c>
      <c r="B303" s="162">
        <f>'Q.6a Model 1'!B305</f>
        <v>38.377800000000001</v>
      </c>
      <c r="C303" s="163">
        <f>'Q.6a Model 2'!A305</f>
        <v>3</v>
      </c>
      <c r="D303" s="163">
        <f>'Q.6a Model 2'!B305</f>
        <v>35.540399999999998</v>
      </c>
      <c r="E303" s="10">
        <f>'Q.6a Model 3'!$A305</f>
        <v>2.2999999999999998</v>
      </c>
      <c r="F303" s="10">
        <f>'Q.6a Model 3'!$B305</f>
        <v>31.9</v>
      </c>
      <c r="H303" s="214">
        <v>2.2999999999999998</v>
      </c>
      <c r="I303" s="214">
        <v>31.9</v>
      </c>
      <c r="K303" s="71">
        <f t="shared" si="37"/>
        <v>39.996578549157427</v>
      </c>
      <c r="L303" s="71">
        <f t="shared" si="38"/>
        <v>-8.096578549157428</v>
      </c>
      <c r="M303" s="71">
        <f t="shared" si="39"/>
        <v>8.096578549157428</v>
      </c>
      <c r="N303" s="175">
        <f t="shared" si="40"/>
        <v>65.554584202676196</v>
      </c>
      <c r="O303" s="71">
        <f t="shared" si="41"/>
        <v>0.2538112397854993</v>
      </c>
      <c r="P303" s="176"/>
      <c r="Q303" s="144"/>
      <c r="R303" s="175">
        <f t="shared" si="35"/>
        <v>9.4901781755692873</v>
      </c>
      <c r="S303" s="71">
        <f t="shared" si="36"/>
        <v>25.159907590093329</v>
      </c>
    </row>
    <row r="304" spans="1:19">
      <c r="A304" s="162">
        <f>'Q.6a Model 1'!A306</f>
        <v>2</v>
      </c>
      <c r="B304" s="162">
        <f>'Q.6a Model 1'!B306</f>
        <v>37.5</v>
      </c>
      <c r="C304" s="163">
        <f>'Q.6a Model 2'!A306</f>
        <v>1.8</v>
      </c>
      <c r="D304" s="163">
        <f>'Q.6a Model 2'!B306</f>
        <v>37.619999999999997</v>
      </c>
      <c r="E304" s="10">
        <f>'Q.6a Model 3'!$A306</f>
        <v>6.2</v>
      </c>
      <c r="F304" s="10">
        <f>'Q.6a Model 3'!$B306</f>
        <v>26</v>
      </c>
      <c r="H304" s="214">
        <v>6.2</v>
      </c>
      <c r="I304" s="214">
        <v>26</v>
      </c>
      <c r="K304" s="71">
        <f t="shared" si="37"/>
        <v>23.555720420888871</v>
      </c>
      <c r="L304" s="71">
        <f t="shared" si="38"/>
        <v>2.4442795791111287</v>
      </c>
      <c r="M304" s="71">
        <f t="shared" si="39"/>
        <v>2.4442795791111287</v>
      </c>
      <c r="N304" s="175">
        <f t="shared" si="40"/>
        <v>5.9745026608596765</v>
      </c>
      <c r="O304" s="71">
        <f t="shared" si="41"/>
        <v>9.401075304273572E-2</v>
      </c>
      <c r="P304" s="176"/>
      <c r="Q304" s="144"/>
      <c r="R304" s="175">
        <f t="shared" si="35"/>
        <v>80.651414869336193</v>
      </c>
      <c r="S304" s="71">
        <f t="shared" si="36"/>
        <v>130.52817682235289</v>
      </c>
    </row>
    <row r="305" spans="1:19">
      <c r="A305" s="162">
        <f>'Q.6a Model 1'!A307</f>
        <v>3</v>
      </c>
      <c r="B305" s="162">
        <f>'Q.6a Model 1'!B307</f>
        <v>34.548200000000001</v>
      </c>
      <c r="C305" s="163">
        <f>'Q.6a Model 2'!A307</f>
        <v>5.6</v>
      </c>
      <c r="D305" s="163">
        <f>'Q.6a Model 2'!B307</f>
        <v>25.1952</v>
      </c>
      <c r="E305" s="10">
        <f>'Q.6a Model 3'!$A307</f>
        <v>4.3</v>
      </c>
      <c r="F305" s="10">
        <f>'Q.6a Model 3'!$B307</f>
        <v>27.6</v>
      </c>
      <c r="H305" s="214">
        <v>4.3</v>
      </c>
      <c r="I305" s="214">
        <v>27.6</v>
      </c>
      <c r="K305" s="71">
        <f t="shared" si="37"/>
        <v>31.56536925260945</v>
      </c>
      <c r="L305" s="71">
        <f t="shared" si="38"/>
        <v>-3.9653692526094488</v>
      </c>
      <c r="M305" s="71">
        <f t="shared" si="39"/>
        <v>3.9653692526094488</v>
      </c>
      <c r="N305" s="175">
        <f t="shared" si="40"/>
        <v>15.724153309540419</v>
      </c>
      <c r="O305" s="71">
        <f t="shared" si="41"/>
        <v>0.14367279900758873</v>
      </c>
      <c r="P305" s="176"/>
      <c r="Q305" s="144"/>
      <c r="R305" s="175">
        <f t="shared" si="35"/>
        <v>54.473452376111247</v>
      </c>
      <c r="S305" s="71">
        <f t="shared" si="36"/>
        <v>11.663891760703352</v>
      </c>
    </row>
    <row r="306" spans="1:19">
      <c r="A306" s="162">
        <f>'Q.6a Model 1'!A308</f>
        <v>6.3</v>
      </c>
      <c r="B306" s="162">
        <f>'Q.6a Model 1'!B308</f>
        <v>24.6</v>
      </c>
      <c r="C306" s="163">
        <f>'Q.6a Model 2'!A308</f>
        <v>4.8</v>
      </c>
      <c r="D306" s="163">
        <f>'Q.6a Model 2'!B308</f>
        <v>33.260300000000001</v>
      </c>
      <c r="E306" s="10">
        <f>'Q.6a Model 3'!$A308</f>
        <v>3.7</v>
      </c>
      <c r="F306" s="10">
        <f>'Q.6a Model 3'!$B308</f>
        <v>27</v>
      </c>
      <c r="H306" s="214">
        <v>3.7</v>
      </c>
      <c r="I306" s="214">
        <v>27</v>
      </c>
      <c r="K306" s="71">
        <f t="shared" si="37"/>
        <v>34.094732041573842</v>
      </c>
      <c r="L306" s="71">
        <f t="shared" si="38"/>
        <v>-7.0947320415738417</v>
      </c>
      <c r="M306" s="71">
        <f t="shared" si="39"/>
        <v>7.0947320415738417</v>
      </c>
      <c r="N306" s="175">
        <f t="shared" si="40"/>
        <v>50.335222741734533</v>
      </c>
      <c r="O306" s="71">
        <f t="shared" si="41"/>
        <v>0.26276785339162378</v>
      </c>
      <c r="P306" s="176"/>
      <c r="Q306" s="144"/>
      <c r="R306" s="175">
        <f t="shared" si="35"/>
        <v>63.690188311070621</v>
      </c>
      <c r="S306" s="71">
        <f t="shared" si="36"/>
        <v>0.78478556705897329</v>
      </c>
    </row>
    <row r="307" spans="1:19">
      <c r="A307" s="162">
        <f>'Q.6a Model 1'!A309</f>
        <v>2.7</v>
      </c>
      <c r="B307" s="162">
        <f>'Q.6a Model 1'!B309</f>
        <v>30.3</v>
      </c>
      <c r="C307" s="163">
        <f>'Q.6a Model 2'!A309</f>
        <v>1.6</v>
      </c>
      <c r="D307" s="163">
        <f>'Q.6a Model 2'!B309</f>
        <v>47.202500000000001</v>
      </c>
      <c r="E307" s="10">
        <f>'Q.6a Model 3'!$A309</f>
        <v>6.2</v>
      </c>
      <c r="F307" s="10">
        <f>'Q.6a Model 3'!$B309</f>
        <v>27.4</v>
      </c>
      <c r="H307" s="214">
        <v>6.2</v>
      </c>
      <c r="I307" s="214">
        <v>27.4</v>
      </c>
      <c r="K307" s="71">
        <f t="shared" si="37"/>
        <v>23.555720420888871</v>
      </c>
      <c r="L307" s="71">
        <f t="shared" si="38"/>
        <v>3.8442795791111273</v>
      </c>
      <c r="M307" s="71">
        <f t="shared" si="39"/>
        <v>3.8442795791111273</v>
      </c>
      <c r="N307" s="175">
        <f t="shared" si="40"/>
        <v>14.778485482370826</v>
      </c>
      <c r="O307" s="71">
        <f t="shared" si="41"/>
        <v>0.14030217442011414</v>
      </c>
      <c r="P307" s="176"/>
      <c r="Q307" s="144"/>
      <c r="R307" s="175">
        <f t="shared" si="35"/>
        <v>57.465697687764411</v>
      </c>
      <c r="S307" s="71">
        <f t="shared" si="36"/>
        <v>130.52817682235289</v>
      </c>
    </row>
    <row r="308" spans="1:19">
      <c r="A308" s="162">
        <f>'Q.6a Model 1'!A310</f>
        <v>2.5</v>
      </c>
      <c r="B308" s="162">
        <f>'Q.6a Model 1'!B310</f>
        <v>34.6</v>
      </c>
      <c r="C308" s="163">
        <f>'Q.6a Model 2'!A310</f>
        <v>3.9</v>
      </c>
      <c r="D308" s="163">
        <f>'Q.6a Model 2'!B310</f>
        <v>36.6</v>
      </c>
      <c r="E308" s="10">
        <f>'Q.6a Model 3'!$A310</f>
        <v>2.4</v>
      </c>
      <c r="F308" s="10">
        <f>'Q.6a Model 3'!$B310</f>
        <v>33.6</v>
      </c>
      <c r="H308" s="214">
        <v>2.4</v>
      </c>
      <c r="I308" s="214">
        <v>33.6</v>
      </c>
      <c r="K308" s="71">
        <f t="shared" si="37"/>
        <v>39.575018084330026</v>
      </c>
      <c r="L308" s="71">
        <f t="shared" si="38"/>
        <v>-5.9750180843300242</v>
      </c>
      <c r="M308" s="71">
        <f t="shared" si="39"/>
        <v>5.9750180843300242</v>
      </c>
      <c r="N308" s="175">
        <f t="shared" si="40"/>
        <v>35.700841108070833</v>
      </c>
      <c r="O308" s="71">
        <f t="shared" si="41"/>
        <v>0.1778279191764888</v>
      </c>
      <c r="P308" s="176"/>
      <c r="Q308" s="144"/>
      <c r="R308" s="175">
        <f t="shared" si="35"/>
        <v>1.9060930265177904</v>
      </c>
      <c r="S308" s="71">
        <f t="shared" si="36"/>
        <v>21.10855551401945</v>
      </c>
    </row>
    <row r="309" spans="1:19">
      <c r="A309" s="162">
        <f>'Q.6a Model 1'!A311</f>
        <v>3</v>
      </c>
      <c r="B309" s="162">
        <f>'Q.6a Model 1'!B311</f>
        <v>33.200000000000003</v>
      </c>
      <c r="C309" s="163">
        <f>'Q.6a Model 2'!A311</f>
        <v>3</v>
      </c>
      <c r="D309" s="163">
        <f>'Q.6a Model 2'!B311</f>
        <v>36.154800000000002</v>
      </c>
      <c r="E309" s="10">
        <f>'Q.6a Model 3'!$A311</f>
        <v>3.5</v>
      </c>
      <c r="F309" s="10">
        <f>'Q.6a Model 3'!$B311</f>
        <v>36.799999999999997</v>
      </c>
      <c r="H309" s="214">
        <v>3.5</v>
      </c>
      <c r="I309" s="214">
        <v>36.799999999999997</v>
      </c>
      <c r="K309" s="71">
        <f t="shared" si="37"/>
        <v>34.937852971228637</v>
      </c>
      <c r="L309" s="71">
        <f t="shared" si="38"/>
        <v>1.8621470287713606</v>
      </c>
      <c r="M309" s="71">
        <f t="shared" si="39"/>
        <v>1.8621470287713606</v>
      </c>
      <c r="N309" s="175">
        <f t="shared" si="40"/>
        <v>3.4675915567620064</v>
      </c>
      <c r="O309" s="71">
        <f t="shared" si="41"/>
        <v>5.0601821434004365E-2</v>
      </c>
      <c r="P309" s="176"/>
      <c r="Q309" s="144"/>
      <c r="R309" s="175">
        <f t="shared" si="35"/>
        <v>3.3101680400679299</v>
      </c>
      <c r="S309" s="71">
        <f t="shared" si="36"/>
        <v>1.828443932057986E-3</v>
      </c>
    </row>
    <row r="310" spans="1:19">
      <c r="A310" s="162">
        <f>'Q.6a Model 1'!A312</f>
        <v>3.8</v>
      </c>
      <c r="B310" s="162">
        <f>'Q.6a Model 1'!B312</f>
        <v>31.9</v>
      </c>
      <c r="C310" s="163">
        <f>'Q.6a Model 2'!A312</f>
        <v>6.1</v>
      </c>
      <c r="D310" s="163">
        <f>'Q.6a Model 2'!B312</f>
        <v>26</v>
      </c>
      <c r="E310" s="10">
        <f>'Q.6a Model 3'!$A312</f>
        <v>3.8</v>
      </c>
      <c r="F310" s="10">
        <f>'Q.6a Model 3'!$B312</f>
        <v>29.5</v>
      </c>
      <c r="H310" s="214">
        <v>3.8</v>
      </c>
      <c r="I310" s="214">
        <v>29.5</v>
      </c>
      <c r="K310" s="71">
        <f t="shared" si="37"/>
        <v>33.673171576746441</v>
      </c>
      <c r="L310" s="71">
        <f t="shared" si="38"/>
        <v>-4.1731715767464408</v>
      </c>
      <c r="M310" s="71">
        <f t="shared" si="39"/>
        <v>4.1731715767464408</v>
      </c>
      <c r="N310" s="175">
        <f t="shared" si="40"/>
        <v>17.415361008964375</v>
      </c>
      <c r="O310" s="71">
        <f t="shared" si="41"/>
        <v>0.14146344327954036</v>
      </c>
      <c r="P310" s="176"/>
      <c r="Q310" s="144"/>
      <c r="R310" s="175">
        <f t="shared" si="35"/>
        <v>30.037121915406669</v>
      </c>
      <c r="S310" s="71">
        <f t="shared" si="36"/>
        <v>1.7094038051389142</v>
      </c>
    </row>
    <row r="311" spans="1:19">
      <c r="A311" s="162">
        <f>'Q.6a Model 1'!A313</f>
        <v>3.5</v>
      </c>
      <c r="B311" s="162">
        <f>'Q.6a Model 1'!B313</f>
        <v>32.407600000000002</v>
      </c>
      <c r="C311" s="163">
        <f>'Q.6a Model 2'!A313</f>
        <v>4.2</v>
      </c>
      <c r="D311" s="163">
        <f>'Q.6a Model 2'!B313</f>
        <v>24.183700000000002</v>
      </c>
      <c r="E311" s="10">
        <f>'Q.6a Model 3'!$A313</f>
        <v>4</v>
      </c>
      <c r="F311" s="10">
        <f>'Q.6a Model 3'!$B313</f>
        <v>29.9</v>
      </c>
      <c r="H311" s="214">
        <v>4</v>
      </c>
      <c r="I311" s="214">
        <v>29.9</v>
      </c>
      <c r="K311" s="71">
        <f t="shared" si="37"/>
        <v>32.830050647091646</v>
      </c>
      <c r="L311" s="71">
        <f t="shared" si="38"/>
        <v>-2.9300506470916474</v>
      </c>
      <c r="M311" s="71">
        <f t="shared" si="39"/>
        <v>2.9300506470916474</v>
      </c>
      <c r="N311" s="175">
        <f t="shared" si="40"/>
        <v>8.5851967945221812</v>
      </c>
      <c r="O311" s="71">
        <f t="shared" si="41"/>
        <v>9.7995004919453094E-2</v>
      </c>
      <c r="P311" s="176"/>
      <c r="Q311" s="144"/>
      <c r="R311" s="175">
        <f t="shared" si="35"/>
        <v>25.812631292100452</v>
      </c>
      <c r="S311" s="71">
        <f t="shared" si="36"/>
        <v>4.6249196343317314</v>
      </c>
    </row>
    <row r="312" spans="1:19">
      <c r="A312" s="162">
        <f>'Q.6a Model 1'!A314</f>
        <v>2.4</v>
      </c>
      <c r="B312" s="162">
        <f>'Q.6a Model 1'!B314</f>
        <v>40.299999999999997</v>
      </c>
      <c r="C312" s="163">
        <f>'Q.6a Model 2'!A314</f>
        <v>3</v>
      </c>
      <c r="D312" s="163">
        <f>'Q.6a Model 2'!B314</f>
        <v>51.1</v>
      </c>
      <c r="E312" s="10">
        <f>'Q.6a Model 3'!$A314</f>
        <v>1.5</v>
      </c>
      <c r="F312" s="10">
        <f>'Q.6a Model 3'!$B314</f>
        <v>47.4</v>
      </c>
      <c r="H312" s="214">
        <v>1.5</v>
      </c>
      <c r="I312" s="214">
        <v>47.4</v>
      </c>
      <c r="K312" s="71">
        <f t="shared" si="37"/>
        <v>43.369062267776613</v>
      </c>
      <c r="L312" s="71">
        <f t="shared" si="38"/>
        <v>4.0309377322233857</v>
      </c>
      <c r="M312" s="71">
        <f t="shared" si="39"/>
        <v>4.0309377322233857</v>
      </c>
      <c r="N312" s="175">
        <f t="shared" si="40"/>
        <v>16.248459001062212</v>
      </c>
      <c r="O312" s="71">
        <f t="shared" si="41"/>
        <v>8.5040880426653712E-2</v>
      </c>
      <c r="P312" s="176"/>
      <c r="Q312" s="144"/>
      <c r="R312" s="175">
        <f t="shared" si="35"/>
        <v>154.24116652245277</v>
      </c>
      <c r="S312" s="71">
        <f t="shared" si="36"/>
        <v>70.366076435079577</v>
      </c>
    </row>
    <row r="313" spans="1:19">
      <c r="A313" s="162">
        <f>'Q.6a Model 1'!A315</f>
        <v>4.5999999999999996</v>
      </c>
      <c r="B313" s="162">
        <f>'Q.6a Model 1'!B315</f>
        <v>26.662199999999999</v>
      </c>
      <c r="C313" s="163">
        <f>'Q.6a Model 2'!A315</f>
        <v>3.8</v>
      </c>
      <c r="D313" s="163">
        <f>'Q.6a Model 2'!B315</f>
        <v>35.359400000000001</v>
      </c>
      <c r="E313" s="10">
        <f>'Q.6a Model 3'!$A315</f>
        <v>3.8</v>
      </c>
      <c r="F313" s="10">
        <f>'Q.6a Model 3'!$B315</f>
        <v>32.5</v>
      </c>
      <c r="H313" s="214">
        <v>3.8</v>
      </c>
      <c r="I313" s="214">
        <v>32.5</v>
      </c>
      <c r="K313" s="71">
        <f t="shared" si="37"/>
        <v>33.673171576746441</v>
      </c>
      <c r="L313" s="71">
        <f t="shared" si="38"/>
        <v>-1.1731715767464408</v>
      </c>
      <c r="M313" s="71">
        <f t="shared" si="39"/>
        <v>1.1731715767464408</v>
      </c>
      <c r="N313" s="175">
        <f t="shared" si="40"/>
        <v>1.3763315484857299</v>
      </c>
      <c r="O313" s="71">
        <f t="shared" si="41"/>
        <v>3.6097586976813562E-2</v>
      </c>
      <c r="P313" s="176"/>
      <c r="Q313" s="144"/>
      <c r="R313" s="175">
        <f t="shared" si="35"/>
        <v>6.1534422406099321</v>
      </c>
      <c r="S313" s="71">
        <f t="shared" si="36"/>
        <v>1.7094038051389142</v>
      </c>
    </row>
    <row r="314" spans="1:19">
      <c r="A314" s="162">
        <f>'Q.6a Model 1'!A316</f>
        <v>1.8</v>
      </c>
      <c r="B314" s="162">
        <f>'Q.6a Model 1'!B316</f>
        <v>48.6</v>
      </c>
      <c r="C314" s="163">
        <f>'Q.6a Model 2'!A316</f>
        <v>2.9</v>
      </c>
      <c r="D314" s="163">
        <f>'Q.6a Model 2'!B316</f>
        <v>34.299999999999997</v>
      </c>
      <c r="E314" s="10">
        <f>'Q.6a Model 3'!$A316</f>
        <v>3</v>
      </c>
      <c r="F314" s="10">
        <f>'Q.6a Model 3'!$B316</f>
        <v>29.789200000000001</v>
      </c>
      <c r="H314" s="214">
        <v>3</v>
      </c>
      <c r="I314" s="214">
        <v>29.789200000000001</v>
      </c>
      <c r="K314" s="71">
        <f t="shared" si="37"/>
        <v>37.045655295365634</v>
      </c>
      <c r="L314" s="71">
        <f t="shared" si="38"/>
        <v>-7.2564552953656332</v>
      </c>
      <c r="M314" s="71">
        <f t="shared" si="39"/>
        <v>7.2564552953656332</v>
      </c>
      <c r="N314" s="175">
        <f t="shared" si="40"/>
        <v>52.656143453639942</v>
      </c>
      <c r="O314" s="71">
        <f t="shared" si="41"/>
        <v>0.24359349345956363</v>
      </c>
      <c r="P314" s="176"/>
      <c r="Q314" s="144"/>
      <c r="R314" s="175">
        <f t="shared" si="35"/>
        <v>26.950771834756253</v>
      </c>
      <c r="S314" s="71">
        <f t="shared" si="36"/>
        <v>4.2643985288070114</v>
      </c>
    </row>
    <row r="315" spans="1:19">
      <c r="A315" s="162">
        <f>'Q.6a Model 1'!A317</f>
        <v>2</v>
      </c>
      <c r="B315" s="162">
        <f>'Q.6a Model 1'!B317</f>
        <v>41.0456</v>
      </c>
      <c r="C315" s="163">
        <f>'Q.6a Model 2'!A317</f>
        <v>3</v>
      </c>
      <c r="D315" s="163">
        <f>'Q.6a Model 2'!B317</f>
        <v>33.6</v>
      </c>
      <c r="E315" s="10">
        <f>'Q.6a Model 3'!$A317</f>
        <v>4.4000000000000004</v>
      </c>
      <c r="F315" s="10">
        <f>'Q.6a Model 3'!$B317</f>
        <v>27.7</v>
      </c>
      <c r="H315" s="214">
        <v>4.4000000000000004</v>
      </c>
      <c r="I315" s="214">
        <v>27.7</v>
      </c>
      <c r="K315" s="71">
        <f t="shared" si="37"/>
        <v>31.143808787782049</v>
      </c>
      <c r="L315" s="71">
        <f t="shared" si="38"/>
        <v>-3.44380878778205</v>
      </c>
      <c r="M315" s="71">
        <f t="shared" si="39"/>
        <v>3.44380878778205</v>
      </c>
      <c r="N315" s="175">
        <f t="shared" si="40"/>
        <v>11.859818966804873</v>
      </c>
      <c r="O315" s="71">
        <f t="shared" si="41"/>
        <v>0.12432522699574187</v>
      </c>
      <c r="P315" s="176"/>
      <c r="Q315" s="144"/>
      <c r="R315" s="175">
        <f t="shared" si="35"/>
        <v>53.007329720284723</v>
      </c>
      <c r="S315" s="71">
        <f t="shared" si="36"/>
        <v>14.721068704849214</v>
      </c>
    </row>
    <row r="316" spans="1:19">
      <c r="A316" s="162">
        <f>'Q.6a Model 1'!A318</f>
        <v>2.4</v>
      </c>
      <c r="B316" s="162">
        <f>'Q.6a Model 1'!B318</f>
        <v>38.957500000000003</v>
      </c>
      <c r="C316" s="163">
        <f>'Q.6a Model 2'!A318</f>
        <v>6.7</v>
      </c>
      <c r="D316" s="163">
        <f>'Q.6a Model 2'!B318</f>
        <v>24.2</v>
      </c>
      <c r="E316" s="10">
        <f>'Q.6a Model 3'!$A318</f>
        <v>2</v>
      </c>
      <c r="F316" s="10">
        <f>'Q.6a Model 3'!$B318</f>
        <v>38.462699999999998</v>
      </c>
      <c r="H316" s="214">
        <v>2</v>
      </c>
      <c r="I316" s="214">
        <v>38.462699999999998</v>
      </c>
      <c r="K316" s="71">
        <f t="shared" si="37"/>
        <v>41.261259943639622</v>
      </c>
      <c r="L316" s="71">
        <f t="shared" si="38"/>
        <v>-2.7985599436396242</v>
      </c>
      <c r="M316" s="71">
        <f t="shared" si="39"/>
        <v>2.7985599436396242</v>
      </c>
      <c r="N316" s="175">
        <f t="shared" si="40"/>
        <v>7.8319377581442167</v>
      </c>
      <c r="O316" s="71">
        <f t="shared" si="41"/>
        <v>7.2760361171722854E-2</v>
      </c>
      <c r="P316" s="176"/>
      <c r="Q316" s="144"/>
      <c r="R316" s="175">
        <f t="shared" si="35"/>
        <v>12.124927931639748</v>
      </c>
      <c r="S316" s="71">
        <f t="shared" si="36"/>
        <v>39.446522524380804</v>
      </c>
    </row>
    <row r="317" spans="1:19">
      <c r="A317" s="162">
        <f>'Q.6a Model 1'!A319</f>
        <v>3</v>
      </c>
      <c r="B317" s="162">
        <f>'Q.6a Model 1'!B319</f>
        <v>34.781799999999997</v>
      </c>
      <c r="C317" s="163">
        <f>'Q.6a Model 2'!A319</f>
        <v>4.7</v>
      </c>
      <c r="D317" s="163">
        <f>'Q.6a Model 2'!B319</f>
        <v>28.0198</v>
      </c>
      <c r="E317" s="10">
        <f>'Q.6a Model 3'!$A319</f>
        <v>4.3</v>
      </c>
      <c r="F317" s="10">
        <f>'Q.6a Model 3'!$B319</f>
        <v>27.8522</v>
      </c>
      <c r="H317" s="214">
        <v>4.3</v>
      </c>
      <c r="I317" s="214">
        <v>27.8522</v>
      </c>
      <c r="K317" s="71">
        <f t="shared" si="37"/>
        <v>31.56536925260945</v>
      </c>
      <c r="L317" s="71">
        <f t="shared" si="38"/>
        <v>-3.7131692526094504</v>
      </c>
      <c r="M317" s="71">
        <f t="shared" si="39"/>
        <v>3.7131692526094504</v>
      </c>
      <c r="N317" s="175">
        <f t="shared" si="40"/>
        <v>13.787625898524224</v>
      </c>
      <c r="O317" s="71">
        <f t="shared" si="41"/>
        <v>0.13331691042752281</v>
      </c>
      <c r="P317" s="176"/>
      <c r="Q317" s="144"/>
      <c r="R317" s="175">
        <f t="shared" si="35"/>
        <v>50.814275878116696</v>
      </c>
      <c r="S317" s="71">
        <f t="shared" si="36"/>
        <v>11.663891760703352</v>
      </c>
    </row>
    <row r="318" spans="1:19">
      <c r="A318" s="162">
        <f>'Q.6a Model 1'!A320</f>
        <v>2.5</v>
      </c>
      <c r="B318" s="162">
        <f>'Q.6a Model 1'!B320</f>
        <v>40.8247</v>
      </c>
      <c r="C318" s="163">
        <f>'Q.6a Model 2'!A320</f>
        <v>3</v>
      </c>
      <c r="D318" s="163">
        <f>'Q.6a Model 2'!B320</f>
        <v>35.540399999999998</v>
      </c>
      <c r="E318" s="10">
        <f>'Q.6a Model 3'!$A320</f>
        <v>3.5</v>
      </c>
      <c r="F318" s="10">
        <f>'Q.6a Model 3'!$B320</f>
        <v>35</v>
      </c>
      <c r="H318" s="214">
        <v>3.5</v>
      </c>
      <c r="I318" s="214">
        <v>35</v>
      </c>
      <c r="K318" s="71">
        <f t="shared" si="37"/>
        <v>34.937852971228637</v>
      </c>
      <c r="L318" s="71">
        <f t="shared" si="38"/>
        <v>6.2147028771363466E-2</v>
      </c>
      <c r="M318" s="71">
        <f t="shared" si="39"/>
        <v>6.2147028771363466E-2</v>
      </c>
      <c r="N318" s="175">
        <f t="shared" si="40"/>
        <v>3.8622531851086783E-3</v>
      </c>
      <c r="O318" s="71">
        <f t="shared" si="41"/>
        <v>1.7756293934675276E-3</v>
      </c>
      <c r="P318" s="176"/>
      <c r="Q318" s="144"/>
      <c r="R318" s="175">
        <f t="shared" si="35"/>
        <v>3.7584494598312621E-4</v>
      </c>
      <c r="S318" s="71">
        <f t="shared" si="36"/>
        <v>1.828443932057986E-3</v>
      </c>
    </row>
    <row r="319" spans="1:19">
      <c r="A319" s="162">
        <f>'Q.6a Model 1'!A321</f>
        <v>2</v>
      </c>
      <c r="B319" s="162">
        <f>'Q.6a Model 1'!B321</f>
        <v>34.9</v>
      </c>
      <c r="C319" s="163">
        <f>'Q.6a Model 2'!A321</f>
        <v>4.5999999999999996</v>
      </c>
      <c r="D319" s="163">
        <f>'Q.6a Model 2'!B321</f>
        <v>28.4</v>
      </c>
      <c r="E319" s="10">
        <f>'Q.6a Model 3'!$A321</f>
        <v>5.3</v>
      </c>
      <c r="F319" s="10">
        <f>'Q.6a Model 3'!$B321</f>
        <v>23.299900000000001</v>
      </c>
      <c r="H319" s="214">
        <v>5.3</v>
      </c>
      <c r="I319" s="214">
        <v>23.299900000000001</v>
      </c>
      <c r="K319" s="71">
        <f t="shared" si="37"/>
        <v>27.349764604335462</v>
      </c>
      <c r="L319" s="71">
        <f t="shared" si="38"/>
        <v>-4.0498646043354611</v>
      </c>
      <c r="M319" s="71">
        <f t="shared" si="39"/>
        <v>4.0498646043354611</v>
      </c>
      <c r="N319" s="175">
        <f t="shared" si="40"/>
        <v>16.401403313449222</v>
      </c>
      <c r="O319" s="71">
        <f t="shared" si="41"/>
        <v>0.17381467750228374</v>
      </c>
      <c r="P319" s="176"/>
      <c r="Q319" s="144"/>
      <c r="R319" s="175">
        <f t="shared" si="35"/>
        <v>136.43906270930907</v>
      </c>
      <c r="S319" s="71">
        <f t="shared" si="36"/>
        <v>58.229851497656135</v>
      </c>
    </row>
    <row r="320" spans="1:19">
      <c r="A320" s="162">
        <f>'Q.6a Model 1'!A322</f>
        <v>6.2</v>
      </c>
      <c r="B320" s="162">
        <f>'Q.6a Model 1'!B322</f>
        <v>26.299900000000001</v>
      </c>
      <c r="C320" s="163">
        <f>'Q.6a Model 2'!A322</f>
        <v>3.5</v>
      </c>
      <c r="D320" s="163">
        <f>'Q.6a Model 2'!B322</f>
        <v>36.200000000000003</v>
      </c>
      <c r="E320" s="10">
        <f>'Q.6a Model 3'!$A322</f>
        <v>5.2</v>
      </c>
      <c r="F320" s="10">
        <f>'Q.6a Model 3'!$B322</f>
        <v>23.9</v>
      </c>
      <c r="H320" s="214">
        <v>5.2</v>
      </c>
      <c r="I320" s="214">
        <v>23.9</v>
      </c>
      <c r="K320" s="71">
        <f t="shared" si="37"/>
        <v>27.771325069162859</v>
      </c>
      <c r="L320" s="71">
        <f t="shared" si="38"/>
        <v>-3.8713250691628609</v>
      </c>
      <c r="M320" s="71">
        <f t="shared" si="39"/>
        <v>3.8713250691628609</v>
      </c>
      <c r="N320" s="175">
        <f t="shared" si="40"/>
        <v>14.98715779112883</v>
      </c>
      <c r="O320" s="71">
        <f t="shared" si="41"/>
        <v>0.16198012841685611</v>
      </c>
      <c r="P320" s="176"/>
      <c r="Q320" s="144"/>
      <c r="R320" s="175">
        <f t="shared" si="35"/>
        <v>122.77999064169394</v>
      </c>
      <c r="S320" s="71">
        <f t="shared" si="36"/>
        <v>51.973836494411444</v>
      </c>
    </row>
    <row r="321" spans="1:19">
      <c r="A321" s="162">
        <f>'Q.6a Model 1'!A323</f>
        <v>2.5</v>
      </c>
      <c r="B321" s="162">
        <f>'Q.6a Model 1'!B323</f>
        <v>37.070999999999998</v>
      </c>
      <c r="C321" s="163">
        <f>'Q.6a Model 2'!A323</f>
        <v>6</v>
      </c>
      <c r="D321" s="163">
        <f>'Q.6a Model 2'!B323</f>
        <v>30.5</v>
      </c>
      <c r="E321" s="10">
        <f>'Q.6a Model 3'!$A323</f>
        <v>4.3</v>
      </c>
      <c r="F321" s="10">
        <f>'Q.6a Model 3'!$B323</f>
        <v>27.805499999999999</v>
      </c>
      <c r="H321" s="214">
        <v>4.3</v>
      </c>
      <c r="I321" s="214">
        <v>27.805499999999999</v>
      </c>
      <c r="K321" s="71">
        <f t="shared" si="37"/>
        <v>31.56536925260945</v>
      </c>
      <c r="L321" s="71">
        <f t="shared" si="38"/>
        <v>-3.7598692526094517</v>
      </c>
      <c r="M321" s="71">
        <f t="shared" si="39"/>
        <v>3.7598692526094517</v>
      </c>
      <c r="N321" s="175">
        <f t="shared" si="40"/>
        <v>14.136616796717957</v>
      </c>
      <c r="O321" s="71">
        <f t="shared" si="41"/>
        <v>0.13522034319143522</v>
      </c>
      <c r="P321" s="176"/>
      <c r="Q321" s="144"/>
      <c r="R321" s="175">
        <f t="shared" si="35"/>
        <v>51.482250568387713</v>
      </c>
      <c r="S321" s="71">
        <f t="shared" si="36"/>
        <v>11.663891760703352</v>
      </c>
    </row>
    <row r="322" spans="1:19">
      <c r="A322" s="162">
        <f>'Q.6a Model 1'!A324</f>
        <v>6.5</v>
      </c>
      <c r="B322" s="162">
        <f>'Q.6a Model 1'!B324</f>
        <v>19.899999999999999</v>
      </c>
      <c r="C322" s="163">
        <f>'Q.6a Model 2'!A324</f>
        <v>2.5</v>
      </c>
      <c r="D322" s="163">
        <f>'Q.6a Model 2'!B324</f>
        <v>43.8</v>
      </c>
      <c r="E322" s="10">
        <f>'Q.6a Model 3'!$A324</f>
        <v>2.4</v>
      </c>
      <c r="F322" s="10">
        <f>'Q.6a Model 3'!$B324</f>
        <v>38.876899999999999</v>
      </c>
      <c r="H322" s="214">
        <v>2.4</v>
      </c>
      <c r="I322" s="214">
        <v>38.876899999999999</v>
      </c>
      <c r="K322" s="71">
        <f t="shared" si="37"/>
        <v>39.575018084330026</v>
      </c>
      <c r="L322" s="71">
        <f t="shared" si="38"/>
        <v>-0.69811808433002653</v>
      </c>
      <c r="M322" s="71">
        <f t="shared" si="39"/>
        <v>0.69811808433002653</v>
      </c>
      <c r="N322" s="175">
        <f t="shared" si="40"/>
        <v>0.48736885966862603</v>
      </c>
      <c r="O322" s="71">
        <f t="shared" si="41"/>
        <v>1.7957143813679244E-2</v>
      </c>
      <c r="P322" s="176"/>
      <c r="Q322" s="144"/>
      <c r="R322" s="175">
        <f t="shared" si="35"/>
        <v>15.181050211206152</v>
      </c>
      <c r="S322" s="71">
        <f t="shared" si="36"/>
        <v>21.10855551401945</v>
      </c>
    </row>
    <row r="323" spans="1:19">
      <c r="A323" s="162">
        <f>'Q.6a Model 1'!A325</f>
        <v>3</v>
      </c>
      <c r="B323" s="162">
        <f>'Q.6a Model 1'!B325</f>
        <v>36.154800000000002</v>
      </c>
      <c r="C323" s="163">
        <f>'Q.6a Model 2'!A325</f>
        <v>3.5</v>
      </c>
      <c r="D323" s="163">
        <f>'Q.6a Model 2'!B325</f>
        <v>39.799999999999997</v>
      </c>
      <c r="E323" s="10">
        <f>'Q.6a Model 3'!$A325</f>
        <v>3.8</v>
      </c>
      <c r="F323" s="10">
        <f>'Q.6a Model 3'!$B325</f>
        <v>28.5532</v>
      </c>
      <c r="H323" s="214">
        <v>3.8</v>
      </c>
      <c r="I323" s="214">
        <v>28.5532</v>
      </c>
      <c r="K323" s="71">
        <f t="shared" si="37"/>
        <v>33.673171576746441</v>
      </c>
      <c r="L323" s="71">
        <f t="shared" si="38"/>
        <v>-5.1199715767464404</v>
      </c>
      <c r="M323" s="71">
        <f t="shared" si="39"/>
        <v>5.1199715767464404</v>
      </c>
      <c r="N323" s="175">
        <f t="shared" si="40"/>
        <v>26.214108946691432</v>
      </c>
      <c r="O323" s="71">
        <f t="shared" si="41"/>
        <v>0.17931340713988067</v>
      </c>
      <c r="P323" s="176"/>
      <c r="Q323" s="144"/>
      <c r="R323" s="175">
        <f t="shared" ref="R323:R371" si="42">(I323-$J$3)^2</f>
        <v>41.311641460772513</v>
      </c>
      <c r="S323" s="71">
        <f t="shared" ref="S323:S371" si="43">(K323-$J$3)^2</f>
        <v>1.7094038051389142</v>
      </c>
    </row>
    <row r="324" spans="1:19">
      <c r="A324" s="162">
        <f>'Q.6a Model 1'!A326</f>
        <v>5.3</v>
      </c>
      <c r="B324" s="162">
        <f>'Q.6a Model 1'!B326</f>
        <v>29.020499999999998</v>
      </c>
      <c r="C324" s="163">
        <f>'Q.6a Model 2'!A326</f>
        <v>6</v>
      </c>
      <c r="D324" s="163">
        <f>'Q.6a Model 2'!B326</f>
        <v>26.749500000000001</v>
      </c>
      <c r="E324" s="10">
        <f>'Q.6a Model 3'!$A326</f>
        <v>4.8</v>
      </c>
      <c r="F324" s="10">
        <f>'Q.6a Model 3'!$B326</f>
        <v>25.7761</v>
      </c>
      <c r="H324" s="214">
        <v>4.8</v>
      </c>
      <c r="I324" s="214">
        <v>25.7761</v>
      </c>
      <c r="K324" s="71">
        <f t="shared" ref="K324:K371" si="44">$V$3 + $U$3 * H324</f>
        <v>29.457566928472456</v>
      </c>
      <c r="L324" s="71">
        <f t="shared" si="38"/>
        <v>-3.6814669284724566</v>
      </c>
      <c r="M324" s="71">
        <f t="shared" si="39"/>
        <v>3.6814669284724566</v>
      </c>
      <c r="N324" s="175">
        <f t="shared" si="40"/>
        <v>13.553198745436424</v>
      </c>
      <c r="O324" s="71">
        <f t="shared" si="41"/>
        <v>0.14282482332363922</v>
      </c>
      <c r="P324" s="176"/>
      <c r="Q324" s="144"/>
      <c r="R324" s="175">
        <f t="shared" si="42"/>
        <v>84.723064705731872</v>
      </c>
      <c r="S324" s="71">
        <f t="shared" si="43"/>
        <v>30.504040991542428</v>
      </c>
    </row>
    <row r="325" spans="1:19">
      <c r="A325" s="162">
        <f>'Q.6a Model 1'!A327</f>
        <v>2.5</v>
      </c>
      <c r="B325" s="162">
        <f>'Q.6a Model 1'!B327</f>
        <v>32.910299999999999</v>
      </c>
      <c r="C325" s="163">
        <f>'Q.6a Model 2'!A327</f>
        <v>2.4</v>
      </c>
      <c r="D325" s="163">
        <f>'Q.6a Model 2'!B327</f>
        <v>38.700000000000003</v>
      </c>
      <c r="E325" s="10">
        <f>'Q.6a Model 3'!$A327</f>
        <v>2</v>
      </c>
      <c r="F325" s="10">
        <f>'Q.6a Model 3'!$B327</f>
        <v>40.234499999999997</v>
      </c>
      <c r="H325" s="214">
        <v>2</v>
      </c>
      <c r="I325" s="214">
        <v>40.234499999999997</v>
      </c>
      <c r="K325" s="71">
        <f t="shared" si="44"/>
        <v>41.261259943639622</v>
      </c>
      <c r="L325" s="71">
        <f t="shared" si="38"/>
        <v>-1.0267599436396253</v>
      </c>
      <c r="M325" s="71">
        <f t="shared" si="39"/>
        <v>1.0267599436396253</v>
      </c>
      <c r="N325" s="175">
        <f t="shared" si="40"/>
        <v>1.0542359818628466</v>
      </c>
      <c r="O325" s="71">
        <f t="shared" si="41"/>
        <v>2.5519391160313296E-2</v>
      </c>
      <c r="P325" s="176"/>
      <c r="Q325" s="144"/>
      <c r="R325" s="175">
        <f t="shared" si="42"/>
        <v>27.603325675704777</v>
      </c>
      <c r="S325" s="71">
        <f t="shared" si="43"/>
        <v>39.446522524380804</v>
      </c>
    </row>
    <row r="326" spans="1:19">
      <c r="A326" s="162">
        <f>'Q.6a Model 1'!A328</f>
        <v>3.7</v>
      </c>
      <c r="B326" s="162">
        <f>'Q.6a Model 1'!B328</f>
        <v>35.980200000000004</v>
      </c>
      <c r="C326" s="163">
        <f>'Q.6a Model 2'!A328</f>
        <v>2.4</v>
      </c>
      <c r="D326" s="163">
        <f>'Q.6a Model 2'!B328</f>
        <v>41.695999999999998</v>
      </c>
      <c r="E326" s="10">
        <f>'Q.6a Model 3'!$A328</f>
        <v>5.3</v>
      </c>
      <c r="F326" s="10">
        <f>'Q.6a Model 3'!$B328</f>
        <v>23.299900000000001</v>
      </c>
      <c r="H326" s="214">
        <v>5.3</v>
      </c>
      <c r="I326" s="214">
        <v>23.299900000000001</v>
      </c>
      <c r="K326" s="71">
        <f t="shared" si="44"/>
        <v>27.349764604335462</v>
      </c>
      <c r="L326" s="71">
        <f t="shared" si="38"/>
        <v>-4.0498646043354611</v>
      </c>
      <c r="M326" s="71">
        <f t="shared" si="39"/>
        <v>4.0498646043354611</v>
      </c>
      <c r="N326" s="175">
        <f t="shared" si="40"/>
        <v>16.401403313449222</v>
      </c>
      <c r="O326" s="71">
        <f t="shared" si="41"/>
        <v>0.17381467750228374</v>
      </c>
      <c r="P326" s="176"/>
      <c r="Q326" s="144"/>
      <c r="R326" s="175">
        <f t="shared" si="42"/>
        <v>136.43906270930907</v>
      </c>
      <c r="S326" s="71">
        <f t="shared" si="43"/>
        <v>58.229851497656135</v>
      </c>
    </row>
    <row r="327" spans="1:19">
      <c r="A327" s="162">
        <f>'Q.6a Model 1'!A329</f>
        <v>2</v>
      </c>
      <c r="B327" s="162">
        <f>'Q.6a Model 1'!B329</f>
        <v>41.799799999999998</v>
      </c>
      <c r="C327" s="163">
        <f>'Q.6a Model 2'!A329</f>
        <v>4.4000000000000004</v>
      </c>
      <c r="D327" s="163">
        <f>'Q.6a Model 2'!B329</f>
        <v>23.152100000000001</v>
      </c>
      <c r="E327" s="10">
        <f>'Q.6a Model 3'!$A329</f>
        <v>5.5</v>
      </c>
      <c r="F327" s="10">
        <f>'Q.6a Model 3'!$B329</f>
        <v>29.2</v>
      </c>
      <c r="H327" s="214">
        <v>5.5</v>
      </c>
      <c r="I327" s="214">
        <v>29.2</v>
      </c>
      <c r="K327" s="71">
        <f t="shared" si="44"/>
        <v>26.506643674680664</v>
      </c>
      <c r="L327" s="71">
        <f t="shared" si="38"/>
        <v>2.6933563253193356</v>
      </c>
      <c r="M327" s="71">
        <f t="shared" si="39"/>
        <v>2.6933563253193356</v>
      </c>
      <c r="N327" s="175">
        <f t="shared" si="40"/>
        <v>7.2541682951376742</v>
      </c>
      <c r="O327" s="71">
        <f t="shared" si="41"/>
        <v>9.2238230319155332E-2</v>
      </c>
      <c r="P327" s="176"/>
      <c r="Q327" s="144"/>
      <c r="R327" s="175">
        <f t="shared" si="42"/>
        <v>33.415489882886355</v>
      </c>
      <c r="S327" s="71">
        <f t="shared" si="43"/>
        <v>71.808160857178521</v>
      </c>
    </row>
    <row r="328" spans="1:19">
      <c r="A328" s="162">
        <f>'Q.6a Model 1'!A330</f>
        <v>2.5</v>
      </c>
      <c r="B328" s="162">
        <f>'Q.6a Model 1'!B330</f>
        <v>34.143500000000003</v>
      </c>
      <c r="C328" s="163">
        <f>'Q.6a Model 2'!A330</f>
        <v>2.4</v>
      </c>
      <c r="D328" s="163">
        <f>'Q.6a Model 2'!B330</f>
        <v>43.104300000000002</v>
      </c>
      <c r="E328" s="10">
        <f>'Q.6a Model 3'!$A330</f>
        <v>2.4</v>
      </c>
      <c r="F328" s="10">
        <f>'Q.6a Model 3'!$B330</f>
        <v>42.8</v>
      </c>
      <c r="H328" s="214">
        <v>2.4</v>
      </c>
      <c r="I328" s="214">
        <v>42.8</v>
      </c>
      <c r="K328" s="71">
        <f t="shared" si="44"/>
        <v>39.575018084330026</v>
      </c>
      <c r="L328" s="71">
        <f t="shared" si="38"/>
        <v>3.2249819156699715</v>
      </c>
      <c r="M328" s="71">
        <f t="shared" si="39"/>
        <v>3.2249819156699715</v>
      </c>
      <c r="N328" s="175">
        <f t="shared" si="40"/>
        <v>10.40050835639836</v>
      </c>
      <c r="O328" s="71">
        <f t="shared" si="41"/>
        <v>7.5350044758644194E-2</v>
      </c>
      <c r="P328" s="176"/>
      <c r="Q328" s="144"/>
      <c r="R328" s="175">
        <f t="shared" si="42"/>
        <v>61.142808690474418</v>
      </c>
      <c r="S328" s="71">
        <f t="shared" si="43"/>
        <v>21.10855551401945</v>
      </c>
    </row>
    <row r="329" spans="1:19">
      <c r="A329" s="162">
        <f>'Q.6a Model 1'!A331</f>
        <v>2</v>
      </c>
      <c r="B329" s="162">
        <f>'Q.6a Model 1'!B331</f>
        <v>46.624000000000002</v>
      </c>
      <c r="C329" s="163">
        <f>'Q.6a Model 2'!A331</f>
        <v>4</v>
      </c>
      <c r="D329" s="163">
        <f>'Q.6a Model 2'!B331</f>
        <v>35.200000000000003</v>
      </c>
      <c r="E329" s="10">
        <f>'Q.6a Model 3'!$A331</f>
        <v>3.5</v>
      </c>
      <c r="F329" s="10">
        <f>'Q.6a Model 3'!$B331</f>
        <v>39.9</v>
      </c>
      <c r="H329" s="214">
        <v>3.5</v>
      </c>
      <c r="I329" s="214">
        <v>39.9</v>
      </c>
      <c r="K329" s="71">
        <f t="shared" si="44"/>
        <v>34.937852971228637</v>
      </c>
      <c r="L329" s="71">
        <f t="shared" si="38"/>
        <v>4.962147028771362</v>
      </c>
      <c r="M329" s="71">
        <f t="shared" si="39"/>
        <v>4.962147028771362</v>
      </c>
      <c r="N329" s="175">
        <f t="shared" si="40"/>
        <v>24.622903135144458</v>
      </c>
      <c r="O329" s="71">
        <f t="shared" si="41"/>
        <v>0.12436458718725218</v>
      </c>
      <c r="P329" s="176"/>
      <c r="Q329" s="144"/>
      <c r="R329" s="175">
        <f t="shared" si="42"/>
        <v>24.200365709444629</v>
      </c>
      <c r="S329" s="71">
        <f t="shared" si="43"/>
        <v>1.828443932057986E-3</v>
      </c>
    </row>
    <row r="330" spans="1:19">
      <c r="A330" s="162">
        <f>'Q.6a Model 1'!A332</f>
        <v>1.8</v>
      </c>
      <c r="B330" s="162">
        <f>'Q.6a Model 1'!B332</f>
        <v>51.191499999999998</v>
      </c>
      <c r="C330" s="163">
        <f>'Q.6a Model 2'!A332</f>
        <v>3.5</v>
      </c>
      <c r="D330" s="163">
        <f>'Q.6a Model 2'!B332</f>
        <v>33.299999999999997</v>
      </c>
      <c r="E330" s="10">
        <f>'Q.6a Model 3'!$A332</f>
        <v>3.5</v>
      </c>
      <c r="F330" s="10">
        <f>'Q.6a Model 3'!$B332</f>
        <v>27.3</v>
      </c>
      <c r="H330" s="214">
        <v>3.5</v>
      </c>
      <c r="I330" s="214">
        <v>27.3</v>
      </c>
      <c r="K330" s="71">
        <f t="shared" si="44"/>
        <v>34.937852971228637</v>
      </c>
      <c r="L330" s="71">
        <f t="shared" si="38"/>
        <v>-7.6378529712286358</v>
      </c>
      <c r="M330" s="71">
        <f t="shared" si="39"/>
        <v>7.6378529712286358</v>
      </c>
      <c r="N330" s="175">
        <f t="shared" si="40"/>
        <v>58.336798010106101</v>
      </c>
      <c r="O330" s="71">
        <f t="shared" si="41"/>
        <v>0.27977483411093901</v>
      </c>
      <c r="P330" s="176"/>
      <c r="Q330" s="144"/>
      <c r="R330" s="175">
        <f t="shared" si="42"/>
        <v>58.991820343590931</v>
      </c>
      <c r="S330" s="71">
        <f t="shared" si="43"/>
        <v>1.828443932057986E-3</v>
      </c>
    </row>
    <row r="331" spans="1:19">
      <c r="A331" s="162">
        <f>'Q.6a Model 1'!A333</f>
        <v>4</v>
      </c>
      <c r="B331" s="162">
        <f>'Q.6a Model 1'!B333</f>
        <v>29.4</v>
      </c>
      <c r="C331" s="163">
        <f>'Q.6a Model 2'!A333</f>
        <v>2</v>
      </c>
      <c r="D331" s="163">
        <f>'Q.6a Model 2'!B333</f>
        <v>39.7256</v>
      </c>
      <c r="E331" s="10">
        <f>'Q.6a Model 3'!$A333</f>
        <v>5.7</v>
      </c>
      <c r="F331" s="10">
        <f>'Q.6a Model 3'!$B333</f>
        <v>27.1</v>
      </c>
      <c r="H331" s="214">
        <v>5.7</v>
      </c>
      <c r="I331" s="214">
        <v>27.1</v>
      </c>
      <c r="K331" s="71">
        <f t="shared" si="44"/>
        <v>25.663522745025865</v>
      </c>
      <c r="L331" s="71">
        <f t="shared" si="38"/>
        <v>1.436477254974136</v>
      </c>
      <c r="M331" s="71">
        <f t="shared" si="39"/>
        <v>1.436477254974136</v>
      </c>
      <c r="N331" s="175">
        <f t="shared" si="40"/>
        <v>2.0634669040580289</v>
      </c>
      <c r="O331" s="71">
        <f t="shared" si="41"/>
        <v>5.3006540773953358E-2</v>
      </c>
      <c r="P331" s="176"/>
      <c r="Q331" s="144"/>
      <c r="R331" s="175">
        <f t="shared" si="42"/>
        <v>62.104065655244035</v>
      </c>
      <c r="S331" s="71">
        <f t="shared" si="43"/>
        <v>86.808176020744853</v>
      </c>
    </row>
    <row r="332" spans="1:19">
      <c r="A332" s="162">
        <f>'Q.6a Model 1'!A334</f>
        <v>2.5</v>
      </c>
      <c r="B332" s="162">
        <f>'Q.6a Model 1'!B334</f>
        <v>44.2</v>
      </c>
      <c r="C332" s="163">
        <f>'Q.6a Model 2'!A334</f>
        <v>3.7</v>
      </c>
      <c r="D332" s="163">
        <f>'Q.6a Model 2'!B334</f>
        <v>37.064999999999998</v>
      </c>
      <c r="E332" s="10">
        <f>'Q.6a Model 3'!$A334</f>
        <v>5.6</v>
      </c>
      <c r="F332" s="10">
        <f>'Q.6a Model 3'!$B334</f>
        <v>24.947700000000001</v>
      </c>
      <c r="H332" s="214">
        <v>5.6</v>
      </c>
      <c r="I332" s="214">
        <v>24.947700000000001</v>
      </c>
      <c r="K332" s="71">
        <f t="shared" si="44"/>
        <v>26.085083209853266</v>
      </c>
      <c r="L332" s="71">
        <f t="shared" si="38"/>
        <v>-1.1373832098532652</v>
      </c>
      <c r="M332" s="71">
        <f t="shared" si="39"/>
        <v>1.1373832098532652</v>
      </c>
      <c r="N332" s="175">
        <f t="shared" si="40"/>
        <v>1.2936405660561168</v>
      </c>
      <c r="O332" s="71">
        <f t="shared" si="41"/>
        <v>4.5590704147206562E-2</v>
      </c>
      <c r="P332" s="176"/>
      <c r="Q332" s="144"/>
      <c r="R332" s="175">
        <f t="shared" si="42"/>
        <v>100.65934886659905</v>
      </c>
      <c r="S332" s="71">
        <f t="shared" si="43"/>
        <v>79.130455213456159</v>
      </c>
    </row>
    <row r="333" spans="1:19">
      <c r="A333" s="162">
        <f>'Q.6a Model 1'!A335</f>
        <v>5.5</v>
      </c>
      <c r="B333" s="162">
        <f>'Q.6a Model 1'!B335</f>
        <v>33</v>
      </c>
      <c r="C333" s="163">
        <f>'Q.6a Model 2'!A335</f>
        <v>2.5</v>
      </c>
      <c r="D333" s="163">
        <f>'Q.6a Model 2'!B335</f>
        <v>44.2</v>
      </c>
      <c r="E333" s="10">
        <f>'Q.6a Model 3'!$A335</f>
        <v>4.3</v>
      </c>
      <c r="F333" s="10">
        <f>'Q.6a Model 3'!$B335</f>
        <v>24.1937</v>
      </c>
      <c r="H333" s="214">
        <v>4.3</v>
      </c>
      <c r="I333" s="214">
        <v>24.1937</v>
      </c>
      <c r="K333" s="71">
        <f t="shared" si="44"/>
        <v>31.56536925260945</v>
      </c>
      <c r="L333" s="71">
        <f t="shared" si="38"/>
        <v>-7.3716692526094505</v>
      </c>
      <c r="M333" s="71">
        <f t="shared" si="39"/>
        <v>7.3716692526094505</v>
      </c>
      <c r="N333" s="175">
        <f t="shared" si="40"/>
        <v>54.341507569867574</v>
      </c>
      <c r="O333" s="71">
        <f t="shared" si="41"/>
        <v>0.30469375302700497</v>
      </c>
      <c r="P333" s="176"/>
      <c r="Q333" s="144"/>
      <c r="R333" s="175">
        <f t="shared" si="42"/>
        <v>116.35749809153133</v>
      </c>
      <c r="S333" s="71">
        <f t="shared" si="43"/>
        <v>11.663891760703352</v>
      </c>
    </row>
    <row r="334" spans="1:19">
      <c r="A334" s="162">
        <f>'Q.6a Model 1'!A336</f>
        <v>6</v>
      </c>
      <c r="B334" s="162">
        <f>'Q.6a Model 1'!B336</f>
        <v>30.299900000000001</v>
      </c>
      <c r="C334" s="163">
        <f>'Q.6a Model 2'!A336</f>
        <v>3.6</v>
      </c>
      <c r="D334" s="163">
        <f>'Q.6a Model 2'!B336</f>
        <v>35.242699999999999</v>
      </c>
      <c r="E334" s="10">
        <f>'Q.6a Model 3'!$A336</f>
        <v>1.6</v>
      </c>
      <c r="F334" s="10">
        <f>'Q.6a Model 3'!$B336</f>
        <v>52</v>
      </c>
      <c r="H334" s="214">
        <v>1.6</v>
      </c>
      <c r="I334" s="214">
        <v>52</v>
      </c>
      <c r="K334" s="71">
        <f t="shared" si="44"/>
        <v>42.947501802949219</v>
      </c>
      <c r="L334" s="71">
        <f t="shared" si="38"/>
        <v>9.052498197050781</v>
      </c>
      <c r="M334" s="71">
        <f t="shared" si="39"/>
        <v>9.052498197050781</v>
      </c>
      <c r="N334" s="175">
        <f t="shared" si="40"/>
        <v>81.947723607607642</v>
      </c>
      <c r="O334" s="71">
        <f t="shared" si="41"/>
        <v>0.1740865037894381</v>
      </c>
      <c r="P334" s="176"/>
      <c r="Q334" s="144"/>
      <c r="R334" s="175">
        <f t="shared" si="42"/>
        <v>289.65952435443114</v>
      </c>
      <c r="S334" s="71">
        <f t="shared" si="43"/>
        <v>63.471312750917924</v>
      </c>
    </row>
    <row r="335" spans="1:19">
      <c r="A335" s="162">
        <f>'Q.6a Model 1'!A337</f>
        <v>4.7</v>
      </c>
      <c r="B335" s="162">
        <f>'Q.6a Model 1'!B337</f>
        <v>25.6</v>
      </c>
      <c r="C335" s="163">
        <f>'Q.6a Model 2'!A337</f>
        <v>3.2</v>
      </c>
      <c r="D335" s="163">
        <f>'Q.6a Model 2'!B337</f>
        <v>32.274700000000003</v>
      </c>
      <c r="E335" s="10">
        <f>'Q.6a Model 3'!$A337</f>
        <v>3.5</v>
      </c>
      <c r="F335" s="10">
        <f>'Q.6a Model 3'!$B337</f>
        <v>31.496099999999998</v>
      </c>
      <c r="H335" s="214">
        <v>3.5</v>
      </c>
      <c r="I335" s="214">
        <v>31.496099999999998</v>
      </c>
      <c r="K335" s="71">
        <f t="shared" si="44"/>
        <v>34.937852971228637</v>
      </c>
      <c r="L335" s="71">
        <f t="shared" si="38"/>
        <v>-3.4417529712286381</v>
      </c>
      <c r="M335" s="71">
        <f t="shared" si="39"/>
        <v>3.4417529712286381</v>
      </c>
      <c r="N335" s="175">
        <f t="shared" si="40"/>
        <v>11.845663514961158</v>
      </c>
      <c r="O335" s="71">
        <f t="shared" si="41"/>
        <v>0.10927552843776335</v>
      </c>
      <c r="P335" s="176"/>
      <c r="Q335" s="144"/>
      <c r="R335" s="175">
        <f t="shared" si="42"/>
        <v>12.141832792452758</v>
      </c>
      <c r="S335" s="71">
        <f t="shared" si="43"/>
        <v>1.828443932057986E-3</v>
      </c>
    </row>
    <row r="336" spans="1:19">
      <c r="A336" s="162">
        <f>'Q.6a Model 1'!A338</f>
        <v>3.5</v>
      </c>
      <c r="B336" s="162">
        <f>'Q.6a Model 1'!B338</f>
        <v>37.6</v>
      </c>
      <c r="C336" s="163">
        <f>'Q.6a Model 2'!A338</f>
        <v>1.6</v>
      </c>
      <c r="D336" s="163">
        <f>'Q.6a Model 2'!B338</f>
        <v>48.9</v>
      </c>
      <c r="E336" s="10">
        <f>'Q.6a Model 3'!$A338</f>
        <v>1.6</v>
      </c>
      <c r="F336" s="10">
        <f>'Q.6a Model 3'!$B338</f>
        <v>47.7592</v>
      </c>
      <c r="H336" s="214">
        <v>1.6</v>
      </c>
      <c r="I336" s="214">
        <v>47.7592</v>
      </c>
      <c r="K336" s="71">
        <f t="shared" si="44"/>
        <v>42.947501802949219</v>
      </c>
      <c r="L336" s="71">
        <f t="shared" si="38"/>
        <v>4.8116981970507808</v>
      </c>
      <c r="M336" s="71">
        <f t="shared" si="39"/>
        <v>4.8116981970507808</v>
      </c>
      <c r="N336" s="175">
        <f t="shared" si="40"/>
        <v>23.152439539501735</v>
      </c>
      <c r="O336" s="71">
        <f t="shared" si="41"/>
        <v>0.10074913727723205</v>
      </c>
      <c r="P336" s="176"/>
      <c r="Q336" s="144"/>
      <c r="R336" s="175">
        <f t="shared" si="42"/>
        <v>163.29227858272381</v>
      </c>
      <c r="S336" s="71">
        <f t="shared" si="43"/>
        <v>63.471312750917924</v>
      </c>
    </row>
    <row r="337" spans="1:19">
      <c r="A337" s="162">
        <f>'Q.6a Model 1'!A339</f>
        <v>5.3</v>
      </c>
      <c r="B337" s="162">
        <f>'Q.6a Model 1'!B339</f>
        <v>28.993500000000001</v>
      </c>
      <c r="C337" s="163">
        <f>'Q.6a Model 2'!A339</f>
        <v>6.2</v>
      </c>
      <c r="D337" s="163">
        <f>'Q.6a Model 2'!B339</f>
        <v>25.799900000000001</v>
      </c>
      <c r="E337" s="10">
        <f>'Q.6a Model 3'!$A339</f>
        <v>4.2</v>
      </c>
      <c r="F337" s="10">
        <f>'Q.6a Model 3'!$B339</f>
        <v>31</v>
      </c>
      <c r="H337" s="214">
        <v>4.2</v>
      </c>
      <c r="I337" s="214">
        <v>31</v>
      </c>
      <c r="K337" s="71">
        <f t="shared" si="44"/>
        <v>31.986929717436848</v>
      </c>
      <c r="L337" s="71">
        <f t="shared" si="38"/>
        <v>-0.98692971743684765</v>
      </c>
      <c r="M337" s="71">
        <f t="shared" si="39"/>
        <v>0.98692971743684765</v>
      </c>
      <c r="N337" s="175">
        <f t="shared" si="40"/>
        <v>0.97403026715997598</v>
      </c>
      <c r="O337" s="71">
        <f t="shared" si="41"/>
        <v>3.183644249796283E-2</v>
      </c>
      <c r="P337" s="176"/>
      <c r="Q337" s="144"/>
      <c r="R337" s="175">
        <f t="shared" si="42"/>
        <v>15.845282078008301</v>
      </c>
      <c r="S337" s="71">
        <f t="shared" si="43"/>
        <v>8.9621412675685015</v>
      </c>
    </row>
    <row r="338" spans="1:19">
      <c r="A338" s="162">
        <f>'Q.6a Model 1'!A340</f>
        <v>2</v>
      </c>
      <c r="B338" s="162">
        <f>'Q.6a Model 1'!B340</f>
        <v>42</v>
      </c>
      <c r="C338" s="163">
        <f>'Q.6a Model 2'!A340</f>
        <v>3</v>
      </c>
      <c r="D338" s="163">
        <f>'Q.6a Model 2'!B340</f>
        <v>39.710299999999997</v>
      </c>
      <c r="E338" s="10">
        <f>'Q.6a Model 3'!$A340</f>
        <v>2.4</v>
      </c>
      <c r="F338" s="10">
        <f>'Q.6a Model 3'!$B340</f>
        <v>41.585799999999999</v>
      </c>
      <c r="H338" s="214">
        <v>2.4</v>
      </c>
      <c r="I338" s="214">
        <v>41.585799999999999</v>
      </c>
      <c r="K338" s="71">
        <f t="shared" si="44"/>
        <v>39.575018084330026</v>
      </c>
      <c r="L338" s="71">
        <f t="shared" si="38"/>
        <v>2.0107819156699733</v>
      </c>
      <c r="M338" s="71">
        <f t="shared" si="39"/>
        <v>2.0107819156699733</v>
      </c>
      <c r="N338" s="175">
        <f t="shared" si="40"/>
        <v>4.0432439123854076</v>
      </c>
      <c r="O338" s="71">
        <f t="shared" si="41"/>
        <v>4.8352608719081355E-2</v>
      </c>
      <c r="P338" s="176"/>
      <c r="Q338" s="144"/>
      <c r="R338" s="175">
        <f t="shared" si="42"/>
        <v>43.628491617520517</v>
      </c>
      <c r="S338" s="71">
        <f t="shared" si="43"/>
        <v>21.10855551401945</v>
      </c>
    </row>
    <row r="339" spans="1:19">
      <c r="A339" s="162">
        <f>'Q.6a Model 1'!A341</f>
        <v>3.6</v>
      </c>
      <c r="B339" s="162">
        <f>'Q.6a Model 1'!B341</f>
        <v>40</v>
      </c>
      <c r="C339" s="163">
        <f>'Q.6a Model 2'!A341</f>
        <v>3.7</v>
      </c>
      <c r="D339" s="163">
        <f>'Q.6a Model 2'!B341</f>
        <v>29.799900000000001</v>
      </c>
      <c r="E339" s="10">
        <f>'Q.6a Model 3'!$A341</f>
        <v>2.4</v>
      </c>
      <c r="F339" s="10">
        <f>'Q.6a Model 3'!$B341</f>
        <v>42.6</v>
      </c>
      <c r="H339" s="214">
        <v>2.4</v>
      </c>
      <c r="I339" s="214">
        <v>42.6</v>
      </c>
      <c r="K339" s="71">
        <f t="shared" si="44"/>
        <v>39.575018084330026</v>
      </c>
      <c r="L339" s="71">
        <f t="shared" si="38"/>
        <v>3.0249819156699758</v>
      </c>
      <c r="M339" s="71">
        <f t="shared" si="39"/>
        <v>3.0249819156699758</v>
      </c>
      <c r="N339" s="175">
        <f t="shared" si="40"/>
        <v>9.1505155901303965</v>
      </c>
      <c r="O339" s="71">
        <f t="shared" si="41"/>
        <v>7.1008965156572193E-2</v>
      </c>
      <c r="P339" s="176"/>
      <c r="Q339" s="144"/>
      <c r="R339" s="175">
        <f t="shared" si="42"/>
        <v>58.055054002127598</v>
      </c>
      <c r="S339" s="71">
        <f t="shared" si="43"/>
        <v>21.10855551401945</v>
      </c>
    </row>
    <row r="340" spans="1:19">
      <c r="A340" s="162">
        <f>'Q.6a Model 1'!A342</f>
        <v>3.9</v>
      </c>
      <c r="B340" s="162">
        <f>'Q.6a Model 1'!B342</f>
        <v>37.299999999999997</v>
      </c>
      <c r="C340" s="163">
        <f>'Q.6a Model 2'!A342</f>
        <v>3.6</v>
      </c>
      <c r="D340" s="163">
        <f>'Q.6a Model 2'!B342</f>
        <v>34.9</v>
      </c>
      <c r="E340" s="10">
        <f>'Q.6a Model 3'!$A342</f>
        <v>2.5</v>
      </c>
      <c r="F340" s="10">
        <f>'Q.6a Model 3'!$B342</f>
        <v>42.908000000000001</v>
      </c>
      <c r="H340" s="214">
        <v>2.5</v>
      </c>
      <c r="I340" s="214">
        <v>42.908000000000001</v>
      </c>
      <c r="K340" s="71">
        <f t="shared" si="44"/>
        <v>39.153457619502632</v>
      </c>
      <c r="L340" s="71">
        <f t="shared" si="38"/>
        <v>3.7545423804973694</v>
      </c>
      <c r="M340" s="71">
        <f t="shared" si="39"/>
        <v>3.7545423804973694</v>
      </c>
      <c r="N340" s="175">
        <f t="shared" si="40"/>
        <v>14.096588486950854</v>
      </c>
      <c r="O340" s="71">
        <f t="shared" si="41"/>
        <v>8.7502152990057078E-2</v>
      </c>
      <c r="P340" s="176"/>
      <c r="Q340" s="144"/>
      <c r="R340" s="175">
        <f t="shared" si="42"/>
        <v>62.843460222181804</v>
      </c>
      <c r="S340" s="71">
        <f t="shared" si="43"/>
        <v>17.412629888956623</v>
      </c>
    </row>
    <row r="341" spans="1:19">
      <c r="A341" s="162">
        <f>'Q.6a Model 1'!A343</f>
        <v>2.9</v>
      </c>
      <c r="B341" s="162">
        <f>'Q.6a Model 1'!B343</f>
        <v>32.4</v>
      </c>
      <c r="C341" s="163">
        <f>'Q.6a Model 2'!A343</f>
        <v>4.5999999999999996</v>
      </c>
      <c r="D341" s="163">
        <f>'Q.6a Model 2'!B343</f>
        <v>31.9</v>
      </c>
      <c r="E341" s="10">
        <f>'Q.6a Model 3'!$A343</f>
        <v>4</v>
      </c>
      <c r="F341" s="10">
        <f>'Q.6a Model 3'!$B343</f>
        <v>25.3</v>
      </c>
      <c r="H341" s="214">
        <v>4</v>
      </c>
      <c r="I341" s="214">
        <v>25.3</v>
      </c>
      <c r="K341" s="71">
        <f t="shared" si="44"/>
        <v>32.830050647091646</v>
      </c>
      <c r="L341" s="71">
        <f t="shared" ref="L341:L371" si="45">I341-K341</f>
        <v>-7.5300506470916453</v>
      </c>
      <c r="M341" s="71">
        <f t="shared" ref="M341:M371" si="46">ABS(L341)</f>
        <v>7.5300506470916453</v>
      </c>
      <c r="N341" s="175">
        <f t="shared" ref="N341:N371" si="47">M341^2</f>
        <v>56.701662747765305</v>
      </c>
      <c r="O341" s="71">
        <f t="shared" ref="O341:O371" si="48">M341/I341</f>
        <v>0.29763046035935359</v>
      </c>
      <c r="P341" s="176"/>
      <c r="Q341" s="144"/>
      <c r="R341" s="175">
        <f t="shared" si="42"/>
        <v>93.714273460122087</v>
      </c>
      <c r="S341" s="71">
        <f t="shared" si="43"/>
        <v>4.6249196343317314</v>
      </c>
    </row>
    <row r="342" spans="1:19">
      <c r="A342" s="162">
        <f>'Q.6a Model 1'!A344</f>
        <v>2.4</v>
      </c>
      <c r="B342" s="162">
        <f>'Q.6a Model 1'!B344</f>
        <v>46.8</v>
      </c>
      <c r="C342" s="163">
        <f>'Q.6a Model 2'!A344</f>
        <v>3.8</v>
      </c>
      <c r="D342" s="163">
        <f>'Q.6a Model 2'!B344</f>
        <v>29.2986</v>
      </c>
      <c r="E342" s="10">
        <f>'Q.6a Model 3'!$A344</f>
        <v>4.3</v>
      </c>
      <c r="F342" s="10">
        <f>'Q.6a Model 3'!$B344</f>
        <v>24.1937</v>
      </c>
      <c r="H342" s="214">
        <v>4.3</v>
      </c>
      <c r="I342" s="214">
        <v>24.1937</v>
      </c>
      <c r="K342" s="71">
        <f t="shared" si="44"/>
        <v>31.56536925260945</v>
      </c>
      <c r="L342" s="71">
        <f t="shared" si="45"/>
        <v>-7.3716692526094505</v>
      </c>
      <c r="M342" s="71">
        <f t="shared" si="46"/>
        <v>7.3716692526094505</v>
      </c>
      <c r="N342" s="175">
        <f t="shared" si="47"/>
        <v>54.341507569867574</v>
      </c>
      <c r="O342" s="71">
        <f t="shared" si="48"/>
        <v>0.30469375302700497</v>
      </c>
      <c r="P342" s="176"/>
      <c r="Q342" s="144"/>
      <c r="R342" s="175">
        <f t="shared" si="42"/>
        <v>116.35749809153133</v>
      </c>
      <c r="S342" s="71">
        <f t="shared" si="43"/>
        <v>11.663891760703352</v>
      </c>
    </row>
    <row r="343" spans="1:19">
      <c r="A343" s="162">
        <f>'Q.6a Model 1'!A345</f>
        <v>5.2</v>
      </c>
      <c r="B343" s="162">
        <f>'Q.6a Model 1'!B345</f>
        <v>26.7</v>
      </c>
      <c r="C343" s="163">
        <f>'Q.6a Model 2'!A345</f>
        <v>2.4</v>
      </c>
      <c r="D343" s="163">
        <f>'Q.6a Model 2'!B345</f>
        <v>34.251300000000001</v>
      </c>
      <c r="E343" s="10">
        <f>'Q.6a Model 3'!$A345</f>
        <v>2.4</v>
      </c>
      <c r="F343" s="10">
        <f>'Q.6a Model 3'!$B345</f>
        <v>43.5</v>
      </c>
      <c r="H343" s="214">
        <v>2.4</v>
      </c>
      <c r="I343" s="214">
        <v>43.5</v>
      </c>
      <c r="K343" s="71">
        <f t="shared" si="44"/>
        <v>39.575018084330026</v>
      </c>
      <c r="L343" s="71">
        <f t="shared" si="45"/>
        <v>3.9249819156699743</v>
      </c>
      <c r="M343" s="71">
        <f t="shared" si="46"/>
        <v>3.9249819156699743</v>
      </c>
      <c r="N343" s="175">
        <f t="shared" si="47"/>
        <v>15.405483038336342</v>
      </c>
      <c r="O343" s="71">
        <f t="shared" si="48"/>
        <v>9.0229469325746534E-2</v>
      </c>
      <c r="P343" s="176"/>
      <c r="Q343" s="144"/>
      <c r="R343" s="175">
        <f t="shared" si="42"/>
        <v>72.57995009968856</v>
      </c>
      <c r="S343" s="71">
        <f t="shared" si="43"/>
        <v>21.10855551401945</v>
      </c>
    </row>
    <row r="344" spans="1:19">
      <c r="A344" s="162">
        <f>'Q.6a Model 1'!A346</f>
        <v>3</v>
      </c>
      <c r="B344" s="162">
        <f>'Q.6a Model 1'!B346</f>
        <v>35.731099999999998</v>
      </c>
      <c r="C344" s="163">
        <f>'Q.6a Model 2'!A346</f>
        <v>5.7</v>
      </c>
      <c r="D344" s="163">
        <f>'Q.6a Model 2'!B346</f>
        <v>21.3</v>
      </c>
      <c r="E344" s="10">
        <f>'Q.6a Model 3'!$A346</f>
        <v>3.6</v>
      </c>
      <c r="F344" s="10">
        <f>'Q.6a Model 3'!$B346</f>
        <v>40</v>
      </c>
      <c r="H344" s="214">
        <v>3.6</v>
      </c>
      <c r="I344" s="214">
        <v>40</v>
      </c>
      <c r="K344" s="71">
        <f t="shared" si="44"/>
        <v>34.516292506401243</v>
      </c>
      <c r="L344" s="71">
        <f t="shared" si="45"/>
        <v>5.4837074935987573</v>
      </c>
      <c r="M344" s="71">
        <f t="shared" si="46"/>
        <v>5.4837074935987573</v>
      </c>
      <c r="N344" s="175">
        <f t="shared" si="47"/>
        <v>30.071047875351166</v>
      </c>
      <c r="O344" s="71">
        <f t="shared" si="48"/>
        <v>0.13709268733996893</v>
      </c>
      <c r="P344" s="176"/>
      <c r="Q344" s="144"/>
      <c r="R344" s="175">
        <f t="shared" si="42"/>
        <v>25.194243053618084</v>
      </c>
      <c r="S344" s="71">
        <f t="shared" si="43"/>
        <v>0.21559377999002097</v>
      </c>
    </row>
    <row r="345" spans="1:19">
      <c r="A345" s="162">
        <f>'Q.6a Model 1'!A347</f>
        <v>2.4</v>
      </c>
      <c r="B345" s="162">
        <f>'Q.6a Model 1'!B347</f>
        <v>33.6</v>
      </c>
      <c r="C345" s="163">
        <f>'Q.6a Model 2'!A347</f>
        <v>2</v>
      </c>
      <c r="D345" s="163">
        <f>'Q.6a Model 2'!B347</f>
        <v>38.870199999999997</v>
      </c>
      <c r="E345" s="10">
        <f>'Q.6a Model 3'!$A347</f>
        <v>2.4</v>
      </c>
      <c r="F345" s="10">
        <f>'Q.6a Model 3'!$B347</f>
        <v>40.279600000000002</v>
      </c>
      <c r="H345" s="214">
        <v>2.4</v>
      </c>
      <c r="I345" s="214">
        <v>40.279600000000002</v>
      </c>
      <c r="K345" s="71">
        <f t="shared" si="44"/>
        <v>39.575018084330026</v>
      </c>
      <c r="L345" s="71">
        <f t="shared" si="45"/>
        <v>0.70458191566997641</v>
      </c>
      <c r="M345" s="71">
        <f t="shared" si="46"/>
        <v>0.70458191566997641</v>
      </c>
      <c r="N345" s="175">
        <f t="shared" si="47"/>
        <v>0.49643567588917376</v>
      </c>
      <c r="O345" s="71">
        <f t="shared" si="48"/>
        <v>1.7492276876383488E-2</v>
      </c>
      <c r="P345" s="176"/>
      <c r="Q345" s="144"/>
      <c r="R345" s="175">
        <f t="shared" si="42"/>
        <v>28.079260267927051</v>
      </c>
      <c r="S345" s="71">
        <f t="shared" si="43"/>
        <v>21.10855551401945</v>
      </c>
    </row>
    <row r="346" spans="1:19">
      <c r="A346" s="162">
        <f>'Q.6a Model 1'!A348</f>
        <v>3.8</v>
      </c>
      <c r="B346" s="162">
        <f>'Q.6a Model 1'!B348</f>
        <v>29.809899999999999</v>
      </c>
      <c r="C346" s="163">
        <f>'Q.6a Model 2'!A348</f>
        <v>3.5</v>
      </c>
      <c r="D346" s="163">
        <f>'Q.6a Model 2'!B348</f>
        <v>35.5</v>
      </c>
      <c r="E346" s="10">
        <f>'Q.6a Model 3'!$A348</f>
        <v>5.3</v>
      </c>
      <c r="F346" s="10">
        <f>'Q.6a Model 3'!$B348</f>
        <v>24.299900000000001</v>
      </c>
      <c r="H346" s="214">
        <v>5.3</v>
      </c>
      <c r="I346" s="214">
        <v>24.299900000000001</v>
      </c>
      <c r="K346" s="71">
        <f t="shared" si="44"/>
        <v>27.349764604335462</v>
      </c>
      <c r="L346" s="71">
        <f t="shared" si="45"/>
        <v>-3.0498646043354611</v>
      </c>
      <c r="M346" s="71">
        <f t="shared" si="46"/>
        <v>3.0498646043354611</v>
      </c>
      <c r="N346" s="175">
        <f t="shared" si="47"/>
        <v>9.3016741047782983</v>
      </c>
      <c r="O346" s="71">
        <f t="shared" si="48"/>
        <v>0.12550934795350849</v>
      </c>
      <c r="P346" s="176"/>
      <c r="Q346" s="144"/>
      <c r="R346" s="175">
        <f t="shared" si="42"/>
        <v>114.07763615104349</v>
      </c>
      <c r="S346" s="71">
        <f t="shared" si="43"/>
        <v>58.229851497656135</v>
      </c>
    </row>
    <row r="347" spans="1:19">
      <c r="A347" s="162">
        <f>'Q.6a Model 1'!A349</f>
        <v>3.5</v>
      </c>
      <c r="B347" s="162">
        <f>'Q.6a Model 1'!B349</f>
        <v>32.348999999999997</v>
      </c>
      <c r="C347" s="163">
        <f>'Q.6a Model 2'!A349</f>
        <v>5.7</v>
      </c>
      <c r="D347" s="163">
        <f>'Q.6a Model 2'!B349</f>
        <v>23.431799999999999</v>
      </c>
      <c r="E347" s="10">
        <f>'Q.6a Model 3'!$A349</f>
        <v>3.8</v>
      </c>
      <c r="F347" s="10">
        <f>'Q.6a Model 3'!$B349</f>
        <v>37.076900000000002</v>
      </c>
      <c r="H347" s="214">
        <v>3.8</v>
      </c>
      <c r="I347" s="214">
        <v>37.076900000000002</v>
      </c>
      <c r="K347" s="71">
        <f t="shared" si="44"/>
        <v>33.673171576746441</v>
      </c>
      <c r="L347" s="71">
        <f t="shared" si="45"/>
        <v>3.4037284232535612</v>
      </c>
      <c r="M347" s="71">
        <f t="shared" si="46"/>
        <v>3.4037284232535612</v>
      </c>
      <c r="N347" s="175">
        <f t="shared" si="47"/>
        <v>11.585367179264173</v>
      </c>
      <c r="O347" s="71">
        <f t="shared" si="48"/>
        <v>9.1801861084760614E-2</v>
      </c>
      <c r="P347" s="176"/>
      <c r="Q347" s="144"/>
      <c r="R347" s="175">
        <f t="shared" si="42"/>
        <v>4.3944180160842095</v>
      </c>
      <c r="S347" s="71">
        <f t="shared" si="43"/>
        <v>1.7094038051389142</v>
      </c>
    </row>
    <row r="348" spans="1:19">
      <c r="A348" s="162">
        <f>'Q.6a Model 1'!A350</f>
        <v>3.8</v>
      </c>
      <c r="B348" s="162">
        <f>'Q.6a Model 1'!B350</f>
        <v>34.6</v>
      </c>
      <c r="C348" s="163">
        <f>'Q.6a Model 2'!A350</f>
        <v>2.4</v>
      </c>
      <c r="D348" s="163">
        <f>'Q.6a Model 2'!B350</f>
        <v>38.6</v>
      </c>
      <c r="E348" s="10">
        <f>'Q.6a Model 3'!$A350</f>
        <v>3.5</v>
      </c>
      <c r="F348" s="10">
        <f>'Q.6a Model 3'!$B350</f>
        <v>37.6</v>
      </c>
      <c r="H348" s="214">
        <v>3.5</v>
      </c>
      <c r="I348" s="214">
        <v>37.6</v>
      </c>
      <c r="K348" s="71">
        <f t="shared" si="44"/>
        <v>34.937852971228637</v>
      </c>
      <c r="L348" s="71">
        <f t="shared" si="45"/>
        <v>2.6621470287713649</v>
      </c>
      <c r="M348" s="71">
        <f t="shared" si="46"/>
        <v>2.6621470287713649</v>
      </c>
      <c r="N348" s="175">
        <f t="shared" si="47"/>
        <v>7.0870268027962062</v>
      </c>
      <c r="O348" s="71">
        <f t="shared" si="48"/>
        <v>7.0801782680089492E-2</v>
      </c>
      <c r="P348" s="176"/>
      <c r="Q348" s="144"/>
      <c r="R348" s="175">
        <f t="shared" si="42"/>
        <v>6.8611867934554835</v>
      </c>
      <c r="S348" s="71">
        <f t="shared" si="43"/>
        <v>1.828443932057986E-3</v>
      </c>
    </row>
    <row r="349" spans="1:19">
      <c r="A349" s="162">
        <f>'Q.6a Model 1'!A351</f>
        <v>2.5</v>
      </c>
      <c r="B349" s="162">
        <f>'Q.6a Model 1'!B351</f>
        <v>37.9</v>
      </c>
      <c r="C349" s="163">
        <f>'Q.6a Model 2'!A351</f>
        <v>4.4000000000000004</v>
      </c>
      <c r="D349" s="163">
        <f>'Q.6a Model 2'!B351</f>
        <v>23.152100000000001</v>
      </c>
      <c r="E349" s="10">
        <f>'Q.6a Model 3'!$A351</f>
        <v>2</v>
      </c>
      <c r="F349" s="10">
        <f>'Q.6a Model 3'!$B351</f>
        <v>41.521000000000001</v>
      </c>
      <c r="H349" s="214">
        <v>2</v>
      </c>
      <c r="I349" s="214">
        <v>41.521000000000001</v>
      </c>
      <c r="K349" s="71">
        <f t="shared" si="44"/>
        <v>41.261259943639622</v>
      </c>
      <c r="L349" s="71">
        <f t="shared" si="45"/>
        <v>0.25974005636037845</v>
      </c>
      <c r="M349" s="71">
        <f t="shared" si="46"/>
        <v>0.25974005636037845</v>
      </c>
      <c r="N349" s="175">
        <f t="shared" si="47"/>
        <v>6.7464896878092567E-2</v>
      </c>
      <c r="O349" s="71">
        <f t="shared" si="48"/>
        <v>6.2556310387605896E-3</v>
      </c>
      <c r="P349" s="176"/>
      <c r="Q349" s="144"/>
      <c r="R349" s="175">
        <f t="shared" si="42"/>
        <v>42.776658458496151</v>
      </c>
      <c r="S349" s="71">
        <f t="shared" si="43"/>
        <v>39.446522524380804</v>
      </c>
    </row>
    <row r="350" spans="1:19">
      <c r="A350" s="162">
        <f>'Q.6a Model 1'!A352</f>
        <v>3.8</v>
      </c>
      <c r="B350" s="162">
        <f>'Q.6a Model 1'!B352</f>
        <v>33.848199999999999</v>
      </c>
      <c r="C350" s="163">
        <f>'Q.6a Model 2'!A352</f>
        <v>3</v>
      </c>
      <c r="D350" s="163">
        <f>'Q.6a Model 2'!B352</f>
        <v>31.3917</v>
      </c>
      <c r="E350" s="10">
        <f>'Q.6a Model 3'!$A352</f>
        <v>3.8</v>
      </c>
      <c r="F350" s="10">
        <f>'Q.6a Model 3'!$B352</f>
        <v>36.4</v>
      </c>
      <c r="H350" s="214">
        <v>3.8</v>
      </c>
      <c r="I350" s="214">
        <v>36.4</v>
      </c>
      <c r="K350" s="71">
        <f t="shared" si="44"/>
        <v>33.673171576746441</v>
      </c>
      <c r="L350" s="71">
        <f t="shared" si="45"/>
        <v>2.7268284232535578</v>
      </c>
      <c r="M350" s="71">
        <f t="shared" si="46"/>
        <v>2.7268284232535578</v>
      </c>
      <c r="N350" s="175">
        <f t="shared" si="47"/>
        <v>7.4355932498634845</v>
      </c>
      <c r="O350" s="71">
        <f t="shared" si="48"/>
        <v>7.4912868770702135E-2</v>
      </c>
      <c r="P350" s="176"/>
      <c r="Q350" s="144"/>
      <c r="R350" s="175">
        <f t="shared" si="42"/>
        <v>2.0146586633741679</v>
      </c>
      <c r="S350" s="71">
        <f t="shared" si="43"/>
        <v>1.7094038051389142</v>
      </c>
    </row>
    <row r="351" spans="1:19">
      <c r="A351" s="162">
        <f>'Q.6a Model 1'!A353</f>
        <v>3.7</v>
      </c>
      <c r="B351" s="162">
        <f>'Q.6a Model 1'!B353</f>
        <v>29.799900000000001</v>
      </c>
      <c r="C351" s="163">
        <f>'Q.6a Model 2'!A353</f>
        <v>1.8</v>
      </c>
      <c r="D351" s="163">
        <f>'Q.6a Model 2'!B353</f>
        <v>44.9</v>
      </c>
      <c r="E351" s="10">
        <f>'Q.6a Model 3'!$A353</f>
        <v>2</v>
      </c>
      <c r="F351" s="10">
        <f>'Q.6a Model 3'!$B353</f>
        <v>42</v>
      </c>
      <c r="H351" s="214">
        <v>2</v>
      </c>
      <c r="I351" s="214">
        <v>42</v>
      </c>
      <c r="K351" s="71">
        <f t="shared" si="44"/>
        <v>41.261259943639622</v>
      </c>
      <c r="L351" s="71">
        <f t="shared" si="45"/>
        <v>0.73874005636037765</v>
      </c>
      <c r="M351" s="71">
        <f t="shared" si="46"/>
        <v>0.73874005636037765</v>
      </c>
      <c r="N351" s="175">
        <f t="shared" si="47"/>
        <v>0.54573687087133393</v>
      </c>
      <c r="O351" s="71">
        <f t="shared" si="48"/>
        <v>1.7589048960961372E-2</v>
      </c>
      <c r="P351" s="176"/>
      <c r="Q351" s="144"/>
      <c r="R351" s="175">
        <f t="shared" si="42"/>
        <v>49.271789937086929</v>
      </c>
      <c r="S351" s="71">
        <f t="shared" si="43"/>
        <v>39.446522524380804</v>
      </c>
    </row>
    <row r="352" spans="1:19">
      <c r="A352" s="162">
        <f>'Q.6a Model 1'!A354</f>
        <v>3.8</v>
      </c>
      <c r="B352" s="162">
        <f>'Q.6a Model 1'!B354</f>
        <v>33.848199999999999</v>
      </c>
      <c r="C352" s="163">
        <f>'Q.6a Model 2'!A354</f>
        <v>5</v>
      </c>
      <c r="D352" s="163">
        <f>'Q.6a Model 2'!B354</f>
        <v>32.880800000000001</v>
      </c>
      <c r="E352" s="10">
        <f>'Q.6a Model 3'!$A354</f>
        <v>3.7</v>
      </c>
      <c r="F352" s="10">
        <f>'Q.6a Model 3'!$B354</f>
        <v>32.974800000000002</v>
      </c>
      <c r="H352" s="214">
        <v>3.7</v>
      </c>
      <c r="I352" s="214">
        <v>32.974800000000002</v>
      </c>
      <c r="K352" s="71">
        <f t="shared" si="44"/>
        <v>34.094732041573842</v>
      </c>
      <c r="L352" s="71">
        <f t="shared" si="45"/>
        <v>-1.1199320415738399</v>
      </c>
      <c r="M352" s="71">
        <f t="shared" si="46"/>
        <v>1.1199320415738399</v>
      </c>
      <c r="N352" s="175">
        <f t="shared" si="47"/>
        <v>1.2542477777437488</v>
      </c>
      <c r="O352" s="71">
        <f t="shared" si="48"/>
        <v>3.3963270181285095E-2</v>
      </c>
      <c r="P352" s="176"/>
      <c r="Q352" s="144"/>
      <c r="R352" s="175">
        <f t="shared" si="42"/>
        <v>4.0232869107454272</v>
      </c>
      <c r="S352" s="71">
        <f t="shared" si="43"/>
        <v>0.78478556705897329</v>
      </c>
    </row>
    <row r="353" spans="1:19">
      <c r="A353" s="162">
        <f>'Q.6a Model 1'!A355</f>
        <v>3.5</v>
      </c>
      <c r="B353" s="162">
        <f>'Q.6a Model 1'!B355</f>
        <v>33.793700000000001</v>
      </c>
      <c r="C353" s="163">
        <f>'Q.6a Model 2'!A355</f>
        <v>3.5</v>
      </c>
      <c r="D353" s="163">
        <f>'Q.6a Model 2'!B355</f>
        <v>37.962800000000001</v>
      </c>
      <c r="E353" s="10">
        <f>'Q.6a Model 3'!$A355</f>
        <v>3</v>
      </c>
      <c r="F353" s="10">
        <f>'Q.6a Model 3'!$B355</f>
        <v>32.5289</v>
      </c>
      <c r="H353" s="214">
        <v>3</v>
      </c>
      <c r="I353" s="214">
        <v>32.5289</v>
      </c>
      <c r="K353" s="71">
        <f t="shared" si="44"/>
        <v>37.045655295365634</v>
      </c>
      <c r="L353" s="71">
        <f t="shared" si="45"/>
        <v>-4.516755295365634</v>
      </c>
      <c r="M353" s="71">
        <f t="shared" si="46"/>
        <v>4.516755295365634</v>
      </c>
      <c r="N353" s="175">
        <f t="shared" si="47"/>
        <v>20.401078398213496</v>
      </c>
      <c r="O353" s="71">
        <f t="shared" si="48"/>
        <v>0.13885361310605751</v>
      </c>
      <c r="P353" s="176"/>
      <c r="Q353" s="144"/>
      <c r="R353" s="175">
        <f t="shared" si="42"/>
        <v>6.0108980030760559</v>
      </c>
      <c r="S353" s="71">
        <f t="shared" si="43"/>
        <v>4.2643985288070114</v>
      </c>
    </row>
    <row r="354" spans="1:19">
      <c r="A354" s="162">
        <f>'Q.6a Model 1'!A356</f>
        <v>3.7</v>
      </c>
      <c r="B354" s="162">
        <f>'Q.6a Model 1'!B356</f>
        <v>29.799900000000001</v>
      </c>
      <c r="C354" s="163">
        <f>'Q.6a Model 2'!A356</f>
        <v>2</v>
      </c>
      <c r="D354" s="163">
        <f>'Q.6a Model 2'!B356</f>
        <v>45.190100000000001</v>
      </c>
      <c r="E354" s="10">
        <f>'Q.6a Model 3'!$A356</f>
        <v>3.7</v>
      </c>
      <c r="F354" s="10">
        <f>'Q.6a Model 3'!$B356</f>
        <v>24.4</v>
      </c>
      <c r="H354" s="214">
        <v>3.7</v>
      </c>
      <c r="I354" s="214">
        <v>24.4</v>
      </c>
      <c r="K354" s="71">
        <f t="shared" si="44"/>
        <v>34.094732041573842</v>
      </c>
      <c r="L354" s="71">
        <f t="shared" si="45"/>
        <v>-9.6947320415738432</v>
      </c>
      <c r="M354" s="71">
        <f t="shared" si="46"/>
        <v>9.6947320415738432</v>
      </c>
      <c r="N354" s="175">
        <f t="shared" si="47"/>
        <v>93.987829357918542</v>
      </c>
      <c r="O354" s="71">
        <f t="shared" si="48"/>
        <v>0.39732508367105918</v>
      </c>
      <c r="P354" s="176"/>
      <c r="Q354" s="144"/>
      <c r="R354" s="175">
        <f t="shared" si="42"/>
        <v>111.94937736256115</v>
      </c>
      <c r="S354" s="71">
        <f t="shared" si="43"/>
        <v>0.78478556705897329</v>
      </c>
    </row>
    <row r="355" spans="1:19">
      <c r="A355" s="162">
        <f>'Q.6a Model 1'!A357</f>
        <v>3.5</v>
      </c>
      <c r="B355" s="162">
        <f>'Q.6a Model 1'!B357</f>
        <v>28.7</v>
      </c>
      <c r="C355" s="163">
        <f>'Q.6a Model 2'!A357</f>
        <v>3.6</v>
      </c>
      <c r="D355" s="163">
        <f>'Q.6a Model 2'!B357</f>
        <v>35.6</v>
      </c>
      <c r="E355" s="10">
        <f>'Q.6a Model 3'!$A357</f>
        <v>3.3</v>
      </c>
      <c r="F355" s="10">
        <f>'Q.6a Model 3'!$B357</f>
        <v>40.1</v>
      </c>
      <c r="H355" s="214">
        <v>3.3</v>
      </c>
      <c r="I355" s="214">
        <v>40.1</v>
      </c>
      <c r="K355" s="71">
        <f t="shared" si="44"/>
        <v>35.780973900883438</v>
      </c>
      <c r="L355" s="71">
        <f t="shared" si="45"/>
        <v>4.319026099116563</v>
      </c>
      <c r="M355" s="71">
        <f t="shared" si="46"/>
        <v>4.319026099116563</v>
      </c>
      <c r="N355" s="175">
        <f t="shared" si="47"/>
        <v>18.653986444850034</v>
      </c>
      <c r="O355" s="71">
        <f t="shared" si="48"/>
        <v>0.10770638651163499</v>
      </c>
      <c r="P355" s="176"/>
      <c r="Q355" s="144"/>
      <c r="R355" s="175">
        <f t="shared" si="42"/>
        <v>26.208120397791543</v>
      </c>
      <c r="S355" s="71">
        <f t="shared" si="43"/>
        <v>0.64057712484908502</v>
      </c>
    </row>
    <row r="356" spans="1:19">
      <c r="A356" s="162">
        <f>'Q.6a Model 1'!A358</f>
        <v>3.7</v>
      </c>
      <c r="B356" s="162">
        <f>'Q.6a Model 1'!B358</f>
        <v>34.9</v>
      </c>
      <c r="C356" s="163">
        <f>'Q.6a Model 2'!A358</f>
        <v>4.5999999999999996</v>
      </c>
      <c r="D356" s="163">
        <f>'Q.6a Model 2'!B358</f>
        <v>29</v>
      </c>
      <c r="E356" s="10">
        <f>'Q.6a Model 3'!$A358</f>
        <v>4.5999999999999996</v>
      </c>
      <c r="F356" s="10">
        <f>'Q.6a Model 3'!$B358</f>
        <v>24.5</v>
      </c>
      <c r="H356" s="214">
        <v>4.5999999999999996</v>
      </c>
      <c r="I356" s="214">
        <v>24.5</v>
      </c>
      <c r="K356" s="71">
        <f t="shared" si="44"/>
        <v>30.300687858127255</v>
      </c>
      <c r="L356" s="71">
        <f t="shared" si="45"/>
        <v>-5.8006878581272545</v>
      </c>
      <c r="M356" s="71">
        <f t="shared" si="46"/>
        <v>5.8006878581272545</v>
      </c>
      <c r="N356" s="175">
        <f t="shared" si="47"/>
        <v>33.647979627424952</v>
      </c>
      <c r="O356" s="71">
        <f t="shared" si="48"/>
        <v>0.23676276971947977</v>
      </c>
      <c r="P356" s="176"/>
      <c r="Q356" s="144"/>
      <c r="R356" s="175">
        <f t="shared" si="42"/>
        <v>109.84325470673457</v>
      </c>
      <c r="S356" s="71">
        <f t="shared" si="43"/>
        <v>21.901701946173837</v>
      </c>
    </row>
    <row r="357" spans="1:19">
      <c r="A357" s="162">
        <f>'Q.6a Model 1'!A359</f>
        <v>5</v>
      </c>
      <c r="B357" s="162">
        <f>'Q.6a Model 1'!B359</f>
        <v>32.670099999999998</v>
      </c>
      <c r="C357" s="163">
        <f>'Q.6a Model 2'!A359</f>
        <v>2.8</v>
      </c>
      <c r="D357" s="163">
        <f>'Q.6a Model 2'!B359</f>
        <v>30.299299999999999</v>
      </c>
      <c r="E357" s="10">
        <f>'Q.6a Model 3'!$A359</f>
        <v>3.6</v>
      </c>
      <c r="F357" s="10">
        <f>'Q.6a Model 3'!$B359</f>
        <v>35.6</v>
      </c>
      <c r="H357" s="214">
        <v>3.6</v>
      </c>
      <c r="I357" s="214">
        <v>35.6</v>
      </c>
      <c r="K357" s="71">
        <f t="shared" si="44"/>
        <v>34.516292506401243</v>
      </c>
      <c r="L357" s="71">
        <f t="shared" si="45"/>
        <v>1.0837074935987587</v>
      </c>
      <c r="M357" s="71">
        <f t="shared" si="46"/>
        <v>1.0837074935987587</v>
      </c>
      <c r="N357" s="175">
        <f t="shared" si="47"/>
        <v>1.1744219316821036</v>
      </c>
      <c r="O357" s="71">
        <f t="shared" si="48"/>
        <v>3.0441221730302212E-2</v>
      </c>
      <c r="P357" s="176"/>
      <c r="Q357" s="144"/>
      <c r="R357" s="175">
        <f t="shared" si="42"/>
        <v>0.38363990998663722</v>
      </c>
      <c r="S357" s="71">
        <f t="shared" si="43"/>
        <v>0.21559377999002097</v>
      </c>
    </row>
    <row r="358" spans="1:19">
      <c r="A358" s="162">
        <f>'Q.6a Model 1'!A360</f>
        <v>5.7</v>
      </c>
      <c r="B358" s="162">
        <f>'Q.6a Model 1'!B360</f>
        <v>27.1</v>
      </c>
      <c r="C358" s="163">
        <f>'Q.6a Model 2'!A360</f>
        <v>2.4</v>
      </c>
      <c r="D358" s="163">
        <f>'Q.6a Model 2'!B360</f>
        <v>40.1</v>
      </c>
      <c r="E358" s="10">
        <f>'Q.6a Model 3'!$A360</f>
        <v>1.8</v>
      </c>
      <c r="F358" s="10">
        <f>'Q.6a Model 3'!$B360</f>
        <v>48.4</v>
      </c>
      <c r="H358" s="214">
        <v>1.8</v>
      </c>
      <c r="I358" s="214">
        <v>48.4</v>
      </c>
      <c r="K358" s="71">
        <f t="shared" si="44"/>
        <v>42.104380873294417</v>
      </c>
      <c r="L358" s="71">
        <f t="shared" si="45"/>
        <v>6.2956191267055814</v>
      </c>
      <c r="M358" s="71">
        <f t="shared" si="46"/>
        <v>6.2956191267055814</v>
      </c>
      <c r="N358" s="175">
        <f t="shared" si="47"/>
        <v>39.634820188541148</v>
      </c>
      <c r="O358" s="71">
        <f t="shared" si="48"/>
        <v>0.13007477534515666</v>
      </c>
      <c r="P358" s="176"/>
      <c r="Q358" s="144"/>
      <c r="R358" s="175">
        <f t="shared" si="42"/>
        <v>180.07993996418719</v>
      </c>
      <c r="S358" s="71">
        <f t="shared" si="43"/>
        <v>50.748064735627338</v>
      </c>
    </row>
    <row r="359" spans="1:19">
      <c r="A359" s="162">
        <f>'Q.6a Model 1'!A361</f>
        <v>3.5</v>
      </c>
      <c r="B359" s="162">
        <f>'Q.6a Model 1'!B361</f>
        <v>39.0959</v>
      </c>
      <c r="C359" s="163">
        <f>'Q.6a Model 2'!A361</f>
        <v>3.5</v>
      </c>
      <c r="D359" s="163">
        <f>'Q.6a Model 2'!B361</f>
        <v>33.200000000000003</v>
      </c>
      <c r="E359" s="10">
        <f>'Q.6a Model 3'!$A361</f>
        <v>6.1</v>
      </c>
      <c r="F359" s="10">
        <f>'Q.6a Model 3'!$B361</f>
        <v>26</v>
      </c>
      <c r="H359" s="214">
        <v>6.1</v>
      </c>
      <c r="I359" s="214">
        <v>26</v>
      </c>
      <c r="K359" s="71">
        <f t="shared" si="44"/>
        <v>23.977280885716272</v>
      </c>
      <c r="L359" s="71">
        <f t="shared" si="45"/>
        <v>2.0227191142837277</v>
      </c>
      <c r="M359" s="71">
        <f t="shared" si="46"/>
        <v>2.0227191142837277</v>
      </c>
      <c r="N359" s="175">
        <f t="shared" si="47"/>
        <v>4.0913926152887479</v>
      </c>
      <c r="O359" s="71">
        <f t="shared" si="48"/>
        <v>7.7796889010912612E-2</v>
      </c>
      <c r="P359" s="176"/>
      <c r="Q359" s="144"/>
      <c r="R359" s="175">
        <f t="shared" si="42"/>
        <v>80.651414869336193</v>
      </c>
      <c r="S359" s="71">
        <f t="shared" si="43"/>
        <v>121.07332376000927</v>
      </c>
    </row>
    <row r="360" spans="1:19">
      <c r="A360" s="162">
        <f>'Q.6a Model 1'!A362</f>
        <v>4.5999999999999996</v>
      </c>
      <c r="B360" s="162">
        <f>'Q.6a Model 1'!B362</f>
        <v>33.305199999999999</v>
      </c>
      <c r="C360" s="163">
        <f>'Q.6a Model 2'!A362</f>
        <v>3.5</v>
      </c>
      <c r="D360" s="163">
        <f>'Q.6a Model 2'!B362</f>
        <v>37.4</v>
      </c>
      <c r="E360" s="10">
        <f>'Q.6a Model 3'!$A362</f>
        <v>5</v>
      </c>
      <c r="F360" s="10">
        <f>'Q.6a Model 3'!$B362</f>
        <v>27.251100000000001</v>
      </c>
      <c r="H360" s="214">
        <v>5</v>
      </c>
      <c r="I360" s="214">
        <v>27.251100000000001</v>
      </c>
      <c r="K360" s="71">
        <f t="shared" si="44"/>
        <v>28.614445998817658</v>
      </c>
      <c r="L360" s="71">
        <f t="shared" si="45"/>
        <v>-1.3633459988176568</v>
      </c>
      <c r="M360" s="71">
        <f t="shared" si="46"/>
        <v>1.3633459988176568</v>
      </c>
      <c r="N360" s="175">
        <f t="shared" si="47"/>
        <v>1.8587123124921143</v>
      </c>
      <c r="O360" s="71">
        <f t="shared" si="48"/>
        <v>5.0029026307842867E-2</v>
      </c>
      <c r="P360" s="176"/>
      <c r="Q360" s="144"/>
      <c r="R360" s="175">
        <f t="shared" si="42"/>
        <v>59.745375532290119</v>
      </c>
      <c r="S360" s="71">
        <f t="shared" si="43"/>
        <v>40.528085840954965</v>
      </c>
    </row>
    <row r="361" spans="1:19">
      <c r="A361" s="162">
        <f>'Q.6a Model 1'!A363</f>
        <v>4</v>
      </c>
      <c r="B361" s="162">
        <f>'Q.6a Model 1'!B363</f>
        <v>27.566500000000001</v>
      </c>
      <c r="C361" s="163">
        <f>'Q.6a Model 2'!A363</f>
        <v>3.6</v>
      </c>
      <c r="D361" s="163">
        <f>'Q.6a Model 2'!B363</f>
        <v>26.1066</v>
      </c>
      <c r="E361" s="10">
        <f>'Q.6a Model 3'!$A363</f>
        <v>3.7</v>
      </c>
      <c r="F361" s="10">
        <f>'Q.6a Model 3'!$B363</f>
        <v>25.2</v>
      </c>
      <c r="H361" s="214">
        <v>3.7</v>
      </c>
      <c r="I361" s="214">
        <v>25.2</v>
      </c>
      <c r="K361" s="71">
        <f t="shared" si="44"/>
        <v>34.094732041573842</v>
      </c>
      <c r="L361" s="71">
        <f t="shared" si="45"/>
        <v>-8.8947320415738425</v>
      </c>
      <c r="M361" s="71">
        <f t="shared" si="46"/>
        <v>8.8947320415738425</v>
      </c>
      <c r="N361" s="175">
        <f t="shared" si="47"/>
        <v>79.116258091400368</v>
      </c>
      <c r="O361" s="71">
        <f t="shared" si="48"/>
        <v>0.3529655572053112</v>
      </c>
      <c r="P361" s="176"/>
      <c r="Q361" s="144"/>
      <c r="R361" s="175">
        <f t="shared" si="42"/>
        <v>95.660396115948672</v>
      </c>
      <c r="S361" s="71">
        <f t="shared" si="43"/>
        <v>0.78478556705897329</v>
      </c>
    </row>
    <row r="362" spans="1:19">
      <c r="A362" s="162">
        <f>'Q.6a Model 1'!A364</f>
        <v>5.2</v>
      </c>
      <c r="B362" s="162">
        <f>'Q.6a Model 1'!B364</f>
        <v>25.4</v>
      </c>
      <c r="C362" s="163">
        <f>'Q.6a Model 2'!A364</f>
        <v>3</v>
      </c>
      <c r="D362" s="163">
        <f>'Q.6a Model 2'!B364</f>
        <v>31.5</v>
      </c>
      <c r="E362" s="10">
        <f>'Q.6a Model 3'!$A364</f>
        <v>2.5</v>
      </c>
      <c r="F362" s="10">
        <f>'Q.6a Model 3'!$B364</f>
        <v>40.6</v>
      </c>
      <c r="H362" s="214">
        <v>2.5</v>
      </c>
      <c r="I362" s="214">
        <v>40.6</v>
      </c>
      <c r="K362" s="71">
        <f t="shared" si="44"/>
        <v>39.153457619502632</v>
      </c>
      <c r="L362" s="71">
        <f t="shared" si="45"/>
        <v>1.4465423804973696</v>
      </c>
      <c r="M362" s="71">
        <f t="shared" si="46"/>
        <v>1.4465423804973696</v>
      </c>
      <c r="N362" s="175">
        <f t="shared" si="47"/>
        <v>2.0924848585749967</v>
      </c>
      <c r="O362" s="71">
        <f t="shared" si="48"/>
        <v>3.5629122672349002E-2</v>
      </c>
      <c r="P362" s="176"/>
      <c r="Q362" s="144"/>
      <c r="R362" s="175">
        <f t="shared" si="42"/>
        <v>31.577507118658755</v>
      </c>
      <c r="S362" s="71">
        <f t="shared" si="43"/>
        <v>17.412629888956623</v>
      </c>
    </row>
    <row r="363" spans="1:19">
      <c r="A363" s="162">
        <f>'Q.6a Model 1'!A365</f>
        <v>1.8</v>
      </c>
      <c r="B363" s="162">
        <f>'Q.6a Model 1'!B365</f>
        <v>47.2</v>
      </c>
      <c r="C363" s="163">
        <f>'Q.6a Model 2'!A365</f>
        <v>2</v>
      </c>
      <c r="D363" s="163">
        <f>'Q.6a Model 2'!B365</f>
        <v>49.216999999999999</v>
      </c>
      <c r="E363" s="10">
        <f>'Q.6a Model 3'!$A365</f>
        <v>1.6</v>
      </c>
      <c r="F363" s="10">
        <f>'Q.6a Model 3'!$B365</f>
        <v>47.9</v>
      </c>
      <c r="H363" s="214">
        <v>1.6</v>
      </c>
      <c r="I363" s="214">
        <v>47.9</v>
      </c>
      <c r="K363" s="71">
        <f t="shared" si="44"/>
        <v>42.947501802949219</v>
      </c>
      <c r="L363" s="71">
        <f t="shared" si="45"/>
        <v>4.9524981970507795</v>
      </c>
      <c r="M363" s="71">
        <f t="shared" si="46"/>
        <v>4.9524981970507795</v>
      </c>
      <c r="N363" s="175">
        <f t="shared" si="47"/>
        <v>24.527238391791222</v>
      </c>
      <c r="O363" s="71">
        <f t="shared" si="48"/>
        <v>0.1033924467025215</v>
      </c>
      <c r="P363" s="176"/>
      <c r="Q363" s="144"/>
      <c r="R363" s="175">
        <f t="shared" si="42"/>
        <v>166.91055324331998</v>
      </c>
      <c r="S363" s="71">
        <f t="shared" si="43"/>
        <v>63.471312750917924</v>
      </c>
    </row>
    <row r="364" spans="1:19">
      <c r="A364" s="162">
        <f>'Q.6a Model 1'!A366</f>
        <v>4.8</v>
      </c>
      <c r="B364" s="162">
        <f>'Q.6a Model 1'!B366</f>
        <v>24.1496</v>
      </c>
      <c r="C364" s="163">
        <f>'Q.6a Model 2'!A366</f>
        <v>2.4</v>
      </c>
      <c r="D364" s="163">
        <f>'Q.6a Model 2'!B366</f>
        <v>42.6</v>
      </c>
      <c r="E364" s="10">
        <f>'Q.6a Model 3'!$A366</f>
        <v>2.4</v>
      </c>
      <c r="F364" s="10">
        <f>'Q.6a Model 3'!$B366</f>
        <v>36.4</v>
      </c>
      <c r="H364" s="214">
        <v>2.4</v>
      </c>
      <c r="I364" s="214">
        <v>36.4</v>
      </c>
      <c r="K364" s="71">
        <f t="shared" si="44"/>
        <v>39.575018084330026</v>
      </c>
      <c r="L364" s="71">
        <f t="shared" si="45"/>
        <v>-3.1750180843300271</v>
      </c>
      <c r="M364" s="71">
        <f t="shared" si="46"/>
        <v>3.1750180843300271</v>
      </c>
      <c r="N364" s="175">
        <f t="shared" si="47"/>
        <v>10.080739835822715</v>
      </c>
      <c r="O364" s="71">
        <f t="shared" si="48"/>
        <v>8.7225771547528225E-2</v>
      </c>
      <c r="P364" s="176"/>
      <c r="Q364" s="144"/>
      <c r="R364" s="175">
        <f t="shared" si="42"/>
        <v>2.0146586633741679</v>
      </c>
      <c r="S364" s="71">
        <f t="shared" si="43"/>
        <v>21.10855551401945</v>
      </c>
    </row>
    <row r="365" spans="1:19">
      <c r="A365" s="162">
        <f>'Q.6a Model 1'!A367</f>
        <v>2.5</v>
      </c>
      <c r="B365" s="162">
        <f>'Q.6a Model 1'!B367</f>
        <v>41.664200000000001</v>
      </c>
      <c r="C365" s="163">
        <f>'Q.6a Model 2'!A367</f>
        <v>3</v>
      </c>
      <c r="D365" s="163">
        <f>'Q.6a Model 2'!B367</f>
        <v>34.799999999999997</v>
      </c>
      <c r="E365" s="10">
        <f>'Q.6a Model 3'!$A367</f>
        <v>6.3</v>
      </c>
      <c r="F365" s="10">
        <f>'Q.6a Model 3'!$B367</f>
        <v>26.6722</v>
      </c>
      <c r="H365" s="214">
        <v>6.3</v>
      </c>
      <c r="I365" s="214">
        <v>26.6722</v>
      </c>
      <c r="K365" s="71">
        <f t="shared" si="44"/>
        <v>23.134159956061474</v>
      </c>
      <c r="L365" s="71">
        <f t="shared" si="45"/>
        <v>3.5380400439385262</v>
      </c>
      <c r="M365" s="71">
        <f t="shared" si="46"/>
        <v>3.5380400439385262</v>
      </c>
      <c r="N365" s="175">
        <f t="shared" si="47"/>
        <v>12.517727352512528</v>
      </c>
      <c r="O365" s="71">
        <f t="shared" si="48"/>
        <v>0.13264897698497036</v>
      </c>
      <c r="P365" s="176"/>
      <c r="Q365" s="144"/>
      <c r="R365" s="175">
        <f t="shared" si="42"/>
        <v>69.029731216870076</v>
      </c>
      <c r="S365" s="71">
        <f t="shared" si="43"/>
        <v>140.33845633570743</v>
      </c>
    </row>
    <row r="366" spans="1:19">
      <c r="A366" s="162">
        <f>'Q.6a Model 1'!A368</f>
        <v>2</v>
      </c>
      <c r="B366" s="162">
        <f>'Q.6a Model 1'!B368</f>
        <v>43.9</v>
      </c>
      <c r="C366" s="163">
        <f>'Q.6a Model 2'!A368</f>
        <v>5.7</v>
      </c>
      <c r="D366" s="163">
        <f>'Q.6a Model 2'!B368</f>
        <v>26</v>
      </c>
      <c r="E366" s="10">
        <f>'Q.6a Model 3'!$A368</f>
        <v>2.2000000000000002</v>
      </c>
      <c r="F366" s="10">
        <f>'Q.6a Model 3'!$B368</f>
        <v>51.9</v>
      </c>
      <c r="H366" s="214">
        <v>2.2000000000000002</v>
      </c>
      <c r="I366" s="214">
        <v>51.9</v>
      </c>
      <c r="K366" s="71">
        <f t="shared" si="44"/>
        <v>40.418139013984828</v>
      </c>
      <c r="L366" s="71">
        <f t="shared" si="45"/>
        <v>11.481860986015171</v>
      </c>
      <c r="M366" s="71">
        <f t="shared" si="46"/>
        <v>11.481860986015171</v>
      </c>
      <c r="N366" s="175">
        <f t="shared" si="47"/>
        <v>131.83313170217727</v>
      </c>
      <c r="O366" s="71">
        <f t="shared" si="48"/>
        <v>0.22123046215828845</v>
      </c>
      <c r="P366" s="176"/>
      <c r="Q366" s="144"/>
      <c r="R366" s="175">
        <f t="shared" si="42"/>
        <v>286.26564701025762</v>
      </c>
      <c r="S366" s="71">
        <f t="shared" si="43"/>
        <v>29.566686117178193</v>
      </c>
    </row>
    <row r="367" spans="1:19">
      <c r="A367" s="162">
        <f>'Q.6a Model 1'!A369</f>
        <v>1.6</v>
      </c>
      <c r="B367" s="162">
        <f>'Q.6a Model 1'!B369</f>
        <v>46.5</v>
      </c>
      <c r="C367" s="163">
        <f>'Q.6a Model 2'!A369</f>
        <v>2.4</v>
      </c>
      <c r="D367" s="163">
        <f>'Q.6a Model 2'!B369</f>
        <v>44.081800000000001</v>
      </c>
      <c r="E367" s="10">
        <f>'Q.6a Model 3'!$A369</f>
        <v>4.8</v>
      </c>
      <c r="F367" s="10">
        <f>'Q.6a Model 3'!$B369</f>
        <v>31.8</v>
      </c>
      <c r="H367" s="214">
        <v>4.8</v>
      </c>
      <c r="I367" s="214">
        <v>31.8</v>
      </c>
      <c r="K367" s="71">
        <f t="shared" si="44"/>
        <v>29.457566928472456</v>
      </c>
      <c r="L367" s="71">
        <f t="shared" si="45"/>
        <v>2.3424330715275445</v>
      </c>
      <c r="M367" s="71">
        <f t="shared" si="46"/>
        <v>2.3424330715275445</v>
      </c>
      <c r="N367" s="175">
        <f t="shared" si="47"/>
        <v>5.4869926945859664</v>
      </c>
      <c r="O367" s="71">
        <f t="shared" si="48"/>
        <v>7.3661417343633476E-2</v>
      </c>
      <c r="P367" s="176"/>
      <c r="Q367" s="144"/>
      <c r="R367" s="175">
        <f t="shared" si="42"/>
        <v>10.116300831395833</v>
      </c>
      <c r="S367" s="71">
        <f t="shared" si="43"/>
        <v>30.504040991542428</v>
      </c>
    </row>
    <row r="368" spans="1:19">
      <c r="A368" s="162">
        <f>'Q.6a Model 1'!A370</f>
        <v>6.7</v>
      </c>
      <c r="B368" s="162">
        <f>'Q.6a Model 1'!B370</f>
        <v>24.2</v>
      </c>
      <c r="C368" s="163">
        <f>'Q.6a Model 2'!A370</f>
        <v>3.6</v>
      </c>
      <c r="D368" s="163">
        <f>'Q.6a Model 2'!B370</f>
        <v>27.581099999999999</v>
      </c>
      <c r="E368" s="10">
        <f>'Q.6a Model 3'!$A370</f>
        <v>2.4</v>
      </c>
      <c r="F368" s="10">
        <f>'Q.6a Model 3'!$B370</f>
        <v>42.8</v>
      </c>
      <c r="H368" s="214">
        <v>2.4</v>
      </c>
      <c r="I368" s="214">
        <v>42.8</v>
      </c>
      <c r="K368" s="71">
        <f t="shared" si="44"/>
        <v>39.575018084330026</v>
      </c>
      <c r="L368" s="71">
        <f t="shared" si="45"/>
        <v>3.2249819156699715</v>
      </c>
      <c r="M368" s="71">
        <f t="shared" si="46"/>
        <v>3.2249819156699715</v>
      </c>
      <c r="N368" s="175">
        <f t="shared" si="47"/>
        <v>10.40050835639836</v>
      </c>
      <c r="O368" s="71">
        <f t="shared" si="48"/>
        <v>7.5350044758644194E-2</v>
      </c>
      <c r="P368" s="176"/>
      <c r="Q368" s="144"/>
      <c r="R368" s="175">
        <f t="shared" si="42"/>
        <v>61.142808690474418</v>
      </c>
      <c r="S368" s="71">
        <f t="shared" si="43"/>
        <v>21.10855551401945</v>
      </c>
    </row>
    <row r="369" spans="1:23">
      <c r="A369" s="162">
        <f>'Q.6a Model 1'!A371</f>
        <v>3</v>
      </c>
      <c r="B369" s="162">
        <f>'Q.6a Model 1'!B371</f>
        <v>35.708100000000002</v>
      </c>
      <c r="C369" s="163">
        <f>'Q.6a Model 2'!A371</f>
        <v>2.5</v>
      </c>
      <c r="D369" s="163">
        <f>'Q.6a Model 2'!B371</f>
        <v>45.056600000000003</v>
      </c>
      <c r="E369" s="10">
        <f>'Q.6a Model 3'!$A371</f>
        <v>4</v>
      </c>
      <c r="F369" s="10">
        <f>'Q.6a Model 3'!$B371</f>
        <v>27.8</v>
      </c>
      <c r="H369" s="214">
        <v>4</v>
      </c>
      <c r="I369" s="214">
        <v>27.8</v>
      </c>
      <c r="K369" s="71">
        <f t="shared" si="44"/>
        <v>32.830050647091646</v>
      </c>
      <c r="L369" s="71">
        <f t="shared" si="45"/>
        <v>-5.0300506470916453</v>
      </c>
      <c r="M369" s="71">
        <f t="shared" si="46"/>
        <v>5.0300506470916453</v>
      </c>
      <c r="N369" s="175">
        <f t="shared" si="47"/>
        <v>25.301409512307078</v>
      </c>
      <c r="O369" s="71">
        <f t="shared" si="48"/>
        <v>0.18093707363639011</v>
      </c>
      <c r="P369" s="176"/>
      <c r="Q369" s="144"/>
      <c r="R369" s="175">
        <f t="shared" si="42"/>
        <v>51.561207064458145</v>
      </c>
      <c r="S369" s="71">
        <f t="shared" si="43"/>
        <v>4.6249196343317314</v>
      </c>
    </row>
    <row r="370" spans="1:23">
      <c r="A370" s="162">
        <f>'Q.6a Model 1'!A372</f>
        <v>2.5</v>
      </c>
      <c r="B370" s="162">
        <f>'Q.6a Model 1'!B372</f>
        <v>35.860599999999998</v>
      </c>
      <c r="C370" s="163">
        <f>'Q.6a Model 2'!A372</f>
        <v>3</v>
      </c>
      <c r="D370" s="163">
        <f>'Q.6a Model 2'!B372</f>
        <v>34.4</v>
      </c>
      <c r="E370" s="10">
        <f>'Q.6a Model 3'!$A372</f>
        <v>3</v>
      </c>
      <c r="F370" s="10">
        <f>'Q.6a Model 3'!$B372</f>
        <v>34.1</v>
      </c>
      <c r="H370" s="214">
        <v>3</v>
      </c>
      <c r="I370" s="214">
        <v>34.1</v>
      </c>
      <c r="K370" s="71">
        <f t="shared" si="44"/>
        <v>37.045655295365634</v>
      </c>
      <c r="L370" s="71">
        <f t="shared" si="45"/>
        <v>-2.9456552953656328</v>
      </c>
      <c r="M370" s="71">
        <f t="shared" si="46"/>
        <v>2.9456552953656328</v>
      </c>
      <c r="N370" s="175">
        <f t="shared" si="47"/>
        <v>8.6768851191155925</v>
      </c>
      <c r="O370" s="71">
        <f t="shared" si="48"/>
        <v>8.638285323652882E-2</v>
      </c>
      <c r="P370" s="176"/>
      <c r="Q370" s="144"/>
      <c r="R370" s="175">
        <f t="shared" si="42"/>
        <v>0.77547974738500214</v>
      </c>
      <c r="S370" s="71">
        <f t="shared" si="43"/>
        <v>4.2643985288070114</v>
      </c>
    </row>
    <row r="371" spans="1:23">
      <c r="A371" s="162">
        <f>'Q.6a Model 1'!A373</f>
        <v>2.4</v>
      </c>
      <c r="B371" s="162">
        <f>'Q.6a Model 1'!B373</f>
        <v>37.490200000000002</v>
      </c>
      <c r="C371" s="163">
        <f>'Q.6a Model 2'!A373</f>
        <v>3.8</v>
      </c>
      <c r="D371" s="163">
        <f>'Q.6a Model 2'!B373</f>
        <v>35.6</v>
      </c>
      <c r="E371" s="10">
        <f>'Q.6a Model 3'!$A373</f>
        <v>3.7</v>
      </c>
      <c r="F371" s="10">
        <f>'Q.6a Model 3'!$B373</f>
        <v>31.846699999999998</v>
      </c>
      <c r="H371" s="214">
        <v>3.7</v>
      </c>
      <c r="I371" s="214">
        <v>31.846699999999998</v>
      </c>
      <c r="K371" s="71">
        <f t="shared" si="44"/>
        <v>34.094732041573842</v>
      </c>
      <c r="L371" s="71">
        <f t="shared" si="45"/>
        <v>-2.2480320415738433</v>
      </c>
      <c r="M371" s="71">
        <f t="shared" si="46"/>
        <v>2.2480320415738433</v>
      </c>
      <c r="N371" s="175">
        <f t="shared" si="47"/>
        <v>5.0536480599426623</v>
      </c>
      <c r="O371" s="71">
        <f t="shared" si="48"/>
        <v>7.0589167529880439E-2</v>
      </c>
      <c r="P371" s="176"/>
      <c r="Q371" s="144"/>
      <c r="R371" s="175">
        <f t="shared" si="42"/>
        <v>9.8214124411248438</v>
      </c>
      <c r="S371" s="71">
        <f t="shared" si="43"/>
        <v>0.78478556705897329</v>
      </c>
    </row>
    <row r="372" spans="1:23">
      <c r="A372" s="164">
        <f>SUM(A3:A371)</f>
        <v>1277.8000000000004</v>
      </c>
      <c r="B372" s="164">
        <f>SUM(B3:B371)</f>
        <v>12807.342200000019</v>
      </c>
      <c r="C372" s="165">
        <f>SUM(C3:C371)</f>
        <v>1335.8999999999999</v>
      </c>
      <c r="D372" s="165">
        <f>SUM(D3:D371)</f>
        <v>12704.894900000003</v>
      </c>
      <c r="E372" s="11">
        <f t="shared" ref="E372:I372" si="49">SUM(E3:E371)</f>
        <v>1269.0000000000002</v>
      </c>
      <c r="F372" s="11">
        <f t="shared" si="49"/>
        <v>12907.846299999999</v>
      </c>
      <c r="H372" s="179">
        <f t="shared" si="49"/>
        <v>1269.0000000000002</v>
      </c>
      <c r="I372" s="179">
        <f t="shared" si="49"/>
        <v>12907.846299999999</v>
      </c>
      <c r="J372" s="158"/>
      <c r="K372" s="72">
        <f t="shared" ref="K372:S372" si="50">SUM(K3:K371)</f>
        <v>12986.918850969545</v>
      </c>
      <c r="L372" s="72">
        <f t="shared" si="50"/>
        <v>-79.072550969532841</v>
      </c>
      <c r="M372" s="72">
        <f t="shared" si="50"/>
        <v>1315.7399879865879</v>
      </c>
      <c r="N372" s="72">
        <f t="shared" si="50"/>
        <v>8055.3023594811957</v>
      </c>
      <c r="O372" s="72">
        <f t="shared" si="50"/>
        <v>38.782749050266894</v>
      </c>
      <c r="P372" s="177"/>
      <c r="Q372" s="158"/>
      <c r="R372" s="72">
        <f t="shared" si="50"/>
        <v>21230.303458344926</v>
      </c>
      <c r="S372" s="72">
        <f t="shared" si="50"/>
        <v>9828.8122894401276</v>
      </c>
      <c r="T372" s="62"/>
      <c r="U372"/>
      <c r="V372"/>
      <c r="W372"/>
    </row>
    <row r="373" spans="1:23">
      <c r="C373" s="62"/>
      <c r="D373" s="62"/>
      <c r="E373" s="62"/>
      <c r="F373" s="62"/>
    </row>
    <row r="374" spans="1:23">
      <c r="C374" s="62"/>
      <c r="D374" s="62"/>
      <c r="E374" s="62"/>
      <c r="F374" s="62"/>
    </row>
    <row r="375" spans="1:23">
      <c r="A375" s="215"/>
      <c r="B375" s="215"/>
      <c r="C375" s="215"/>
      <c r="D375" s="215"/>
      <c r="E375" s="215"/>
      <c r="F375" s="215"/>
      <c r="G375" s="215"/>
      <c r="H375" s="215"/>
      <c r="I375" s="215"/>
      <c r="J375" s="215"/>
      <c r="K375" s="215"/>
      <c r="L375" s="215"/>
      <c r="M375" s="215"/>
      <c r="N375" s="215"/>
      <c r="O375" s="215"/>
      <c r="P375" s="215"/>
      <c r="Q375" s="215"/>
      <c r="R375" s="154"/>
      <c r="S375" s="154"/>
      <c r="T375" s="154"/>
    </row>
  </sheetData>
  <mergeCells count="2">
    <mergeCell ref="X1:AA1"/>
    <mergeCell ref="X15:Z17"/>
  </mergeCells>
  <pageMargins left="0.7" right="0.7" top="0.75" bottom="0.75" header="0.3" footer="0.3"/>
  <pageSetup orientation="portrait" horizontalDpi="4294967293" r:id="rId1"/>
  <ignoredErrors>
    <ignoredError sqref="F3:F371" formula="1"/>
    <ignoredError sqref="J3 Y25:Z25"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Model_1_Test_1">
                <anchor moveWithCells="1">
                  <from>
                    <xdr:col>23</xdr:col>
                    <xdr:colOff>9525</xdr:colOff>
                    <xdr:row>18</xdr:row>
                    <xdr:rowOff>19050</xdr:rowOff>
                  </from>
                  <to>
                    <xdr:col>23</xdr:col>
                    <xdr:colOff>742950</xdr:colOff>
                    <xdr:row>19</xdr:row>
                    <xdr:rowOff>0</xdr:rowOff>
                  </to>
                </anchor>
              </controlPr>
            </control>
          </mc:Choice>
        </mc:AlternateContent>
        <mc:AlternateContent xmlns:mc="http://schemas.openxmlformats.org/markup-compatibility/2006">
          <mc:Choice Requires="x14">
            <control shapeId="11268" r:id="rId5" name="Button 4">
              <controlPr defaultSize="0" print="0" autoFill="0" autoPict="0" macro="[0]!Model_2_Test_1">
                <anchor moveWithCells="1">
                  <from>
                    <xdr:col>23</xdr:col>
                    <xdr:colOff>9525</xdr:colOff>
                    <xdr:row>20</xdr:row>
                    <xdr:rowOff>28575</xdr:rowOff>
                  </from>
                  <to>
                    <xdr:col>23</xdr:col>
                    <xdr:colOff>742950</xdr:colOff>
                    <xdr:row>21</xdr:row>
                    <xdr:rowOff>0</xdr:rowOff>
                  </to>
                </anchor>
              </controlPr>
            </control>
          </mc:Choice>
        </mc:AlternateContent>
        <mc:AlternateContent xmlns:mc="http://schemas.openxmlformats.org/markup-compatibility/2006">
          <mc:Choice Requires="x14">
            <control shapeId="11269" r:id="rId6" name="Button 5">
              <controlPr defaultSize="0" print="0" autoFill="0" autoPict="0" macro="[0]!Model_3_Test_1">
                <anchor moveWithCells="1">
                  <from>
                    <xdr:col>23</xdr:col>
                    <xdr:colOff>9525</xdr:colOff>
                    <xdr:row>22</xdr:row>
                    <xdr:rowOff>19050</xdr:rowOff>
                  </from>
                  <to>
                    <xdr:col>23</xdr:col>
                    <xdr:colOff>742950</xdr:colOff>
                    <xdr:row>22</xdr:row>
                    <xdr:rowOff>180975</xdr:rowOff>
                  </to>
                </anchor>
              </controlPr>
            </control>
          </mc:Choice>
        </mc:AlternateContent>
        <mc:AlternateContent xmlns:mc="http://schemas.openxmlformats.org/markup-compatibility/2006">
          <mc:Choice Requires="x14">
            <control shapeId="11270" r:id="rId7" name="Button 6">
              <controlPr defaultSize="0" print="0" autoFill="0" autoPict="0" macro="[0]!Model_1_test_2">
                <anchor moveWithCells="1">
                  <from>
                    <xdr:col>23</xdr:col>
                    <xdr:colOff>9525</xdr:colOff>
                    <xdr:row>19</xdr:row>
                    <xdr:rowOff>9525</xdr:rowOff>
                  </from>
                  <to>
                    <xdr:col>23</xdr:col>
                    <xdr:colOff>742950</xdr:colOff>
                    <xdr:row>19</xdr:row>
                    <xdr:rowOff>171450</xdr:rowOff>
                  </to>
                </anchor>
              </controlPr>
            </control>
          </mc:Choice>
        </mc:AlternateContent>
        <mc:AlternateContent xmlns:mc="http://schemas.openxmlformats.org/markup-compatibility/2006">
          <mc:Choice Requires="x14">
            <control shapeId="11271" r:id="rId8" name="Button 7">
              <controlPr defaultSize="0" print="0" autoFill="0" autoPict="0" macro="[0]!Model_2_Test_2">
                <anchor moveWithCells="1">
                  <from>
                    <xdr:col>23</xdr:col>
                    <xdr:colOff>9525</xdr:colOff>
                    <xdr:row>21</xdr:row>
                    <xdr:rowOff>9525</xdr:rowOff>
                  </from>
                  <to>
                    <xdr:col>23</xdr:col>
                    <xdr:colOff>742950</xdr:colOff>
                    <xdr:row>21</xdr:row>
                    <xdr:rowOff>180975</xdr:rowOff>
                  </to>
                </anchor>
              </controlPr>
            </control>
          </mc:Choice>
        </mc:AlternateContent>
        <mc:AlternateContent xmlns:mc="http://schemas.openxmlformats.org/markup-compatibility/2006">
          <mc:Choice Requires="x14">
            <control shapeId="11272" r:id="rId9" name="Button 8">
              <controlPr defaultSize="0" print="0" autoFill="0" autoPict="0" macro="[0]!Model_3_Test_2">
                <anchor moveWithCells="1">
                  <from>
                    <xdr:col>23</xdr:col>
                    <xdr:colOff>9525</xdr:colOff>
                    <xdr:row>23</xdr:row>
                    <xdr:rowOff>9525</xdr:rowOff>
                  </from>
                  <to>
                    <xdr:col>23</xdr:col>
                    <xdr:colOff>742950</xdr:colOff>
                    <xdr:row>23</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2"/>
  <sheetViews>
    <sheetView tabSelected="1" workbookViewId="0">
      <selection activeCell="A2" sqref="A2"/>
    </sheetView>
  </sheetViews>
  <sheetFormatPr defaultRowHeight="15"/>
  <cols>
    <col min="1" max="2" width="18.28515625" bestFit="1" customWidth="1"/>
  </cols>
  <sheetData>
    <row r="1" spans="1:1" ht="31.5">
      <c r="A1" s="332" t="s">
        <v>167</v>
      </c>
    </row>
    <row r="2" spans="1:1">
      <c r="A2" s="216" t="s">
        <v>166</v>
      </c>
    </row>
  </sheetData>
  <hyperlinks>
    <hyperlink ref="A2" r:id="rId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1"/>
  <sheetViews>
    <sheetView workbookViewId="0"/>
  </sheetViews>
  <sheetFormatPr defaultRowHeight="15"/>
  <cols>
    <col min="1" max="1" width="23.5703125" bestFit="1" customWidth="1"/>
    <col min="2" max="2" width="10.28515625" style="210" bestFit="1" customWidth="1"/>
    <col min="4" max="8" width="9.140625" style="130"/>
  </cols>
  <sheetData>
    <row r="1" spans="1:8" s="62" customFormat="1">
      <c r="A1" s="211" t="s">
        <v>92</v>
      </c>
      <c r="B1" s="212" t="s">
        <v>128</v>
      </c>
      <c r="D1"/>
      <c r="E1"/>
      <c r="F1"/>
      <c r="G1"/>
      <c r="H1"/>
    </row>
    <row r="2" spans="1:8">
      <c r="A2" s="68">
        <v>1</v>
      </c>
      <c r="B2" s="210">
        <f>COUNTIF('Q.2, 3, 5'!$A$6:$A$1112, 'Unique X'!A2)</f>
        <v>2</v>
      </c>
      <c r="D2"/>
      <c r="E2"/>
      <c r="F2"/>
      <c r="G2"/>
      <c r="H2"/>
    </row>
    <row r="3" spans="1:8">
      <c r="A3" s="68">
        <v>1.3</v>
      </c>
      <c r="B3" s="210">
        <f>COUNTIF('Q.2, 3, 5'!$A$6:$A$1112, 'Unique X'!A3)</f>
        <v>5</v>
      </c>
      <c r="D3"/>
      <c r="E3"/>
      <c r="F3"/>
      <c r="G3"/>
      <c r="H3"/>
    </row>
    <row r="4" spans="1:8">
      <c r="A4" s="68">
        <v>1.5</v>
      </c>
      <c r="B4" s="210">
        <f>COUNTIF('Q.2, 3, 5'!$A$6:$A$1112, 'Unique X'!A4)</f>
        <v>5</v>
      </c>
      <c r="D4"/>
      <c r="E4"/>
      <c r="F4"/>
      <c r="G4"/>
      <c r="H4"/>
    </row>
    <row r="5" spans="1:8">
      <c r="A5" s="68">
        <v>1.6</v>
      </c>
      <c r="B5" s="210">
        <f>COUNTIF('Q.2, 3, 5'!$A$6:$A$1112, 'Unique X'!A5)</f>
        <v>32</v>
      </c>
      <c r="D5"/>
      <c r="E5"/>
      <c r="F5"/>
      <c r="G5"/>
      <c r="H5"/>
    </row>
    <row r="6" spans="1:8">
      <c r="A6" s="68">
        <v>1.8</v>
      </c>
      <c r="B6" s="210">
        <f>COUNTIF('Q.2, 3, 5'!$A$6:$A$1112, 'Unique X'!A6)</f>
        <v>19</v>
      </c>
      <c r="D6"/>
      <c r="E6"/>
      <c r="F6"/>
      <c r="G6"/>
      <c r="H6"/>
    </row>
    <row r="7" spans="1:8">
      <c r="A7" s="68">
        <v>2</v>
      </c>
      <c r="B7" s="210">
        <f>COUNTIF('Q.2, 3, 5'!$A$6:$A$1112, 'Unique X'!A7)</f>
        <v>98</v>
      </c>
      <c r="D7"/>
      <c r="E7"/>
      <c r="F7"/>
      <c r="G7"/>
      <c r="H7"/>
    </row>
    <row r="8" spans="1:8">
      <c r="A8" s="68">
        <v>2.2000000000000002</v>
      </c>
      <c r="B8" s="210">
        <f>COUNTIF('Q.2, 3, 5'!$A$6:$A$1112, 'Unique X'!A8)</f>
        <v>15</v>
      </c>
      <c r="D8"/>
      <c r="E8"/>
      <c r="F8"/>
      <c r="G8"/>
      <c r="H8"/>
    </row>
    <row r="9" spans="1:8">
      <c r="A9" s="68">
        <v>2.2999999999999998</v>
      </c>
      <c r="B9" s="210">
        <f>COUNTIF('Q.2, 3, 5'!$A$6:$A$1112, 'Unique X'!A9)</f>
        <v>9</v>
      </c>
      <c r="D9"/>
      <c r="E9"/>
      <c r="F9"/>
      <c r="G9"/>
      <c r="H9"/>
    </row>
    <row r="10" spans="1:8">
      <c r="A10" s="68">
        <v>2.4</v>
      </c>
      <c r="B10" s="210">
        <f>COUNTIF('Q.2, 3, 5'!$A$6:$A$1112, 'Unique X'!A10)</f>
        <v>107</v>
      </c>
      <c r="D10"/>
      <c r="E10"/>
      <c r="F10"/>
      <c r="G10"/>
      <c r="H10"/>
    </row>
    <row r="11" spans="1:8">
      <c r="A11" s="68">
        <v>2.5</v>
      </c>
      <c r="B11" s="210">
        <f>COUNTIF('Q.2, 3, 5'!$A$6:$A$1112, 'Unique X'!A11)</f>
        <v>86</v>
      </c>
      <c r="D11"/>
      <c r="E11"/>
      <c r="F11"/>
      <c r="G11"/>
      <c r="H11"/>
    </row>
    <row r="12" spans="1:8">
      <c r="A12" s="68">
        <v>2.7</v>
      </c>
      <c r="B12" s="210">
        <f>COUNTIF('Q.2, 3, 5'!$A$6:$A$1112, 'Unique X'!A12)</f>
        <v>16</v>
      </c>
      <c r="D12"/>
      <c r="E12"/>
      <c r="F12"/>
      <c r="G12"/>
      <c r="H12"/>
    </row>
    <row r="13" spans="1:8">
      <c r="A13" s="68">
        <v>2.8</v>
      </c>
      <c r="B13" s="210">
        <f>COUNTIF('Q.2, 3, 5'!$A$6:$A$1112, 'Unique X'!A13)</f>
        <v>2</v>
      </c>
      <c r="D13"/>
      <c r="E13"/>
      <c r="F13"/>
      <c r="G13"/>
      <c r="H13"/>
    </row>
    <row r="14" spans="1:8">
      <c r="A14" s="68">
        <v>2.9</v>
      </c>
      <c r="B14" s="210">
        <f>COUNTIF('Q.2, 3, 5'!$A$6:$A$1112, 'Unique X'!A14)</f>
        <v>16</v>
      </c>
      <c r="D14"/>
      <c r="E14"/>
      <c r="F14"/>
      <c r="G14"/>
      <c r="H14"/>
    </row>
    <row r="15" spans="1:8">
      <c r="A15" s="68">
        <v>3</v>
      </c>
      <c r="B15" s="210">
        <f>COUNTIF('Q.2, 3, 5'!$A$6:$A$1112, 'Unique X'!A15)</f>
        <v>95</v>
      </c>
      <c r="D15"/>
      <c r="E15"/>
      <c r="F15"/>
      <c r="G15"/>
      <c r="H15"/>
    </row>
    <row r="16" spans="1:8">
      <c r="A16" s="68">
        <v>3.2</v>
      </c>
      <c r="B16" s="210">
        <f>COUNTIF('Q.2, 3, 5'!$A$6:$A$1112, 'Unique X'!A16)</f>
        <v>13</v>
      </c>
      <c r="D16"/>
      <c r="E16"/>
      <c r="F16"/>
      <c r="G16"/>
      <c r="H16"/>
    </row>
    <row r="17" spans="1:8">
      <c r="A17" s="68">
        <v>3.3</v>
      </c>
      <c r="B17" s="210">
        <f>COUNTIF('Q.2, 3, 5'!$A$6:$A$1112, 'Unique X'!A17)</f>
        <v>5</v>
      </c>
      <c r="D17"/>
      <c r="E17"/>
      <c r="F17"/>
      <c r="G17"/>
      <c r="H17"/>
    </row>
    <row r="18" spans="1:8">
      <c r="A18" s="68">
        <v>3.4</v>
      </c>
      <c r="B18" s="210">
        <f>COUNTIF('Q.2, 3, 5'!$A$6:$A$1112, 'Unique X'!A18)</f>
        <v>4</v>
      </c>
      <c r="D18"/>
      <c r="E18"/>
      <c r="F18"/>
      <c r="G18"/>
      <c r="H18"/>
    </row>
    <row r="19" spans="1:8">
      <c r="A19" s="68">
        <v>3.5</v>
      </c>
      <c r="B19" s="210">
        <f>COUNTIF('Q.2, 3, 5'!$A$6:$A$1112, 'Unique X'!A19)</f>
        <v>102</v>
      </c>
      <c r="D19"/>
      <c r="E19"/>
      <c r="F19"/>
      <c r="G19"/>
      <c r="H19"/>
    </row>
    <row r="20" spans="1:8">
      <c r="A20" s="68">
        <v>3.6</v>
      </c>
      <c r="B20" s="210">
        <f>COUNTIF('Q.2, 3, 5'!$A$6:$A$1112, 'Unique X'!A20)</f>
        <v>45</v>
      </c>
      <c r="D20"/>
      <c r="E20"/>
      <c r="F20"/>
      <c r="G20"/>
      <c r="H20"/>
    </row>
    <row r="21" spans="1:8">
      <c r="A21" s="68">
        <v>3.7</v>
      </c>
      <c r="B21" s="210">
        <f>COUNTIF('Q.2, 3, 5'!$A$6:$A$1112, 'Unique X'!A21)</f>
        <v>46</v>
      </c>
      <c r="D21"/>
      <c r="E21"/>
      <c r="F21"/>
      <c r="G21"/>
      <c r="H21"/>
    </row>
    <row r="22" spans="1:8">
      <c r="A22" s="68">
        <v>3.8</v>
      </c>
      <c r="B22" s="210">
        <f>COUNTIF('Q.2, 3, 5'!$A$6:$A$1112, 'Unique X'!A22)</f>
        <v>40</v>
      </c>
      <c r="D22"/>
      <c r="E22"/>
      <c r="F22"/>
      <c r="G22"/>
      <c r="H22"/>
    </row>
    <row r="23" spans="1:8">
      <c r="A23" s="68">
        <v>3.9</v>
      </c>
      <c r="B23" s="210">
        <f>COUNTIF('Q.2, 3, 5'!$A$6:$A$1112, 'Unique X'!A23)</f>
        <v>3</v>
      </c>
      <c r="D23"/>
      <c r="E23"/>
      <c r="F23"/>
      <c r="G23"/>
      <c r="H23"/>
    </row>
    <row r="24" spans="1:8">
      <c r="A24" s="68">
        <v>4</v>
      </c>
      <c r="B24" s="210">
        <f>COUNTIF('Q.2, 3, 5'!$A$6:$A$1112, 'Unique X'!A24)</f>
        <v>47</v>
      </c>
      <c r="D24"/>
      <c r="E24"/>
      <c r="F24"/>
      <c r="G24"/>
      <c r="H24"/>
    </row>
    <row r="25" spans="1:8">
      <c r="A25" s="68">
        <v>4.2</v>
      </c>
      <c r="B25" s="210">
        <f>COUNTIF('Q.2, 3, 5'!$A$6:$A$1112, 'Unique X'!A25)</f>
        <v>12</v>
      </c>
      <c r="D25"/>
      <c r="E25"/>
      <c r="F25"/>
      <c r="G25"/>
      <c r="H25"/>
    </row>
    <row r="26" spans="1:8">
      <c r="A26" s="68">
        <v>4.3</v>
      </c>
      <c r="B26" s="210">
        <f>COUNTIF('Q.2, 3, 5'!$A$6:$A$1112, 'Unique X'!A26)</f>
        <v>8</v>
      </c>
      <c r="D26"/>
      <c r="E26"/>
      <c r="F26"/>
      <c r="G26"/>
      <c r="H26"/>
    </row>
    <row r="27" spans="1:8">
      <c r="A27" s="68">
        <v>4.4000000000000004</v>
      </c>
      <c r="B27" s="210">
        <f>COUNTIF('Q.2, 3, 5'!$A$6:$A$1112, 'Unique X'!A27)</f>
        <v>12</v>
      </c>
      <c r="D27"/>
      <c r="E27"/>
      <c r="F27"/>
      <c r="G27"/>
      <c r="H27"/>
    </row>
    <row r="28" spans="1:8">
      <c r="A28" s="68">
        <v>4.5</v>
      </c>
      <c r="B28" s="210">
        <f>COUNTIF('Q.2, 3, 5'!$A$6:$A$1112, 'Unique X'!A28)</f>
        <v>3</v>
      </c>
      <c r="D28"/>
      <c r="E28"/>
      <c r="F28"/>
      <c r="G28"/>
      <c r="H28"/>
    </row>
    <row r="29" spans="1:8">
      <c r="A29" s="68">
        <v>4.5999999999999996</v>
      </c>
      <c r="B29" s="210">
        <f>COUNTIF('Q.2, 3, 5'!$A$6:$A$1112, 'Unique X'!A29)</f>
        <v>37</v>
      </c>
      <c r="D29"/>
      <c r="E29"/>
      <c r="F29"/>
      <c r="G29"/>
      <c r="H29"/>
    </row>
    <row r="30" spans="1:8">
      <c r="A30" s="68">
        <v>4.7</v>
      </c>
      <c r="B30" s="210">
        <f>COUNTIF('Q.2, 3, 5'!$A$6:$A$1112, 'Unique X'!A30)</f>
        <v>10</v>
      </c>
      <c r="D30"/>
      <c r="E30"/>
      <c r="F30"/>
      <c r="G30"/>
      <c r="H30"/>
    </row>
    <row r="31" spans="1:8">
      <c r="A31" s="68">
        <v>4.8</v>
      </c>
      <c r="B31" s="210">
        <f>COUNTIF('Q.2, 3, 5'!$A$6:$A$1112, 'Unique X'!A31)</f>
        <v>21</v>
      </c>
      <c r="D31"/>
      <c r="E31"/>
      <c r="F31"/>
      <c r="G31"/>
      <c r="H31"/>
    </row>
    <row r="32" spans="1:8">
      <c r="A32" s="68">
        <v>5</v>
      </c>
      <c r="B32" s="210">
        <f>COUNTIF('Q.2, 3, 5'!$A$6:$A$1112, 'Unique X'!A32)</f>
        <v>22</v>
      </c>
      <c r="D32"/>
      <c r="E32"/>
      <c r="F32"/>
      <c r="G32"/>
      <c r="H32"/>
    </row>
    <row r="33" spans="1:8">
      <c r="A33" s="68">
        <v>5.2</v>
      </c>
      <c r="B33" s="210">
        <f>COUNTIF('Q.2, 3, 5'!$A$6:$A$1112, 'Unique X'!A33)</f>
        <v>7</v>
      </c>
      <c r="D33"/>
      <c r="E33"/>
      <c r="F33"/>
      <c r="G33"/>
      <c r="H33"/>
    </row>
    <row r="34" spans="1:8">
      <c r="A34" s="68">
        <v>5.3</v>
      </c>
      <c r="B34" s="210">
        <f>COUNTIF('Q.2, 3, 5'!$A$6:$A$1112, 'Unique X'!A34)</f>
        <v>35</v>
      </c>
      <c r="D34"/>
      <c r="E34"/>
      <c r="F34"/>
      <c r="G34"/>
      <c r="H34"/>
    </row>
    <row r="35" spans="1:8">
      <c r="A35" s="68">
        <v>5.4</v>
      </c>
      <c r="B35" s="210">
        <f>COUNTIF('Q.2, 3, 5'!$A$6:$A$1112, 'Unique X'!A35)</f>
        <v>7</v>
      </c>
      <c r="D35"/>
      <c r="E35"/>
      <c r="F35"/>
      <c r="G35"/>
      <c r="H35"/>
    </row>
    <row r="36" spans="1:8">
      <c r="A36" s="68">
        <v>5.5</v>
      </c>
      <c r="B36" s="210">
        <f>COUNTIF('Q.2, 3, 5'!$A$6:$A$1112, 'Unique X'!A36)</f>
        <v>15</v>
      </c>
      <c r="D36"/>
      <c r="E36"/>
      <c r="F36"/>
      <c r="G36"/>
      <c r="H36"/>
    </row>
    <row r="37" spans="1:8">
      <c r="A37" s="68">
        <v>5.6</v>
      </c>
      <c r="B37" s="210">
        <f>COUNTIF('Q.2, 3, 5'!$A$6:$A$1112, 'Unique X'!A37)</f>
        <v>11</v>
      </c>
      <c r="D37"/>
      <c r="E37"/>
      <c r="F37"/>
      <c r="G37"/>
      <c r="H37"/>
    </row>
    <row r="38" spans="1:8">
      <c r="A38" s="68">
        <v>5.7</v>
      </c>
      <c r="B38" s="210">
        <f>COUNTIF('Q.2, 3, 5'!$A$6:$A$1112, 'Unique X'!A38)</f>
        <v>24</v>
      </c>
      <c r="D38"/>
      <c r="E38"/>
      <c r="F38"/>
      <c r="G38"/>
      <c r="H38"/>
    </row>
    <row r="39" spans="1:8">
      <c r="A39" s="68">
        <v>5.9</v>
      </c>
      <c r="B39" s="210">
        <f>COUNTIF('Q.2, 3, 5'!$A$6:$A$1112, 'Unique X'!A39)</f>
        <v>5</v>
      </c>
      <c r="D39"/>
      <c r="E39"/>
      <c r="F39"/>
      <c r="G39"/>
      <c r="H39"/>
    </row>
    <row r="40" spans="1:8">
      <c r="A40" s="68">
        <v>6</v>
      </c>
      <c r="B40" s="210">
        <f>COUNTIF('Q.2, 3, 5'!$A$6:$A$1112, 'Unique X'!A40)</f>
        <v>18</v>
      </c>
      <c r="D40"/>
      <c r="E40"/>
      <c r="F40"/>
      <c r="G40"/>
      <c r="H40"/>
    </row>
    <row r="41" spans="1:8">
      <c r="A41" s="68">
        <v>6.1</v>
      </c>
      <c r="B41" s="210">
        <f>COUNTIF('Q.2, 3, 5'!$A$6:$A$1112, 'Unique X'!A41)</f>
        <v>5</v>
      </c>
      <c r="D41"/>
      <c r="E41"/>
      <c r="F41"/>
      <c r="G41"/>
      <c r="H41"/>
    </row>
    <row r="42" spans="1:8">
      <c r="A42" s="68">
        <v>6.2</v>
      </c>
      <c r="B42" s="210">
        <f>COUNTIF('Q.2, 3, 5'!$A$6:$A$1112, 'Unique X'!A42)</f>
        <v>21</v>
      </c>
      <c r="D42"/>
      <c r="E42"/>
      <c r="F42"/>
      <c r="G42"/>
      <c r="H42"/>
    </row>
    <row r="43" spans="1:8">
      <c r="A43" s="68">
        <v>6.3</v>
      </c>
      <c r="B43" s="210">
        <f>COUNTIF('Q.2, 3, 5'!$A$6:$A$1112, 'Unique X'!A43)</f>
        <v>6</v>
      </c>
      <c r="D43"/>
      <c r="E43"/>
      <c r="F43"/>
      <c r="G43"/>
      <c r="H43"/>
    </row>
    <row r="44" spans="1:8">
      <c r="A44" s="68">
        <v>6.5</v>
      </c>
      <c r="B44" s="210">
        <f>COUNTIF('Q.2, 3, 5'!$A$6:$A$1112, 'Unique X'!A44)</f>
        <v>5</v>
      </c>
      <c r="D44"/>
      <c r="E44"/>
      <c r="F44"/>
      <c r="G44"/>
      <c r="H44"/>
    </row>
    <row r="45" spans="1:8">
      <c r="A45" s="68">
        <v>6.6</v>
      </c>
      <c r="B45" s="210">
        <f>COUNTIF('Q.2, 3, 5'!$A$6:$A$1112, 'Unique X'!A45)</f>
        <v>1</v>
      </c>
      <c r="D45"/>
      <c r="E45"/>
      <c r="F45"/>
      <c r="G45"/>
      <c r="H45"/>
    </row>
    <row r="46" spans="1:8">
      <c r="A46" s="68">
        <v>6.7</v>
      </c>
      <c r="B46" s="210">
        <f>COUNTIF('Q.2, 3, 5'!$A$6:$A$1112, 'Unique X'!A46)</f>
        <v>4</v>
      </c>
      <c r="D46"/>
      <c r="E46"/>
      <c r="F46"/>
      <c r="G46"/>
      <c r="H46"/>
    </row>
    <row r="47" spans="1:8">
      <c r="A47" s="68">
        <v>6.8</v>
      </c>
      <c r="B47" s="210">
        <f>COUNTIF('Q.2, 3, 5'!$A$6:$A$1112, 'Unique X'!A47)</f>
        <v>2</v>
      </c>
      <c r="D47"/>
      <c r="E47"/>
      <c r="F47"/>
      <c r="G47"/>
      <c r="H47"/>
    </row>
    <row r="48" spans="1:8">
      <c r="A48" s="68">
        <v>7</v>
      </c>
      <c r="B48" s="210">
        <f>COUNTIF('Q.2, 3, 5'!$A$6:$A$1112, 'Unique X'!A48)</f>
        <v>1</v>
      </c>
      <c r="D48"/>
      <c r="E48"/>
      <c r="F48"/>
      <c r="G48"/>
      <c r="H48"/>
    </row>
    <row r="49" spans="1:8">
      <c r="A49" s="68">
        <v>8</v>
      </c>
      <c r="B49" s="210">
        <f>COUNTIF('Q.2, 3, 5'!$A$6:$A$1112, 'Unique X'!A49)</f>
        <v>1</v>
      </c>
      <c r="D49"/>
      <c r="E49"/>
      <c r="F49"/>
      <c r="G49"/>
      <c r="H49"/>
    </row>
    <row r="50" spans="1:8">
      <c r="A50" s="68">
        <v>8.4</v>
      </c>
      <c r="B50" s="210">
        <f>COUNTIF('Q.2, 3, 5'!$A$6:$A$1112, 'Unique X'!A50)</f>
        <v>2</v>
      </c>
      <c r="D50"/>
      <c r="E50"/>
      <c r="F50"/>
      <c r="G50"/>
      <c r="H50"/>
    </row>
    <row r="51" spans="1:8">
      <c r="D51"/>
      <c r="E51"/>
      <c r="F51"/>
      <c r="G51"/>
      <c r="H51"/>
    </row>
  </sheetData>
  <sortState ref="A2:A50">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Q.1 &amp; 4</vt:lpstr>
      <vt:lpstr>Q.2, 3, 5</vt:lpstr>
      <vt:lpstr>Q.6 Rand()</vt:lpstr>
      <vt:lpstr>Q.6a Model 1</vt:lpstr>
      <vt:lpstr>Q.6a Model 2</vt:lpstr>
      <vt:lpstr>Q.6a Model 3</vt:lpstr>
      <vt:lpstr>Q.6b-e CrossVal</vt:lpstr>
      <vt:lpstr>Q.6f</vt:lpstr>
      <vt:lpstr>Unique 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MIT-iMac</dc:creator>
  <cp:lastModifiedBy>Mark Daniels</cp:lastModifiedBy>
  <dcterms:created xsi:type="dcterms:W3CDTF">2017-02-10T01:09:29Z</dcterms:created>
  <dcterms:modified xsi:type="dcterms:W3CDTF">2017-06-30T23:12:21Z</dcterms:modified>
</cp:coreProperties>
</file>